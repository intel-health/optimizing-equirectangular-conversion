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pbogia\source\repos\optimizing-equirectangular-conversion\EquiRectangular\"/>
    </mc:Choice>
  </mc:AlternateContent>
  <xr:revisionPtr revIDLastSave="0" documentId="8_{0C6DC5D0-690B-4C1C-8E74-91B00E82AADD}" xr6:coauthVersionLast="47" xr6:coauthVersionMax="47" xr10:uidLastSave="{00000000-0000-0000-0000-000000000000}"/>
  <bookViews>
    <workbookView xWindow="19090" yWindow="-11100" windowWidth="38620" windowHeight="21820" activeTab="1"/>
  </bookViews>
  <sheets>
    <sheet name="i9-9900k-Results2" sheetId="1" r:id="rId1"/>
    <sheet name="Summary" sheetId="4" r:id="rId2"/>
  </sheets>
  <calcPr calcId="0" calcMode="manual"/>
</workbook>
</file>

<file path=xl/calcChain.xml><?xml version="1.0" encoding="utf-8"?>
<calcChain xmlns="http://schemas.openxmlformats.org/spreadsheetml/2006/main">
  <c r="FK338" i="4" l="1"/>
  <c r="FK339" i="4" s="1"/>
  <c r="FK337" i="4"/>
  <c r="EW339" i="4"/>
  <c r="EW338" i="4"/>
  <c r="EW337" i="4"/>
  <c r="EI338" i="4"/>
  <c r="EI337" i="4"/>
  <c r="EI339" i="4" s="1"/>
  <c r="DT182" i="4"/>
  <c r="DT183" i="4" s="1"/>
  <c r="DT181" i="4"/>
  <c r="DF182" i="4"/>
  <c r="DF183" i="4" s="1"/>
  <c r="DF181" i="4"/>
  <c r="CR182" i="4"/>
  <c r="CR183" i="4" s="1"/>
  <c r="CR181" i="4"/>
  <c r="CD182" i="4"/>
  <c r="CD183" i="4" s="1"/>
  <c r="CD181" i="4"/>
  <c r="BP182" i="4"/>
  <c r="BP183" i="4" s="1"/>
  <c r="BP181" i="4"/>
  <c r="BB182" i="4"/>
  <c r="BB183" i="4" s="1"/>
  <c r="BB181" i="4"/>
  <c r="AN182" i="4"/>
  <c r="AN183" i="4" s="1"/>
  <c r="AN181" i="4"/>
  <c r="Z182" i="4"/>
  <c r="Z183" i="4" s="1"/>
  <c r="Z181" i="4"/>
  <c r="L182" i="4"/>
  <c r="L183" i="4" s="1"/>
  <c r="L181" i="4"/>
  <c r="A10" i="1"/>
  <c r="A26" i="1"/>
  <c r="A34" i="1"/>
  <c r="A39" i="1"/>
  <c r="A46" i="1"/>
  <c r="A48" i="1"/>
  <c r="A51" i="1"/>
  <c r="A61" i="1"/>
</calcChain>
</file>

<file path=xl/sharedStrings.xml><?xml version="1.0" encoding="utf-8"?>
<sst xmlns="http://schemas.openxmlformats.org/spreadsheetml/2006/main" count="75940" uniqueCount="609">
  <si>
    <t>C:\Users\dpbogia\source\repos\optimizing-equirectangular-conversion\EquiRectangular&gt;cls</t>
  </si>
  <si>
    <t>_x000C_==================================================================</t>
  </si>
  <si>
    <t>Run of OneDevice with help flag</t>
  </si>
  <si>
    <t xml:space="preserve">C:\Users\dpbogia\source\repos\optimizing-equirectangular-conversion\EquiRectangular&gt;src\DPC++-OneDevice\x64\Release\OneDevice.exe --help </t>
  </si>
  <si>
    <t>Usage: src\DPC++-OneDevice\x64\Release\OneDevice.exe [flags]</t>
  </si>
  <si>
    <t>Where: flags can be zero or more of the following (all flags are case insensitive):</t>
  </si>
  <si>
    <t xml:space="preserve"> it takes</t>
  </si>
  <si>
    <t xml:space="preserve">    precedence over --startAlgorithm and --endAlgorithm.  Defaults to -1.</t>
  </si>
  <si>
    <t xml:space="preserve">    -1 = execute algorithms from --startAlgorithm to --endAlgorithm.</t>
  </si>
  <si>
    <t xml:space="preserve">     0 = Algorithm from https://github.com/rfn123/equirectangular-to-rectlinear/blob/master/Equi2Rect.cpp.</t>
  </si>
  <si>
    <t xml:space="preserve">     1 = Conversion to C++ of the Python algorithm from</t>
  </si>
  <si>
    <t xml:space="preserve">         https://github.com/fuenwang/Equirec2Perspec/blob/master/Equirec2Perspec.py</t>
  </si>
  <si>
    <t xml:space="preserve">     2 = Changed 1 to access m_pXYZPoints by moving a pointer instead of array indexing each time.</t>
  </si>
  <si>
    <t xml:space="preserve">     3 = Changed 2 to cache m_rotationMatrix instead of array indexing each time.</t>
  </si>
  <si>
    <t xml:space="preserve">     4 = Single loop point by point conversion from equirectangular to flat.</t>
  </si>
  <si>
    <t xml:space="preserve">     5 = Computes a Remapping algorithm using oneAPI's DPC++.</t>
  </si>
  <si>
    <t xml:space="preserve">     6 = Single kernel vs 3 kernels using oneAPI's DPC++.</t>
  </si>
  <si>
    <t xml:space="preserve">     7 = Computes a Remapping algorithm using oneAPI's DPC++ parallel_for_work_group.</t>
  </si>
  <si>
    <t xml:space="preserve">     8 = Computes a Remapping algorithm using oneAPI's DPC++ sub-groups to reduce scatter.</t>
  </si>
  <si>
    <t xml:space="preserve">     9 = Algorithm 6 and optimized ExtractFrame using DPC++.</t>
  </si>
  <si>
    <t xml:space="preserve">    10 = Algorithm 9 USM but just taking the truncated pixel point.</t>
  </si>
  <si>
    <t xml:space="preserve">    11 = Algorithm 10 USM but on CPU don't copy memory.</t>
  </si>
  <si>
    <t xml:space="preserve">    simulate a video stream.</t>
  </si>
  <si>
    <t>--deltaPitch=N where N is the amount of pitch to add each iteration (up or down).  This can run from</t>
  </si>
  <si>
    <t xml:space="preserve">    -90 to 90 integer degrees.  The negative values are down and positive are up.  Default is 0</t>
  </si>
  <si>
    <t>--deltaRoll=N where N is the amount of roll to add each iteration.  This can run from -360 to 360 integer degrees.</t>
  </si>
  <si>
    <t xml:space="preserve">    Default is 0</t>
  </si>
  <si>
    <t>--deltaYaw=N where N is the amount of yaw to add each iteration.  This can run from -360 to 360 integer degrees.</t>
  </si>
  <si>
    <t xml:space="preserve">    Default is 0.</t>
  </si>
  <si>
    <t xml:space="preserve">    select the best device to run the code on.  Other options include:</t>
  </si>
  <si>
    <t xml:space="preserve">      all - to run on all devices or</t>
  </si>
  <si>
    <t xml:space="preserve">      list - to list device options.  Only used for DPC++ algorithms.</t>
  </si>
  <si>
    <t xml:space="preserve">    Defaults to empty string (select any)</t>
  </si>
  <si>
    <t xml:space="preserve">    DPC++ algorithms.  Defaults to empty string (select any)</t>
  </si>
  <si>
    <t>--endAlgorithm=N where N denotes the last algorithm to run.  Use -1 to run to end of all algorithms.</t>
  </si>
  <si>
    <t xml:space="preserve">    Defaults to -1</t>
  </si>
  <si>
    <t>--fov the number of integer degrees wide to use when flattening the image.  This can be from 1 to 120.  Default is 60.</t>
  </si>
  <si>
    <t>--heightOutput=N where N is the number of pixels height the flattened image will be.  Default is 540.</t>
  </si>
  <si>
    <t>--help|-h|-? means to display the usage message</t>
  </si>
  <si>
    <t xml:space="preserve">    Defaults to ..\..\..\images\IMG_20230629_082736_00_095.jpg.</t>
  </si>
  <si>
    <t xml:space="preserve">    Defaults to ..\..\..\images\ImageAndOverlay - equirectangular.jpg.</t>
  </si>
  <si>
    <t>--iterations=N where N is the number of iterations.  Defaults to 0 (interactive)</t>
  </si>
  <si>
    <t xml:space="preserve">    Other options include:</t>
  </si>
  <si>
    <t xml:space="preserve">      all - to run on all platforms or</t>
  </si>
  <si>
    <t xml:space="preserve">      list - to list the platforms.</t>
  </si>
  <si>
    <t xml:space="preserve">    Only used for DPC++ algorithms.  Defaults to empty string (select any)</t>
  </si>
  <si>
    <t>--pitch=N where N is the pitch of the viewer's perspective (up or down).  This can run from</t>
  </si>
  <si>
    <t xml:space="preserve">    -90 to 90 integer degrees.  The negative values are down and positive are up.  0 is straight ahead.  Default is 0</t>
  </si>
  <si>
    <t>--roll=N where N defines how level the camera is.  This can run from 0 to 360 degrees.  The rotation is counter</t>
  </si>
  <si>
    <t xml:space="preserve">    clockwise so 90 integer degrees will lift the right side of the 'camera' up to be on top.  180 will flip the</t>
  </si>
  <si>
    <t xml:space="preserve">     'camera' upside down.  270 will place the left side of the camera on top.  Default is 0</t>
  </si>
  <si>
    <t xml:space="preserve">    --endAlgorithm will be run in succession.  Defaults to 0.</t>
  </si>
  <si>
    <t>--showFrames indicates each calculated frame should be shown.  Defaults to true for interactive mode</t>
  </si>
  <si>
    <t xml:space="preserve"> false otherwise.</t>
  </si>
  <si>
    <t>--typePreference=type1;type2;... where the types can be CPU</t>
  </si>
  <si>
    <t xml:space="preserve"> GPU</t>
  </si>
  <si>
    <t xml:space="preserve"> or </t>
  </si>
  <si>
    <t xml:space="preserve">    ACC (for Accelerator such as FPGA.  type1 is highest preference</t>
  </si>
  <si>
    <t xml:space="preserve"> then type2</t>
  </si>
  <si>
    <t xml:space="preserve"> etc.</t>
  </si>
  <si>
    <t>--widthOutput=N where N is the number of pixels width the flattened image will be.  Default is 1080.</t>
  </si>
  <si>
    <t>--yaw=N where N defines the yaw of the viewer's perspective (left or right angle).  This can run from</t>
  </si>
  <si>
    <t xml:space="preserve">    -180 to 180 integer degrees.  Negative values are to the left of center and positive to the right.  0 is</t>
  </si>
  <si>
    <t xml:space="preserve">    straight ahead (center of equirectangular image).  Default is 0.</t>
  </si>
  <si>
    <t>==================================================================</t>
  </si>
  <si>
    <t>Runs of OneDevice on CPU changing the Yaw by 10 degrees</t>
  </si>
  <si>
    <t>------------------------------------------------------------------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</si>
  <si>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--img0=images\IMG_20230629_082736_00_095.jpg --img1=images\ImageAndOverlay-equirectangular.jpg	 </t>
  </si>
  <si>
    <t>Loading Image0</t>
  </si>
  <si>
    <t>Loading Image1</t>
  </si>
  <si>
    <t>Images loaded.</t>
  </si>
  <si>
    <t>Algorithm description: V1 Equi2Rect reprojection.</t>
  </si>
  <si>
    <t xml:space="preserve">         warmup</t>
  </si>
  <si>
    <t xml:space="preserve">   Class initialization</t>
  </si>
  <si>
    <t>s</t>
  </si>
  <si>
    <t>ms</t>
  </si>
  <si>
    <t>us</t>
  </si>
  <si>
    <t xml:space="preserve"> </t>
  </si>
  <si>
    <t xml:space="preserve"> Variant initialization</t>
  </si>
  <si>
    <t xml:space="preserve">     Frame Calculations</t>
  </si>
  <si>
    <t xml:space="preserve">       Image extraction</t>
  </si>
  <si>
    <t xml:space="preserve">               frame(s)</t>
  </si>
  <si>
    <t xml:space="preserve"> FPS</t>
  </si>
  <si>
    <t>times averaging</t>
  </si>
  <si>
    <t xml:space="preserve">  lap averaging</t>
  </si>
  <si>
    <t>total averaging</t>
  </si>
  <si>
    <t xml:space="preserve">                  Total</t>
  </si>
  <si>
    <t>_x001B_[32mAll done!  Summary of all runs:</t>
  </si>
  <si>
    <t>_x001B_[0mV1 Equi2Rect reprojection.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</si>
  <si>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--img0=images\IMG_20230629_082736_00_095.jpg --img1=images\ImageAndOverlay-equirectangular.jpg	 </t>
  </si>
  <si>
    <t>Algorithm description: V1a Multiple loop serial point by point conversion from equirectangular to flat.  Memory array of structure row/column layout.</t>
  </si>
  <si>
    <t xml:space="preserve">      Create XYZ Coords</t>
  </si>
  <si>
    <t xml:space="preserve">  Create Lon Lat Coords</t>
  </si>
  <si>
    <t xml:space="preserve">       Create XY Coords</t>
  </si>
  <si>
    <t xml:space="preserve">                  Remap</t>
  </si>
  <si>
    <t>Algorithm description: V1a Multiple loop serial point by point conversion from equirectangular to flat.  Memory array of structure column/row layout.</t>
  </si>
  <si>
    <t xml:space="preserve">             Create Map</t>
  </si>
  <si>
    <t>_x001B_[0mV1a Multiple loop serial point by point conversion from equirectangular to flat.  Memory array of structure row/column layout.</t>
  </si>
  <si>
    <t>V1a Multiple loop serial point by point conversion from equirectangular to flat.  Memory array of structure column/row layout.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</si>
  <si>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--img0=images\IMG_20230629_082736_00_095.jpg --img1=images\ImageAndOverlay-equirectangular.jpg	 </t>
  </si>
  <si>
    <t>Algorithm description: V1b = Changed V1a to access m_pXYZPoints by moving a pointer instead of array indexing each time.  Memory array of structure row/column layout.</t>
  </si>
  <si>
    <t>Algorithm description: V1b = Changed V1a to access m_pXYZPoints by moving a pointer instead of array indexing each time.  Memory array of structure column/row layout.</t>
  </si>
  <si>
    <t>_x001B_[0mV1b = Changed V1a to access m_pXYZPoints by moving a pointer instead of array indexing each time.  Memory array of structure row/column layout.</t>
  </si>
  <si>
    <t>V1b = Changed V1a to access m_pXYZPoints by moving a pointer instead of array indexing each time.  Memory array of structure column/row layout.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</si>
  <si>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--img0=images\IMG_20230629_082736_00_095.jpg --img1=images\ImageAndOverlay-equirectangular.jpg	 </t>
  </si>
  <si>
    <t>Algorithm description: V1c = Changed V1b to cache m_rotationMatrix instead of array indexing each time.  Memory array of structure row/column layout.</t>
  </si>
  <si>
    <t>Algorithm description: V1c = Changed V1b to cache m_rotationMatrix instead of array indexing each time.  Memory array of structure column/row layout.</t>
  </si>
  <si>
    <t>_x001B_[0mV1c = Changed V1b to cache m_rotationMatrix instead of array indexing each time.  Memory array of structure row/column layout.</t>
  </si>
  <si>
    <t>V1c = Changed V1b to cache m_rotationMatrix instead of array indexing each time.  Memory array of structure column/row layout.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</si>
  <si>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--img0=images\IMG_20230629_082736_00_095.jpg --img1=images\ImageAndOverlay-equirectangular.jpg	 </t>
  </si>
  <si>
    <t>Algorithm description: V2 Single loop point by point conversion from equirectangular to flat.  Array of structure row/column layout.</t>
  </si>
  <si>
    <t>Algorithm description: V2 Single loop point by point conversion from equirectangular to flat.  Two arrays for X and Y points.</t>
  </si>
  <si>
    <t>_x001B_[0mV2 Single loop point by point conversion from equirectangular to flat.  Array of structure row/column layout.</t>
  </si>
  <si>
    <t>V2 Single loop point by point conversion from equirectangular to flat.  Two arrays for X and Y points.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</si>
  <si>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--img0=images\IMG_20230629_082736_00_095.jpg --img1=images\ImageAndOverlay-equirectangular.jpg	 </t>
  </si>
  <si>
    <t>DpcppBaseAlgorithm::StartVariant start</t>
  </si>
  <si>
    <t xml:space="preserve">Device search set to type = CPU platform =  device name =  driver_version = </t>
  </si>
  <si>
    <t>Platform:                     Intel(R) OpenCL</t>
  </si>
  <si>
    <t xml:space="preserve">  Device information: </t>
  </si>
  <si>
    <t xml:space="preserve">    vendor:                   Intel(R) Corporation</t>
  </si>
  <si>
    <t xml:space="preserve">    name:                     Intel(R) Core(TM) i9-9900K CPU @ 3.60GHz</t>
  </si>
  <si>
    <t xml:space="preserve">    type:                     CPU</t>
  </si>
  <si>
    <t xml:space="preserve">    version:                  3.0</t>
  </si>
  <si>
    <t xml:space="preserve">    driver_version:           2023.16.6.0.28_042959</t>
  </si>
  <si>
    <t xml:space="preserve">    max_compute_units:        16</t>
  </si>
  <si>
    <t xml:space="preserve">    address_bits:             64</t>
  </si>
  <si>
    <t xml:space="preserve">    error_correction_support: 0</t>
  </si>
  <si>
    <t>DpcppBaseAlgorithm::StartVariant end</t>
  </si>
  <si>
    <t>DpcppRemapping::StartVariant STORAGE_TYPE_USM</t>
  </si>
  <si>
    <t>Algorithm description: DpcppRemapping: Computes a Remapping algorithm using oneAPI's DPC++ Universal Shared Memory on Intel(R) OpenCL Intel(R) Core(TM) i9-9900K CPU @ 3.60GHz 2023.16.6.0.28_042959</t>
  </si>
  <si>
    <t>_x001B_[0mDpcppRemapping: Computes a Remapping algorithm using oneAPI's DPC++ Universal Shared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</si>
  <si>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--img0=images\IMG_20230629_082736_00_095.jpg --img1=images\ImageAndOverlay-equirectangular.jpg	 </t>
  </si>
  <si>
    <t>DpcppRemappingV2::StartVariant STORAGE_TYPE_USM</t>
  </si>
  <si>
    <t>Algorithm description: DpcppRemappingV2: Single kernel vs 3 kernels using oneAPI's DPC++ Universal Shared Memory on Intel(R) OpenCL Intel(R) Core(TM) i9-9900K CPU @ 3.60GHz 2023.16.6.0.28_042959</t>
  </si>
  <si>
    <t>DpcppRemappingV2::StartVariant STORAGE_TYPE_DEVICE</t>
  </si>
  <si>
    <t>Algorithm description: DpcppRemappingV2: Single kernel vs 3 kernels using oneAPI's DPC++ Device Memory on Intel(R) OpenCL Intel(R) Core(TM) i9-9900K CPU @ 3.60GHz 2023.16.6.0.28_042959</t>
  </si>
  <si>
    <t>_x001B_[0mDpcppRemappingV2: Single kernel vs 3 kernels using oneAPI's DPC++ Universal Shared Memory on Intel(R) OpenCL Intel(R) Core(TM) i9-9900K CPU @ 3.60GHz 2023.16.6.0.28_042959</t>
  </si>
  <si>
    <t>DpcppRemappingV2: Single kernel vs 3 kernels using oneAPI's DPC++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</si>
  <si>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--img0=images\IMG_20230629_082736_00_095.jpg --img1=images\ImageAndOverlay-equirectangular.jpg	 </t>
  </si>
  <si>
    <t>DpcppRemappingV3::StartVariant STORAGE_TYPE_USM</t>
  </si>
  <si>
    <t>Algorithm description: DpcppRemappingV3: Computes a Remapping algorithm using oneAPI's DPC++ parallel_for_work_group &amp; Universal Shared Memory on Intel(R) OpenCL Intel(R) Core(TM) i9-9900K CPU @ 3.60GHz 2023.16.6.0.28_042959</t>
  </si>
  <si>
    <t>DpcppRemappingV3::StartVariant STORAGE_TYPE_DEVICE</t>
  </si>
  <si>
    <t>Algorithm description: DpcppRemappingV3: Computes a Remapping algorithm using oneAPI's DPC++ parallel_for_work_group &amp; Device Memory on Intel(R) OpenCL Intel(R) Core(TM) i9-9900K CPU @ 3.60GHz 2023.16.6.0.28_042959</t>
  </si>
  <si>
    <t>_x001B_[0mDpcppRemappingV3: Computes a Remapping algorithm using oneAPI's DPC++ parallel_for_work_group &amp; Universal Shared Memory on Intel(R) OpenCL Intel(R) Core(TM) i9-9900K CPU @ 3.60GHz 2023.16.6.0.28_042959</t>
  </si>
  <si>
    <t>DpcppRemappingV3: Computes a Remapping algorithm using oneAPI's DPC++ parallel_for_work_group &amp;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</si>
  <si>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--img0=images\IMG_20230629_082736_00_095.jpg --img1=images\ImageAndOverlay-equirectangular.jpg	 </t>
  </si>
  <si>
    <t>DpcppRemappingV4::StartVariant STORAGE_TYPE_USM</t>
  </si>
  <si>
    <t>Algorithm description: DpcppRemappingV4: Computes a Remapping algorithm using oneAPI's DPC++ sub-groups to reduce scatter with Universal Shared Memory on Intel(R) OpenCL Intel(R) Core(TM) i9-9900K CPU @ 3.60GHz 2023.16.6.0.28_042959</t>
  </si>
  <si>
    <t>DpcppRemappingV4::StartVariant STORAGE_TYPE_DEVICE</t>
  </si>
  <si>
    <t>Algorithm description: DpcppRemappingV4: Computes a Remapping algorithm using oneAPI's DPC++ sub-groups to reduce scatter with  Device Memory on Intel(R) OpenCL Intel(R) Core(TM) i9-9900K CPU @ 3.60GHz 2023.16.6.0.28_042959</t>
  </si>
  <si>
    <t>_x001B_[0mDpcppRemappingV4: Computes a Remapping algorithm using oneAPI's DPC++ sub-groups to reduce scatter with Universal Shared Memory on Intel(R) OpenCL Intel(R) Core(TM) i9-9900K CPU @ 3.60GHz 2023.16.6.0.28_042959</t>
  </si>
  <si>
    <t>DpcppRemappingV4: Computes a Remapping algorithm using oneAPI's DPC++ sub-groups to reduce scatter with 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</si>
  <si>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--img0=images\IMG_20230629_082736_00_095.jpg --img1=images\ImageAndOverlay-equirectangular.jpg	 </t>
  </si>
  <si>
    <t>DpcppRemappingV5::StartVariant STORAGE_TYPE_USM</t>
  </si>
  <si>
    <t>Algorithm description: DpcppRemappingV5: DpcppRemappingV2 and optimized ExtractFrame using DPC++ and USM Intel(R) OpenCL Intel(R) Core(TM) i9-9900K CPU @ 3.60GHz 2023.16.6.0.28_042959</t>
  </si>
  <si>
    <t>DpcppRemappingV5::StartVariant STORAGE_TYPE_DEVICE</t>
  </si>
  <si>
    <t>Algorithm description: DpcppRemappingV5: DpcppRemappingV2 and optimized ExtractFrame using DPC++ and Device Memory on Intel(R) OpenCL Intel(R) Core(TM) i9-9900K CPU @ 3.60GHz 2023.16.6.0.28_042959</t>
  </si>
  <si>
    <t>_x001B_[0mDpcppRemappingV5: DpcppRemappingV2 and optimized ExtractFrame using DPC++ and USM Intel(R) OpenCL Intel(R) Core(TM) i9-9900K CPU @ 3.60GHz 2023.16.6.0.28_042959</t>
  </si>
  <si>
    <t>DpcppRemappingV5: DpcppRemappingV2 and optimized ExtractFrame using DPC++ and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</si>
  <si>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--img0=images\IMG_20230629_082736_00_095.jpg --img1=images\ImageAndOverlay-equirectangular.jpg	 </t>
  </si>
  <si>
    <t>DpcppRemappingV6::StartVariant STORAGE_TYPE_USM</t>
  </si>
  <si>
    <t>Algorithm description: DpcppRemappingV6: DpcppRemappingV5 USM but just taking the truncated pixel point Intel(R) OpenCL Intel(R) Core(TM) i9-9900K CPU @ 3.60GHz 2023.16.6.0.28_042959</t>
  </si>
  <si>
    <t>DpcppRemappingV6::StartVariant STORAGE_TYPE_DEVICE</t>
  </si>
  <si>
    <t>Algorithm description: DpcppRemappingV6: DpcppRemappingV5 Device Memory but just taking the truncated pixel point Intel(R) OpenCL Intel(R) Core(TM) i9-9900K CPU @ 3.60GHz 2023.16.6.0.28_042959</t>
  </si>
  <si>
    <t>_x001B_[0mDpcppRemappingV6: DpcppRemappingV5 USM but just taking the truncated pixel point Intel(R) OpenCL Intel(R) Core(TM) i9-9900K CPU @ 3.60GHz 2023.16.6.0.28_042959</t>
  </si>
  <si>
    <t>DpcppRemappingV6: DpcppRemappingV5 Device Memory but just taking the truncated pixel point Intel(R) OpenCL Intel(R) Core(TM) i9-9900K CPU @ 3.60GHz 2023.16.6.0.28_042959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</si>
  <si>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--img0=images\IMG_20230629_082736_00_095.jpg --img1=images\ImageAndOverlay-equirectangular.jpg	 </t>
  </si>
  <si>
    <t>DpcppRemappingV7::StartVariant STORAGE_TYPE_USM</t>
  </si>
  <si>
    <t>Algorithm description: DpcppRemappingV7: DpcppRemappingV6 USM but on CPU don't copy memory Intel(R) OpenCL Intel(R) Core(TM) i9-9900K CPU @ 3.60GHz 2023.16.6.0.28_042959</t>
  </si>
  <si>
    <t>DpcppRemappingV7::StartVariant STORAGE_TYPE_DEVICE</t>
  </si>
  <si>
    <t>Algorithm description: DpcppRemappingV7: DpcppRemappingV6 Device Memory but on CPU don't copy memory Intel(R) OpenCL Intel(R) Core(TM) i9-9900K CPU @ 3.60GHz 2023.16.6.0.28_042959</t>
  </si>
  <si>
    <t>_x001B_[0mDpcppRemappingV7: DpcppRemappingV6 USM but on CPU don't copy memory Intel(R) OpenCL Intel(R) Core(TM) i9-9900K CPU @ 3.60GHz 2023.16.6.0.28_042959</t>
  </si>
  <si>
    <t>DpcppRemappingV7: DpcppRemappingV6 Device Memory but on CPU don't copy memory Intel(R) OpenCL Intel(R) Core(TM) i9-9900K CPU @ 3.60GHz 2023.16.6.0.28_042959</t>
  </si>
  <si>
    <t xml:space="preserve">C:\Users\dpbogia\source\repos\optimizing-equirectangular-conversion\EquiRectangular&gt;src\DPC++-OneDevice\x64\Release\OneDevice.exe --algorithm=12 --iterations=1001 --yaw=10 --pitch=20 --roll=30 --deltaYaw=10 --typePreference=CPU --img0=images\IMG_20230629_082736_00_095.jpg --img1=images\ImageAndOverlay-equirectangular.jpg	 </t>
  </si>
  <si>
    <t>DpcppRemappingV8::StartVariant STORAGE_TYPE_USM</t>
  </si>
  <si>
    <t>Algorithm description: DpcppRemappingV8: V1 except uses fp32 instead of fp64 on Intel(R) OpenCL Intel(R) Core(TM) i9-9900K CPU @ 3.60GHz 2023.16.6.0.28_042959</t>
  </si>
  <si>
    <t>_x001B_[0mDpcppRemappingV8: V1 except uses fp32 instead of fp64 on Intel(R) OpenCL Intel(R) Core(TM) i9-9900K CPU @ 3.60GHz 2023.16.6.0.28_042959</t>
  </si>
  <si>
    <t xml:space="preserve">C:\Users\dpbogia\source\repos\optimizing-equirectangular-conversion\EquiRectangular&gt;src\DPC++-OneDevice\x64\Release\OneDevice.exe --algorithm=13 --iterations=1001 --yaw=10 --pitch=20 --roll=30 --deltaYaw=10 --typePreference=CPU --img0=images\IMG_20230629_082736_00_095.jpg --img1=images\ImageAndOverlay-equirectangular.jpg	 </t>
  </si>
  <si>
    <t>DpcppRemappingV9::StartVariant STORAGE_TYPE_USM</t>
  </si>
  <si>
    <t>Algorithm description: DpcppRemappingV9: V2 except uses fp32 instead of fp64 with Universal Shared Memory on Intel(R) OpenCL Intel(R) Core(TM) i9-9900K CPU @ 3.60GHz 2023.16.6.0.28_042959</t>
  </si>
  <si>
    <t>DpcppRemappingV9::StartVariant STORAGE_TYPE_DEVICE</t>
  </si>
  <si>
    <t>Algorithm description: DpcppRemappingV9: V2 except uses fp32 instead of fp64 with oneAPI's DPC++ Device Memory on Intel(R) OpenCL Intel(R) Core(TM) i9-9900K CPU @ 3.60GHz 2023.16.6.0.28_042959</t>
  </si>
  <si>
    <t>_x001B_[0mDpcppRemappingV9: V2 except uses fp32 instead of fp64 with Universal Shared Memory on Intel(R) OpenCL Intel(R) Core(TM) i9-9900K CPU @ 3.60GHz 2023.16.6.0.28_042959</t>
  </si>
  <si>
    <t>DpcppRemappingV9: V2 except uses fp32 instead of fp64 with oneAPI's DPC++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</si>
  <si>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--algorithm=14 --iterations=1001 --yaw=10 --pitch=20 --roll=30 --deltaYaw=10 --typePreference=CPU --img0=images\IMG_20230629_082736_00_095.jpg --img1=images\ImageAndOverlay-equirectangular.jpg	 </t>
  </si>
  <si>
    <t>DpcppRemappingV10::StartVariant STORAGE_TYPE_USM</t>
  </si>
  <si>
    <t>Algorithm description: DpcppRemappingV10: V3 except uses fp32 instead of fp64 using oneAPI's DPC++ parallel_for_work_group &amp; Universal Shared Memory on Intel(R) OpenCL Intel(R) Core(TM) i9-9900K CPU @ 3.60GHz 2023.16.6.0.28_042959</t>
  </si>
  <si>
    <t>DpcppRemappingV10::StartVariant STORAGE_TYPE_DEVICE</t>
  </si>
  <si>
    <t>Algorithm description: DpcppRemappingV10: V3 except uses fp32 instead of fp64 using oneAPI's DPC++ parallel_for_work_group &amp; Device Memory on Intel(R) OpenCL Intel(R) Core(TM) i9-9900K CPU @ 3.60GHz 2023.16.6.0.28_042959</t>
  </si>
  <si>
    <t>_x001B_[0mDpcppRemappingV10: V3 except uses fp32 instead of fp64 using oneAPI's DPC++ parallel_for_work_group &amp; Universal Shared Memory on Intel(R) OpenCL Intel(R) Core(TM) i9-9900K CPU @ 3.60GHz 2023.16.6.0.28_042959</t>
  </si>
  <si>
    <t>DpcppRemappingV10: V3 except uses fp32 instead of fp64 using oneAPI's DPC++ parallel_for_work_group &amp;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</si>
  <si>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--algorithm=15 --iterations=1001 --yaw=10 --pitch=20 --roll=30 --deltaYaw=10 --typePreference=CPU --img0=images\IMG_20230629_082736_00_095.jpg --img1=images\ImageAndOverlay-equirectangular.jpg	 </t>
  </si>
  <si>
    <t>DpcppRemappingV11::StartVariant STORAGE_TYPE_USM</t>
  </si>
  <si>
    <t>Algorithm description: DpcppRemappingV11: V4 except uses fp32 instead of fp64 using oneAPI's DPC++ sub-groups to reduce scatter with Universal Shared Memory on Intel(R) OpenCL Intel(R) Core(TM) i9-9900K CPU @ 3.60GHz 2023.16.6.0.28_042959</t>
  </si>
  <si>
    <t>DpcppRemappingV11::StartVariant STORAGE_TYPE_DEVICE</t>
  </si>
  <si>
    <t>Algorithm description: DpcppRemappingV11: V4 except uses fp32 instead of fp64 using oneAPI's DPC++ sub-groups to reduce scatter with  Device Memory on Intel(R) OpenCL Intel(R) Core(TM) i9-9900K CPU @ 3.60GHz 2023.16.6.0.28_042959</t>
  </si>
  <si>
    <t>_x001B_[0mDpcppRemappingV11: V4 except uses fp32 instead of fp64 using oneAPI's DPC++ sub-groups to reduce scatter with Universal Shared Memory on Intel(R) OpenCL Intel(R) Core(TM) i9-9900K CPU @ 3.60GHz 2023.16.6.0.28_042959</t>
  </si>
  <si>
    <t>DpcppRemappingV11: V4 except uses fp32 instead of fp64 using oneAPI's DPC++ sub-groups to reduce scatter with 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</si>
  <si>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--algorithm=16 --iterations=1001 --yaw=10 --pitch=20 --roll=30 --deltaYaw=10 --typePreference=CPU --img0=images\IMG_20230629_082736_00_095.jpg --img1=images\ImageAndOverlay-equirectangular.jpg	 </t>
  </si>
  <si>
    <t>DpcppRemappingV12::StartVariant STORAGE_TYPE_USM</t>
  </si>
  <si>
    <t>Algorithm description: DpcppRemappingV12: V5 except uses fp32 instead of fp64 using DPC++ and USM Intel(R) OpenCL Intel(R) Core(TM) i9-9900K CPU @ 3.60GHz 2023.16.6.0.28_042959</t>
  </si>
  <si>
    <t>DpcppRemappingV12::StartVariant STORAGE_TYPE_DEVICE</t>
  </si>
  <si>
    <t>Algorithm description: DpcppRemappingV12: V5 except uses fp32 instead of fp64 using DPC++ and Device Memory on Intel(R) OpenCL Intel(R) Core(TM) i9-9900K CPU @ 3.60GHz 2023.16.6.0.28_042959</t>
  </si>
  <si>
    <t>_x001B_[0mDpcppRemappingV12: V5 except uses fp32 instead of fp64 using DPC++ and USM Intel(R) OpenCL Intel(R) Core(TM) i9-9900K CPU @ 3.60GHz 2023.16.6.0.28_042959</t>
  </si>
  <si>
    <t>DpcppRemappingV12: V5 except uses fp32 instead of fp64 using DPC++ and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</si>
  <si>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--algorithm=17 --iterations=1001 --yaw=10 --pitch=20 --roll=30 --deltaYaw=10 --typePreference=CPU --img0=images\IMG_20230629_082736_00_095.jpg --img1=images\ImageAndOverlay-equirectangular.jpg	 </t>
  </si>
  <si>
    <t>DpcppRemappingV13::StartVariant STORAGE_TYPE_USM</t>
  </si>
  <si>
    <t>Algorithm description: DpcppRemappingV13: V6 except uses fp32 instead of fp64 on USM Intel(R) OpenCL Intel(R) Core(TM) i9-9900K CPU @ 3.60GHz 2023.16.6.0.28_042959</t>
  </si>
  <si>
    <t>DpcppRemappingV13::StartVariant STORAGE_TYPE_DEVICE</t>
  </si>
  <si>
    <t>Algorithm description: DpcppRemappingV13: V6 except uses fp32 instead of fp64 on device memory Intel(R) OpenCL Intel(R) Core(TM) i9-9900K CPU @ 3.60GHz 2023.16.6.0.28_042959</t>
  </si>
  <si>
    <t>_x001B_[0mDpcppRemappingV13: V6 except uses fp32 instead of fp64 on USM Intel(R) OpenCL Intel(R) Core(TM) i9-9900K CPU @ 3.60GHz 2023.16.6.0.28_042959</t>
  </si>
  <si>
    <t>DpcppRemappingV13: V6 except uses fp32 instead of fp64 on device memory Intel(R) OpenCL Intel(R) Core(TM) i9-9900K CPU @ 3.60GHz 2023.16.6.0.28_042959</t>
  </si>
  <si>
    <t xml:space="preserve">C:\Users\dpbogia\source\repos\optimizing-equirectangular-conversion\EquiRectangular&gt;src\DPC++-OneDevice\x64\Release\OneDevice.exe --algorithm=18 --iterations=1001 --yaw=10 --pitch=20 --roll=30 --deltaYaw=10 --typePreference=CPU --img0=images\IMG_20230629_082736_00_095.jpg --img1=images\ImageAndOverlay-equirectangular.jpg	 </t>
  </si>
  <si>
    <t>DpcppRemappingV14::StartVariant STORAGE_TYPE_USM</t>
  </si>
  <si>
    <t>Algorithm description: DpcppRemappingV14: V7 except uses fp32 instead of fp64 using USM on Intel(R) OpenCL Intel(R) Core(TM) i9-9900K CPU @ 3.60GHz 2023.16.6.0.28_042959</t>
  </si>
  <si>
    <t>DpcppRemappingV14::StartVariant STORAGE_TYPE_DEVICE</t>
  </si>
  <si>
    <t>Algorithm description: DpcppRemappingV14: V6 except uses fp32 instead of fp64 using device memory on Intel(R) OpenCL Intel(R) Core(TM) i9-9900K CPU @ 3.60GHz 2023.16.6.0.28_042959</t>
  </si>
  <si>
    <t>_x001B_[0mDpcppRemappingV14: V7 except uses fp32 instead of fp64 using USM on Intel(R) OpenCL Intel(R) Core(TM) i9-9900K CPU @ 3.60GHz 2023.16.6.0.28_042959</t>
  </si>
  <si>
    <t>DpcppRemappingV14: V6 except uses fp32 instead of fp64 using device memory on Intel(R) OpenCL Intel(R) Core(TM) i9-9900K CPU @ 3.60GHz 2023.16.6.0.28_042959</t>
  </si>
  <si>
    <t>Runs of OneDevice on CPU changing the Image</t>
  </si>
  <si>
    <t xml:space="preserve">C:\Users\dpbogia\source\repos\optimizing-equirectangular-conversion\EquiRectangular&gt;src\DPC++-OneDevice\x64\Release\OneDevice.exe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</si>
  <si>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</si>
  <si>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</si>
  <si>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</si>
  <si>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</si>
  <si>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</si>
  <si>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</si>
  <si>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</si>
  <si>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</si>
  <si>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</si>
  <si>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</si>
  <si>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</si>
  <si>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</si>
  <si>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</si>
  <si>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</si>
  <si>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</si>
  <si>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</si>
  <si>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</si>
  <si>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--algorithm=18 --iterations=1001 --yaw=10 --pitch=20 --roll=30 --deltaImage --typePreference=CPU --img0=images\IMG_20230629_082736_00_095.jpg --img1=images\ImageAndOverlay-equirectangular.jpg	 </t>
  </si>
  <si>
    <t>Runs of OneDevice on CPU changing the Yaw and Image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</si>
  <si>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</si>
  <si>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</si>
  <si>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</si>
  <si>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</si>
  <si>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</si>
  <si>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</si>
  <si>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</si>
  <si>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</si>
  <si>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</si>
  <si>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</si>
  <si>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</si>
  <si>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</si>
  <si>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</si>
  <si>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</si>
  <si>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</si>
  <si>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</si>
  <si>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</si>
  <si>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</si>
  <si>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--algorithm=18 --iterations=1001 --yaw=10 --pitch=20 --roll=30 --deltaYaw=10 --typePreference=CPU --deltaImage --img0=images\IMG_20230629_082736_00_095.jpg --img1=images\ImageAndOverlay-equirectangular.jpg	 </t>
  </si>
  <si>
    <t>Runs of OneDevice on OpenCL GPU changing the Yaw by 10 degrees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</si>
  <si>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</si>
  <si>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</si>
  <si>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</si>
  <si>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</si>
  <si>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</si>
  <si>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--img0=images\IMG_20230629_082736_00_095.jpg --img1=images\ImageAndOverlay-equirectangular.jpg	 </t>
  </si>
  <si>
    <t xml:space="preserve">Device search set to type = GPU platform = OpenCL device name =  driver_version = </t>
  </si>
  <si>
    <t>Platform:                     Intel(R) OpenCL HD Graphics</t>
  </si>
  <si>
    <t xml:space="preserve">    name:                     Intel(R) UHD Graphics 630</t>
  </si>
  <si>
    <t xml:space="preserve">    type:                     GPU</t>
  </si>
  <si>
    <t xml:space="preserve">    driver_version:           31.0.101.2125</t>
  </si>
  <si>
    <t xml:space="preserve">    max_compute_units:        24</t>
  </si>
  <si>
    <t>Algorithm description: DpcppRemapping: Computes a Remapping algorithm using oneAPI's DPC++ Universal Shared Memory on Intel(R) OpenCL HD Graphics Intel(R) UHD Graphics 630 31.0.101.2125</t>
  </si>
  <si>
    <t>_x001B_[0mDpcppRemapping: Computes a Remapping algorithm using oneAPI's DPC++ Universal Shared Memory on Intel(R) OpenCL HD Graphics Intel(R) UHD Graphics 630 31.0.101.2125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</si>
  <si>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--img0=images\IMG_20230629_082736_00_095.jpg --img1=images\ImageAndOverlay-equirectangular.jpg	 </t>
  </si>
  <si>
    <t>Algorithm description: DpcppRemappingV2: Single kernel vs 3 kernels using oneAPI's DPC++ Universal Shared Memory on Intel(R) OpenCL HD Graphics Intel(R) UHD Graphics 630 31.0.101.2125</t>
  </si>
  <si>
    <t>Algorithm description: DpcppRemappingV2: Single kernel vs 3 kernels using oneAPI's DPC++ Device Memory on Intel(R) OpenCL HD Graphics Intel(R) UHD Graphics 630 31.0.101.2125</t>
  </si>
  <si>
    <t>_x001B_[0mDpcppRemappingV2: Single kernel vs 3 kernels using oneAPI's DPC++ Universal Shared Memory on Intel(R) OpenCL HD Graphics Intel(R) UHD Graphics 630 31.0.101.2125</t>
  </si>
  <si>
    <t>DpcppRemappingV2: Single kernel vs 3 kernels using oneAPI's DPC++ Device Memory on Intel(R) OpenCL HD Graphics Intel(R) UHD Graphics 630 31.0.101.2125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</si>
  <si>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</si>
  <si>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OpenCL HD Graphics Intel(R) UHD Graphics 630 31.0.101.2125</t>
  </si>
  <si>
    <t>Algorithm description: DpcppRemappingV3: Computes a Remapping algorithm using oneAPI's DPC++ parallel_for_work_group &amp; Device Memory on Intel(R) OpenCL HD Graphics Intel(R) UHD Graphics 630 31.0.101.2125</t>
  </si>
  <si>
    <t>_x001B_[0mDpcppRemappingV3: Computes a Remapping algorithm using oneAPI's DPC++ parallel_for_work_group &amp; Universal Shared Memory on Intel(R) OpenCL HD Graphics Intel(R) UHD Graphics 630 31.0.101.2125</t>
  </si>
  <si>
    <t>DpcppRemappingV3: Computes a Remapping algorithm using oneAPI's DPC++ parallel_for_work_group &amp; Device Memory on Intel(R) OpenCL HD Graphics Intel(R) UHD Graphics 630 31.0.101.2125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</si>
  <si>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</si>
  <si>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OpenCL HD Graphics Intel(R) UHD Graphics 630 31.0.101.2125</t>
  </si>
  <si>
    <t>Algorithm description: DpcppRemappingV4: Computes a Remapping algorithm using oneAPI's DPC++ sub-groups to reduce scatter with  Device Memory on Intel(R) OpenCL HD Graphics Intel(R) UHD Graphics 630 31.0.101.2125</t>
  </si>
  <si>
    <t>_x001B_[0mDpcppRemappingV4: Computes a Remapping algorithm using oneAPI's DPC++ sub-groups to reduce scatter with Universal Shared Memory on Intel(R) OpenCL HD Graphics Intel(R) UHD Graphics 630 31.0.101.2125</t>
  </si>
  <si>
    <t>DpcppRemappingV4: Computes a Remapping algorithm using oneAPI's DPC++ sub-groups to reduce scatter with  Device Memory on Intel(R) OpenCL HD Graphics Intel(R) UHD Graphics 630 31.0.101.2125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</si>
  <si>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--img0=images\IMG_20230629_082736_00_095.jpg --img1=images\ImageAndOverlay-equirectangular.jpg	 </t>
  </si>
  <si>
    <t>Algorithm description: DpcppRemappingV5: DpcppRemappingV2 and optimized ExtractFrame using DPC++ and USM Intel(R) OpenCL HD Graphics Intel(R) UHD Graphics 630 31.0.101.2125</t>
  </si>
  <si>
    <t>Algorithm description: DpcppRemappingV5: DpcppRemappingV2 and optimized ExtractFrame using DPC++ and Device Memory on Intel(R) OpenCL HD Graphics Intel(R) UHD Graphics 630 31.0.101.2125</t>
  </si>
  <si>
    <t>_x001B_[0mDpcppRemappingV5: DpcppRemappingV2 and optimized ExtractFrame using DPC++ and USM Intel(R) OpenCL HD Graphics Intel(R) UHD Graphics 630 31.0.101.2125</t>
  </si>
  <si>
    <t>DpcppRemappingV5: DpcppRemappingV2 and optimized ExtractFrame using DPC++ and Device Memory on Intel(R) OpenCL HD Graphics Intel(R) UHD Graphics 630 31.0.101.2125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</si>
  <si>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--img0=images\IMG_20230629_082736_00_095.jpg --img1=images\ImageAndOverlay-equirectangular.jpg	 </t>
  </si>
  <si>
    <t>Algorithm description: DpcppRemappingV6: DpcppRemappingV5 USM but just taking the truncated pixel point Intel(R) OpenCL HD Graphics Intel(R) UHD Graphics 630 31.0.101.2125</t>
  </si>
  <si>
    <t>Algorithm description: DpcppRemappingV6: DpcppRemappingV5 Device Memory but just taking the truncated pixel point Intel(R) OpenCL HD Graphics Intel(R) UHD Graphics 630 31.0.101.2125</t>
  </si>
  <si>
    <t>_x001B_[0mDpcppRemappingV6: DpcppRemappingV5 USM but just taking the truncated pixel point Intel(R) OpenCL HD Graphics Intel(R) UHD Graphics 630 31.0.101.2125</t>
  </si>
  <si>
    <t>DpcppRemappingV6: DpcppRemappingV5 Device Memory but just taking the truncated pixel point Intel(R) OpenCL HD Graphics Intel(R) UHD Graphics 630 31.0.101.2125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</si>
  <si>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--img0=images\IMG_20230629_082736_00_095.jpg --img1=images\ImageAndOverlay-equirectangular.jpg	 </t>
  </si>
  <si>
    <t>Algorithm description: DpcppRemappingV7: DpcppRemappingV6 USM but on CPU don't copy memory Intel(R) OpenCL HD Graphics Intel(R) UHD Graphics 630 31.0.101.2125</t>
  </si>
  <si>
    <t>Algorithm description: DpcppRemappingV7: DpcppRemappingV6 Device Memory but on CPU don't copy memory Intel(R) OpenCL HD Graphics Intel(R) UHD Graphics 630 31.0.101.2125</t>
  </si>
  <si>
    <t>_x001B_[0mDpcppRemappingV7: DpcppRemappingV6 USM but on CPU don't copy memory Intel(R) OpenCL HD Graphics Intel(R) UHD Graphics 630 31.0.101.2125</t>
  </si>
  <si>
    <t>DpcppRemappingV7: DpcppRemappingV6 Device Memory but on CPU don't copy memory Intel(R) OpenCL HD Graphics Intel(R) UHD Graphics 630 31.0.101.2125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</si>
  <si>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--platform=OpenCL --img0=images\IMG_20230629_082736_00_095.jpg --img1=images\ImageAndOverlay-equirectangular.jpg	 </t>
  </si>
  <si>
    <t>Algorithm description: DpcppRemappingV8: V1 except uses fp32 instead of fp64 on Intel(R) OpenCL HD Graphics Intel(R) UHD Graphics 630 31.0.101.2125</t>
  </si>
  <si>
    <t>_x001B_[0mDpcppRemappingV8: V1 except uses fp32 instead of fp64 on Intel(R) OpenCL HD Graphics Intel(R) UHD Graphics 630 31.0.101.2125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</si>
  <si>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--platform=OpenCL --img0=images\IMG_20230629_082736_00_095.jpg --img1=images\ImageAndOverlay-equirectangular.jpg	 </t>
  </si>
  <si>
    <t>Algorithm description: DpcppRemappingV9: V2 except uses fp32 instead of fp64 with Universal Shared Memory on Intel(R) OpenCL HD Graphics Intel(R) UHD Graphics 630 31.0.101.2125</t>
  </si>
  <si>
    <t>Algorithm description: DpcppRemappingV9: V2 except uses fp32 instead of fp64 with oneAPI's DPC++ Device Memory on Intel(R) OpenCL HD Graphics Intel(R) UHD Graphics 630 31.0.101.2125</t>
  </si>
  <si>
    <t>_x001B_[0mDpcppRemappingV9: V2 except uses fp32 instead of fp64 with Universal Shared Memory on Intel(R) OpenCL HD Graphics Intel(R) UHD Graphics 630 31.0.101.2125</t>
  </si>
  <si>
    <t>DpcppRemappingV9: V2 except uses fp32 instead of fp64 with oneAPI's DPC++ Device Memory on Intel(R) OpenCL HD Graphics Intel(R) UHD Graphics 630 31.0.101.2125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</si>
  <si>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--platform=OpenCL --img0=images\IMG_20230629_082736_00_095.jpg --img1=images\ImageAndOverlay-equirectangular.jpg	 </t>
  </si>
  <si>
    <t>Algorithm description: DpcppRemappingV10: V3 except uses fp32 instead of fp64 using oneAPI's DPC++ parallel_for_work_group &amp; Universal Shared Memory on Intel(R) OpenCL HD Graphics Intel(R) UHD Graphics 630 31.0.101.2125</t>
  </si>
  <si>
    <t>Algorithm description: DpcppRemappingV10: V3 except uses fp32 instead of fp64 using oneAPI's DPC++ parallel_for_work_group &amp; Device Memory on Intel(R) OpenCL HD Graphics Intel(R) UHD Graphics 630 31.0.101.2125</t>
  </si>
  <si>
    <t>_x001B_[0mDpcppRemappingV10: V3 except uses fp32 instead of fp64 using oneAPI's DPC++ parallel_for_work_group &amp; Universal Shared Memory on Intel(R) OpenCL HD Graphics Intel(R) UHD Graphics 630 31.0.101.2125</t>
  </si>
  <si>
    <t>DpcppRemappingV10: V3 except uses fp32 instead of fp64 using oneAPI's DPC++ parallel_for_work_group &amp; Device Memory on Intel(R) OpenCL HD Graphics Intel(R) UHD Graphics 630 31.0.101.2125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</si>
  <si>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--platform=OpenCL --img0=images\IMG_20230629_082736_00_095.jpg --img1=images\ImageAndOverlay-equirectangular.jpg	 </t>
  </si>
  <si>
    <t>Algorithm description: DpcppRemappingV11: V4 except uses fp32 instead of fp64 using oneAPI's DPC++ sub-groups to reduce scatter with Universal Shared Memory on Intel(R) OpenCL HD Graphics Intel(R) UHD Graphics 630 31.0.101.2125</t>
  </si>
  <si>
    <t>Algorithm description: DpcppRemappingV11: V4 except uses fp32 instead of fp64 using oneAPI's DPC++ sub-groups to reduce scatter with  Device Memory on Intel(R) OpenCL HD Graphics Intel(R) UHD Graphics 630 31.0.101.2125</t>
  </si>
  <si>
    <t>_x001B_[0mDpcppRemappingV11: V4 except uses fp32 instead of fp64 using oneAPI's DPC++ sub-groups to reduce scatter with Universal Shared Memory on Intel(R) OpenCL HD Graphics Intel(R) UHD Graphics 630 31.0.101.2125</t>
  </si>
  <si>
    <t>DpcppRemappingV11: V4 except uses fp32 instead of fp64 using oneAPI's DPC++ sub-groups to reduce scatter with  Device Memory on Intel(R) OpenCL HD Graphics Intel(R) UHD Graphics 630 31.0.101.2125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</si>
  <si>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--platform=OpenCL --img0=images\IMG_20230629_082736_00_095.jpg --img1=images\ImageAndOverlay-equirectangular.jpg	 </t>
  </si>
  <si>
    <t>Algorithm description: DpcppRemappingV12: V5 except uses fp32 instead of fp64 using DPC++ and USM Intel(R) OpenCL HD Graphics Intel(R) UHD Graphics 630 31.0.101.2125</t>
  </si>
  <si>
    <t>Algorithm description: DpcppRemappingV12: V5 except uses fp32 instead of fp64 using DPC++ and Device Memory on Intel(R) OpenCL HD Graphics Intel(R) UHD Graphics 630 31.0.101.2125</t>
  </si>
  <si>
    <t>_x001B_[0mDpcppRemappingV12: V5 except uses fp32 instead of fp64 using DPC++ and USM Intel(R) OpenCL HD Graphics Intel(R) UHD Graphics 630 31.0.101.2125</t>
  </si>
  <si>
    <t>DpcppRemappingV12: V5 except uses fp32 instead of fp64 using DPC++ and Device Memory on Intel(R) OpenCL HD Graphics Intel(R) UHD Graphics 630 31.0.101.2125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</si>
  <si>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--platform=OpenCL --img0=images\IMG_20230629_082736_00_095.jpg --img1=images\ImageAndOverlay-equirectangular.jpg	 </t>
  </si>
  <si>
    <t>Algorithm description: DpcppRemappingV13: V6 except uses fp32 instead of fp64 on USM Intel(R) OpenCL HD Graphics Intel(R) UHD Graphics 630 31.0.101.2125</t>
  </si>
  <si>
    <t>Algorithm description: DpcppRemappingV13: V6 except uses fp32 instead of fp64 on device memory Intel(R) OpenCL HD Graphics Intel(R) UHD Graphics 630 31.0.101.2125</t>
  </si>
  <si>
    <t>_x001B_[0mDpcppRemappingV13: V6 except uses fp32 instead of fp64 on USM Intel(R) OpenCL HD Graphics Intel(R) UHD Graphics 630 31.0.101.2125</t>
  </si>
  <si>
    <t>DpcppRemappingV13: V6 except uses fp32 instead of fp64 on device memory Intel(R) OpenCL HD Graphics Intel(R) UHD Graphics 630 31.0.101.2125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</si>
  <si>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--platform=OpenCL --img0=images\IMG_20230629_082736_00_095.jpg --img1=images\ImageAndOverlay-equirectangular.jpg	 </t>
  </si>
  <si>
    <t>Algorithm description: DpcppRemappingV14: V7 except uses fp32 instead of fp64 using USM on Intel(R) OpenCL HD Graphics Intel(R) UHD Graphics 630 31.0.101.2125</t>
  </si>
  <si>
    <t>Algorithm description: DpcppRemappingV14: V6 except uses fp32 instead of fp64 using device memory on Intel(R) OpenCL HD Graphics Intel(R) UHD Graphics 630 31.0.101.2125</t>
  </si>
  <si>
    <t>_x001B_[0mDpcppRemappingV14: V7 except uses fp32 instead of fp64 using USM on Intel(R) OpenCL HD Graphics Intel(R) UHD Graphics 630 31.0.101.2125</t>
  </si>
  <si>
    <t>DpcppRemappingV14: V6 except uses fp32 instead of fp64 using device memory on Intel(R) OpenCL HD Graphics Intel(R) UHD Graphics 630 31.0.101.2125</t>
  </si>
  <si>
    <t>Runs of OneDevice on OpenCL GPU changing the Image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</si>
  <si>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</si>
  <si>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</si>
  <si>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</si>
  <si>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</si>
  <si>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</si>
  <si>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</si>
  <si>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</si>
  <si>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</si>
  <si>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</si>
  <si>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</si>
  <si>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</si>
  <si>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</si>
  <si>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</si>
  <si>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</si>
  <si>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</si>
  <si>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</si>
  <si>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</si>
  <si>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</si>
  <si>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--algorithm=18 --iterations=1001 --yaw=10 --pitch=20 --roll=30 --deltaImage --typePreference=GPU --platform=OpenCL --img0=images\IMG_20230629_082736_00_095.jpg --img1=images\ImageAndOverlay-equirectangular.jpg	 </t>
  </si>
  <si>
    <t>Runs of OneDevice on OpenCL GPU changing the Yaw and Image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</si>
  <si>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</si>
  <si>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</si>
  <si>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</si>
  <si>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</si>
  <si>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</si>
  <si>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</si>
  <si>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</si>
  <si>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</si>
  <si>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</si>
  <si>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</si>
  <si>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</si>
  <si>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</si>
  <si>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</si>
  <si>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</si>
  <si>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</si>
  <si>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</si>
  <si>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</si>
  <si>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</si>
  <si>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--platform=OpenCL --deltaImage --img0=images\IMG_20230629_082736_00_095.jpg --img1=images\ImageAndOverlay-equirectangular.jpg	 </t>
  </si>
  <si>
    <t>Runs of OneDevice on Level-Zero GPU changing the Yaw by 10 degrees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</si>
  <si>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</si>
  <si>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</si>
  <si>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</si>
  <si>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</si>
  <si>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</si>
  <si>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--img0=images\IMG_20230629_082736_00_095.jpg --img1=images\ImageAndOverlay-equirectangular.jpg	 </t>
  </si>
  <si>
    <t xml:space="preserve">Device search set to type = GPU platform = Level-Zero device name =  driver_version = </t>
  </si>
  <si>
    <t>Platform:                     Intel(R) Level-Zero</t>
  </si>
  <si>
    <t xml:space="preserve">    version:                  1.3</t>
  </si>
  <si>
    <t xml:space="preserve">    driver_version:           1.3.0</t>
  </si>
  <si>
    <t>Algorithm description: DpcppRemapping: Computes a Remapping algorithm using oneAPI's DPC++ Universal Shared Memory on Intel(R) Level-Zero Intel(R) UHD Graphics 630 1.3.0</t>
  </si>
  <si>
    <t>_x001B_[0mDpcppRemapping: Computes a Remapping algorithm using oneAPI's DPC++ Universal Shared Memory on Intel(R) Level-Zero Intel(R) UHD Graphics 630 1.3.0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</si>
  <si>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--img0=images\IMG_20230629_082736_00_095.jpg --img1=images\ImageAndOverlay-equirectangular.jpg	 </t>
  </si>
  <si>
    <t>Algorithm description: DpcppRemappingV2: Single kernel vs 3 kernels using oneAPI's DPC++ Universal Shared Memory on Intel(R) Level-Zero Intel(R) UHD Graphics 630 1.3.0</t>
  </si>
  <si>
    <t>Algorithm description: DpcppRemappingV2: Single kernel vs 3 kernels using oneAPI's DPC++ Device Memory on Intel(R) Level-Zero Intel(R) UHD Graphics 630 1.3.0</t>
  </si>
  <si>
    <t>_x001B_[0mDpcppRemappingV2: Single kernel vs 3 kernels using oneAPI's DPC++ Universal Shared Memory on Intel(R) Level-Zero Intel(R) UHD Graphics 630 1.3.0</t>
  </si>
  <si>
    <t>DpcppRemappingV2: Single kernel vs 3 kernels using oneAPI's DPC++ Device Memory on Intel(R) Level-Zero Intel(R) UHD Graphics 630 1.3.0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</si>
  <si>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</si>
  <si>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Level-Zero Intel(R) UHD Graphics 630 1.3.0</t>
  </si>
  <si>
    <t>Algorithm description: DpcppRemappingV3: Computes a Remapping algorithm using oneAPI's DPC++ parallel_for_work_group &amp; Device Memory on Intel(R) Level-Zero Intel(R) UHD Graphics 630 1.3.0</t>
  </si>
  <si>
    <t>_x001B_[0mDpcppRemappingV3: Computes a Remapping algorithm using oneAPI's DPC++ parallel_for_work_group &amp; Universal Shared Memory on Intel(R) Level-Zero Intel(R) UHD Graphics 630 1.3.0</t>
  </si>
  <si>
    <t>DpcppRemappingV3: Computes a Remapping algorithm using oneAPI's DPC++ parallel_for_work_group &amp; Device Memory on Intel(R) Level-Zero Intel(R) UHD Graphics 630 1.3.0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</si>
  <si>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</si>
  <si>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Level-Zero Intel(R) UHD Graphics 630 1.3.0</t>
  </si>
  <si>
    <t>Algorithm description: DpcppRemappingV4: Computes a Remapping algorithm using oneAPI's DPC++ sub-groups to reduce scatter with  Device Memory on Intel(R) Level-Zero Intel(R) UHD Graphics 630 1.3.0</t>
  </si>
  <si>
    <t>_x001B_[0mDpcppRemappingV4: Computes a Remapping algorithm using oneAPI's DPC++ sub-groups to reduce scatter with Universal Shared Memory on Intel(R) Level-Zero Intel(R) UHD Graphics 630 1.3.0</t>
  </si>
  <si>
    <t>DpcppRemappingV4: Computes a Remapping algorithm using oneAPI's DPC++ sub-groups to reduce scatter with  Device Memory on Intel(R) Level-Zero Intel(R) UHD Graphics 630 1.3.0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</si>
  <si>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--img0=images\IMG_20230629_082736_00_095.jpg --img1=images\ImageAndOverlay-equirectangular.jpg	 </t>
  </si>
  <si>
    <t>Algorithm description: DpcppRemappingV5: DpcppRemappingV2 and optimized ExtractFrame using DPC++ and USM Intel(R) Level-Zero Intel(R) UHD Graphics 630 1.3.0</t>
  </si>
  <si>
    <t>Algorithm description: DpcppRemappingV5: DpcppRemappingV2 and optimized ExtractFrame using DPC++ and Device Memory on Intel(R) Level-Zero Intel(R) UHD Graphics 630 1.3.0</t>
  </si>
  <si>
    <t>_x001B_[0mDpcppRemappingV5: DpcppRemappingV2 and optimized ExtractFrame using DPC++ and USM Intel(R) Level-Zero Intel(R) UHD Graphics 630 1.3.0</t>
  </si>
  <si>
    <t>DpcppRemappingV5: DpcppRemappingV2 and optimized ExtractFrame using DPC++ and Device Memory on Intel(R) Level-Zero Intel(R) UHD Graphics 630 1.3.0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</si>
  <si>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--img0=images\IMG_20230629_082736_00_095.jpg --img1=images\ImageAndOverlay-equirectangular.jpg	 </t>
  </si>
  <si>
    <t>Algorithm description: DpcppRemappingV6: DpcppRemappingV5 USM but just taking the truncated pixel point Intel(R) Level-Zero Intel(R) UHD Graphics 630 1.3.0</t>
  </si>
  <si>
    <t>Algorithm description: DpcppRemappingV6: DpcppRemappingV5 Device Memory but just taking the truncated pixel point Intel(R) Level-Zero Intel(R) UHD Graphics 630 1.3.0</t>
  </si>
  <si>
    <t>_x001B_[0mDpcppRemappingV6: DpcppRemappingV5 USM but just taking the truncated pixel point Intel(R) Level-Zero Intel(R) UHD Graphics 630 1.3.0</t>
  </si>
  <si>
    <t>DpcppRemappingV6: DpcppRemappingV5 Device Memory but just taking the truncated pixel point Intel(R) Level-Zero Intel(R) UHD Graphics 630 1.3.0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</si>
  <si>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--img0=images\IMG_20230629_082736_00_095.jpg --img1=images\ImageAndOverlay-equirectangular.jpg	 </t>
  </si>
  <si>
    <t>Algorithm description: DpcppRemappingV7: DpcppRemappingV6 USM but on CPU don't copy memory Intel(R) Level-Zero Intel(R) UHD Graphics 630 1.3.0</t>
  </si>
  <si>
    <t>Algorithm description: DpcppRemappingV7: DpcppRemappingV6 Device Memory but on CPU don't copy memory Intel(R) Level-Zero Intel(R) UHD Graphics 630 1.3.0</t>
  </si>
  <si>
    <t>_x001B_[0mDpcppRemappingV7: DpcppRemappingV6 USM but on CPU don't copy memory Intel(R) Level-Zero Intel(R) UHD Graphics 630 1.3.0</t>
  </si>
  <si>
    <t>DpcppRemappingV7: DpcppRemappingV6 Device Memory but on CPU don't copy memory Intel(R) Level-Zero Intel(R) UHD Graphics 630 1.3.0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</si>
  <si>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--platform=Level-Zero --img0=images\IMG_20230629_082736_00_095.jpg --img1=images\ImageAndOverlay-equirectangular.jpg	 </t>
  </si>
  <si>
    <t>Algorithm description: DpcppRemappingV8: V1 except uses fp32 instead of fp64 on Intel(R) Level-Zero Intel(R) UHD Graphics 630 1.3.0</t>
  </si>
  <si>
    <t>_x001B_[0mDpcppRemappingV8: V1 except uses fp32 instead of fp64 on Intel(R) Level-Zero Intel(R) UHD Graphics 630 1.3.0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</si>
  <si>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--platform=Level-Zero --img0=images\IMG_20230629_082736_00_095.jpg --img1=images\ImageAndOverlay-equirectangular.jpg	 </t>
  </si>
  <si>
    <t>Algorithm description: DpcppRemappingV9: V2 except uses fp32 instead of fp64 with Universal Shared Memory on Intel(R) Level-Zero Intel(R) UHD Graphics 630 1.3.0</t>
  </si>
  <si>
    <t>Algorithm description: DpcppRemappingV9: V2 except uses fp32 instead of fp64 with oneAPI's DPC++ Device Memory on Intel(R) Level-Zero Intel(R) UHD Graphics 630 1.3.0</t>
  </si>
  <si>
    <t>_x001B_[0mDpcppRemappingV9: V2 except uses fp32 instead of fp64 with Universal Shared Memory on Intel(R) Level-Zero Intel(R) UHD Graphics 630 1.3.0</t>
  </si>
  <si>
    <t>DpcppRemappingV9: V2 except uses fp32 instead of fp64 with oneAPI's DPC++ Device Memory on Intel(R) Level-Zero Intel(R) UHD Graphics 630 1.3.0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</si>
  <si>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--platform=Level-Zero --img0=images\IMG_20230629_082736_00_095.jpg --img1=images\ImageAndOverlay-equirectangular.jpg	 </t>
  </si>
  <si>
    <t>Algorithm description: DpcppRemappingV10: V3 except uses fp32 instead of fp64 using oneAPI's DPC++ parallel_for_work_group &amp; Universal Shared Memory on Intel(R) Level-Zero Intel(R) UHD Graphics 630 1.3.0</t>
  </si>
  <si>
    <t>Algorithm description: DpcppRemappingV10: V3 except uses fp32 instead of fp64 using oneAPI's DPC++ parallel_for_work_group &amp; Device Memory on Intel(R) Level-Zero Intel(R) UHD Graphics 630 1.3.0</t>
  </si>
  <si>
    <t>_x001B_[0mDpcppRemappingV10: V3 except uses fp32 instead of fp64 using oneAPI's DPC++ parallel_for_work_group &amp; Universal Shared Memory on Intel(R) Level-Zero Intel(R) UHD Graphics 630 1.3.0</t>
  </si>
  <si>
    <t>DpcppRemappingV10: V3 except uses fp32 instead of fp64 using oneAPI's DPC++ parallel_for_work_group &amp; Device Memory on Intel(R) Level-Zero Intel(R) UHD Graphics 630 1.3.0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</si>
  <si>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--platform=Level-Zero --img0=images\IMG_20230629_082736_00_095.jpg --img1=images\ImageAndOverlay-equirectangular.jpg	 </t>
  </si>
  <si>
    <t>Algorithm description: DpcppRemappingV11: V4 except uses fp32 instead of fp64 using oneAPI's DPC++ sub-groups to reduce scatter with Universal Shared Memory on Intel(R) Level-Zero Intel(R) UHD Graphics 630 1.3.0</t>
  </si>
  <si>
    <t>Algorithm description: DpcppRemappingV11: V4 except uses fp32 instead of fp64 using oneAPI's DPC++ sub-groups to reduce scatter with  Device Memory on Intel(R) Level-Zero Intel(R) UHD Graphics 630 1.3.0</t>
  </si>
  <si>
    <t>_x001B_[0mDpcppRemappingV11: V4 except uses fp32 instead of fp64 using oneAPI's DPC++ sub-groups to reduce scatter with Universal Shared Memory on Intel(R) Level-Zero Intel(R) UHD Graphics 630 1.3.0</t>
  </si>
  <si>
    <t>DpcppRemappingV11: V4 except uses fp32 instead of fp64 using oneAPI's DPC++ sub-groups to reduce scatter with  Device Memory on Intel(R) Level-Zero Intel(R) UHD Graphics 630 1.3.0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</si>
  <si>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--platform=Level-Zero --img0=images\IMG_20230629_082736_00_095.jpg --img1=images\ImageAndOverlay-equirectangular.jpg	 </t>
  </si>
  <si>
    <t>Algorithm description: DpcppRemappingV12: V5 except uses fp32 instead of fp64 using DPC++ and USM Intel(R) Level-Zero Intel(R) UHD Graphics 630 1.3.0</t>
  </si>
  <si>
    <t>Algorithm description: DpcppRemappingV12: V5 except uses fp32 instead of fp64 using DPC++ and Device Memory on Intel(R) Level-Zero Intel(R) UHD Graphics 630 1.3.0</t>
  </si>
  <si>
    <t>_x001B_[0mDpcppRemappingV12: V5 except uses fp32 instead of fp64 using DPC++ and USM Intel(R) Level-Zero Intel(R) UHD Graphics 630 1.3.0</t>
  </si>
  <si>
    <t>DpcppRemappingV12: V5 except uses fp32 instead of fp64 using DPC++ and Device Memory on Intel(R) Level-Zero Intel(R) UHD Graphics 630 1.3.0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</si>
  <si>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--platform=Level-Zero --img0=images\IMG_20230629_082736_00_095.jpg --img1=images\ImageAndOverlay-equirectangular.jpg	 </t>
  </si>
  <si>
    <t>Algorithm description: DpcppRemappingV13: V6 except uses fp32 instead of fp64 on USM Intel(R) Level-Zero Intel(R) UHD Graphics 630 1.3.0</t>
  </si>
  <si>
    <t>Algorithm description: DpcppRemappingV13: V6 except uses fp32 instead of fp64 on device memory Intel(R) Level-Zero Intel(R) UHD Graphics 630 1.3.0</t>
  </si>
  <si>
    <t>_x001B_[0mDpcppRemappingV13: V6 except uses fp32 instead of fp64 on USM Intel(R) Level-Zero Intel(R) UHD Graphics 630 1.3.0</t>
  </si>
  <si>
    <t>DpcppRemappingV13: V6 except uses fp32 instead of fp64 on device memory Intel(R) Level-Zero Intel(R) UHD Graphics 630 1.3.0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</si>
  <si>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--platform=Level-Zero --img0=images\IMG_20230629_082736_00_095.jpg --img1=images\ImageAndOverlay-equirectangular.jpg	 </t>
  </si>
  <si>
    <t>Algorithm description: DpcppRemappingV14: V7 except uses fp32 instead of fp64 using USM on Intel(R) Level-Zero Intel(R) UHD Graphics 630 1.3.0</t>
  </si>
  <si>
    <t>Algorithm description: DpcppRemappingV14: V6 except uses fp32 instead of fp64 using device memory on Intel(R) Level-Zero Intel(R) UHD Graphics 630 1.3.0</t>
  </si>
  <si>
    <t>_x001B_[0mDpcppRemappingV14: V7 except uses fp32 instead of fp64 using USM on Intel(R) Level-Zero Intel(R) UHD Graphics 630 1.3.0</t>
  </si>
  <si>
    <t>DpcppRemappingV14: V6 except uses fp32 instead of fp64 using device memory on Intel(R) Level-Zero Intel(R) UHD Graphics 630 1.3.0</t>
  </si>
  <si>
    <t>Runs of OneDevice on Level-Zero GPU changing the Image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</si>
  <si>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</si>
  <si>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</si>
  <si>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</si>
  <si>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</si>
  <si>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</si>
  <si>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</si>
  <si>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</si>
  <si>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</si>
  <si>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</si>
  <si>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</si>
  <si>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</si>
  <si>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</si>
  <si>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</si>
  <si>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</si>
  <si>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</si>
  <si>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</si>
  <si>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</si>
  <si>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</si>
  <si>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--algorithm=18 --iterations=1001 --yaw=10 --pitch=20 --roll=30 --deltaImage --typePreference=GPU --platform=Level-Zero --img0=images\IMG_20230629_082736_00_095.jpg --img1=images\ImageAndOverlay-equirectangular.jpg	 </t>
  </si>
  <si>
    <t>Runs of OneDevice on Level-Zero GPU changing the Yaw and Image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</si>
  <si>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</si>
  <si>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</si>
  <si>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</si>
  <si>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</si>
  <si>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</si>
  <si>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</si>
  <si>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</si>
  <si>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</si>
  <si>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</si>
  <si>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</si>
  <si>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</si>
  <si>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</si>
  <si>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--algorithm=12 --iterations=1001 --yaw=10 --pitch=20 --roll=30 --deltaYaw=10 --typePreference=GPU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</si>
  <si>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--algorithm=13 --iterations=1001 --yaw=10 --pitch=20 --roll=30 --deltaYaw=10 --typePreference=GPU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</si>
  <si>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--algorithm=14 --iterations=1001 --yaw=10 --pitch=20 --roll=30 --deltaYaw=10 --typePreference=GPU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</si>
  <si>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--algorithm=15 --iterations=1001 --yaw=10 --pitch=20 --roll=30 --deltaYaw=10 --typePreference=GPU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</si>
  <si>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--algorithm=16 --iterations=1001 --yaw=10 --pitch=20 --roll=30 --deltaYaw=10 --typePreference=GPU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</si>
  <si>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--algorithm=17 --iterations=1001 --yaw=10 --pitch=20 --roll=30 --deltaYaw=10 --typePreference=GPU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</si>
  <si>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--algorithm=18 --iterations=1001 --yaw=10 --pitch=20 --roll=30 --deltaYaw=10 --typePreference=GPU --platform=Level-Zero --deltaImage --img0=images\IMG_20230629_082736_00_095.jpg --img1=images\ImageAndOverlay-equirectangular.jpg	 </t>
  </si>
  <si>
    <t>Runs of TwoDevices changing the Yaw by 10 degrees</t>
  </si>
  <si>
    <t xml:space="preserve">C:\Users\dpbogia\source\repos\optimizing-equirectangular-conversion\EquiRectangular&gt;src\DPC++-TwoDevices\x64\Release\TwoDevices.exe --algorithm=5 --iterations=1001 --yaw=10 --pitch=20 --roll=30 --deltaYaw=10 --img0=images\IMG_20230629_082736_00_095.jpg --img1=images\ImageAndOverlay-equirectangular.jpg	 </t>
  </si>
  <si>
    <t xml:space="preserve">Algorithm description: 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</si>
  <si>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>CPU</t>
  </si>
  <si>
    <t>GPU</t>
  </si>
  <si>
    <t>All</t>
  </si>
  <si>
    <t xml:space="preserve">_x001B_[0mDpcppRemapping: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</si>
  <si>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 xml:space="preserve">C:\Users\dpbogia\source\repos\optimizing-equirectangular-conversion\EquiRectangular&gt;src\DPC++-TwoDevices\x64\Release\TwoDevices.exe --algorithm=6 --iterations=1001 --yaw=10 --pitch=20 --roll=30 --deltaYaw=10 --img0=images\IMG_20230629_082736_00_095.jpg --img1=images\ImageAndOverlay-equirectangular.jpg	 </t>
  </si>
  <si>
    <t xml:space="preserve">Algorithm description: 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</si>
  <si>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Algorithm description: 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</si>
  <si>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_x001B_[0mDpcppRemappingV2: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</si>
  <si>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</si>
  <si>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--algorithm=7 --iterations=1001 --yaw=10 --pitch=20 --roll=30 --deltaYaw=10 --img0=images\IMG_20230629_082736_00_095.jpg --img1=images\ImageAndOverlay-equirectangular.jpg	 </t>
  </si>
  <si>
    <t xml:space="preserve">Algorithm description: 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</si>
  <si>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Algorithm description: 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</si>
  <si>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_x001B_[0mDpcppRemappingV3: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</si>
  <si>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</si>
  <si>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--algorithm=8 --iterations=1001 --yaw=10 --pitch=20 --roll=30 --deltaYaw=10 --img0=images\IMG_20230629_082736_00_095.jpg --img1=images\ImageAndOverlay-equirectangular.jpg	 </t>
  </si>
  <si>
    <t xml:space="preserve">Algorithm description: 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</si>
  <si>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Algorithm description: 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</si>
  <si>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_x001B_[0mDpcppRemappingV4: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</si>
  <si>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</si>
  <si>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--algorithm=9 --iterations=1001 --yaw=10 --pitch=20 --roll=30 --deltaYaw=10 --img0=images\IMG_20230629_082736_00_095.jpg --img1=images\ImageAndOverlay-equirectangular.jpg	 </t>
  </si>
  <si>
    <t xml:space="preserve">Algorithm description: 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</si>
  <si>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Algorithm description: 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</si>
  <si>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_x001B_[0mDpcppRemappingV5: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</si>
  <si>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</si>
  <si>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--algorithm=10 --iterations=1001 --yaw=10 --pitch=20 --roll=30 --deltaYaw=10 --img0=images\IMG_20230629_082736_00_095.jpg --img1=images\ImageAndOverlay-equirectangular.jpg	 </t>
  </si>
  <si>
    <t xml:space="preserve">Algorithm description: 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</si>
  <si>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Algorithm description: 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</si>
  <si>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_x001B_[0mDpcppRemappingV6: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</si>
  <si>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</si>
  <si>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C:\Users\dpbogia\source\repos\optimizing-equirectangular-conversion\EquiRectangular&gt;src\DPC++-TwoDevices\x64\Release\TwoDevices.exe --algorithm=11 --iterations=1001 --yaw=10 --pitch=20 --roll=30 --deltaYaw=10 --img0=images\IMG_20230629_082736_00_095.jpg --img1=images\ImageAndOverlay-equirectangular.jpg	 </t>
  </si>
  <si>
    <t xml:space="preserve">Algorithm description: 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</si>
  <si>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Algorithm description: 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</si>
  <si>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_x001B_[0mDpcppRemappingV7: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</si>
  <si>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</si>
  <si>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C:\Users\dpbogia\source\repos\optimizing-equirectangular-conversion\EquiRectangular&gt;src\DPC++-TwoDevices\x64\Release\TwoDevices.exe --algorithm=12 --iterations=1001 --yaw=10 --pitch=20 --roll=30 --deltaYaw=10 --img0=images\IMG_20230629_082736_00_095.jpg --img1=images\ImageAndOverlay-equirectangular.jpg	 </t>
  </si>
  <si>
    <t xml:space="preserve">Algorithm description: DpcppRemappingV8: V1 except uses fp32 instead of fp64 on Intel(R) OpenCL Intel(R) Core(TM) i9-9900K CPU @ 3.60GHz 2023.16.6.0.28_042959 DpcppRemappingV8: V1 except uses fp32 instead of fp64 on Intel(R) OpenCL HD Graphics Intel(R) UHD Graphics 630 31.0.101.2125 </t>
  </si>
  <si>
    <t xml:space="preserve">_x001B_[0mDpcppRemappingV8: V1 except uses fp32 instead of fp64 on Intel(R) OpenCL Intel(R) Core(TM) i9-9900K CPU @ 3.60GHz 2023.16.6.0.28_042959 DpcppRemappingV8: V1 except uses fp32 instead of fp64 on Intel(R) OpenCL HD Graphics Intel(R) UHD Graphics 630 31.0.101.2125 </t>
  </si>
  <si>
    <t xml:space="preserve">C:\Users\dpbogia\source\repos\optimizing-equirectangular-conversion\EquiRectangular&gt;src\DPC++-TwoDevices\x64\Release\TwoDevices.exe --algorithm=13 --iterations=1001 --yaw=10 --pitch=20 --roll=30 --deltaYaw=10 --img0=images\IMG_20230629_082736_00_095.jpg --img1=images\ImageAndOverlay-equirectangular.jpg	 </t>
  </si>
  <si>
    <t xml:space="preserve">Algorithm description: DpcppRemappingV9: V2 except uses fp32 instead of fp64 with Universal Shared Memory on Intel(R) OpenCL Intel(R) Core(TM) i9-9900K CPU @ 3.60GHz 2023.16.6.0.28_042959 DpcppRemappingV9: V2 except uses fp32 instead of fp64 with Universal Shared Memory on Intel(R) OpenCL HD Graphics Intel(R) UHD Graphics 630 31.0.101.2125 </t>
  </si>
  <si>
    <t xml:space="preserve">Algorithm description: DpcppRemappingV9: V2 except uses fp32 instead of fp64 with oneAPI's DPC++ Device Memory on Intel(R) OpenCL Intel(R) Core(TM) i9-9900K CPU @ 3.60GHz 2023.16.6.0.28_042959 DpcppRemappingV9: V2 except uses fp32 instead of fp64 with oneAPI's DPC++ Device Memory on Intel(R) OpenCL HD Graphics Intel(R) UHD Graphics 630 31.0.101.2125 </t>
  </si>
  <si>
    <t xml:space="preserve">_x001B_[0mDpcppRemappingV9: V2 except uses fp32 instead of fp64 with Universal Shared Memory on Intel(R) OpenCL Intel(R) Core(TM) i9-9900K CPU @ 3.60GHz 2023.16.6.0.28_042959 DpcppRemappingV9: V2 except uses fp32 instead of fp64 with Universal Shared Memory on Intel(R) OpenCL HD Graphics Intel(R) UHD Graphics 630 31.0.101.2125 </t>
  </si>
  <si>
    <t xml:space="preserve">DpcppRemappingV9: V2 except uses fp32 instead of fp64 with oneAPI's DPC++ Device Memory on Intel(R) OpenCL Intel(R) Core(TM) i9-9900K CPU @ 3.60GHz 2023.16.6.0.28_042959 DpcppRemappingV9: V2 except uses fp32 instead of fp64 with oneAPI's DPC++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</si>
  <si>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--algorithm=14 --iterations=1001 --yaw=10 --pitch=20 --roll=30 --deltaYaw=10 --img0=images\IMG_20230629_082736_00_095.jpg --img1=images\ImageAndOverlay-equirectangular.jpg	 </t>
  </si>
  <si>
    <t xml:space="preserve">Algorithm description: DpcppRemappingV10: V3 except uses fp32 instead of fp64 using oneAPI's DPC++ parallel_for_work_group &amp; Universal Shared Memory on Intel(R) OpenCL Intel(R) Core(TM) i9-9900K CPU @ 3.60GHz 2023.16.6.0.28_042959 DpcppRemappingV10: V3 except uses fp32 instead of fp64 using oneAPI's DPC++ parallel_for_work_group &amp; Universal Shared Memory on Intel(R) OpenCL HD Graphics Intel(R) UHD Graphics 630 31.0.101.2125 </t>
  </si>
  <si>
    <t xml:space="preserve">Algorithm description: DpcppRemappingV10: V3 except uses fp32 instead of fp64 using oneAPI's DPC++ parallel_for_work_group &amp; Device Memory on Intel(R) OpenCL Intel(R) Core(TM) i9-9900K CPU @ 3.60GHz 2023.16.6.0.28_042959 DpcppRemappingV10: V3 except uses fp32 instead of fp64 using oneAPI's DPC++ parallel_for_work_group &amp; Device Memory on Intel(R) OpenCL HD Graphics Intel(R) UHD Graphics 630 31.0.101.2125 </t>
  </si>
  <si>
    <t xml:space="preserve">_x001B_[0mDpcppRemappingV10: V3 except uses fp32 instead of fp64 using oneAPI's DPC++ parallel_for_work_group &amp; Universal Shared Memory on Intel(R) OpenCL Intel(R) Core(TM) i9-9900K CPU @ 3.60GHz 2023.16.6.0.28_042959 DpcppRemappingV10: V3 except uses fp32 instead of fp64 using oneAPI's DPC++ parallel_for_work_group &amp; Universal Shared Memory on Intel(R) OpenCL HD Graphics Intel(R) UHD Graphics 630 31.0.101.2125 </t>
  </si>
  <si>
    <t xml:space="preserve">DpcppRemappingV10: V3 except uses fp32 instead of fp64 using oneAPI's DPC++ parallel_for_work_group &amp; Device Memory on Intel(R) OpenCL Intel(R) Core(TM) i9-9900K CPU @ 3.60GHz 2023.16.6.0.28_042959 DpcppRemappingV10: V3 except uses fp32 instead of fp64 using oneAPI's DPC++ parallel_for_work_group &amp;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</si>
  <si>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--algorithm=15 --iterations=1001 --yaw=10 --pitch=20 --roll=30 --deltaYaw=10 --img0=images\IMG_20230629_082736_00_095.jpg --img1=images\ImageAndOverlay-equirectangular.jpg	 </t>
  </si>
  <si>
    <t xml:space="preserve">Algorithm description: DpcppRemappingV11: V4 except uses fp32 instead of fp64 using oneAPI's DPC++ sub-groups to reduce scatter with Universal Shared Memory on Intel(R) OpenCL Intel(R) Core(TM) i9-9900K CPU @ 3.60GHz 2023.16.6.0.28_042959 DpcppRemappingV11: V4 except uses fp32 instead of fp64 using oneAPI's DPC++ sub-groups to reduce scatter with Universal Shared Memory on Intel(R) OpenCL HD Graphics Intel(R) UHD Graphics 630 31.0.101.2125 </t>
  </si>
  <si>
    <t xml:space="preserve">Algorithm description: DpcppRemappingV11: V4 except uses fp32 instead of fp64 using oneAPI's DPC++ sub-groups to reduce scatter with  Device Memory on Intel(R) OpenCL Intel(R) Core(TM) i9-9900K CPU @ 3.60GHz 2023.16.6.0.28_042959 DpcppRemappingV11: V4 except uses fp32 instead of fp64 using oneAPI's DPC++ sub-groups to reduce scatter with  Device Memory on Intel(R) OpenCL HD Graphics Intel(R) UHD Graphics 630 31.0.101.2125 </t>
  </si>
  <si>
    <t xml:space="preserve">_x001B_[0mDpcppRemappingV11: V4 except uses fp32 instead of fp64 using oneAPI's DPC++ sub-groups to reduce scatter with Universal Shared Memory on Intel(R) OpenCL Intel(R) Core(TM) i9-9900K CPU @ 3.60GHz 2023.16.6.0.28_042959 DpcppRemappingV11: V4 except uses fp32 instead of fp64 using oneAPI's DPC++ sub-groups to reduce scatter with Universal Shared Memory on Intel(R) OpenCL HD Graphics Intel(R) UHD Graphics 630 31.0.101.2125 </t>
  </si>
  <si>
    <t xml:space="preserve">DpcppRemappingV11: V4 except uses fp32 instead of fp64 using oneAPI's DPC++ sub-groups to reduce scatter with  Device Memory on Intel(R) OpenCL Intel(R) Core(TM) i9-9900K CPU @ 3.60GHz 2023.16.6.0.28_042959 DpcppRemappingV11: V4 except uses fp32 instead of fp64 using oneAPI's DPC++ sub-groups to reduce scatter with 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</si>
  <si>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--algorithm=16 --iterations=1001 --yaw=10 --pitch=20 --roll=30 --deltaYaw=10 --img0=images\IMG_20230629_082736_00_095.jpg --img1=images\ImageAndOverlay-equirectangular.jpg	 </t>
  </si>
  <si>
    <t xml:space="preserve">Algorithm description: DpcppRemappingV12: V5 except uses fp32 instead of fp64 using DPC++ and USM Intel(R) OpenCL Intel(R) Core(TM) i9-9900K CPU @ 3.60GHz 2023.16.6.0.28_042959 DpcppRemappingV12: V5 except uses fp32 instead of fp64 using DPC++ and USM Intel(R) OpenCL HD Graphics Intel(R) UHD Graphics 630 31.0.101.2125 </t>
  </si>
  <si>
    <t xml:space="preserve">Algorithm description: DpcppRemappingV12: V5 except uses fp32 instead of fp64 using DPC++ and Device Memory on Intel(R) OpenCL Intel(R) Core(TM) i9-9900K CPU @ 3.60GHz 2023.16.6.0.28_042959 DpcppRemappingV12: V5 except uses fp32 instead of fp64 using DPC++ and Device Memory on Intel(R) OpenCL HD Graphics Intel(R) UHD Graphics 630 31.0.101.2125 </t>
  </si>
  <si>
    <t xml:space="preserve">_x001B_[0mDpcppRemappingV12: V5 except uses fp32 instead of fp64 using DPC++ and USM Intel(R) OpenCL Intel(R) Core(TM) i9-9900K CPU @ 3.60GHz 2023.16.6.0.28_042959 DpcppRemappingV12: V5 except uses fp32 instead of fp64 using DPC++ and USM Intel(R) OpenCL HD Graphics Intel(R) UHD Graphics 630 31.0.101.2125 </t>
  </si>
  <si>
    <t xml:space="preserve">DpcppRemappingV12: V5 except uses fp32 instead of fp64 using DPC++ and Device Memory on Intel(R) OpenCL Intel(R) Core(TM) i9-9900K CPU @ 3.60GHz 2023.16.6.0.28_042959 DpcppRemappingV12: V5 except uses fp32 instead of fp64 using DPC++ and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</si>
  <si>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--algorithm=17 --iterations=1001 --yaw=10 --pitch=20 --roll=30 --deltaYaw=10 --img0=images\IMG_20230629_082736_00_095.jpg --img1=images\ImageAndOverlay-equirectangular.jpg	 </t>
  </si>
  <si>
    <t xml:space="preserve">Algorithm description: DpcppRemappingV13: V6 except uses fp32 instead of fp64 on USM Intel(R) OpenCL Intel(R) Core(TM) i9-9900K CPU @ 3.60GHz 2023.16.6.0.28_042959 DpcppRemappingV13: V6 except uses fp32 instead of fp64 on USM Intel(R) OpenCL HD Graphics Intel(R) UHD Graphics 630 31.0.101.2125 </t>
  </si>
  <si>
    <t xml:space="preserve">Algorithm description: DpcppRemappingV13: V6 except uses fp32 instead of fp64 on device memory Intel(R) OpenCL Intel(R) Core(TM) i9-9900K CPU @ 3.60GHz 2023.16.6.0.28_042959 DpcppRemappingV13: V6 except uses fp32 instead of fp64 on device memory Intel(R) OpenCL HD Graphics Intel(R) UHD Graphics 630 31.0.101.2125 </t>
  </si>
  <si>
    <t xml:space="preserve">_x001B_[0mDpcppRemappingV13: V6 except uses fp32 instead of fp64 on USM Intel(R) OpenCL Intel(R) Core(TM) i9-9900K CPU @ 3.60GHz 2023.16.6.0.28_042959 DpcppRemappingV13: V6 except uses fp32 instead of fp64 on USM Intel(R) OpenCL HD Graphics Intel(R) UHD Graphics 630 31.0.101.2125 </t>
  </si>
  <si>
    <t xml:space="preserve">DpcppRemappingV13: V6 except uses fp32 instead of fp64 on device memory Intel(R) OpenCL Intel(R) Core(TM) i9-9900K CPU @ 3.60GHz 2023.16.6.0.28_042959 DpcppRemappingV13: V6 except uses fp32 instead of fp64 on device memory Intel(R) OpenCL HD Graphics Intel(R) UHD Graphics 630 31.0.101.2125 </t>
  </si>
  <si>
    <t xml:space="preserve">C:\Users\dpbogia\source\repos\optimizing-equirectangular-conversion\EquiRectangular&gt;src\DPC++-TwoDevices\x64\Release\TwoDevices.exe --algorithm=18 --iterations=1001 --yaw=10 --pitch=20 --roll=30 --deltaYaw=10 --img0=images\IMG_20230629_082736_00_095.jpg --img1=images\ImageAndOverlay-equirectangular.jpg	 </t>
  </si>
  <si>
    <t xml:space="preserve">Algorithm description: DpcppRemappingV14: V7 except uses fp32 instead of fp64 using USM on Intel(R) OpenCL Intel(R) Core(TM) i9-9900K CPU @ 3.60GHz 2023.16.6.0.28_042959 DpcppRemappingV14: V7 except uses fp32 instead of fp64 using USM on Intel(R) OpenCL HD Graphics Intel(R) UHD Graphics 630 31.0.101.2125 </t>
  </si>
  <si>
    <t xml:space="preserve">Algorithm description: DpcppRemappingV14: V6 except uses fp32 instead of fp64 using device memory on Intel(R) OpenCL Intel(R) Core(TM) i9-9900K CPU @ 3.60GHz 2023.16.6.0.28_042959 DpcppRemappingV14: V6 except uses fp32 instead of fp64 using device memory on Intel(R) OpenCL HD Graphics Intel(R) UHD Graphics 630 31.0.101.2125 </t>
  </si>
  <si>
    <t xml:space="preserve">_x001B_[0mDpcppRemappingV14: V7 except uses fp32 instead of fp64 using USM on Intel(R) OpenCL Intel(R) Core(TM) i9-9900K CPU @ 3.60GHz 2023.16.6.0.28_042959 DpcppRemappingV14: V7 except uses fp32 instead of fp64 using USM on Intel(R) OpenCL HD Graphics Intel(R) UHD Graphics 630 31.0.101.2125 </t>
  </si>
  <si>
    <t xml:space="preserve">DpcppRemappingV14: V6 except uses fp32 instead of fp64 using device memory on Intel(R) OpenCL Intel(R) Core(TM) i9-9900K CPU @ 3.60GHz 2023.16.6.0.28_042959 DpcppRemappingV14: V6 except uses fp32 instead of fp64 using device memory on Intel(R) OpenCL HD Graphics Intel(R) UHD Graphics 630 31.0.101.2125 </t>
  </si>
  <si>
    <t>Runs of TwoDevices changing the Image</t>
  </si>
  <si>
    <t xml:space="preserve">C:\Users\dpbogia\source\repos\optimizing-equirectangular-conversion\EquiRectangular&gt;src\DPC++-TwoDevices\x64\Release\TwoDevices.exe --algorithm=5 --iterations=1001 --yaw=10 --pitch=20 --roll=30 --deltaImage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</si>
  <si>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</si>
  <si>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</si>
  <si>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</si>
  <si>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</si>
  <si>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</si>
  <si>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</si>
  <si>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--algorithm=12 --iterations=1001 --yaw=10 --pitch=20 --roll=30 --deltaImage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</si>
  <si>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--algorithm=13 --iterations=1001 --yaw=10 --pitch=20 --roll=30 --deltaImage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</si>
  <si>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--algorithm=14 --iterations=1001 --yaw=10 --pitch=20 --roll=30 --deltaImage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</si>
  <si>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--algorithm=15 --iterations=1001 --yaw=10 --pitch=20 --roll=30 --deltaImage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</si>
  <si>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--algorithm=16 --iterations=1001 --yaw=10 --pitch=20 --roll=30 --deltaImage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</si>
  <si>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--algorithm=17 --iterations=1001 --yaw=10 --pitch=20 --roll=30 --deltaImage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</si>
  <si>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--algorithm=18 --iterations=1001 --yaw=10 --pitch=20 --roll=30 --deltaImage --img0=images\IMG_20230629_082736_00_095.jpg --img1=images\ImageAndOverlay-equirectangular.jpg	 </t>
  </si>
  <si>
    <t>Runs of TwoDevices changing the Yaw and Image</t>
  </si>
  <si>
    <t xml:space="preserve">C:\Users\dpbogia\source\repos\optimizing-equirectangular-conversion\EquiRectangular&gt;src\DPC++-TwoDevices\x64\Release\TwoDevices.exe --algorithm=5 --iterations=1001 --yaw=10 --pitch=20 --roll=30 --deltaYaw=10 --deltaImage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</si>
  <si>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</si>
  <si>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</si>
  <si>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</si>
  <si>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</si>
  <si>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</si>
  <si>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</si>
  <si>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--algorithm=12 --iterations=1001 --yaw=10 --pitch=20 --roll=30 --deltaYaw=10 --deltaImage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</si>
  <si>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--algorithm=13 --iterations=1001 --yaw=10 --pitch=20 --roll=30 --deltaYaw=10 --deltaImage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</si>
  <si>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--algorithm=14 --iterations=1001 --yaw=10 --pitch=20 --roll=30 --deltaYaw=10 --deltaImage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</si>
  <si>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--algorithm=15 --iterations=1001 --yaw=10 --pitch=20 --roll=30 --deltaYaw=10 --deltaImage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</si>
  <si>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--algorithm=16 --iterations=1001 --yaw=10 --pitch=20 --roll=30 --deltaYaw=10 --deltaImage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</si>
  <si>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--algorithm=17 --iterations=1001 --yaw=10 --pitch=20 --roll=30 --deltaYaw=10 --deltaImage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</si>
  <si>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--algorithm=18 --iterations=1001 --yaw=10 --pitch=20 --roll=30 --deltaYaw=10 --deltaImage --img0=images\IMG_20230629_082736_00_095.jpg --img1=images\ImageAndOverlay-equirectangular.jpg	 </t>
  </si>
  <si>
    <t>Finished!</t>
  </si>
  <si>
    <t xml:space="preserve">src\DPC++-OneDevice\x64\Release\OneDevice.exe --algorithm=0 --iterations=1001 --yaw=10 --pitch=20 --roll=30 --deltaYaw=10 --typePreference=CPU --img0=images\IMG_20230629_082736_00_095.jpg --img1=images\ImageAndOverlay-equirectangular.jpg	 </t>
  </si>
  <si>
    <t>Min</t>
  </si>
  <si>
    <t>Max</t>
  </si>
  <si>
    <t>Improvement</t>
  </si>
  <si>
    <t xml:space="preserve">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</si>
  <si>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</si>
  <si>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</si>
  <si>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</si>
  <si>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</si>
  <si>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</si>
  <si>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</si>
  <si>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</si>
  <si>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--algorithm=5 --iterations=1001 --yaw=10 --pitch=20 --roll=30 --deltaYaw=10 --img0=images\IMG_20230629_082736_00_095.jpg --img1=images\ImageAndOverlay-equirectangular.jpg	 </t>
  </si>
  <si>
    <t xml:space="preserve">src\DPC++-TwoDevices\x64\Release\TwoDevices.exe --algorithm=5 --iterations=1001 --yaw=10 --pitch=20 --roll=30 --deltaImage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</si>
  <si>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--algorithm=5 --iterations=1001 --yaw=10 --pitch=20 --roll=30 --deltaYaw=10 --deltaImage --img0=images\IMG_20230629_082736_00_095.jpg --img1=images\ImageAndOverlay-equirectangular.jpg	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</si>
</sst>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15655"/>
  <sheetViews>
    <sheetView workbookViewId="0">
      <selection activeCell="A15655" sqref="A15655"/>
    </sheetView>
  </sheetViews>
  <sheetFormatPr defaultRowHeight="14.4" x14ac:dyDescent="0.3"/>
  <sheetData>
    <row r="2" spans="1:2" x14ac:dyDescent="0.3">
      <c r="A2" t="s">
        <v>0</v>
      </c>
    </row>
    <row r="3" spans="1:2" x14ac:dyDescent="0.3">
      <c r="A3" t="s">
        <v>1</v>
      </c>
    </row>
    <row r="4" spans="1:2" x14ac:dyDescent="0.3">
      <c r="A4" t="s">
        <v>2</v>
      </c>
    </row>
    <row r="6" spans="1:2" x14ac:dyDescent="0.3">
      <c r="A6" t="s">
        <v>3</v>
      </c>
    </row>
    <row r="8" spans="1:2" x14ac:dyDescent="0.3">
      <c r="A8" t="s">
        <v>4</v>
      </c>
    </row>
    <row r="9" spans="1:2" x14ac:dyDescent="0.3">
      <c r="A9" t="s">
        <v>5</v>
      </c>
    </row>
    <row r="10" spans="1:2" x14ac:dyDescent="0.3">
      <c r="A10" t="e">
        <f>--algorithm=N where N is the number of the algorithm to use during the run. If this is set non-negative</f>
        <v>#NAME?</v>
      </c>
      <c r="B10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13</v>
      </c>
    </row>
    <row r="18" spans="1:1" x14ac:dyDescent="0.3">
      <c r="A18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5" spans="1:1" x14ac:dyDescent="0.3">
      <c r="A25" t="s">
        <v>21</v>
      </c>
    </row>
    <row r="26" spans="1:1" x14ac:dyDescent="0.3">
      <c r="A26" t="e">
        <f>--deltaImage is a flag to indicate that the image should be changed between each iteration to</f>
        <v>#NAME?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3" spans="1:1" x14ac:dyDescent="0.3">
      <c r="A33" t="s">
        <v>28</v>
      </c>
    </row>
    <row r="34" spans="1:1" x14ac:dyDescent="0.3">
      <c r="A34" t="e">
        <f>--deviceName=value where value is a string to match against device names to</f>
        <v>#NAME?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8" spans="1:1" x14ac:dyDescent="0.3">
      <c r="A38" t="s">
        <v>32</v>
      </c>
    </row>
    <row r="39" spans="1:1" x14ac:dyDescent="0.3">
      <c r="A39" t="e">
        <f>--driverVersion=value where value is a version number to select.  Only used for</f>
        <v>#NAME?</v>
      </c>
    </row>
    <row r="40" spans="1:1" x14ac:dyDescent="0.3">
      <c r="A40" t="s">
        <v>33</v>
      </c>
    </row>
    <row r="41" spans="1:1" x14ac:dyDescent="0.3">
      <c r="A41" t="s">
        <v>34</v>
      </c>
    </row>
    <row r="42" spans="1:1" x14ac:dyDescent="0.3">
      <c r="A42" t="s">
        <v>35</v>
      </c>
    </row>
    <row r="43" spans="1:1" x14ac:dyDescent="0.3">
      <c r="A43" t="s">
        <v>36</v>
      </c>
    </row>
    <row r="44" spans="1:1" x14ac:dyDescent="0.3">
      <c r="A44" t="s">
        <v>37</v>
      </c>
    </row>
    <row r="45" spans="1:1" x14ac:dyDescent="0.3">
      <c r="A45" t="s">
        <v>38</v>
      </c>
    </row>
    <row r="46" spans="1:1" x14ac:dyDescent="0.3">
      <c r="A46" t="e">
        <f>--img0=filePath where filePath is the path to an equirectangular image to load for the first frame.</f>
        <v>#NAME?</v>
      </c>
    </row>
    <row r="47" spans="1:1" x14ac:dyDescent="0.3">
      <c r="A47" t="s">
        <v>39</v>
      </c>
    </row>
    <row r="48" spans="1:1" x14ac:dyDescent="0.3">
      <c r="A48" t="e">
        <f>--IMG1=filePath where filePath is the path to an equirectangular image to load for the second frame.</f>
        <v>#NAME?</v>
      </c>
    </row>
    <row r="49" spans="1:3" x14ac:dyDescent="0.3">
      <c r="A49" t="s">
        <v>40</v>
      </c>
    </row>
    <row r="50" spans="1:3" x14ac:dyDescent="0.3">
      <c r="A50" t="s">
        <v>41</v>
      </c>
    </row>
    <row r="51" spans="1:3" x14ac:dyDescent="0.3">
      <c r="A51" t="e">
        <f>--platformName=value where value is a string to match against platform names.</f>
        <v>#NAME?</v>
      </c>
    </row>
    <row r="52" spans="1:3" x14ac:dyDescent="0.3">
      <c r="A52" t="s">
        <v>42</v>
      </c>
    </row>
    <row r="53" spans="1:3" x14ac:dyDescent="0.3">
      <c r="A53" t="s">
        <v>43</v>
      </c>
    </row>
    <row r="54" spans="1:3" x14ac:dyDescent="0.3">
      <c r="A54" t="s">
        <v>44</v>
      </c>
    </row>
    <row r="55" spans="1:3" x14ac:dyDescent="0.3">
      <c r="A55" t="s">
        <v>45</v>
      </c>
    </row>
    <row r="56" spans="1:3" x14ac:dyDescent="0.3">
      <c r="A56" t="s">
        <v>46</v>
      </c>
    </row>
    <row r="57" spans="1:3" x14ac:dyDescent="0.3">
      <c r="A57" t="s">
        <v>47</v>
      </c>
    </row>
    <row r="58" spans="1:3" x14ac:dyDescent="0.3">
      <c r="A58" t="s">
        <v>48</v>
      </c>
    </row>
    <row r="59" spans="1:3" x14ac:dyDescent="0.3">
      <c r="A59" t="s">
        <v>49</v>
      </c>
    </row>
    <row r="60" spans="1:3" x14ac:dyDescent="0.3">
      <c r="A60" t="s">
        <v>50</v>
      </c>
    </row>
    <row r="61" spans="1:3" x14ac:dyDescent="0.3">
      <c r="A61" t="e">
        <f>--startAlgorithm=N where N defines the first algorithm number to run and then all algorithms up to and including</f>
        <v>#NAME?</v>
      </c>
    </row>
    <row r="62" spans="1:3" x14ac:dyDescent="0.3">
      <c r="A62" t="s">
        <v>51</v>
      </c>
    </row>
    <row r="63" spans="1:3" x14ac:dyDescent="0.3">
      <c r="A63" t="s">
        <v>52</v>
      </c>
      <c r="B63" t="s">
        <v>53</v>
      </c>
    </row>
    <row r="64" spans="1:3" x14ac:dyDescent="0.3">
      <c r="A64" t="s">
        <v>54</v>
      </c>
      <c r="B64" t="s">
        <v>55</v>
      </c>
      <c r="C64" t="s">
        <v>56</v>
      </c>
    </row>
    <row r="65" spans="1:10" x14ac:dyDescent="0.3">
      <c r="A65" t="s">
        <v>57</v>
      </c>
      <c r="B65" t="s">
        <v>58</v>
      </c>
      <c r="C65" t="s">
        <v>59</v>
      </c>
    </row>
    <row r="66" spans="1:10" x14ac:dyDescent="0.3">
      <c r="A66" t="s">
        <v>60</v>
      </c>
    </row>
    <row r="67" spans="1:10" x14ac:dyDescent="0.3">
      <c r="A67" t="s">
        <v>61</v>
      </c>
    </row>
    <row r="68" spans="1:10" x14ac:dyDescent="0.3">
      <c r="A68" t="s">
        <v>62</v>
      </c>
    </row>
    <row r="69" spans="1:10" x14ac:dyDescent="0.3">
      <c r="A69" t="s">
        <v>63</v>
      </c>
    </row>
    <row r="71" spans="1:10" x14ac:dyDescent="0.3">
      <c r="A71" t="s">
        <v>64</v>
      </c>
    </row>
    <row r="72" spans="1:10" x14ac:dyDescent="0.3">
      <c r="A72" t="s">
        <v>65</v>
      </c>
    </row>
    <row r="73" spans="1:10" x14ac:dyDescent="0.3">
      <c r="A73" t="s">
        <v>66</v>
      </c>
    </row>
    <row r="75" spans="1:10" x14ac:dyDescent="0.3">
      <c r="A75" t="s">
        <v>67</v>
      </c>
    </row>
    <row r="76" spans="1:10" x14ac:dyDescent="0.3">
      <c r="A76" t="s">
        <v>68</v>
      </c>
    </row>
    <row r="77" spans="1:10" x14ac:dyDescent="0.3">
      <c r="A77" t="s">
        <v>69</v>
      </c>
    </row>
    <row r="78" spans="1:10" x14ac:dyDescent="0.3">
      <c r="A78" t="s">
        <v>70</v>
      </c>
    </row>
    <row r="79" spans="1:10" x14ac:dyDescent="0.3">
      <c r="A79" t="s">
        <v>71</v>
      </c>
    </row>
    <row r="80" spans="1:10" x14ac:dyDescent="0.3">
      <c r="A80" t="s">
        <v>72</v>
      </c>
      <c r="B80">
        <v>1</v>
      </c>
      <c r="C80" t="s">
        <v>73</v>
      </c>
      <c r="D80">
        <v>5.2939999999999997E-4</v>
      </c>
      <c r="E80" t="s">
        <v>74</v>
      </c>
      <c r="F80">
        <v>0.52939999999999998</v>
      </c>
      <c r="G80" t="s">
        <v>75</v>
      </c>
      <c r="H80">
        <v>529.4</v>
      </c>
      <c r="I80" t="s">
        <v>76</v>
      </c>
      <c r="J80" t="s">
        <v>77</v>
      </c>
    </row>
    <row r="81" spans="1:11" x14ac:dyDescent="0.3">
      <c r="A81" t="s">
        <v>72</v>
      </c>
      <c r="B81">
        <v>1</v>
      </c>
      <c r="C81" t="s">
        <v>78</v>
      </c>
      <c r="D81">
        <v>3.8E-6</v>
      </c>
      <c r="E81" t="s">
        <v>74</v>
      </c>
      <c r="F81">
        <v>3.8E-3</v>
      </c>
      <c r="G81" t="s">
        <v>75</v>
      </c>
      <c r="H81">
        <v>3.8</v>
      </c>
      <c r="I81" t="s">
        <v>76</v>
      </c>
      <c r="J81" t="s">
        <v>77</v>
      </c>
    </row>
    <row r="82" spans="1:11" x14ac:dyDescent="0.3">
      <c r="A82" t="s">
        <v>72</v>
      </c>
      <c r="B82">
        <v>1</v>
      </c>
      <c r="C82" t="s">
        <v>79</v>
      </c>
      <c r="D82">
        <v>6.8800000000000005E-5</v>
      </c>
      <c r="E82" t="s">
        <v>74</v>
      </c>
      <c r="F82">
        <v>6.88E-2</v>
      </c>
      <c r="G82" t="s">
        <v>75</v>
      </c>
      <c r="H82">
        <v>68.8</v>
      </c>
      <c r="I82" t="s">
        <v>76</v>
      </c>
      <c r="J82" t="s">
        <v>77</v>
      </c>
    </row>
    <row r="83" spans="1:11" x14ac:dyDescent="0.3">
      <c r="A83" t="s">
        <v>72</v>
      </c>
      <c r="B83">
        <v>1</v>
      </c>
      <c r="C83" t="s">
        <v>80</v>
      </c>
      <c r="D83">
        <v>1.0686053</v>
      </c>
      <c r="E83" t="s">
        <v>74</v>
      </c>
      <c r="F83">
        <v>1068.6052999999999</v>
      </c>
      <c r="G83" t="s">
        <v>75</v>
      </c>
      <c r="H83">
        <v>1068605.304</v>
      </c>
      <c r="I83" t="s">
        <v>76</v>
      </c>
      <c r="J83" t="s">
        <v>77</v>
      </c>
    </row>
    <row r="84" spans="1:11" x14ac:dyDescent="0.3">
      <c r="A84" t="s">
        <v>72</v>
      </c>
      <c r="B84">
        <v>1</v>
      </c>
      <c r="C84" t="s">
        <v>81</v>
      </c>
      <c r="D84">
        <v>1.0686767100000001</v>
      </c>
      <c r="E84" t="s">
        <v>74</v>
      </c>
      <c r="F84">
        <v>1068.67671</v>
      </c>
      <c r="G84" t="s">
        <v>75</v>
      </c>
      <c r="H84">
        <v>1068676.71</v>
      </c>
      <c r="I84" t="s">
        <v>76</v>
      </c>
      <c r="J84" t="s">
        <v>82</v>
      </c>
      <c r="K84">
        <v>0.93573669999999998</v>
      </c>
    </row>
    <row r="85" spans="1:11" x14ac:dyDescent="0.3">
      <c r="A85" t="s">
        <v>83</v>
      </c>
      <c r="B85">
        <v>1000</v>
      </c>
      <c r="C85" t="s">
        <v>79</v>
      </c>
      <c r="D85">
        <v>4.4700000000000004E-6</v>
      </c>
      <c r="E85" t="s">
        <v>74</v>
      </c>
      <c r="F85">
        <v>4.47E-3</v>
      </c>
      <c r="G85" t="s">
        <v>75</v>
      </c>
      <c r="H85">
        <v>4.4690000000000003</v>
      </c>
      <c r="I85" t="s">
        <v>76</v>
      </c>
      <c r="J85" t="s">
        <v>77</v>
      </c>
    </row>
    <row r="86" spans="1:11" x14ac:dyDescent="0.3">
      <c r="A86" t="s">
        <v>83</v>
      </c>
      <c r="B86">
        <v>1000</v>
      </c>
      <c r="C86" t="s">
        <v>80</v>
      </c>
      <c r="D86">
        <v>1.0658979500000001</v>
      </c>
      <c r="E86" t="s">
        <v>74</v>
      </c>
      <c r="F86">
        <v>1065.89795</v>
      </c>
      <c r="G86" t="s">
        <v>75</v>
      </c>
      <c r="H86">
        <v>1065897.949</v>
      </c>
      <c r="I86" t="s">
        <v>76</v>
      </c>
      <c r="J86" t="s">
        <v>77</v>
      </c>
    </row>
    <row r="87" spans="1:11" x14ac:dyDescent="0.3">
      <c r="A87" t="s">
        <v>83</v>
      </c>
      <c r="B87">
        <v>1000</v>
      </c>
      <c r="C87" t="s">
        <v>81</v>
      </c>
      <c r="D87">
        <v>1.0659033200000001</v>
      </c>
      <c r="E87" t="s">
        <v>74</v>
      </c>
      <c r="F87">
        <v>1065.9033199999999</v>
      </c>
      <c r="G87" t="s">
        <v>75</v>
      </c>
      <c r="H87">
        <v>1065903.32</v>
      </c>
      <c r="I87" t="s">
        <v>76</v>
      </c>
      <c r="J87" t="s">
        <v>82</v>
      </c>
      <c r="K87">
        <v>0.93817139999999999</v>
      </c>
    </row>
    <row r="88" spans="1:11" x14ac:dyDescent="0.3">
      <c r="A88" t="s">
        <v>84</v>
      </c>
      <c r="B88">
        <v>1001</v>
      </c>
      <c r="C88" t="s">
        <v>79</v>
      </c>
      <c r="D88">
        <v>4.5299999999999998E-6</v>
      </c>
      <c r="E88" t="s">
        <v>74</v>
      </c>
      <c r="F88">
        <v>4.5300000000000002E-3</v>
      </c>
      <c r="G88" t="s">
        <v>75</v>
      </c>
      <c r="H88">
        <v>4.5330000000000004</v>
      </c>
      <c r="I88" t="s">
        <v>76</v>
      </c>
      <c r="J88" t="s">
        <v>77</v>
      </c>
    </row>
    <row r="89" spans="1:11" x14ac:dyDescent="0.3">
      <c r="A89" t="s">
        <v>84</v>
      </c>
      <c r="B89">
        <v>1001</v>
      </c>
      <c r="C89" t="s">
        <v>80</v>
      </c>
      <c r="D89">
        <v>1.0659006499999999</v>
      </c>
      <c r="E89" t="s">
        <v>74</v>
      </c>
      <c r="F89">
        <v>1065.90065</v>
      </c>
      <c r="G89" t="s">
        <v>75</v>
      </c>
      <c r="H89">
        <v>1065900.652</v>
      </c>
      <c r="I89" t="s">
        <v>76</v>
      </c>
      <c r="J89" t="s">
        <v>77</v>
      </c>
    </row>
    <row r="90" spans="1:11" x14ac:dyDescent="0.3">
      <c r="A90" t="s">
        <v>84</v>
      </c>
      <c r="B90">
        <v>1001</v>
      </c>
      <c r="C90" t="s">
        <v>81</v>
      </c>
      <c r="D90">
        <v>1.0659060199999999</v>
      </c>
      <c r="E90" t="s">
        <v>74</v>
      </c>
      <c r="F90">
        <v>1065.9060199999999</v>
      </c>
      <c r="G90" t="s">
        <v>75</v>
      </c>
      <c r="H90">
        <v>1065906.0179999999</v>
      </c>
      <c r="I90" t="s">
        <v>76</v>
      </c>
      <c r="J90" t="s">
        <v>82</v>
      </c>
      <c r="K90">
        <v>0.93816900000000003</v>
      </c>
    </row>
    <row r="91" spans="1:11" x14ac:dyDescent="0.3">
      <c r="A91" t="s">
        <v>85</v>
      </c>
      <c r="B91">
        <v>1001</v>
      </c>
      <c r="C91" t="s">
        <v>86</v>
      </c>
      <c r="D91">
        <v>1.06590626</v>
      </c>
      <c r="E91" t="s">
        <v>74</v>
      </c>
      <c r="F91">
        <v>1065.90626</v>
      </c>
      <c r="G91" t="s">
        <v>75</v>
      </c>
      <c r="H91">
        <v>1065906.2620000001</v>
      </c>
      <c r="I91" t="s">
        <v>76</v>
      </c>
      <c r="J91" t="s">
        <v>82</v>
      </c>
      <c r="K91">
        <v>0.93816880000000002</v>
      </c>
    </row>
    <row r="92" spans="1:11" x14ac:dyDescent="0.3">
      <c r="A92" t="s">
        <v>87</v>
      </c>
    </row>
    <row r="93" spans="1:11" x14ac:dyDescent="0.3">
      <c r="A93" t="s">
        <v>88</v>
      </c>
    </row>
    <row r="94" spans="1:11" x14ac:dyDescent="0.3">
      <c r="A94" t="s">
        <v>72</v>
      </c>
      <c r="B94">
        <v>1</v>
      </c>
      <c r="C94" t="s">
        <v>81</v>
      </c>
      <c r="D94">
        <v>1.0686767100000001</v>
      </c>
      <c r="E94" t="s">
        <v>74</v>
      </c>
      <c r="F94">
        <v>1068.67671</v>
      </c>
      <c r="G94" t="s">
        <v>75</v>
      </c>
      <c r="H94">
        <v>1068676.71</v>
      </c>
      <c r="I94" t="s">
        <v>76</v>
      </c>
      <c r="J94" t="s">
        <v>82</v>
      </c>
      <c r="K94">
        <v>0.93573669999999998</v>
      </c>
    </row>
    <row r="95" spans="1:11" x14ac:dyDescent="0.3">
      <c r="A95" t="s">
        <v>83</v>
      </c>
      <c r="B95">
        <v>1000</v>
      </c>
      <c r="C95" t="s">
        <v>81</v>
      </c>
      <c r="D95">
        <v>1.0659033200000001</v>
      </c>
      <c r="E95" t="s">
        <v>74</v>
      </c>
      <c r="F95">
        <v>1065.9033199999999</v>
      </c>
      <c r="G95" t="s">
        <v>75</v>
      </c>
      <c r="H95">
        <v>1065903.32</v>
      </c>
      <c r="I95" t="s">
        <v>76</v>
      </c>
      <c r="J95" t="s">
        <v>82</v>
      </c>
      <c r="K95">
        <v>0.93817139999999999</v>
      </c>
    </row>
    <row r="96" spans="1:11" x14ac:dyDescent="0.3">
      <c r="A96" t="s">
        <v>85</v>
      </c>
      <c r="B96">
        <v>1001</v>
      </c>
      <c r="C96" t="s">
        <v>86</v>
      </c>
      <c r="D96">
        <v>1.06590626</v>
      </c>
      <c r="E96" t="s">
        <v>74</v>
      </c>
      <c r="F96">
        <v>1065.90626</v>
      </c>
      <c r="G96" t="s">
        <v>75</v>
      </c>
      <c r="H96">
        <v>1065906.2620000001</v>
      </c>
      <c r="I96" t="s">
        <v>76</v>
      </c>
      <c r="J96" t="s">
        <v>82</v>
      </c>
      <c r="K96">
        <v>0.93816880000000002</v>
      </c>
    </row>
    <row r="98" spans="1:10" x14ac:dyDescent="0.3">
      <c r="A98" t="s">
        <v>66</v>
      </c>
    </row>
    <row r="100" spans="1:10" x14ac:dyDescent="0.3">
      <c r="A100" t="s">
        <v>89</v>
      </c>
    </row>
    <row r="101" spans="1:10" x14ac:dyDescent="0.3">
      <c r="A101" t="s">
        <v>68</v>
      </c>
    </row>
    <row r="102" spans="1:10" x14ac:dyDescent="0.3">
      <c r="A102" t="s">
        <v>69</v>
      </c>
    </row>
    <row r="103" spans="1:10" x14ac:dyDescent="0.3">
      <c r="A103" t="s">
        <v>70</v>
      </c>
    </row>
    <row r="104" spans="1:10" x14ac:dyDescent="0.3">
      <c r="A104" t="s">
        <v>90</v>
      </c>
    </row>
    <row r="105" spans="1:10" x14ac:dyDescent="0.3">
      <c r="A105" t="s">
        <v>72</v>
      </c>
      <c r="B105">
        <v>1</v>
      </c>
      <c r="C105" t="s">
        <v>73</v>
      </c>
      <c r="D105">
        <v>5.0000000000000004E-6</v>
      </c>
      <c r="E105" t="s">
        <v>74</v>
      </c>
      <c r="F105">
        <v>5.0000000000000001E-3</v>
      </c>
      <c r="G105" t="s">
        <v>75</v>
      </c>
      <c r="H105">
        <v>5</v>
      </c>
      <c r="I105" t="s">
        <v>76</v>
      </c>
      <c r="J105" t="s">
        <v>77</v>
      </c>
    </row>
    <row r="106" spans="1:10" x14ac:dyDescent="0.3">
      <c r="A106" t="s">
        <v>72</v>
      </c>
      <c r="B106">
        <v>1</v>
      </c>
      <c r="C106" t="s">
        <v>78</v>
      </c>
      <c r="D106">
        <v>4.4199999999999997E-5</v>
      </c>
      <c r="E106" t="s">
        <v>74</v>
      </c>
      <c r="F106">
        <v>4.4200000000000003E-2</v>
      </c>
      <c r="G106" t="s">
        <v>75</v>
      </c>
      <c r="H106">
        <v>44.2</v>
      </c>
      <c r="I106" t="s">
        <v>76</v>
      </c>
      <c r="J106" t="s">
        <v>77</v>
      </c>
    </row>
    <row r="107" spans="1:10" x14ac:dyDescent="0.3">
      <c r="A107" t="s">
        <v>72</v>
      </c>
      <c r="B107">
        <v>1</v>
      </c>
      <c r="C107" t="s">
        <v>91</v>
      </c>
      <c r="D107">
        <v>2.2391999999999998E-3</v>
      </c>
      <c r="E107" t="s">
        <v>74</v>
      </c>
      <c r="F107">
        <v>2.2391999999999999</v>
      </c>
      <c r="G107" t="s">
        <v>75</v>
      </c>
      <c r="H107">
        <v>2239.1999999999998</v>
      </c>
      <c r="I107" t="s">
        <v>76</v>
      </c>
      <c r="J107" t="s">
        <v>77</v>
      </c>
    </row>
    <row r="108" spans="1:10" x14ac:dyDescent="0.3">
      <c r="A108" t="s">
        <v>72</v>
      </c>
      <c r="B108">
        <v>1</v>
      </c>
      <c r="C108" t="s">
        <v>92</v>
      </c>
      <c r="D108">
        <v>1.34059E-2</v>
      </c>
      <c r="E108" t="s">
        <v>74</v>
      </c>
      <c r="F108">
        <v>13.405900000000001</v>
      </c>
      <c r="G108" t="s">
        <v>75</v>
      </c>
      <c r="H108">
        <v>13405.9</v>
      </c>
      <c r="I108" t="s">
        <v>76</v>
      </c>
      <c r="J108" t="s">
        <v>77</v>
      </c>
    </row>
    <row r="109" spans="1:10" x14ac:dyDescent="0.3">
      <c r="A109" t="s">
        <v>72</v>
      </c>
      <c r="B109">
        <v>1</v>
      </c>
      <c r="C109" t="s">
        <v>93</v>
      </c>
      <c r="D109">
        <v>1.7868000000000001E-3</v>
      </c>
      <c r="E109" t="s">
        <v>74</v>
      </c>
      <c r="F109">
        <v>1.7867999999999999</v>
      </c>
      <c r="G109" t="s">
        <v>75</v>
      </c>
      <c r="H109">
        <v>1786.8</v>
      </c>
      <c r="I109" t="s">
        <v>76</v>
      </c>
      <c r="J109" t="s">
        <v>77</v>
      </c>
    </row>
    <row r="110" spans="1:10" x14ac:dyDescent="0.3">
      <c r="A110" t="s">
        <v>72</v>
      </c>
      <c r="B110">
        <v>1</v>
      </c>
      <c r="C110" t="s">
        <v>79</v>
      </c>
      <c r="D110">
        <v>1.7439400000000001E-2</v>
      </c>
      <c r="E110" t="s">
        <v>74</v>
      </c>
      <c r="F110">
        <v>17.439399999999999</v>
      </c>
      <c r="G110" t="s">
        <v>75</v>
      </c>
      <c r="H110">
        <v>17439.401000000002</v>
      </c>
      <c r="I110" t="s">
        <v>76</v>
      </c>
      <c r="J110" t="s">
        <v>77</v>
      </c>
    </row>
    <row r="111" spans="1:10" x14ac:dyDescent="0.3">
      <c r="A111" t="s">
        <v>72</v>
      </c>
      <c r="B111">
        <v>1</v>
      </c>
      <c r="C111" t="s">
        <v>94</v>
      </c>
      <c r="D111">
        <v>1.10633E-2</v>
      </c>
      <c r="E111" t="s">
        <v>74</v>
      </c>
      <c r="F111">
        <v>11.0633</v>
      </c>
      <c r="G111" t="s">
        <v>75</v>
      </c>
      <c r="H111">
        <v>11063.3</v>
      </c>
      <c r="I111" t="s">
        <v>76</v>
      </c>
      <c r="J111" t="s">
        <v>77</v>
      </c>
    </row>
    <row r="112" spans="1:10" x14ac:dyDescent="0.3">
      <c r="A112" t="s">
        <v>72</v>
      </c>
      <c r="B112">
        <v>1</v>
      </c>
      <c r="C112" t="s">
        <v>80</v>
      </c>
      <c r="D112">
        <v>1.10653E-2</v>
      </c>
      <c r="E112" t="s">
        <v>74</v>
      </c>
      <c r="F112">
        <v>11.065300000000001</v>
      </c>
      <c r="G112" t="s">
        <v>75</v>
      </c>
      <c r="H112">
        <v>11065.3</v>
      </c>
      <c r="I112" t="s">
        <v>76</v>
      </c>
      <c r="J112" t="s">
        <v>77</v>
      </c>
    </row>
    <row r="113" spans="1:11" x14ac:dyDescent="0.3">
      <c r="A113" t="s">
        <v>72</v>
      </c>
      <c r="B113">
        <v>1</v>
      </c>
      <c r="C113" t="s">
        <v>81</v>
      </c>
      <c r="D113">
        <v>2.85083E-2</v>
      </c>
      <c r="E113" t="s">
        <v>74</v>
      </c>
      <c r="F113">
        <v>28.508299999999998</v>
      </c>
      <c r="G113" t="s">
        <v>75</v>
      </c>
      <c r="H113">
        <v>28508.3</v>
      </c>
      <c r="I113" t="s">
        <v>76</v>
      </c>
      <c r="J113" t="s">
        <v>82</v>
      </c>
      <c r="K113">
        <v>35.077503800000002</v>
      </c>
    </row>
    <row r="114" spans="1:11" x14ac:dyDescent="0.3">
      <c r="A114" t="s">
        <v>83</v>
      </c>
      <c r="B114">
        <v>1000</v>
      </c>
      <c r="C114" t="s">
        <v>91</v>
      </c>
      <c r="D114">
        <v>5.4270000000000002E-4</v>
      </c>
      <c r="E114" t="s">
        <v>74</v>
      </c>
      <c r="F114">
        <v>0.54269999999999996</v>
      </c>
      <c r="G114" t="s">
        <v>75</v>
      </c>
      <c r="H114">
        <v>542.70000000000005</v>
      </c>
      <c r="I114" t="s">
        <v>76</v>
      </c>
      <c r="J114" t="s">
        <v>77</v>
      </c>
    </row>
    <row r="115" spans="1:11" x14ac:dyDescent="0.3">
      <c r="A115" t="s">
        <v>83</v>
      </c>
      <c r="B115">
        <v>1000</v>
      </c>
      <c r="C115" t="s">
        <v>92</v>
      </c>
      <c r="D115">
        <v>1.0717020000000001E-2</v>
      </c>
      <c r="E115" t="s">
        <v>74</v>
      </c>
      <c r="F115">
        <v>10.71702</v>
      </c>
      <c r="G115" t="s">
        <v>75</v>
      </c>
      <c r="H115">
        <v>10717.025</v>
      </c>
      <c r="I115" t="s">
        <v>76</v>
      </c>
      <c r="J115" t="s">
        <v>77</v>
      </c>
    </row>
    <row r="116" spans="1:11" x14ac:dyDescent="0.3">
      <c r="A116" t="s">
        <v>83</v>
      </c>
      <c r="B116">
        <v>1000</v>
      </c>
      <c r="C116" t="s">
        <v>93</v>
      </c>
      <c r="D116">
        <v>5.0425000000000003E-4</v>
      </c>
      <c r="E116" t="s">
        <v>74</v>
      </c>
      <c r="F116">
        <v>0.50424999999999998</v>
      </c>
      <c r="G116" t="s">
        <v>75</v>
      </c>
      <c r="H116">
        <v>504.25099999999998</v>
      </c>
      <c r="I116" t="s">
        <v>76</v>
      </c>
      <c r="J116" t="s">
        <v>77</v>
      </c>
    </row>
    <row r="117" spans="1:11" x14ac:dyDescent="0.3">
      <c r="A117" t="s">
        <v>83</v>
      </c>
      <c r="B117">
        <v>1000</v>
      </c>
      <c r="C117" t="s">
        <v>79</v>
      </c>
      <c r="D117">
        <v>1.1764409999999999E-2</v>
      </c>
      <c r="E117" t="s">
        <v>74</v>
      </c>
      <c r="F117">
        <v>11.76441</v>
      </c>
      <c r="G117" t="s">
        <v>75</v>
      </c>
      <c r="H117">
        <v>11764.409</v>
      </c>
      <c r="I117" t="s">
        <v>76</v>
      </c>
      <c r="J117" t="s">
        <v>77</v>
      </c>
    </row>
    <row r="118" spans="1:11" x14ac:dyDescent="0.3">
      <c r="A118" t="s">
        <v>83</v>
      </c>
      <c r="B118">
        <v>1000</v>
      </c>
      <c r="C118" t="s">
        <v>94</v>
      </c>
      <c r="D118">
        <v>2.6779199999999999E-3</v>
      </c>
      <c r="E118" t="s">
        <v>74</v>
      </c>
      <c r="F118">
        <v>2.6779199999999999</v>
      </c>
      <c r="G118" t="s">
        <v>75</v>
      </c>
      <c r="H118">
        <v>2677.9169999999999</v>
      </c>
      <c r="I118" t="s">
        <v>76</v>
      </c>
      <c r="J118" t="s">
        <v>77</v>
      </c>
    </row>
    <row r="119" spans="1:11" x14ac:dyDescent="0.3">
      <c r="A119" t="s">
        <v>83</v>
      </c>
      <c r="B119">
        <v>1000</v>
      </c>
      <c r="C119" t="s">
        <v>80</v>
      </c>
      <c r="D119">
        <v>2.8706399999999998E-3</v>
      </c>
      <c r="E119" t="s">
        <v>74</v>
      </c>
      <c r="F119">
        <v>2.8706399999999999</v>
      </c>
      <c r="G119" t="s">
        <v>75</v>
      </c>
      <c r="H119">
        <v>2870.6439999999998</v>
      </c>
      <c r="I119" t="s">
        <v>76</v>
      </c>
      <c r="J119" t="s">
        <v>77</v>
      </c>
    </row>
    <row r="120" spans="1:11" x14ac:dyDescent="0.3">
      <c r="A120" t="s">
        <v>83</v>
      </c>
      <c r="B120">
        <v>1000</v>
      </c>
      <c r="C120" t="s">
        <v>81</v>
      </c>
      <c r="D120">
        <v>1.463657E-2</v>
      </c>
      <c r="E120" t="s">
        <v>74</v>
      </c>
      <c r="F120">
        <v>14.636570000000001</v>
      </c>
      <c r="G120" t="s">
        <v>75</v>
      </c>
      <c r="H120">
        <v>14636.575000000001</v>
      </c>
      <c r="I120" t="s">
        <v>76</v>
      </c>
      <c r="J120" t="s">
        <v>82</v>
      </c>
      <c r="K120">
        <v>68.321995900000005</v>
      </c>
    </row>
    <row r="121" spans="1:11" x14ac:dyDescent="0.3">
      <c r="A121" t="s">
        <v>84</v>
      </c>
      <c r="B121">
        <v>1001</v>
      </c>
      <c r="C121" t="s">
        <v>91</v>
      </c>
      <c r="D121">
        <v>5.4438999999999996E-4</v>
      </c>
      <c r="E121" t="s">
        <v>74</v>
      </c>
      <c r="F121">
        <v>0.54439000000000004</v>
      </c>
      <c r="G121" t="s">
        <v>75</v>
      </c>
      <c r="H121">
        <v>544.39499999999998</v>
      </c>
      <c r="I121" t="s">
        <v>76</v>
      </c>
      <c r="J121" t="s">
        <v>77</v>
      </c>
    </row>
    <row r="122" spans="1:11" x14ac:dyDescent="0.3">
      <c r="A122" t="s">
        <v>84</v>
      </c>
      <c r="B122">
        <v>1001</v>
      </c>
      <c r="C122" t="s">
        <v>92</v>
      </c>
      <c r="D122">
        <v>1.071971E-2</v>
      </c>
      <c r="E122" t="s">
        <v>74</v>
      </c>
      <c r="F122">
        <v>10.719709999999999</v>
      </c>
      <c r="G122" t="s">
        <v>75</v>
      </c>
      <c r="H122">
        <v>10719.71</v>
      </c>
      <c r="I122" t="s">
        <v>76</v>
      </c>
      <c r="J122" t="s">
        <v>77</v>
      </c>
    </row>
    <row r="123" spans="1:11" x14ac:dyDescent="0.3">
      <c r="A123" t="s">
        <v>84</v>
      </c>
      <c r="B123">
        <v>1001</v>
      </c>
      <c r="C123" t="s">
        <v>93</v>
      </c>
      <c r="D123">
        <v>5.0553000000000002E-4</v>
      </c>
      <c r="E123" t="s">
        <v>74</v>
      </c>
      <c r="F123">
        <v>0.50553000000000003</v>
      </c>
      <c r="G123" t="s">
        <v>75</v>
      </c>
      <c r="H123">
        <v>505.53300000000002</v>
      </c>
      <c r="I123" t="s">
        <v>76</v>
      </c>
      <c r="J123" t="s">
        <v>77</v>
      </c>
    </row>
    <row r="124" spans="1:11" x14ac:dyDescent="0.3">
      <c r="A124" t="s">
        <v>84</v>
      </c>
      <c r="B124">
        <v>1001</v>
      </c>
      <c r="C124" t="s">
        <v>79</v>
      </c>
      <c r="D124">
        <v>1.177008E-2</v>
      </c>
      <c r="E124" t="s">
        <v>74</v>
      </c>
      <c r="F124">
        <v>11.77008</v>
      </c>
      <c r="G124" t="s">
        <v>75</v>
      </c>
      <c r="H124">
        <v>11770.078</v>
      </c>
      <c r="I124" t="s">
        <v>76</v>
      </c>
      <c r="J124" t="s">
        <v>77</v>
      </c>
    </row>
    <row r="125" spans="1:11" x14ac:dyDescent="0.3">
      <c r="A125" t="s">
        <v>84</v>
      </c>
      <c r="B125">
        <v>1001</v>
      </c>
      <c r="C125" t="s">
        <v>94</v>
      </c>
      <c r="D125">
        <v>2.68629E-3</v>
      </c>
      <c r="E125" t="s">
        <v>74</v>
      </c>
      <c r="F125">
        <v>2.6862900000000001</v>
      </c>
      <c r="G125" t="s">
        <v>75</v>
      </c>
      <c r="H125">
        <v>2686.2930000000001</v>
      </c>
      <c r="I125" t="s">
        <v>76</v>
      </c>
      <c r="J125" t="s">
        <v>77</v>
      </c>
    </row>
    <row r="126" spans="1:11" x14ac:dyDescent="0.3">
      <c r="A126" t="s">
        <v>84</v>
      </c>
      <c r="B126">
        <v>1001</v>
      </c>
      <c r="C126" t="s">
        <v>80</v>
      </c>
      <c r="D126">
        <v>2.8788300000000002E-3</v>
      </c>
      <c r="E126" t="s">
        <v>74</v>
      </c>
      <c r="F126">
        <v>2.8788299999999998</v>
      </c>
      <c r="G126" t="s">
        <v>75</v>
      </c>
      <c r="H126">
        <v>2878.8310000000001</v>
      </c>
      <c r="I126" t="s">
        <v>76</v>
      </c>
      <c r="J126" t="s">
        <v>77</v>
      </c>
    </row>
    <row r="127" spans="1:11" x14ac:dyDescent="0.3">
      <c r="A127" t="s">
        <v>84</v>
      </c>
      <c r="B127">
        <v>1001</v>
      </c>
      <c r="C127" t="s">
        <v>81</v>
      </c>
      <c r="D127">
        <v>1.4650430000000001E-2</v>
      </c>
      <c r="E127" t="s">
        <v>74</v>
      </c>
      <c r="F127">
        <v>14.65043</v>
      </c>
      <c r="G127" t="s">
        <v>75</v>
      </c>
      <c r="H127">
        <v>14650.432000000001</v>
      </c>
      <c r="I127" t="s">
        <v>76</v>
      </c>
      <c r="J127" t="s">
        <v>82</v>
      </c>
      <c r="K127">
        <v>68.257370600000002</v>
      </c>
    </row>
    <row r="128" spans="1:11" x14ac:dyDescent="0.3">
      <c r="A128" t="s">
        <v>85</v>
      </c>
      <c r="B128">
        <v>1001</v>
      </c>
      <c r="C128" t="s">
        <v>86</v>
      </c>
      <c r="D128">
        <v>1.4650649999999999E-2</v>
      </c>
      <c r="E128" t="s">
        <v>74</v>
      </c>
      <c r="F128">
        <v>14.650650000000001</v>
      </c>
      <c r="G128" t="s">
        <v>75</v>
      </c>
      <c r="H128">
        <v>14650.653</v>
      </c>
      <c r="I128" t="s">
        <v>76</v>
      </c>
      <c r="J128" t="s">
        <v>82</v>
      </c>
      <c r="K128">
        <v>68.256345199999998</v>
      </c>
    </row>
    <row r="129" spans="1:11" x14ac:dyDescent="0.3">
      <c r="A129" t="s">
        <v>95</v>
      </c>
    </row>
    <row r="130" spans="1:11" x14ac:dyDescent="0.3">
      <c r="A130" t="s">
        <v>72</v>
      </c>
      <c r="B130">
        <v>1</v>
      </c>
      <c r="C130" t="s">
        <v>73</v>
      </c>
      <c r="D130">
        <v>5.0000000000000004E-6</v>
      </c>
      <c r="E130" t="s">
        <v>74</v>
      </c>
      <c r="F130">
        <v>5.0000000000000001E-3</v>
      </c>
      <c r="G130" t="s">
        <v>75</v>
      </c>
      <c r="H130">
        <v>5</v>
      </c>
      <c r="I130" t="s">
        <v>76</v>
      </c>
      <c r="J130" t="s">
        <v>77</v>
      </c>
    </row>
    <row r="131" spans="1:11" x14ac:dyDescent="0.3">
      <c r="A131" t="s">
        <v>72</v>
      </c>
      <c r="B131">
        <v>1</v>
      </c>
      <c r="C131" t="s">
        <v>78</v>
      </c>
      <c r="D131">
        <v>4.1199999999999999E-5</v>
      </c>
      <c r="E131" t="s">
        <v>74</v>
      </c>
      <c r="F131">
        <v>4.1200000000000001E-2</v>
      </c>
      <c r="G131" t="s">
        <v>75</v>
      </c>
      <c r="H131">
        <v>41.2</v>
      </c>
      <c r="I131" t="s">
        <v>76</v>
      </c>
      <c r="J131" t="s">
        <v>77</v>
      </c>
    </row>
    <row r="132" spans="1:11" x14ac:dyDescent="0.3">
      <c r="A132" t="s">
        <v>72</v>
      </c>
      <c r="B132">
        <v>1</v>
      </c>
      <c r="C132" t="s">
        <v>91</v>
      </c>
      <c r="D132">
        <v>2.0853E-3</v>
      </c>
      <c r="E132" t="s">
        <v>74</v>
      </c>
      <c r="F132">
        <v>2.0853000000000002</v>
      </c>
      <c r="G132" t="s">
        <v>75</v>
      </c>
      <c r="H132">
        <v>2085.3000000000002</v>
      </c>
      <c r="I132" t="s">
        <v>76</v>
      </c>
      <c r="J132" t="s">
        <v>77</v>
      </c>
    </row>
    <row r="133" spans="1:11" x14ac:dyDescent="0.3">
      <c r="A133" t="s">
        <v>72</v>
      </c>
      <c r="B133">
        <v>1</v>
      </c>
      <c r="C133" t="s">
        <v>92</v>
      </c>
      <c r="D133">
        <v>1.18516E-2</v>
      </c>
      <c r="E133" t="s">
        <v>74</v>
      </c>
      <c r="F133">
        <v>11.851599999999999</v>
      </c>
      <c r="G133" t="s">
        <v>75</v>
      </c>
      <c r="H133">
        <v>11851.6</v>
      </c>
      <c r="I133" t="s">
        <v>76</v>
      </c>
      <c r="J133" t="s">
        <v>77</v>
      </c>
    </row>
    <row r="134" spans="1:11" x14ac:dyDescent="0.3">
      <c r="A134" t="s">
        <v>72</v>
      </c>
      <c r="B134">
        <v>1</v>
      </c>
      <c r="C134" t="s">
        <v>93</v>
      </c>
      <c r="D134">
        <v>1.5968E-3</v>
      </c>
      <c r="E134" t="s">
        <v>74</v>
      </c>
      <c r="F134">
        <v>1.5968</v>
      </c>
      <c r="G134" t="s">
        <v>75</v>
      </c>
      <c r="H134">
        <v>1596.8</v>
      </c>
      <c r="I134" t="s">
        <v>76</v>
      </c>
      <c r="J134" t="s">
        <v>77</v>
      </c>
    </row>
    <row r="135" spans="1:11" x14ac:dyDescent="0.3">
      <c r="A135" t="s">
        <v>72</v>
      </c>
      <c r="B135">
        <v>1</v>
      </c>
      <c r="C135" t="s">
        <v>79</v>
      </c>
      <c r="D135">
        <v>1.5533999999999999E-2</v>
      </c>
      <c r="E135" t="s">
        <v>74</v>
      </c>
      <c r="F135">
        <v>15.534000000000001</v>
      </c>
      <c r="G135" t="s">
        <v>75</v>
      </c>
      <c r="H135">
        <v>15534</v>
      </c>
      <c r="I135" t="s">
        <v>76</v>
      </c>
      <c r="J135" t="s">
        <v>77</v>
      </c>
    </row>
    <row r="136" spans="1:11" x14ac:dyDescent="0.3">
      <c r="A136" t="s">
        <v>72</v>
      </c>
      <c r="B136">
        <v>1</v>
      </c>
      <c r="C136" t="s">
        <v>96</v>
      </c>
      <c r="D136">
        <v>1.9989999999999999E-3</v>
      </c>
      <c r="E136" t="s">
        <v>74</v>
      </c>
      <c r="F136">
        <v>1.9990000000000001</v>
      </c>
      <c r="G136" t="s">
        <v>75</v>
      </c>
      <c r="H136">
        <v>1999</v>
      </c>
      <c r="I136" t="s">
        <v>76</v>
      </c>
      <c r="J136" t="s">
        <v>77</v>
      </c>
    </row>
    <row r="137" spans="1:11" x14ac:dyDescent="0.3">
      <c r="A137" t="s">
        <v>72</v>
      </c>
      <c r="B137">
        <v>1</v>
      </c>
      <c r="C137" t="s">
        <v>94</v>
      </c>
      <c r="D137">
        <v>3.1388000000000002E-3</v>
      </c>
      <c r="E137" t="s">
        <v>74</v>
      </c>
      <c r="F137">
        <v>3.1387999999999998</v>
      </c>
      <c r="G137" t="s">
        <v>75</v>
      </c>
      <c r="H137">
        <v>3138.8</v>
      </c>
      <c r="I137" t="s">
        <v>76</v>
      </c>
      <c r="J137" t="s">
        <v>77</v>
      </c>
    </row>
    <row r="138" spans="1:11" x14ac:dyDescent="0.3">
      <c r="A138" t="s">
        <v>72</v>
      </c>
      <c r="B138">
        <v>1</v>
      </c>
      <c r="C138" t="s">
        <v>80</v>
      </c>
      <c r="D138">
        <v>5.2655999999999996E-3</v>
      </c>
      <c r="E138" t="s">
        <v>74</v>
      </c>
      <c r="F138">
        <v>5.2656000000000001</v>
      </c>
      <c r="G138" t="s">
        <v>75</v>
      </c>
      <c r="H138">
        <v>5265.6</v>
      </c>
      <c r="I138" t="s">
        <v>76</v>
      </c>
      <c r="J138" t="s">
        <v>77</v>
      </c>
    </row>
    <row r="139" spans="1:11" x14ac:dyDescent="0.3">
      <c r="A139" t="s">
        <v>72</v>
      </c>
      <c r="B139">
        <v>1</v>
      </c>
      <c r="C139" t="s">
        <v>81</v>
      </c>
      <c r="D139">
        <v>2.08005E-2</v>
      </c>
      <c r="E139" t="s">
        <v>74</v>
      </c>
      <c r="F139">
        <v>20.8005</v>
      </c>
      <c r="G139" t="s">
        <v>75</v>
      </c>
      <c r="H139">
        <v>20800.499</v>
      </c>
      <c r="I139" t="s">
        <v>76</v>
      </c>
      <c r="J139" t="s">
        <v>82</v>
      </c>
      <c r="K139">
        <v>48.075769200000003</v>
      </c>
    </row>
    <row r="140" spans="1:11" x14ac:dyDescent="0.3">
      <c r="A140" t="s">
        <v>83</v>
      </c>
      <c r="B140">
        <v>1000</v>
      </c>
      <c r="C140" t="s">
        <v>91</v>
      </c>
      <c r="D140">
        <v>5.4100999999999997E-4</v>
      </c>
      <c r="E140" t="s">
        <v>74</v>
      </c>
      <c r="F140">
        <v>0.54100999999999999</v>
      </c>
      <c r="G140" t="s">
        <v>75</v>
      </c>
      <c r="H140">
        <v>541.00699999999995</v>
      </c>
      <c r="I140" t="s">
        <v>76</v>
      </c>
      <c r="J140" t="s">
        <v>77</v>
      </c>
    </row>
    <row r="141" spans="1:11" x14ac:dyDescent="0.3">
      <c r="A141" t="s">
        <v>83</v>
      </c>
      <c r="B141">
        <v>1000</v>
      </c>
      <c r="C141" t="s">
        <v>92</v>
      </c>
      <c r="D141">
        <v>1.0698269999999999E-2</v>
      </c>
      <c r="E141" t="s">
        <v>74</v>
      </c>
      <c r="F141">
        <v>10.698270000000001</v>
      </c>
      <c r="G141" t="s">
        <v>75</v>
      </c>
      <c r="H141">
        <v>10698.264999999999</v>
      </c>
      <c r="I141" t="s">
        <v>76</v>
      </c>
      <c r="J141" t="s">
        <v>77</v>
      </c>
    </row>
    <row r="142" spans="1:11" x14ac:dyDescent="0.3">
      <c r="A142" t="s">
        <v>83</v>
      </c>
      <c r="B142">
        <v>1000</v>
      </c>
      <c r="C142" t="s">
        <v>93</v>
      </c>
      <c r="D142">
        <v>5.0516999999999999E-4</v>
      </c>
      <c r="E142" t="s">
        <v>74</v>
      </c>
      <c r="F142">
        <v>0.50517000000000001</v>
      </c>
      <c r="G142" t="s">
        <v>75</v>
      </c>
      <c r="H142">
        <v>505.16500000000002</v>
      </c>
      <c r="I142" t="s">
        <v>76</v>
      </c>
      <c r="J142" t="s">
        <v>77</v>
      </c>
    </row>
    <row r="143" spans="1:11" x14ac:dyDescent="0.3">
      <c r="A143" t="s">
        <v>83</v>
      </c>
      <c r="B143">
        <v>1000</v>
      </c>
      <c r="C143" t="s">
        <v>79</v>
      </c>
      <c r="D143">
        <v>1.1744839999999999E-2</v>
      </c>
      <c r="E143" t="s">
        <v>74</v>
      </c>
      <c r="F143">
        <v>11.74484</v>
      </c>
      <c r="G143" t="s">
        <v>75</v>
      </c>
      <c r="H143">
        <v>11744.841</v>
      </c>
      <c r="I143" t="s">
        <v>76</v>
      </c>
      <c r="J143" t="s">
        <v>77</v>
      </c>
    </row>
    <row r="144" spans="1:11" x14ac:dyDescent="0.3">
      <c r="A144" t="s">
        <v>83</v>
      </c>
      <c r="B144">
        <v>1000</v>
      </c>
      <c r="C144" t="s">
        <v>96</v>
      </c>
      <c r="D144">
        <v>1.78947E-3</v>
      </c>
      <c r="E144" t="s">
        <v>74</v>
      </c>
      <c r="F144">
        <v>1.7894699999999999</v>
      </c>
      <c r="G144" t="s">
        <v>75</v>
      </c>
      <c r="H144">
        <v>1789.471</v>
      </c>
      <c r="I144" t="s">
        <v>76</v>
      </c>
      <c r="J144" t="s">
        <v>77</v>
      </c>
    </row>
    <row r="145" spans="1:11" x14ac:dyDescent="0.3">
      <c r="A145" t="s">
        <v>83</v>
      </c>
      <c r="B145">
        <v>1000</v>
      </c>
      <c r="C145" t="s">
        <v>94</v>
      </c>
      <c r="D145">
        <v>3.0681800000000002E-3</v>
      </c>
      <c r="E145" t="s">
        <v>74</v>
      </c>
      <c r="F145">
        <v>3.0681799999999999</v>
      </c>
      <c r="G145" t="s">
        <v>75</v>
      </c>
      <c r="H145">
        <v>3068.1779999999999</v>
      </c>
      <c r="I145" t="s">
        <v>76</v>
      </c>
      <c r="J145" t="s">
        <v>77</v>
      </c>
    </row>
    <row r="146" spans="1:11" x14ac:dyDescent="0.3">
      <c r="A146" t="s">
        <v>83</v>
      </c>
      <c r="B146">
        <v>1000</v>
      </c>
      <c r="C146" t="s">
        <v>80</v>
      </c>
      <c r="D146">
        <v>4.9855500000000001E-3</v>
      </c>
      <c r="E146" t="s">
        <v>74</v>
      </c>
      <c r="F146">
        <v>4.9855499999999999</v>
      </c>
      <c r="G146" t="s">
        <v>75</v>
      </c>
      <c r="H146">
        <v>4985.5510000000004</v>
      </c>
      <c r="I146" t="s">
        <v>76</v>
      </c>
      <c r="J146" t="s">
        <v>77</v>
      </c>
    </row>
    <row r="147" spans="1:11" x14ac:dyDescent="0.3">
      <c r="A147" t="s">
        <v>83</v>
      </c>
      <c r="B147">
        <v>1000</v>
      </c>
      <c r="C147" t="s">
        <v>81</v>
      </c>
      <c r="D147">
        <v>1.673198E-2</v>
      </c>
      <c r="E147" t="s">
        <v>74</v>
      </c>
      <c r="F147">
        <v>16.73198</v>
      </c>
      <c r="G147" t="s">
        <v>75</v>
      </c>
      <c r="H147">
        <v>16731.983</v>
      </c>
      <c r="I147" t="s">
        <v>76</v>
      </c>
      <c r="J147" t="s">
        <v>82</v>
      </c>
      <c r="K147">
        <v>59.765778400000002</v>
      </c>
    </row>
    <row r="148" spans="1:11" x14ac:dyDescent="0.3">
      <c r="A148" t="s">
        <v>84</v>
      </c>
      <c r="B148">
        <v>1001</v>
      </c>
      <c r="C148" t="s">
        <v>91</v>
      </c>
      <c r="D148">
        <v>5.4255000000000004E-4</v>
      </c>
      <c r="E148" t="s">
        <v>74</v>
      </c>
      <c r="F148">
        <v>0.54254999999999998</v>
      </c>
      <c r="G148" t="s">
        <v>75</v>
      </c>
      <c r="H148">
        <v>542.54999999999995</v>
      </c>
      <c r="I148" t="s">
        <v>76</v>
      </c>
      <c r="J148" t="s">
        <v>77</v>
      </c>
    </row>
    <row r="149" spans="1:11" x14ac:dyDescent="0.3">
      <c r="A149" t="s">
        <v>84</v>
      </c>
      <c r="B149">
        <v>1001</v>
      </c>
      <c r="C149" t="s">
        <v>92</v>
      </c>
      <c r="D149">
        <v>1.0699419999999999E-2</v>
      </c>
      <c r="E149" t="s">
        <v>74</v>
      </c>
      <c r="F149">
        <v>10.69942</v>
      </c>
      <c r="G149" t="s">
        <v>75</v>
      </c>
      <c r="H149">
        <v>10699.418</v>
      </c>
      <c r="I149" t="s">
        <v>76</v>
      </c>
      <c r="J149" t="s">
        <v>77</v>
      </c>
    </row>
    <row r="150" spans="1:11" x14ac:dyDescent="0.3">
      <c r="A150" t="s">
        <v>84</v>
      </c>
      <c r="B150">
        <v>1001</v>
      </c>
      <c r="C150" t="s">
        <v>93</v>
      </c>
      <c r="D150">
        <v>5.0626000000000002E-4</v>
      </c>
      <c r="E150" t="s">
        <v>74</v>
      </c>
      <c r="F150">
        <v>0.50626000000000004</v>
      </c>
      <c r="G150" t="s">
        <v>75</v>
      </c>
      <c r="H150">
        <v>506.25599999999997</v>
      </c>
      <c r="I150" t="s">
        <v>76</v>
      </c>
      <c r="J150" t="s">
        <v>77</v>
      </c>
    </row>
    <row r="151" spans="1:11" x14ac:dyDescent="0.3">
      <c r="A151" t="s">
        <v>84</v>
      </c>
      <c r="B151">
        <v>1001</v>
      </c>
      <c r="C151" t="s">
        <v>79</v>
      </c>
      <c r="D151">
        <v>1.1748629999999999E-2</v>
      </c>
      <c r="E151" t="s">
        <v>74</v>
      </c>
      <c r="F151">
        <v>11.74863</v>
      </c>
      <c r="G151" t="s">
        <v>75</v>
      </c>
      <c r="H151">
        <v>11748.625</v>
      </c>
      <c r="I151" t="s">
        <v>76</v>
      </c>
      <c r="J151" t="s">
        <v>77</v>
      </c>
    </row>
    <row r="152" spans="1:11" x14ac:dyDescent="0.3">
      <c r="A152" t="s">
        <v>84</v>
      </c>
      <c r="B152">
        <v>1001</v>
      </c>
      <c r="C152" t="s">
        <v>96</v>
      </c>
      <c r="D152">
        <v>1.7896800000000001E-3</v>
      </c>
      <c r="E152" t="s">
        <v>74</v>
      </c>
      <c r="F152">
        <v>1.7896799999999999</v>
      </c>
      <c r="G152" t="s">
        <v>75</v>
      </c>
      <c r="H152">
        <v>1789.68</v>
      </c>
      <c r="I152" t="s">
        <v>76</v>
      </c>
      <c r="J152" t="s">
        <v>77</v>
      </c>
    </row>
    <row r="153" spans="1:11" x14ac:dyDescent="0.3">
      <c r="A153" t="s">
        <v>84</v>
      </c>
      <c r="B153">
        <v>1001</v>
      </c>
      <c r="C153" t="s">
        <v>94</v>
      </c>
      <c r="D153">
        <v>3.0682499999999998E-3</v>
      </c>
      <c r="E153" t="s">
        <v>74</v>
      </c>
      <c r="F153">
        <v>3.0682499999999999</v>
      </c>
      <c r="G153" t="s">
        <v>75</v>
      </c>
      <c r="H153">
        <v>3068.248</v>
      </c>
      <c r="I153" t="s">
        <v>76</v>
      </c>
      <c r="J153" t="s">
        <v>77</v>
      </c>
    </row>
    <row r="154" spans="1:11" x14ac:dyDescent="0.3">
      <c r="A154" t="s">
        <v>84</v>
      </c>
      <c r="B154">
        <v>1001</v>
      </c>
      <c r="C154" t="s">
        <v>80</v>
      </c>
      <c r="D154">
        <v>4.9858300000000001E-3</v>
      </c>
      <c r="E154" t="s">
        <v>74</v>
      </c>
      <c r="F154">
        <v>4.98583</v>
      </c>
      <c r="G154" t="s">
        <v>75</v>
      </c>
      <c r="H154">
        <v>4985.8310000000001</v>
      </c>
      <c r="I154" t="s">
        <v>76</v>
      </c>
      <c r="J154" t="s">
        <v>77</v>
      </c>
    </row>
    <row r="155" spans="1:11" x14ac:dyDescent="0.3">
      <c r="A155" t="s">
        <v>84</v>
      </c>
      <c r="B155">
        <v>1001</v>
      </c>
      <c r="C155" t="s">
        <v>81</v>
      </c>
      <c r="D155">
        <v>1.6736049999999999E-2</v>
      </c>
      <c r="E155" t="s">
        <v>74</v>
      </c>
      <c r="F155">
        <v>16.736049999999999</v>
      </c>
      <c r="G155" t="s">
        <v>75</v>
      </c>
      <c r="H155">
        <v>16736.046999999999</v>
      </c>
      <c r="I155" t="s">
        <v>76</v>
      </c>
      <c r="J155" t="s">
        <v>82</v>
      </c>
      <c r="K155">
        <v>59.751266999999999</v>
      </c>
    </row>
    <row r="156" spans="1:11" x14ac:dyDescent="0.3">
      <c r="A156" t="s">
        <v>85</v>
      </c>
      <c r="B156">
        <v>1001</v>
      </c>
      <c r="C156" t="s">
        <v>86</v>
      </c>
      <c r="D156">
        <v>1.6736259999999999E-2</v>
      </c>
      <c r="E156" t="s">
        <v>74</v>
      </c>
      <c r="F156">
        <v>16.736260000000001</v>
      </c>
      <c r="G156" t="s">
        <v>75</v>
      </c>
      <c r="H156">
        <v>16736.259999999998</v>
      </c>
      <c r="I156" t="s">
        <v>76</v>
      </c>
      <c r="J156" t="s">
        <v>82</v>
      </c>
      <c r="K156">
        <v>59.750505099999998</v>
      </c>
    </row>
    <row r="157" spans="1:11" x14ac:dyDescent="0.3">
      <c r="A157" t="s">
        <v>87</v>
      </c>
    </row>
    <row r="158" spans="1:11" x14ac:dyDescent="0.3">
      <c r="A158" t="s">
        <v>97</v>
      </c>
    </row>
    <row r="159" spans="1:11" x14ac:dyDescent="0.3">
      <c r="A159" t="s">
        <v>72</v>
      </c>
      <c r="B159">
        <v>1</v>
      </c>
      <c r="C159" t="s">
        <v>81</v>
      </c>
      <c r="D159">
        <v>2.85083E-2</v>
      </c>
      <c r="E159" t="s">
        <v>74</v>
      </c>
      <c r="F159">
        <v>28.508299999999998</v>
      </c>
      <c r="G159" t="s">
        <v>75</v>
      </c>
      <c r="H159">
        <v>28508.3</v>
      </c>
      <c r="I159" t="s">
        <v>76</v>
      </c>
      <c r="J159" t="s">
        <v>82</v>
      </c>
      <c r="K159">
        <v>35.077503800000002</v>
      </c>
    </row>
    <row r="160" spans="1:11" x14ac:dyDescent="0.3">
      <c r="A160" t="s">
        <v>83</v>
      </c>
      <c r="B160">
        <v>1000</v>
      </c>
      <c r="C160" t="s">
        <v>81</v>
      </c>
      <c r="D160">
        <v>1.463657E-2</v>
      </c>
      <c r="E160" t="s">
        <v>74</v>
      </c>
      <c r="F160">
        <v>14.636570000000001</v>
      </c>
      <c r="G160" t="s">
        <v>75</v>
      </c>
      <c r="H160">
        <v>14636.575000000001</v>
      </c>
      <c r="I160" t="s">
        <v>76</v>
      </c>
      <c r="J160" t="s">
        <v>82</v>
      </c>
      <c r="K160">
        <v>68.321995900000005</v>
      </c>
    </row>
    <row r="161" spans="1:11" x14ac:dyDescent="0.3">
      <c r="A161" t="s">
        <v>85</v>
      </c>
      <c r="B161">
        <v>1001</v>
      </c>
      <c r="C161" t="s">
        <v>86</v>
      </c>
      <c r="D161">
        <v>1.4650649999999999E-2</v>
      </c>
      <c r="E161" t="s">
        <v>74</v>
      </c>
      <c r="F161">
        <v>14.650650000000001</v>
      </c>
      <c r="G161" t="s">
        <v>75</v>
      </c>
      <c r="H161">
        <v>14650.653</v>
      </c>
      <c r="I161" t="s">
        <v>76</v>
      </c>
      <c r="J161" t="s">
        <v>82</v>
      </c>
      <c r="K161">
        <v>68.256345199999998</v>
      </c>
    </row>
    <row r="163" spans="1:11" x14ac:dyDescent="0.3">
      <c r="A163" t="s">
        <v>98</v>
      </c>
    </row>
    <row r="164" spans="1:11" x14ac:dyDescent="0.3">
      <c r="A164" t="s">
        <v>72</v>
      </c>
      <c r="B164">
        <v>1</v>
      </c>
      <c r="C164" t="s">
        <v>81</v>
      </c>
      <c r="D164">
        <v>2.08005E-2</v>
      </c>
      <c r="E164" t="s">
        <v>74</v>
      </c>
      <c r="F164">
        <v>20.8005</v>
      </c>
      <c r="G164" t="s">
        <v>75</v>
      </c>
      <c r="H164">
        <v>20800.499</v>
      </c>
      <c r="I164" t="s">
        <v>76</v>
      </c>
      <c r="J164" t="s">
        <v>82</v>
      </c>
      <c r="K164">
        <v>48.075769200000003</v>
      </c>
    </row>
    <row r="165" spans="1:11" x14ac:dyDescent="0.3">
      <c r="A165" t="s">
        <v>83</v>
      </c>
      <c r="B165">
        <v>1000</v>
      </c>
      <c r="C165" t="s">
        <v>81</v>
      </c>
      <c r="D165">
        <v>1.673198E-2</v>
      </c>
      <c r="E165" t="s">
        <v>74</v>
      </c>
      <c r="F165">
        <v>16.73198</v>
      </c>
      <c r="G165" t="s">
        <v>75</v>
      </c>
      <c r="H165">
        <v>16731.983</v>
      </c>
      <c r="I165" t="s">
        <v>76</v>
      </c>
      <c r="J165" t="s">
        <v>82</v>
      </c>
      <c r="K165">
        <v>59.765778400000002</v>
      </c>
    </row>
    <row r="166" spans="1:11" x14ac:dyDescent="0.3">
      <c r="A166" t="s">
        <v>85</v>
      </c>
      <c r="B166">
        <v>1001</v>
      </c>
      <c r="C166" t="s">
        <v>86</v>
      </c>
      <c r="D166">
        <v>1.6736259999999999E-2</v>
      </c>
      <c r="E166" t="s">
        <v>74</v>
      </c>
      <c r="F166">
        <v>16.736260000000001</v>
      </c>
      <c r="G166" t="s">
        <v>75</v>
      </c>
      <c r="H166">
        <v>16736.259999999998</v>
      </c>
      <c r="I166" t="s">
        <v>76</v>
      </c>
      <c r="J166" t="s">
        <v>82</v>
      </c>
      <c r="K166">
        <v>59.750505099999998</v>
      </c>
    </row>
    <row r="168" spans="1:11" x14ac:dyDescent="0.3">
      <c r="A168" t="s">
        <v>66</v>
      </c>
    </row>
    <row r="170" spans="1:11" x14ac:dyDescent="0.3">
      <c r="A170" t="s">
        <v>99</v>
      </c>
    </row>
    <row r="171" spans="1:11" x14ac:dyDescent="0.3">
      <c r="A171" t="s">
        <v>68</v>
      </c>
    </row>
    <row r="172" spans="1:11" x14ac:dyDescent="0.3">
      <c r="A172" t="s">
        <v>69</v>
      </c>
    </row>
    <row r="173" spans="1:11" x14ac:dyDescent="0.3">
      <c r="A173" t="s">
        <v>70</v>
      </c>
    </row>
    <row r="174" spans="1:11" x14ac:dyDescent="0.3">
      <c r="A174" t="s">
        <v>100</v>
      </c>
    </row>
    <row r="175" spans="1:11" x14ac:dyDescent="0.3">
      <c r="A175" t="s">
        <v>72</v>
      </c>
      <c r="B175">
        <v>1</v>
      </c>
      <c r="C175" t="s">
        <v>73</v>
      </c>
      <c r="D175">
        <v>4.6E-6</v>
      </c>
      <c r="E175" t="s">
        <v>74</v>
      </c>
      <c r="F175">
        <v>4.5999999999999999E-3</v>
      </c>
      <c r="G175" t="s">
        <v>75</v>
      </c>
      <c r="H175">
        <v>4.5999999999999996</v>
      </c>
      <c r="I175" t="s">
        <v>76</v>
      </c>
      <c r="J175" t="s">
        <v>77</v>
      </c>
    </row>
    <row r="176" spans="1:11" x14ac:dyDescent="0.3">
      <c r="A176" t="s">
        <v>72</v>
      </c>
      <c r="B176">
        <v>1</v>
      </c>
      <c r="C176" t="s">
        <v>78</v>
      </c>
      <c r="D176">
        <v>4.3600000000000003E-5</v>
      </c>
      <c r="E176" t="s">
        <v>74</v>
      </c>
      <c r="F176">
        <v>4.36E-2</v>
      </c>
      <c r="G176" t="s">
        <v>75</v>
      </c>
      <c r="H176">
        <v>43.6</v>
      </c>
      <c r="I176" t="s">
        <v>76</v>
      </c>
      <c r="J176" t="s">
        <v>77</v>
      </c>
    </row>
    <row r="177" spans="1:11" x14ac:dyDescent="0.3">
      <c r="A177" t="s">
        <v>72</v>
      </c>
      <c r="B177">
        <v>1</v>
      </c>
      <c r="C177" t="s">
        <v>91</v>
      </c>
      <c r="D177">
        <v>2.2761999999999999E-3</v>
      </c>
      <c r="E177" t="s">
        <v>74</v>
      </c>
      <c r="F177">
        <v>2.2761999999999998</v>
      </c>
      <c r="G177" t="s">
        <v>75</v>
      </c>
      <c r="H177">
        <v>2276.1999999999998</v>
      </c>
      <c r="I177" t="s">
        <v>76</v>
      </c>
      <c r="J177" t="s">
        <v>77</v>
      </c>
    </row>
    <row r="178" spans="1:11" x14ac:dyDescent="0.3">
      <c r="A178" t="s">
        <v>72</v>
      </c>
      <c r="B178">
        <v>1</v>
      </c>
      <c r="C178" t="s">
        <v>92</v>
      </c>
      <c r="D178">
        <v>1.18928E-2</v>
      </c>
      <c r="E178" t="s">
        <v>74</v>
      </c>
      <c r="F178">
        <v>11.892799999999999</v>
      </c>
      <c r="G178" t="s">
        <v>75</v>
      </c>
      <c r="H178">
        <v>11892.8</v>
      </c>
      <c r="I178" t="s">
        <v>76</v>
      </c>
      <c r="J178" t="s">
        <v>77</v>
      </c>
    </row>
    <row r="179" spans="1:11" x14ac:dyDescent="0.3">
      <c r="A179" t="s">
        <v>72</v>
      </c>
      <c r="B179">
        <v>1</v>
      </c>
      <c r="C179" t="s">
        <v>93</v>
      </c>
      <c r="D179">
        <v>1.6635E-3</v>
      </c>
      <c r="E179" t="s">
        <v>74</v>
      </c>
      <c r="F179">
        <v>1.6635</v>
      </c>
      <c r="G179" t="s">
        <v>75</v>
      </c>
      <c r="H179">
        <v>1663.5</v>
      </c>
      <c r="I179" t="s">
        <v>76</v>
      </c>
      <c r="J179" t="s">
        <v>77</v>
      </c>
    </row>
    <row r="180" spans="1:11" x14ac:dyDescent="0.3">
      <c r="A180" t="s">
        <v>72</v>
      </c>
      <c r="B180">
        <v>1</v>
      </c>
      <c r="C180" t="s">
        <v>79</v>
      </c>
      <c r="D180">
        <v>1.5844500000000001E-2</v>
      </c>
      <c r="E180" t="s">
        <v>74</v>
      </c>
      <c r="F180">
        <v>15.8445</v>
      </c>
      <c r="G180" t="s">
        <v>75</v>
      </c>
      <c r="H180">
        <v>15844.5</v>
      </c>
      <c r="I180" t="s">
        <v>76</v>
      </c>
      <c r="J180" t="s">
        <v>77</v>
      </c>
    </row>
    <row r="181" spans="1:11" x14ac:dyDescent="0.3">
      <c r="A181" t="s">
        <v>72</v>
      </c>
      <c r="B181">
        <v>1</v>
      </c>
      <c r="C181" t="s">
        <v>94</v>
      </c>
      <c r="D181">
        <v>9.3635000000000003E-3</v>
      </c>
      <c r="E181" t="s">
        <v>74</v>
      </c>
      <c r="F181">
        <v>9.3635000000000002</v>
      </c>
      <c r="G181" t="s">
        <v>75</v>
      </c>
      <c r="H181">
        <v>9363.5</v>
      </c>
      <c r="I181" t="s">
        <v>76</v>
      </c>
      <c r="J181" t="s">
        <v>77</v>
      </c>
    </row>
    <row r="182" spans="1:11" x14ac:dyDescent="0.3">
      <c r="A182" t="s">
        <v>72</v>
      </c>
      <c r="B182">
        <v>1</v>
      </c>
      <c r="C182" t="s">
        <v>80</v>
      </c>
      <c r="D182">
        <v>9.3638999999999997E-3</v>
      </c>
      <c r="E182" t="s">
        <v>74</v>
      </c>
      <c r="F182">
        <v>9.3638999999999992</v>
      </c>
      <c r="G182" t="s">
        <v>75</v>
      </c>
      <c r="H182">
        <v>9363.9</v>
      </c>
      <c r="I182" t="s">
        <v>76</v>
      </c>
      <c r="J182" t="s">
        <v>77</v>
      </c>
    </row>
    <row r="183" spans="1:11" x14ac:dyDescent="0.3">
      <c r="A183" t="s">
        <v>72</v>
      </c>
      <c r="B183">
        <v>1</v>
      </c>
      <c r="C183" t="s">
        <v>81</v>
      </c>
      <c r="D183">
        <v>2.52111E-2</v>
      </c>
      <c r="E183" t="s">
        <v>74</v>
      </c>
      <c r="F183">
        <v>25.211099999999998</v>
      </c>
      <c r="G183" t="s">
        <v>75</v>
      </c>
      <c r="H183">
        <v>25211.1</v>
      </c>
      <c r="I183" t="s">
        <v>76</v>
      </c>
      <c r="J183" t="s">
        <v>82</v>
      </c>
      <c r="K183">
        <v>39.665068900000001</v>
      </c>
    </row>
    <row r="184" spans="1:11" x14ac:dyDescent="0.3">
      <c r="A184" t="s">
        <v>83</v>
      </c>
      <c r="B184">
        <v>1000</v>
      </c>
      <c r="C184" t="s">
        <v>91</v>
      </c>
      <c r="D184">
        <v>5.4562000000000002E-4</v>
      </c>
      <c r="E184" t="s">
        <v>74</v>
      </c>
      <c r="F184">
        <v>0.54561999999999999</v>
      </c>
      <c r="G184" t="s">
        <v>75</v>
      </c>
      <c r="H184">
        <v>545.61900000000003</v>
      </c>
      <c r="I184" t="s">
        <v>76</v>
      </c>
      <c r="J184" t="s">
        <v>77</v>
      </c>
    </row>
    <row r="185" spans="1:11" x14ac:dyDescent="0.3">
      <c r="A185" t="s">
        <v>83</v>
      </c>
      <c r="B185">
        <v>1000</v>
      </c>
      <c r="C185" t="s">
        <v>92</v>
      </c>
      <c r="D185">
        <v>1.071826E-2</v>
      </c>
      <c r="E185" t="s">
        <v>74</v>
      </c>
      <c r="F185">
        <v>10.718260000000001</v>
      </c>
      <c r="G185" t="s">
        <v>75</v>
      </c>
      <c r="H185">
        <v>10718.259</v>
      </c>
      <c r="I185" t="s">
        <v>76</v>
      </c>
      <c r="J185" t="s">
        <v>77</v>
      </c>
    </row>
    <row r="186" spans="1:11" x14ac:dyDescent="0.3">
      <c r="A186" t="s">
        <v>83</v>
      </c>
      <c r="B186">
        <v>1000</v>
      </c>
      <c r="C186" t="s">
        <v>93</v>
      </c>
      <c r="D186">
        <v>5.0058999999999998E-4</v>
      </c>
      <c r="E186" t="s">
        <v>74</v>
      </c>
      <c r="F186">
        <v>0.50058999999999998</v>
      </c>
      <c r="G186" t="s">
        <v>75</v>
      </c>
      <c r="H186">
        <v>500.59199999999998</v>
      </c>
      <c r="I186" t="s">
        <v>76</v>
      </c>
      <c r="J186" t="s">
        <v>77</v>
      </c>
    </row>
    <row r="187" spans="1:11" x14ac:dyDescent="0.3">
      <c r="A187" t="s">
        <v>83</v>
      </c>
      <c r="B187">
        <v>1000</v>
      </c>
      <c r="C187" t="s">
        <v>79</v>
      </c>
      <c r="D187">
        <v>1.1764989999999999E-2</v>
      </c>
      <c r="E187" t="s">
        <v>74</v>
      </c>
      <c r="F187">
        <v>11.764989999999999</v>
      </c>
      <c r="G187" t="s">
        <v>75</v>
      </c>
      <c r="H187">
        <v>11764.993</v>
      </c>
      <c r="I187" t="s">
        <v>76</v>
      </c>
      <c r="J187" t="s">
        <v>77</v>
      </c>
    </row>
    <row r="188" spans="1:11" x14ac:dyDescent="0.3">
      <c r="A188" t="s">
        <v>83</v>
      </c>
      <c r="B188">
        <v>1000</v>
      </c>
      <c r="C188" t="s">
        <v>94</v>
      </c>
      <c r="D188">
        <v>2.7020600000000001E-3</v>
      </c>
      <c r="E188" t="s">
        <v>74</v>
      </c>
      <c r="F188">
        <v>2.7020599999999999</v>
      </c>
      <c r="G188" t="s">
        <v>75</v>
      </c>
      <c r="H188">
        <v>2702.0590000000002</v>
      </c>
      <c r="I188" t="s">
        <v>76</v>
      </c>
      <c r="J188" t="s">
        <v>77</v>
      </c>
    </row>
    <row r="189" spans="1:11" x14ac:dyDescent="0.3">
      <c r="A189" t="s">
        <v>83</v>
      </c>
      <c r="B189">
        <v>1000</v>
      </c>
      <c r="C189" t="s">
        <v>80</v>
      </c>
      <c r="D189">
        <v>2.88711E-3</v>
      </c>
      <c r="E189" t="s">
        <v>74</v>
      </c>
      <c r="F189">
        <v>2.8871099999999998</v>
      </c>
      <c r="G189" t="s">
        <v>75</v>
      </c>
      <c r="H189">
        <v>2887.1089999999999</v>
      </c>
      <c r="I189" t="s">
        <v>76</v>
      </c>
      <c r="J189" t="s">
        <v>77</v>
      </c>
    </row>
    <row r="190" spans="1:11" x14ac:dyDescent="0.3">
      <c r="A190" t="s">
        <v>83</v>
      </c>
      <c r="B190">
        <v>1000</v>
      </c>
      <c r="C190" t="s">
        <v>81</v>
      </c>
      <c r="D190">
        <v>1.4653589999999999E-2</v>
      </c>
      <c r="E190" t="s">
        <v>74</v>
      </c>
      <c r="F190">
        <v>14.653589999999999</v>
      </c>
      <c r="G190" t="s">
        <v>75</v>
      </c>
      <c r="H190">
        <v>14653.594999999999</v>
      </c>
      <c r="I190" t="s">
        <v>76</v>
      </c>
      <c r="J190" t="s">
        <v>82</v>
      </c>
      <c r="K190">
        <v>68.242639600000004</v>
      </c>
    </row>
    <row r="191" spans="1:11" x14ac:dyDescent="0.3">
      <c r="A191" t="s">
        <v>84</v>
      </c>
      <c r="B191">
        <v>1001</v>
      </c>
      <c r="C191" t="s">
        <v>91</v>
      </c>
      <c r="D191">
        <v>5.4735000000000005E-4</v>
      </c>
      <c r="E191" t="s">
        <v>74</v>
      </c>
      <c r="F191">
        <v>0.54735</v>
      </c>
      <c r="G191" t="s">
        <v>75</v>
      </c>
      <c r="H191">
        <v>547.34699999999998</v>
      </c>
      <c r="I191" t="s">
        <v>76</v>
      </c>
      <c r="J191" t="s">
        <v>77</v>
      </c>
    </row>
    <row r="192" spans="1:11" x14ac:dyDescent="0.3">
      <c r="A192" t="s">
        <v>84</v>
      </c>
      <c r="B192">
        <v>1001</v>
      </c>
      <c r="C192" t="s">
        <v>92</v>
      </c>
      <c r="D192">
        <v>1.071943E-2</v>
      </c>
      <c r="E192" t="s">
        <v>74</v>
      </c>
      <c r="F192">
        <v>10.719429999999999</v>
      </c>
      <c r="G192" t="s">
        <v>75</v>
      </c>
      <c r="H192">
        <v>10719.433000000001</v>
      </c>
      <c r="I192" t="s">
        <v>76</v>
      </c>
      <c r="J192" t="s">
        <v>77</v>
      </c>
    </row>
    <row r="193" spans="1:11" x14ac:dyDescent="0.3">
      <c r="A193" t="s">
        <v>84</v>
      </c>
      <c r="B193">
        <v>1001</v>
      </c>
      <c r="C193" t="s">
        <v>93</v>
      </c>
      <c r="D193">
        <v>5.0175000000000003E-4</v>
      </c>
      <c r="E193" t="s">
        <v>74</v>
      </c>
      <c r="F193">
        <v>0.50175000000000003</v>
      </c>
      <c r="G193" t="s">
        <v>75</v>
      </c>
      <c r="H193">
        <v>501.75299999999999</v>
      </c>
      <c r="I193" t="s">
        <v>76</v>
      </c>
      <c r="J193" t="s">
        <v>77</v>
      </c>
    </row>
    <row r="194" spans="1:11" x14ac:dyDescent="0.3">
      <c r="A194" t="s">
        <v>84</v>
      </c>
      <c r="B194">
        <v>1001</v>
      </c>
      <c r="C194" t="s">
        <v>79</v>
      </c>
      <c r="D194">
        <v>1.176907E-2</v>
      </c>
      <c r="E194" t="s">
        <v>74</v>
      </c>
      <c r="F194">
        <v>11.769069999999999</v>
      </c>
      <c r="G194" t="s">
        <v>75</v>
      </c>
      <c r="H194">
        <v>11769.067999999999</v>
      </c>
      <c r="I194" t="s">
        <v>76</v>
      </c>
      <c r="J194" t="s">
        <v>77</v>
      </c>
    </row>
    <row r="195" spans="1:11" x14ac:dyDescent="0.3">
      <c r="A195" t="s">
        <v>84</v>
      </c>
      <c r="B195">
        <v>1001</v>
      </c>
      <c r="C195" t="s">
        <v>94</v>
      </c>
      <c r="D195">
        <v>2.70871E-3</v>
      </c>
      <c r="E195" t="s">
        <v>74</v>
      </c>
      <c r="F195">
        <v>2.70871</v>
      </c>
      <c r="G195" t="s">
        <v>75</v>
      </c>
      <c r="H195">
        <v>2708.7139999999999</v>
      </c>
      <c r="I195" t="s">
        <v>76</v>
      </c>
      <c r="J195" t="s">
        <v>77</v>
      </c>
    </row>
    <row r="196" spans="1:11" x14ac:dyDescent="0.3">
      <c r="A196" t="s">
        <v>84</v>
      </c>
      <c r="B196">
        <v>1001</v>
      </c>
      <c r="C196" t="s">
        <v>80</v>
      </c>
      <c r="D196">
        <v>2.8935800000000002E-3</v>
      </c>
      <c r="E196" t="s">
        <v>74</v>
      </c>
      <c r="F196">
        <v>2.89358</v>
      </c>
      <c r="G196" t="s">
        <v>75</v>
      </c>
      <c r="H196">
        <v>2893.58</v>
      </c>
      <c r="I196" t="s">
        <v>76</v>
      </c>
      <c r="J196" t="s">
        <v>77</v>
      </c>
    </row>
    <row r="197" spans="1:11" x14ac:dyDescent="0.3">
      <c r="A197" t="s">
        <v>84</v>
      </c>
      <c r="B197">
        <v>1001</v>
      </c>
      <c r="C197" t="s">
        <v>81</v>
      </c>
      <c r="D197">
        <v>1.4664140000000001E-2</v>
      </c>
      <c r="E197" t="s">
        <v>74</v>
      </c>
      <c r="F197">
        <v>14.66414</v>
      </c>
      <c r="G197" t="s">
        <v>75</v>
      </c>
      <c r="H197">
        <v>14664.141</v>
      </c>
      <c r="I197" t="s">
        <v>76</v>
      </c>
      <c r="J197" t="s">
        <v>82</v>
      </c>
      <c r="K197">
        <v>68.193560399999996</v>
      </c>
    </row>
    <row r="198" spans="1:11" x14ac:dyDescent="0.3">
      <c r="A198" t="s">
        <v>85</v>
      </c>
      <c r="B198">
        <v>1001</v>
      </c>
      <c r="C198" t="s">
        <v>86</v>
      </c>
      <c r="D198">
        <v>1.466436E-2</v>
      </c>
      <c r="E198" t="s">
        <v>74</v>
      </c>
      <c r="F198">
        <v>14.66436</v>
      </c>
      <c r="G198" t="s">
        <v>75</v>
      </c>
      <c r="H198">
        <v>14664.361000000001</v>
      </c>
      <c r="I198" t="s">
        <v>76</v>
      </c>
      <c r="J198" t="s">
        <v>82</v>
      </c>
      <c r="K198">
        <v>68.192537000000002</v>
      </c>
    </row>
    <row r="199" spans="1:11" x14ac:dyDescent="0.3">
      <c r="A199" t="s">
        <v>101</v>
      </c>
    </row>
    <row r="200" spans="1:11" x14ac:dyDescent="0.3">
      <c r="A200" t="s">
        <v>72</v>
      </c>
      <c r="B200">
        <v>1</v>
      </c>
      <c r="C200" t="s">
        <v>73</v>
      </c>
      <c r="D200">
        <v>4.6E-6</v>
      </c>
      <c r="E200" t="s">
        <v>74</v>
      </c>
      <c r="F200">
        <v>4.5999999999999999E-3</v>
      </c>
      <c r="G200" t="s">
        <v>75</v>
      </c>
      <c r="H200">
        <v>4.5999999999999996</v>
      </c>
      <c r="I200" t="s">
        <v>76</v>
      </c>
      <c r="J200" t="s">
        <v>77</v>
      </c>
    </row>
    <row r="201" spans="1:11" x14ac:dyDescent="0.3">
      <c r="A201" t="s">
        <v>72</v>
      </c>
      <c r="B201">
        <v>1</v>
      </c>
      <c r="C201" t="s">
        <v>78</v>
      </c>
      <c r="D201">
        <v>4.0200000000000001E-5</v>
      </c>
      <c r="E201" t="s">
        <v>74</v>
      </c>
      <c r="F201">
        <v>4.02E-2</v>
      </c>
      <c r="G201" t="s">
        <v>75</v>
      </c>
      <c r="H201">
        <v>40.200000000000003</v>
      </c>
      <c r="I201" t="s">
        <v>76</v>
      </c>
      <c r="J201" t="s">
        <v>77</v>
      </c>
    </row>
    <row r="202" spans="1:11" x14ac:dyDescent="0.3">
      <c r="A202" t="s">
        <v>72</v>
      </c>
      <c r="B202">
        <v>1</v>
      </c>
      <c r="C202" t="s">
        <v>91</v>
      </c>
      <c r="D202">
        <v>2.0917000000000002E-3</v>
      </c>
      <c r="E202" t="s">
        <v>74</v>
      </c>
      <c r="F202">
        <v>2.0916999999999999</v>
      </c>
      <c r="G202" t="s">
        <v>75</v>
      </c>
      <c r="H202">
        <v>2091.6999999999998</v>
      </c>
      <c r="I202" t="s">
        <v>76</v>
      </c>
      <c r="J202" t="s">
        <v>77</v>
      </c>
    </row>
    <row r="203" spans="1:11" x14ac:dyDescent="0.3">
      <c r="A203" t="s">
        <v>72</v>
      </c>
      <c r="B203">
        <v>1</v>
      </c>
      <c r="C203" t="s">
        <v>92</v>
      </c>
      <c r="D203">
        <v>1.19154E-2</v>
      </c>
      <c r="E203" t="s">
        <v>74</v>
      </c>
      <c r="F203">
        <v>11.9154</v>
      </c>
      <c r="G203" t="s">
        <v>75</v>
      </c>
      <c r="H203">
        <v>11915.4</v>
      </c>
      <c r="I203" t="s">
        <v>76</v>
      </c>
      <c r="J203" t="s">
        <v>77</v>
      </c>
    </row>
    <row r="204" spans="1:11" x14ac:dyDescent="0.3">
      <c r="A204" t="s">
        <v>72</v>
      </c>
      <c r="B204">
        <v>1</v>
      </c>
      <c r="C204" t="s">
        <v>93</v>
      </c>
      <c r="D204">
        <v>1.6003E-3</v>
      </c>
      <c r="E204" t="s">
        <v>74</v>
      </c>
      <c r="F204">
        <v>1.6003000000000001</v>
      </c>
      <c r="G204" t="s">
        <v>75</v>
      </c>
      <c r="H204">
        <v>1600.3</v>
      </c>
      <c r="I204" t="s">
        <v>76</v>
      </c>
      <c r="J204" t="s">
        <v>77</v>
      </c>
    </row>
    <row r="205" spans="1:11" x14ac:dyDescent="0.3">
      <c r="A205" t="s">
        <v>72</v>
      </c>
      <c r="B205">
        <v>1</v>
      </c>
      <c r="C205" t="s">
        <v>79</v>
      </c>
      <c r="D205">
        <v>1.56074E-2</v>
      </c>
      <c r="E205" t="s">
        <v>74</v>
      </c>
      <c r="F205">
        <v>15.6074</v>
      </c>
      <c r="G205" t="s">
        <v>75</v>
      </c>
      <c r="H205">
        <v>15607.4</v>
      </c>
      <c r="I205" t="s">
        <v>76</v>
      </c>
      <c r="J205" t="s">
        <v>77</v>
      </c>
    </row>
    <row r="206" spans="1:11" x14ac:dyDescent="0.3">
      <c r="A206" t="s">
        <v>72</v>
      </c>
      <c r="B206">
        <v>1</v>
      </c>
      <c r="C206" t="s">
        <v>96</v>
      </c>
      <c r="D206">
        <v>2.0241999999999999E-3</v>
      </c>
      <c r="E206" t="s">
        <v>74</v>
      </c>
      <c r="F206">
        <v>2.0242</v>
      </c>
      <c r="G206" t="s">
        <v>75</v>
      </c>
      <c r="H206">
        <v>2024.2</v>
      </c>
      <c r="I206" t="s">
        <v>76</v>
      </c>
      <c r="J206" t="s">
        <v>77</v>
      </c>
    </row>
    <row r="207" spans="1:11" x14ac:dyDescent="0.3">
      <c r="A207" t="s">
        <v>72</v>
      </c>
      <c r="B207">
        <v>1</v>
      </c>
      <c r="C207" t="s">
        <v>94</v>
      </c>
      <c r="D207">
        <v>3.0940999999999998E-3</v>
      </c>
      <c r="E207" t="s">
        <v>74</v>
      </c>
      <c r="F207">
        <v>3.0941000000000001</v>
      </c>
      <c r="G207" t="s">
        <v>75</v>
      </c>
      <c r="H207">
        <v>3094.1</v>
      </c>
      <c r="I207" t="s">
        <v>76</v>
      </c>
      <c r="J207" t="s">
        <v>77</v>
      </c>
    </row>
    <row r="208" spans="1:11" x14ac:dyDescent="0.3">
      <c r="A208" t="s">
        <v>72</v>
      </c>
      <c r="B208">
        <v>1</v>
      </c>
      <c r="C208" t="s">
        <v>80</v>
      </c>
      <c r="D208">
        <v>5.2459999999999998E-3</v>
      </c>
      <c r="E208" t="s">
        <v>74</v>
      </c>
      <c r="F208">
        <v>5.2460000000000004</v>
      </c>
      <c r="G208" t="s">
        <v>75</v>
      </c>
      <c r="H208">
        <v>5246</v>
      </c>
      <c r="I208" t="s">
        <v>76</v>
      </c>
      <c r="J208" t="s">
        <v>77</v>
      </c>
    </row>
    <row r="209" spans="1:11" x14ac:dyDescent="0.3">
      <c r="A209" t="s">
        <v>72</v>
      </c>
      <c r="B209">
        <v>1</v>
      </c>
      <c r="C209" t="s">
        <v>81</v>
      </c>
      <c r="D209">
        <v>2.0854299999999999E-2</v>
      </c>
      <c r="E209" t="s">
        <v>74</v>
      </c>
      <c r="F209">
        <v>20.854299999999999</v>
      </c>
      <c r="G209" t="s">
        <v>75</v>
      </c>
      <c r="H209">
        <v>20854.3</v>
      </c>
      <c r="I209" t="s">
        <v>76</v>
      </c>
      <c r="J209" t="s">
        <v>82</v>
      </c>
      <c r="K209">
        <v>47.951741599999998</v>
      </c>
    </row>
    <row r="210" spans="1:11" x14ac:dyDescent="0.3">
      <c r="A210" t="s">
        <v>83</v>
      </c>
      <c r="B210">
        <v>1000</v>
      </c>
      <c r="C210" t="s">
        <v>91</v>
      </c>
      <c r="D210">
        <v>5.4239999999999996E-4</v>
      </c>
      <c r="E210" t="s">
        <v>74</v>
      </c>
      <c r="F210">
        <v>0.54239999999999999</v>
      </c>
      <c r="G210" t="s">
        <v>75</v>
      </c>
      <c r="H210">
        <v>542.404</v>
      </c>
      <c r="I210" t="s">
        <v>76</v>
      </c>
      <c r="J210" t="s">
        <v>77</v>
      </c>
    </row>
    <row r="211" spans="1:11" x14ac:dyDescent="0.3">
      <c r="A211" t="s">
        <v>83</v>
      </c>
      <c r="B211">
        <v>1000</v>
      </c>
      <c r="C211" t="s">
        <v>92</v>
      </c>
      <c r="D211">
        <v>1.0695730000000001E-2</v>
      </c>
      <c r="E211" t="s">
        <v>74</v>
      </c>
      <c r="F211">
        <v>10.695729999999999</v>
      </c>
      <c r="G211" t="s">
        <v>75</v>
      </c>
      <c r="H211">
        <v>10695.735000000001</v>
      </c>
      <c r="I211" t="s">
        <v>76</v>
      </c>
      <c r="J211" t="s">
        <v>77</v>
      </c>
    </row>
    <row r="212" spans="1:11" x14ac:dyDescent="0.3">
      <c r="A212" t="s">
        <v>83</v>
      </c>
      <c r="B212">
        <v>1000</v>
      </c>
      <c r="C212" t="s">
        <v>93</v>
      </c>
      <c r="D212">
        <v>5.1031999999999998E-4</v>
      </c>
      <c r="E212" t="s">
        <v>74</v>
      </c>
      <c r="F212">
        <v>0.51032</v>
      </c>
      <c r="G212" t="s">
        <v>75</v>
      </c>
      <c r="H212">
        <v>510.32499999999999</v>
      </c>
      <c r="I212" t="s">
        <v>76</v>
      </c>
      <c r="J212" t="s">
        <v>77</v>
      </c>
    </row>
    <row r="213" spans="1:11" x14ac:dyDescent="0.3">
      <c r="A213" t="s">
        <v>83</v>
      </c>
      <c r="B213">
        <v>1000</v>
      </c>
      <c r="C213" t="s">
        <v>79</v>
      </c>
      <c r="D213">
        <v>1.174891E-2</v>
      </c>
      <c r="E213" t="s">
        <v>74</v>
      </c>
      <c r="F213">
        <v>11.74891</v>
      </c>
      <c r="G213" t="s">
        <v>75</v>
      </c>
      <c r="H213">
        <v>11748.915000000001</v>
      </c>
      <c r="I213" t="s">
        <v>76</v>
      </c>
      <c r="J213" t="s">
        <v>77</v>
      </c>
    </row>
    <row r="214" spans="1:11" x14ac:dyDescent="0.3">
      <c r="A214" t="s">
        <v>83</v>
      </c>
      <c r="B214">
        <v>1000</v>
      </c>
      <c r="C214" t="s">
        <v>96</v>
      </c>
      <c r="D214">
        <v>1.78896E-3</v>
      </c>
      <c r="E214" t="s">
        <v>74</v>
      </c>
      <c r="F214">
        <v>1.7889600000000001</v>
      </c>
      <c r="G214" t="s">
        <v>75</v>
      </c>
      <c r="H214">
        <v>1788.9559999999999</v>
      </c>
      <c r="I214" t="s">
        <v>76</v>
      </c>
      <c r="J214" t="s">
        <v>77</v>
      </c>
    </row>
    <row r="215" spans="1:11" x14ac:dyDescent="0.3">
      <c r="A215" t="s">
        <v>83</v>
      </c>
      <c r="B215">
        <v>1000</v>
      </c>
      <c r="C215" t="s">
        <v>94</v>
      </c>
      <c r="D215">
        <v>3.0639E-3</v>
      </c>
      <c r="E215" t="s">
        <v>74</v>
      </c>
      <c r="F215">
        <v>3.0638999999999998</v>
      </c>
      <c r="G215" t="s">
        <v>75</v>
      </c>
      <c r="H215">
        <v>3063.9</v>
      </c>
      <c r="I215" t="s">
        <v>76</v>
      </c>
      <c r="J215" t="s">
        <v>77</v>
      </c>
    </row>
    <row r="216" spans="1:11" x14ac:dyDescent="0.3">
      <c r="A216" t="s">
        <v>83</v>
      </c>
      <c r="B216">
        <v>1000</v>
      </c>
      <c r="C216" t="s">
        <v>80</v>
      </c>
      <c r="D216">
        <v>4.9869299999999997E-3</v>
      </c>
      <c r="E216" t="s">
        <v>74</v>
      </c>
      <c r="F216">
        <v>4.9869300000000001</v>
      </c>
      <c r="G216" t="s">
        <v>75</v>
      </c>
      <c r="H216">
        <v>4986.9269999999997</v>
      </c>
      <c r="I216" t="s">
        <v>76</v>
      </c>
      <c r="J216" t="s">
        <v>77</v>
      </c>
    </row>
    <row r="217" spans="1:11" x14ac:dyDescent="0.3">
      <c r="A217" t="s">
        <v>83</v>
      </c>
      <c r="B217">
        <v>1000</v>
      </c>
      <c r="C217" t="s">
        <v>81</v>
      </c>
      <c r="D217">
        <v>1.6737419999999999E-2</v>
      </c>
      <c r="E217" t="s">
        <v>74</v>
      </c>
      <c r="F217">
        <v>16.73742</v>
      </c>
      <c r="G217" t="s">
        <v>75</v>
      </c>
      <c r="H217">
        <v>16737.424999999999</v>
      </c>
      <c r="I217" t="s">
        <v>76</v>
      </c>
      <c r="J217" t="s">
        <v>82</v>
      </c>
      <c r="K217">
        <v>59.746347399999998</v>
      </c>
    </row>
    <row r="218" spans="1:11" x14ac:dyDescent="0.3">
      <c r="A218" t="s">
        <v>84</v>
      </c>
      <c r="B218">
        <v>1001</v>
      </c>
      <c r="C218" t="s">
        <v>91</v>
      </c>
      <c r="D218">
        <v>5.4394999999999997E-4</v>
      </c>
      <c r="E218" t="s">
        <v>74</v>
      </c>
      <c r="F218">
        <v>0.54395000000000004</v>
      </c>
      <c r="G218" t="s">
        <v>75</v>
      </c>
      <c r="H218">
        <v>543.952</v>
      </c>
      <c r="I218" t="s">
        <v>76</v>
      </c>
      <c r="J218" t="s">
        <v>77</v>
      </c>
    </row>
    <row r="219" spans="1:11" x14ac:dyDescent="0.3">
      <c r="A219" t="s">
        <v>84</v>
      </c>
      <c r="B219">
        <v>1001</v>
      </c>
      <c r="C219" t="s">
        <v>92</v>
      </c>
      <c r="D219">
        <v>1.069695E-2</v>
      </c>
      <c r="E219" t="s">
        <v>74</v>
      </c>
      <c r="F219">
        <v>10.696949999999999</v>
      </c>
      <c r="G219" t="s">
        <v>75</v>
      </c>
      <c r="H219">
        <v>10696.953</v>
      </c>
      <c r="I219" t="s">
        <v>76</v>
      </c>
      <c r="J219" t="s">
        <v>77</v>
      </c>
    </row>
    <row r="220" spans="1:11" x14ac:dyDescent="0.3">
      <c r="A220" t="s">
        <v>84</v>
      </c>
      <c r="B220">
        <v>1001</v>
      </c>
      <c r="C220" t="s">
        <v>93</v>
      </c>
      <c r="D220">
        <v>5.1141000000000001E-4</v>
      </c>
      <c r="E220" t="s">
        <v>74</v>
      </c>
      <c r="F220">
        <v>0.51141000000000003</v>
      </c>
      <c r="G220" t="s">
        <v>75</v>
      </c>
      <c r="H220">
        <v>511.41300000000001</v>
      </c>
      <c r="I220" t="s">
        <v>76</v>
      </c>
      <c r="J220" t="s">
        <v>77</v>
      </c>
    </row>
    <row r="221" spans="1:11" x14ac:dyDescent="0.3">
      <c r="A221" t="s">
        <v>84</v>
      </c>
      <c r="B221">
        <v>1001</v>
      </c>
      <c r="C221" t="s">
        <v>79</v>
      </c>
      <c r="D221">
        <v>1.1752769999999999E-2</v>
      </c>
      <c r="E221" t="s">
        <v>74</v>
      </c>
      <c r="F221">
        <v>11.75277</v>
      </c>
      <c r="G221" t="s">
        <v>75</v>
      </c>
      <c r="H221">
        <v>11752.77</v>
      </c>
      <c r="I221" t="s">
        <v>76</v>
      </c>
      <c r="J221" t="s">
        <v>77</v>
      </c>
    </row>
    <row r="222" spans="1:11" x14ac:dyDescent="0.3">
      <c r="A222" t="s">
        <v>84</v>
      </c>
      <c r="B222">
        <v>1001</v>
      </c>
      <c r="C222" t="s">
        <v>96</v>
      </c>
      <c r="D222">
        <v>1.78919E-3</v>
      </c>
      <c r="E222" t="s">
        <v>74</v>
      </c>
      <c r="F222">
        <v>1.7891900000000001</v>
      </c>
      <c r="G222" t="s">
        <v>75</v>
      </c>
      <c r="H222">
        <v>1789.191</v>
      </c>
      <c r="I222" t="s">
        <v>76</v>
      </c>
      <c r="J222" t="s">
        <v>77</v>
      </c>
    </row>
    <row r="223" spans="1:11" x14ac:dyDescent="0.3">
      <c r="A223" t="s">
        <v>84</v>
      </c>
      <c r="B223">
        <v>1001</v>
      </c>
      <c r="C223" t="s">
        <v>94</v>
      </c>
      <c r="D223">
        <v>3.0639299999999999E-3</v>
      </c>
      <c r="E223" t="s">
        <v>74</v>
      </c>
      <c r="F223">
        <v>3.06393</v>
      </c>
      <c r="G223" t="s">
        <v>75</v>
      </c>
      <c r="H223">
        <v>3063.93</v>
      </c>
      <c r="I223" t="s">
        <v>76</v>
      </c>
      <c r="J223" t="s">
        <v>77</v>
      </c>
    </row>
    <row r="224" spans="1:11" x14ac:dyDescent="0.3">
      <c r="A224" t="s">
        <v>84</v>
      </c>
      <c r="B224">
        <v>1001</v>
      </c>
      <c r="C224" t="s">
        <v>80</v>
      </c>
      <c r="D224">
        <v>4.9871899999999999E-3</v>
      </c>
      <c r="E224" t="s">
        <v>74</v>
      </c>
      <c r="F224">
        <v>4.98719</v>
      </c>
      <c r="G224" t="s">
        <v>75</v>
      </c>
      <c r="H224">
        <v>4987.1859999999997</v>
      </c>
      <c r="I224" t="s">
        <v>76</v>
      </c>
      <c r="J224" t="s">
        <v>77</v>
      </c>
    </row>
    <row r="225" spans="1:11" x14ac:dyDescent="0.3">
      <c r="A225" t="s">
        <v>84</v>
      </c>
      <c r="B225">
        <v>1001</v>
      </c>
      <c r="C225" t="s">
        <v>81</v>
      </c>
      <c r="D225">
        <v>1.6741539999999999E-2</v>
      </c>
      <c r="E225" t="s">
        <v>74</v>
      </c>
      <c r="F225">
        <v>16.741540000000001</v>
      </c>
      <c r="G225" t="s">
        <v>75</v>
      </c>
      <c r="H225">
        <v>16741.538</v>
      </c>
      <c r="I225" t="s">
        <v>76</v>
      </c>
      <c r="J225" t="s">
        <v>82</v>
      </c>
      <c r="K225">
        <v>59.731667700000003</v>
      </c>
    </row>
    <row r="226" spans="1:11" x14ac:dyDescent="0.3">
      <c r="A226" t="s">
        <v>85</v>
      </c>
      <c r="B226">
        <v>1001</v>
      </c>
      <c r="C226" t="s">
        <v>86</v>
      </c>
      <c r="D226">
        <v>1.674175E-2</v>
      </c>
      <c r="E226" t="s">
        <v>74</v>
      </c>
      <c r="F226">
        <v>16.74175</v>
      </c>
      <c r="G226" t="s">
        <v>75</v>
      </c>
      <c r="H226">
        <v>16741.752</v>
      </c>
      <c r="I226" t="s">
        <v>76</v>
      </c>
      <c r="J226" t="s">
        <v>82</v>
      </c>
      <c r="K226">
        <v>59.730906300000001</v>
      </c>
    </row>
    <row r="227" spans="1:11" x14ac:dyDescent="0.3">
      <c r="A227" t="s">
        <v>87</v>
      </c>
    </row>
    <row r="228" spans="1:11" x14ac:dyDescent="0.3">
      <c r="A228" t="s">
        <v>102</v>
      </c>
    </row>
    <row r="229" spans="1:11" x14ac:dyDescent="0.3">
      <c r="A229" t="s">
        <v>72</v>
      </c>
      <c r="B229">
        <v>1</v>
      </c>
      <c r="C229" t="s">
        <v>81</v>
      </c>
      <c r="D229">
        <v>2.52111E-2</v>
      </c>
      <c r="E229" t="s">
        <v>74</v>
      </c>
      <c r="F229">
        <v>25.211099999999998</v>
      </c>
      <c r="G229" t="s">
        <v>75</v>
      </c>
      <c r="H229">
        <v>25211.1</v>
      </c>
      <c r="I229" t="s">
        <v>76</v>
      </c>
      <c r="J229" t="s">
        <v>82</v>
      </c>
      <c r="K229">
        <v>39.665068900000001</v>
      </c>
    </row>
    <row r="230" spans="1:11" x14ac:dyDescent="0.3">
      <c r="A230" t="s">
        <v>83</v>
      </c>
      <c r="B230">
        <v>1000</v>
      </c>
      <c r="C230" t="s">
        <v>81</v>
      </c>
      <c r="D230">
        <v>1.4653589999999999E-2</v>
      </c>
      <c r="E230" t="s">
        <v>74</v>
      </c>
      <c r="F230">
        <v>14.653589999999999</v>
      </c>
      <c r="G230" t="s">
        <v>75</v>
      </c>
      <c r="H230">
        <v>14653.594999999999</v>
      </c>
      <c r="I230" t="s">
        <v>76</v>
      </c>
      <c r="J230" t="s">
        <v>82</v>
      </c>
      <c r="K230">
        <v>68.242639600000004</v>
      </c>
    </row>
    <row r="231" spans="1:11" x14ac:dyDescent="0.3">
      <c r="A231" t="s">
        <v>85</v>
      </c>
      <c r="B231">
        <v>1001</v>
      </c>
      <c r="C231" t="s">
        <v>86</v>
      </c>
      <c r="D231">
        <v>1.466436E-2</v>
      </c>
      <c r="E231" t="s">
        <v>74</v>
      </c>
      <c r="F231">
        <v>14.66436</v>
      </c>
      <c r="G231" t="s">
        <v>75</v>
      </c>
      <c r="H231">
        <v>14664.361000000001</v>
      </c>
      <c r="I231" t="s">
        <v>76</v>
      </c>
      <c r="J231" t="s">
        <v>82</v>
      </c>
      <c r="K231">
        <v>68.192537000000002</v>
      </c>
    </row>
    <row r="233" spans="1:11" x14ac:dyDescent="0.3">
      <c r="A233" t="s">
        <v>103</v>
      </c>
    </row>
    <row r="234" spans="1:11" x14ac:dyDescent="0.3">
      <c r="A234" t="s">
        <v>72</v>
      </c>
      <c r="B234">
        <v>1</v>
      </c>
      <c r="C234" t="s">
        <v>81</v>
      </c>
      <c r="D234">
        <v>2.0854299999999999E-2</v>
      </c>
      <c r="E234" t="s">
        <v>74</v>
      </c>
      <c r="F234">
        <v>20.854299999999999</v>
      </c>
      <c r="G234" t="s">
        <v>75</v>
      </c>
      <c r="H234">
        <v>20854.3</v>
      </c>
      <c r="I234" t="s">
        <v>76</v>
      </c>
      <c r="J234" t="s">
        <v>82</v>
      </c>
      <c r="K234">
        <v>47.951741599999998</v>
      </c>
    </row>
    <row r="235" spans="1:11" x14ac:dyDescent="0.3">
      <c r="A235" t="s">
        <v>83</v>
      </c>
      <c r="B235">
        <v>1000</v>
      </c>
      <c r="C235" t="s">
        <v>81</v>
      </c>
      <c r="D235">
        <v>1.6737419999999999E-2</v>
      </c>
      <c r="E235" t="s">
        <v>74</v>
      </c>
      <c r="F235">
        <v>16.73742</v>
      </c>
      <c r="G235" t="s">
        <v>75</v>
      </c>
      <c r="H235">
        <v>16737.424999999999</v>
      </c>
      <c r="I235" t="s">
        <v>76</v>
      </c>
      <c r="J235" t="s">
        <v>82</v>
      </c>
      <c r="K235">
        <v>59.746347399999998</v>
      </c>
    </row>
    <row r="236" spans="1:11" x14ac:dyDescent="0.3">
      <c r="A236" t="s">
        <v>85</v>
      </c>
      <c r="B236">
        <v>1001</v>
      </c>
      <c r="C236" t="s">
        <v>86</v>
      </c>
      <c r="D236">
        <v>1.674175E-2</v>
      </c>
      <c r="E236" t="s">
        <v>74</v>
      </c>
      <c r="F236">
        <v>16.74175</v>
      </c>
      <c r="G236" t="s">
        <v>75</v>
      </c>
      <c r="H236">
        <v>16741.752</v>
      </c>
      <c r="I236" t="s">
        <v>76</v>
      </c>
      <c r="J236" t="s">
        <v>82</v>
      </c>
      <c r="K236">
        <v>59.730906300000001</v>
      </c>
    </row>
    <row r="238" spans="1:11" x14ac:dyDescent="0.3">
      <c r="A238" t="s">
        <v>66</v>
      </c>
    </row>
    <row r="240" spans="1:11" x14ac:dyDescent="0.3">
      <c r="A240" t="s">
        <v>104</v>
      </c>
    </row>
    <row r="241" spans="1:11" x14ac:dyDescent="0.3">
      <c r="A241" t="s">
        <v>68</v>
      </c>
    </row>
    <row r="242" spans="1:11" x14ac:dyDescent="0.3">
      <c r="A242" t="s">
        <v>69</v>
      </c>
    </row>
    <row r="243" spans="1:11" x14ac:dyDescent="0.3">
      <c r="A243" t="s">
        <v>70</v>
      </c>
    </row>
    <row r="244" spans="1:11" x14ac:dyDescent="0.3">
      <c r="A244" t="s">
        <v>105</v>
      </c>
    </row>
    <row r="245" spans="1:11" x14ac:dyDescent="0.3">
      <c r="A245" t="s">
        <v>72</v>
      </c>
      <c r="B245">
        <v>1</v>
      </c>
      <c r="C245" t="s">
        <v>73</v>
      </c>
      <c r="D245">
        <v>9.9999999999999995E-7</v>
      </c>
      <c r="E245" t="s">
        <v>74</v>
      </c>
      <c r="F245">
        <v>1E-3</v>
      </c>
      <c r="G245" t="s">
        <v>75</v>
      </c>
      <c r="H245">
        <v>1</v>
      </c>
      <c r="I245" t="s">
        <v>76</v>
      </c>
      <c r="J245" t="s">
        <v>77</v>
      </c>
    </row>
    <row r="246" spans="1:11" x14ac:dyDescent="0.3">
      <c r="A246" t="s">
        <v>72</v>
      </c>
      <c r="B246">
        <v>1</v>
      </c>
      <c r="C246" t="s">
        <v>78</v>
      </c>
      <c r="D246">
        <v>4.4700000000000002E-5</v>
      </c>
      <c r="E246" t="s">
        <v>74</v>
      </c>
      <c r="F246">
        <v>4.4699999999999997E-2</v>
      </c>
      <c r="G246" t="s">
        <v>75</v>
      </c>
      <c r="H246">
        <v>44.7</v>
      </c>
      <c r="I246" t="s">
        <v>76</v>
      </c>
      <c r="J246" t="s">
        <v>77</v>
      </c>
    </row>
    <row r="247" spans="1:11" x14ac:dyDescent="0.3">
      <c r="A247" t="s">
        <v>72</v>
      </c>
      <c r="B247">
        <v>1</v>
      </c>
      <c r="C247" t="s">
        <v>91</v>
      </c>
      <c r="D247">
        <v>2.2610999999999998E-3</v>
      </c>
      <c r="E247" t="s">
        <v>74</v>
      </c>
      <c r="F247">
        <v>2.2610999999999999</v>
      </c>
      <c r="G247" t="s">
        <v>75</v>
      </c>
      <c r="H247">
        <v>2261.1</v>
      </c>
      <c r="I247" t="s">
        <v>76</v>
      </c>
      <c r="J247" t="s">
        <v>77</v>
      </c>
    </row>
    <row r="248" spans="1:11" x14ac:dyDescent="0.3">
      <c r="A248" t="s">
        <v>72</v>
      </c>
      <c r="B248">
        <v>1</v>
      </c>
      <c r="C248" t="s">
        <v>92</v>
      </c>
      <c r="D248">
        <v>1.5747000000000001E-2</v>
      </c>
      <c r="E248" t="s">
        <v>74</v>
      </c>
      <c r="F248">
        <v>15.747</v>
      </c>
      <c r="G248" t="s">
        <v>75</v>
      </c>
      <c r="H248">
        <v>15747</v>
      </c>
      <c r="I248" t="s">
        <v>76</v>
      </c>
      <c r="J248" t="s">
        <v>77</v>
      </c>
    </row>
    <row r="249" spans="1:11" x14ac:dyDescent="0.3">
      <c r="A249" t="s">
        <v>72</v>
      </c>
      <c r="B249">
        <v>1</v>
      </c>
      <c r="C249" t="s">
        <v>93</v>
      </c>
      <c r="D249">
        <v>3.3649999999999999E-3</v>
      </c>
      <c r="E249" t="s">
        <v>74</v>
      </c>
      <c r="F249">
        <v>3.3650000000000002</v>
      </c>
      <c r="G249" t="s">
        <v>75</v>
      </c>
      <c r="H249">
        <v>3365</v>
      </c>
      <c r="I249" t="s">
        <v>76</v>
      </c>
      <c r="J249" t="s">
        <v>77</v>
      </c>
    </row>
    <row r="250" spans="1:11" x14ac:dyDescent="0.3">
      <c r="A250" t="s">
        <v>72</v>
      </c>
      <c r="B250">
        <v>1</v>
      </c>
      <c r="C250" t="s">
        <v>79</v>
      </c>
      <c r="D250">
        <v>2.13811E-2</v>
      </c>
      <c r="E250" t="s">
        <v>74</v>
      </c>
      <c r="F250">
        <v>21.3811</v>
      </c>
      <c r="G250" t="s">
        <v>75</v>
      </c>
      <c r="H250">
        <v>21381.100999999999</v>
      </c>
      <c r="I250" t="s">
        <v>76</v>
      </c>
      <c r="J250" t="s">
        <v>77</v>
      </c>
    </row>
    <row r="251" spans="1:11" x14ac:dyDescent="0.3">
      <c r="A251" t="s">
        <v>72</v>
      </c>
      <c r="B251">
        <v>1</v>
      </c>
      <c r="C251" t="s">
        <v>94</v>
      </c>
      <c r="D251">
        <v>1.40637E-2</v>
      </c>
      <c r="E251" t="s">
        <v>74</v>
      </c>
      <c r="F251">
        <v>14.063700000000001</v>
      </c>
      <c r="G251" t="s">
        <v>75</v>
      </c>
      <c r="H251">
        <v>14063.7</v>
      </c>
      <c r="I251" t="s">
        <v>76</v>
      </c>
      <c r="J251" t="s">
        <v>77</v>
      </c>
    </row>
    <row r="252" spans="1:11" x14ac:dyDescent="0.3">
      <c r="A252" t="s">
        <v>72</v>
      </c>
      <c r="B252">
        <v>1</v>
      </c>
      <c r="C252" t="s">
        <v>80</v>
      </c>
      <c r="D252">
        <v>1.4074100000000001E-2</v>
      </c>
      <c r="E252" t="s">
        <v>74</v>
      </c>
      <c r="F252">
        <v>14.0741</v>
      </c>
      <c r="G252" t="s">
        <v>75</v>
      </c>
      <c r="H252">
        <v>14074.1</v>
      </c>
      <c r="I252" t="s">
        <v>76</v>
      </c>
      <c r="J252" t="s">
        <v>77</v>
      </c>
    </row>
    <row r="253" spans="1:11" x14ac:dyDescent="0.3">
      <c r="A253" t="s">
        <v>72</v>
      </c>
      <c r="B253">
        <v>1</v>
      </c>
      <c r="C253" t="s">
        <v>81</v>
      </c>
      <c r="D253">
        <v>3.5460499999999999E-2</v>
      </c>
      <c r="E253" t="s">
        <v>74</v>
      </c>
      <c r="F253">
        <v>35.460500000000003</v>
      </c>
      <c r="G253" t="s">
        <v>75</v>
      </c>
      <c r="H253">
        <v>35460.498</v>
      </c>
      <c r="I253" t="s">
        <v>76</v>
      </c>
      <c r="J253" t="s">
        <v>82</v>
      </c>
      <c r="K253">
        <v>28.200393399999999</v>
      </c>
    </row>
    <row r="254" spans="1:11" x14ac:dyDescent="0.3">
      <c r="A254" t="s">
        <v>83</v>
      </c>
      <c r="B254">
        <v>1000</v>
      </c>
      <c r="C254" t="s">
        <v>91</v>
      </c>
      <c r="D254">
        <v>5.6170999999999999E-4</v>
      </c>
      <c r="E254" t="s">
        <v>74</v>
      </c>
      <c r="F254">
        <v>0.56171000000000004</v>
      </c>
      <c r="G254" t="s">
        <v>75</v>
      </c>
      <c r="H254">
        <v>561.71100000000001</v>
      </c>
      <c r="I254" t="s">
        <v>76</v>
      </c>
      <c r="J254" t="s">
        <v>77</v>
      </c>
    </row>
    <row r="255" spans="1:11" x14ac:dyDescent="0.3">
      <c r="A255" t="s">
        <v>83</v>
      </c>
      <c r="B255">
        <v>1000</v>
      </c>
      <c r="C255" t="s">
        <v>92</v>
      </c>
      <c r="D255">
        <v>2.9603099999999999E-3</v>
      </c>
      <c r="E255" t="s">
        <v>74</v>
      </c>
      <c r="F255">
        <v>2.9603100000000002</v>
      </c>
      <c r="G255" t="s">
        <v>75</v>
      </c>
      <c r="H255">
        <v>2960.308</v>
      </c>
      <c r="I255" t="s">
        <v>76</v>
      </c>
      <c r="J255" t="s">
        <v>77</v>
      </c>
    </row>
    <row r="256" spans="1:11" x14ac:dyDescent="0.3">
      <c r="A256" t="s">
        <v>83</v>
      </c>
      <c r="B256">
        <v>1000</v>
      </c>
      <c r="C256" t="s">
        <v>93</v>
      </c>
      <c r="D256">
        <v>5.1699000000000005E-4</v>
      </c>
      <c r="E256" t="s">
        <v>74</v>
      </c>
      <c r="F256">
        <v>0.51698999999999995</v>
      </c>
      <c r="G256" t="s">
        <v>75</v>
      </c>
      <c r="H256">
        <v>516.995</v>
      </c>
      <c r="I256" t="s">
        <v>76</v>
      </c>
      <c r="J256" t="s">
        <v>77</v>
      </c>
    </row>
    <row r="257" spans="1:11" x14ac:dyDescent="0.3">
      <c r="A257" t="s">
        <v>83</v>
      </c>
      <c r="B257">
        <v>1000</v>
      </c>
      <c r="C257" t="s">
        <v>79</v>
      </c>
      <c r="D257">
        <v>4.0395500000000003E-3</v>
      </c>
      <c r="E257" t="s">
        <v>74</v>
      </c>
      <c r="F257">
        <v>4.0395500000000002</v>
      </c>
      <c r="G257" t="s">
        <v>75</v>
      </c>
      <c r="H257">
        <v>4039.549</v>
      </c>
      <c r="I257" t="s">
        <v>76</v>
      </c>
      <c r="J257" t="s">
        <v>77</v>
      </c>
    </row>
    <row r="258" spans="1:11" x14ac:dyDescent="0.3">
      <c r="A258" t="s">
        <v>83</v>
      </c>
      <c r="B258">
        <v>1000</v>
      </c>
      <c r="C258" t="s">
        <v>94</v>
      </c>
      <c r="D258">
        <v>2.6421700000000001E-3</v>
      </c>
      <c r="E258" t="s">
        <v>74</v>
      </c>
      <c r="F258">
        <v>2.6421700000000001</v>
      </c>
      <c r="G258" t="s">
        <v>75</v>
      </c>
      <c r="H258">
        <v>2642.1689999999999</v>
      </c>
      <c r="I258" t="s">
        <v>76</v>
      </c>
      <c r="J258" t="s">
        <v>77</v>
      </c>
    </row>
    <row r="259" spans="1:11" x14ac:dyDescent="0.3">
      <c r="A259" t="s">
        <v>83</v>
      </c>
      <c r="B259">
        <v>1000</v>
      </c>
      <c r="C259" t="s">
        <v>80</v>
      </c>
      <c r="D259">
        <v>2.8384299999999999E-3</v>
      </c>
      <c r="E259" t="s">
        <v>74</v>
      </c>
      <c r="F259">
        <v>2.8384299999999998</v>
      </c>
      <c r="G259" t="s">
        <v>75</v>
      </c>
      <c r="H259">
        <v>2838.431</v>
      </c>
      <c r="I259" t="s">
        <v>76</v>
      </c>
      <c r="J259" t="s">
        <v>77</v>
      </c>
    </row>
    <row r="260" spans="1:11" x14ac:dyDescent="0.3">
      <c r="A260" t="s">
        <v>83</v>
      </c>
      <c r="B260">
        <v>1000</v>
      </c>
      <c r="C260" t="s">
        <v>81</v>
      </c>
      <c r="D260">
        <v>6.8792000000000002E-3</v>
      </c>
      <c r="E260" t="s">
        <v>74</v>
      </c>
      <c r="F260">
        <v>6.8792</v>
      </c>
      <c r="G260" t="s">
        <v>75</v>
      </c>
      <c r="H260">
        <v>6879.1980000000003</v>
      </c>
      <c r="I260" t="s">
        <v>76</v>
      </c>
      <c r="J260" t="s">
        <v>82</v>
      </c>
      <c r="K260">
        <v>145.3657809</v>
      </c>
    </row>
    <row r="261" spans="1:11" x14ac:dyDescent="0.3">
      <c r="A261" t="s">
        <v>84</v>
      </c>
      <c r="B261">
        <v>1001</v>
      </c>
      <c r="C261" t="s">
        <v>91</v>
      </c>
      <c r="D261">
        <v>5.6340999999999997E-4</v>
      </c>
      <c r="E261" t="s">
        <v>74</v>
      </c>
      <c r="F261">
        <v>0.56340999999999997</v>
      </c>
      <c r="G261" t="s">
        <v>75</v>
      </c>
      <c r="H261">
        <v>563.40899999999999</v>
      </c>
      <c r="I261" t="s">
        <v>76</v>
      </c>
      <c r="J261" t="s">
        <v>77</v>
      </c>
    </row>
    <row r="262" spans="1:11" x14ac:dyDescent="0.3">
      <c r="A262" t="s">
        <v>84</v>
      </c>
      <c r="B262">
        <v>1001</v>
      </c>
      <c r="C262" t="s">
        <v>92</v>
      </c>
      <c r="D262">
        <v>2.9730799999999999E-3</v>
      </c>
      <c r="E262" t="s">
        <v>74</v>
      </c>
      <c r="F262">
        <v>2.9730799999999999</v>
      </c>
      <c r="G262" t="s">
        <v>75</v>
      </c>
      <c r="H262">
        <v>2973.0819999999999</v>
      </c>
      <c r="I262" t="s">
        <v>76</v>
      </c>
      <c r="J262" t="s">
        <v>77</v>
      </c>
    </row>
    <row r="263" spans="1:11" x14ac:dyDescent="0.3">
      <c r="A263" t="s">
        <v>84</v>
      </c>
      <c r="B263">
        <v>1001</v>
      </c>
      <c r="C263" t="s">
        <v>93</v>
      </c>
      <c r="D263">
        <v>5.1984000000000004E-4</v>
      </c>
      <c r="E263" t="s">
        <v>74</v>
      </c>
      <c r="F263">
        <v>0.51983999999999997</v>
      </c>
      <c r="G263" t="s">
        <v>75</v>
      </c>
      <c r="H263">
        <v>519.84</v>
      </c>
      <c r="I263" t="s">
        <v>76</v>
      </c>
      <c r="J263" t="s">
        <v>77</v>
      </c>
    </row>
    <row r="264" spans="1:11" x14ac:dyDescent="0.3">
      <c r="A264" t="s">
        <v>84</v>
      </c>
      <c r="B264">
        <v>1001</v>
      </c>
      <c r="C264" t="s">
        <v>79</v>
      </c>
      <c r="D264">
        <v>4.0568699999999997E-3</v>
      </c>
      <c r="E264" t="s">
        <v>74</v>
      </c>
      <c r="F264">
        <v>4.05687</v>
      </c>
      <c r="G264" t="s">
        <v>75</v>
      </c>
      <c r="H264">
        <v>4056.873</v>
      </c>
      <c r="I264" t="s">
        <v>76</v>
      </c>
      <c r="J264" t="s">
        <v>77</v>
      </c>
    </row>
    <row r="265" spans="1:11" x14ac:dyDescent="0.3">
      <c r="A265" t="s">
        <v>84</v>
      </c>
      <c r="B265">
        <v>1001</v>
      </c>
      <c r="C265" t="s">
        <v>94</v>
      </c>
      <c r="D265">
        <v>2.65358E-3</v>
      </c>
      <c r="E265" t="s">
        <v>74</v>
      </c>
      <c r="F265">
        <v>2.6535799999999998</v>
      </c>
      <c r="G265" t="s">
        <v>75</v>
      </c>
      <c r="H265">
        <v>2653.5790000000002</v>
      </c>
      <c r="I265" t="s">
        <v>76</v>
      </c>
      <c r="J265" t="s">
        <v>77</v>
      </c>
    </row>
    <row r="266" spans="1:11" x14ac:dyDescent="0.3">
      <c r="A266" t="s">
        <v>84</v>
      </c>
      <c r="B266">
        <v>1001</v>
      </c>
      <c r="C266" t="s">
        <v>80</v>
      </c>
      <c r="D266">
        <v>2.84966E-3</v>
      </c>
      <c r="E266" t="s">
        <v>74</v>
      </c>
      <c r="F266">
        <v>2.8496600000000001</v>
      </c>
      <c r="G266" t="s">
        <v>75</v>
      </c>
      <c r="H266">
        <v>2849.6550000000002</v>
      </c>
      <c r="I266" t="s">
        <v>76</v>
      </c>
      <c r="J266" t="s">
        <v>77</v>
      </c>
    </row>
    <row r="267" spans="1:11" x14ac:dyDescent="0.3">
      <c r="A267" t="s">
        <v>84</v>
      </c>
      <c r="B267">
        <v>1001</v>
      </c>
      <c r="C267" t="s">
        <v>81</v>
      </c>
      <c r="D267">
        <v>6.9077499999999998E-3</v>
      </c>
      <c r="E267" t="s">
        <v>74</v>
      </c>
      <c r="F267">
        <v>6.9077500000000001</v>
      </c>
      <c r="G267" t="s">
        <v>75</v>
      </c>
      <c r="H267">
        <v>6907.7520000000004</v>
      </c>
      <c r="I267" t="s">
        <v>76</v>
      </c>
      <c r="J267" t="s">
        <v>82</v>
      </c>
      <c r="K267">
        <v>144.76490129999999</v>
      </c>
    </row>
    <row r="268" spans="1:11" x14ac:dyDescent="0.3">
      <c r="A268" t="s">
        <v>85</v>
      </c>
      <c r="B268">
        <v>1001</v>
      </c>
      <c r="C268" t="s">
        <v>86</v>
      </c>
      <c r="D268">
        <v>6.9080399999999998E-3</v>
      </c>
      <c r="E268" t="s">
        <v>74</v>
      </c>
      <c r="F268">
        <v>6.9080399999999997</v>
      </c>
      <c r="G268" t="s">
        <v>75</v>
      </c>
      <c r="H268">
        <v>6908.0410000000002</v>
      </c>
      <c r="I268" t="s">
        <v>76</v>
      </c>
      <c r="J268" t="s">
        <v>82</v>
      </c>
      <c r="K268">
        <v>144.75883189999999</v>
      </c>
    </row>
    <row r="269" spans="1:11" x14ac:dyDescent="0.3">
      <c r="A269" t="s">
        <v>106</v>
      </c>
    </row>
    <row r="270" spans="1:11" x14ac:dyDescent="0.3">
      <c r="A270" t="s">
        <v>72</v>
      </c>
      <c r="B270">
        <v>1</v>
      </c>
      <c r="C270" t="s">
        <v>73</v>
      </c>
      <c r="D270">
        <v>9.9999999999999995E-7</v>
      </c>
      <c r="E270" t="s">
        <v>74</v>
      </c>
      <c r="F270">
        <v>1E-3</v>
      </c>
      <c r="G270" t="s">
        <v>75</v>
      </c>
      <c r="H270">
        <v>1</v>
      </c>
      <c r="I270" t="s">
        <v>76</v>
      </c>
      <c r="J270" t="s">
        <v>77</v>
      </c>
    </row>
    <row r="271" spans="1:11" x14ac:dyDescent="0.3">
      <c r="A271" t="s">
        <v>72</v>
      </c>
      <c r="B271">
        <v>1</v>
      </c>
      <c r="C271" t="s">
        <v>78</v>
      </c>
      <c r="D271">
        <v>4.2700000000000001E-5</v>
      </c>
      <c r="E271" t="s">
        <v>74</v>
      </c>
      <c r="F271">
        <v>4.2700000000000002E-2</v>
      </c>
      <c r="G271" t="s">
        <v>75</v>
      </c>
      <c r="H271">
        <v>42.7</v>
      </c>
      <c r="I271" t="s">
        <v>76</v>
      </c>
      <c r="J271" t="s">
        <v>77</v>
      </c>
    </row>
    <row r="272" spans="1:11" x14ac:dyDescent="0.3">
      <c r="A272" t="s">
        <v>72</v>
      </c>
      <c r="B272">
        <v>1</v>
      </c>
      <c r="C272" t="s">
        <v>91</v>
      </c>
      <c r="D272">
        <v>2.1699000000000002E-3</v>
      </c>
      <c r="E272" t="s">
        <v>74</v>
      </c>
      <c r="F272">
        <v>2.1699000000000002</v>
      </c>
      <c r="G272" t="s">
        <v>75</v>
      </c>
      <c r="H272">
        <v>2169.9</v>
      </c>
      <c r="I272" t="s">
        <v>76</v>
      </c>
      <c r="J272" t="s">
        <v>77</v>
      </c>
    </row>
    <row r="273" spans="1:11" x14ac:dyDescent="0.3">
      <c r="A273" t="s">
        <v>72</v>
      </c>
      <c r="B273">
        <v>1</v>
      </c>
      <c r="C273" t="s">
        <v>92</v>
      </c>
      <c r="D273">
        <v>4.0324000000000002E-3</v>
      </c>
      <c r="E273" t="s">
        <v>74</v>
      </c>
      <c r="F273">
        <v>4.0324</v>
      </c>
      <c r="G273" t="s">
        <v>75</v>
      </c>
      <c r="H273">
        <v>4032.4</v>
      </c>
      <c r="I273" t="s">
        <v>76</v>
      </c>
      <c r="J273" t="s">
        <v>77</v>
      </c>
    </row>
    <row r="274" spans="1:11" x14ac:dyDescent="0.3">
      <c r="A274" t="s">
        <v>72</v>
      </c>
      <c r="B274">
        <v>1</v>
      </c>
      <c r="C274" t="s">
        <v>93</v>
      </c>
      <c r="D274">
        <v>1.6417000000000001E-3</v>
      </c>
      <c r="E274" t="s">
        <v>74</v>
      </c>
      <c r="F274">
        <v>1.6416999999999999</v>
      </c>
      <c r="G274" t="s">
        <v>75</v>
      </c>
      <c r="H274">
        <v>1641.7</v>
      </c>
      <c r="I274" t="s">
        <v>76</v>
      </c>
      <c r="J274" t="s">
        <v>77</v>
      </c>
    </row>
    <row r="275" spans="1:11" x14ac:dyDescent="0.3">
      <c r="A275" t="s">
        <v>72</v>
      </c>
      <c r="B275">
        <v>1</v>
      </c>
      <c r="C275" t="s">
        <v>79</v>
      </c>
      <c r="D275">
        <v>7.8443000000000002E-3</v>
      </c>
      <c r="E275" t="s">
        <v>74</v>
      </c>
      <c r="F275">
        <v>7.8442999999999996</v>
      </c>
      <c r="G275" t="s">
        <v>75</v>
      </c>
      <c r="H275">
        <v>7844.3</v>
      </c>
      <c r="I275" t="s">
        <v>76</v>
      </c>
      <c r="J275" t="s">
        <v>77</v>
      </c>
    </row>
    <row r="276" spans="1:11" x14ac:dyDescent="0.3">
      <c r="A276" t="s">
        <v>72</v>
      </c>
      <c r="B276">
        <v>1</v>
      </c>
      <c r="C276" t="s">
        <v>96</v>
      </c>
      <c r="D276">
        <v>2.0874999999999999E-3</v>
      </c>
      <c r="E276" t="s">
        <v>74</v>
      </c>
      <c r="F276">
        <v>2.0874999999999999</v>
      </c>
      <c r="G276" t="s">
        <v>75</v>
      </c>
      <c r="H276">
        <v>2087.5</v>
      </c>
      <c r="I276" t="s">
        <v>76</v>
      </c>
      <c r="J276" t="s">
        <v>77</v>
      </c>
    </row>
    <row r="277" spans="1:11" x14ac:dyDescent="0.3">
      <c r="A277" t="s">
        <v>72</v>
      </c>
      <c r="B277">
        <v>1</v>
      </c>
      <c r="C277" t="s">
        <v>94</v>
      </c>
      <c r="D277">
        <v>3.1476E-3</v>
      </c>
      <c r="E277" t="s">
        <v>74</v>
      </c>
      <c r="F277">
        <v>3.1476000000000002</v>
      </c>
      <c r="G277" t="s">
        <v>75</v>
      </c>
      <c r="H277">
        <v>3147.6</v>
      </c>
      <c r="I277" t="s">
        <v>76</v>
      </c>
      <c r="J277" t="s">
        <v>77</v>
      </c>
    </row>
    <row r="278" spans="1:11" x14ac:dyDescent="0.3">
      <c r="A278" t="s">
        <v>72</v>
      </c>
      <c r="B278">
        <v>1</v>
      </c>
      <c r="C278" t="s">
        <v>80</v>
      </c>
      <c r="D278">
        <v>5.3664999999999997E-3</v>
      </c>
      <c r="E278" t="s">
        <v>74</v>
      </c>
      <c r="F278">
        <v>5.3665000000000003</v>
      </c>
      <c r="G278" t="s">
        <v>75</v>
      </c>
      <c r="H278">
        <v>5366.5</v>
      </c>
      <c r="I278" t="s">
        <v>76</v>
      </c>
      <c r="J278" t="s">
        <v>77</v>
      </c>
    </row>
    <row r="279" spans="1:11" x14ac:dyDescent="0.3">
      <c r="A279" t="s">
        <v>72</v>
      </c>
      <c r="B279">
        <v>1</v>
      </c>
      <c r="C279" t="s">
        <v>81</v>
      </c>
      <c r="D279">
        <v>1.32116E-2</v>
      </c>
      <c r="E279" t="s">
        <v>74</v>
      </c>
      <c r="F279">
        <v>13.211600000000001</v>
      </c>
      <c r="G279" t="s">
        <v>75</v>
      </c>
      <c r="H279">
        <v>13211.6</v>
      </c>
      <c r="I279" t="s">
        <v>76</v>
      </c>
      <c r="J279" t="s">
        <v>82</v>
      </c>
      <c r="K279">
        <v>75.691061899999994</v>
      </c>
    </row>
    <row r="280" spans="1:11" x14ac:dyDescent="0.3">
      <c r="A280" t="s">
        <v>83</v>
      </c>
      <c r="B280">
        <v>1000</v>
      </c>
      <c r="C280" t="s">
        <v>91</v>
      </c>
      <c r="D280">
        <v>5.4509000000000003E-4</v>
      </c>
      <c r="E280" t="s">
        <v>74</v>
      </c>
      <c r="F280">
        <v>0.54508999999999996</v>
      </c>
      <c r="G280" t="s">
        <v>75</v>
      </c>
      <c r="H280">
        <v>545.08900000000006</v>
      </c>
      <c r="I280" t="s">
        <v>76</v>
      </c>
      <c r="J280" t="s">
        <v>77</v>
      </c>
    </row>
    <row r="281" spans="1:11" x14ac:dyDescent="0.3">
      <c r="A281" t="s">
        <v>83</v>
      </c>
      <c r="B281">
        <v>1000</v>
      </c>
      <c r="C281" t="s">
        <v>92</v>
      </c>
      <c r="D281">
        <v>2.8565499999999998E-3</v>
      </c>
      <c r="E281" t="s">
        <v>74</v>
      </c>
      <c r="F281">
        <v>2.8565499999999999</v>
      </c>
      <c r="G281" t="s">
        <v>75</v>
      </c>
      <c r="H281">
        <v>2856.55</v>
      </c>
      <c r="I281" t="s">
        <v>76</v>
      </c>
      <c r="J281" t="s">
        <v>77</v>
      </c>
    </row>
    <row r="282" spans="1:11" x14ac:dyDescent="0.3">
      <c r="A282" t="s">
        <v>83</v>
      </c>
      <c r="B282">
        <v>1000</v>
      </c>
      <c r="C282" t="s">
        <v>93</v>
      </c>
      <c r="D282">
        <v>5.1407999999999998E-4</v>
      </c>
      <c r="E282" t="s">
        <v>74</v>
      </c>
      <c r="F282">
        <v>0.51407999999999998</v>
      </c>
      <c r="G282" t="s">
        <v>75</v>
      </c>
      <c r="H282">
        <v>514.08100000000002</v>
      </c>
      <c r="I282" t="s">
        <v>76</v>
      </c>
      <c r="J282" t="s">
        <v>77</v>
      </c>
    </row>
    <row r="283" spans="1:11" x14ac:dyDescent="0.3">
      <c r="A283" t="s">
        <v>83</v>
      </c>
      <c r="B283">
        <v>1000</v>
      </c>
      <c r="C283" t="s">
        <v>79</v>
      </c>
      <c r="D283">
        <v>3.9161999999999999E-3</v>
      </c>
      <c r="E283" t="s">
        <v>74</v>
      </c>
      <c r="F283">
        <v>3.9161999999999999</v>
      </c>
      <c r="G283" t="s">
        <v>75</v>
      </c>
      <c r="H283">
        <v>3916.201</v>
      </c>
      <c r="I283" t="s">
        <v>76</v>
      </c>
      <c r="J283" t="s">
        <v>77</v>
      </c>
    </row>
    <row r="284" spans="1:11" x14ac:dyDescent="0.3">
      <c r="A284" t="s">
        <v>83</v>
      </c>
      <c r="B284">
        <v>1000</v>
      </c>
      <c r="C284" t="s">
        <v>96</v>
      </c>
      <c r="D284">
        <v>1.79743E-3</v>
      </c>
      <c r="E284" t="s">
        <v>74</v>
      </c>
      <c r="F284">
        <v>1.7974300000000001</v>
      </c>
      <c r="G284" t="s">
        <v>75</v>
      </c>
      <c r="H284">
        <v>1797.434</v>
      </c>
      <c r="I284" t="s">
        <v>76</v>
      </c>
      <c r="J284" t="s">
        <v>77</v>
      </c>
    </row>
    <row r="285" spans="1:11" x14ac:dyDescent="0.3">
      <c r="A285" t="s">
        <v>83</v>
      </c>
      <c r="B285">
        <v>1000</v>
      </c>
      <c r="C285" t="s">
        <v>94</v>
      </c>
      <c r="D285">
        <v>3.0621099999999998E-3</v>
      </c>
      <c r="E285" t="s">
        <v>74</v>
      </c>
      <c r="F285">
        <v>3.0621100000000001</v>
      </c>
      <c r="G285" t="s">
        <v>75</v>
      </c>
      <c r="H285">
        <v>3062.1080000000002</v>
      </c>
      <c r="I285" t="s">
        <v>76</v>
      </c>
      <c r="J285" t="s">
        <v>77</v>
      </c>
    </row>
    <row r="286" spans="1:11" x14ac:dyDescent="0.3">
      <c r="A286" t="s">
        <v>83</v>
      </c>
      <c r="B286">
        <v>1000</v>
      </c>
      <c r="C286" t="s">
        <v>80</v>
      </c>
      <c r="D286">
        <v>4.9928699999999999E-3</v>
      </c>
      <c r="E286" t="s">
        <v>74</v>
      </c>
      <c r="F286">
        <v>4.9928699999999999</v>
      </c>
      <c r="G286" t="s">
        <v>75</v>
      </c>
      <c r="H286">
        <v>4992.866</v>
      </c>
      <c r="I286" t="s">
        <v>76</v>
      </c>
      <c r="J286" t="s">
        <v>77</v>
      </c>
    </row>
    <row r="287" spans="1:11" x14ac:dyDescent="0.3">
      <c r="A287" t="s">
        <v>83</v>
      </c>
      <c r="B287">
        <v>1000</v>
      </c>
      <c r="C287" t="s">
        <v>81</v>
      </c>
      <c r="D287">
        <v>8.9104800000000001E-3</v>
      </c>
      <c r="E287" t="s">
        <v>74</v>
      </c>
      <c r="F287">
        <v>8.9104799999999997</v>
      </c>
      <c r="G287" t="s">
        <v>75</v>
      </c>
      <c r="H287">
        <v>8910.48</v>
      </c>
      <c r="I287" t="s">
        <v>76</v>
      </c>
      <c r="J287" t="s">
        <v>82</v>
      </c>
      <c r="K287">
        <v>112.2273934</v>
      </c>
    </row>
    <row r="288" spans="1:11" x14ac:dyDescent="0.3">
      <c r="A288" t="s">
        <v>84</v>
      </c>
      <c r="B288">
        <v>1001</v>
      </c>
      <c r="C288" t="s">
        <v>91</v>
      </c>
      <c r="D288">
        <v>5.4670999999999995E-4</v>
      </c>
      <c r="E288" t="s">
        <v>74</v>
      </c>
      <c r="F288">
        <v>0.54671000000000003</v>
      </c>
      <c r="G288" t="s">
        <v>75</v>
      </c>
      <c r="H288">
        <v>546.71299999999997</v>
      </c>
      <c r="I288" t="s">
        <v>76</v>
      </c>
      <c r="J288" t="s">
        <v>77</v>
      </c>
    </row>
    <row r="289" spans="1:11" x14ac:dyDescent="0.3">
      <c r="A289" t="s">
        <v>84</v>
      </c>
      <c r="B289">
        <v>1001</v>
      </c>
      <c r="C289" t="s">
        <v>92</v>
      </c>
      <c r="D289">
        <v>2.8577199999999998E-3</v>
      </c>
      <c r="E289" t="s">
        <v>74</v>
      </c>
      <c r="F289">
        <v>2.85772</v>
      </c>
      <c r="G289" t="s">
        <v>75</v>
      </c>
      <c r="H289">
        <v>2857.7240000000002</v>
      </c>
      <c r="I289" t="s">
        <v>76</v>
      </c>
      <c r="J289" t="s">
        <v>77</v>
      </c>
    </row>
    <row r="290" spans="1:11" x14ac:dyDescent="0.3">
      <c r="A290" t="s">
        <v>84</v>
      </c>
      <c r="B290">
        <v>1001</v>
      </c>
      <c r="C290" t="s">
        <v>93</v>
      </c>
      <c r="D290">
        <v>5.1521E-4</v>
      </c>
      <c r="E290" t="s">
        <v>74</v>
      </c>
      <c r="F290">
        <v>0.51520999999999995</v>
      </c>
      <c r="G290" t="s">
        <v>75</v>
      </c>
      <c r="H290">
        <v>515.20699999999999</v>
      </c>
      <c r="I290" t="s">
        <v>76</v>
      </c>
      <c r="J290" t="s">
        <v>77</v>
      </c>
    </row>
    <row r="291" spans="1:11" x14ac:dyDescent="0.3">
      <c r="A291" t="s">
        <v>84</v>
      </c>
      <c r="B291">
        <v>1001</v>
      </c>
      <c r="C291" t="s">
        <v>79</v>
      </c>
      <c r="D291">
        <v>3.92012E-3</v>
      </c>
      <c r="E291" t="s">
        <v>74</v>
      </c>
      <c r="F291">
        <v>3.9201199999999998</v>
      </c>
      <c r="G291" t="s">
        <v>75</v>
      </c>
      <c r="H291">
        <v>3920.125</v>
      </c>
      <c r="I291" t="s">
        <v>76</v>
      </c>
      <c r="J291" t="s">
        <v>77</v>
      </c>
    </row>
    <row r="292" spans="1:11" x14ac:dyDescent="0.3">
      <c r="A292" t="s">
        <v>84</v>
      </c>
      <c r="B292">
        <v>1001</v>
      </c>
      <c r="C292" t="s">
        <v>96</v>
      </c>
      <c r="D292">
        <v>1.79772E-3</v>
      </c>
      <c r="E292" t="s">
        <v>74</v>
      </c>
      <c r="F292">
        <v>1.79772</v>
      </c>
      <c r="G292" t="s">
        <v>75</v>
      </c>
      <c r="H292">
        <v>1797.7239999999999</v>
      </c>
      <c r="I292" t="s">
        <v>76</v>
      </c>
      <c r="J292" t="s">
        <v>77</v>
      </c>
    </row>
    <row r="293" spans="1:11" x14ac:dyDescent="0.3">
      <c r="A293" t="s">
        <v>84</v>
      </c>
      <c r="B293">
        <v>1001</v>
      </c>
      <c r="C293" t="s">
        <v>94</v>
      </c>
      <c r="D293">
        <v>3.0621899999999998E-3</v>
      </c>
      <c r="E293" t="s">
        <v>74</v>
      </c>
      <c r="F293">
        <v>3.0621900000000002</v>
      </c>
      <c r="G293" t="s">
        <v>75</v>
      </c>
      <c r="H293">
        <v>3062.1930000000002</v>
      </c>
      <c r="I293" t="s">
        <v>76</v>
      </c>
      <c r="J293" t="s">
        <v>77</v>
      </c>
    </row>
    <row r="294" spans="1:11" x14ac:dyDescent="0.3">
      <c r="A294" t="s">
        <v>84</v>
      </c>
      <c r="B294">
        <v>1001</v>
      </c>
      <c r="C294" t="s">
        <v>80</v>
      </c>
      <c r="D294">
        <v>4.9932400000000004E-3</v>
      </c>
      <c r="E294" t="s">
        <v>74</v>
      </c>
      <c r="F294">
        <v>4.9932400000000001</v>
      </c>
      <c r="G294" t="s">
        <v>75</v>
      </c>
      <c r="H294">
        <v>4993.24</v>
      </c>
      <c r="I294" t="s">
        <v>76</v>
      </c>
      <c r="J294" t="s">
        <v>77</v>
      </c>
    </row>
    <row r="295" spans="1:11" x14ac:dyDescent="0.3">
      <c r="A295" t="s">
        <v>84</v>
      </c>
      <c r="B295">
        <v>1001</v>
      </c>
      <c r="C295" t="s">
        <v>81</v>
      </c>
      <c r="D295">
        <v>8.9147800000000006E-3</v>
      </c>
      <c r="E295" t="s">
        <v>74</v>
      </c>
      <c r="F295">
        <v>8.9147800000000004</v>
      </c>
      <c r="G295" t="s">
        <v>75</v>
      </c>
      <c r="H295">
        <v>8914.7759999999998</v>
      </c>
      <c r="I295" t="s">
        <v>76</v>
      </c>
      <c r="J295" t="s">
        <v>82</v>
      </c>
      <c r="K295">
        <v>112.1733174</v>
      </c>
    </row>
    <row r="296" spans="1:11" x14ac:dyDescent="0.3">
      <c r="A296" t="s">
        <v>85</v>
      </c>
      <c r="B296">
        <v>1001</v>
      </c>
      <c r="C296" t="s">
        <v>86</v>
      </c>
      <c r="D296">
        <v>8.9149599999999996E-3</v>
      </c>
      <c r="E296" t="s">
        <v>74</v>
      </c>
      <c r="F296">
        <v>8.9149600000000007</v>
      </c>
      <c r="G296" t="s">
        <v>75</v>
      </c>
      <c r="H296">
        <v>8914.9619999999995</v>
      </c>
      <c r="I296" t="s">
        <v>76</v>
      </c>
      <c r="J296" t="s">
        <v>82</v>
      </c>
      <c r="K296">
        <v>112.1709798</v>
      </c>
    </row>
    <row r="297" spans="1:11" x14ac:dyDescent="0.3">
      <c r="A297" t="s">
        <v>87</v>
      </c>
    </row>
    <row r="298" spans="1:11" x14ac:dyDescent="0.3">
      <c r="A298" t="s">
        <v>107</v>
      </c>
    </row>
    <row r="299" spans="1:11" x14ac:dyDescent="0.3">
      <c r="A299" t="s">
        <v>72</v>
      </c>
      <c r="B299">
        <v>1</v>
      </c>
      <c r="C299" t="s">
        <v>81</v>
      </c>
      <c r="D299">
        <v>3.5460499999999999E-2</v>
      </c>
      <c r="E299" t="s">
        <v>74</v>
      </c>
      <c r="F299">
        <v>35.460500000000003</v>
      </c>
      <c r="G299" t="s">
        <v>75</v>
      </c>
      <c r="H299">
        <v>35460.498</v>
      </c>
      <c r="I299" t="s">
        <v>76</v>
      </c>
      <c r="J299" t="s">
        <v>82</v>
      </c>
      <c r="K299">
        <v>28.200393399999999</v>
      </c>
    </row>
    <row r="300" spans="1:11" x14ac:dyDescent="0.3">
      <c r="A300" t="s">
        <v>83</v>
      </c>
      <c r="B300">
        <v>1000</v>
      </c>
      <c r="C300" t="s">
        <v>81</v>
      </c>
      <c r="D300">
        <v>6.8792000000000002E-3</v>
      </c>
      <c r="E300" t="s">
        <v>74</v>
      </c>
      <c r="F300">
        <v>6.8792</v>
      </c>
      <c r="G300" t="s">
        <v>75</v>
      </c>
      <c r="H300">
        <v>6879.1980000000003</v>
      </c>
      <c r="I300" t="s">
        <v>76</v>
      </c>
      <c r="J300" t="s">
        <v>82</v>
      </c>
      <c r="K300">
        <v>145.3657809</v>
      </c>
    </row>
    <row r="301" spans="1:11" x14ac:dyDescent="0.3">
      <c r="A301" t="s">
        <v>85</v>
      </c>
      <c r="B301">
        <v>1001</v>
      </c>
      <c r="C301" t="s">
        <v>86</v>
      </c>
      <c r="D301">
        <v>6.9080399999999998E-3</v>
      </c>
      <c r="E301" t="s">
        <v>74</v>
      </c>
      <c r="F301">
        <v>6.9080399999999997</v>
      </c>
      <c r="G301" t="s">
        <v>75</v>
      </c>
      <c r="H301">
        <v>6908.0410000000002</v>
      </c>
      <c r="I301" t="s">
        <v>76</v>
      </c>
      <c r="J301" t="s">
        <v>82</v>
      </c>
      <c r="K301">
        <v>144.75883189999999</v>
      </c>
    </row>
    <row r="303" spans="1:11" x14ac:dyDescent="0.3">
      <c r="A303" t="s">
        <v>108</v>
      </c>
    </row>
    <row r="304" spans="1:11" x14ac:dyDescent="0.3">
      <c r="A304" t="s">
        <v>72</v>
      </c>
      <c r="B304">
        <v>1</v>
      </c>
      <c r="C304" t="s">
        <v>81</v>
      </c>
      <c r="D304">
        <v>1.32116E-2</v>
      </c>
      <c r="E304" t="s">
        <v>74</v>
      </c>
      <c r="F304">
        <v>13.211600000000001</v>
      </c>
      <c r="G304" t="s">
        <v>75</v>
      </c>
      <c r="H304">
        <v>13211.6</v>
      </c>
      <c r="I304" t="s">
        <v>76</v>
      </c>
      <c r="J304" t="s">
        <v>82</v>
      </c>
      <c r="K304">
        <v>75.691061899999994</v>
      </c>
    </row>
    <row r="305" spans="1:11" x14ac:dyDescent="0.3">
      <c r="A305" t="s">
        <v>83</v>
      </c>
      <c r="B305">
        <v>1000</v>
      </c>
      <c r="C305" t="s">
        <v>81</v>
      </c>
      <c r="D305">
        <v>8.9104800000000001E-3</v>
      </c>
      <c r="E305" t="s">
        <v>74</v>
      </c>
      <c r="F305">
        <v>8.9104799999999997</v>
      </c>
      <c r="G305" t="s">
        <v>75</v>
      </c>
      <c r="H305">
        <v>8910.48</v>
      </c>
      <c r="I305" t="s">
        <v>76</v>
      </c>
      <c r="J305" t="s">
        <v>82</v>
      </c>
      <c r="K305">
        <v>112.2273934</v>
      </c>
    </row>
    <row r="306" spans="1:11" x14ac:dyDescent="0.3">
      <c r="A306" t="s">
        <v>85</v>
      </c>
      <c r="B306">
        <v>1001</v>
      </c>
      <c r="C306" t="s">
        <v>86</v>
      </c>
      <c r="D306">
        <v>8.9149599999999996E-3</v>
      </c>
      <c r="E306" t="s">
        <v>74</v>
      </c>
      <c r="F306">
        <v>8.9149600000000007</v>
      </c>
      <c r="G306" t="s">
        <v>75</v>
      </c>
      <c r="H306">
        <v>8914.9619999999995</v>
      </c>
      <c r="I306" t="s">
        <v>76</v>
      </c>
      <c r="J306" t="s">
        <v>82</v>
      </c>
      <c r="K306">
        <v>112.1709798</v>
      </c>
    </row>
    <row r="308" spans="1:11" x14ac:dyDescent="0.3">
      <c r="A308" t="s">
        <v>66</v>
      </c>
    </row>
    <row r="310" spans="1:11" x14ac:dyDescent="0.3">
      <c r="A310" t="s">
        <v>109</v>
      </c>
    </row>
    <row r="311" spans="1:11" x14ac:dyDescent="0.3">
      <c r="A311" t="s">
        <v>68</v>
      </c>
    </row>
    <row r="312" spans="1:11" x14ac:dyDescent="0.3">
      <c r="A312" t="s">
        <v>69</v>
      </c>
    </row>
    <row r="313" spans="1:11" x14ac:dyDescent="0.3">
      <c r="A313" t="s">
        <v>70</v>
      </c>
    </row>
    <row r="314" spans="1:11" x14ac:dyDescent="0.3">
      <c r="A314" t="s">
        <v>110</v>
      </c>
    </row>
    <row r="315" spans="1:11" x14ac:dyDescent="0.3">
      <c r="A315" t="s">
        <v>72</v>
      </c>
      <c r="B315">
        <v>1</v>
      </c>
      <c r="C315" t="s">
        <v>73</v>
      </c>
      <c r="D315">
        <v>1.1999999999999999E-6</v>
      </c>
      <c r="E315" t="s">
        <v>74</v>
      </c>
      <c r="F315">
        <v>1.1999999999999999E-3</v>
      </c>
      <c r="G315" t="s">
        <v>75</v>
      </c>
      <c r="H315">
        <v>1.2</v>
      </c>
      <c r="I315" t="s">
        <v>76</v>
      </c>
      <c r="J315" t="s">
        <v>77</v>
      </c>
    </row>
    <row r="316" spans="1:11" x14ac:dyDescent="0.3">
      <c r="A316" t="s">
        <v>72</v>
      </c>
      <c r="B316">
        <v>1</v>
      </c>
      <c r="C316" t="s">
        <v>78</v>
      </c>
      <c r="D316">
        <v>2.3200000000000001E-5</v>
      </c>
      <c r="E316" t="s">
        <v>74</v>
      </c>
      <c r="F316">
        <v>2.3199999999999998E-2</v>
      </c>
      <c r="G316" t="s">
        <v>75</v>
      </c>
      <c r="H316">
        <v>23.2</v>
      </c>
      <c r="I316" t="s">
        <v>76</v>
      </c>
      <c r="J316" t="s">
        <v>77</v>
      </c>
    </row>
    <row r="317" spans="1:11" x14ac:dyDescent="0.3">
      <c r="A317" t="s">
        <v>72</v>
      </c>
      <c r="B317">
        <v>1</v>
      </c>
      <c r="C317" t="s">
        <v>79</v>
      </c>
      <c r="D317">
        <v>4.3895000000000002E-3</v>
      </c>
      <c r="E317" t="s">
        <v>74</v>
      </c>
      <c r="F317">
        <v>4.3895</v>
      </c>
      <c r="G317" t="s">
        <v>75</v>
      </c>
      <c r="H317">
        <v>4389.5</v>
      </c>
      <c r="I317" t="s">
        <v>76</v>
      </c>
      <c r="J317" t="s">
        <v>77</v>
      </c>
    </row>
    <row r="318" spans="1:11" x14ac:dyDescent="0.3">
      <c r="A318" t="s">
        <v>72</v>
      </c>
      <c r="B318">
        <v>1</v>
      </c>
      <c r="C318" t="s">
        <v>94</v>
      </c>
      <c r="D318">
        <v>9.4076999999999997E-3</v>
      </c>
      <c r="E318" t="s">
        <v>74</v>
      </c>
      <c r="F318">
        <v>9.4077000000000002</v>
      </c>
      <c r="G318" t="s">
        <v>75</v>
      </c>
      <c r="H318">
        <v>9407.7000000000007</v>
      </c>
      <c r="I318" t="s">
        <v>76</v>
      </c>
      <c r="J318" t="s">
        <v>77</v>
      </c>
    </row>
    <row r="319" spans="1:11" x14ac:dyDescent="0.3">
      <c r="A319" t="s">
        <v>72</v>
      </c>
      <c r="B319">
        <v>1</v>
      </c>
      <c r="C319" t="s">
        <v>80</v>
      </c>
      <c r="D319">
        <v>9.4082999999999996E-3</v>
      </c>
      <c r="E319" t="s">
        <v>74</v>
      </c>
      <c r="F319">
        <v>9.4083000000000006</v>
      </c>
      <c r="G319" t="s">
        <v>75</v>
      </c>
      <c r="H319">
        <v>9408.2999999999993</v>
      </c>
      <c r="I319" t="s">
        <v>76</v>
      </c>
      <c r="J319" t="s">
        <v>77</v>
      </c>
    </row>
    <row r="320" spans="1:11" x14ac:dyDescent="0.3">
      <c r="A320" t="s">
        <v>72</v>
      </c>
      <c r="B320">
        <v>1</v>
      </c>
      <c r="C320" t="s">
        <v>81</v>
      </c>
      <c r="D320">
        <v>1.38006E-2</v>
      </c>
      <c r="E320" t="s">
        <v>74</v>
      </c>
      <c r="F320">
        <v>13.800599999999999</v>
      </c>
      <c r="G320" t="s">
        <v>75</v>
      </c>
      <c r="H320">
        <v>13800.6</v>
      </c>
      <c r="I320" t="s">
        <v>76</v>
      </c>
      <c r="J320" t="s">
        <v>82</v>
      </c>
      <c r="K320">
        <v>72.460619699999995</v>
      </c>
    </row>
    <row r="321" spans="1:11" x14ac:dyDescent="0.3">
      <c r="A321" t="s">
        <v>83</v>
      </c>
      <c r="B321">
        <v>1000</v>
      </c>
      <c r="C321" t="s">
        <v>79</v>
      </c>
      <c r="D321">
        <v>3.1656700000000002E-3</v>
      </c>
      <c r="E321" t="s">
        <v>74</v>
      </c>
      <c r="F321">
        <v>3.16567</v>
      </c>
      <c r="G321" t="s">
        <v>75</v>
      </c>
      <c r="H321">
        <v>3165.67</v>
      </c>
      <c r="I321" t="s">
        <v>76</v>
      </c>
      <c r="J321" t="s">
        <v>77</v>
      </c>
    </row>
    <row r="322" spans="1:11" x14ac:dyDescent="0.3">
      <c r="A322" t="s">
        <v>83</v>
      </c>
      <c r="B322">
        <v>1000</v>
      </c>
      <c r="C322" t="s">
        <v>94</v>
      </c>
      <c r="D322">
        <v>2.5734999999999998E-3</v>
      </c>
      <c r="E322" t="s">
        <v>74</v>
      </c>
      <c r="F322">
        <v>2.5735000000000001</v>
      </c>
      <c r="G322" t="s">
        <v>75</v>
      </c>
      <c r="H322">
        <v>2573.5</v>
      </c>
      <c r="I322" t="s">
        <v>76</v>
      </c>
      <c r="J322" t="s">
        <v>77</v>
      </c>
    </row>
    <row r="323" spans="1:11" x14ac:dyDescent="0.3">
      <c r="A323" t="s">
        <v>83</v>
      </c>
      <c r="B323">
        <v>1000</v>
      </c>
      <c r="C323" t="s">
        <v>80</v>
      </c>
      <c r="D323">
        <v>2.7184499999999999E-3</v>
      </c>
      <c r="E323" t="s">
        <v>74</v>
      </c>
      <c r="F323">
        <v>2.7184499999999998</v>
      </c>
      <c r="G323" t="s">
        <v>75</v>
      </c>
      <c r="H323">
        <v>2718.4549999999999</v>
      </c>
      <c r="I323" t="s">
        <v>76</v>
      </c>
      <c r="J323" t="s">
        <v>77</v>
      </c>
    </row>
    <row r="324" spans="1:11" x14ac:dyDescent="0.3">
      <c r="A324" t="s">
        <v>83</v>
      </c>
      <c r="B324">
        <v>1000</v>
      </c>
      <c r="C324" t="s">
        <v>81</v>
      </c>
      <c r="D324">
        <v>5.88494E-3</v>
      </c>
      <c r="E324" t="s">
        <v>74</v>
      </c>
      <c r="F324">
        <v>5.8849400000000003</v>
      </c>
      <c r="G324" t="s">
        <v>75</v>
      </c>
      <c r="H324">
        <v>5884.9440000000004</v>
      </c>
      <c r="I324" t="s">
        <v>76</v>
      </c>
      <c r="J324" t="s">
        <v>82</v>
      </c>
      <c r="K324">
        <v>169.92513869999999</v>
      </c>
    </row>
    <row r="325" spans="1:11" x14ac:dyDescent="0.3">
      <c r="A325" t="s">
        <v>84</v>
      </c>
      <c r="B325">
        <v>1001</v>
      </c>
      <c r="C325" t="s">
        <v>79</v>
      </c>
      <c r="D325">
        <v>3.1668899999999999E-3</v>
      </c>
      <c r="E325" t="s">
        <v>74</v>
      </c>
      <c r="F325">
        <v>3.16689</v>
      </c>
      <c r="G325" t="s">
        <v>75</v>
      </c>
      <c r="H325">
        <v>3166.893</v>
      </c>
      <c r="I325" t="s">
        <v>76</v>
      </c>
      <c r="J325" t="s">
        <v>77</v>
      </c>
    </row>
    <row r="326" spans="1:11" x14ac:dyDescent="0.3">
      <c r="A326" t="s">
        <v>84</v>
      </c>
      <c r="B326">
        <v>1001</v>
      </c>
      <c r="C326" t="s">
        <v>94</v>
      </c>
      <c r="D326">
        <v>2.58033E-3</v>
      </c>
      <c r="E326" t="s">
        <v>74</v>
      </c>
      <c r="F326">
        <v>2.58033</v>
      </c>
      <c r="G326" t="s">
        <v>75</v>
      </c>
      <c r="H326">
        <v>2580.3270000000002</v>
      </c>
      <c r="I326" t="s">
        <v>76</v>
      </c>
      <c r="J326" t="s">
        <v>77</v>
      </c>
    </row>
    <row r="327" spans="1:11" x14ac:dyDescent="0.3">
      <c r="A327" t="s">
        <v>84</v>
      </c>
      <c r="B327">
        <v>1001</v>
      </c>
      <c r="C327" t="s">
        <v>80</v>
      </c>
      <c r="D327">
        <v>2.72514E-3</v>
      </c>
      <c r="E327" t="s">
        <v>74</v>
      </c>
      <c r="F327">
        <v>2.7251400000000001</v>
      </c>
      <c r="G327" t="s">
        <v>75</v>
      </c>
      <c r="H327">
        <v>2725.1370000000002</v>
      </c>
      <c r="I327" t="s">
        <v>76</v>
      </c>
      <c r="J327" t="s">
        <v>77</v>
      </c>
    </row>
    <row r="328" spans="1:11" x14ac:dyDescent="0.3">
      <c r="A328" t="s">
        <v>84</v>
      </c>
      <c r="B328">
        <v>1001</v>
      </c>
      <c r="C328" t="s">
        <v>81</v>
      </c>
      <c r="D328">
        <v>5.8928499999999998E-3</v>
      </c>
      <c r="E328" t="s">
        <v>74</v>
      </c>
      <c r="F328">
        <v>5.8928500000000001</v>
      </c>
      <c r="G328" t="s">
        <v>75</v>
      </c>
      <c r="H328">
        <v>5892.8519999999999</v>
      </c>
      <c r="I328" t="s">
        <v>76</v>
      </c>
      <c r="J328" t="s">
        <v>82</v>
      </c>
      <c r="K328">
        <v>169.69711179999999</v>
      </c>
    </row>
    <row r="329" spans="1:11" x14ac:dyDescent="0.3">
      <c r="A329" t="s">
        <v>85</v>
      </c>
      <c r="B329">
        <v>1001</v>
      </c>
      <c r="C329" t="s">
        <v>86</v>
      </c>
      <c r="D329">
        <v>5.8930500000000004E-3</v>
      </c>
      <c r="E329" t="s">
        <v>74</v>
      </c>
      <c r="F329">
        <v>5.8930499999999997</v>
      </c>
      <c r="G329" t="s">
        <v>75</v>
      </c>
      <c r="H329">
        <v>5893.0460000000003</v>
      </c>
      <c r="I329" t="s">
        <v>76</v>
      </c>
      <c r="J329" t="s">
        <v>82</v>
      </c>
      <c r="K329">
        <v>169.69154259999999</v>
      </c>
    </row>
    <row r="330" spans="1:11" x14ac:dyDescent="0.3">
      <c r="A330" t="s">
        <v>111</v>
      </c>
    </row>
    <row r="331" spans="1:11" x14ac:dyDescent="0.3">
      <c r="A331" t="s">
        <v>72</v>
      </c>
      <c r="B331">
        <v>1</v>
      </c>
      <c r="C331" t="s">
        <v>73</v>
      </c>
      <c r="D331">
        <v>1.1999999999999999E-6</v>
      </c>
      <c r="E331" t="s">
        <v>74</v>
      </c>
      <c r="F331">
        <v>1.1999999999999999E-3</v>
      </c>
      <c r="G331" t="s">
        <v>75</v>
      </c>
      <c r="H331">
        <v>1.2</v>
      </c>
      <c r="I331" t="s">
        <v>76</v>
      </c>
      <c r="J331" t="s">
        <v>77</v>
      </c>
    </row>
    <row r="332" spans="1:11" x14ac:dyDescent="0.3">
      <c r="A332" t="s">
        <v>72</v>
      </c>
      <c r="B332">
        <v>1</v>
      </c>
      <c r="C332" t="s">
        <v>78</v>
      </c>
      <c r="D332">
        <v>1.8700000000000001E-5</v>
      </c>
      <c r="E332" t="s">
        <v>74</v>
      </c>
      <c r="F332">
        <v>1.8700000000000001E-2</v>
      </c>
      <c r="G332" t="s">
        <v>75</v>
      </c>
      <c r="H332">
        <v>18.7</v>
      </c>
      <c r="I332" t="s">
        <v>76</v>
      </c>
      <c r="J332" t="s">
        <v>77</v>
      </c>
    </row>
    <row r="333" spans="1:11" x14ac:dyDescent="0.3">
      <c r="A333" t="s">
        <v>72</v>
      </c>
      <c r="B333">
        <v>1</v>
      </c>
      <c r="C333" t="s">
        <v>79</v>
      </c>
      <c r="D333">
        <v>4.1665000000000001E-3</v>
      </c>
      <c r="E333" t="s">
        <v>74</v>
      </c>
      <c r="F333">
        <v>4.1665000000000001</v>
      </c>
      <c r="G333" t="s">
        <v>75</v>
      </c>
      <c r="H333">
        <v>4166.5</v>
      </c>
      <c r="I333" t="s">
        <v>76</v>
      </c>
      <c r="J333" t="s">
        <v>77</v>
      </c>
    </row>
    <row r="334" spans="1:11" x14ac:dyDescent="0.3">
      <c r="A334" t="s">
        <v>72</v>
      </c>
      <c r="B334">
        <v>1</v>
      </c>
      <c r="C334" t="s">
        <v>94</v>
      </c>
      <c r="D334">
        <v>2.6798E-3</v>
      </c>
      <c r="E334" t="s">
        <v>74</v>
      </c>
      <c r="F334">
        <v>2.6798000000000002</v>
      </c>
      <c r="G334" t="s">
        <v>75</v>
      </c>
      <c r="H334">
        <v>2679.8</v>
      </c>
      <c r="I334" t="s">
        <v>76</v>
      </c>
      <c r="J334" t="s">
        <v>77</v>
      </c>
    </row>
    <row r="335" spans="1:11" x14ac:dyDescent="0.3">
      <c r="A335" t="s">
        <v>72</v>
      </c>
      <c r="B335">
        <v>1</v>
      </c>
      <c r="C335" t="s">
        <v>80</v>
      </c>
      <c r="D335">
        <v>2.8530000000000001E-3</v>
      </c>
      <c r="E335" t="s">
        <v>74</v>
      </c>
      <c r="F335">
        <v>2.8530000000000002</v>
      </c>
      <c r="G335" t="s">
        <v>75</v>
      </c>
      <c r="H335">
        <v>2853</v>
      </c>
      <c r="I335" t="s">
        <v>76</v>
      </c>
      <c r="J335" t="s">
        <v>77</v>
      </c>
    </row>
    <row r="336" spans="1:11" x14ac:dyDescent="0.3">
      <c r="A336" t="s">
        <v>72</v>
      </c>
      <c r="B336">
        <v>1</v>
      </c>
      <c r="C336" t="s">
        <v>81</v>
      </c>
      <c r="D336">
        <v>7.0201999999999999E-3</v>
      </c>
      <c r="E336" t="s">
        <v>74</v>
      </c>
      <c r="F336">
        <v>7.0202</v>
      </c>
      <c r="G336" t="s">
        <v>75</v>
      </c>
      <c r="H336">
        <v>7020.2</v>
      </c>
      <c r="I336" t="s">
        <v>76</v>
      </c>
      <c r="J336" t="s">
        <v>82</v>
      </c>
      <c r="K336">
        <v>142.4460814</v>
      </c>
    </row>
    <row r="337" spans="1:11" x14ac:dyDescent="0.3">
      <c r="A337" t="s">
        <v>83</v>
      </c>
      <c r="B337">
        <v>1000</v>
      </c>
      <c r="C337" t="s">
        <v>79</v>
      </c>
      <c r="D337">
        <v>3.1337399999999999E-3</v>
      </c>
      <c r="E337" t="s">
        <v>74</v>
      </c>
      <c r="F337">
        <v>3.13374</v>
      </c>
      <c r="G337" t="s">
        <v>75</v>
      </c>
      <c r="H337">
        <v>3133.741</v>
      </c>
      <c r="I337" t="s">
        <v>76</v>
      </c>
      <c r="J337" t="s">
        <v>77</v>
      </c>
    </row>
    <row r="338" spans="1:11" x14ac:dyDescent="0.3">
      <c r="A338" t="s">
        <v>83</v>
      </c>
      <c r="B338">
        <v>1000</v>
      </c>
      <c r="C338" t="s">
        <v>94</v>
      </c>
      <c r="D338">
        <v>2.4968500000000001E-3</v>
      </c>
      <c r="E338" t="s">
        <v>74</v>
      </c>
      <c r="F338">
        <v>2.4968499999999998</v>
      </c>
      <c r="G338" t="s">
        <v>75</v>
      </c>
      <c r="H338">
        <v>2496.846</v>
      </c>
      <c r="I338" t="s">
        <v>76</v>
      </c>
      <c r="J338" t="s">
        <v>77</v>
      </c>
    </row>
    <row r="339" spans="1:11" x14ac:dyDescent="0.3">
      <c r="A339" t="s">
        <v>83</v>
      </c>
      <c r="B339">
        <v>1000</v>
      </c>
      <c r="C339" t="s">
        <v>80</v>
      </c>
      <c r="D339">
        <v>2.61999E-3</v>
      </c>
      <c r="E339" t="s">
        <v>74</v>
      </c>
      <c r="F339">
        <v>2.61999</v>
      </c>
      <c r="G339" t="s">
        <v>75</v>
      </c>
      <c r="H339">
        <v>2619.9870000000001</v>
      </c>
      <c r="I339" t="s">
        <v>76</v>
      </c>
      <c r="J339" t="s">
        <v>77</v>
      </c>
    </row>
    <row r="340" spans="1:11" x14ac:dyDescent="0.3">
      <c r="A340" t="s">
        <v>83</v>
      </c>
      <c r="B340">
        <v>1000</v>
      </c>
      <c r="C340" t="s">
        <v>81</v>
      </c>
      <c r="D340">
        <v>5.7545199999999999E-3</v>
      </c>
      <c r="E340" t="s">
        <v>74</v>
      </c>
      <c r="F340">
        <v>5.7545200000000003</v>
      </c>
      <c r="G340" t="s">
        <v>75</v>
      </c>
      <c r="H340">
        <v>5754.5159999999996</v>
      </c>
      <c r="I340" t="s">
        <v>76</v>
      </c>
      <c r="J340" t="s">
        <v>82</v>
      </c>
      <c r="K340">
        <v>173.77655709999999</v>
      </c>
    </row>
    <row r="341" spans="1:11" x14ac:dyDescent="0.3">
      <c r="A341" t="s">
        <v>84</v>
      </c>
      <c r="B341">
        <v>1001</v>
      </c>
      <c r="C341" t="s">
        <v>79</v>
      </c>
      <c r="D341">
        <v>3.1347699999999998E-3</v>
      </c>
      <c r="E341" t="s">
        <v>74</v>
      </c>
      <c r="F341">
        <v>3.1347700000000001</v>
      </c>
      <c r="G341" t="s">
        <v>75</v>
      </c>
      <c r="H341">
        <v>3134.7719999999999</v>
      </c>
      <c r="I341" t="s">
        <v>76</v>
      </c>
      <c r="J341" t="s">
        <v>77</v>
      </c>
    </row>
    <row r="342" spans="1:11" x14ac:dyDescent="0.3">
      <c r="A342" t="s">
        <v>84</v>
      </c>
      <c r="B342">
        <v>1001</v>
      </c>
      <c r="C342" t="s">
        <v>94</v>
      </c>
      <c r="D342">
        <v>2.4970299999999999E-3</v>
      </c>
      <c r="E342" t="s">
        <v>74</v>
      </c>
      <c r="F342">
        <v>2.4970300000000001</v>
      </c>
      <c r="G342" t="s">
        <v>75</v>
      </c>
      <c r="H342">
        <v>2497.029</v>
      </c>
      <c r="I342" t="s">
        <v>76</v>
      </c>
      <c r="J342" t="s">
        <v>77</v>
      </c>
    </row>
    <row r="343" spans="1:11" x14ac:dyDescent="0.3">
      <c r="A343" t="s">
        <v>84</v>
      </c>
      <c r="B343">
        <v>1001</v>
      </c>
      <c r="C343" t="s">
        <v>80</v>
      </c>
      <c r="D343">
        <v>2.6202199999999999E-3</v>
      </c>
      <c r="E343" t="s">
        <v>74</v>
      </c>
      <c r="F343">
        <v>2.6202200000000002</v>
      </c>
      <c r="G343" t="s">
        <v>75</v>
      </c>
      <c r="H343">
        <v>2620.2190000000001</v>
      </c>
      <c r="I343" t="s">
        <v>76</v>
      </c>
      <c r="J343" t="s">
        <v>77</v>
      </c>
    </row>
    <row r="344" spans="1:11" x14ac:dyDescent="0.3">
      <c r="A344" t="s">
        <v>84</v>
      </c>
      <c r="B344">
        <v>1001</v>
      </c>
      <c r="C344" t="s">
        <v>81</v>
      </c>
      <c r="D344">
        <v>5.7557800000000003E-3</v>
      </c>
      <c r="E344" t="s">
        <v>74</v>
      </c>
      <c r="F344">
        <v>5.7557799999999997</v>
      </c>
      <c r="G344" t="s">
        <v>75</v>
      </c>
      <c r="H344">
        <v>5755.7809999999999</v>
      </c>
      <c r="I344" t="s">
        <v>76</v>
      </c>
      <c r="J344" t="s">
        <v>82</v>
      </c>
      <c r="K344">
        <v>173.7383739</v>
      </c>
    </row>
    <row r="345" spans="1:11" x14ac:dyDescent="0.3">
      <c r="A345" t="s">
        <v>85</v>
      </c>
      <c r="B345">
        <v>1001</v>
      </c>
      <c r="C345" t="s">
        <v>86</v>
      </c>
      <c r="D345">
        <v>5.7559000000000004E-3</v>
      </c>
      <c r="E345" t="s">
        <v>74</v>
      </c>
      <c r="F345">
        <v>5.7558999999999996</v>
      </c>
      <c r="G345" t="s">
        <v>75</v>
      </c>
      <c r="H345">
        <v>5755.8959999999997</v>
      </c>
      <c r="I345" t="s">
        <v>76</v>
      </c>
      <c r="J345" t="s">
        <v>82</v>
      </c>
      <c r="K345">
        <v>173.73490870000001</v>
      </c>
    </row>
    <row r="346" spans="1:11" x14ac:dyDescent="0.3">
      <c r="A346" t="s">
        <v>87</v>
      </c>
    </row>
    <row r="347" spans="1:11" x14ac:dyDescent="0.3">
      <c r="A347" t="s">
        <v>112</v>
      </c>
    </row>
    <row r="348" spans="1:11" x14ac:dyDescent="0.3">
      <c r="A348" t="s">
        <v>72</v>
      </c>
      <c r="B348">
        <v>1</v>
      </c>
      <c r="C348" t="s">
        <v>81</v>
      </c>
      <c r="D348">
        <v>1.38006E-2</v>
      </c>
      <c r="E348" t="s">
        <v>74</v>
      </c>
      <c r="F348">
        <v>13.800599999999999</v>
      </c>
      <c r="G348" t="s">
        <v>75</v>
      </c>
      <c r="H348">
        <v>13800.6</v>
      </c>
      <c r="I348" t="s">
        <v>76</v>
      </c>
      <c r="J348" t="s">
        <v>82</v>
      </c>
      <c r="K348">
        <v>72.460619699999995</v>
      </c>
    </row>
    <row r="349" spans="1:11" x14ac:dyDescent="0.3">
      <c r="A349" t="s">
        <v>83</v>
      </c>
      <c r="B349">
        <v>1000</v>
      </c>
      <c r="C349" t="s">
        <v>81</v>
      </c>
      <c r="D349">
        <v>5.88494E-3</v>
      </c>
      <c r="E349" t="s">
        <v>74</v>
      </c>
      <c r="F349">
        <v>5.8849400000000003</v>
      </c>
      <c r="G349" t="s">
        <v>75</v>
      </c>
      <c r="H349">
        <v>5884.9440000000004</v>
      </c>
      <c r="I349" t="s">
        <v>76</v>
      </c>
      <c r="J349" t="s">
        <v>82</v>
      </c>
      <c r="K349">
        <v>169.92513869999999</v>
      </c>
    </row>
    <row r="350" spans="1:11" x14ac:dyDescent="0.3">
      <c r="A350" t="s">
        <v>85</v>
      </c>
      <c r="B350">
        <v>1001</v>
      </c>
      <c r="C350" t="s">
        <v>86</v>
      </c>
      <c r="D350">
        <v>5.8930500000000004E-3</v>
      </c>
      <c r="E350" t="s">
        <v>74</v>
      </c>
      <c r="F350">
        <v>5.8930499999999997</v>
      </c>
      <c r="G350" t="s">
        <v>75</v>
      </c>
      <c r="H350">
        <v>5893.0460000000003</v>
      </c>
      <c r="I350" t="s">
        <v>76</v>
      </c>
      <c r="J350" t="s">
        <v>82</v>
      </c>
      <c r="K350">
        <v>169.69154259999999</v>
      </c>
    </row>
    <row r="352" spans="1:11" x14ac:dyDescent="0.3">
      <c r="A352" t="s">
        <v>113</v>
      </c>
    </row>
    <row r="353" spans="1:11" x14ac:dyDescent="0.3">
      <c r="A353" t="s">
        <v>72</v>
      </c>
      <c r="B353">
        <v>1</v>
      </c>
      <c r="C353" t="s">
        <v>81</v>
      </c>
      <c r="D353">
        <v>7.0201999999999999E-3</v>
      </c>
      <c r="E353" t="s">
        <v>74</v>
      </c>
      <c r="F353">
        <v>7.0202</v>
      </c>
      <c r="G353" t="s">
        <v>75</v>
      </c>
      <c r="H353">
        <v>7020.2</v>
      </c>
      <c r="I353" t="s">
        <v>76</v>
      </c>
      <c r="J353" t="s">
        <v>82</v>
      </c>
      <c r="K353">
        <v>142.4460814</v>
      </c>
    </row>
    <row r="354" spans="1:11" x14ac:dyDescent="0.3">
      <c r="A354" t="s">
        <v>83</v>
      </c>
      <c r="B354">
        <v>1000</v>
      </c>
      <c r="C354" t="s">
        <v>81</v>
      </c>
      <c r="D354">
        <v>5.7545199999999999E-3</v>
      </c>
      <c r="E354" t="s">
        <v>74</v>
      </c>
      <c r="F354">
        <v>5.7545200000000003</v>
      </c>
      <c r="G354" t="s">
        <v>75</v>
      </c>
      <c r="H354">
        <v>5754.5159999999996</v>
      </c>
      <c r="I354" t="s">
        <v>76</v>
      </c>
      <c r="J354" t="s">
        <v>82</v>
      </c>
      <c r="K354">
        <v>173.77655709999999</v>
      </c>
    </row>
    <row r="355" spans="1:11" x14ac:dyDescent="0.3">
      <c r="A355" t="s">
        <v>85</v>
      </c>
      <c r="B355">
        <v>1001</v>
      </c>
      <c r="C355" t="s">
        <v>86</v>
      </c>
      <c r="D355">
        <v>5.7559000000000004E-3</v>
      </c>
      <c r="E355" t="s">
        <v>74</v>
      </c>
      <c r="F355">
        <v>5.7558999999999996</v>
      </c>
      <c r="G355" t="s">
        <v>75</v>
      </c>
      <c r="H355">
        <v>5755.8959999999997</v>
      </c>
      <c r="I355" t="s">
        <v>76</v>
      </c>
      <c r="J355" t="s">
        <v>82</v>
      </c>
      <c r="K355">
        <v>173.73490870000001</v>
      </c>
    </row>
    <row r="357" spans="1:11" x14ac:dyDescent="0.3">
      <c r="A357" t="s">
        <v>66</v>
      </c>
    </row>
    <row r="359" spans="1:11" x14ac:dyDescent="0.3">
      <c r="A359" t="s">
        <v>114</v>
      </c>
    </row>
    <row r="360" spans="1:11" x14ac:dyDescent="0.3">
      <c r="A360" t="s">
        <v>68</v>
      </c>
    </row>
    <row r="361" spans="1:11" x14ac:dyDescent="0.3">
      <c r="A361" t="s">
        <v>69</v>
      </c>
    </row>
    <row r="362" spans="1:11" x14ac:dyDescent="0.3">
      <c r="A362" t="s">
        <v>70</v>
      </c>
    </row>
    <row r="363" spans="1:11" x14ac:dyDescent="0.3">
      <c r="A363" t="s">
        <v>115</v>
      </c>
    </row>
    <row r="364" spans="1:11" x14ac:dyDescent="0.3">
      <c r="A364" t="s">
        <v>116</v>
      </c>
    </row>
    <row r="365" spans="1:11" x14ac:dyDescent="0.3">
      <c r="A365" t="s">
        <v>117</v>
      </c>
    </row>
    <row r="366" spans="1:11" x14ac:dyDescent="0.3">
      <c r="A366" t="s">
        <v>118</v>
      </c>
    </row>
    <row r="367" spans="1:11" x14ac:dyDescent="0.3">
      <c r="A367" t="s">
        <v>119</v>
      </c>
    </row>
    <row r="368" spans="1:11" x14ac:dyDescent="0.3">
      <c r="A368" t="s">
        <v>120</v>
      </c>
    </row>
    <row r="369" spans="1:10" x14ac:dyDescent="0.3">
      <c r="A369" t="s">
        <v>121</v>
      </c>
    </row>
    <row r="370" spans="1:10" x14ac:dyDescent="0.3">
      <c r="A370" t="s">
        <v>122</v>
      </c>
    </row>
    <row r="371" spans="1:10" x14ac:dyDescent="0.3">
      <c r="A371" t="s">
        <v>123</v>
      </c>
    </row>
    <row r="372" spans="1:10" x14ac:dyDescent="0.3">
      <c r="A372" t="s">
        <v>124</v>
      </c>
    </row>
    <row r="373" spans="1:10" x14ac:dyDescent="0.3">
      <c r="A373" t="s">
        <v>125</v>
      </c>
    </row>
    <row r="374" spans="1:10" x14ac:dyDescent="0.3">
      <c r="A374" t="s">
        <v>126</v>
      </c>
    </row>
    <row r="375" spans="1:10" x14ac:dyDescent="0.3">
      <c r="A375" t="s">
        <v>127</v>
      </c>
    </row>
    <row r="376" spans="1:10" x14ac:dyDescent="0.3">
      <c r="A376" t="s">
        <v>128</v>
      </c>
    </row>
    <row r="377" spans="1:10" x14ac:dyDescent="0.3">
      <c r="A377" t="s">
        <v>129</v>
      </c>
    </row>
    <row r="378" spans="1:10" x14ac:dyDescent="0.3">
      <c r="A378" t="s">
        <v>72</v>
      </c>
      <c r="B378">
        <v>1</v>
      </c>
      <c r="C378" t="s">
        <v>73</v>
      </c>
      <c r="D378">
        <v>4.6999999999999999E-6</v>
      </c>
      <c r="E378" t="s">
        <v>74</v>
      </c>
      <c r="F378">
        <v>4.7000000000000002E-3</v>
      </c>
      <c r="G378" t="s">
        <v>75</v>
      </c>
      <c r="H378">
        <v>4.7</v>
      </c>
      <c r="I378" t="s">
        <v>76</v>
      </c>
      <c r="J378" t="s">
        <v>77</v>
      </c>
    </row>
    <row r="379" spans="1:10" x14ac:dyDescent="0.3">
      <c r="A379" t="s">
        <v>72</v>
      </c>
      <c r="B379">
        <v>1</v>
      </c>
      <c r="C379" t="s">
        <v>78</v>
      </c>
      <c r="D379">
        <v>0.17359141</v>
      </c>
      <c r="E379" t="s">
        <v>74</v>
      </c>
      <c r="F379">
        <v>173.59141</v>
      </c>
      <c r="G379" t="s">
        <v>75</v>
      </c>
      <c r="H379">
        <v>173591.405</v>
      </c>
      <c r="I379" t="s">
        <v>76</v>
      </c>
      <c r="J379" t="s">
        <v>77</v>
      </c>
    </row>
    <row r="380" spans="1:10" x14ac:dyDescent="0.3">
      <c r="A380" t="s">
        <v>72</v>
      </c>
      <c r="B380">
        <v>1</v>
      </c>
      <c r="C380" t="s">
        <v>91</v>
      </c>
      <c r="D380">
        <v>0.26859060000000001</v>
      </c>
      <c r="E380" t="s">
        <v>74</v>
      </c>
      <c r="F380">
        <v>268.59059999999999</v>
      </c>
      <c r="G380" t="s">
        <v>75</v>
      </c>
      <c r="H380">
        <v>268590.59899999999</v>
      </c>
      <c r="I380" t="s">
        <v>76</v>
      </c>
      <c r="J380" t="s">
        <v>77</v>
      </c>
    </row>
    <row r="381" spans="1:10" x14ac:dyDescent="0.3">
      <c r="A381" t="s">
        <v>72</v>
      </c>
      <c r="B381">
        <v>1</v>
      </c>
      <c r="C381" t="s">
        <v>92</v>
      </c>
      <c r="D381">
        <v>3.4426999999999999E-3</v>
      </c>
      <c r="E381" t="s">
        <v>74</v>
      </c>
      <c r="F381">
        <v>3.4426999999999999</v>
      </c>
      <c r="G381" t="s">
        <v>75</v>
      </c>
      <c r="H381">
        <v>3442.7</v>
      </c>
      <c r="I381" t="s">
        <v>76</v>
      </c>
      <c r="J381" t="s">
        <v>77</v>
      </c>
    </row>
    <row r="382" spans="1:10" x14ac:dyDescent="0.3">
      <c r="A382" t="s">
        <v>72</v>
      </c>
      <c r="B382">
        <v>1</v>
      </c>
      <c r="C382" t="s">
        <v>93</v>
      </c>
      <c r="D382">
        <v>9.0989399999999998E-2</v>
      </c>
      <c r="E382" t="s">
        <v>74</v>
      </c>
      <c r="F382">
        <v>90.989400000000003</v>
      </c>
      <c r="G382" t="s">
        <v>75</v>
      </c>
      <c r="H382">
        <v>90989.403000000006</v>
      </c>
      <c r="I382" t="s">
        <v>76</v>
      </c>
      <c r="J382" t="s">
        <v>77</v>
      </c>
    </row>
    <row r="383" spans="1:10" x14ac:dyDescent="0.3">
      <c r="A383" t="s">
        <v>72</v>
      </c>
      <c r="B383">
        <v>1</v>
      </c>
      <c r="C383" t="s">
        <v>79</v>
      </c>
      <c r="D383">
        <v>0.36302330999999999</v>
      </c>
      <c r="E383" t="s">
        <v>74</v>
      </c>
      <c r="F383">
        <v>363.02330999999998</v>
      </c>
      <c r="G383" t="s">
        <v>75</v>
      </c>
      <c r="H383">
        <v>363023.31099999999</v>
      </c>
      <c r="I383" t="s">
        <v>76</v>
      </c>
      <c r="J383" t="s">
        <v>77</v>
      </c>
    </row>
    <row r="384" spans="1:10" x14ac:dyDescent="0.3">
      <c r="A384" t="s">
        <v>72</v>
      </c>
      <c r="B384">
        <v>1</v>
      </c>
      <c r="C384" t="s">
        <v>94</v>
      </c>
      <c r="D384">
        <v>9.3916999999999994E-3</v>
      </c>
      <c r="E384" t="s">
        <v>74</v>
      </c>
      <c r="F384">
        <v>9.3917000000000002</v>
      </c>
      <c r="G384" t="s">
        <v>75</v>
      </c>
      <c r="H384">
        <v>9391.7000000000007</v>
      </c>
      <c r="I384" t="s">
        <v>76</v>
      </c>
      <c r="J384" t="s">
        <v>77</v>
      </c>
    </row>
    <row r="385" spans="1:11" x14ac:dyDescent="0.3">
      <c r="A385" t="s">
        <v>72</v>
      </c>
      <c r="B385">
        <v>1</v>
      </c>
      <c r="C385" t="s">
        <v>80</v>
      </c>
      <c r="D385">
        <v>9.3921999999999999E-3</v>
      </c>
      <c r="E385" t="s">
        <v>74</v>
      </c>
      <c r="F385">
        <v>9.3922000000000008</v>
      </c>
      <c r="G385" t="s">
        <v>75</v>
      </c>
      <c r="H385">
        <v>9392.2000000000007</v>
      </c>
      <c r="I385" t="s">
        <v>76</v>
      </c>
      <c r="J385" t="s">
        <v>77</v>
      </c>
    </row>
    <row r="386" spans="1:11" x14ac:dyDescent="0.3">
      <c r="A386" t="s">
        <v>72</v>
      </c>
      <c r="B386">
        <v>1</v>
      </c>
      <c r="C386" t="s">
        <v>81</v>
      </c>
      <c r="D386">
        <v>0.37241721</v>
      </c>
      <c r="E386" t="s">
        <v>74</v>
      </c>
      <c r="F386">
        <v>372.41721000000001</v>
      </c>
      <c r="G386" t="s">
        <v>75</v>
      </c>
      <c r="H386">
        <v>372417.212</v>
      </c>
      <c r="I386" t="s">
        <v>76</v>
      </c>
      <c r="J386" t="s">
        <v>82</v>
      </c>
      <c r="K386">
        <v>2.6851604999999998</v>
      </c>
    </row>
    <row r="387" spans="1:11" x14ac:dyDescent="0.3">
      <c r="A387" t="s">
        <v>83</v>
      </c>
      <c r="B387">
        <v>1000</v>
      </c>
      <c r="C387" t="s">
        <v>91</v>
      </c>
      <c r="D387">
        <v>4.9918E-4</v>
      </c>
      <c r="E387" t="s">
        <v>74</v>
      </c>
      <c r="F387">
        <v>0.49918000000000001</v>
      </c>
      <c r="G387" t="s">
        <v>75</v>
      </c>
      <c r="H387">
        <v>499.185</v>
      </c>
      <c r="I387" t="s">
        <v>76</v>
      </c>
      <c r="J387" t="s">
        <v>77</v>
      </c>
    </row>
    <row r="388" spans="1:11" x14ac:dyDescent="0.3">
      <c r="A388" t="s">
        <v>83</v>
      </c>
      <c r="B388">
        <v>1000</v>
      </c>
      <c r="C388" t="s">
        <v>92</v>
      </c>
      <c r="D388">
        <v>6.6834000000000001E-4</v>
      </c>
      <c r="E388" t="s">
        <v>74</v>
      </c>
      <c r="F388">
        <v>0.66834000000000005</v>
      </c>
      <c r="G388" t="s">
        <v>75</v>
      </c>
      <c r="H388">
        <v>668.34199999999998</v>
      </c>
      <c r="I388" t="s">
        <v>76</v>
      </c>
      <c r="J388" t="s">
        <v>77</v>
      </c>
    </row>
    <row r="389" spans="1:11" x14ac:dyDescent="0.3">
      <c r="A389" t="s">
        <v>83</v>
      </c>
      <c r="B389">
        <v>1000</v>
      </c>
      <c r="C389" t="s">
        <v>93</v>
      </c>
      <c r="D389">
        <v>3.9833000000000002E-4</v>
      </c>
      <c r="E389" t="s">
        <v>74</v>
      </c>
      <c r="F389">
        <v>0.39833000000000002</v>
      </c>
      <c r="G389" t="s">
        <v>75</v>
      </c>
      <c r="H389">
        <v>398.327</v>
      </c>
      <c r="I389" t="s">
        <v>76</v>
      </c>
      <c r="J389" t="s">
        <v>77</v>
      </c>
    </row>
    <row r="390" spans="1:11" x14ac:dyDescent="0.3">
      <c r="A390" t="s">
        <v>83</v>
      </c>
      <c r="B390">
        <v>1000</v>
      </c>
      <c r="C390" t="s">
        <v>79</v>
      </c>
      <c r="D390">
        <v>1.56632E-3</v>
      </c>
      <c r="E390" t="s">
        <v>74</v>
      </c>
      <c r="F390">
        <v>1.5663199999999999</v>
      </c>
      <c r="G390" t="s">
        <v>75</v>
      </c>
      <c r="H390">
        <v>1566.319</v>
      </c>
      <c r="I390" t="s">
        <v>76</v>
      </c>
      <c r="J390" t="s">
        <v>77</v>
      </c>
    </row>
    <row r="391" spans="1:11" x14ac:dyDescent="0.3">
      <c r="A391" t="s">
        <v>83</v>
      </c>
      <c r="B391">
        <v>1000</v>
      </c>
      <c r="C391" t="s">
        <v>94</v>
      </c>
      <c r="D391">
        <v>2.6039000000000001E-3</v>
      </c>
      <c r="E391" t="s">
        <v>74</v>
      </c>
      <c r="F391">
        <v>2.6038999999999999</v>
      </c>
      <c r="G391" t="s">
        <v>75</v>
      </c>
      <c r="H391">
        <v>2603.8969999999999</v>
      </c>
      <c r="I391" t="s">
        <v>76</v>
      </c>
      <c r="J391" t="s">
        <v>77</v>
      </c>
    </row>
    <row r="392" spans="1:11" x14ac:dyDescent="0.3">
      <c r="A392" t="s">
        <v>83</v>
      </c>
      <c r="B392">
        <v>1000</v>
      </c>
      <c r="C392" t="s">
        <v>80</v>
      </c>
      <c r="D392">
        <v>2.78933E-3</v>
      </c>
      <c r="E392" t="s">
        <v>74</v>
      </c>
      <c r="F392">
        <v>2.7893300000000001</v>
      </c>
      <c r="G392" t="s">
        <v>75</v>
      </c>
      <c r="H392">
        <v>2789.3270000000002</v>
      </c>
      <c r="I392" t="s">
        <v>76</v>
      </c>
      <c r="J392" t="s">
        <v>77</v>
      </c>
    </row>
    <row r="393" spans="1:11" x14ac:dyDescent="0.3">
      <c r="A393" t="s">
        <v>83</v>
      </c>
      <c r="B393">
        <v>1000</v>
      </c>
      <c r="C393" t="s">
        <v>81</v>
      </c>
      <c r="D393">
        <v>4.3568499999999998E-3</v>
      </c>
      <c r="E393" t="s">
        <v>74</v>
      </c>
      <c r="F393">
        <v>4.3568499999999997</v>
      </c>
      <c r="G393" t="s">
        <v>75</v>
      </c>
      <c r="H393">
        <v>4356.848</v>
      </c>
      <c r="I393" t="s">
        <v>76</v>
      </c>
      <c r="J393" t="s">
        <v>82</v>
      </c>
      <c r="K393">
        <v>229.52371640000001</v>
      </c>
    </row>
    <row r="394" spans="1:11" x14ac:dyDescent="0.3">
      <c r="A394" t="s">
        <v>84</v>
      </c>
      <c r="B394">
        <v>1001</v>
      </c>
      <c r="C394" t="s">
        <v>91</v>
      </c>
      <c r="D394">
        <v>7.6701000000000004E-4</v>
      </c>
      <c r="E394" t="s">
        <v>74</v>
      </c>
      <c r="F394">
        <v>0.76700999999999997</v>
      </c>
      <c r="G394" t="s">
        <v>75</v>
      </c>
      <c r="H394">
        <v>767.00900000000001</v>
      </c>
      <c r="I394" t="s">
        <v>76</v>
      </c>
      <c r="J394" t="s">
        <v>77</v>
      </c>
    </row>
    <row r="395" spans="1:11" x14ac:dyDescent="0.3">
      <c r="A395" t="s">
        <v>84</v>
      </c>
      <c r="B395">
        <v>1001</v>
      </c>
      <c r="C395" t="s">
        <v>92</v>
      </c>
      <c r="D395">
        <v>6.7111000000000004E-4</v>
      </c>
      <c r="E395" t="s">
        <v>74</v>
      </c>
      <c r="F395">
        <v>0.67110999999999998</v>
      </c>
      <c r="G395" t="s">
        <v>75</v>
      </c>
      <c r="H395">
        <v>671.11300000000006</v>
      </c>
      <c r="I395" t="s">
        <v>76</v>
      </c>
      <c r="J395" t="s">
        <v>77</v>
      </c>
    </row>
    <row r="396" spans="1:11" x14ac:dyDescent="0.3">
      <c r="A396" t="s">
        <v>84</v>
      </c>
      <c r="B396">
        <v>1001</v>
      </c>
      <c r="C396" t="s">
        <v>93</v>
      </c>
      <c r="D396">
        <v>4.8882999999999999E-4</v>
      </c>
      <c r="E396" t="s">
        <v>74</v>
      </c>
      <c r="F396">
        <v>0.48882999999999999</v>
      </c>
      <c r="G396" t="s">
        <v>75</v>
      </c>
      <c r="H396">
        <v>488.827</v>
      </c>
      <c r="I396" t="s">
        <v>76</v>
      </c>
      <c r="J396" t="s">
        <v>77</v>
      </c>
    </row>
    <row r="397" spans="1:11" x14ac:dyDescent="0.3">
      <c r="A397" t="s">
        <v>84</v>
      </c>
      <c r="B397">
        <v>1001</v>
      </c>
      <c r="C397" t="s">
        <v>79</v>
      </c>
      <c r="D397">
        <v>1.92742E-3</v>
      </c>
      <c r="E397" t="s">
        <v>74</v>
      </c>
      <c r="F397">
        <v>1.9274199999999999</v>
      </c>
      <c r="G397" t="s">
        <v>75</v>
      </c>
      <c r="H397">
        <v>1927.415</v>
      </c>
      <c r="I397" t="s">
        <v>76</v>
      </c>
      <c r="J397" t="s">
        <v>77</v>
      </c>
    </row>
    <row r="398" spans="1:11" x14ac:dyDescent="0.3">
      <c r="A398" t="s">
        <v>84</v>
      </c>
      <c r="B398">
        <v>1001</v>
      </c>
      <c r="C398" t="s">
        <v>94</v>
      </c>
      <c r="D398">
        <v>2.6106800000000002E-3</v>
      </c>
      <c r="E398" t="s">
        <v>74</v>
      </c>
      <c r="F398">
        <v>2.6106799999999999</v>
      </c>
      <c r="G398" t="s">
        <v>75</v>
      </c>
      <c r="H398">
        <v>2610.6770000000001</v>
      </c>
      <c r="I398" t="s">
        <v>76</v>
      </c>
      <c r="J398" t="s">
        <v>77</v>
      </c>
    </row>
    <row r="399" spans="1:11" x14ac:dyDescent="0.3">
      <c r="A399" t="s">
        <v>84</v>
      </c>
      <c r="B399">
        <v>1001</v>
      </c>
      <c r="C399" t="s">
        <v>80</v>
      </c>
      <c r="D399">
        <v>2.7959199999999999E-3</v>
      </c>
      <c r="E399" t="s">
        <v>74</v>
      </c>
      <c r="F399">
        <v>2.7959200000000002</v>
      </c>
      <c r="G399" t="s">
        <v>75</v>
      </c>
      <c r="H399">
        <v>2795.9229999999998</v>
      </c>
      <c r="I399" t="s">
        <v>76</v>
      </c>
      <c r="J399" t="s">
        <v>77</v>
      </c>
    </row>
    <row r="400" spans="1:11" x14ac:dyDescent="0.3">
      <c r="A400" t="s">
        <v>84</v>
      </c>
      <c r="B400">
        <v>1001</v>
      </c>
      <c r="C400" t="s">
        <v>81</v>
      </c>
      <c r="D400">
        <v>4.7245400000000002E-3</v>
      </c>
      <c r="E400" t="s">
        <v>74</v>
      </c>
      <c r="F400">
        <v>4.7245400000000002</v>
      </c>
      <c r="G400" t="s">
        <v>75</v>
      </c>
      <c r="H400">
        <v>4724.54</v>
      </c>
      <c r="I400" t="s">
        <v>76</v>
      </c>
      <c r="J400" t="s">
        <v>82</v>
      </c>
      <c r="K400">
        <v>211.66083029999999</v>
      </c>
    </row>
    <row r="401" spans="1:11" x14ac:dyDescent="0.3">
      <c r="A401" t="s">
        <v>85</v>
      </c>
      <c r="B401">
        <v>1001</v>
      </c>
      <c r="C401" t="s">
        <v>86</v>
      </c>
      <c r="D401">
        <v>4.7247799999999996E-3</v>
      </c>
      <c r="E401" t="s">
        <v>74</v>
      </c>
      <c r="F401">
        <v>4.72478</v>
      </c>
      <c r="G401" t="s">
        <v>75</v>
      </c>
      <c r="H401">
        <v>4724.777</v>
      </c>
      <c r="I401" t="s">
        <v>76</v>
      </c>
      <c r="J401" t="s">
        <v>82</v>
      </c>
      <c r="K401">
        <v>211.650203</v>
      </c>
    </row>
    <row r="402" spans="1:11" x14ac:dyDescent="0.3">
      <c r="A402" t="s">
        <v>115</v>
      </c>
    </row>
    <row r="403" spans="1:11" x14ac:dyDescent="0.3">
      <c r="A403" t="s">
        <v>127</v>
      </c>
    </row>
    <row r="404" spans="1:11" x14ac:dyDescent="0.3">
      <c r="A404" t="s">
        <v>87</v>
      </c>
    </row>
    <row r="405" spans="1:11" x14ac:dyDescent="0.3">
      <c r="A405" t="s">
        <v>130</v>
      </c>
    </row>
    <row r="406" spans="1:11" x14ac:dyDescent="0.3">
      <c r="A406" t="s">
        <v>72</v>
      </c>
      <c r="B406">
        <v>1</v>
      </c>
      <c r="C406" t="s">
        <v>81</v>
      </c>
      <c r="D406">
        <v>0.37241721</v>
      </c>
      <c r="E406" t="s">
        <v>74</v>
      </c>
      <c r="F406">
        <v>372.41721000000001</v>
      </c>
      <c r="G406" t="s">
        <v>75</v>
      </c>
      <c r="H406">
        <v>372417.212</v>
      </c>
      <c r="I406" t="s">
        <v>76</v>
      </c>
      <c r="J406" t="s">
        <v>82</v>
      </c>
      <c r="K406">
        <v>2.6851604999999998</v>
      </c>
    </row>
    <row r="407" spans="1:11" x14ac:dyDescent="0.3">
      <c r="A407" t="s">
        <v>83</v>
      </c>
      <c r="B407">
        <v>1000</v>
      </c>
      <c r="C407" t="s">
        <v>81</v>
      </c>
      <c r="D407">
        <v>4.3568499999999998E-3</v>
      </c>
      <c r="E407" t="s">
        <v>74</v>
      </c>
      <c r="F407">
        <v>4.3568499999999997</v>
      </c>
      <c r="G407" t="s">
        <v>75</v>
      </c>
      <c r="H407">
        <v>4356.848</v>
      </c>
      <c r="I407" t="s">
        <v>76</v>
      </c>
      <c r="J407" t="s">
        <v>82</v>
      </c>
      <c r="K407">
        <v>229.52371640000001</v>
      </c>
    </row>
    <row r="408" spans="1:11" x14ac:dyDescent="0.3">
      <c r="A408" t="s">
        <v>85</v>
      </c>
      <c r="B408">
        <v>1001</v>
      </c>
      <c r="C408" t="s">
        <v>86</v>
      </c>
      <c r="D408">
        <v>4.7247799999999996E-3</v>
      </c>
      <c r="E408" t="s">
        <v>74</v>
      </c>
      <c r="F408">
        <v>4.72478</v>
      </c>
      <c r="G408" t="s">
        <v>75</v>
      </c>
      <c r="H408">
        <v>4724.777</v>
      </c>
      <c r="I408" t="s">
        <v>76</v>
      </c>
      <c r="J408" t="s">
        <v>82</v>
      </c>
      <c r="K408">
        <v>211.650203</v>
      </c>
    </row>
    <row r="410" spans="1:11" x14ac:dyDescent="0.3">
      <c r="A410" t="s">
        <v>66</v>
      </c>
    </row>
    <row r="412" spans="1:11" x14ac:dyDescent="0.3">
      <c r="A412" t="s">
        <v>131</v>
      </c>
    </row>
    <row r="413" spans="1:11" x14ac:dyDescent="0.3">
      <c r="A413" t="s">
        <v>68</v>
      </c>
    </row>
    <row r="414" spans="1:11" x14ac:dyDescent="0.3">
      <c r="A414" t="s">
        <v>69</v>
      </c>
    </row>
    <row r="415" spans="1:11" x14ac:dyDescent="0.3">
      <c r="A415" t="s">
        <v>70</v>
      </c>
    </row>
    <row r="416" spans="1:11" x14ac:dyDescent="0.3">
      <c r="A416" t="s">
        <v>115</v>
      </c>
    </row>
    <row r="417" spans="1:10" x14ac:dyDescent="0.3">
      <c r="A417" t="s">
        <v>116</v>
      </c>
    </row>
    <row r="418" spans="1:10" x14ac:dyDescent="0.3">
      <c r="A418" t="s">
        <v>117</v>
      </c>
    </row>
    <row r="419" spans="1:10" x14ac:dyDescent="0.3">
      <c r="A419" t="s">
        <v>118</v>
      </c>
    </row>
    <row r="420" spans="1:10" x14ac:dyDescent="0.3">
      <c r="A420" t="s">
        <v>119</v>
      </c>
    </row>
    <row r="421" spans="1:10" x14ac:dyDescent="0.3">
      <c r="A421" t="s">
        <v>120</v>
      </c>
    </row>
    <row r="422" spans="1:10" x14ac:dyDescent="0.3">
      <c r="A422" t="s">
        <v>121</v>
      </c>
    </row>
    <row r="423" spans="1:10" x14ac:dyDescent="0.3">
      <c r="A423" t="s">
        <v>122</v>
      </c>
    </row>
    <row r="424" spans="1:10" x14ac:dyDescent="0.3">
      <c r="A424" t="s">
        <v>123</v>
      </c>
    </row>
    <row r="425" spans="1:10" x14ac:dyDescent="0.3">
      <c r="A425" t="s">
        <v>124</v>
      </c>
    </row>
    <row r="426" spans="1:10" x14ac:dyDescent="0.3">
      <c r="A426" t="s">
        <v>125</v>
      </c>
    </row>
    <row r="427" spans="1:10" x14ac:dyDescent="0.3">
      <c r="A427" t="s">
        <v>126</v>
      </c>
    </row>
    <row r="428" spans="1:10" x14ac:dyDescent="0.3">
      <c r="A428" t="s">
        <v>127</v>
      </c>
    </row>
    <row r="429" spans="1:10" x14ac:dyDescent="0.3">
      <c r="A429" t="s">
        <v>132</v>
      </c>
    </row>
    <row r="430" spans="1:10" x14ac:dyDescent="0.3">
      <c r="A430" t="s">
        <v>133</v>
      </c>
    </row>
    <row r="431" spans="1:10" x14ac:dyDescent="0.3">
      <c r="A431" t="s">
        <v>72</v>
      </c>
      <c r="B431">
        <v>1</v>
      </c>
      <c r="C431" t="s">
        <v>73</v>
      </c>
      <c r="D431">
        <v>5.1000000000000003E-6</v>
      </c>
      <c r="E431" t="s">
        <v>74</v>
      </c>
      <c r="F431">
        <v>5.1000000000000004E-3</v>
      </c>
      <c r="G431" t="s">
        <v>75</v>
      </c>
      <c r="H431">
        <v>5.0999999999999996</v>
      </c>
      <c r="I431" t="s">
        <v>76</v>
      </c>
      <c r="J431" t="s">
        <v>77</v>
      </c>
    </row>
    <row r="432" spans="1:10" x14ac:dyDescent="0.3">
      <c r="A432" t="s">
        <v>72</v>
      </c>
      <c r="B432">
        <v>1</v>
      </c>
      <c r="C432" t="s">
        <v>78</v>
      </c>
      <c r="D432">
        <v>0.16840640000000001</v>
      </c>
      <c r="E432" t="s">
        <v>74</v>
      </c>
      <c r="F432">
        <v>168.40639999999999</v>
      </c>
      <c r="G432" t="s">
        <v>75</v>
      </c>
      <c r="H432">
        <v>168406.397</v>
      </c>
      <c r="I432" t="s">
        <v>76</v>
      </c>
      <c r="J432" t="s">
        <v>77</v>
      </c>
    </row>
    <row r="433" spans="1:11" x14ac:dyDescent="0.3">
      <c r="A433" t="s">
        <v>72</v>
      </c>
      <c r="B433">
        <v>1</v>
      </c>
      <c r="C433" t="s">
        <v>79</v>
      </c>
      <c r="D433">
        <v>0.29873991</v>
      </c>
      <c r="E433" t="s">
        <v>74</v>
      </c>
      <c r="F433">
        <v>298.73991000000001</v>
      </c>
      <c r="G433" t="s">
        <v>75</v>
      </c>
      <c r="H433">
        <v>298739.90999999997</v>
      </c>
      <c r="I433" t="s">
        <v>76</v>
      </c>
      <c r="J433" t="s">
        <v>77</v>
      </c>
    </row>
    <row r="434" spans="1:11" x14ac:dyDescent="0.3">
      <c r="A434" t="s">
        <v>72</v>
      </c>
      <c r="B434">
        <v>1</v>
      </c>
      <c r="C434" t="s">
        <v>94</v>
      </c>
      <c r="D434">
        <v>9.3098999999999994E-3</v>
      </c>
      <c r="E434" t="s">
        <v>74</v>
      </c>
      <c r="F434">
        <v>9.3099000000000007</v>
      </c>
      <c r="G434" t="s">
        <v>75</v>
      </c>
      <c r="H434">
        <v>9309.9</v>
      </c>
      <c r="I434" t="s">
        <v>76</v>
      </c>
      <c r="J434" t="s">
        <v>77</v>
      </c>
    </row>
    <row r="435" spans="1:11" x14ac:dyDescent="0.3">
      <c r="A435" t="s">
        <v>72</v>
      </c>
      <c r="B435">
        <v>1</v>
      </c>
      <c r="C435" t="s">
        <v>80</v>
      </c>
      <c r="D435">
        <v>9.3106999999999999E-3</v>
      </c>
      <c r="E435" t="s">
        <v>74</v>
      </c>
      <c r="F435">
        <v>9.3107000000000006</v>
      </c>
      <c r="G435" t="s">
        <v>75</v>
      </c>
      <c r="H435">
        <v>9310.7000000000007</v>
      </c>
      <c r="I435" t="s">
        <v>76</v>
      </c>
      <c r="J435" t="s">
        <v>77</v>
      </c>
    </row>
    <row r="436" spans="1:11" x14ac:dyDescent="0.3">
      <c r="A436" t="s">
        <v>72</v>
      </c>
      <c r="B436">
        <v>1</v>
      </c>
      <c r="C436" t="s">
        <v>81</v>
      </c>
      <c r="D436">
        <v>0.30805369999999999</v>
      </c>
      <c r="E436" t="s">
        <v>74</v>
      </c>
      <c r="F436">
        <v>308.05369999999999</v>
      </c>
      <c r="G436" t="s">
        <v>75</v>
      </c>
      <c r="H436">
        <v>308053.70199999999</v>
      </c>
      <c r="I436" t="s">
        <v>76</v>
      </c>
      <c r="J436" t="s">
        <v>82</v>
      </c>
      <c r="K436">
        <v>3.2461872000000001</v>
      </c>
    </row>
    <row r="437" spans="1:11" x14ac:dyDescent="0.3">
      <c r="A437" t="s">
        <v>83</v>
      </c>
      <c r="B437">
        <v>1000</v>
      </c>
      <c r="C437" t="s">
        <v>79</v>
      </c>
      <c r="D437">
        <v>5.8261000000000001E-4</v>
      </c>
      <c r="E437" t="s">
        <v>74</v>
      </c>
      <c r="F437">
        <v>0.58260999999999996</v>
      </c>
      <c r="G437" t="s">
        <v>75</v>
      </c>
      <c r="H437">
        <v>582.60900000000004</v>
      </c>
      <c r="I437" t="s">
        <v>76</v>
      </c>
      <c r="J437" t="s">
        <v>77</v>
      </c>
    </row>
    <row r="438" spans="1:11" x14ac:dyDescent="0.3">
      <c r="A438" t="s">
        <v>83</v>
      </c>
      <c r="B438">
        <v>1000</v>
      </c>
      <c r="C438" t="s">
        <v>94</v>
      </c>
      <c r="D438">
        <v>2.4827E-3</v>
      </c>
      <c r="E438" t="s">
        <v>74</v>
      </c>
      <c r="F438">
        <v>2.4826999999999999</v>
      </c>
      <c r="G438" t="s">
        <v>75</v>
      </c>
      <c r="H438">
        <v>2482.7040000000002</v>
      </c>
      <c r="I438" t="s">
        <v>76</v>
      </c>
      <c r="J438" t="s">
        <v>77</v>
      </c>
    </row>
    <row r="439" spans="1:11" x14ac:dyDescent="0.3">
      <c r="A439" t="s">
        <v>83</v>
      </c>
      <c r="B439">
        <v>1000</v>
      </c>
      <c r="C439" t="s">
        <v>80</v>
      </c>
      <c r="D439">
        <v>2.6509599999999999E-3</v>
      </c>
      <c r="E439" t="s">
        <v>74</v>
      </c>
      <c r="F439">
        <v>2.65096</v>
      </c>
      <c r="G439" t="s">
        <v>75</v>
      </c>
      <c r="H439">
        <v>2650.9639999999999</v>
      </c>
      <c r="I439" t="s">
        <v>76</v>
      </c>
      <c r="J439" t="s">
        <v>77</v>
      </c>
    </row>
    <row r="440" spans="1:11" x14ac:dyDescent="0.3">
      <c r="A440" t="s">
        <v>83</v>
      </c>
      <c r="B440">
        <v>1000</v>
      </c>
      <c r="C440" t="s">
        <v>81</v>
      </c>
      <c r="D440">
        <v>3.2346200000000001E-3</v>
      </c>
      <c r="E440" t="s">
        <v>74</v>
      </c>
      <c r="F440">
        <v>3.2346200000000001</v>
      </c>
      <c r="G440" t="s">
        <v>75</v>
      </c>
      <c r="H440">
        <v>3234.6149999999998</v>
      </c>
      <c r="I440" t="s">
        <v>76</v>
      </c>
      <c r="J440" t="s">
        <v>82</v>
      </c>
      <c r="K440">
        <v>309.15577259999998</v>
      </c>
    </row>
    <row r="441" spans="1:11" x14ac:dyDescent="0.3">
      <c r="A441" t="s">
        <v>84</v>
      </c>
      <c r="B441">
        <v>1001</v>
      </c>
      <c r="C441" t="s">
        <v>79</v>
      </c>
      <c r="D441">
        <v>8.8046999999999995E-4</v>
      </c>
      <c r="E441" t="s">
        <v>74</v>
      </c>
      <c r="F441">
        <v>0.88046999999999997</v>
      </c>
      <c r="G441" t="s">
        <v>75</v>
      </c>
      <c r="H441">
        <v>880.46799999999996</v>
      </c>
      <c r="I441" t="s">
        <v>76</v>
      </c>
      <c r="J441" t="s">
        <v>77</v>
      </c>
    </row>
    <row r="442" spans="1:11" x14ac:dyDescent="0.3">
      <c r="A442" t="s">
        <v>84</v>
      </c>
      <c r="B442">
        <v>1001</v>
      </c>
      <c r="C442" t="s">
        <v>94</v>
      </c>
      <c r="D442">
        <v>2.4895199999999998E-3</v>
      </c>
      <c r="E442" t="s">
        <v>74</v>
      </c>
      <c r="F442">
        <v>2.4895200000000002</v>
      </c>
      <c r="G442" t="s">
        <v>75</v>
      </c>
      <c r="H442">
        <v>2489.5239999999999</v>
      </c>
      <c r="I442" t="s">
        <v>76</v>
      </c>
      <c r="J442" t="s">
        <v>77</v>
      </c>
    </row>
    <row r="443" spans="1:11" x14ac:dyDescent="0.3">
      <c r="A443" t="s">
        <v>84</v>
      </c>
      <c r="B443">
        <v>1001</v>
      </c>
      <c r="C443" t="s">
        <v>80</v>
      </c>
      <c r="D443">
        <v>2.6576199999999999E-3</v>
      </c>
      <c r="E443" t="s">
        <v>74</v>
      </c>
      <c r="F443">
        <v>2.6576200000000001</v>
      </c>
      <c r="G443" t="s">
        <v>75</v>
      </c>
      <c r="H443">
        <v>2657.6179999999999</v>
      </c>
      <c r="I443" t="s">
        <v>76</v>
      </c>
      <c r="J443" t="s">
        <v>77</v>
      </c>
    </row>
    <row r="444" spans="1:11" x14ac:dyDescent="0.3">
      <c r="A444" t="s">
        <v>84</v>
      </c>
      <c r="B444">
        <v>1001</v>
      </c>
      <c r="C444" t="s">
        <v>81</v>
      </c>
      <c r="D444">
        <v>3.5391300000000001E-3</v>
      </c>
      <c r="E444" t="s">
        <v>74</v>
      </c>
      <c r="F444">
        <v>3.5391300000000001</v>
      </c>
      <c r="G444" t="s">
        <v>75</v>
      </c>
      <c r="H444">
        <v>3539.13</v>
      </c>
      <c r="I444" t="s">
        <v>76</v>
      </c>
      <c r="J444" t="s">
        <v>82</v>
      </c>
      <c r="K444">
        <v>282.55530399999998</v>
      </c>
    </row>
    <row r="445" spans="1:11" x14ac:dyDescent="0.3">
      <c r="A445" t="s">
        <v>85</v>
      </c>
      <c r="B445">
        <v>1001</v>
      </c>
      <c r="C445" t="s">
        <v>86</v>
      </c>
      <c r="D445">
        <v>3.5393400000000002E-3</v>
      </c>
      <c r="E445" t="s">
        <v>74</v>
      </c>
      <c r="F445">
        <v>3.5393400000000002</v>
      </c>
      <c r="G445" t="s">
        <v>75</v>
      </c>
      <c r="H445">
        <v>3539.3429999999998</v>
      </c>
      <c r="I445" t="s">
        <v>76</v>
      </c>
      <c r="J445" t="s">
        <v>82</v>
      </c>
      <c r="K445">
        <v>282.538343</v>
      </c>
    </row>
    <row r="446" spans="1:11" x14ac:dyDescent="0.3">
      <c r="A446" t="s">
        <v>134</v>
      </c>
    </row>
    <row r="447" spans="1:11" x14ac:dyDescent="0.3">
      <c r="A447" t="s">
        <v>135</v>
      </c>
    </row>
    <row r="448" spans="1:11" x14ac:dyDescent="0.3">
      <c r="A448" t="s">
        <v>72</v>
      </c>
      <c r="B448">
        <v>1</v>
      </c>
      <c r="C448" t="s">
        <v>73</v>
      </c>
      <c r="D448">
        <v>5.1000000000000003E-6</v>
      </c>
      <c r="E448" t="s">
        <v>74</v>
      </c>
      <c r="F448">
        <v>5.1000000000000004E-3</v>
      </c>
      <c r="G448" t="s">
        <v>75</v>
      </c>
      <c r="H448">
        <v>5.0999999999999996</v>
      </c>
      <c r="I448" t="s">
        <v>76</v>
      </c>
      <c r="J448" t="s">
        <v>77</v>
      </c>
    </row>
    <row r="449" spans="1:11" x14ac:dyDescent="0.3">
      <c r="A449" t="s">
        <v>72</v>
      </c>
      <c r="B449">
        <v>1</v>
      </c>
      <c r="C449" t="s">
        <v>78</v>
      </c>
      <c r="D449">
        <v>3.7100000000000001E-5</v>
      </c>
      <c r="E449" t="s">
        <v>74</v>
      </c>
      <c r="F449">
        <v>3.7100000000000001E-2</v>
      </c>
      <c r="G449" t="s">
        <v>75</v>
      </c>
      <c r="H449">
        <v>37.1</v>
      </c>
      <c r="I449" t="s">
        <v>76</v>
      </c>
      <c r="J449" t="s">
        <v>77</v>
      </c>
    </row>
    <row r="450" spans="1:11" x14ac:dyDescent="0.3">
      <c r="A450" t="s">
        <v>72</v>
      </c>
      <c r="B450">
        <v>1</v>
      </c>
      <c r="C450" t="s">
        <v>79</v>
      </c>
      <c r="D450">
        <v>5.7818000000000001E-3</v>
      </c>
      <c r="E450" t="s">
        <v>74</v>
      </c>
      <c r="F450">
        <v>5.7817999999999996</v>
      </c>
      <c r="G450" t="s">
        <v>75</v>
      </c>
      <c r="H450">
        <v>5781.8</v>
      </c>
      <c r="I450" t="s">
        <v>76</v>
      </c>
      <c r="J450" t="s">
        <v>77</v>
      </c>
    </row>
    <row r="451" spans="1:11" x14ac:dyDescent="0.3">
      <c r="A451" t="s">
        <v>72</v>
      </c>
      <c r="B451">
        <v>1</v>
      </c>
      <c r="C451" t="s">
        <v>94</v>
      </c>
      <c r="D451">
        <v>2.6362999999999998E-3</v>
      </c>
      <c r="E451" t="s">
        <v>74</v>
      </c>
      <c r="F451">
        <v>2.6362999999999999</v>
      </c>
      <c r="G451" t="s">
        <v>75</v>
      </c>
      <c r="H451">
        <v>2636.3</v>
      </c>
      <c r="I451" t="s">
        <v>76</v>
      </c>
      <c r="J451" t="s">
        <v>77</v>
      </c>
    </row>
    <row r="452" spans="1:11" x14ac:dyDescent="0.3">
      <c r="A452" t="s">
        <v>72</v>
      </c>
      <c r="B452">
        <v>1</v>
      </c>
      <c r="C452" t="s">
        <v>80</v>
      </c>
      <c r="D452">
        <v>2.8611000000000001E-3</v>
      </c>
      <c r="E452" t="s">
        <v>74</v>
      </c>
      <c r="F452">
        <v>2.8611</v>
      </c>
      <c r="G452" t="s">
        <v>75</v>
      </c>
      <c r="H452">
        <v>2861.1</v>
      </c>
      <c r="I452" t="s">
        <v>76</v>
      </c>
      <c r="J452" t="s">
        <v>77</v>
      </c>
    </row>
    <row r="453" spans="1:11" x14ac:dyDescent="0.3">
      <c r="A453" t="s">
        <v>72</v>
      </c>
      <c r="B453">
        <v>1</v>
      </c>
      <c r="C453" t="s">
        <v>81</v>
      </c>
      <c r="D453">
        <v>8.6438999999999995E-3</v>
      </c>
      <c r="E453" t="s">
        <v>74</v>
      </c>
      <c r="F453">
        <v>8.6439000000000004</v>
      </c>
      <c r="G453" t="s">
        <v>75</v>
      </c>
      <c r="H453">
        <v>8643.9</v>
      </c>
      <c r="I453" t="s">
        <v>76</v>
      </c>
      <c r="J453" t="s">
        <v>82</v>
      </c>
      <c r="K453">
        <v>115.68851960000001</v>
      </c>
    </row>
    <row r="454" spans="1:11" x14ac:dyDescent="0.3">
      <c r="A454" t="s">
        <v>83</v>
      </c>
      <c r="B454">
        <v>1000</v>
      </c>
      <c r="C454" t="s">
        <v>79</v>
      </c>
      <c r="D454">
        <v>8.4564999999999998E-4</v>
      </c>
      <c r="E454" t="s">
        <v>74</v>
      </c>
      <c r="F454">
        <v>0.84565000000000001</v>
      </c>
      <c r="G454" t="s">
        <v>75</v>
      </c>
      <c r="H454">
        <v>845.649</v>
      </c>
      <c r="I454" t="s">
        <v>76</v>
      </c>
      <c r="J454" t="s">
        <v>77</v>
      </c>
    </row>
    <row r="455" spans="1:11" x14ac:dyDescent="0.3">
      <c r="A455" t="s">
        <v>83</v>
      </c>
      <c r="B455">
        <v>1000</v>
      </c>
      <c r="C455" t="s">
        <v>94</v>
      </c>
      <c r="D455">
        <v>2.53638E-3</v>
      </c>
      <c r="E455" t="s">
        <v>74</v>
      </c>
      <c r="F455">
        <v>2.5363799999999999</v>
      </c>
      <c r="G455" t="s">
        <v>75</v>
      </c>
      <c r="H455">
        <v>2536.3789999999999</v>
      </c>
      <c r="I455" t="s">
        <v>76</v>
      </c>
      <c r="J455" t="s">
        <v>77</v>
      </c>
    </row>
    <row r="456" spans="1:11" x14ac:dyDescent="0.3">
      <c r="A456" t="s">
        <v>83</v>
      </c>
      <c r="B456">
        <v>1000</v>
      </c>
      <c r="C456" t="s">
        <v>80</v>
      </c>
      <c r="D456">
        <v>2.7202699999999999E-3</v>
      </c>
      <c r="E456" t="s">
        <v>74</v>
      </c>
      <c r="F456">
        <v>2.7202700000000002</v>
      </c>
      <c r="G456" t="s">
        <v>75</v>
      </c>
      <c r="H456">
        <v>2720.2730000000001</v>
      </c>
      <c r="I456" t="s">
        <v>76</v>
      </c>
      <c r="J456" t="s">
        <v>77</v>
      </c>
    </row>
    <row r="457" spans="1:11" x14ac:dyDescent="0.3">
      <c r="A457" t="s">
        <v>83</v>
      </c>
      <c r="B457">
        <v>1000</v>
      </c>
      <c r="C457" t="s">
        <v>81</v>
      </c>
      <c r="D457">
        <v>3.56697E-3</v>
      </c>
      <c r="E457" t="s">
        <v>74</v>
      </c>
      <c r="F457">
        <v>3.56697</v>
      </c>
      <c r="G457" t="s">
        <v>75</v>
      </c>
      <c r="H457">
        <v>3566.973</v>
      </c>
      <c r="I457" t="s">
        <v>76</v>
      </c>
      <c r="J457" t="s">
        <v>82</v>
      </c>
      <c r="K457">
        <v>280.34971789999997</v>
      </c>
    </row>
    <row r="458" spans="1:11" x14ac:dyDescent="0.3">
      <c r="A458" t="s">
        <v>84</v>
      </c>
      <c r="B458">
        <v>1001</v>
      </c>
      <c r="C458" t="s">
        <v>79</v>
      </c>
      <c r="D458">
        <v>8.5057999999999998E-4</v>
      </c>
      <c r="E458" t="s">
        <v>74</v>
      </c>
      <c r="F458">
        <v>0.85058</v>
      </c>
      <c r="G458" t="s">
        <v>75</v>
      </c>
      <c r="H458">
        <v>850.58</v>
      </c>
      <c r="I458" t="s">
        <v>76</v>
      </c>
      <c r="J458" t="s">
        <v>77</v>
      </c>
    </row>
    <row r="459" spans="1:11" x14ac:dyDescent="0.3">
      <c r="A459" t="s">
        <v>84</v>
      </c>
      <c r="B459">
        <v>1001</v>
      </c>
      <c r="C459" t="s">
        <v>94</v>
      </c>
      <c r="D459">
        <v>2.5364799999999998E-3</v>
      </c>
      <c r="E459" t="s">
        <v>74</v>
      </c>
      <c r="F459">
        <v>2.5364800000000001</v>
      </c>
      <c r="G459" t="s">
        <v>75</v>
      </c>
      <c r="H459">
        <v>2536.4789999999998</v>
      </c>
      <c r="I459" t="s">
        <v>76</v>
      </c>
      <c r="J459" t="s">
        <v>77</v>
      </c>
    </row>
    <row r="460" spans="1:11" x14ac:dyDescent="0.3">
      <c r="A460" t="s">
        <v>84</v>
      </c>
      <c r="B460">
        <v>1001</v>
      </c>
      <c r="C460" t="s">
        <v>80</v>
      </c>
      <c r="D460">
        <v>2.7204099999999999E-3</v>
      </c>
      <c r="E460" t="s">
        <v>74</v>
      </c>
      <c r="F460">
        <v>2.7204100000000002</v>
      </c>
      <c r="G460" t="s">
        <v>75</v>
      </c>
      <c r="H460">
        <v>2720.4140000000002</v>
      </c>
      <c r="I460" t="s">
        <v>76</v>
      </c>
      <c r="J460" t="s">
        <v>77</v>
      </c>
    </row>
    <row r="461" spans="1:11" x14ac:dyDescent="0.3">
      <c r="A461" t="s">
        <v>84</v>
      </c>
      <c r="B461">
        <v>1001</v>
      </c>
      <c r="C461" t="s">
        <v>81</v>
      </c>
      <c r="D461">
        <v>3.5720499999999998E-3</v>
      </c>
      <c r="E461" t="s">
        <v>74</v>
      </c>
      <c r="F461">
        <v>3.5720499999999999</v>
      </c>
      <c r="G461" t="s">
        <v>75</v>
      </c>
      <c r="H461">
        <v>3572.0450000000001</v>
      </c>
      <c r="I461" t="s">
        <v>76</v>
      </c>
      <c r="J461" t="s">
        <v>82</v>
      </c>
      <c r="K461">
        <v>279.95165930000002</v>
      </c>
    </row>
    <row r="462" spans="1:11" x14ac:dyDescent="0.3">
      <c r="A462" t="s">
        <v>85</v>
      </c>
      <c r="B462">
        <v>1001</v>
      </c>
      <c r="C462" t="s">
        <v>86</v>
      </c>
      <c r="D462">
        <v>3.57223E-3</v>
      </c>
      <c r="E462" t="s">
        <v>74</v>
      </c>
      <c r="F462">
        <v>3.5722299999999998</v>
      </c>
      <c r="G462" t="s">
        <v>75</v>
      </c>
      <c r="H462">
        <v>3572.2330000000002</v>
      </c>
      <c r="I462" t="s">
        <v>76</v>
      </c>
      <c r="J462" t="s">
        <v>82</v>
      </c>
      <c r="K462">
        <v>279.93696929999999</v>
      </c>
    </row>
    <row r="463" spans="1:11" x14ac:dyDescent="0.3">
      <c r="A463" t="s">
        <v>115</v>
      </c>
    </row>
    <row r="464" spans="1:11" x14ac:dyDescent="0.3">
      <c r="A464" t="s">
        <v>127</v>
      </c>
    </row>
    <row r="465" spans="1:11" x14ac:dyDescent="0.3">
      <c r="A465" t="s">
        <v>87</v>
      </c>
    </row>
    <row r="466" spans="1:11" x14ac:dyDescent="0.3">
      <c r="A466" t="s">
        <v>136</v>
      </c>
    </row>
    <row r="467" spans="1:11" x14ac:dyDescent="0.3">
      <c r="A467" t="s">
        <v>72</v>
      </c>
      <c r="B467">
        <v>1</v>
      </c>
      <c r="C467" t="s">
        <v>81</v>
      </c>
      <c r="D467">
        <v>0.30805369999999999</v>
      </c>
      <c r="E467" t="s">
        <v>74</v>
      </c>
      <c r="F467">
        <v>308.05369999999999</v>
      </c>
      <c r="G467" t="s">
        <v>75</v>
      </c>
      <c r="H467">
        <v>308053.70199999999</v>
      </c>
      <c r="I467" t="s">
        <v>76</v>
      </c>
      <c r="J467" t="s">
        <v>82</v>
      </c>
      <c r="K467">
        <v>3.2461872000000001</v>
      </c>
    </row>
    <row r="468" spans="1:11" x14ac:dyDescent="0.3">
      <c r="A468" t="s">
        <v>83</v>
      </c>
      <c r="B468">
        <v>1000</v>
      </c>
      <c r="C468" t="s">
        <v>81</v>
      </c>
      <c r="D468">
        <v>3.2346200000000001E-3</v>
      </c>
      <c r="E468" t="s">
        <v>74</v>
      </c>
      <c r="F468">
        <v>3.2346200000000001</v>
      </c>
      <c r="G468" t="s">
        <v>75</v>
      </c>
      <c r="H468">
        <v>3234.6149999999998</v>
      </c>
      <c r="I468" t="s">
        <v>76</v>
      </c>
      <c r="J468" t="s">
        <v>82</v>
      </c>
      <c r="K468">
        <v>309.15577259999998</v>
      </c>
    </row>
    <row r="469" spans="1:11" x14ac:dyDescent="0.3">
      <c r="A469" t="s">
        <v>85</v>
      </c>
      <c r="B469">
        <v>1001</v>
      </c>
      <c r="C469" t="s">
        <v>86</v>
      </c>
      <c r="D469">
        <v>3.5393400000000002E-3</v>
      </c>
      <c r="E469" t="s">
        <v>74</v>
      </c>
      <c r="F469">
        <v>3.5393400000000002</v>
      </c>
      <c r="G469" t="s">
        <v>75</v>
      </c>
      <c r="H469">
        <v>3539.3429999999998</v>
      </c>
      <c r="I469" t="s">
        <v>76</v>
      </c>
      <c r="J469" t="s">
        <v>82</v>
      </c>
      <c r="K469">
        <v>282.538343</v>
      </c>
    </row>
    <row r="471" spans="1:11" x14ac:dyDescent="0.3">
      <c r="A471" t="s">
        <v>137</v>
      </c>
    </row>
    <row r="472" spans="1:11" x14ac:dyDescent="0.3">
      <c r="A472" t="s">
        <v>72</v>
      </c>
      <c r="B472">
        <v>1</v>
      </c>
      <c r="C472" t="s">
        <v>81</v>
      </c>
      <c r="D472">
        <v>8.6438999999999995E-3</v>
      </c>
      <c r="E472" t="s">
        <v>74</v>
      </c>
      <c r="F472">
        <v>8.6439000000000004</v>
      </c>
      <c r="G472" t="s">
        <v>75</v>
      </c>
      <c r="H472">
        <v>8643.9</v>
      </c>
      <c r="I472" t="s">
        <v>76</v>
      </c>
      <c r="J472" t="s">
        <v>82</v>
      </c>
      <c r="K472">
        <v>115.68851960000001</v>
      </c>
    </row>
    <row r="473" spans="1:11" x14ac:dyDescent="0.3">
      <c r="A473" t="s">
        <v>83</v>
      </c>
      <c r="B473">
        <v>1000</v>
      </c>
      <c r="C473" t="s">
        <v>81</v>
      </c>
      <c r="D473">
        <v>3.56697E-3</v>
      </c>
      <c r="E473" t="s">
        <v>74</v>
      </c>
      <c r="F473">
        <v>3.56697</v>
      </c>
      <c r="G473" t="s">
        <v>75</v>
      </c>
      <c r="H473">
        <v>3566.973</v>
      </c>
      <c r="I473" t="s">
        <v>76</v>
      </c>
      <c r="J473" t="s">
        <v>82</v>
      </c>
      <c r="K473">
        <v>280.34971789999997</v>
      </c>
    </row>
    <row r="474" spans="1:11" x14ac:dyDescent="0.3">
      <c r="A474" t="s">
        <v>85</v>
      </c>
      <c r="B474">
        <v>1001</v>
      </c>
      <c r="C474" t="s">
        <v>86</v>
      </c>
      <c r="D474">
        <v>3.57223E-3</v>
      </c>
      <c r="E474" t="s">
        <v>74</v>
      </c>
      <c r="F474">
        <v>3.5722299999999998</v>
      </c>
      <c r="G474" t="s">
        <v>75</v>
      </c>
      <c r="H474">
        <v>3572.2330000000002</v>
      </c>
      <c r="I474" t="s">
        <v>76</v>
      </c>
      <c r="J474" t="s">
        <v>82</v>
      </c>
      <c r="K474">
        <v>279.93696929999999</v>
      </c>
    </row>
    <row r="476" spans="1:11" x14ac:dyDescent="0.3">
      <c r="A476" t="s">
        <v>66</v>
      </c>
    </row>
    <row r="478" spans="1:11" x14ac:dyDescent="0.3">
      <c r="A478" t="s">
        <v>138</v>
      </c>
    </row>
    <row r="479" spans="1:11" x14ac:dyDescent="0.3">
      <c r="A479" t="s">
        <v>68</v>
      </c>
    </row>
    <row r="480" spans="1:11" x14ac:dyDescent="0.3">
      <c r="A480" t="s">
        <v>69</v>
      </c>
    </row>
    <row r="481" spans="1:1" x14ac:dyDescent="0.3">
      <c r="A481" t="s">
        <v>70</v>
      </c>
    </row>
    <row r="482" spans="1:1" x14ac:dyDescent="0.3">
      <c r="A482" t="s">
        <v>115</v>
      </c>
    </row>
    <row r="483" spans="1:1" x14ac:dyDescent="0.3">
      <c r="A483" t="s">
        <v>116</v>
      </c>
    </row>
    <row r="484" spans="1:1" x14ac:dyDescent="0.3">
      <c r="A484" t="s">
        <v>117</v>
      </c>
    </row>
    <row r="485" spans="1:1" x14ac:dyDescent="0.3">
      <c r="A485" t="s">
        <v>118</v>
      </c>
    </row>
    <row r="486" spans="1:1" x14ac:dyDescent="0.3">
      <c r="A486" t="s">
        <v>119</v>
      </c>
    </row>
    <row r="487" spans="1:1" x14ac:dyDescent="0.3">
      <c r="A487" t="s">
        <v>120</v>
      </c>
    </row>
    <row r="488" spans="1:1" x14ac:dyDescent="0.3">
      <c r="A488" t="s">
        <v>121</v>
      </c>
    </row>
    <row r="489" spans="1:1" x14ac:dyDescent="0.3">
      <c r="A489" t="s">
        <v>122</v>
      </c>
    </row>
    <row r="490" spans="1:1" x14ac:dyDescent="0.3">
      <c r="A490" t="s">
        <v>123</v>
      </c>
    </row>
    <row r="491" spans="1:1" x14ac:dyDescent="0.3">
      <c r="A491" t="s">
        <v>124</v>
      </c>
    </row>
    <row r="492" spans="1:1" x14ac:dyDescent="0.3">
      <c r="A492" t="s">
        <v>125</v>
      </c>
    </row>
    <row r="493" spans="1:1" x14ac:dyDescent="0.3">
      <c r="A493" t="s">
        <v>126</v>
      </c>
    </row>
    <row r="494" spans="1:1" x14ac:dyDescent="0.3">
      <c r="A494" t="s">
        <v>127</v>
      </c>
    </row>
    <row r="495" spans="1:1" x14ac:dyDescent="0.3">
      <c r="A495" t="s">
        <v>139</v>
      </c>
    </row>
    <row r="496" spans="1:1" x14ac:dyDescent="0.3">
      <c r="A496" t="s">
        <v>140</v>
      </c>
    </row>
    <row r="497" spans="1:11" x14ac:dyDescent="0.3">
      <c r="A497" t="s">
        <v>72</v>
      </c>
      <c r="B497">
        <v>1</v>
      </c>
      <c r="C497" t="s">
        <v>73</v>
      </c>
      <c r="D497">
        <v>5.1000000000000003E-6</v>
      </c>
      <c r="E497" t="s">
        <v>74</v>
      </c>
      <c r="F497">
        <v>5.1000000000000004E-3</v>
      </c>
      <c r="G497" t="s">
        <v>75</v>
      </c>
      <c r="H497">
        <v>5.0999999999999996</v>
      </c>
      <c r="I497" t="s">
        <v>76</v>
      </c>
      <c r="J497" t="s">
        <v>77</v>
      </c>
    </row>
    <row r="498" spans="1:11" x14ac:dyDescent="0.3">
      <c r="A498" t="s">
        <v>72</v>
      </c>
      <c r="B498">
        <v>1</v>
      </c>
      <c r="C498" t="s">
        <v>78</v>
      </c>
      <c r="D498">
        <v>0.13703140999999999</v>
      </c>
      <c r="E498" t="s">
        <v>74</v>
      </c>
      <c r="F498">
        <v>137.03140999999999</v>
      </c>
      <c r="G498" t="s">
        <v>75</v>
      </c>
      <c r="H498">
        <v>137031.40599999999</v>
      </c>
      <c r="I498" t="s">
        <v>76</v>
      </c>
      <c r="J498" t="s">
        <v>77</v>
      </c>
    </row>
    <row r="499" spans="1:11" x14ac:dyDescent="0.3">
      <c r="A499" t="s">
        <v>72</v>
      </c>
      <c r="B499">
        <v>1</v>
      </c>
      <c r="C499" t="s">
        <v>79</v>
      </c>
      <c r="D499">
        <v>0.37957549000000002</v>
      </c>
      <c r="E499" t="s">
        <v>74</v>
      </c>
      <c r="F499">
        <v>379.57549</v>
      </c>
      <c r="G499" t="s">
        <v>75</v>
      </c>
      <c r="H499">
        <v>379575.49099999998</v>
      </c>
      <c r="I499" t="s">
        <v>76</v>
      </c>
      <c r="J499" t="s">
        <v>77</v>
      </c>
    </row>
    <row r="500" spans="1:11" x14ac:dyDescent="0.3">
      <c r="A500" t="s">
        <v>72</v>
      </c>
      <c r="B500">
        <v>1</v>
      </c>
      <c r="C500" t="s">
        <v>94</v>
      </c>
      <c r="D500">
        <v>9.4763999999999994E-3</v>
      </c>
      <c r="E500" t="s">
        <v>74</v>
      </c>
      <c r="F500">
        <v>9.4763999999999999</v>
      </c>
      <c r="G500" t="s">
        <v>75</v>
      </c>
      <c r="H500">
        <v>9476.4</v>
      </c>
      <c r="I500" t="s">
        <v>76</v>
      </c>
      <c r="J500" t="s">
        <v>77</v>
      </c>
    </row>
    <row r="501" spans="1:11" x14ac:dyDescent="0.3">
      <c r="A501" t="s">
        <v>72</v>
      </c>
      <c r="B501">
        <v>1</v>
      </c>
      <c r="C501" t="s">
        <v>80</v>
      </c>
      <c r="D501">
        <v>9.4774999999999998E-3</v>
      </c>
      <c r="E501" t="s">
        <v>74</v>
      </c>
      <c r="F501">
        <v>9.4774999999999991</v>
      </c>
      <c r="G501" t="s">
        <v>75</v>
      </c>
      <c r="H501">
        <v>9477.5</v>
      </c>
      <c r="I501" t="s">
        <v>76</v>
      </c>
      <c r="J501" t="s">
        <v>77</v>
      </c>
    </row>
    <row r="502" spans="1:11" x14ac:dyDescent="0.3">
      <c r="A502" t="s">
        <v>72</v>
      </c>
      <c r="B502">
        <v>1</v>
      </c>
      <c r="C502" t="s">
        <v>81</v>
      </c>
      <c r="D502">
        <v>0.38905658999999998</v>
      </c>
      <c r="E502" t="s">
        <v>74</v>
      </c>
      <c r="F502">
        <v>389.05659000000003</v>
      </c>
      <c r="G502" t="s">
        <v>75</v>
      </c>
      <c r="H502">
        <v>389056.59299999999</v>
      </c>
      <c r="I502" t="s">
        <v>76</v>
      </c>
      <c r="J502" t="s">
        <v>82</v>
      </c>
      <c r="K502">
        <v>2.5703201</v>
      </c>
    </row>
    <row r="503" spans="1:11" x14ac:dyDescent="0.3">
      <c r="A503" t="s">
        <v>83</v>
      </c>
      <c r="B503">
        <v>1000</v>
      </c>
      <c r="C503" t="s">
        <v>79</v>
      </c>
      <c r="D503">
        <v>2.5637699999999999E-3</v>
      </c>
      <c r="E503" t="s">
        <v>74</v>
      </c>
      <c r="F503">
        <v>2.5637699999999999</v>
      </c>
      <c r="G503" t="s">
        <v>75</v>
      </c>
      <c r="H503">
        <v>2563.7730000000001</v>
      </c>
      <c r="I503" t="s">
        <v>76</v>
      </c>
      <c r="J503" t="s">
        <v>77</v>
      </c>
    </row>
    <row r="504" spans="1:11" x14ac:dyDescent="0.3">
      <c r="A504" t="s">
        <v>83</v>
      </c>
      <c r="B504">
        <v>1000</v>
      </c>
      <c r="C504" t="s">
        <v>94</v>
      </c>
      <c r="D504">
        <v>2.4819299999999998E-3</v>
      </c>
      <c r="E504" t="s">
        <v>74</v>
      </c>
      <c r="F504">
        <v>2.4819300000000002</v>
      </c>
      <c r="G504" t="s">
        <v>75</v>
      </c>
      <c r="H504">
        <v>2481.9259999999999</v>
      </c>
      <c r="I504" t="s">
        <v>76</v>
      </c>
      <c r="J504" t="s">
        <v>77</v>
      </c>
    </row>
    <row r="505" spans="1:11" x14ac:dyDescent="0.3">
      <c r="A505" t="s">
        <v>83</v>
      </c>
      <c r="B505">
        <v>1000</v>
      </c>
      <c r="C505" t="s">
        <v>80</v>
      </c>
      <c r="D505">
        <v>2.6612099999999998E-3</v>
      </c>
      <c r="E505" t="s">
        <v>74</v>
      </c>
      <c r="F505">
        <v>2.6612100000000001</v>
      </c>
      <c r="G505" t="s">
        <v>75</v>
      </c>
      <c r="H505">
        <v>2661.2109999999998</v>
      </c>
      <c r="I505" t="s">
        <v>76</v>
      </c>
      <c r="J505" t="s">
        <v>77</v>
      </c>
    </row>
    <row r="506" spans="1:11" x14ac:dyDescent="0.3">
      <c r="A506" t="s">
        <v>83</v>
      </c>
      <c r="B506">
        <v>1000</v>
      </c>
      <c r="C506" t="s">
        <v>81</v>
      </c>
      <c r="D506">
        <v>5.2258299999999999E-3</v>
      </c>
      <c r="E506" t="s">
        <v>74</v>
      </c>
      <c r="F506">
        <v>5.2258300000000002</v>
      </c>
      <c r="G506" t="s">
        <v>75</v>
      </c>
      <c r="H506">
        <v>5225.8320000000003</v>
      </c>
      <c r="I506" t="s">
        <v>76</v>
      </c>
      <c r="J506" t="s">
        <v>82</v>
      </c>
      <c r="K506">
        <v>191.35708969999999</v>
      </c>
    </row>
    <row r="507" spans="1:11" x14ac:dyDescent="0.3">
      <c r="A507" t="s">
        <v>84</v>
      </c>
      <c r="B507">
        <v>1001</v>
      </c>
      <c r="C507" t="s">
        <v>79</v>
      </c>
      <c r="D507">
        <v>2.9404100000000001E-3</v>
      </c>
      <c r="E507" t="s">
        <v>74</v>
      </c>
      <c r="F507">
        <v>2.94041</v>
      </c>
      <c r="G507" t="s">
        <v>75</v>
      </c>
      <c r="H507">
        <v>2940.4090000000001</v>
      </c>
      <c r="I507" t="s">
        <v>76</v>
      </c>
      <c r="J507" t="s">
        <v>77</v>
      </c>
    </row>
    <row r="508" spans="1:11" x14ac:dyDescent="0.3">
      <c r="A508" t="s">
        <v>84</v>
      </c>
      <c r="B508">
        <v>1001</v>
      </c>
      <c r="C508" t="s">
        <v>94</v>
      </c>
      <c r="D508">
        <v>2.48891E-3</v>
      </c>
      <c r="E508" t="s">
        <v>74</v>
      </c>
      <c r="F508">
        <v>2.4889100000000002</v>
      </c>
      <c r="G508" t="s">
        <v>75</v>
      </c>
      <c r="H508">
        <v>2488.913</v>
      </c>
      <c r="I508" t="s">
        <v>76</v>
      </c>
      <c r="J508" t="s">
        <v>77</v>
      </c>
    </row>
    <row r="509" spans="1:11" x14ac:dyDescent="0.3">
      <c r="A509" t="s">
        <v>84</v>
      </c>
      <c r="B509">
        <v>1001</v>
      </c>
      <c r="C509" t="s">
        <v>80</v>
      </c>
      <c r="D509">
        <v>2.6680200000000001E-3</v>
      </c>
      <c r="E509" t="s">
        <v>74</v>
      </c>
      <c r="F509">
        <v>2.6680199999999998</v>
      </c>
      <c r="G509" t="s">
        <v>75</v>
      </c>
      <c r="H509">
        <v>2668.02</v>
      </c>
      <c r="I509" t="s">
        <v>76</v>
      </c>
      <c r="J509" t="s">
        <v>77</v>
      </c>
    </row>
    <row r="510" spans="1:11" x14ac:dyDescent="0.3">
      <c r="A510" t="s">
        <v>84</v>
      </c>
      <c r="B510">
        <v>1001</v>
      </c>
      <c r="C510" t="s">
        <v>81</v>
      </c>
      <c r="D510">
        <v>5.6092800000000003E-3</v>
      </c>
      <c r="E510" t="s">
        <v>74</v>
      </c>
      <c r="F510">
        <v>5.60928</v>
      </c>
      <c r="G510" t="s">
        <v>75</v>
      </c>
      <c r="H510">
        <v>5609.2780000000002</v>
      </c>
      <c r="I510" t="s">
        <v>76</v>
      </c>
      <c r="J510" t="s">
        <v>82</v>
      </c>
      <c r="K510">
        <v>178.2760495</v>
      </c>
    </row>
    <row r="511" spans="1:11" x14ac:dyDescent="0.3">
      <c r="A511" t="s">
        <v>85</v>
      </c>
      <c r="B511">
        <v>1001</v>
      </c>
      <c r="C511" t="s">
        <v>86</v>
      </c>
      <c r="D511">
        <v>5.60948E-3</v>
      </c>
      <c r="E511" t="s">
        <v>74</v>
      </c>
      <c r="F511">
        <v>5.6094799999999996</v>
      </c>
      <c r="G511" t="s">
        <v>75</v>
      </c>
      <c r="H511">
        <v>5609.4769999999999</v>
      </c>
      <c r="I511" t="s">
        <v>76</v>
      </c>
      <c r="J511" t="s">
        <v>82</v>
      </c>
      <c r="K511">
        <v>178.2697364</v>
      </c>
    </row>
    <row r="512" spans="1:11" x14ac:dyDescent="0.3">
      <c r="A512" t="s">
        <v>141</v>
      </c>
    </row>
    <row r="513" spans="1:11" x14ac:dyDescent="0.3">
      <c r="A513" t="s">
        <v>142</v>
      </c>
    </row>
    <row r="514" spans="1:11" x14ac:dyDescent="0.3">
      <c r="A514" t="s">
        <v>72</v>
      </c>
      <c r="B514">
        <v>1</v>
      </c>
      <c r="C514" t="s">
        <v>73</v>
      </c>
      <c r="D514">
        <v>5.1000000000000003E-6</v>
      </c>
      <c r="E514" t="s">
        <v>74</v>
      </c>
      <c r="F514">
        <v>5.1000000000000004E-3</v>
      </c>
      <c r="G514" t="s">
        <v>75</v>
      </c>
      <c r="H514">
        <v>5.0999999999999996</v>
      </c>
      <c r="I514" t="s">
        <v>76</v>
      </c>
      <c r="J514" t="s">
        <v>77</v>
      </c>
    </row>
    <row r="515" spans="1:11" x14ac:dyDescent="0.3">
      <c r="A515" t="s">
        <v>72</v>
      </c>
      <c r="B515">
        <v>1</v>
      </c>
      <c r="C515" t="s">
        <v>78</v>
      </c>
      <c r="D515">
        <v>4.0200000000000001E-5</v>
      </c>
      <c r="E515" t="s">
        <v>74</v>
      </c>
      <c r="F515">
        <v>4.02E-2</v>
      </c>
      <c r="G515" t="s">
        <v>75</v>
      </c>
      <c r="H515">
        <v>40.200000000000003</v>
      </c>
      <c r="I515" t="s">
        <v>76</v>
      </c>
      <c r="J515" t="s">
        <v>77</v>
      </c>
    </row>
    <row r="516" spans="1:11" x14ac:dyDescent="0.3">
      <c r="A516" t="s">
        <v>72</v>
      </c>
      <c r="B516">
        <v>1</v>
      </c>
      <c r="C516" t="s">
        <v>79</v>
      </c>
      <c r="D516">
        <v>6.4714999999999998E-3</v>
      </c>
      <c r="E516" t="s">
        <v>74</v>
      </c>
      <c r="F516">
        <v>6.4714999999999998</v>
      </c>
      <c r="G516" t="s">
        <v>75</v>
      </c>
      <c r="H516">
        <v>6471.5</v>
      </c>
      <c r="I516" t="s">
        <v>76</v>
      </c>
      <c r="J516" t="s">
        <v>77</v>
      </c>
    </row>
    <row r="517" spans="1:11" x14ac:dyDescent="0.3">
      <c r="A517" t="s">
        <v>72</v>
      </c>
      <c r="B517">
        <v>1</v>
      </c>
      <c r="C517" t="s">
        <v>94</v>
      </c>
      <c r="D517">
        <v>2.6606999999999998E-3</v>
      </c>
      <c r="E517" t="s">
        <v>74</v>
      </c>
      <c r="F517">
        <v>2.6606999999999998</v>
      </c>
      <c r="G517" t="s">
        <v>75</v>
      </c>
      <c r="H517">
        <v>2660.7</v>
      </c>
      <c r="I517" t="s">
        <v>76</v>
      </c>
      <c r="J517" t="s">
        <v>77</v>
      </c>
    </row>
    <row r="518" spans="1:11" x14ac:dyDescent="0.3">
      <c r="A518" t="s">
        <v>72</v>
      </c>
      <c r="B518">
        <v>1</v>
      </c>
      <c r="C518" t="s">
        <v>80</v>
      </c>
      <c r="D518">
        <v>2.8977999999999999E-3</v>
      </c>
      <c r="E518" t="s">
        <v>74</v>
      </c>
      <c r="F518">
        <v>2.8978000000000002</v>
      </c>
      <c r="G518" t="s">
        <v>75</v>
      </c>
      <c r="H518">
        <v>2897.8</v>
      </c>
      <c r="I518" t="s">
        <v>76</v>
      </c>
      <c r="J518" t="s">
        <v>77</v>
      </c>
    </row>
    <row r="519" spans="1:11" x14ac:dyDescent="0.3">
      <c r="A519" t="s">
        <v>72</v>
      </c>
      <c r="B519">
        <v>1</v>
      </c>
      <c r="C519" t="s">
        <v>81</v>
      </c>
      <c r="D519">
        <v>9.3703999999999992E-3</v>
      </c>
      <c r="E519" t="s">
        <v>74</v>
      </c>
      <c r="F519">
        <v>9.3704000000000001</v>
      </c>
      <c r="G519" t="s">
        <v>75</v>
      </c>
      <c r="H519">
        <v>9370.4</v>
      </c>
      <c r="I519" t="s">
        <v>76</v>
      </c>
      <c r="J519" t="s">
        <v>82</v>
      </c>
      <c r="K519">
        <v>106.7190342</v>
      </c>
    </row>
    <row r="520" spans="1:11" x14ac:dyDescent="0.3">
      <c r="A520" t="s">
        <v>83</v>
      </c>
      <c r="B520">
        <v>1000</v>
      </c>
      <c r="C520" t="s">
        <v>79</v>
      </c>
      <c r="D520">
        <v>2.5933100000000001E-3</v>
      </c>
      <c r="E520" t="s">
        <v>74</v>
      </c>
      <c r="F520">
        <v>2.5933099999999998</v>
      </c>
      <c r="G520" t="s">
        <v>75</v>
      </c>
      <c r="H520">
        <v>2593.31</v>
      </c>
      <c r="I520" t="s">
        <v>76</v>
      </c>
      <c r="J520" t="s">
        <v>77</v>
      </c>
    </row>
    <row r="521" spans="1:11" x14ac:dyDescent="0.3">
      <c r="A521" t="s">
        <v>83</v>
      </c>
      <c r="B521">
        <v>1000</v>
      </c>
      <c r="C521" t="s">
        <v>94</v>
      </c>
      <c r="D521">
        <v>2.55083E-3</v>
      </c>
      <c r="E521" t="s">
        <v>74</v>
      </c>
      <c r="F521">
        <v>2.5508299999999999</v>
      </c>
      <c r="G521" t="s">
        <v>75</v>
      </c>
      <c r="H521">
        <v>2550.8330000000001</v>
      </c>
      <c r="I521" t="s">
        <v>76</v>
      </c>
      <c r="J521" t="s">
        <v>77</v>
      </c>
    </row>
    <row r="522" spans="1:11" x14ac:dyDescent="0.3">
      <c r="A522" t="s">
        <v>83</v>
      </c>
      <c r="B522">
        <v>1000</v>
      </c>
      <c r="C522" t="s">
        <v>80</v>
      </c>
      <c r="D522">
        <v>2.74223E-3</v>
      </c>
      <c r="E522" t="s">
        <v>74</v>
      </c>
      <c r="F522">
        <v>2.7422300000000002</v>
      </c>
      <c r="G522" t="s">
        <v>75</v>
      </c>
      <c r="H522">
        <v>2742.2310000000002</v>
      </c>
      <c r="I522" t="s">
        <v>76</v>
      </c>
      <c r="J522" t="s">
        <v>77</v>
      </c>
    </row>
    <row r="523" spans="1:11" x14ac:dyDescent="0.3">
      <c r="A523" t="s">
        <v>83</v>
      </c>
      <c r="B523">
        <v>1000</v>
      </c>
      <c r="C523" t="s">
        <v>81</v>
      </c>
      <c r="D523">
        <v>5.3367199999999997E-3</v>
      </c>
      <c r="E523" t="s">
        <v>74</v>
      </c>
      <c r="F523">
        <v>5.3367199999999997</v>
      </c>
      <c r="G523" t="s">
        <v>75</v>
      </c>
      <c r="H523">
        <v>5336.7219999999998</v>
      </c>
      <c r="I523" t="s">
        <v>76</v>
      </c>
      <c r="J523" t="s">
        <v>82</v>
      </c>
      <c r="K523">
        <v>187.3809297</v>
      </c>
    </row>
    <row r="524" spans="1:11" x14ac:dyDescent="0.3">
      <c r="A524" t="s">
        <v>84</v>
      </c>
      <c r="B524">
        <v>1001</v>
      </c>
      <c r="C524" t="s">
        <v>79</v>
      </c>
      <c r="D524">
        <v>2.5971800000000001E-3</v>
      </c>
      <c r="E524" t="s">
        <v>74</v>
      </c>
      <c r="F524">
        <v>2.5971799999999998</v>
      </c>
      <c r="G524" t="s">
        <v>75</v>
      </c>
      <c r="H524">
        <v>2597.1849999999999</v>
      </c>
      <c r="I524" t="s">
        <v>76</v>
      </c>
      <c r="J524" t="s">
        <v>77</v>
      </c>
    </row>
    <row r="525" spans="1:11" x14ac:dyDescent="0.3">
      <c r="A525" t="s">
        <v>84</v>
      </c>
      <c r="B525">
        <v>1001</v>
      </c>
      <c r="C525" t="s">
        <v>94</v>
      </c>
      <c r="D525">
        <v>2.5509399999999998E-3</v>
      </c>
      <c r="E525" t="s">
        <v>74</v>
      </c>
      <c r="F525">
        <v>2.5509400000000002</v>
      </c>
      <c r="G525" t="s">
        <v>75</v>
      </c>
      <c r="H525">
        <v>2550.942</v>
      </c>
      <c r="I525" t="s">
        <v>76</v>
      </c>
      <c r="J525" t="s">
        <v>77</v>
      </c>
    </row>
    <row r="526" spans="1:11" x14ac:dyDescent="0.3">
      <c r="A526" t="s">
        <v>84</v>
      </c>
      <c r="B526">
        <v>1001</v>
      </c>
      <c r="C526" t="s">
        <v>80</v>
      </c>
      <c r="D526">
        <v>2.7423899999999999E-3</v>
      </c>
      <c r="E526" t="s">
        <v>74</v>
      </c>
      <c r="F526">
        <v>2.7423899999999999</v>
      </c>
      <c r="G526" t="s">
        <v>75</v>
      </c>
      <c r="H526">
        <v>2742.386</v>
      </c>
      <c r="I526" t="s">
        <v>76</v>
      </c>
      <c r="J526" t="s">
        <v>77</v>
      </c>
    </row>
    <row r="527" spans="1:11" x14ac:dyDescent="0.3">
      <c r="A527" t="s">
        <v>84</v>
      </c>
      <c r="B527">
        <v>1001</v>
      </c>
      <c r="C527" t="s">
        <v>81</v>
      </c>
      <c r="D527">
        <v>5.34075E-3</v>
      </c>
      <c r="E527" t="s">
        <v>74</v>
      </c>
      <c r="F527">
        <v>5.3407499999999999</v>
      </c>
      <c r="G527" t="s">
        <v>75</v>
      </c>
      <c r="H527">
        <v>5340.7510000000002</v>
      </c>
      <c r="I527" t="s">
        <v>76</v>
      </c>
      <c r="J527" t="s">
        <v>82</v>
      </c>
      <c r="K527">
        <v>187.2395683</v>
      </c>
    </row>
    <row r="528" spans="1:11" x14ac:dyDescent="0.3">
      <c r="A528" t="s">
        <v>85</v>
      </c>
      <c r="B528">
        <v>1001</v>
      </c>
      <c r="C528" t="s">
        <v>86</v>
      </c>
      <c r="D528">
        <v>5.3410300000000001E-3</v>
      </c>
      <c r="E528" t="s">
        <v>74</v>
      </c>
      <c r="F528">
        <v>5.3410299999999999</v>
      </c>
      <c r="G528" t="s">
        <v>75</v>
      </c>
      <c r="H528">
        <v>5341.03</v>
      </c>
      <c r="I528" t="s">
        <v>76</v>
      </c>
      <c r="J528" t="s">
        <v>82</v>
      </c>
      <c r="K528">
        <v>187.22981569999999</v>
      </c>
    </row>
    <row r="529" spans="1:11" x14ac:dyDescent="0.3">
      <c r="A529" t="s">
        <v>115</v>
      </c>
    </row>
    <row r="530" spans="1:11" x14ac:dyDescent="0.3">
      <c r="A530" t="s">
        <v>127</v>
      </c>
    </row>
    <row r="531" spans="1:11" x14ac:dyDescent="0.3">
      <c r="A531" t="s">
        <v>87</v>
      </c>
    </row>
    <row r="532" spans="1:11" x14ac:dyDescent="0.3">
      <c r="A532" t="s">
        <v>143</v>
      </c>
    </row>
    <row r="533" spans="1:11" x14ac:dyDescent="0.3">
      <c r="A533" t="s">
        <v>72</v>
      </c>
      <c r="B533">
        <v>1</v>
      </c>
      <c r="C533" t="s">
        <v>81</v>
      </c>
      <c r="D533">
        <v>0.38905658999999998</v>
      </c>
      <c r="E533" t="s">
        <v>74</v>
      </c>
      <c r="F533">
        <v>389.05659000000003</v>
      </c>
      <c r="G533" t="s">
        <v>75</v>
      </c>
      <c r="H533">
        <v>389056.59299999999</v>
      </c>
      <c r="I533" t="s">
        <v>76</v>
      </c>
      <c r="J533" t="s">
        <v>82</v>
      </c>
      <c r="K533">
        <v>2.5703201</v>
      </c>
    </row>
    <row r="534" spans="1:11" x14ac:dyDescent="0.3">
      <c r="A534" t="s">
        <v>83</v>
      </c>
      <c r="B534">
        <v>1000</v>
      </c>
      <c r="C534" t="s">
        <v>81</v>
      </c>
      <c r="D534">
        <v>5.2258299999999999E-3</v>
      </c>
      <c r="E534" t="s">
        <v>74</v>
      </c>
      <c r="F534">
        <v>5.2258300000000002</v>
      </c>
      <c r="G534" t="s">
        <v>75</v>
      </c>
      <c r="H534">
        <v>5225.8320000000003</v>
      </c>
      <c r="I534" t="s">
        <v>76</v>
      </c>
      <c r="J534" t="s">
        <v>82</v>
      </c>
      <c r="K534">
        <v>191.35708969999999</v>
      </c>
    </row>
    <row r="535" spans="1:11" x14ac:dyDescent="0.3">
      <c r="A535" t="s">
        <v>85</v>
      </c>
      <c r="B535">
        <v>1001</v>
      </c>
      <c r="C535" t="s">
        <v>86</v>
      </c>
      <c r="D535">
        <v>5.60948E-3</v>
      </c>
      <c r="E535" t="s">
        <v>74</v>
      </c>
      <c r="F535">
        <v>5.6094799999999996</v>
      </c>
      <c r="G535" t="s">
        <v>75</v>
      </c>
      <c r="H535">
        <v>5609.4769999999999</v>
      </c>
      <c r="I535" t="s">
        <v>76</v>
      </c>
      <c r="J535" t="s">
        <v>82</v>
      </c>
      <c r="K535">
        <v>178.2697364</v>
      </c>
    </row>
    <row r="537" spans="1:11" x14ac:dyDescent="0.3">
      <c r="A537" t="s">
        <v>144</v>
      </c>
    </row>
    <row r="538" spans="1:11" x14ac:dyDescent="0.3">
      <c r="A538" t="s">
        <v>72</v>
      </c>
      <c r="B538">
        <v>1</v>
      </c>
      <c r="C538" t="s">
        <v>81</v>
      </c>
      <c r="D538">
        <v>9.3703999999999992E-3</v>
      </c>
      <c r="E538" t="s">
        <v>74</v>
      </c>
      <c r="F538">
        <v>9.3704000000000001</v>
      </c>
      <c r="G538" t="s">
        <v>75</v>
      </c>
      <c r="H538">
        <v>9370.4</v>
      </c>
      <c r="I538" t="s">
        <v>76</v>
      </c>
      <c r="J538" t="s">
        <v>82</v>
      </c>
      <c r="K538">
        <v>106.7190342</v>
      </c>
    </row>
    <row r="539" spans="1:11" x14ac:dyDescent="0.3">
      <c r="A539" t="s">
        <v>83</v>
      </c>
      <c r="B539">
        <v>1000</v>
      </c>
      <c r="C539" t="s">
        <v>81</v>
      </c>
      <c r="D539">
        <v>5.3367199999999997E-3</v>
      </c>
      <c r="E539" t="s">
        <v>74</v>
      </c>
      <c r="F539">
        <v>5.3367199999999997</v>
      </c>
      <c r="G539" t="s">
        <v>75</v>
      </c>
      <c r="H539">
        <v>5336.7219999999998</v>
      </c>
      <c r="I539" t="s">
        <v>76</v>
      </c>
      <c r="J539" t="s">
        <v>82</v>
      </c>
      <c r="K539">
        <v>187.3809297</v>
      </c>
    </row>
    <row r="540" spans="1:11" x14ac:dyDescent="0.3">
      <c r="A540" t="s">
        <v>85</v>
      </c>
      <c r="B540">
        <v>1001</v>
      </c>
      <c r="C540" t="s">
        <v>86</v>
      </c>
      <c r="D540">
        <v>5.3410300000000001E-3</v>
      </c>
      <c r="E540" t="s">
        <v>74</v>
      </c>
      <c r="F540">
        <v>5.3410299999999999</v>
      </c>
      <c r="G540" t="s">
        <v>75</v>
      </c>
      <c r="H540">
        <v>5341.03</v>
      </c>
      <c r="I540" t="s">
        <v>76</v>
      </c>
      <c r="J540" t="s">
        <v>82</v>
      </c>
      <c r="K540">
        <v>187.22981569999999</v>
      </c>
    </row>
    <row r="542" spans="1:11" x14ac:dyDescent="0.3">
      <c r="A542" t="s">
        <v>66</v>
      </c>
    </row>
    <row r="544" spans="1:11" x14ac:dyDescent="0.3">
      <c r="A544" t="s">
        <v>145</v>
      </c>
    </row>
    <row r="545" spans="1:1" x14ac:dyDescent="0.3">
      <c r="A545" t="s">
        <v>68</v>
      </c>
    </row>
    <row r="546" spans="1:1" x14ac:dyDescent="0.3">
      <c r="A546" t="s">
        <v>69</v>
      </c>
    </row>
    <row r="547" spans="1:1" x14ac:dyDescent="0.3">
      <c r="A547" t="s">
        <v>70</v>
      </c>
    </row>
    <row r="548" spans="1:1" x14ac:dyDescent="0.3">
      <c r="A548" t="s">
        <v>115</v>
      </c>
    </row>
    <row r="549" spans="1:1" x14ac:dyDescent="0.3">
      <c r="A549" t="s">
        <v>116</v>
      </c>
    </row>
    <row r="550" spans="1:1" x14ac:dyDescent="0.3">
      <c r="A550" t="s">
        <v>117</v>
      </c>
    </row>
    <row r="551" spans="1:1" x14ac:dyDescent="0.3">
      <c r="A551" t="s">
        <v>118</v>
      </c>
    </row>
    <row r="552" spans="1:1" x14ac:dyDescent="0.3">
      <c r="A552" t="s">
        <v>119</v>
      </c>
    </row>
    <row r="553" spans="1:1" x14ac:dyDescent="0.3">
      <c r="A553" t="s">
        <v>120</v>
      </c>
    </row>
    <row r="554" spans="1:1" x14ac:dyDescent="0.3">
      <c r="A554" t="s">
        <v>121</v>
      </c>
    </row>
    <row r="555" spans="1:1" x14ac:dyDescent="0.3">
      <c r="A555" t="s">
        <v>122</v>
      </c>
    </row>
    <row r="556" spans="1:1" x14ac:dyDescent="0.3">
      <c r="A556" t="s">
        <v>123</v>
      </c>
    </row>
    <row r="557" spans="1:1" x14ac:dyDescent="0.3">
      <c r="A557" t="s">
        <v>124</v>
      </c>
    </row>
    <row r="558" spans="1:1" x14ac:dyDescent="0.3">
      <c r="A558" t="s">
        <v>125</v>
      </c>
    </row>
    <row r="559" spans="1:1" x14ac:dyDescent="0.3">
      <c r="A559" t="s">
        <v>126</v>
      </c>
    </row>
    <row r="560" spans="1:1" x14ac:dyDescent="0.3">
      <c r="A560" t="s">
        <v>127</v>
      </c>
    </row>
    <row r="561" spans="1:11" x14ac:dyDescent="0.3">
      <c r="A561" t="s">
        <v>146</v>
      </c>
    </row>
    <row r="562" spans="1:11" x14ac:dyDescent="0.3">
      <c r="A562" t="s">
        <v>147</v>
      </c>
    </row>
    <row r="563" spans="1:11" x14ac:dyDescent="0.3">
      <c r="A563" t="s">
        <v>72</v>
      </c>
      <c r="B563">
        <v>1</v>
      </c>
      <c r="C563" t="s">
        <v>73</v>
      </c>
      <c r="D563">
        <v>4.6999999999999999E-6</v>
      </c>
      <c r="E563" t="s">
        <v>74</v>
      </c>
      <c r="F563">
        <v>4.7000000000000002E-3</v>
      </c>
      <c r="G563" t="s">
        <v>75</v>
      </c>
      <c r="H563">
        <v>4.7</v>
      </c>
      <c r="I563" t="s">
        <v>76</v>
      </c>
      <c r="J563" t="s">
        <v>77</v>
      </c>
    </row>
    <row r="564" spans="1:11" x14ac:dyDescent="0.3">
      <c r="A564" t="s">
        <v>72</v>
      </c>
      <c r="B564">
        <v>1</v>
      </c>
      <c r="C564" t="s">
        <v>78</v>
      </c>
      <c r="D564">
        <v>0.13318899000000001</v>
      </c>
      <c r="E564" t="s">
        <v>74</v>
      </c>
      <c r="F564">
        <v>133.18898999999999</v>
      </c>
      <c r="G564" t="s">
        <v>75</v>
      </c>
      <c r="H564">
        <v>133188.99299999999</v>
      </c>
      <c r="I564" t="s">
        <v>76</v>
      </c>
      <c r="J564" t="s">
        <v>77</v>
      </c>
    </row>
    <row r="565" spans="1:11" x14ac:dyDescent="0.3">
      <c r="A565" t="s">
        <v>72</v>
      </c>
      <c r="B565">
        <v>1</v>
      </c>
      <c r="C565" t="s">
        <v>79</v>
      </c>
      <c r="D565">
        <v>0.30740401000000001</v>
      </c>
      <c r="E565" t="s">
        <v>74</v>
      </c>
      <c r="F565">
        <v>307.40401000000003</v>
      </c>
      <c r="G565" t="s">
        <v>75</v>
      </c>
      <c r="H565">
        <v>307404.011</v>
      </c>
      <c r="I565" t="s">
        <v>76</v>
      </c>
      <c r="J565" t="s">
        <v>77</v>
      </c>
    </row>
    <row r="566" spans="1:11" x14ac:dyDescent="0.3">
      <c r="A566" t="s">
        <v>72</v>
      </c>
      <c r="B566">
        <v>1</v>
      </c>
      <c r="C566" t="s">
        <v>94</v>
      </c>
      <c r="D566">
        <v>9.2644000000000008E-3</v>
      </c>
      <c r="E566" t="s">
        <v>74</v>
      </c>
      <c r="F566">
        <v>9.2644000000000002</v>
      </c>
      <c r="G566" t="s">
        <v>75</v>
      </c>
      <c r="H566">
        <v>9264.4</v>
      </c>
      <c r="I566" t="s">
        <v>76</v>
      </c>
      <c r="J566" t="s">
        <v>77</v>
      </c>
    </row>
    <row r="567" spans="1:11" x14ac:dyDescent="0.3">
      <c r="A567" t="s">
        <v>72</v>
      </c>
      <c r="B567">
        <v>1</v>
      </c>
      <c r="C567" t="s">
        <v>80</v>
      </c>
      <c r="D567">
        <v>9.2654999999999994E-3</v>
      </c>
      <c r="E567" t="s">
        <v>74</v>
      </c>
      <c r="F567">
        <v>9.2654999999999994</v>
      </c>
      <c r="G567" t="s">
        <v>75</v>
      </c>
      <c r="H567">
        <v>9265.5</v>
      </c>
      <c r="I567" t="s">
        <v>76</v>
      </c>
      <c r="J567" t="s">
        <v>77</v>
      </c>
    </row>
    <row r="568" spans="1:11" x14ac:dyDescent="0.3">
      <c r="A568" t="s">
        <v>72</v>
      </c>
      <c r="B568">
        <v>1</v>
      </c>
      <c r="C568" t="s">
        <v>81</v>
      </c>
      <c r="D568">
        <v>0.31667250000000002</v>
      </c>
      <c r="E568" t="s">
        <v>74</v>
      </c>
      <c r="F568">
        <v>316.67250000000001</v>
      </c>
      <c r="G568" t="s">
        <v>75</v>
      </c>
      <c r="H568">
        <v>316672.50400000002</v>
      </c>
      <c r="I568" t="s">
        <v>76</v>
      </c>
      <c r="J568" t="s">
        <v>82</v>
      </c>
      <c r="K568">
        <v>3.1578365000000002</v>
      </c>
    </row>
    <row r="569" spans="1:11" x14ac:dyDescent="0.3">
      <c r="A569" t="s">
        <v>83</v>
      </c>
      <c r="B569">
        <v>1000</v>
      </c>
      <c r="C569" t="s">
        <v>79</v>
      </c>
      <c r="D569">
        <v>3.69412E-3</v>
      </c>
      <c r="E569" t="s">
        <v>74</v>
      </c>
      <c r="F569">
        <v>3.6941199999999998</v>
      </c>
      <c r="G569" t="s">
        <v>75</v>
      </c>
      <c r="H569">
        <v>3694.123</v>
      </c>
      <c r="I569" t="s">
        <v>76</v>
      </c>
      <c r="J569" t="s">
        <v>77</v>
      </c>
    </row>
    <row r="570" spans="1:11" x14ac:dyDescent="0.3">
      <c r="A570" t="s">
        <v>83</v>
      </c>
      <c r="B570">
        <v>1000</v>
      </c>
      <c r="C570" t="s">
        <v>94</v>
      </c>
      <c r="D570">
        <v>2.4838899999999999E-3</v>
      </c>
      <c r="E570" t="s">
        <v>74</v>
      </c>
      <c r="F570">
        <v>2.4838900000000002</v>
      </c>
      <c r="G570" t="s">
        <v>75</v>
      </c>
      <c r="H570">
        <v>2483.8910000000001</v>
      </c>
      <c r="I570" t="s">
        <v>76</v>
      </c>
      <c r="J570" t="s">
        <v>77</v>
      </c>
    </row>
    <row r="571" spans="1:11" x14ac:dyDescent="0.3">
      <c r="A571" t="s">
        <v>83</v>
      </c>
      <c r="B571">
        <v>1000</v>
      </c>
      <c r="C571" t="s">
        <v>80</v>
      </c>
      <c r="D571">
        <v>2.65461E-3</v>
      </c>
      <c r="E571" t="s">
        <v>74</v>
      </c>
      <c r="F571">
        <v>2.6546099999999999</v>
      </c>
      <c r="G571" t="s">
        <v>75</v>
      </c>
      <c r="H571">
        <v>2654.614</v>
      </c>
      <c r="I571" t="s">
        <v>76</v>
      </c>
      <c r="J571" t="s">
        <v>77</v>
      </c>
    </row>
    <row r="572" spans="1:11" x14ac:dyDescent="0.3">
      <c r="A572" t="s">
        <v>83</v>
      </c>
      <c r="B572">
        <v>1000</v>
      </c>
      <c r="C572" t="s">
        <v>81</v>
      </c>
      <c r="D572">
        <v>6.34967E-3</v>
      </c>
      <c r="E572" t="s">
        <v>74</v>
      </c>
      <c r="F572">
        <v>6.3496699999999997</v>
      </c>
      <c r="G572" t="s">
        <v>75</v>
      </c>
      <c r="H572">
        <v>6349.6660000000002</v>
      </c>
      <c r="I572" t="s">
        <v>76</v>
      </c>
      <c r="J572" t="s">
        <v>82</v>
      </c>
      <c r="K572">
        <v>157.48859569999999</v>
      </c>
    </row>
    <row r="573" spans="1:11" x14ac:dyDescent="0.3">
      <c r="A573" t="s">
        <v>84</v>
      </c>
      <c r="B573">
        <v>1001</v>
      </c>
      <c r="C573" t="s">
        <v>79</v>
      </c>
      <c r="D573">
        <v>3.99753E-3</v>
      </c>
      <c r="E573" t="s">
        <v>74</v>
      </c>
      <c r="F573">
        <v>3.9975299999999998</v>
      </c>
      <c r="G573" t="s">
        <v>75</v>
      </c>
      <c r="H573">
        <v>3997.53</v>
      </c>
      <c r="I573" t="s">
        <v>76</v>
      </c>
      <c r="J573" t="s">
        <v>77</v>
      </c>
    </row>
    <row r="574" spans="1:11" x14ac:dyDescent="0.3">
      <c r="A574" t="s">
        <v>84</v>
      </c>
      <c r="B574">
        <v>1001</v>
      </c>
      <c r="C574" t="s">
        <v>94</v>
      </c>
      <c r="D574">
        <v>2.49066E-3</v>
      </c>
      <c r="E574" t="s">
        <v>74</v>
      </c>
      <c r="F574">
        <v>2.4906600000000001</v>
      </c>
      <c r="G574" t="s">
        <v>75</v>
      </c>
      <c r="H574">
        <v>2490.665</v>
      </c>
      <c r="I574" t="s">
        <v>76</v>
      </c>
      <c r="J574" t="s">
        <v>77</v>
      </c>
    </row>
    <row r="575" spans="1:11" x14ac:dyDescent="0.3">
      <c r="A575" t="s">
        <v>84</v>
      </c>
      <c r="B575">
        <v>1001</v>
      </c>
      <c r="C575" t="s">
        <v>80</v>
      </c>
      <c r="D575">
        <v>2.6612200000000002E-3</v>
      </c>
      <c r="E575" t="s">
        <v>74</v>
      </c>
      <c r="F575">
        <v>2.6612200000000001</v>
      </c>
      <c r="G575" t="s">
        <v>75</v>
      </c>
      <c r="H575">
        <v>2661.2179999999998</v>
      </c>
      <c r="I575" t="s">
        <v>76</v>
      </c>
      <c r="J575" t="s">
        <v>77</v>
      </c>
    </row>
    <row r="576" spans="1:11" x14ac:dyDescent="0.3">
      <c r="A576" t="s">
        <v>84</v>
      </c>
      <c r="B576">
        <v>1001</v>
      </c>
      <c r="C576" t="s">
        <v>81</v>
      </c>
      <c r="D576">
        <v>6.6596800000000003E-3</v>
      </c>
      <c r="E576" t="s">
        <v>74</v>
      </c>
      <c r="F576">
        <v>6.6596799999999998</v>
      </c>
      <c r="G576" t="s">
        <v>75</v>
      </c>
      <c r="H576">
        <v>6659.6779999999999</v>
      </c>
      <c r="I576" t="s">
        <v>76</v>
      </c>
      <c r="J576" t="s">
        <v>82</v>
      </c>
      <c r="K576">
        <v>150.15740349999999</v>
      </c>
    </row>
    <row r="577" spans="1:11" x14ac:dyDescent="0.3">
      <c r="A577" t="s">
        <v>85</v>
      </c>
      <c r="B577">
        <v>1001</v>
      </c>
      <c r="C577" t="s">
        <v>86</v>
      </c>
      <c r="D577">
        <v>6.65987E-3</v>
      </c>
      <c r="E577" t="s">
        <v>74</v>
      </c>
      <c r="F577">
        <v>6.6598699999999997</v>
      </c>
      <c r="G577" t="s">
        <v>75</v>
      </c>
      <c r="H577">
        <v>6659.8729999999996</v>
      </c>
      <c r="I577" t="s">
        <v>76</v>
      </c>
      <c r="J577" t="s">
        <v>82</v>
      </c>
      <c r="K577">
        <v>150.15301070000001</v>
      </c>
    </row>
    <row r="578" spans="1:11" x14ac:dyDescent="0.3">
      <c r="A578" t="s">
        <v>148</v>
      </c>
    </row>
    <row r="579" spans="1:11" x14ac:dyDescent="0.3">
      <c r="A579" t="s">
        <v>149</v>
      </c>
    </row>
    <row r="580" spans="1:11" x14ac:dyDescent="0.3">
      <c r="A580" t="s">
        <v>72</v>
      </c>
      <c r="B580">
        <v>1</v>
      </c>
      <c r="C580" t="s">
        <v>73</v>
      </c>
      <c r="D580">
        <v>4.6999999999999999E-6</v>
      </c>
      <c r="E580" t="s">
        <v>74</v>
      </c>
      <c r="F580">
        <v>4.7000000000000002E-3</v>
      </c>
      <c r="G580" t="s">
        <v>75</v>
      </c>
      <c r="H580">
        <v>4.7</v>
      </c>
      <c r="I580" t="s">
        <v>76</v>
      </c>
      <c r="J580" t="s">
        <v>77</v>
      </c>
    </row>
    <row r="581" spans="1:11" x14ac:dyDescent="0.3">
      <c r="A581" t="s">
        <v>72</v>
      </c>
      <c r="B581">
        <v>1</v>
      </c>
      <c r="C581" t="s">
        <v>78</v>
      </c>
      <c r="D581">
        <v>3.9100000000000002E-5</v>
      </c>
      <c r="E581" t="s">
        <v>74</v>
      </c>
      <c r="F581">
        <v>3.9100000000000003E-2</v>
      </c>
      <c r="G581" t="s">
        <v>75</v>
      </c>
      <c r="H581">
        <v>39.1</v>
      </c>
      <c r="I581" t="s">
        <v>76</v>
      </c>
      <c r="J581" t="s">
        <v>77</v>
      </c>
    </row>
    <row r="582" spans="1:11" x14ac:dyDescent="0.3">
      <c r="A582" t="s">
        <v>72</v>
      </c>
      <c r="B582">
        <v>1</v>
      </c>
      <c r="C582" t="s">
        <v>79</v>
      </c>
      <c r="D582">
        <v>6.9226000000000001E-3</v>
      </c>
      <c r="E582" t="s">
        <v>74</v>
      </c>
      <c r="F582">
        <v>6.9226000000000001</v>
      </c>
      <c r="G582" t="s">
        <v>75</v>
      </c>
      <c r="H582">
        <v>6922.6</v>
      </c>
      <c r="I582" t="s">
        <v>76</v>
      </c>
      <c r="J582" t="s">
        <v>77</v>
      </c>
    </row>
    <row r="583" spans="1:11" x14ac:dyDescent="0.3">
      <c r="A583" t="s">
        <v>72</v>
      </c>
      <c r="B583">
        <v>1</v>
      </c>
      <c r="C583" t="s">
        <v>94</v>
      </c>
      <c r="D583">
        <v>2.6670000000000001E-3</v>
      </c>
      <c r="E583" t="s">
        <v>74</v>
      </c>
      <c r="F583">
        <v>2.6669999999999998</v>
      </c>
      <c r="G583" t="s">
        <v>75</v>
      </c>
      <c r="H583">
        <v>2667</v>
      </c>
      <c r="I583" t="s">
        <v>76</v>
      </c>
      <c r="J583" t="s">
        <v>77</v>
      </c>
    </row>
    <row r="584" spans="1:11" x14ac:dyDescent="0.3">
      <c r="A584" t="s">
        <v>72</v>
      </c>
      <c r="B584">
        <v>1</v>
      </c>
      <c r="C584" t="s">
        <v>80</v>
      </c>
      <c r="D584">
        <v>2.8758999999999998E-3</v>
      </c>
      <c r="E584" t="s">
        <v>74</v>
      </c>
      <c r="F584">
        <v>2.8759000000000001</v>
      </c>
      <c r="G584" t="s">
        <v>75</v>
      </c>
      <c r="H584">
        <v>2875.9</v>
      </c>
      <c r="I584" t="s">
        <v>76</v>
      </c>
      <c r="J584" t="s">
        <v>77</v>
      </c>
    </row>
    <row r="585" spans="1:11" x14ac:dyDescent="0.3">
      <c r="A585" t="s">
        <v>72</v>
      </c>
      <c r="B585">
        <v>1</v>
      </c>
      <c r="C585" t="s">
        <v>81</v>
      </c>
      <c r="D585">
        <v>9.7994999999999992E-3</v>
      </c>
      <c r="E585" t="s">
        <v>74</v>
      </c>
      <c r="F585">
        <v>9.7995000000000001</v>
      </c>
      <c r="G585" t="s">
        <v>75</v>
      </c>
      <c r="H585">
        <v>9799.5</v>
      </c>
      <c r="I585" t="s">
        <v>76</v>
      </c>
      <c r="J585" t="s">
        <v>82</v>
      </c>
      <c r="K585">
        <v>102.0460228</v>
      </c>
    </row>
    <row r="586" spans="1:11" x14ac:dyDescent="0.3">
      <c r="A586" t="s">
        <v>83</v>
      </c>
      <c r="B586">
        <v>1000</v>
      </c>
      <c r="C586" t="s">
        <v>79</v>
      </c>
      <c r="D586">
        <v>3.9743799999999996E-3</v>
      </c>
      <c r="E586" t="s">
        <v>74</v>
      </c>
      <c r="F586">
        <v>3.97438</v>
      </c>
      <c r="G586" t="s">
        <v>75</v>
      </c>
      <c r="H586">
        <v>3974.375</v>
      </c>
      <c r="I586" t="s">
        <v>76</v>
      </c>
      <c r="J586" t="s">
        <v>77</v>
      </c>
    </row>
    <row r="587" spans="1:11" x14ac:dyDescent="0.3">
      <c r="A587" t="s">
        <v>83</v>
      </c>
      <c r="B587">
        <v>1000</v>
      </c>
      <c r="C587" t="s">
        <v>94</v>
      </c>
      <c r="D587">
        <v>2.53923E-3</v>
      </c>
      <c r="E587" t="s">
        <v>74</v>
      </c>
      <c r="F587">
        <v>2.5392299999999999</v>
      </c>
      <c r="G587" t="s">
        <v>75</v>
      </c>
      <c r="H587">
        <v>2539.2310000000002</v>
      </c>
      <c r="I587" t="s">
        <v>76</v>
      </c>
      <c r="J587" t="s">
        <v>77</v>
      </c>
    </row>
    <row r="588" spans="1:11" x14ac:dyDescent="0.3">
      <c r="A588" t="s">
        <v>83</v>
      </c>
      <c r="B588">
        <v>1000</v>
      </c>
      <c r="C588" t="s">
        <v>80</v>
      </c>
      <c r="D588">
        <v>2.7210699999999999E-3</v>
      </c>
      <c r="E588" t="s">
        <v>74</v>
      </c>
      <c r="F588">
        <v>2.7210700000000001</v>
      </c>
      <c r="G588" t="s">
        <v>75</v>
      </c>
      <c r="H588">
        <v>2721.0729999999999</v>
      </c>
      <c r="I588" t="s">
        <v>76</v>
      </c>
      <c r="J588" t="s">
        <v>77</v>
      </c>
    </row>
    <row r="589" spans="1:11" x14ac:dyDescent="0.3">
      <c r="A589" t="s">
        <v>83</v>
      </c>
      <c r="B589">
        <v>1000</v>
      </c>
      <c r="C589" t="s">
        <v>81</v>
      </c>
      <c r="D589">
        <v>6.6965100000000001E-3</v>
      </c>
      <c r="E589" t="s">
        <v>74</v>
      </c>
      <c r="F589">
        <v>6.69651</v>
      </c>
      <c r="G589" t="s">
        <v>75</v>
      </c>
      <c r="H589">
        <v>6696.5110000000004</v>
      </c>
      <c r="I589" t="s">
        <v>76</v>
      </c>
      <c r="J589" t="s">
        <v>82</v>
      </c>
      <c r="K589">
        <v>149.33148919999999</v>
      </c>
    </row>
    <row r="590" spans="1:11" x14ac:dyDescent="0.3">
      <c r="A590" t="s">
        <v>84</v>
      </c>
      <c r="B590">
        <v>1001</v>
      </c>
      <c r="C590" t="s">
        <v>79</v>
      </c>
      <c r="D590">
        <v>3.9773200000000003E-3</v>
      </c>
      <c r="E590" t="s">
        <v>74</v>
      </c>
      <c r="F590">
        <v>3.9773200000000002</v>
      </c>
      <c r="G590" t="s">
        <v>75</v>
      </c>
      <c r="H590">
        <v>3977.3209999999999</v>
      </c>
      <c r="I590" t="s">
        <v>76</v>
      </c>
      <c r="J590" t="s">
        <v>77</v>
      </c>
    </row>
    <row r="591" spans="1:11" x14ac:dyDescent="0.3">
      <c r="A591" t="s">
        <v>84</v>
      </c>
      <c r="B591">
        <v>1001</v>
      </c>
      <c r="C591" t="s">
        <v>94</v>
      </c>
      <c r="D591">
        <v>2.5393600000000001E-3</v>
      </c>
      <c r="E591" t="s">
        <v>74</v>
      </c>
      <c r="F591">
        <v>2.5393599999999998</v>
      </c>
      <c r="G591" t="s">
        <v>75</v>
      </c>
      <c r="H591">
        <v>2539.3580000000002</v>
      </c>
      <c r="I591" t="s">
        <v>76</v>
      </c>
      <c r="J591" t="s">
        <v>77</v>
      </c>
    </row>
    <row r="592" spans="1:11" x14ac:dyDescent="0.3">
      <c r="A592" t="s">
        <v>84</v>
      </c>
      <c r="B592">
        <v>1001</v>
      </c>
      <c r="C592" t="s">
        <v>80</v>
      </c>
      <c r="D592">
        <v>2.7212299999999998E-3</v>
      </c>
      <c r="E592" t="s">
        <v>74</v>
      </c>
      <c r="F592">
        <v>2.7212299999999998</v>
      </c>
      <c r="G592" t="s">
        <v>75</v>
      </c>
      <c r="H592">
        <v>2721.2280000000001</v>
      </c>
      <c r="I592" t="s">
        <v>76</v>
      </c>
      <c r="J592" t="s">
        <v>77</v>
      </c>
    </row>
    <row r="593" spans="1:11" x14ac:dyDescent="0.3">
      <c r="A593" t="s">
        <v>84</v>
      </c>
      <c r="B593">
        <v>1001</v>
      </c>
      <c r="C593" t="s">
        <v>81</v>
      </c>
      <c r="D593">
        <v>6.6996099999999999E-3</v>
      </c>
      <c r="E593" t="s">
        <v>74</v>
      </c>
      <c r="F593">
        <v>6.6996099999999998</v>
      </c>
      <c r="G593" t="s">
        <v>75</v>
      </c>
      <c r="H593">
        <v>6699.6109999999999</v>
      </c>
      <c r="I593" t="s">
        <v>76</v>
      </c>
      <c r="J593" t="s">
        <v>82</v>
      </c>
      <c r="K593">
        <v>149.262405</v>
      </c>
    </row>
    <row r="594" spans="1:11" x14ac:dyDescent="0.3">
      <c r="A594" t="s">
        <v>85</v>
      </c>
      <c r="B594">
        <v>1001</v>
      </c>
      <c r="C594" t="s">
        <v>86</v>
      </c>
      <c r="D594">
        <v>6.6997999999999997E-3</v>
      </c>
      <c r="E594" t="s">
        <v>74</v>
      </c>
      <c r="F594">
        <v>6.6997999999999998</v>
      </c>
      <c r="G594" t="s">
        <v>75</v>
      </c>
      <c r="H594">
        <v>6699.8019999999997</v>
      </c>
      <c r="I594" t="s">
        <v>76</v>
      </c>
      <c r="J594" t="s">
        <v>82</v>
      </c>
      <c r="K594">
        <v>149.25814930000001</v>
      </c>
    </row>
    <row r="595" spans="1:11" x14ac:dyDescent="0.3">
      <c r="A595" t="s">
        <v>115</v>
      </c>
    </row>
    <row r="596" spans="1:11" x14ac:dyDescent="0.3">
      <c r="A596" t="s">
        <v>127</v>
      </c>
    </row>
    <row r="597" spans="1:11" x14ac:dyDescent="0.3">
      <c r="A597" t="s">
        <v>87</v>
      </c>
    </row>
    <row r="598" spans="1:11" x14ac:dyDescent="0.3">
      <c r="A598" t="s">
        <v>150</v>
      </c>
    </row>
    <row r="599" spans="1:11" x14ac:dyDescent="0.3">
      <c r="A599" t="s">
        <v>72</v>
      </c>
      <c r="B599">
        <v>1</v>
      </c>
      <c r="C599" t="s">
        <v>81</v>
      </c>
      <c r="D599">
        <v>0.31667250000000002</v>
      </c>
      <c r="E599" t="s">
        <v>74</v>
      </c>
      <c r="F599">
        <v>316.67250000000001</v>
      </c>
      <c r="G599" t="s">
        <v>75</v>
      </c>
      <c r="H599">
        <v>316672.50400000002</v>
      </c>
      <c r="I599" t="s">
        <v>76</v>
      </c>
      <c r="J599" t="s">
        <v>82</v>
      </c>
      <c r="K599">
        <v>3.1578365000000002</v>
      </c>
    </row>
    <row r="600" spans="1:11" x14ac:dyDescent="0.3">
      <c r="A600" t="s">
        <v>83</v>
      </c>
      <c r="B600">
        <v>1000</v>
      </c>
      <c r="C600" t="s">
        <v>81</v>
      </c>
      <c r="D600">
        <v>6.34967E-3</v>
      </c>
      <c r="E600" t="s">
        <v>74</v>
      </c>
      <c r="F600">
        <v>6.3496699999999997</v>
      </c>
      <c r="G600" t="s">
        <v>75</v>
      </c>
      <c r="H600">
        <v>6349.6660000000002</v>
      </c>
      <c r="I600" t="s">
        <v>76</v>
      </c>
      <c r="J600" t="s">
        <v>82</v>
      </c>
      <c r="K600">
        <v>157.48859569999999</v>
      </c>
    </row>
    <row r="601" spans="1:11" x14ac:dyDescent="0.3">
      <c r="A601" t="s">
        <v>85</v>
      </c>
      <c r="B601">
        <v>1001</v>
      </c>
      <c r="C601" t="s">
        <v>86</v>
      </c>
      <c r="D601">
        <v>6.65987E-3</v>
      </c>
      <c r="E601" t="s">
        <v>74</v>
      </c>
      <c r="F601">
        <v>6.6598699999999997</v>
      </c>
      <c r="G601" t="s">
        <v>75</v>
      </c>
      <c r="H601">
        <v>6659.8729999999996</v>
      </c>
      <c r="I601" t="s">
        <v>76</v>
      </c>
      <c r="J601" t="s">
        <v>82</v>
      </c>
      <c r="K601">
        <v>150.15301070000001</v>
      </c>
    </row>
    <row r="603" spans="1:11" x14ac:dyDescent="0.3">
      <c r="A603" t="s">
        <v>151</v>
      </c>
    </row>
    <row r="604" spans="1:11" x14ac:dyDescent="0.3">
      <c r="A604" t="s">
        <v>72</v>
      </c>
      <c r="B604">
        <v>1</v>
      </c>
      <c r="C604" t="s">
        <v>81</v>
      </c>
      <c r="D604">
        <v>9.7994999999999992E-3</v>
      </c>
      <c r="E604" t="s">
        <v>74</v>
      </c>
      <c r="F604">
        <v>9.7995000000000001</v>
      </c>
      <c r="G604" t="s">
        <v>75</v>
      </c>
      <c r="H604">
        <v>9799.5</v>
      </c>
      <c r="I604" t="s">
        <v>76</v>
      </c>
      <c r="J604" t="s">
        <v>82</v>
      </c>
      <c r="K604">
        <v>102.0460228</v>
      </c>
    </row>
    <row r="605" spans="1:11" x14ac:dyDescent="0.3">
      <c r="A605" t="s">
        <v>83</v>
      </c>
      <c r="B605">
        <v>1000</v>
      </c>
      <c r="C605" t="s">
        <v>81</v>
      </c>
      <c r="D605">
        <v>6.6965100000000001E-3</v>
      </c>
      <c r="E605" t="s">
        <v>74</v>
      </c>
      <c r="F605">
        <v>6.69651</v>
      </c>
      <c r="G605" t="s">
        <v>75</v>
      </c>
      <c r="H605">
        <v>6696.5110000000004</v>
      </c>
      <c r="I605" t="s">
        <v>76</v>
      </c>
      <c r="J605" t="s">
        <v>82</v>
      </c>
      <c r="K605">
        <v>149.33148919999999</v>
      </c>
    </row>
    <row r="606" spans="1:11" x14ac:dyDescent="0.3">
      <c r="A606" t="s">
        <v>85</v>
      </c>
      <c r="B606">
        <v>1001</v>
      </c>
      <c r="C606" t="s">
        <v>86</v>
      </c>
      <c r="D606">
        <v>6.6997999999999997E-3</v>
      </c>
      <c r="E606" t="s">
        <v>74</v>
      </c>
      <c r="F606">
        <v>6.6997999999999998</v>
      </c>
      <c r="G606" t="s">
        <v>75</v>
      </c>
      <c r="H606">
        <v>6699.8019999999997</v>
      </c>
      <c r="I606" t="s">
        <v>76</v>
      </c>
      <c r="J606" t="s">
        <v>82</v>
      </c>
      <c r="K606">
        <v>149.25814930000001</v>
      </c>
    </row>
    <row r="608" spans="1:11" x14ac:dyDescent="0.3">
      <c r="A608" t="s">
        <v>66</v>
      </c>
    </row>
    <row r="610" spans="1:1" x14ac:dyDescent="0.3">
      <c r="A610" t="s">
        <v>152</v>
      </c>
    </row>
    <row r="611" spans="1:1" x14ac:dyDescent="0.3">
      <c r="A611" t="s">
        <v>68</v>
      </c>
    </row>
    <row r="612" spans="1:1" x14ac:dyDescent="0.3">
      <c r="A612" t="s">
        <v>69</v>
      </c>
    </row>
    <row r="613" spans="1:1" x14ac:dyDescent="0.3">
      <c r="A613" t="s">
        <v>70</v>
      </c>
    </row>
    <row r="614" spans="1:1" x14ac:dyDescent="0.3">
      <c r="A614" t="s">
        <v>115</v>
      </c>
    </row>
    <row r="615" spans="1:1" x14ac:dyDescent="0.3">
      <c r="A615" t="s">
        <v>116</v>
      </c>
    </row>
    <row r="616" spans="1:1" x14ac:dyDescent="0.3">
      <c r="A616" t="s">
        <v>117</v>
      </c>
    </row>
    <row r="617" spans="1:1" x14ac:dyDescent="0.3">
      <c r="A617" t="s">
        <v>118</v>
      </c>
    </row>
    <row r="618" spans="1:1" x14ac:dyDescent="0.3">
      <c r="A618" t="s">
        <v>119</v>
      </c>
    </row>
    <row r="619" spans="1:1" x14ac:dyDescent="0.3">
      <c r="A619" t="s">
        <v>120</v>
      </c>
    </row>
    <row r="620" spans="1:1" x14ac:dyDescent="0.3">
      <c r="A620" t="s">
        <v>121</v>
      </c>
    </row>
    <row r="621" spans="1:1" x14ac:dyDescent="0.3">
      <c r="A621" t="s">
        <v>122</v>
      </c>
    </row>
    <row r="622" spans="1:1" x14ac:dyDescent="0.3">
      <c r="A622" t="s">
        <v>123</v>
      </c>
    </row>
    <row r="623" spans="1:1" x14ac:dyDescent="0.3">
      <c r="A623" t="s">
        <v>124</v>
      </c>
    </row>
    <row r="624" spans="1:1" x14ac:dyDescent="0.3">
      <c r="A624" t="s">
        <v>125</v>
      </c>
    </row>
    <row r="625" spans="1:11" x14ac:dyDescent="0.3">
      <c r="A625" t="s">
        <v>126</v>
      </c>
    </row>
    <row r="626" spans="1:11" x14ac:dyDescent="0.3">
      <c r="A626" t="s">
        <v>127</v>
      </c>
    </row>
    <row r="627" spans="1:11" x14ac:dyDescent="0.3">
      <c r="A627" t="s">
        <v>153</v>
      </c>
    </row>
    <row r="628" spans="1:11" x14ac:dyDescent="0.3">
      <c r="A628" t="s">
        <v>154</v>
      </c>
    </row>
    <row r="629" spans="1:11" x14ac:dyDescent="0.3">
      <c r="A629" t="s">
        <v>72</v>
      </c>
      <c r="B629">
        <v>1</v>
      </c>
      <c r="C629" t="s">
        <v>73</v>
      </c>
      <c r="D629">
        <v>3.4999999999999999E-6</v>
      </c>
      <c r="E629" t="s">
        <v>74</v>
      </c>
      <c r="F629">
        <v>3.5000000000000001E-3</v>
      </c>
      <c r="G629" t="s">
        <v>75</v>
      </c>
      <c r="H629">
        <v>3.5</v>
      </c>
      <c r="I629" t="s">
        <v>76</v>
      </c>
      <c r="J629" t="s">
        <v>77</v>
      </c>
    </row>
    <row r="630" spans="1:11" x14ac:dyDescent="0.3">
      <c r="A630" t="s">
        <v>72</v>
      </c>
      <c r="B630">
        <v>1</v>
      </c>
      <c r="C630" t="s">
        <v>78</v>
      </c>
      <c r="D630">
        <v>0.13049901</v>
      </c>
      <c r="E630" t="s">
        <v>74</v>
      </c>
      <c r="F630">
        <v>130.49901</v>
      </c>
      <c r="G630" t="s">
        <v>75</v>
      </c>
      <c r="H630">
        <v>130499.005</v>
      </c>
      <c r="I630" t="s">
        <v>76</v>
      </c>
      <c r="J630" t="s">
        <v>77</v>
      </c>
    </row>
    <row r="631" spans="1:11" x14ac:dyDescent="0.3">
      <c r="A631" t="s">
        <v>72</v>
      </c>
      <c r="B631">
        <v>1</v>
      </c>
      <c r="C631" t="s">
        <v>79</v>
      </c>
      <c r="D631">
        <v>0.42709448999999999</v>
      </c>
      <c r="E631" t="s">
        <v>74</v>
      </c>
      <c r="F631">
        <v>427.09449000000001</v>
      </c>
      <c r="G631" t="s">
        <v>75</v>
      </c>
      <c r="H631">
        <v>427094.489</v>
      </c>
      <c r="I631" t="s">
        <v>76</v>
      </c>
      <c r="J631" t="s">
        <v>77</v>
      </c>
    </row>
    <row r="632" spans="1:11" x14ac:dyDescent="0.3">
      <c r="A632" t="s">
        <v>72</v>
      </c>
      <c r="B632">
        <v>1</v>
      </c>
      <c r="C632" t="s">
        <v>94</v>
      </c>
      <c r="D632">
        <v>3.6026200000000001E-2</v>
      </c>
      <c r="E632" t="s">
        <v>74</v>
      </c>
      <c r="F632">
        <v>36.026200000000003</v>
      </c>
      <c r="G632" t="s">
        <v>75</v>
      </c>
      <c r="H632">
        <v>36026.197999999997</v>
      </c>
      <c r="I632" t="s">
        <v>76</v>
      </c>
      <c r="J632" t="s">
        <v>77</v>
      </c>
    </row>
    <row r="633" spans="1:11" x14ac:dyDescent="0.3">
      <c r="A633" t="s">
        <v>72</v>
      </c>
      <c r="B633">
        <v>1</v>
      </c>
      <c r="C633" t="s">
        <v>80</v>
      </c>
      <c r="D633">
        <v>3.6026700000000002E-2</v>
      </c>
      <c r="E633" t="s">
        <v>74</v>
      </c>
      <c r="F633">
        <v>36.026699999999998</v>
      </c>
      <c r="G633" t="s">
        <v>75</v>
      </c>
      <c r="H633">
        <v>36026.701000000001</v>
      </c>
      <c r="I633" t="s">
        <v>76</v>
      </c>
      <c r="J633" t="s">
        <v>77</v>
      </c>
    </row>
    <row r="634" spans="1:11" x14ac:dyDescent="0.3">
      <c r="A634" t="s">
        <v>72</v>
      </c>
      <c r="B634">
        <v>1</v>
      </c>
      <c r="C634" t="s">
        <v>81</v>
      </c>
      <c r="D634">
        <v>0.46312388999999998</v>
      </c>
      <c r="E634" t="s">
        <v>74</v>
      </c>
      <c r="F634">
        <v>463.12389000000002</v>
      </c>
      <c r="G634" t="s">
        <v>75</v>
      </c>
      <c r="H634">
        <v>463123.88799999998</v>
      </c>
      <c r="I634" t="s">
        <v>76</v>
      </c>
      <c r="J634" t="s">
        <v>82</v>
      </c>
      <c r="K634">
        <v>2.1592495</v>
      </c>
    </row>
    <row r="635" spans="1:11" x14ac:dyDescent="0.3">
      <c r="A635" t="s">
        <v>83</v>
      </c>
      <c r="B635">
        <v>1000</v>
      </c>
      <c r="C635" t="s">
        <v>79</v>
      </c>
      <c r="D635">
        <v>5.0341999999999997E-4</v>
      </c>
      <c r="E635" t="s">
        <v>74</v>
      </c>
      <c r="F635">
        <v>0.50341999999999998</v>
      </c>
      <c r="G635" t="s">
        <v>75</v>
      </c>
      <c r="H635">
        <v>503.41899999999998</v>
      </c>
      <c r="I635" t="s">
        <v>76</v>
      </c>
      <c r="J635" t="s">
        <v>77</v>
      </c>
    </row>
    <row r="636" spans="1:11" x14ac:dyDescent="0.3">
      <c r="A636" t="s">
        <v>83</v>
      </c>
      <c r="B636">
        <v>1000</v>
      </c>
      <c r="C636" t="s">
        <v>94</v>
      </c>
      <c r="D636">
        <v>1.0800499999999999E-3</v>
      </c>
      <c r="E636" t="s">
        <v>74</v>
      </c>
      <c r="F636">
        <v>1.08005</v>
      </c>
      <c r="G636" t="s">
        <v>75</v>
      </c>
      <c r="H636">
        <v>1080.0509999999999</v>
      </c>
      <c r="I636" t="s">
        <v>76</v>
      </c>
      <c r="J636" t="s">
        <v>77</v>
      </c>
    </row>
    <row r="637" spans="1:11" x14ac:dyDescent="0.3">
      <c r="A637" t="s">
        <v>83</v>
      </c>
      <c r="B637">
        <v>1000</v>
      </c>
      <c r="C637" t="s">
        <v>80</v>
      </c>
      <c r="D637">
        <v>1.08029E-3</v>
      </c>
      <c r="E637" t="s">
        <v>74</v>
      </c>
      <c r="F637">
        <v>1.08029</v>
      </c>
      <c r="G637" t="s">
        <v>75</v>
      </c>
      <c r="H637">
        <v>1080.2950000000001</v>
      </c>
      <c r="I637" t="s">
        <v>76</v>
      </c>
      <c r="J637" t="s">
        <v>77</v>
      </c>
    </row>
    <row r="638" spans="1:11" x14ac:dyDescent="0.3">
      <c r="A638" t="s">
        <v>83</v>
      </c>
      <c r="B638">
        <v>1000</v>
      </c>
      <c r="C638" t="s">
        <v>81</v>
      </c>
      <c r="D638">
        <v>1.5845200000000001E-3</v>
      </c>
      <c r="E638" t="s">
        <v>74</v>
      </c>
      <c r="F638">
        <v>1.5845199999999999</v>
      </c>
      <c r="G638" t="s">
        <v>75</v>
      </c>
      <c r="H638">
        <v>1584.5170000000001</v>
      </c>
      <c r="I638" t="s">
        <v>76</v>
      </c>
      <c r="J638" t="s">
        <v>82</v>
      </c>
      <c r="K638">
        <v>631.10700169999996</v>
      </c>
    </row>
    <row r="639" spans="1:11" x14ac:dyDescent="0.3">
      <c r="A639" t="s">
        <v>84</v>
      </c>
      <c r="B639">
        <v>1001</v>
      </c>
      <c r="C639" t="s">
        <v>79</v>
      </c>
      <c r="D639">
        <v>9.2957999999999995E-4</v>
      </c>
      <c r="E639" t="s">
        <v>74</v>
      </c>
      <c r="F639">
        <v>0.92957999999999996</v>
      </c>
      <c r="G639" t="s">
        <v>75</v>
      </c>
      <c r="H639">
        <v>929.58299999999997</v>
      </c>
      <c r="I639" t="s">
        <v>76</v>
      </c>
      <c r="J639" t="s">
        <v>77</v>
      </c>
    </row>
    <row r="640" spans="1:11" x14ac:dyDescent="0.3">
      <c r="A640" t="s">
        <v>84</v>
      </c>
      <c r="B640">
        <v>1001</v>
      </c>
      <c r="C640" t="s">
        <v>94</v>
      </c>
      <c r="D640">
        <v>1.1149599999999999E-3</v>
      </c>
      <c r="E640" t="s">
        <v>74</v>
      </c>
      <c r="F640">
        <v>1.11496</v>
      </c>
      <c r="G640" t="s">
        <v>75</v>
      </c>
      <c r="H640">
        <v>1114.962</v>
      </c>
      <c r="I640" t="s">
        <v>76</v>
      </c>
      <c r="J640" t="s">
        <v>77</v>
      </c>
    </row>
    <row r="641" spans="1:11" x14ac:dyDescent="0.3">
      <c r="A641" t="s">
        <v>84</v>
      </c>
      <c r="B641">
        <v>1001</v>
      </c>
      <c r="C641" t="s">
        <v>80</v>
      </c>
      <c r="D641">
        <v>1.1152099999999999E-3</v>
      </c>
      <c r="E641" t="s">
        <v>74</v>
      </c>
      <c r="F641">
        <v>1.11521</v>
      </c>
      <c r="G641" t="s">
        <v>75</v>
      </c>
      <c r="H641">
        <v>1115.2059999999999</v>
      </c>
      <c r="I641" t="s">
        <v>76</v>
      </c>
      <c r="J641" t="s">
        <v>77</v>
      </c>
    </row>
    <row r="642" spans="1:11" x14ac:dyDescent="0.3">
      <c r="A642" t="s">
        <v>84</v>
      </c>
      <c r="B642">
        <v>1001</v>
      </c>
      <c r="C642" t="s">
        <v>81</v>
      </c>
      <c r="D642">
        <v>2.0455999999999998E-3</v>
      </c>
      <c r="E642" t="s">
        <v>74</v>
      </c>
      <c r="F642">
        <v>2.0455999999999999</v>
      </c>
      <c r="G642" t="s">
        <v>75</v>
      </c>
      <c r="H642">
        <v>2045.596</v>
      </c>
      <c r="I642" t="s">
        <v>76</v>
      </c>
      <c r="J642" t="s">
        <v>82</v>
      </c>
      <c r="K642">
        <v>488.85515789999999</v>
      </c>
    </row>
    <row r="643" spans="1:11" x14ac:dyDescent="0.3">
      <c r="A643" t="s">
        <v>85</v>
      </c>
      <c r="B643">
        <v>1001</v>
      </c>
      <c r="C643" t="s">
        <v>86</v>
      </c>
      <c r="D643">
        <v>2.04579E-3</v>
      </c>
      <c r="E643" t="s">
        <v>74</v>
      </c>
      <c r="F643">
        <v>2.0457900000000002</v>
      </c>
      <c r="G643" t="s">
        <v>75</v>
      </c>
      <c r="H643">
        <v>2045.788</v>
      </c>
      <c r="I643" t="s">
        <v>76</v>
      </c>
      <c r="J643" t="s">
        <v>82</v>
      </c>
      <c r="K643">
        <v>488.80928460000001</v>
      </c>
    </row>
    <row r="644" spans="1:11" x14ac:dyDescent="0.3">
      <c r="A644" t="s">
        <v>155</v>
      </c>
    </row>
    <row r="645" spans="1:11" x14ac:dyDescent="0.3">
      <c r="A645" t="s">
        <v>156</v>
      </c>
    </row>
    <row r="646" spans="1:11" x14ac:dyDescent="0.3">
      <c r="A646" t="s">
        <v>72</v>
      </c>
      <c r="B646">
        <v>1</v>
      </c>
      <c r="C646" t="s">
        <v>73</v>
      </c>
      <c r="D646">
        <v>3.4999999999999999E-6</v>
      </c>
      <c r="E646" t="s">
        <v>74</v>
      </c>
      <c r="F646">
        <v>3.5000000000000001E-3</v>
      </c>
      <c r="G646" t="s">
        <v>75</v>
      </c>
      <c r="H646">
        <v>3.5</v>
      </c>
      <c r="I646" t="s">
        <v>76</v>
      </c>
      <c r="J646" t="s">
        <v>77</v>
      </c>
    </row>
    <row r="647" spans="1:11" x14ac:dyDescent="0.3">
      <c r="A647" t="s">
        <v>72</v>
      </c>
      <c r="B647">
        <v>1</v>
      </c>
      <c r="C647" t="s">
        <v>78</v>
      </c>
      <c r="D647">
        <v>4.1E-5</v>
      </c>
      <c r="E647" t="s">
        <v>74</v>
      </c>
      <c r="F647">
        <v>4.1000000000000002E-2</v>
      </c>
      <c r="G647" t="s">
        <v>75</v>
      </c>
      <c r="H647">
        <v>41</v>
      </c>
      <c r="I647" t="s">
        <v>76</v>
      </c>
      <c r="J647" t="s">
        <v>77</v>
      </c>
    </row>
    <row r="648" spans="1:11" x14ac:dyDescent="0.3">
      <c r="A648" t="s">
        <v>72</v>
      </c>
      <c r="B648">
        <v>1</v>
      </c>
      <c r="C648" t="s">
        <v>79</v>
      </c>
      <c r="D648">
        <v>4.3858999999999999E-3</v>
      </c>
      <c r="E648" t="s">
        <v>74</v>
      </c>
      <c r="F648">
        <v>4.3859000000000004</v>
      </c>
      <c r="G648" t="s">
        <v>75</v>
      </c>
      <c r="H648">
        <v>4385.8999999999996</v>
      </c>
      <c r="I648" t="s">
        <v>76</v>
      </c>
      <c r="J648" t="s">
        <v>77</v>
      </c>
    </row>
    <row r="649" spans="1:11" x14ac:dyDescent="0.3">
      <c r="A649" t="s">
        <v>72</v>
      </c>
      <c r="B649">
        <v>1</v>
      </c>
      <c r="C649" t="s">
        <v>94</v>
      </c>
      <c r="D649">
        <v>2.8467900000000001E-2</v>
      </c>
      <c r="E649" t="s">
        <v>74</v>
      </c>
      <c r="F649">
        <v>28.4679</v>
      </c>
      <c r="G649" t="s">
        <v>75</v>
      </c>
      <c r="H649">
        <v>28467.899000000001</v>
      </c>
      <c r="I649" t="s">
        <v>76</v>
      </c>
      <c r="J649" t="s">
        <v>77</v>
      </c>
    </row>
    <row r="650" spans="1:11" x14ac:dyDescent="0.3">
      <c r="A650" t="s">
        <v>72</v>
      </c>
      <c r="B650">
        <v>1</v>
      </c>
      <c r="C650" t="s">
        <v>80</v>
      </c>
      <c r="D650">
        <v>2.84686E-2</v>
      </c>
      <c r="E650" t="s">
        <v>74</v>
      </c>
      <c r="F650">
        <v>28.468599999999999</v>
      </c>
      <c r="G650" t="s">
        <v>75</v>
      </c>
      <c r="H650">
        <v>28468.6</v>
      </c>
      <c r="I650" t="s">
        <v>76</v>
      </c>
      <c r="J650" t="s">
        <v>77</v>
      </c>
    </row>
    <row r="651" spans="1:11" x14ac:dyDescent="0.3">
      <c r="A651" t="s">
        <v>72</v>
      </c>
      <c r="B651">
        <v>1</v>
      </c>
      <c r="C651" t="s">
        <v>81</v>
      </c>
      <c r="D651">
        <v>3.2855700000000002E-2</v>
      </c>
      <c r="E651" t="s">
        <v>74</v>
      </c>
      <c r="F651">
        <v>32.855699999999999</v>
      </c>
      <c r="G651" t="s">
        <v>75</v>
      </c>
      <c r="H651">
        <v>32855.701000000001</v>
      </c>
      <c r="I651" t="s">
        <v>76</v>
      </c>
      <c r="J651" t="s">
        <v>82</v>
      </c>
      <c r="K651">
        <v>30.436118499999999</v>
      </c>
    </row>
    <row r="652" spans="1:11" x14ac:dyDescent="0.3">
      <c r="A652" t="s">
        <v>83</v>
      </c>
      <c r="B652">
        <v>1000</v>
      </c>
      <c r="C652" t="s">
        <v>79</v>
      </c>
      <c r="D652">
        <v>5.2545000000000001E-4</v>
      </c>
      <c r="E652" t="s">
        <v>74</v>
      </c>
      <c r="F652">
        <v>0.52544999999999997</v>
      </c>
      <c r="G652" t="s">
        <v>75</v>
      </c>
      <c r="H652">
        <v>525.45100000000002</v>
      </c>
      <c r="I652" t="s">
        <v>76</v>
      </c>
      <c r="J652" t="s">
        <v>77</v>
      </c>
    </row>
    <row r="653" spans="1:11" x14ac:dyDescent="0.3">
      <c r="A653" t="s">
        <v>83</v>
      </c>
      <c r="B653">
        <v>1000</v>
      </c>
      <c r="C653" t="s">
        <v>94</v>
      </c>
      <c r="D653">
        <v>1.4517E-3</v>
      </c>
      <c r="E653" t="s">
        <v>74</v>
      </c>
      <c r="F653">
        <v>1.4517</v>
      </c>
      <c r="G653" t="s">
        <v>75</v>
      </c>
      <c r="H653">
        <v>1451.7049999999999</v>
      </c>
      <c r="I653" t="s">
        <v>76</v>
      </c>
      <c r="J653" t="s">
        <v>77</v>
      </c>
    </row>
    <row r="654" spans="1:11" x14ac:dyDescent="0.3">
      <c r="A654" t="s">
        <v>83</v>
      </c>
      <c r="B654">
        <v>1000</v>
      </c>
      <c r="C654" t="s">
        <v>80</v>
      </c>
      <c r="D654">
        <v>1.61517E-3</v>
      </c>
      <c r="E654" t="s">
        <v>74</v>
      </c>
      <c r="F654">
        <v>1.61517</v>
      </c>
      <c r="G654" t="s">
        <v>75</v>
      </c>
      <c r="H654">
        <v>1615.1669999999999</v>
      </c>
      <c r="I654" t="s">
        <v>76</v>
      </c>
      <c r="J654" t="s">
        <v>77</v>
      </c>
    </row>
    <row r="655" spans="1:11" x14ac:dyDescent="0.3">
      <c r="A655" t="s">
        <v>83</v>
      </c>
      <c r="B655">
        <v>1000</v>
      </c>
      <c r="C655" t="s">
        <v>81</v>
      </c>
      <c r="D655">
        <v>2.1417699999999999E-3</v>
      </c>
      <c r="E655" t="s">
        <v>74</v>
      </c>
      <c r="F655">
        <v>2.1417700000000002</v>
      </c>
      <c r="G655" t="s">
        <v>75</v>
      </c>
      <c r="H655">
        <v>2141.7739999999999</v>
      </c>
      <c r="I655" t="s">
        <v>76</v>
      </c>
      <c r="J655" t="s">
        <v>82</v>
      </c>
      <c r="K655">
        <v>466.90263169999997</v>
      </c>
    </row>
    <row r="656" spans="1:11" x14ac:dyDescent="0.3">
      <c r="A656" t="s">
        <v>84</v>
      </c>
      <c r="B656">
        <v>1001</v>
      </c>
      <c r="C656" t="s">
        <v>79</v>
      </c>
      <c r="D656">
        <v>5.2930999999999996E-4</v>
      </c>
      <c r="E656" t="s">
        <v>74</v>
      </c>
      <c r="F656">
        <v>0.52930999999999995</v>
      </c>
      <c r="G656" t="s">
        <v>75</v>
      </c>
      <c r="H656">
        <v>529.30799999999999</v>
      </c>
      <c r="I656" t="s">
        <v>76</v>
      </c>
      <c r="J656" t="s">
        <v>77</v>
      </c>
    </row>
    <row r="657" spans="1:11" x14ac:dyDescent="0.3">
      <c r="A657" t="s">
        <v>84</v>
      </c>
      <c r="B657">
        <v>1001</v>
      </c>
      <c r="C657" t="s">
        <v>94</v>
      </c>
      <c r="D657">
        <v>1.47869E-3</v>
      </c>
      <c r="E657" t="s">
        <v>74</v>
      </c>
      <c r="F657">
        <v>1.4786900000000001</v>
      </c>
      <c r="G657" t="s">
        <v>75</v>
      </c>
      <c r="H657">
        <v>1478.694</v>
      </c>
      <c r="I657" t="s">
        <v>76</v>
      </c>
      <c r="J657" t="s">
        <v>77</v>
      </c>
    </row>
    <row r="658" spans="1:11" x14ac:dyDescent="0.3">
      <c r="A658" t="s">
        <v>84</v>
      </c>
      <c r="B658">
        <v>1001</v>
      </c>
      <c r="C658" t="s">
        <v>80</v>
      </c>
      <c r="D658">
        <v>1.6419900000000001E-3</v>
      </c>
      <c r="E658" t="s">
        <v>74</v>
      </c>
      <c r="F658">
        <v>1.6419900000000001</v>
      </c>
      <c r="G658" t="s">
        <v>75</v>
      </c>
      <c r="H658">
        <v>1641.9939999999999</v>
      </c>
      <c r="I658" t="s">
        <v>76</v>
      </c>
      <c r="J658" t="s">
        <v>77</v>
      </c>
    </row>
    <row r="659" spans="1:11" x14ac:dyDescent="0.3">
      <c r="A659" t="s">
        <v>84</v>
      </c>
      <c r="B659">
        <v>1001</v>
      </c>
      <c r="C659" t="s">
        <v>81</v>
      </c>
      <c r="D659">
        <v>2.1724600000000002E-3</v>
      </c>
      <c r="E659" t="s">
        <v>74</v>
      </c>
      <c r="F659">
        <v>2.1724600000000001</v>
      </c>
      <c r="G659" t="s">
        <v>75</v>
      </c>
      <c r="H659">
        <v>2172.4569999999999</v>
      </c>
      <c r="I659" t="s">
        <v>76</v>
      </c>
      <c r="J659" t="s">
        <v>82</v>
      </c>
      <c r="K659">
        <v>460.30820590000002</v>
      </c>
    </row>
    <row r="660" spans="1:11" x14ac:dyDescent="0.3">
      <c r="A660" t="s">
        <v>85</v>
      </c>
      <c r="B660">
        <v>1001</v>
      </c>
      <c r="C660" t="s">
        <v>86</v>
      </c>
      <c r="D660">
        <v>2.17264E-3</v>
      </c>
      <c r="E660" t="s">
        <v>74</v>
      </c>
      <c r="F660">
        <v>2.1726399999999999</v>
      </c>
      <c r="G660" t="s">
        <v>75</v>
      </c>
      <c r="H660">
        <v>2172.6350000000002</v>
      </c>
      <c r="I660" t="s">
        <v>76</v>
      </c>
      <c r="J660" t="s">
        <v>82</v>
      </c>
      <c r="K660">
        <v>460.27056090000002</v>
      </c>
    </row>
    <row r="661" spans="1:11" x14ac:dyDescent="0.3">
      <c r="A661" t="s">
        <v>115</v>
      </c>
    </row>
    <row r="662" spans="1:11" x14ac:dyDescent="0.3">
      <c r="A662" t="s">
        <v>127</v>
      </c>
    </row>
    <row r="663" spans="1:11" x14ac:dyDescent="0.3">
      <c r="A663" t="s">
        <v>87</v>
      </c>
    </row>
    <row r="664" spans="1:11" x14ac:dyDescent="0.3">
      <c r="A664" t="s">
        <v>157</v>
      </c>
    </row>
    <row r="665" spans="1:11" x14ac:dyDescent="0.3">
      <c r="A665" t="s">
        <v>72</v>
      </c>
      <c r="B665">
        <v>1</v>
      </c>
      <c r="C665" t="s">
        <v>81</v>
      </c>
      <c r="D665">
        <v>0.46312388999999998</v>
      </c>
      <c r="E665" t="s">
        <v>74</v>
      </c>
      <c r="F665">
        <v>463.12389000000002</v>
      </c>
      <c r="G665" t="s">
        <v>75</v>
      </c>
      <c r="H665">
        <v>463123.88799999998</v>
      </c>
      <c r="I665" t="s">
        <v>76</v>
      </c>
      <c r="J665" t="s">
        <v>82</v>
      </c>
      <c r="K665">
        <v>2.1592495</v>
      </c>
    </row>
    <row r="666" spans="1:11" x14ac:dyDescent="0.3">
      <c r="A666" t="s">
        <v>83</v>
      </c>
      <c r="B666">
        <v>1000</v>
      </c>
      <c r="C666" t="s">
        <v>81</v>
      </c>
      <c r="D666">
        <v>1.5845200000000001E-3</v>
      </c>
      <c r="E666" t="s">
        <v>74</v>
      </c>
      <c r="F666">
        <v>1.5845199999999999</v>
      </c>
      <c r="G666" t="s">
        <v>75</v>
      </c>
      <c r="H666">
        <v>1584.5170000000001</v>
      </c>
      <c r="I666" t="s">
        <v>76</v>
      </c>
      <c r="J666" t="s">
        <v>82</v>
      </c>
      <c r="K666">
        <v>631.10700169999996</v>
      </c>
    </row>
    <row r="667" spans="1:11" x14ac:dyDescent="0.3">
      <c r="A667" t="s">
        <v>85</v>
      </c>
      <c r="B667">
        <v>1001</v>
      </c>
      <c r="C667" t="s">
        <v>86</v>
      </c>
      <c r="D667">
        <v>2.04579E-3</v>
      </c>
      <c r="E667" t="s">
        <v>74</v>
      </c>
      <c r="F667">
        <v>2.0457900000000002</v>
      </c>
      <c r="G667" t="s">
        <v>75</v>
      </c>
      <c r="H667">
        <v>2045.788</v>
      </c>
      <c r="I667" t="s">
        <v>76</v>
      </c>
      <c r="J667" t="s">
        <v>82</v>
      </c>
      <c r="K667">
        <v>488.80928460000001</v>
      </c>
    </row>
    <row r="669" spans="1:11" x14ac:dyDescent="0.3">
      <c r="A669" t="s">
        <v>158</v>
      </c>
    </row>
    <row r="670" spans="1:11" x14ac:dyDescent="0.3">
      <c r="A670" t="s">
        <v>72</v>
      </c>
      <c r="B670">
        <v>1</v>
      </c>
      <c r="C670" t="s">
        <v>81</v>
      </c>
      <c r="D670">
        <v>3.2855700000000002E-2</v>
      </c>
      <c r="E670" t="s">
        <v>74</v>
      </c>
      <c r="F670">
        <v>32.855699999999999</v>
      </c>
      <c r="G670" t="s">
        <v>75</v>
      </c>
      <c r="H670">
        <v>32855.701000000001</v>
      </c>
      <c r="I670" t="s">
        <v>76</v>
      </c>
      <c r="J670" t="s">
        <v>82</v>
      </c>
      <c r="K670">
        <v>30.436118499999999</v>
      </c>
    </row>
    <row r="671" spans="1:11" x14ac:dyDescent="0.3">
      <c r="A671" t="s">
        <v>83</v>
      </c>
      <c r="B671">
        <v>1000</v>
      </c>
      <c r="C671" t="s">
        <v>81</v>
      </c>
      <c r="D671">
        <v>2.1417699999999999E-3</v>
      </c>
      <c r="E671" t="s">
        <v>74</v>
      </c>
      <c r="F671">
        <v>2.1417700000000002</v>
      </c>
      <c r="G671" t="s">
        <v>75</v>
      </c>
      <c r="H671">
        <v>2141.7739999999999</v>
      </c>
      <c r="I671" t="s">
        <v>76</v>
      </c>
      <c r="J671" t="s">
        <v>82</v>
      </c>
      <c r="K671">
        <v>466.90263169999997</v>
      </c>
    </row>
    <row r="672" spans="1:11" x14ac:dyDescent="0.3">
      <c r="A672" t="s">
        <v>85</v>
      </c>
      <c r="B672">
        <v>1001</v>
      </c>
      <c r="C672" t="s">
        <v>86</v>
      </c>
      <c r="D672">
        <v>2.17264E-3</v>
      </c>
      <c r="E672" t="s">
        <v>74</v>
      </c>
      <c r="F672">
        <v>2.1726399999999999</v>
      </c>
      <c r="G672" t="s">
        <v>75</v>
      </c>
      <c r="H672">
        <v>2172.6350000000002</v>
      </c>
      <c r="I672" t="s">
        <v>76</v>
      </c>
      <c r="J672" t="s">
        <v>82</v>
      </c>
      <c r="K672">
        <v>460.27056090000002</v>
      </c>
    </row>
    <row r="674" spans="1:1" x14ac:dyDescent="0.3">
      <c r="A674" t="s">
        <v>66</v>
      </c>
    </row>
    <row r="676" spans="1:1" x14ac:dyDescent="0.3">
      <c r="A676" t="s">
        <v>159</v>
      </c>
    </row>
    <row r="677" spans="1:1" x14ac:dyDescent="0.3">
      <c r="A677" t="s">
        <v>68</v>
      </c>
    </row>
    <row r="678" spans="1:1" x14ac:dyDescent="0.3">
      <c r="A678" t="s">
        <v>69</v>
      </c>
    </row>
    <row r="679" spans="1:1" x14ac:dyDescent="0.3">
      <c r="A679" t="s">
        <v>70</v>
      </c>
    </row>
    <row r="680" spans="1:1" x14ac:dyDescent="0.3">
      <c r="A680" t="s">
        <v>115</v>
      </c>
    </row>
    <row r="681" spans="1:1" x14ac:dyDescent="0.3">
      <c r="A681" t="s">
        <v>116</v>
      </c>
    </row>
    <row r="682" spans="1:1" x14ac:dyDescent="0.3">
      <c r="A682" t="s">
        <v>117</v>
      </c>
    </row>
    <row r="683" spans="1:1" x14ac:dyDescent="0.3">
      <c r="A683" t="s">
        <v>118</v>
      </c>
    </row>
    <row r="684" spans="1:1" x14ac:dyDescent="0.3">
      <c r="A684" t="s">
        <v>119</v>
      </c>
    </row>
    <row r="685" spans="1:1" x14ac:dyDescent="0.3">
      <c r="A685" t="s">
        <v>120</v>
      </c>
    </row>
    <row r="686" spans="1:1" x14ac:dyDescent="0.3">
      <c r="A686" t="s">
        <v>121</v>
      </c>
    </row>
    <row r="687" spans="1:1" x14ac:dyDescent="0.3">
      <c r="A687" t="s">
        <v>122</v>
      </c>
    </row>
    <row r="688" spans="1:1" x14ac:dyDescent="0.3">
      <c r="A688" t="s">
        <v>123</v>
      </c>
    </row>
    <row r="689" spans="1:11" x14ac:dyDescent="0.3">
      <c r="A689" t="s">
        <v>124</v>
      </c>
    </row>
    <row r="690" spans="1:11" x14ac:dyDescent="0.3">
      <c r="A690" t="s">
        <v>125</v>
      </c>
    </row>
    <row r="691" spans="1:11" x14ac:dyDescent="0.3">
      <c r="A691" t="s">
        <v>126</v>
      </c>
    </row>
    <row r="692" spans="1:11" x14ac:dyDescent="0.3">
      <c r="A692" t="s">
        <v>127</v>
      </c>
    </row>
    <row r="693" spans="1:11" x14ac:dyDescent="0.3">
      <c r="A693" t="s">
        <v>160</v>
      </c>
    </row>
    <row r="694" spans="1:11" x14ac:dyDescent="0.3">
      <c r="A694" t="s">
        <v>161</v>
      </c>
    </row>
    <row r="695" spans="1:11" x14ac:dyDescent="0.3">
      <c r="A695" t="s">
        <v>72</v>
      </c>
      <c r="B695">
        <v>1</v>
      </c>
      <c r="C695" t="s">
        <v>73</v>
      </c>
      <c r="D695">
        <v>4.0999999999999997E-6</v>
      </c>
      <c r="E695" t="s">
        <v>74</v>
      </c>
      <c r="F695">
        <v>4.1000000000000003E-3</v>
      </c>
      <c r="G695" t="s">
        <v>75</v>
      </c>
      <c r="H695">
        <v>4.0999999999999996</v>
      </c>
      <c r="I695" t="s">
        <v>76</v>
      </c>
      <c r="J695" t="s">
        <v>77</v>
      </c>
    </row>
    <row r="696" spans="1:11" x14ac:dyDescent="0.3">
      <c r="A696" t="s">
        <v>72</v>
      </c>
      <c r="B696">
        <v>1</v>
      </c>
      <c r="C696" t="s">
        <v>78</v>
      </c>
      <c r="D696">
        <v>0.12591769999999999</v>
      </c>
      <c r="E696" t="s">
        <v>74</v>
      </c>
      <c r="F696">
        <v>125.9177</v>
      </c>
      <c r="G696" t="s">
        <v>75</v>
      </c>
      <c r="H696">
        <v>125917.70299999999</v>
      </c>
      <c r="I696" t="s">
        <v>76</v>
      </c>
      <c r="J696" t="s">
        <v>77</v>
      </c>
    </row>
    <row r="697" spans="1:11" x14ac:dyDescent="0.3">
      <c r="A697" t="s">
        <v>72</v>
      </c>
      <c r="B697">
        <v>1</v>
      </c>
      <c r="C697" t="s">
        <v>79</v>
      </c>
      <c r="D697">
        <v>0.29425730999999999</v>
      </c>
      <c r="E697" t="s">
        <v>74</v>
      </c>
      <c r="F697">
        <v>294.25731000000002</v>
      </c>
      <c r="G697" t="s">
        <v>75</v>
      </c>
      <c r="H697">
        <v>294257.31300000002</v>
      </c>
      <c r="I697" t="s">
        <v>76</v>
      </c>
      <c r="J697" t="s">
        <v>77</v>
      </c>
    </row>
    <row r="698" spans="1:11" x14ac:dyDescent="0.3">
      <c r="A698" t="s">
        <v>72</v>
      </c>
      <c r="B698">
        <v>1</v>
      </c>
      <c r="C698" t="s">
        <v>94</v>
      </c>
      <c r="D698">
        <v>0.17583979999999999</v>
      </c>
      <c r="E698" t="s">
        <v>74</v>
      </c>
      <c r="F698">
        <v>175.8398</v>
      </c>
      <c r="G698" t="s">
        <v>75</v>
      </c>
      <c r="H698">
        <v>175839.79699999999</v>
      </c>
      <c r="I698" t="s">
        <v>76</v>
      </c>
      <c r="J698" t="s">
        <v>77</v>
      </c>
    </row>
    <row r="699" spans="1:11" x14ac:dyDescent="0.3">
      <c r="A699" t="s">
        <v>72</v>
      </c>
      <c r="B699">
        <v>1</v>
      </c>
      <c r="C699" t="s">
        <v>80</v>
      </c>
      <c r="D699">
        <v>0.17584039000000001</v>
      </c>
      <c r="E699" t="s">
        <v>74</v>
      </c>
      <c r="F699">
        <v>175.84039000000001</v>
      </c>
      <c r="G699" t="s">
        <v>75</v>
      </c>
      <c r="H699">
        <v>175840.39300000001</v>
      </c>
      <c r="I699" t="s">
        <v>76</v>
      </c>
      <c r="J699" t="s">
        <v>77</v>
      </c>
    </row>
    <row r="700" spans="1:11" x14ac:dyDescent="0.3">
      <c r="A700" t="s">
        <v>72</v>
      </c>
      <c r="B700">
        <v>1</v>
      </c>
      <c r="C700" t="s">
        <v>81</v>
      </c>
      <c r="D700">
        <v>0.47010039999999997</v>
      </c>
      <c r="E700" t="s">
        <v>74</v>
      </c>
      <c r="F700">
        <v>470.10039999999998</v>
      </c>
      <c r="G700" t="s">
        <v>75</v>
      </c>
      <c r="H700">
        <v>470100.40299999999</v>
      </c>
      <c r="I700" t="s">
        <v>76</v>
      </c>
      <c r="J700" t="s">
        <v>82</v>
      </c>
      <c r="K700">
        <v>2.1272052000000001</v>
      </c>
    </row>
    <row r="701" spans="1:11" x14ac:dyDescent="0.3">
      <c r="A701" t="s">
        <v>83</v>
      </c>
      <c r="B701">
        <v>1000</v>
      </c>
      <c r="C701" t="s">
        <v>79</v>
      </c>
      <c r="D701">
        <v>4.9355999999999998E-4</v>
      </c>
      <c r="E701" t="s">
        <v>74</v>
      </c>
      <c r="F701">
        <v>0.49356</v>
      </c>
      <c r="G701" t="s">
        <v>75</v>
      </c>
      <c r="H701">
        <v>493.55799999999999</v>
      </c>
      <c r="I701" t="s">
        <v>76</v>
      </c>
      <c r="J701" t="s">
        <v>77</v>
      </c>
    </row>
    <row r="702" spans="1:11" x14ac:dyDescent="0.3">
      <c r="A702" t="s">
        <v>83</v>
      </c>
      <c r="B702">
        <v>1000</v>
      </c>
      <c r="C702" t="s">
        <v>94</v>
      </c>
      <c r="D702">
        <v>5.6614999999999996E-4</v>
      </c>
      <c r="E702" t="s">
        <v>74</v>
      </c>
      <c r="F702">
        <v>0.56615000000000004</v>
      </c>
      <c r="G702" t="s">
        <v>75</v>
      </c>
      <c r="H702">
        <v>566.14800000000002</v>
      </c>
      <c r="I702" t="s">
        <v>76</v>
      </c>
      <c r="J702" t="s">
        <v>77</v>
      </c>
    </row>
    <row r="703" spans="1:11" x14ac:dyDescent="0.3">
      <c r="A703" t="s">
        <v>83</v>
      </c>
      <c r="B703">
        <v>1000</v>
      </c>
      <c r="C703" t="s">
        <v>80</v>
      </c>
      <c r="D703">
        <v>5.6638999999999995E-4</v>
      </c>
      <c r="E703" t="s">
        <v>74</v>
      </c>
      <c r="F703">
        <v>0.56638999999999995</v>
      </c>
      <c r="G703" t="s">
        <v>75</v>
      </c>
      <c r="H703">
        <v>566.38699999999994</v>
      </c>
      <c r="I703" t="s">
        <v>76</v>
      </c>
      <c r="J703" t="s">
        <v>77</v>
      </c>
    </row>
    <row r="704" spans="1:11" x14ac:dyDescent="0.3">
      <c r="A704" t="s">
        <v>83</v>
      </c>
      <c r="B704">
        <v>1000</v>
      </c>
      <c r="C704" t="s">
        <v>81</v>
      </c>
      <c r="D704">
        <v>1.06057E-3</v>
      </c>
      <c r="E704" t="s">
        <v>74</v>
      </c>
      <c r="F704">
        <v>1.06057</v>
      </c>
      <c r="G704" t="s">
        <v>75</v>
      </c>
      <c r="H704">
        <v>1060.567</v>
      </c>
      <c r="I704" t="s">
        <v>76</v>
      </c>
      <c r="J704" t="s">
        <v>82</v>
      </c>
      <c r="K704">
        <v>942.89206119999994</v>
      </c>
    </row>
    <row r="705" spans="1:11" x14ac:dyDescent="0.3">
      <c r="A705" t="s">
        <v>84</v>
      </c>
      <c r="B705">
        <v>1001</v>
      </c>
      <c r="C705" t="s">
        <v>79</v>
      </c>
      <c r="D705">
        <v>7.8702999999999998E-4</v>
      </c>
      <c r="E705" t="s">
        <v>74</v>
      </c>
      <c r="F705">
        <v>0.78703000000000001</v>
      </c>
      <c r="G705" t="s">
        <v>75</v>
      </c>
      <c r="H705">
        <v>787.02800000000002</v>
      </c>
      <c r="I705" t="s">
        <v>76</v>
      </c>
      <c r="J705" t="s">
        <v>77</v>
      </c>
    </row>
    <row r="706" spans="1:11" x14ac:dyDescent="0.3">
      <c r="A706" t="s">
        <v>84</v>
      </c>
      <c r="B706">
        <v>1001</v>
      </c>
      <c r="C706" t="s">
        <v>94</v>
      </c>
      <c r="D706">
        <v>7.4125000000000005E-4</v>
      </c>
      <c r="E706" t="s">
        <v>74</v>
      </c>
      <c r="F706">
        <v>0.74124999999999996</v>
      </c>
      <c r="G706" t="s">
        <v>75</v>
      </c>
      <c r="H706">
        <v>741.24699999999996</v>
      </c>
      <c r="I706" t="s">
        <v>76</v>
      </c>
      <c r="J706" t="s">
        <v>77</v>
      </c>
    </row>
    <row r="707" spans="1:11" x14ac:dyDescent="0.3">
      <c r="A707" t="s">
        <v>84</v>
      </c>
      <c r="B707">
        <v>1001</v>
      </c>
      <c r="C707" t="s">
        <v>80</v>
      </c>
      <c r="D707">
        <v>7.4149000000000003E-4</v>
      </c>
      <c r="E707" t="s">
        <v>74</v>
      </c>
      <c r="F707">
        <v>0.74148999999999998</v>
      </c>
      <c r="G707" t="s">
        <v>75</v>
      </c>
      <c r="H707">
        <v>741.48599999999999</v>
      </c>
      <c r="I707" t="s">
        <v>76</v>
      </c>
      <c r="J707" t="s">
        <v>77</v>
      </c>
    </row>
    <row r="708" spans="1:11" x14ac:dyDescent="0.3">
      <c r="A708" t="s">
        <v>84</v>
      </c>
      <c r="B708">
        <v>1001</v>
      </c>
      <c r="C708" t="s">
        <v>81</v>
      </c>
      <c r="D708">
        <v>1.52914E-3</v>
      </c>
      <c r="E708" t="s">
        <v>74</v>
      </c>
      <c r="F708">
        <v>1.5291399999999999</v>
      </c>
      <c r="G708" t="s">
        <v>75</v>
      </c>
      <c r="H708">
        <v>1529.1389999999999</v>
      </c>
      <c r="I708" t="s">
        <v>76</v>
      </c>
      <c r="J708" t="s">
        <v>82</v>
      </c>
      <c r="K708">
        <v>653.96283630000005</v>
      </c>
    </row>
    <row r="709" spans="1:11" x14ac:dyDescent="0.3">
      <c r="A709" t="s">
        <v>85</v>
      </c>
      <c r="B709">
        <v>1001</v>
      </c>
      <c r="C709" t="s">
        <v>86</v>
      </c>
      <c r="D709">
        <v>1.5292700000000001E-3</v>
      </c>
      <c r="E709" t="s">
        <v>74</v>
      </c>
      <c r="F709">
        <v>1.5292699999999999</v>
      </c>
      <c r="G709" t="s">
        <v>75</v>
      </c>
      <c r="H709">
        <v>1529.27</v>
      </c>
      <c r="I709" t="s">
        <v>76</v>
      </c>
      <c r="J709" t="s">
        <v>82</v>
      </c>
      <c r="K709">
        <v>653.9066133</v>
      </c>
    </row>
    <row r="710" spans="1:11" x14ac:dyDescent="0.3">
      <c r="A710" t="s">
        <v>162</v>
      </c>
    </row>
    <row r="711" spans="1:11" x14ac:dyDescent="0.3">
      <c r="A711" t="s">
        <v>163</v>
      </c>
    </row>
    <row r="712" spans="1:11" x14ac:dyDescent="0.3">
      <c r="A712" t="s">
        <v>72</v>
      </c>
      <c r="B712">
        <v>1</v>
      </c>
      <c r="C712" t="s">
        <v>73</v>
      </c>
      <c r="D712">
        <v>4.0999999999999997E-6</v>
      </c>
      <c r="E712" t="s">
        <v>74</v>
      </c>
      <c r="F712">
        <v>4.1000000000000003E-3</v>
      </c>
      <c r="G712" t="s">
        <v>75</v>
      </c>
      <c r="H712">
        <v>4.0999999999999996</v>
      </c>
      <c r="I712" t="s">
        <v>76</v>
      </c>
      <c r="J712" t="s">
        <v>77</v>
      </c>
    </row>
    <row r="713" spans="1:11" x14ac:dyDescent="0.3">
      <c r="A713" t="s">
        <v>72</v>
      </c>
      <c r="B713">
        <v>1</v>
      </c>
      <c r="C713" t="s">
        <v>78</v>
      </c>
      <c r="D713">
        <v>4.2299999999999998E-5</v>
      </c>
      <c r="E713" t="s">
        <v>74</v>
      </c>
      <c r="F713">
        <v>4.2299999999999997E-2</v>
      </c>
      <c r="G713" t="s">
        <v>75</v>
      </c>
      <c r="H713">
        <v>42.3</v>
      </c>
      <c r="I713" t="s">
        <v>76</v>
      </c>
      <c r="J713" t="s">
        <v>77</v>
      </c>
    </row>
    <row r="714" spans="1:11" x14ac:dyDescent="0.3">
      <c r="A714" t="s">
        <v>72</v>
      </c>
      <c r="B714">
        <v>1</v>
      </c>
      <c r="C714" t="s">
        <v>79</v>
      </c>
      <c r="D714">
        <v>3.3912E-3</v>
      </c>
      <c r="E714" t="s">
        <v>74</v>
      </c>
      <c r="F714">
        <v>3.3912</v>
      </c>
      <c r="G714" t="s">
        <v>75</v>
      </c>
      <c r="H714">
        <v>3391.2</v>
      </c>
      <c r="I714" t="s">
        <v>76</v>
      </c>
      <c r="J714" t="s">
        <v>77</v>
      </c>
    </row>
    <row r="715" spans="1:11" x14ac:dyDescent="0.3">
      <c r="A715" t="s">
        <v>72</v>
      </c>
      <c r="B715">
        <v>1</v>
      </c>
      <c r="C715" t="s">
        <v>94</v>
      </c>
      <c r="D715">
        <v>2.6905100000000001E-2</v>
      </c>
      <c r="E715" t="s">
        <v>74</v>
      </c>
      <c r="F715">
        <v>26.905100000000001</v>
      </c>
      <c r="G715" t="s">
        <v>75</v>
      </c>
      <c r="H715">
        <v>26905.100999999999</v>
      </c>
      <c r="I715" t="s">
        <v>76</v>
      </c>
      <c r="J715" t="s">
        <v>77</v>
      </c>
    </row>
    <row r="716" spans="1:11" x14ac:dyDescent="0.3">
      <c r="A716" t="s">
        <v>72</v>
      </c>
      <c r="B716">
        <v>1</v>
      </c>
      <c r="C716" t="s">
        <v>80</v>
      </c>
      <c r="D716">
        <v>2.6905599999999998E-2</v>
      </c>
      <c r="E716" t="s">
        <v>74</v>
      </c>
      <c r="F716">
        <v>26.9056</v>
      </c>
      <c r="G716" t="s">
        <v>75</v>
      </c>
      <c r="H716">
        <v>26905.599999999999</v>
      </c>
      <c r="I716" t="s">
        <v>76</v>
      </c>
      <c r="J716" t="s">
        <v>77</v>
      </c>
    </row>
    <row r="717" spans="1:11" x14ac:dyDescent="0.3">
      <c r="A717" t="s">
        <v>72</v>
      </c>
      <c r="B717">
        <v>1</v>
      </c>
      <c r="C717" t="s">
        <v>81</v>
      </c>
      <c r="D717">
        <v>3.0298200000000001E-2</v>
      </c>
      <c r="E717" t="s">
        <v>74</v>
      </c>
      <c r="F717">
        <v>30.298200000000001</v>
      </c>
      <c r="G717" t="s">
        <v>75</v>
      </c>
      <c r="H717">
        <v>30298.2</v>
      </c>
      <c r="I717" t="s">
        <v>76</v>
      </c>
      <c r="J717" t="s">
        <v>82</v>
      </c>
      <c r="K717">
        <v>33.005261599999997</v>
      </c>
    </row>
    <row r="718" spans="1:11" x14ac:dyDescent="0.3">
      <c r="A718" t="s">
        <v>83</v>
      </c>
      <c r="B718">
        <v>1000</v>
      </c>
      <c r="C718" t="s">
        <v>79</v>
      </c>
      <c r="D718">
        <v>5.1617999999999998E-4</v>
      </c>
      <c r="E718" t="s">
        <v>74</v>
      </c>
      <c r="F718">
        <v>0.51617999999999997</v>
      </c>
      <c r="G718" t="s">
        <v>75</v>
      </c>
      <c r="H718">
        <v>516.18200000000002</v>
      </c>
      <c r="I718" t="s">
        <v>76</v>
      </c>
      <c r="J718" t="s">
        <v>77</v>
      </c>
    </row>
    <row r="719" spans="1:11" x14ac:dyDescent="0.3">
      <c r="A719" t="s">
        <v>83</v>
      </c>
      <c r="B719">
        <v>1000</v>
      </c>
      <c r="C719" t="s">
        <v>94</v>
      </c>
      <c r="D719">
        <v>9.5166999999999995E-4</v>
      </c>
      <c r="E719" t="s">
        <v>74</v>
      </c>
      <c r="F719">
        <v>0.95167000000000002</v>
      </c>
      <c r="G719" t="s">
        <v>75</v>
      </c>
      <c r="H719">
        <v>951.66499999999996</v>
      </c>
      <c r="I719" t="s">
        <v>76</v>
      </c>
      <c r="J719" t="s">
        <v>77</v>
      </c>
    </row>
    <row r="720" spans="1:11" x14ac:dyDescent="0.3">
      <c r="A720" t="s">
        <v>83</v>
      </c>
      <c r="B720">
        <v>1000</v>
      </c>
      <c r="C720" t="s">
        <v>80</v>
      </c>
      <c r="D720">
        <v>1.1133899999999999E-3</v>
      </c>
      <c r="E720" t="s">
        <v>74</v>
      </c>
      <c r="F720">
        <v>1.1133900000000001</v>
      </c>
      <c r="G720" t="s">
        <v>75</v>
      </c>
      <c r="H720">
        <v>1113.385</v>
      </c>
      <c r="I720" t="s">
        <v>76</v>
      </c>
      <c r="J720" t="s">
        <v>77</v>
      </c>
    </row>
    <row r="721" spans="1:11" x14ac:dyDescent="0.3">
      <c r="A721" t="s">
        <v>83</v>
      </c>
      <c r="B721">
        <v>1000</v>
      </c>
      <c r="C721" t="s">
        <v>81</v>
      </c>
      <c r="D721">
        <v>1.63068E-3</v>
      </c>
      <c r="E721" t="s">
        <v>74</v>
      </c>
      <c r="F721">
        <v>1.6306799999999999</v>
      </c>
      <c r="G721" t="s">
        <v>75</v>
      </c>
      <c r="H721">
        <v>1630.6790000000001</v>
      </c>
      <c r="I721" t="s">
        <v>76</v>
      </c>
      <c r="J721" t="s">
        <v>82</v>
      </c>
      <c r="K721">
        <v>613.24138400000004</v>
      </c>
    </row>
    <row r="722" spans="1:11" x14ac:dyDescent="0.3">
      <c r="A722" t="s">
        <v>84</v>
      </c>
      <c r="B722">
        <v>1001</v>
      </c>
      <c r="C722" t="s">
        <v>79</v>
      </c>
      <c r="D722">
        <v>5.1904999999999996E-4</v>
      </c>
      <c r="E722" t="s">
        <v>74</v>
      </c>
      <c r="F722">
        <v>0.51905000000000001</v>
      </c>
      <c r="G722" t="s">
        <v>75</v>
      </c>
      <c r="H722">
        <v>519.05499999999995</v>
      </c>
      <c r="I722" t="s">
        <v>76</v>
      </c>
      <c r="J722" t="s">
        <v>77</v>
      </c>
    </row>
    <row r="723" spans="1:11" x14ac:dyDescent="0.3">
      <c r="A723" t="s">
        <v>84</v>
      </c>
      <c r="B723">
        <v>1001</v>
      </c>
      <c r="C723" t="s">
        <v>94</v>
      </c>
      <c r="D723">
        <v>9.7758999999999997E-4</v>
      </c>
      <c r="E723" t="s">
        <v>74</v>
      </c>
      <c r="F723">
        <v>0.97758999999999996</v>
      </c>
      <c r="G723" t="s">
        <v>75</v>
      </c>
      <c r="H723">
        <v>977.59299999999996</v>
      </c>
      <c r="I723" t="s">
        <v>76</v>
      </c>
      <c r="J723" t="s">
        <v>77</v>
      </c>
    </row>
    <row r="724" spans="1:11" x14ac:dyDescent="0.3">
      <c r="A724" t="s">
        <v>84</v>
      </c>
      <c r="B724">
        <v>1001</v>
      </c>
      <c r="C724" t="s">
        <v>80</v>
      </c>
      <c r="D724">
        <v>1.13915E-3</v>
      </c>
      <c r="E724" t="s">
        <v>74</v>
      </c>
      <c r="F724">
        <v>1.1391500000000001</v>
      </c>
      <c r="G724" t="s">
        <v>75</v>
      </c>
      <c r="H724">
        <v>1139.152</v>
      </c>
      <c r="I724" t="s">
        <v>76</v>
      </c>
      <c r="J724" t="s">
        <v>77</v>
      </c>
    </row>
    <row r="725" spans="1:11" x14ac:dyDescent="0.3">
      <c r="A725" t="s">
        <v>84</v>
      </c>
      <c r="B725">
        <v>1001</v>
      </c>
      <c r="C725" t="s">
        <v>81</v>
      </c>
      <c r="D725">
        <v>1.6593199999999999E-3</v>
      </c>
      <c r="E725" t="s">
        <v>74</v>
      </c>
      <c r="F725">
        <v>1.6593199999999999</v>
      </c>
      <c r="G725" t="s">
        <v>75</v>
      </c>
      <c r="H725">
        <v>1659.318</v>
      </c>
      <c r="I725" t="s">
        <v>76</v>
      </c>
      <c r="J725" t="s">
        <v>82</v>
      </c>
      <c r="K725">
        <v>602.65709000000004</v>
      </c>
    </row>
    <row r="726" spans="1:11" x14ac:dyDescent="0.3">
      <c r="A726" t="s">
        <v>85</v>
      </c>
      <c r="B726">
        <v>1001</v>
      </c>
      <c r="C726" t="s">
        <v>86</v>
      </c>
      <c r="D726">
        <v>1.6595E-3</v>
      </c>
      <c r="E726" t="s">
        <v>74</v>
      </c>
      <c r="F726">
        <v>1.6595</v>
      </c>
      <c r="G726" t="s">
        <v>75</v>
      </c>
      <c r="H726">
        <v>1659.5029999999999</v>
      </c>
      <c r="I726" t="s">
        <v>76</v>
      </c>
      <c r="J726" t="s">
        <v>82</v>
      </c>
      <c r="K726">
        <v>602.5898823</v>
      </c>
    </row>
    <row r="727" spans="1:11" x14ac:dyDescent="0.3">
      <c r="A727" t="s">
        <v>115</v>
      </c>
    </row>
    <row r="728" spans="1:11" x14ac:dyDescent="0.3">
      <c r="A728" t="s">
        <v>127</v>
      </c>
    </row>
    <row r="729" spans="1:11" x14ac:dyDescent="0.3">
      <c r="A729" t="s">
        <v>87</v>
      </c>
    </row>
    <row r="730" spans="1:11" x14ac:dyDescent="0.3">
      <c r="A730" t="s">
        <v>164</v>
      </c>
    </row>
    <row r="731" spans="1:11" x14ac:dyDescent="0.3">
      <c r="A731" t="s">
        <v>72</v>
      </c>
      <c r="B731">
        <v>1</v>
      </c>
      <c r="C731" t="s">
        <v>81</v>
      </c>
      <c r="D731">
        <v>0.47010039999999997</v>
      </c>
      <c r="E731" t="s">
        <v>74</v>
      </c>
      <c r="F731">
        <v>470.10039999999998</v>
      </c>
      <c r="G731" t="s">
        <v>75</v>
      </c>
      <c r="H731">
        <v>470100.40299999999</v>
      </c>
      <c r="I731" t="s">
        <v>76</v>
      </c>
      <c r="J731" t="s">
        <v>82</v>
      </c>
      <c r="K731">
        <v>2.1272052000000001</v>
      </c>
    </row>
    <row r="732" spans="1:11" x14ac:dyDescent="0.3">
      <c r="A732" t="s">
        <v>83</v>
      </c>
      <c r="B732">
        <v>1000</v>
      </c>
      <c r="C732" t="s">
        <v>81</v>
      </c>
      <c r="D732">
        <v>1.06057E-3</v>
      </c>
      <c r="E732" t="s">
        <v>74</v>
      </c>
      <c r="F732">
        <v>1.06057</v>
      </c>
      <c r="G732" t="s">
        <v>75</v>
      </c>
      <c r="H732">
        <v>1060.567</v>
      </c>
      <c r="I732" t="s">
        <v>76</v>
      </c>
      <c r="J732" t="s">
        <v>82</v>
      </c>
      <c r="K732">
        <v>942.89206119999994</v>
      </c>
    </row>
    <row r="733" spans="1:11" x14ac:dyDescent="0.3">
      <c r="A733" t="s">
        <v>85</v>
      </c>
      <c r="B733">
        <v>1001</v>
      </c>
      <c r="C733" t="s">
        <v>86</v>
      </c>
      <c r="D733">
        <v>1.5292700000000001E-3</v>
      </c>
      <c r="E733" t="s">
        <v>74</v>
      </c>
      <c r="F733">
        <v>1.5292699999999999</v>
      </c>
      <c r="G733" t="s">
        <v>75</v>
      </c>
      <c r="H733">
        <v>1529.27</v>
      </c>
      <c r="I733" t="s">
        <v>76</v>
      </c>
      <c r="J733" t="s">
        <v>82</v>
      </c>
      <c r="K733">
        <v>653.9066133</v>
      </c>
    </row>
    <row r="735" spans="1:11" x14ac:dyDescent="0.3">
      <c r="A735" t="s">
        <v>165</v>
      </c>
    </row>
    <row r="736" spans="1:11" x14ac:dyDescent="0.3">
      <c r="A736" t="s">
        <v>72</v>
      </c>
      <c r="B736">
        <v>1</v>
      </c>
      <c r="C736" t="s">
        <v>81</v>
      </c>
      <c r="D736">
        <v>3.0298200000000001E-2</v>
      </c>
      <c r="E736" t="s">
        <v>74</v>
      </c>
      <c r="F736">
        <v>30.298200000000001</v>
      </c>
      <c r="G736" t="s">
        <v>75</v>
      </c>
      <c r="H736">
        <v>30298.2</v>
      </c>
      <c r="I736" t="s">
        <v>76</v>
      </c>
      <c r="J736" t="s">
        <v>82</v>
      </c>
      <c r="K736">
        <v>33.005261599999997</v>
      </c>
    </row>
    <row r="737" spans="1:11" x14ac:dyDescent="0.3">
      <c r="A737" t="s">
        <v>83</v>
      </c>
      <c r="B737">
        <v>1000</v>
      </c>
      <c r="C737" t="s">
        <v>81</v>
      </c>
      <c r="D737">
        <v>1.63068E-3</v>
      </c>
      <c r="E737" t="s">
        <v>74</v>
      </c>
      <c r="F737">
        <v>1.6306799999999999</v>
      </c>
      <c r="G737" t="s">
        <v>75</v>
      </c>
      <c r="H737">
        <v>1630.6790000000001</v>
      </c>
      <c r="I737" t="s">
        <v>76</v>
      </c>
      <c r="J737" t="s">
        <v>82</v>
      </c>
      <c r="K737">
        <v>613.24138400000004</v>
      </c>
    </row>
    <row r="738" spans="1:11" x14ac:dyDescent="0.3">
      <c r="A738" t="s">
        <v>85</v>
      </c>
      <c r="B738">
        <v>1001</v>
      </c>
      <c r="C738" t="s">
        <v>86</v>
      </c>
      <c r="D738">
        <v>1.6595E-3</v>
      </c>
      <c r="E738" t="s">
        <v>74</v>
      </c>
      <c r="F738">
        <v>1.6595</v>
      </c>
      <c r="G738" t="s">
        <v>75</v>
      </c>
      <c r="H738">
        <v>1659.5029999999999</v>
      </c>
      <c r="I738" t="s">
        <v>76</v>
      </c>
      <c r="J738" t="s">
        <v>82</v>
      </c>
      <c r="K738">
        <v>602.5898823</v>
      </c>
    </row>
    <row r="740" spans="1:11" x14ac:dyDescent="0.3">
      <c r="A740" t="s">
        <v>66</v>
      </c>
    </row>
    <row r="742" spans="1:11" x14ac:dyDescent="0.3">
      <c r="A742" t="s">
        <v>166</v>
      </c>
    </row>
    <row r="743" spans="1:11" x14ac:dyDescent="0.3">
      <c r="A743" t="s">
        <v>68</v>
      </c>
    </row>
    <row r="744" spans="1:11" x14ac:dyDescent="0.3">
      <c r="A744" t="s">
        <v>69</v>
      </c>
    </row>
    <row r="745" spans="1:11" x14ac:dyDescent="0.3">
      <c r="A745" t="s">
        <v>70</v>
      </c>
    </row>
    <row r="746" spans="1:11" x14ac:dyDescent="0.3">
      <c r="A746" t="s">
        <v>115</v>
      </c>
    </row>
    <row r="747" spans="1:11" x14ac:dyDescent="0.3">
      <c r="A747" t="s">
        <v>116</v>
      </c>
    </row>
    <row r="748" spans="1:11" x14ac:dyDescent="0.3">
      <c r="A748" t="s">
        <v>117</v>
      </c>
    </row>
    <row r="749" spans="1:11" x14ac:dyDescent="0.3">
      <c r="A749" t="s">
        <v>118</v>
      </c>
    </row>
    <row r="750" spans="1:11" x14ac:dyDescent="0.3">
      <c r="A750" t="s">
        <v>119</v>
      </c>
    </row>
    <row r="751" spans="1:11" x14ac:dyDescent="0.3">
      <c r="A751" t="s">
        <v>120</v>
      </c>
    </row>
    <row r="752" spans="1:11" x14ac:dyDescent="0.3">
      <c r="A752" t="s">
        <v>121</v>
      </c>
    </row>
    <row r="753" spans="1:11" x14ac:dyDescent="0.3">
      <c r="A753" t="s">
        <v>122</v>
      </c>
    </row>
    <row r="754" spans="1:11" x14ac:dyDescent="0.3">
      <c r="A754" t="s">
        <v>123</v>
      </c>
    </row>
    <row r="755" spans="1:11" x14ac:dyDescent="0.3">
      <c r="A755" t="s">
        <v>124</v>
      </c>
    </row>
    <row r="756" spans="1:11" x14ac:dyDescent="0.3">
      <c r="A756" t="s">
        <v>125</v>
      </c>
    </row>
    <row r="757" spans="1:11" x14ac:dyDescent="0.3">
      <c r="A757" t="s">
        <v>126</v>
      </c>
    </row>
    <row r="758" spans="1:11" x14ac:dyDescent="0.3">
      <c r="A758" t="s">
        <v>127</v>
      </c>
    </row>
    <row r="759" spans="1:11" x14ac:dyDescent="0.3">
      <c r="A759" t="s">
        <v>167</v>
      </c>
    </row>
    <row r="760" spans="1:11" x14ac:dyDescent="0.3">
      <c r="A760" t="s">
        <v>168</v>
      </c>
    </row>
    <row r="761" spans="1:11" x14ac:dyDescent="0.3">
      <c r="A761" t="s">
        <v>72</v>
      </c>
      <c r="B761">
        <v>1</v>
      </c>
      <c r="C761" t="s">
        <v>73</v>
      </c>
      <c r="D761">
        <v>4.6999999999999999E-6</v>
      </c>
      <c r="E761" t="s">
        <v>74</v>
      </c>
      <c r="F761">
        <v>4.7000000000000002E-3</v>
      </c>
      <c r="G761" t="s">
        <v>75</v>
      </c>
      <c r="H761">
        <v>4.7</v>
      </c>
      <c r="I761" t="s">
        <v>76</v>
      </c>
      <c r="J761" t="s">
        <v>77</v>
      </c>
    </row>
    <row r="762" spans="1:11" x14ac:dyDescent="0.3">
      <c r="A762" t="s">
        <v>72</v>
      </c>
      <c r="B762">
        <v>1</v>
      </c>
      <c r="C762" t="s">
        <v>78</v>
      </c>
      <c r="D762">
        <v>0.13542201000000001</v>
      </c>
      <c r="E762" t="s">
        <v>74</v>
      </c>
      <c r="F762">
        <v>135.42201</v>
      </c>
      <c r="G762" t="s">
        <v>75</v>
      </c>
      <c r="H762">
        <v>135422.00599999999</v>
      </c>
      <c r="I762" t="s">
        <v>76</v>
      </c>
      <c r="J762" t="s">
        <v>77</v>
      </c>
    </row>
    <row r="763" spans="1:11" x14ac:dyDescent="0.3">
      <c r="A763" t="s">
        <v>72</v>
      </c>
      <c r="B763">
        <v>1</v>
      </c>
      <c r="C763" t="s">
        <v>79</v>
      </c>
      <c r="D763">
        <v>0.27614820000000001</v>
      </c>
      <c r="E763" t="s">
        <v>74</v>
      </c>
      <c r="F763">
        <v>276.14819999999997</v>
      </c>
      <c r="G763" t="s">
        <v>75</v>
      </c>
      <c r="H763">
        <v>276148.2</v>
      </c>
      <c r="I763" t="s">
        <v>76</v>
      </c>
      <c r="J763" t="s">
        <v>77</v>
      </c>
    </row>
    <row r="764" spans="1:11" x14ac:dyDescent="0.3">
      <c r="A764" t="s">
        <v>72</v>
      </c>
      <c r="B764">
        <v>1</v>
      </c>
      <c r="C764" t="s">
        <v>94</v>
      </c>
      <c r="D764">
        <v>0.1389147</v>
      </c>
      <c r="E764" t="s">
        <v>74</v>
      </c>
      <c r="F764">
        <v>138.91470000000001</v>
      </c>
      <c r="G764" t="s">
        <v>75</v>
      </c>
      <c r="H764">
        <v>138914.704</v>
      </c>
      <c r="I764" t="s">
        <v>76</v>
      </c>
      <c r="J764" t="s">
        <v>77</v>
      </c>
    </row>
    <row r="765" spans="1:11" x14ac:dyDescent="0.3">
      <c r="A765" t="s">
        <v>72</v>
      </c>
      <c r="B765">
        <v>1</v>
      </c>
      <c r="C765" t="s">
        <v>80</v>
      </c>
      <c r="D765">
        <v>0.13891529999999999</v>
      </c>
      <c r="E765" t="s">
        <v>74</v>
      </c>
      <c r="F765">
        <v>138.9153</v>
      </c>
      <c r="G765" t="s">
        <v>75</v>
      </c>
      <c r="H765">
        <v>138915.29999999999</v>
      </c>
      <c r="I765" t="s">
        <v>76</v>
      </c>
      <c r="J765" t="s">
        <v>77</v>
      </c>
    </row>
    <row r="766" spans="1:11" x14ac:dyDescent="0.3">
      <c r="A766" t="s">
        <v>72</v>
      </c>
      <c r="B766">
        <v>1</v>
      </c>
      <c r="C766" t="s">
        <v>81</v>
      </c>
      <c r="D766">
        <v>0.41506609</v>
      </c>
      <c r="E766" t="s">
        <v>74</v>
      </c>
      <c r="F766">
        <v>415.06608999999997</v>
      </c>
      <c r="G766" t="s">
        <v>75</v>
      </c>
      <c r="H766">
        <v>415066.09299999999</v>
      </c>
      <c r="I766" t="s">
        <v>76</v>
      </c>
      <c r="J766" t="s">
        <v>82</v>
      </c>
      <c r="K766">
        <v>2.4092549000000001</v>
      </c>
    </row>
    <row r="767" spans="1:11" x14ac:dyDescent="0.3">
      <c r="A767" t="s">
        <v>83</v>
      </c>
      <c r="B767">
        <v>1000</v>
      </c>
      <c r="C767" t="s">
        <v>79</v>
      </c>
      <c r="D767">
        <v>5.0011999999999995E-4</v>
      </c>
      <c r="E767" t="s">
        <v>74</v>
      </c>
      <c r="F767">
        <v>0.50012000000000001</v>
      </c>
      <c r="G767" t="s">
        <v>75</v>
      </c>
      <c r="H767">
        <v>500.12200000000001</v>
      </c>
      <c r="I767" t="s">
        <v>76</v>
      </c>
      <c r="J767" t="s">
        <v>77</v>
      </c>
    </row>
    <row r="768" spans="1:11" x14ac:dyDescent="0.3">
      <c r="A768" t="s">
        <v>83</v>
      </c>
      <c r="B768">
        <v>1000</v>
      </c>
      <c r="C768" t="s">
        <v>94</v>
      </c>
      <c r="D768">
        <v>5.6150000000000004E-4</v>
      </c>
      <c r="E768" t="s">
        <v>74</v>
      </c>
      <c r="F768">
        <v>0.5615</v>
      </c>
      <c r="G768" t="s">
        <v>75</v>
      </c>
      <c r="H768">
        <v>561.50400000000002</v>
      </c>
      <c r="I768" t="s">
        <v>76</v>
      </c>
      <c r="J768" t="s">
        <v>77</v>
      </c>
    </row>
    <row r="769" spans="1:11" x14ac:dyDescent="0.3">
      <c r="A769" t="s">
        <v>83</v>
      </c>
      <c r="B769">
        <v>1000</v>
      </c>
      <c r="C769" t="s">
        <v>80</v>
      </c>
      <c r="D769">
        <v>5.6174000000000003E-4</v>
      </c>
      <c r="E769" t="s">
        <v>74</v>
      </c>
      <c r="F769">
        <v>0.56174000000000002</v>
      </c>
      <c r="G769" t="s">
        <v>75</v>
      </c>
      <c r="H769">
        <v>561.73599999999999</v>
      </c>
      <c r="I769" t="s">
        <v>76</v>
      </c>
      <c r="J769" t="s">
        <v>77</v>
      </c>
    </row>
    <row r="770" spans="1:11" x14ac:dyDescent="0.3">
      <c r="A770" t="s">
        <v>83</v>
      </c>
      <c r="B770">
        <v>1000</v>
      </c>
      <c r="C770" t="s">
        <v>81</v>
      </c>
      <c r="D770">
        <v>1.0625400000000001E-3</v>
      </c>
      <c r="E770" t="s">
        <v>74</v>
      </c>
      <c r="F770">
        <v>1.06254</v>
      </c>
      <c r="G770" t="s">
        <v>75</v>
      </c>
      <c r="H770">
        <v>1062.5409999999999</v>
      </c>
      <c r="I770" t="s">
        <v>76</v>
      </c>
      <c r="J770" t="s">
        <v>82</v>
      </c>
      <c r="K770">
        <v>941.140041</v>
      </c>
    </row>
    <row r="771" spans="1:11" x14ac:dyDescent="0.3">
      <c r="A771" t="s">
        <v>84</v>
      </c>
      <c r="B771">
        <v>1001</v>
      </c>
      <c r="C771" t="s">
        <v>79</v>
      </c>
      <c r="D771">
        <v>7.7548999999999999E-4</v>
      </c>
      <c r="E771" t="s">
        <v>74</v>
      </c>
      <c r="F771">
        <v>0.77549000000000001</v>
      </c>
      <c r="G771" t="s">
        <v>75</v>
      </c>
      <c r="H771">
        <v>775.49400000000003</v>
      </c>
      <c r="I771" t="s">
        <v>76</v>
      </c>
      <c r="J771" t="s">
        <v>77</v>
      </c>
    </row>
    <row r="772" spans="1:11" x14ac:dyDescent="0.3">
      <c r="A772" t="s">
        <v>84</v>
      </c>
      <c r="B772">
        <v>1001</v>
      </c>
      <c r="C772" t="s">
        <v>94</v>
      </c>
      <c r="D772">
        <v>6.9972000000000003E-4</v>
      </c>
      <c r="E772" t="s">
        <v>74</v>
      </c>
      <c r="F772">
        <v>0.69972000000000001</v>
      </c>
      <c r="G772" t="s">
        <v>75</v>
      </c>
      <c r="H772">
        <v>699.71900000000005</v>
      </c>
      <c r="I772" t="s">
        <v>76</v>
      </c>
      <c r="J772" t="s">
        <v>77</v>
      </c>
    </row>
    <row r="773" spans="1:11" x14ac:dyDescent="0.3">
      <c r="A773" t="s">
        <v>84</v>
      </c>
      <c r="B773">
        <v>1001</v>
      </c>
      <c r="C773" t="s">
        <v>80</v>
      </c>
      <c r="D773">
        <v>6.9994999999999996E-4</v>
      </c>
      <c r="E773" t="s">
        <v>74</v>
      </c>
      <c r="F773">
        <v>0.69994999999999996</v>
      </c>
      <c r="G773" t="s">
        <v>75</v>
      </c>
      <c r="H773">
        <v>699.95100000000002</v>
      </c>
      <c r="I773" t="s">
        <v>76</v>
      </c>
      <c r="J773" t="s">
        <v>77</v>
      </c>
    </row>
    <row r="774" spans="1:11" x14ac:dyDescent="0.3">
      <c r="A774" t="s">
        <v>84</v>
      </c>
      <c r="B774">
        <v>1001</v>
      </c>
      <c r="C774" t="s">
        <v>81</v>
      </c>
      <c r="D774">
        <v>1.47613E-3</v>
      </c>
      <c r="E774" t="s">
        <v>74</v>
      </c>
      <c r="F774">
        <v>1.4761299999999999</v>
      </c>
      <c r="G774" t="s">
        <v>75</v>
      </c>
      <c r="H774">
        <v>1476.1310000000001</v>
      </c>
      <c r="I774" t="s">
        <v>76</v>
      </c>
      <c r="J774" t="s">
        <v>82</v>
      </c>
      <c r="K774">
        <v>677.44648540000003</v>
      </c>
    </row>
    <row r="775" spans="1:11" x14ac:dyDescent="0.3">
      <c r="A775" t="s">
        <v>85</v>
      </c>
      <c r="B775">
        <v>1001</v>
      </c>
      <c r="C775" t="s">
        <v>86</v>
      </c>
      <c r="D775">
        <v>1.47627E-3</v>
      </c>
      <c r="E775" t="s">
        <v>74</v>
      </c>
      <c r="F775">
        <v>1.47627</v>
      </c>
      <c r="G775" t="s">
        <v>75</v>
      </c>
      <c r="H775">
        <v>1476.2660000000001</v>
      </c>
      <c r="I775" t="s">
        <v>76</v>
      </c>
      <c r="J775" t="s">
        <v>82</v>
      </c>
      <c r="K775">
        <v>677.3845129</v>
      </c>
    </row>
    <row r="776" spans="1:11" x14ac:dyDescent="0.3">
      <c r="A776" t="s">
        <v>169</v>
      </c>
    </row>
    <row r="777" spans="1:11" x14ac:dyDescent="0.3">
      <c r="A777" t="s">
        <v>170</v>
      </c>
    </row>
    <row r="778" spans="1:11" x14ac:dyDescent="0.3">
      <c r="A778" t="s">
        <v>72</v>
      </c>
      <c r="B778">
        <v>1</v>
      </c>
      <c r="C778" t="s">
        <v>73</v>
      </c>
      <c r="D778">
        <v>4.6999999999999999E-6</v>
      </c>
      <c r="E778" t="s">
        <v>74</v>
      </c>
      <c r="F778">
        <v>4.7000000000000002E-3</v>
      </c>
      <c r="G778" t="s">
        <v>75</v>
      </c>
      <c r="H778">
        <v>4.7</v>
      </c>
      <c r="I778" t="s">
        <v>76</v>
      </c>
      <c r="J778" t="s">
        <v>77</v>
      </c>
    </row>
    <row r="779" spans="1:11" x14ac:dyDescent="0.3">
      <c r="A779" t="s">
        <v>72</v>
      </c>
      <c r="B779">
        <v>1</v>
      </c>
      <c r="C779" t="s">
        <v>78</v>
      </c>
      <c r="D779">
        <v>3.4199999999999998E-5</v>
      </c>
      <c r="E779" t="s">
        <v>74</v>
      </c>
      <c r="F779">
        <v>3.4200000000000001E-2</v>
      </c>
      <c r="G779" t="s">
        <v>75</v>
      </c>
      <c r="H779">
        <v>34.200000000000003</v>
      </c>
      <c r="I779" t="s">
        <v>76</v>
      </c>
      <c r="J779" t="s">
        <v>77</v>
      </c>
    </row>
    <row r="780" spans="1:11" x14ac:dyDescent="0.3">
      <c r="A780" t="s">
        <v>72</v>
      </c>
      <c r="B780">
        <v>1</v>
      </c>
      <c r="C780" t="s">
        <v>79</v>
      </c>
      <c r="D780">
        <v>3.5246000000000001E-3</v>
      </c>
      <c r="E780" t="s">
        <v>74</v>
      </c>
      <c r="F780">
        <v>3.5246</v>
      </c>
      <c r="G780" t="s">
        <v>75</v>
      </c>
      <c r="H780">
        <v>3524.6</v>
      </c>
      <c r="I780" t="s">
        <v>76</v>
      </c>
      <c r="J780" t="s">
        <v>77</v>
      </c>
    </row>
    <row r="781" spans="1:11" x14ac:dyDescent="0.3">
      <c r="A781" t="s">
        <v>72</v>
      </c>
      <c r="B781">
        <v>1</v>
      </c>
      <c r="C781" t="s">
        <v>94</v>
      </c>
      <c r="D781">
        <v>3.8043999999999999E-3</v>
      </c>
      <c r="E781" t="s">
        <v>74</v>
      </c>
      <c r="F781">
        <v>3.8043999999999998</v>
      </c>
      <c r="G781" t="s">
        <v>75</v>
      </c>
      <c r="H781">
        <v>3804.4</v>
      </c>
      <c r="I781" t="s">
        <v>76</v>
      </c>
      <c r="J781" t="s">
        <v>77</v>
      </c>
    </row>
    <row r="782" spans="1:11" x14ac:dyDescent="0.3">
      <c r="A782" t="s">
        <v>72</v>
      </c>
      <c r="B782">
        <v>1</v>
      </c>
      <c r="C782" t="s">
        <v>80</v>
      </c>
      <c r="D782">
        <v>3.8048999999999999E-3</v>
      </c>
      <c r="E782" t="s">
        <v>74</v>
      </c>
      <c r="F782">
        <v>3.8048999999999999</v>
      </c>
      <c r="G782" t="s">
        <v>75</v>
      </c>
      <c r="H782">
        <v>3804.9</v>
      </c>
      <c r="I782" t="s">
        <v>76</v>
      </c>
      <c r="J782" t="s">
        <v>77</v>
      </c>
    </row>
    <row r="783" spans="1:11" x14ac:dyDescent="0.3">
      <c r="A783" t="s">
        <v>72</v>
      </c>
      <c r="B783">
        <v>1</v>
      </c>
      <c r="C783" t="s">
        <v>81</v>
      </c>
      <c r="D783">
        <v>7.3305999999999996E-3</v>
      </c>
      <c r="E783" t="s">
        <v>74</v>
      </c>
      <c r="F783">
        <v>7.3305999999999996</v>
      </c>
      <c r="G783" t="s">
        <v>75</v>
      </c>
      <c r="H783">
        <v>7330.6</v>
      </c>
      <c r="I783" t="s">
        <v>76</v>
      </c>
      <c r="J783" t="s">
        <v>82</v>
      </c>
      <c r="K783">
        <v>136.4144786</v>
      </c>
    </row>
    <row r="784" spans="1:11" x14ac:dyDescent="0.3">
      <c r="A784" t="s">
        <v>83</v>
      </c>
      <c r="B784">
        <v>1000</v>
      </c>
      <c r="C784" t="s">
        <v>79</v>
      </c>
      <c r="D784">
        <v>5.2342000000000003E-4</v>
      </c>
      <c r="E784" t="s">
        <v>74</v>
      </c>
      <c r="F784">
        <v>0.52342</v>
      </c>
      <c r="G784" t="s">
        <v>75</v>
      </c>
      <c r="H784">
        <v>523.42100000000005</v>
      </c>
      <c r="I784" t="s">
        <v>76</v>
      </c>
      <c r="J784" t="s">
        <v>77</v>
      </c>
    </row>
    <row r="785" spans="1:11" x14ac:dyDescent="0.3">
      <c r="A785" t="s">
        <v>83</v>
      </c>
      <c r="B785">
        <v>1000</v>
      </c>
      <c r="C785" t="s">
        <v>94</v>
      </c>
      <c r="D785">
        <v>9.4640999999999996E-4</v>
      </c>
      <c r="E785" t="s">
        <v>74</v>
      </c>
      <c r="F785">
        <v>0.94640999999999997</v>
      </c>
      <c r="G785" t="s">
        <v>75</v>
      </c>
      <c r="H785">
        <v>946.40800000000002</v>
      </c>
      <c r="I785" t="s">
        <v>76</v>
      </c>
      <c r="J785" t="s">
        <v>77</v>
      </c>
    </row>
    <row r="786" spans="1:11" x14ac:dyDescent="0.3">
      <c r="A786" t="s">
        <v>83</v>
      </c>
      <c r="B786">
        <v>1000</v>
      </c>
      <c r="C786" t="s">
        <v>80</v>
      </c>
      <c r="D786">
        <v>1.1108400000000001E-3</v>
      </c>
      <c r="E786" t="s">
        <v>74</v>
      </c>
      <c r="F786">
        <v>1.11084</v>
      </c>
      <c r="G786" t="s">
        <v>75</v>
      </c>
      <c r="H786">
        <v>1110.8420000000001</v>
      </c>
      <c r="I786" t="s">
        <v>76</v>
      </c>
      <c r="J786" t="s">
        <v>77</v>
      </c>
    </row>
    <row r="787" spans="1:11" x14ac:dyDescent="0.3">
      <c r="A787" t="s">
        <v>83</v>
      </c>
      <c r="B787">
        <v>1000</v>
      </c>
      <c r="C787" t="s">
        <v>81</v>
      </c>
      <c r="D787">
        <v>1.6353299999999999E-3</v>
      </c>
      <c r="E787" t="s">
        <v>74</v>
      </c>
      <c r="F787">
        <v>1.63533</v>
      </c>
      <c r="G787" t="s">
        <v>75</v>
      </c>
      <c r="H787">
        <v>1635.327</v>
      </c>
      <c r="I787" t="s">
        <v>76</v>
      </c>
      <c r="J787" t="s">
        <v>82</v>
      </c>
      <c r="K787">
        <v>611.49854689999995</v>
      </c>
    </row>
    <row r="788" spans="1:11" x14ac:dyDescent="0.3">
      <c r="A788" t="s">
        <v>84</v>
      </c>
      <c r="B788">
        <v>1001</v>
      </c>
      <c r="C788" t="s">
        <v>79</v>
      </c>
      <c r="D788">
        <v>5.2641999999999999E-4</v>
      </c>
      <c r="E788" t="s">
        <v>74</v>
      </c>
      <c r="F788">
        <v>0.52642</v>
      </c>
      <c r="G788" t="s">
        <v>75</v>
      </c>
      <c r="H788">
        <v>526.41899999999998</v>
      </c>
      <c r="I788" t="s">
        <v>76</v>
      </c>
      <c r="J788" t="s">
        <v>77</v>
      </c>
    </row>
    <row r="789" spans="1:11" x14ac:dyDescent="0.3">
      <c r="A789" t="s">
        <v>84</v>
      </c>
      <c r="B789">
        <v>1001</v>
      </c>
      <c r="C789" t="s">
        <v>94</v>
      </c>
      <c r="D789">
        <v>9.4925999999999995E-4</v>
      </c>
      <c r="E789" t="s">
        <v>74</v>
      </c>
      <c r="F789">
        <v>0.94925999999999999</v>
      </c>
      <c r="G789" t="s">
        <v>75</v>
      </c>
      <c r="H789">
        <v>949.26300000000003</v>
      </c>
      <c r="I789" t="s">
        <v>76</v>
      </c>
      <c r="J789" t="s">
        <v>77</v>
      </c>
    </row>
    <row r="790" spans="1:11" x14ac:dyDescent="0.3">
      <c r="A790" t="s">
        <v>84</v>
      </c>
      <c r="B790">
        <v>1001</v>
      </c>
      <c r="C790" t="s">
        <v>80</v>
      </c>
      <c r="D790">
        <v>1.1135299999999999E-3</v>
      </c>
      <c r="E790" t="s">
        <v>74</v>
      </c>
      <c r="F790">
        <v>1.1135299999999999</v>
      </c>
      <c r="G790" t="s">
        <v>75</v>
      </c>
      <c r="H790">
        <v>1113.5329999999999</v>
      </c>
      <c r="I790" t="s">
        <v>76</v>
      </c>
      <c r="J790" t="s">
        <v>77</v>
      </c>
    </row>
    <row r="791" spans="1:11" x14ac:dyDescent="0.3">
      <c r="A791" t="s">
        <v>84</v>
      </c>
      <c r="B791">
        <v>1001</v>
      </c>
      <c r="C791" t="s">
        <v>81</v>
      </c>
      <c r="D791">
        <v>1.64102E-3</v>
      </c>
      <c r="E791" t="s">
        <v>74</v>
      </c>
      <c r="F791">
        <v>1.6410199999999999</v>
      </c>
      <c r="G791" t="s">
        <v>75</v>
      </c>
      <c r="H791">
        <v>1641.0160000000001</v>
      </c>
      <c r="I791" t="s">
        <v>76</v>
      </c>
      <c r="J791" t="s">
        <v>82</v>
      </c>
      <c r="K791">
        <v>609.37843799999996</v>
      </c>
    </row>
    <row r="792" spans="1:11" x14ac:dyDescent="0.3">
      <c r="A792" t="s">
        <v>85</v>
      </c>
      <c r="B792">
        <v>1001</v>
      </c>
      <c r="C792" t="s">
        <v>86</v>
      </c>
      <c r="D792">
        <v>1.6412499999999999E-3</v>
      </c>
      <c r="E792" t="s">
        <v>74</v>
      </c>
      <c r="F792">
        <v>1.6412500000000001</v>
      </c>
      <c r="G792" t="s">
        <v>75</v>
      </c>
      <c r="H792">
        <v>1641.252</v>
      </c>
      <c r="I792" t="s">
        <v>76</v>
      </c>
      <c r="J792" t="s">
        <v>82</v>
      </c>
      <c r="K792">
        <v>609.29106539999998</v>
      </c>
    </row>
    <row r="793" spans="1:11" x14ac:dyDescent="0.3">
      <c r="A793" t="s">
        <v>115</v>
      </c>
    </row>
    <row r="794" spans="1:11" x14ac:dyDescent="0.3">
      <c r="A794" t="s">
        <v>127</v>
      </c>
    </row>
    <row r="795" spans="1:11" x14ac:dyDescent="0.3">
      <c r="A795" t="s">
        <v>87</v>
      </c>
    </row>
    <row r="796" spans="1:11" x14ac:dyDescent="0.3">
      <c r="A796" t="s">
        <v>171</v>
      </c>
    </row>
    <row r="797" spans="1:11" x14ac:dyDescent="0.3">
      <c r="A797" t="s">
        <v>72</v>
      </c>
      <c r="B797">
        <v>1</v>
      </c>
      <c r="C797" t="s">
        <v>81</v>
      </c>
      <c r="D797">
        <v>0.41506609</v>
      </c>
      <c r="E797" t="s">
        <v>74</v>
      </c>
      <c r="F797">
        <v>415.06608999999997</v>
      </c>
      <c r="G797" t="s">
        <v>75</v>
      </c>
      <c r="H797">
        <v>415066.09299999999</v>
      </c>
      <c r="I797" t="s">
        <v>76</v>
      </c>
      <c r="J797" t="s">
        <v>82</v>
      </c>
      <c r="K797">
        <v>2.4092549000000001</v>
      </c>
    </row>
    <row r="798" spans="1:11" x14ac:dyDescent="0.3">
      <c r="A798" t="s">
        <v>83</v>
      </c>
      <c r="B798">
        <v>1000</v>
      </c>
      <c r="C798" t="s">
        <v>81</v>
      </c>
      <c r="D798">
        <v>1.0625400000000001E-3</v>
      </c>
      <c r="E798" t="s">
        <v>74</v>
      </c>
      <c r="F798">
        <v>1.06254</v>
      </c>
      <c r="G798" t="s">
        <v>75</v>
      </c>
      <c r="H798">
        <v>1062.5409999999999</v>
      </c>
      <c r="I798" t="s">
        <v>76</v>
      </c>
      <c r="J798" t="s">
        <v>82</v>
      </c>
      <c r="K798">
        <v>941.140041</v>
      </c>
    </row>
    <row r="799" spans="1:11" x14ac:dyDescent="0.3">
      <c r="A799" t="s">
        <v>85</v>
      </c>
      <c r="B799">
        <v>1001</v>
      </c>
      <c r="C799" t="s">
        <v>86</v>
      </c>
      <c r="D799">
        <v>1.47627E-3</v>
      </c>
      <c r="E799" t="s">
        <v>74</v>
      </c>
      <c r="F799">
        <v>1.47627</v>
      </c>
      <c r="G799" t="s">
        <v>75</v>
      </c>
      <c r="H799">
        <v>1476.2660000000001</v>
      </c>
      <c r="I799" t="s">
        <v>76</v>
      </c>
      <c r="J799" t="s">
        <v>82</v>
      </c>
      <c r="K799">
        <v>677.3845129</v>
      </c>
    </row>
    <row r="801" spans="1:11" x14ac:dyDescent="0.3">
      <c r="A801" t="s">
        <v>172</v>
      </c>
    </row>
    <row r="802" spans="1:11" x14ac:dyDescent="0.3">
      <c r="A802" t="s">
        <v>72</v>
      </c>
      <c r="B802">
        <v>1</v>
      </c>
      <c r="C802" t="s">
        <v>81</v>
      </c>
      <c r="D802">
        <v>7.3305999999999996E-3</v>
      </c>
      <c r="E802" t="s">
        <v>74</v>
      </c>
      <c r="F802">
        <v>7.3305999999999996</v>
      </c>
      <c r="G802" t="s">
        <v>75</v>
      </c>
      <c r="H802">
        <v>7330.6</v>
      </c>
      <c r="I802" t="s">
        <v>76</v>
      </c>
      <c r="J802" t="s">
        <v>82</v>
      </c>
      <c r="K802">
        <v>136.4144786</v>
      </c>
    </row>
    <row r="803" spans="1:11" x14ac:dyDescent="0.3">
      <c r="A803" t="s">
        <v>83</v>
      </c>
      <c r="B803">
        <v>1000</v>
      </c>
      <c r="C803" t="s">
        <v>81</v>
      </c>
      <c r="D803">
        <v>1.6353299999999999E-3</v>
      </c>
      <c r="E803" t="s">
        <v>74</v>
      </c>
      <c r="F803">
        <v>1.63533</v>
      </c>
      <c r="G803" t="s">
        <v>75</v>
      </c>
      <c r="H803">
        <v>1635.327</v>
      </c>
      <c r="I803" t="s">
        <v>76</v>
      </c>
      <c r="J803" t="s">
        <v>82</v>
      </c>
      <c r="K803">
        <v>611.49854689999995</v>
      </c>
    </row>
    <row r="804" spans="1:11" x14ac:dyDescent="0.3">
      <c r="A804" t="s">
        <v>85</v>
      </c>
      <c r="B804">
        <v>1001</v>
      </c>
      <c r="C804" t="s">
        <v>86</v>
      </c>
      <c r="D804">
        <v>1.6412499999999999E-3</v>
      </c>
      <c r="E804" t="s">
        <v>74</v>
      </c>
      <c r="F804">
        <v>1.6412500000000001</v>
      </c>
      <c r="G804" t="s">
        <v>75</v>
      </c>
      <c r="H804">
        <v>1641.252</v>
      </c>
      <c r="I804" t="s">
        <v>76</v>
      </c>
      <c r="J804" t="s">
        <v>82</v>
      </c>
      <c r="K804">
        <v>609.29106539999998</v>
      </c>
    </row>
    <row r="806" spans="1:11" x14ac:dyDescent="0.3">
      <c r="A806" t="s">
        <v>66</v>
      </c>
    </row>
    <row r="808" spans="1:11" x14ac:dyDescent="0.3">
      <c r="A808" t="s">
        <v>173</v>
      </c>
    </row>
    <row r="809" spans="1:11" x14ac:dyDescent="0.3">
      <c r="A809" t="s">
        <v>68</v>
      </c>
    </row>
    <row r="810" spans="1:11" x14ac:dyDescent="0.3">
      <c r="A810" t="s">
        <v>69</v>
      </c>
    </row>
    <row r="811" spans="1:11" x14ac:dyDescent="0.3">
      <c r="A811" t="s">
        <v>70</v>
      </c>
    </row>
    <row r="812" spans="1:11" x14ac:dyDescent="0.3">
      <c r="A812" t="s">
        <v>115</v>
      </c>
    </row>
    <row r="813" spans="1:11" x14ac:dyDescent="0.3">
      <c r="A813" t="s">
        <v>116</v>
      </c>
    </row>
    <row r="814" spans="1:11" x14ac:dyDescent="0.3">
      <c r="A814" t="s">
        <v>117</v>
      </c>
    </row>
    <row r="815" spans="1:11" x14ac:dyDescent="0.3">
      <c r="A815" t="s">
        <v>118</v>
      </c>
    </row>
    <row r="816" spans="1:11" x14ac:dyDescent="0.3">
      <c r="A816" t="s">
        <v>119</v>
      </c>
    </row>
    <row r="817" spans="1:10" x14ac:dyDescent="0.3">
      <c r="A817" t="s">
        <v>120</v>
      </c>
    </row>
    <row r="818" spans="1:10" x14ac:dyDescent="0.3">
      <c r="A818" t="s">
        <v>121</v>
      </c>
    </row>
    <row r="819" spans="1:10" x14ac:dyDescent="0.3">
      <c r="A819" t="s">
        <v>122</v>
      </c>
    </row>
    <row r="820" spans="1:10" x14ac:dyDescent="0.3">
      <c r="A820" t="s">
        <v>123</v>
      </c>
    </row>
    <row r="821" spans="1:10" x14ac:dyDescent="0.3">
      <c r="A821" t="s">
        <v>124</v>
      </c>
    </row>
    <row r="822" spans="1:10" x14ac:dyDescent="0.3">
      <c r="A822" t="s">
        <v>125</v>
      </c>
    </row>
    <row r="823" spans="1:10" x14ac:dyDescent="0.3">
      <c r="A823" t="s">
        <v>126</v>
      </c>
    </row>
    <row r="824" spans="1:10" x14ac:dyDescent="0.3">
      <c r="A824" t="s">
        <v>127</v>
      </c>
    </row>
    <row r="825" spans="1:10" x14ac:dyDescent="0.3">
      <c r="A825" t="s">
        <v>174</v>
      </c>
    </row>
    <row r="826" spans="1:10" x14ac:dyDescent="0.3">
      <c r="A826" t="s">
        <v>175</v>
      </c>
    </row>
    <row r="827" spans="1:10" x14ac:dyDescent="0.3">
      <c r="A827" t="s">
        <v>72</v>
      </c>
      <c r="B827">
        <v>1</v>
      </c>
      <c r="C827" t="s">
        <v>73</v>
      </c>
      <c r="D827">
        <v>6.4999999999999996E-6</v>
      </c>
      <c r="E827" t="s">
        <v>74</v>
      </c>
      <c r="F827">
        <v>6.4999999999999997E-3</v>
      </c>
      <c r="G827" t="s">
        <v>75</v>
      </c>
      <c r="H827">
        <v>6.5</v>
      </c>
      <c r="I827" t="s">
        <v>76</v>
      </c>
      <c r="J827" t="s">
        <v>77</v>
      </c>
    </row>
    <row r="828" spans="1:10" x14ac:dyDescent="0.3">
      <c r="A828" t="s">
        <v>72</v>
      </c>
      <c r="B828">
        <v>1</v>
      </c>
      <c r="C828" t="s">
        <v>78</v>
      </c>
      <c r="D828">
        <v>0.13344829999999999</v>
      </c>
      <c r="E828" t="s">
        <v>74</v>
      </c>
      <c r="F828">
        <v>133.44829999999999</v>
      </c>
      <c r="G828" t="s">
        <v>75</v>
      </c>
      <c r="H828">
        <v>133448.30300000001</v>
      </c>
      <c r="I828" t="s">
        <v>76</v>
      </c>
      <c r="J828" t="s">
        <v>77</v>
      </c>
    </row>
    <row r="829" spans="1:10" x14ac:dyDescent="0.3">
      <c r="A829" t="s">
        <v>72</v>
      </c>
      <c r="B829">
        <v>1</v>
      </c>
      <c r="C829" t="s">
        <v>91</v>
      </c>
      <c r="D829">
        <v>0.29133629999999999</v>
      </c>
      <c r="E829" t="s">
        <v>74</v>
      </c>
      <c r="F829">
        <v>291.33629999999999</v>
      </c>
      <c r="G829" t="s">
        <v>75</v>
      </c>
      <c r="H829">
        <v>291336.29800000001</v>
      </c>
      <c r="I829" t="s">
        <v>76</v>
      </c>
      <c r="J829" t="s">
        <v>77</v>
      </c>
    </row>
    <row r="830" spans="1:10" x14ac:dyDescent="0.3">
      <c r="A830" t="s">
        <v>72</v>
      </c>
      <c r="B830">
        <v>1</v>
      </c>
      <c r="C830" t="s">
        <v>92</v>
      </c>
      <c r="D830">
        <v>3.7845000000000001E-3</v>
      </c>
      <c r="E830" t="s">
        <v>74</v>
      </c>
      <c r="F830">
        <v>3.7845</v>
      </c>
      <c r="G830" t="s">
        <v>75</v>
      </c>
      <c r="H830">
        <v>3784.5</v>
      </c>
      <c r="I830" t="s">
        <v>76</v>
      </c>
      <c r="J830" t="s">
        <v>77</v>
      </c>
    </row>
    <row r="831" spans="1:10" x14ac:dyDescent="0.3">
      <c r="A831" t="s">
        <v>72</v>
      </c>
      <c r="B831">
        <v>1</v>
      </c>
      <c r="C831" t="s">
        <v>93</v>
      </c>
      <c r="D831">
        <v>3.4033000000000002E-3</v>
      </c>
      <c r="E831" t="s">
        <v>74</v>
      </c>
      <c r="F831">
        <v>3.4033000000000002</v>
      </c>
      <c r="G831" t="s">
        <v>75</v>
      </c>
      <c r="H831">
        <v>3403.3</v>
      </c>
      <c r="I831" t="s">
        <v>76</v>
      </c>
      <c r="J831" t="s">
        <v>77</v>
      </c>
    </row>
    <row r="832" spans="1:10" x14ac:dyDescent="0.3">
      <c r="A832" t="s">
        <v>72</v>
      </c>
      <c r="B832">
        <v>1</v>
      </c>
      <c r="C832" t="s">
        <v>79</v>
      </c>
      <c r="D832">
        <v>0.29852500999999998</v>
      </c>
      <c r="E832" t="s">
        <v>74</v>
      </c>
      <c r="F832">
        <v>298.52501000000001</v>
      </c>
      <c r="G832" t="s">
        <v>75</v>
      </c>
      <c r="H832">
        <v>298525.00599999999</v>
      </c>
      <c r="I832" t="s">
        <v>76</v>
      </c>
      <c r="J832" t="s">
        <v>77</v>
      </c>
    </row>
    <row r="833" spans="1:11" x14ac:dyDescent="0.3">
      <c r="A833" t="s">
        <v>72</v>
      </c>
      <c r="B833">
        <v>1</v>
      </c>
      <c r="C833" t="s">
        <v>94</v>
      </c>
      <c r="D833">
        <v>9.2908000000000001E-3</v>
      </c>
      <c r="E833" t="s">
        <v>74</v>
      </c>
      <c r="F833">
        <v>9.2908000000000008</v>
      </c>
      <c r="G833" t="s">
        <v>75</v>
      </c>
      <c r="H833">
        <v>9290.7999999999993</v>
      </c>
      <c r="I833" t="s">
        <v>76</v>
      </c>
      <c r="J833" t="s">
        <v>77</v>
      </c>
    </row>
    <row r="834" spans="1:11" x14ac:dyDescent="0.3">
      <c r="A834" t="s">
        <v>72</v>
      </c>
      <c r="B834">
        <v>1</v>
      </c>
      <c r="C834" t="s">
        <v>80</v>
      </c>
      <c r="D834">
        <v>9.2914E-3</v>
      </c>
      <c r="E834" t="s">
        <v>74</v>
      </c>
      <c r="F834">
        <v>9.2913999999999994</v>
      </c>
      <c r="G834" t="s">
        <v>75</v>
      </c>
      <c r="H834">
        <v>9291.4</v>
      </c>
      <c r="I834" t="s">
        <v>76</v>
      </c>
      <c r="J834" t="s">
        <v>77</v>
      </c>
    </row>
    <row r="835" spans="1:11" x14ac:dyDescent="0.3">
      <c r="A835" t="s">
        <v>72</v>
      </c>
      <c r="B835">
        <v>1</v>
      </c>
      <c r="C835" t="s">
        <v>81</v>
      </c>
      <c r="D835">
        <v>0.30781828999999999</v>
      </c>
      <c r="E835" t="s">
        <v>74</v>
      </c>
      <c r="F835">
        <v>307.81828999999999</v>
      </c>
      <c r="G835" t="s">
        <v>75</v>
      </c>
      <c r="H835">
        <v>307818.29399999999</v>
      </c>
      <c r="I835" t="s">
        <v>76</v>
      </c>
      <c r="J835" t="s">
        <v>82</v>
      </c>
      <c r="K835">
        <v>3.2486698000000001</v>
      </c>
    </row>
    <row r="836" spans="1:11" x14ac:dyDescent="0.3">
      <c r="A836" t="s">
        <v>83</v>
      </c>
      <c r="B836">
        <v>1000</v>
      </c>
      <c r="C836" t="s">
        <v>91</v>
      </c>
      <c r="D836">
        <v>5.0478000000000003E-4</v>
      </c>
      <c r="E836" t="s">
        <v>74</v>
      </c>
      <c r="F836">
        <v>0.50478000000000001</v>
      </c>
      <c r="G836" t="s">
        <v>75</v>
      </c>
      <c r="H836">
        <v>504.78300000000002</v>
      </c>
      <c r="I836" t="s">
        <v>76</v>
      </c>
      <c r="J836" t="s">
        <v>77</v>
      </c>
    </row>
    <row r="837" spans="1:11" x14ac:dyDescent="0.3">
      <c r="A837" t="s">
        <v>83</v>
      </c>
      <c r="B837">
        <v>1000</v>
      </c>
      <c r="C837" t="s">
        <v>92</v>
      </c>
      <c r="D837">
        <v>6.7641000000000001E-4</v>
      </c>
      <c r="E837" t="s">
        <v>74</v>
      </c>
      <c r="F837">
        <v>0.67640999999999996</v>
      </c>
      <c r="G837" t="s">
        <v>75</v>
      </c>
      <c r="H837">
        <v>676.41399999999999</v>
      </c>
      <c r="I837" t="s">
        <v>76</v>
      </c>
      <c r="J837" t="s">
        <v>77</v>
      </c>
    </row>
    <row r="838" spans="1:11" x14ac:dyDescent="0.3">
      <c r="A838" t="s">
        <v>83</v>
      </c>
      <c r="B838">
        <v>1000</v>
      </c>
      <c r="C838" t="s">
        <v>93</v>
      </c>
      <c r="D838">
        <v>3.9072999999999999E-4</v>
      </c>
      <c r="E838" t="s">
        <v>74</v>
      </c>
      <c r="F838">
        <v>0.39073000000000002</v>
      </c>
      <c r="G838" t="s">
        <v>75</v>
      </c>
      <c r="H838">
        <v>390.73200000000003</v>
      </c>
      <c r="I838" t="s">
        <v>76</v>
      </c>
      <c r="J838" t="s">
        <v>77</v>
      </c>
    </row>
    <row r="839" spans="1:11" x14ac:dyDescent="0.3">
      <c r="A839" t="s">
        <v>83</v>
      </c>
      <c r="B839">
        <v>1000</v>
      </c>
      <c r="C839" t="s">
        <v>79</v>
      </c>
      <c r="D839">
        <v>1.57256E-3</v>
      </c>
      <c r="E839" t="s">
        <v>74</v>
      </c>
      <c r="F839">
        <v>1.57256</v>
      </c>
      <c r="G839" t="s">
        <v>75</v>
      </c>
      <c r="H839">
        <v>1572.559</v>
      </c>
      <c r="I839" t="s">
        <v>76</v>
      </c>
      <c r="J839" t="s">
        <v>77</v>
      </c>
    </row>
    <row r="840" spans="1:11" x14ac:dyDescent="0.3">
      <c r="A840" t="s">
        <v>83</v>
      </c>
      <c r="B840">
        <v>1000</v>
      </c>
      <c r="C840" t="s">
        <v>94</v>
      </c>
      <c r="D840">
        <v>2.6015399999999998E-3</v>
      </c>
      <c r="E840" t="s">
        <v>74</v>
      </c>
      <c r="F840">
        <v>2.60154</v>
      </c>
      <c r="G840" t="s">
        <v>75</v>
      </c>
      <c r="H840">
        <v>2601.5430000000001</v>
      </c>
      <c r="I840" t="s">
        <v>76</v>
      </c>
      <c r="J840" t="s">
        <v>77</v>
      </c>
    </row>
    <row r="841" spans="1:11" x14ac:dyDescent="0.3">
      <c r="A841" t="s">
        <v>83</v>
      </c>
      <c r="B841">
        <v>1000</v>
      </c>
      <c r="C841" t="s">
        <v>80</v>
      </c>
      <c r="D841">
        <v>2.79014E-3</v>
      </c>
      <c r="E841" t="s">
        <v>74</v>
      </c>
      <c r="F841">
        <v>2.7901400000000001</v>
      </c>
      <c r="G841" t="s">
        <v>75</v>
      </c>
      <c r="H841">
        <v>2790.1390000000001</v>
      </c>
      <c r="I841" t="s">
        <v>76</v>
      </c>
      <c r="J841" t="s">
        <v>77</v>
      </c>
    </row>
    <row r="842" spans="1:11" x14ac:dyDescent="0.3">
      <c r="A842" t="s">
        <v>83</v>
      </c>
      <c r="B842">
        <v>1000</v>
      </c>
      <c r="C842" t="s">
        <v>81</v>
      </c>
      <c r="D842">
        <v>4.3638499999999998E-3</v>
      </c>
      <c r="E842" t="s">
        <v>74</v>
      </c>
      <c r="F842">
        <v>4.3638500000000002</v>
      </c>
      <c r="G842" t="s">
        <v>75</v>
      </c>
      <c r="H842">
        <v>4363.8490000000002</v>
      </c>
      <c r="I842" t="s">
        <v>76</v>
      </c>
      <c r="J842" t="s">
        <v>82</v>
      </c>
      <c r="K842">
        <v>229.1555166</v>
      </c>
    </row>
    <row r="843" spans="1:11" x14ac:dyDescent="0.3">
      <c r="A843" t="s">
        <v>84</v>
      </c>
      <c r="B843">
        <v>1001</v>
      </c>
      <c r="C843" t="s">
        <v>91</v>
      </c>
      <c r="D843">
        <v>7.9531999999999997E-4</v>
      </c>
      <c r="E843" t="s">
        <v>74</v>
      </c>
      <c r="F843">
        <v>0.79532000000000003</v>
      </c>
      <c r="G843" t="s">
        <v>75</v>
      </c>
      <c r="H843">
        <v>795.32500000000005</v>
      </c>
      <c r="I843" t="s">
        <v>76</v>
      </c>
      <c r="J843" t="s">
        <v>77</v>
      </c>
    </row>
    <row r="844" spans="1:11" x14ac:dyDescent="0.3">
      <c r="A844" t="s">
        <v>84</v>
      </c>
      <c r="B844">
        <v>1001</v>
      </c>
      <c r="C844" t="s">
        <v>92</v>
      </c>
      <c r="D844">
        <v>6.7951999999999997E-4</v>
      </c>
      <c r="E844" t="s">
        <v>74</v>
      </c>
      <c r="F844">
        <v>0.67952000000000001</v>
      </c>
      <c r="G844" t="s">
        <v>75</v>
      </c>
      <c r="H844">
        <v>679.51900000000001</v>
      </c>
      <c r="I844" t="s">
        <v>76</v>
      </c>
      <c r="J844" t="s">
        <v>77</v>
      </c>
    </row>
    <row r="845" spans="1:11" x14ac:dyDescent="0.3">
      <c r="A845" t="s">
        <v>84</v>
      </c>
      <c r="B845">
        <v>1001</v>
      </c>
      <c r="C845" t="s">
        <v>93</v>
      </c>
      <c r="D845">
        <v>3.9374000000000001E-4</v>
      </c>
      <c r="E845" t="s">
        <v>74</v>
      </c>
      <c r="F845">
        <v>0.39373999999999998</v>
      </c>
      <c r="G845" t="s">
        <v>75</v>
      </c>
      <c r="H845">
        <v>393.74200000000002</v>
      </c>
      <c r="I845" t="s">
        <v>76</v>
      </c>
      <c r="J845" t="s">
        <v>77</v>
      </c>
    </row>
    <row r="846" spans="1:11" x14ac:dyDescent="0.3">
      <c r="A846" t="s">
        <v>84</v>
      </c>
      <c r="B846">
        <v>1001</v>
      </c>
      <c r="C846" t="s">
        <v>79</v>
      </c>
      <c r="D846">
        <v>1.8692100000000001E-3</v>
      </c>
      <c r="E846" t="s">
        <v>74</v>
      </c>
      <c r="F846">
        <v>1.86921</v>
      </c>
      <c r="G846" t="s">
        <v>75</v>
      </c>
      <c r="H846">
        <v>1869.2139999999999</v>
      </c>
      <c r="I846" t="s">
        <v>76</v>
      </c>
      <c r="J846" t="s">
        <v>77</v>
      </c>
    </row>
    <row r="847" spans="1:11" x14ac:dyDescent="0.3">
      <c r="A847" t="s">
        <v>84</v>
      </c>
      <c r="B847">
        <v>1001</v>
      </c>
      <c r="C847" t="s">
        <v>94</v>
      </c>
      <c r="D847">
        <v>2.60823E-3</v>
      </c>
      <c r="E847" t="s">
        <v>74</v>
      </c>
      <c r="F847">
        <v>2.6082299999999998</v>
      </c>
      <c r="G847" t="s">
        <v>75</v>
      </c>
      <c r="H847">
        <v>2608.2260000000001</v>
      </c>
      <c r="I847" t="s">
        <v>76</v>
      </c>
      <c r="J847" t="s">
        <v>77</v>
      </c>
    </row>
    <row r="848" spans="1:11" x14ac:dyDescent="0.3">
      <c r="A848" t="s">
        <v>84</v>
      </c>
      <c r="B848">
        <v>1001</v>
      </c>
      <c r="C848" t="s">
        <v>80</v>
      </c>
      <c r="D848">
        <v>2.79663E-3</v>
      </c>
      <c r="E848" t="s">
        <v>74</v>
      </c>
      <c r="F848">
        <v>2.7966299999999999</v>
      </c>
      <c r="G848" t="s">
        <v>75</v>
      </c>
      <c r="H848">
        <v>2796.634</v>
      </c>
      <c r="I848" t="s">
        <v>76</v>
      </c>
      <c r="J848" t="s">
        <v>77</v>
      </c>
    </row>
    <row r="849" spans="1:11" x14ac:dyDescent="0.3">
      <c r="A849" t="s">
        <v>84</v>
      </c>
      <c r="B849">
        <v>1001</v>
      </c>
      <c r="C849" t="s">
        <v>81</v>
      </c>
      <c r="D849">
        <v>4.6670000000000001E-3</v>
      </c>
      <c r="E849" t="s">
        <v>74</v>
      </c>
      <c r="F849">
        <v>4.6669999999999998</v>
      </c>
      <c r="G849" t="s">
        <v>75</v>
      </c>
      <c r="H849">
        <v>4666.9979999999996</v>
      </c>
      <c r="I849" t="s">
        <v>76</v>
      </c>
      <c r="J849" t="s">
        <v>82</v>
      </c>
      <c r="K849">
        <v>214.27049220000001</v>
      </c>
    </row>
    <row r="850" spans="1:11" x14ac:dyDescent="0.3">
      <c r="A850" t="s">
        <v>85</v>
      </c>
      <c r="B850">
        <v>1001</v>
      </c>
      <c r="C850" t="s">
        <v>86</v>
      </c>
      <c r="D850">
        <v>4.6672800000000002E-3</v>
      </c>
      <c r="E850" t="s">
        <v>74</v>
      </c>
      <c r="F850">
        <v>4.6672799999999999</v>
      </c>
      <c r="G850" t="s">
        <v>75</v>
      </c>
      <c r="H850">
        <v>4667.2839999999997</v>
      </c>
      <c r="I850" t="s">
        <v>76</v>
      </c>
      <c r="J850" t="s">
        <v>82</v>
      </c>
      <c r="K850">
        <v>214.25734879999999</v>
      </c>
    </row>
    <row r="851" spans="1:11" x14ac:dyDescent="0.3">
      <c r="A851" t="s">
        <v>115</v>
      </c>
    </row>
    <row r="852" spans="1:11" x14ac:dyDescent="0.3">
      <c r="A852" t="s">
        <v>127</v>
      </c>
    </row>
    <row r="853" spans="1:11" x14ac:dyDescent="0.3">
      <c r="A853" t="s">
        <v>87</v>
      </c>
    </row>
    <row r="854" spans="1:11" x14ac:dyDescent="0.3">
      <c r="A854" t="s">
        <v>176</v>
      </c>
    </row>
    <row r="855" spans="1:11" x14ac:dyDescent="0.3">
      <c r="A855" t="s">
        <v>72</v>
      </c>
      <c r="B855">
        <v>1</v>
      </c>
      <c r="C855" t="s">
        <v>81</v>
      </c>
      <c r="D855">
        <v>0.30781828999999999</v>
      </c>
      <c r="E855" t="s">
        <v>74</v>
      </c>
      <c r="F855">
        <v>307.81828999999999</v>
      </c>
      <c r="G855" t="s">
        <v>75</v>
      </c>
      <c r="H855">
        <v>307818.29399999999</v>
      </c>
      <c r="I855" t="s">
        <v>76</v>
      </c>
      <c r="J855" t="s">
        <v>82</v>
      </c>
      <c r="K855">
        <v>3.2486698000000001</v>
      </c>
    </row>
    <row r="856" spans="1:11" x14ac:dyDescent="0.3">
      <c r="A856" t="s">
        <v>83</v>
      </c>
      <c r="B856">
        <v>1000</v>
      </c>
      <c r="C856" t="s">
        <v>81</v>
      </c>
      <c r="D856">
        <v>4.3638499999999998E-3</v>
      </c>
      <c r="E856" t="s">
        <v>74</v>
      </c>
      <c r="F856">
        <v>4.3638500000000002</v>
      </c>
      <c r="G856" t="s">
        <v>75</v>
      </c>
      <c r="H856">
        <v>4363.8490000000002</v>
      </c>
      <c r="I856" t="s">
        <v>76</v>
      </c>
      <c r="J856" t="s">
        <v>82</v>
      </c>
      <c r="K856">
        <v>229.1555166</v>
      </c>
    </row>
    <row r="857" spans="1:11" x14ac:dyDescent="0.3">
      <c r="A857" t="s">
        <v>85</v>
      </c>
      <c r="B857">
        <v>1001</v>
      </c>
      <c r="C857" t="s">
        <v>86</v>
      </c>
      <c r="D857">
        <v>4.6672800000000002E-3</v>
      </c>
      <c r="E857" t="s">
        <v>74</v>
      </c>
      <c r="F857">
        <v>4.6672799999999999</v>
      </c>
      <c r="G857" t="s">
        <v>75</v>
      </c>
      <c r="H857">
        <v>4667.2839999999997</v>
      </c>
      <c r="I857" t="s">
        <v>76</v>
      </c>
      <c r="J857" t="s">
        <v>82</v>
      </c>
      <c r="K857">
        <v>214.25734879999999</v>
      </c>
    </row>
    <row r="859" spans="1:11" x14ac:dyDescent="0.3">
      <c r="A859" t="s">
        <v>66</v>
      </c>
    </row>
    <row r="861" spans="1:11" x14ac:dyDescent="0.3">
      <c r="A861" t="s">
        <v>177</v>
      </c>
    </row>
    <row r="862" spans="1:11" x14ac:dyDescent="0.3">
      <c r="A862" t="s">
        <v>68</v>
      </c>
    </row>
    <row r="863" spans="1:11" x14ac:dyDescent="0.3">
      <c r="A863" t="s">
        <v>69</v>
      </c>
    </row>
    <row r="864" spans="1:11" x14ac:dyDescent="0.3">
      <c r="A864" t="s">
        <v>70</v>
      </c>
    </row>
    <row r="865" spans="1:10" x14ac:dyDescent="0.3">
      <c r="A865" t="s">
        <v>115</v>
      </c>
    </row>
    <row r="866" spans="1:10" x14ac:dyDescent="0.3">
      <c r="A866" t="s">
        <v>116</v>
      </c>
    </row>
    <row r="867" spans="1:10" x14ac:dyDescent="0.3">
      <c r="A867" t="s">
        <v>117</v>
      </c>
    </row>
    <row r="868" spans="1:10" x14ac:dyDescent="0.3">
      <c r="A868" t="s">
        <v>118</v>
      </c>
    </row>
    <row r="869" spans="1:10" x14ac:dyDescent="0.3">
      <c r="A869" t="s">
        <v>119</v>
      </c>
    </row>
    <row r="870" spans="1:10" x14ac:dyDescent="0.3">
      <c r="A870" t="s">
        <v>120</v>
      </c>
    </row>
    <row r="871" spans="1:10" x14ac:dyDescent="0.3">
      <c r="A871" t="s">
        <v>121</v>
      </c>
    </row>
    <row r="872" spans="1:10" x14ac:dyDescent="0.3">
      <c r="A872" t="s">
        <v>122</v>
      </c>
    </row>
    <row r="873" spans="1:10" x14ac:dyDescent="0.3">
      <c r="A873" t="s">
        <v>123</v>
      </c>
    </row>
    <row r="874" spans="1:10" x14ac:dyDescent="0.3">
      <c r="A874" t="s">
        <v>124</v>
      </c>
    </row>
    <row r="875" spans="1:10" x14ac:dyDescent="0.3">
      <c r="A875" t="s">
        <v>125</v>
      </c>
    </row>
    <row r="876" spans="1:10" x14ac:dyDescent="0.3">
      <c r="A876" t="s">
        <v>126</v>
      </c>
    </row>
    <row r="877" spans="1:10" x14ac:dyDescent="0.3">
      <c r="A877" t="s">
        <v>127</v>
      </c>
    </row>
    <row r="878" spans="1:10" x14ac:dyDescent="0.3">
      <c r="A878" t="s">
        <v>178</v>
      </c>
    </row>
    <row r="879" spans="1:10" x14ac:dyDescent="0.3">
      <c r="A879" t="s">
        <v>179</v>
      </c>
    </row>
    <row r="880" spans="1:10" x14ac:dyDescent="0.3">
      <c r="A880" t="s">
        <v>72</v>
      </c>
      <c r="B880">
        <v>1</v>
      </c>
      <c r="C880" t="s">
        <v>73</v>
      </c>
      <c r="D880">
        <v>3.8999999999999999E-6</v>
      </c>
      <c r="E880" t="s">
        <v>74</v>
      </c>
      <c r="F880">
        <v>3.8999999999999998E-3</v>
      </c>
      <c r="G880" t="s">
        <v>75</v>
      </c>
      <c r="H880">
        <v>3.9</v>
      </c>
      <c r="I880" t="s">
        <v>76</v>
      </c>
      <c r="J880" t="s">
        <v>77</v>
      </c>
    </row>
    <row r="881" spans="1:11" x14ac:dyDescent="0.3">
      <c r="A881" t="s">
        <v>72</v>
      </c>
      <c r="B881">
        <v>1</v>
      </c>
      <c r="C881" t="s">
        <v>78</v>
      </c>
      <c r="D881">
        <v>0.17055020000000001</v>
      </c>
      <c r="E881" t="s">
        <v>74</v>
      </c>
      <c r="F881">
        <v>170.55019999999999</v>
      </c>
      <c r="G881" t="s">
        <v>75</v>
      </c>
      <c r="H881">
        <v>170550.19699999999</v>
      </c>
      <c r="I881" t="s">
        <v>76</v>
      </c>
      <c r="J881" t="s">
        <v>77</v>
      </c>
    </row>
    <row r="882" spans="1:11" x14ac:dyDescent="0.3">
      <c r="A882" t="s">
        <v>72</v>
      </c>
      <c r="B882">
        <v>1</v>
      </c>
      <c r="C882" t="s">
        <v>79</v>
      </c>
      <c r="D882">
        <v>0.28863879999999997</v>
      </c>
      <c r="E882" t="s">
        <v>74</v>
      </c>
      <c r="F882">
        <v>288.6388</v>
      </c>
      <c r="G882" t="s">
        <v>75</v>
      </c>
      <c r="H882">
        <v>288638.8</v>
      </c>
      <c r="I882" t="s">
        <v>76</v>
      </c>
      <c r="J882" t="s">
        <v>77</v>
      </c>
    </row>
    <row r="883" spans="1:11" x14ac:dyDescent="0.3">
      <c r="A883" t="s">
        <v>72</v>
      </c>
      <c r="B883">
        <v>1</v>
      </c>
      <c r="C883" t="s">
        <v>94</v>
      </c>
      <c r="D883">
        <v>9.2954999999999999E-3</v>
      </c>
      <c r="E883" t="s">
        <v>74</v>
      </c>
      <c r="F883">
        <v>9.2955000000000005</v>
      </c>
      <c r="G883" t="s">
        <v>75</v>
      </c>
      <c r="H883">
        <v>9295.5</v>
      </c>
      <c r="I883" t="s">
        <v>76</v>
      </c>
      <c r="J883" t="s">
        <v>77</v>
      </c>
    </row>
    <row r="884" spans="1:11" x14ac:dyDescent="0.3">
      <c r="A884" t="s">
        <v>72</v>
      </c>
      <c r="B884">
        <v>1</v>
      </c>
      <c r="C884" t="s">
        <v>80</v>
      </c>
      <c r="D884">
        <v>9.2963000000000004E-3</v>
      </c>
      <c r="E884" t="s">
        <v>74</v>
      </c>
      <c r="F884">
        <v>9.2963000000000005</v>
      </c>
      <c r="G884" t="s">
        <v>75</v>
      </c>
      <c r="H884">
        <v>9296.2999999999993</v>
      </c>
      <c r="I884" t="s">
        <v>76</v>
      </c>
      <c r="J884" t="s">
        <v>77</v>
      </c>
    </row>
    <row r="885" spans="1:11" x14ac:dyDescent="0.3">
      <c r="A885" t="s">
        <v>72</v>
      </c>
      <c r="B885">
        <v>1</v>
      </c>
      <c r="C885" t="s">
        <v>81</v>
      </c>
      <c r="D885">
        <v>0.29793730000000002</v>
      </c>
      <c r="E885" t="s">
        <v>74</v>
      </c>
      <c r="F885">
        <v>297.93729999999999</v>
      </c>
      <c r="G885" t="s">
        <v>75</v>
      </c>
      <c r="H885">
        <v>297937.304</v>
      </c>
      <c r="I885" t="s">
        <v>76</v>
      </c>
      <c r="J885" t="s">
        <v>82</v>
      </c>
      <c r="K885">
        <v>3.3564109000000002</v>
      </c>
    </row>
    <row r="886" spans="1:11" x14ac:dyDescent="0.3">
      <c r="A886" t="s">
        <v>83</v>
      </c>
      <c r="B886">
        <v>1000</v>
      </c>
      <c r="C886" t="s">
        <v>79</v>
      </c>
      <c r="D886">
        <v>5.4801999999999997E-4</v>
      </c>
      <c r="E886" t="s">
        <v>74</v>
      </c>
      <c r="F886">
        <v>0.54801999999999995</v>
      </c>
      <c r="G886" t="s">
        <v>75</v>
      </c>
      <c r="H886">
        <v>548.01499999999999</v>
      </c>
      <c r="I886" t="s">
        <v>76</v>
      </c>
      <c r="J886" t="s">
        <v>77</v>
      </c>
    </row>
    <row r="887" spans="1:11" x14ac:dyDescent="0.3">
      <c r="A887" t="s">
        <v>83</v>
      </c>
      <c r="B887">
        <v>1000</v>
      </c>
      <c r="C887" t="s">
        <v>94</v>
      </c>
      <c r="D887">
        <v>2.4787199999999998E-3</v>
      </c>
      <c r="E887" t="s">
        <v>74</v>
      </c>
      <c r="F887">
        <v>2.47872</v>
      </c>
      <c r="G887" t="s">
        <v>75</v>
      </c>
      <c r="H887">
        <v>2478.7220000000002</v>
      </c>
      <c r="I887" t="s">
        <v>76</v>
      </c>
      <c r="J887" t="s">
        <v>77</v>
      </c>
    </row>
    <row r="888" spans="1:11" x14ac:dyDescent="0.3">
      <c r="A888" t="s">
        <v>83</v>
      </c>
      <c r="B888">
        <v>1000</v>
      </c>
      <c r="C888" t="s">
        <v>80</v>
      </c>
      <c r="D888">
        <v>2.6562399999999998E-3</v>
      </c>
      <c r="E888" t="s">
        <v>74</v>
      </c>
      <c r="F888">
        <v>2.6562399999999999</v>
      </c>
      <c r="G888" t="s">
        <v>75</v>
      </c>
      <c r="H888">
        <v>2656.2420000000002</v>
      </c>
      <c r="I888" t="s">
        <v>76</v>
      </c>
      <c r="J888" t="s">
        <v>77</v>
      </c>
    </row>
    <row r="889" spans="1:11" x14ac:dyDescent="0.3">
      <c r="A889" t="s">
        <v>83</v>
      </c>
      <c r="B889">
        <v>1000</v>
      </c>
      <c r="C889" t="s">
        <v>81</v>
      </c>
      <c r="D889">
        <v>3.2052399999999998E-3</v>
      </c>
      <c r="E889" t="s">
        <v>74</v>
      </c>
      <c r="F889">
        <v>3.2052399999999999</v>
      </c>
      <c r="G889" t="s">
        <v>75</v>
      </c>
      <c r="H889">
        <v>3205.2359999999999</v>
      </c>
      <c r="I889" t="s">
        <v>76</v>
      </c>
      <c r="J889" t="s">
        <v>82</v>
      </c>
      <c r="K889">
        <v>311.98948799999999</v>
      </c>
    </row>
    <row r="890" spans="1:11" x14ac:dyDescent="0.3">
      <c r="A890" t="s">
        <v>84</v>
      </c>
      <c r="B890">
        <v>1001</v>
      </c>
      <c r="C890" t="s">
        <v>79</v>
      </c>
      <c r="D890">
        <v>8.3582000000000003E-4</v>
      </c>
      <c r="E890" t="s">
        <v>74</v>
      </c>
      <c r="F890">
        <v>0.83582000000000001</v>
      </c>
      <c r="G890" t="s">
        <v>75</v>
      </c>
      <c r="H890">
        <v>835.81899999999996</v>
      </c>
      <c r="I890" t="s">
        <v>76</v>
      </c>
      <c r="J890" t="s">
        <v>77</v>
      </c>
    </row>
    <row r="891" spans="1:11" x14ac:dyDescent="0.3">
      <c r="A891" t="s">
        <v>84</v>
      </c>
      <c r="B891">
        <v>1001</v>
      </c>
      <c r="C891" t="s">
        <v>94</v>
      </c>
      <c r="D891">
        <v>2.4855300000000001E-3</v>
      </c>
      <c r="E891" t="s">
        <v>74</v>
      </c>
      <c r="F891">
        <v>2.4855299999999998</v>
      </c>
      <c r="G891" t="s">
        <v>75</v>
      </c>
      <c r="H891">
        <v>2485.5320000000002</v>
      </c>
      <c r="I891" t="s">
        <v>76</v>
      </c>
      <c r="J891" t="s">
        <v>77</v>
      </c>
    </row>
    <row r="892" spans="1:11" x14ac:dyDescent="0.3">
      <c r="A892" t="s">
        <v>84</v>
      </c>
      <c r="B892">
        <v>1001</v>
      </c>
      <c r="C892" t="s">
        <v>80</v>
      </c>
      <c r="D892">
        <v>2.6628799999999998E-3</v>
      </c>
      <c r="E892" t="s">
        <v>74</v>
      </c>
      <c r="F892">
        <v>2.6628799999999999</v>
      </c>
      <c r="G892" t="s">
        <v>75</v>
      </c>
      <c r="H892">
        <v>2662.8760000000002</v>
      </c>
      <c r="I892" t="s">
        <v>76</v>
      </c>
      <c r="J892" t="s">
        <v>77</v>
      </c>
    </row>
    <row r="893" spans="1:11" x14ac:dyDescent="0.3">
      <c r="A893" t="s">
        <v>84</v>
      </c>
      <c r="B893">
        <v>1001</v>
      </c>
      <c r="C893" t="s">
        <v>81</v>
      </c>
      <c r="D893">
        <v>3.4996699999999999E-3</v>
      </c>
      <c r="E893" t="s">
        <v>74</v>
      </c>
      <c r="F893">
        <v>3.4996700000000001</v>
      </c>
      <c r="G893" t="s">
        <v>75</v>
      </c>
      <c r="H893">
        <v>3499.674</v>
      </c>
      <c r="I893" t="s">
        <v>76</v>
      </c>
      <c r="J893" t="s">
        <v>82</v>
      </c>
      <c r="K893">
        <v>285.74086840000001</v>
      </c>
    </row>
    <row r="894" spans="1:11" x14ac:dyDescent="0.3">
      <c r="A894" t="s">
        <v>85</v>
      </c>
      <c r="B894">
        <v>1001</v>
      </c>
      <c r="C894" t="s">
        <v>86</v>
      </c>
      <c r="D894">
        <v>3.4998799999999999E-3</v>
      </c>
      <c r="E894" t="s">
        <v>74</v>
      </c>
      <c r="F894">
        <v>3.4998800000000001</v>
      </c>
      <c r="G894" t="s">
        <v>75</v>
      </c>
      <c r="H894">
        <v>3499.8780000000002</v>
      </c>
      <c r="I894" t="s">
        <v>76</v>
      </c>
      <c r="J894" t="s">
        <v>82</v>
      </c>
      <c r="K894">
        <v>285.72424230000001</v>
      </c>
    </row>
    <row r="895" spans="1:11" x14ac:dyDescent="0.3">
      <c r="A895" t="s">
        <v>180</v>
      </c>
    </row>
    <row r="896" spans="1:11" x14ac:dyDescent="0.3">
      <c r="A896" t="s">
        <v>181</v>
      </c>
    </row>
    <row r="897" spans="1:11" x14ac:dyDescent="0.3">
      <c r="A897" t="s">
        <v>72</v>
      </c>
      <c r="B897">
        <v>1</v>
      </c>
      <c r="C897" t="s">
        <v>73</v>
      </c>
      <c r="D897">
        <v>3.8999999999999999E-6</v>
      </c>
      <c r="E897" t="s">
        <v>74</v>
      </c>
      <c r="F897">
        <v>3.8999999999999998E-3</v>
      </c>
      <c r="G897" t="s">
        <v>75</v>
      </c>
      <c r="H897">
        <v>3.9</v>
      </c>
      <c r="I897" t="s">
        <v>76</v>
      </c>
      <c r="J897" t="s">
        <v>77</v>
      </c>
    </row>
    <row r="898" spans="1:11" x14ac:dyDescent="0.3">
      <c r="A898" t="s">
        <v>72</v>
      </c>
      <c r="B898">
        <v>1</v>
      </c>
      <c r="C898" t="s">
        <v>78</v>
      </c>
      <c r="D898">
        <v>3.7200000000000003E-5</v>
      </c>
      <c r="E898" t="s">
        <v>74</v>
      </c>
      <c r="F898">
        <v>3.7199999999999997E-2</v>
      </c>
      <c r="G898" t="s">
        <v>75</v>
      </c>
      <c r="H898">
        <v>37.200000000000003</v>
      </c>
      <c r="I898" t="s">
        <v>76</v>
      </c>
      <c r="J898" t="s">
        <v>77</v>
      </c>
    </row>
    <row r="899" spans="1:11" x14ac:dyDescent="0.3">
      <c r="A899" t="s">
        <v>72</v>
      </c>
      <c r="B899">
        <v>1</v>
      </c>
      <c r="C899" t="s">
        <v>79</v>
      </c>
      <c r="D899">
        <v>4.1488000000000002E-3</v>
      </c>
      <c r="E899" t="s">
        <v>74</v>
      </c>
      <c r="F899">
        <v>4.1487999999999996</v>
      </c>
      <c r="G899" t="s">
        <v>75</v>
      </c>
      <c r="H899">
        <v>4148.8</v>
      </c>
      <c r="I899" t="s">
        <v>76</v>
      </c>
      <c r="J899" t="s">
        <v>77</v>
      </c>
    </row>
    <row r="900" spans="1:11" x14ac:dyDescent="0.3">
      <c r="A900" t="s">
        <v>72</v>
      </c>
      <c r="B900">
        <v>1</v>
      </c>
      <c r="C900" t="s">
        <v>94</v>
      </c>
      <c r="D900">
        <v>2.6800999999999999E-3</v>
      </c>
      <c r="E900" t="s">
        <v>74</v>
      </c>
      <c r="F900">
        <v>2.6800999999999999</v>
      </c>
      <c r="G900" t="s">
        <v>75</v>
      </c>
      <c r="H900">
        <v>2680.1</v>
      </c>
      <c r="I900" t="s">
        <v>76</v>
      </c>
      <c r="J900" t="s">
        <v>77</v>
      </c>
    </row>
    <row r="901" spans="1:11" x14ac:dyDescent="0.3">
      <c r="A901" t="s">
        <v>72</v>
      </c>
      <c r="B901">
        <v>1</v>
      </c>
      <c r="C901" t="s">
        <v>80</v>
      </c>
      <c r="D901">
        <v>2.8953E-3</v>
      </c>
      <c r="E901" t="s">
        <v>74</v>
      </c>
      <c r="F901">
        <v>2.8953000000000002</v>
      </c>
      <c r="G901" t="s">
        <v>75</v>
      </c>
      <c r="H901">
        <v>2895.3</v>
      </c>
      <c r="I901" t="s">
        <v>76</v>
      </c>
      <c r="J901" t="s">
        <v>77</v>
      </c>
    </row>
    <row r="902" spans="1:11" x14ac:dyDescent="0.3">
      <c r="A902" t="s">
        <v>72</v>
      </c>
      <c r="B902">
        <v>1</v>
      </c>
      <c r="C902" t="s">
        <v>81</v>
      </c>
      <c r="D902">
        <v>7.0451000000000003E-3</v>
      </c>
      <c r="E902" t="s">
        <v>74</v>
      </c>
      <c r="F902">
        <v>7.0450999999999997</v>
      </c>
      <c r="G902" t="s">
        <v>75</v>
      </c>
      <c r="H902">
        <v>7045.1</v>
      </c>
      <c r="I902" t="s">
        <v>76</v>
      </c>
      <c r="J902" t="s">
        <v>82</v>
      </c>
      <c r="K902">
        <v>141.9426272</v>
      </c>
    </row>
    <row r="903" spans="1:11" x14ac:dyDescent="0.3">
      <c r="A903" t="s">
        <v>83</v>
      </c>
      <c r="B903">
        <v>1000</v>
      </c>
      <c r="C903" t="s">
        <v>79</v>
      </c>
      <c r="D903">
        <v>8.1209000000000001E-4</v>
      </c>
      <c r="E903" t="s">
        <v>74</v>
      </c>
      <c r="F903">
        <v>0.81208999999999998</v>
      </c>
      <c r="G903" t="s">
        <v>75</v>
      </c>
      <c r="H903">
        <v>812.08799999999997</v>
      </c>
      <c r="I903" t="s">
        <v>76</v>
      </c>
      <c r="J903" t="s">
        <v>77</v>
      </c>
    </row>
    <row r="904" spans="1:11" x14ac:dyDescent="0.3">
      <c r="A904" t="s">
        <v>83</v>
      </c>
      <c r="B904">
        <v>1000</v>
      </c>
      <c r="C904" t="s">
        <v>94</v>
      </c>
      <c r="D904">
        <v>2.5352500000000002E-3</v>
      </c>
      <c r="E904" t="s">
        <v>74</v>
      </c>
      <c r="F904">
        <v>2.53525</v>
      </c>
      <c r="G904" t="s">
        <v>75</v>
      </c>
      <c r="H904">
        <v>2535.2460000000001</v>
      </c>
      <c r="I904" t="s">
        <v>76</v>
      </c>
      <c r="J904" t="s">
        <v>77</v>
      </c>
    </row>
    <row r="905" spans="1:11" x14ac:dyDescent="0.3">
      <c r="A905" t="s">
        <v>83</v>
      </c>
      <c r="B905">
        <v>1000</v>
      </c>
      <c r="C905" t="s">
        <v>80</v>
      </c>
      <c r="D905">
        <v>2.7220399999999998E-3</v>
      </c>
      <c r="E905" t="s">
        <v>74</v>
      </c>
      <c r="F905">
        <v>2.7220399999999998</v>
      </c>
      <c r="G905" t="s">
        <v>75</v>
      </c>
      <c r="H905">
        <v>2722.0419999999999</v>
      </c>
      <c r="I905" t="s">
        <v>76</v>
      </c>
      <c r="J905" t="s">
        <v>77</v>
      </c>
    </row>
    <row r="906" spans="1:11" x14ac:dyDescent="0.3">
      <c r="A906" t="s">
        <v>83</v>
      </c>
      <c r="B906">
        <v>1000</v>
      </c>
      <c r="C906" t="s">
        <v>81</v>
      </c>
      <c r="D906">
        <v>3.5351900000000001E-3</v>
      </c>
      <c r="E906" t="s">
        <v>74</v>
      </c>
      <c r="F906">
        <v>3.5351900000000001</v>
      </c>
      <c r="G906" t="s">
        <v>75</v>
      </c>
      <c r="H906">
        <v>3535.1849999999999</v>
      </c>
      <c r="I906" t="s">
        <v>76</v>
      </c>
      <c r="J906" t="s">
        <v>82</v>
      </c>
      <c r="K906">
        <v>282.87060070000001</v>
      </c>
    </row>
    <row r="907" spans="1:11" x14ac:dyDescent="0.3">
      <c r="A907" t="s">
        <v>84</v>
      </c>
      <c r="B907">
        <v>1001</v>
      </c>
      <c r="C907" t="s">
        <v>79</v>
      </c>
      <c r="D907">
        <v>8.1541999999999997E-4</v>
      </c>
      <c r="E907" t="s">
        <v>74</v>
      </c>
      <c r="F907">
        <v>0.81542000000000003</v>
      </c>
      <c r="G907" t="s">
        <v>75</v>
      </c>
      <c r="H907">
        <v>815.42100000000005</v>
      </c>
      <c r="I907" t="s">
        <v>76</v>
      </c>
      <c r="J907" t="s">
        <v>77</v>
      </c>
    </row>
    <row r="908" spans="1:11" x14ac:dyDescent="0.3">
      <c r="A908" t="s">
        <v>84</v>
      </c>
      <c r="B908">
        <v>1001</v>
      </c>
      <c r="C908" t="s">
        <v>94</v>
      </c>
      <c r="D908">
        <v>2.5353900000000002E-3</v>
      </c>
      <c r="E908" t="s">
        <v>74</v>
      </c>
      <c r="F908">
        <v>2.53539</v>
      </c>
      <c r="G908" t="s">
        <v>75</v>
      </c>
      <c r="H908">
        <v>2535.39</v>
      </c>
      <c r="I908" t="s">
        <v>76</v>
      </c>
      <c r="J908" t="s">
        <v>77</v>
      </c>
    </row>
    <row r="909" spans="1:11" x14ac:dyDescent="0.3">
      <c r="A909" t="s">
        <v>84</v>
      </c>
      <c r="B909">
        <v>1001</v>
      </c>
      <c r="C909" t="s">
        <v>80</v>
      </c>
      <c r="D909">
        <v>2.72222E-3</v>
      </c>
      <c r="E909" t="s">
        <v>74</v>
      </c>
      <c r="F909">
        <v>2.7222200000000001</v>
      </c>
      <c r="G909" t="s">
        <v>75</v>
      </c>
      <c r="H909">
        <v>2722.2150000000001</v>
      </c>
      <c r="I909" t="s">
        <v>76</v>
      </c>
      <c r="J909" t="s">
        <v>77</v>
      </c>
    </row>
    <row r="910" spans="1:11" x14ac:dyDescent="0.3">
      <c r="A910" t="s">
        <v>84</v>
      </c>
      <c r="B910">
        <v>1001</v>
      </c>
      <c r="C910" t="s">
        <v>81</v>
      </c>
      <c r="D910">
        <v>3.5386900000000002E-3</v>
      </c>
      <c r="E910" t="s">
        <v>74</v>
      </c>
      <c r="F910">
        <v>3.5386899999999999</v>
      </c>
      <c r="G910" t="s">
        <v>75</v>
      </c>
      <c r="H910">
        <v>3538.6909999999998</v>
      </c>
      <c r="I910" t="s">
        <v>76</v>
      </c>
      <c r="J910" t="s">
        <v>82</v>
      </c>
      <c r="K910">
        <v>282.59033529999999</v>
      </c>
    </row>
    <row r="911" spans="1:11" x14ac:dyDescent="0.3">
      <c r="A911" t="s">
        <v>85</v>
      </c>
      <c r="B911">
        <v>1001</v>
      </c>
      <c r="C911" t="s">
        <v>86</v>
      </c>
      <c r="D911">
        <v>3.5388699999999999E-3</v>
      </c>
      <c r="E911" t="s">
        <v>74</v>
      </c>
      <c r="F911">
        <v>3.5388700000000002</v>
      </c>
      <c r="G911" t="s">
        <v>75</v>
      </c>
      <c r="H911">
        <v>3538.8710000000001</v>
      </c>
      <c r="I911" t="s">
        <v>76</v>
      </c>
      <c r="J911" t="s">
        <v>82</v>
      </c>
      <c r="K911">
        <v>282.57603269999998</v>
      </c>
    </row>
    <row r="912" spans="1:11" x14ac:dyDescent="0.3">
      <c r="A912" t="s">
        <v>115</v>
      </c>
    </row>
    <row r="913" spans="1:11" x14ac:dyDescent="0.3">
      <c r="A913" t="s">
        <v>127</v>
      </c>
    </row>
    <row r="914" spans="1:11" x14ac:dyDescent="0.3">
      <c r="A914" t="s">
        <v>87</v>
      </c>
    </row>
    <row r="915" spans="1:11" x14ac:dyDescent="0.3">
      <c r="A915" t="s">
        <v>182</v>
      </c>
    </row>
    <row r="916" spans="1:11" x14ac:dyDescent="0.3">
      <c r="A916" t="s">
        <v>72</v>
      </c>
      <c r="B916">
        <v>1</v>
      </c>
      <c r="C916" t="s">
        <v>81</v>
      </c>
      <c r="D916">
        <v>0.29793730000000002</v>
      </c>
      <c r="E916" t="s">
        <v>74</v>
      </c>
      <c r="F916">
        <v>297.93729999999999</v>
      </c>
      <c r="G916" t="s">
        <v>75</v>
      </c>
      <c r="H916">
        <v>297937.304</v>
      </c>
      <c r="I916" t="s">
        <v>76</v>
      </c>
      <c r="J916" t="s">
        <v>82</v>
      </c>
      <c r="K916">
        <v>3.3564109000000002</v>
      </c>
    </row>
    <row r="917" spans="1:11" x14ac:dyDescent="0.3">
      <c r="A917" t="s">
        <v>83</v>
      </c>
      <c r="B917">
        <v>1000</v>
      </c>
      <c r="C917" t="s">
        <v>81</v>
      </c>
      <c r="D917">
        <v>3.2052399999999998E-3</v>
      </c>
      <c r="E917" t="s">
        <v>74</v>
      </c>
      <c r="F917">
        <v>3.2052399999999999</v>
      </c>
      <c r="G917" t="s">
        <v>75</v>
      </c>
      <c r="H917">
        <v>3205.2359999999999</v>
      </c>
      <c r="I917" t="s">
        <v>76</v>
      </c>
      <c r="J917" t="s">
        <v>82</v>
      </c>
      <c r="K917">
        <v>311.98948799999999</v>
      </c>
    </row>
    <row r="918" spans="1:11" x14ac:dyDescent="0.3">
      <c r="A918" t="s">
        <v>85</v>
      </c>
      <c r="B918">
        <v>1001</v>
      </c>
      <c r="C918" t="s">
        <v>86</v>
      </c>
      <c r="D918">
        <v>3.4998799999999999E-3</v>
      </c>
      <c r="E918" t="s">
        <v>74</v>
      </c>
      <c r="F918">
        <v>3.4998800000000001</v>
      </c>
      <c r="G918" t="s">
        <v>75</v>
      </c>
      <c r="H918">
        <v>3499.8780000000002</v>
      </c>
      <c r="I918" t="s">
        <v>76</v>
      </c>
      <c r="J918" t="s">
        <v>82</v>
      </c>
      <c r="K918">
        <v>285.72424230000001</v>
      </c>
    </row>
    <row r="920" spans="1:11" x14ac:dyDescent="0.3">
      <c r="A920" t="s">
        <v>183</v>
      </c>
    </row>
    <row r="921" spans="1:11" x14ac:dyDescent="0.3">
      <c r="A921" t="s">
        <v>72</v>
      </c>
      <c r="B921">
        <v>1</v>
      </c>
      <c r="C921" t="s">
        <v>81</v>
      </c>
      <c r="D921">
        <v>7.0451000000000003E-3</v>
      </c>
      <c r="E921" t="s">
        <v>74</v>
      </c>
      <c r="F921">
        <v>7.0450999999999997</v>
      </c>
      <c r="G921" t="s">
        <v>75</v>
      </c>
      <c r="H921">
        <v>7045.1</v>
      </c>
      <c r="I921" t="s">
        <v>76</v>
      </c>
      <c r="J921" t="s">
        <v>82</v>
      </c>
      <c r="K921">
        <v>141.9426272</v>
      </c>
    </row>
    <row r="922" spans="1:11" x14ac:dyDescent="0.3">
      <c r="A922" t="s">
        <v>83</v>
      </c>
      <c r="B922">
        <v>1000</v>
      </c>
      <c r="C922" t="s">
        <v>81</v>
      </c>
      <c r="D922">
        <v>3.5351900000000001E-3</v>
      </c>
      <c r="E922" t="s">
        <v>74</v>
      </c>
      <c r="F922">
        <v>3.5351900000000001</v>
      </c>
      <c r="G922" t="s">
        <v>75</v>
      </c>
      <c r="H922">
        <v>3535.1849999999999</v>
      </c>
      <c r="I922" t="s">
        <v>76</v>
      </c>
      <c r="J922" t="s">
        <v>82</v>
      </c>
      <c r="K922">
        <v>282.87060070000001</v>
      </c>
    </row>
    <row r="923" spans="1:11" x14ac:dyDescent="0.3">
      <c r="A923" t="s">
        <v>85</v>
      </c>
      <c r="B923">
        <v>1001</v>
      </c>
      <c r="C923" t="s">
        <v>86</v>
      </c>
      <c r="D923">
        <v>3.5388699999999999E-3</v>
      </c>
      <c r="E923" t="s">
        <v>74</v>
      </c>
      <c r="F923">
        <v>3.5388700000000002</v>
      </c>
      <c r="G923" t="s">
        <v>75</v>
      </c>
      <c r="H923">
        <v>3538.8710000000001</v>
      </c>
      <c r="I923" t="s">
        <v>76</v>
      </c>
      <c r="J923" t="s">
        <v>82</v>
      </c>
      <c r="K923">
        <v>282.57603269999998</v>
      </c>
    </row>
    <row r="925" spans="1:11" x14ac:dyDescent="0.3">
      <c r="A925" t="s">
        <v>66</v>
      </c>
    </row>
    <row r="927" spans="1:11" x14ac:dyDescent="0.3">
      <c r="A927" t="s">
        <v>184</v>
      </c>
    </row>
    <row r="928" spans="1:11" x14ac:dyDescent="0.3">
      <c r="A928" t="s">
        <v>68</v>
      </c>
    </row>
    <row r="929" spans="1:1" x14ac:dyDescent="0.3">
      <c r="A929" t="s">
        <v>69</v>
      </c>
    </row>
    <row r="930" spans="1:1" x14ac:dyDescent="0.3">
      <c r="A930" t="s">
        <v>70</v>
      </c>
    </row>
    <row r="931" spans="1:1" x14ac:dyDescent="0.3">
      <c r="A931" t="s">
        <v>115</v>
      </c>
    </row>
    <row r="932" spans="1:1" x14ac:dyDescent="0.3">
      <c r="A932" t="s">
        <v>116</v>
      </c>
    </row>
    <row r="933" spans="1:1" x14ac:dyDescent="0.3">
      <c r="A933" t="s">
        <v>117</v>
      </c>
    </row>
    <row r="934" spans="1:1" x14ac:dyDescent="0.3">
      <c r="A934" t="s">
        <v>118</v>
      </c>
    </row>
    <row r="935" spans="1:1" x14ac:dyDescent="0.3">
      <c r="A935" t="s">
        <v>119</v>
      </c>
    </row>
    <row r="936" spans="1:1" x14ac:dyDescent="0.3">
      <c r="A936" t="s">
        <v>120</v>
      </c>
    </row>
    <row r="937" spans="1:1" x14ac:dyDescent="0.3">
      <c r="A937" t="s">
        <v>121</v>
      </c>
    </row>
    <row r="938" spans="1:1" x14ac:dyDescent="0.3">
      <c r="A938" t="s">
        <v>122</v>
      </c>
    </row>
    <row r="939" spans="1:1" x14ac:dyDescent="0.3">
      <c r="A939" t="s">
        <v>123</v>
      </c>
    </row>
    <row r="940" spans="1:1" x14ac:dyDescent="0.3">
      <c r="A940" t="s">
        <v>124</v>
      </c>
    </row>
    <row r="941" spans="1:1" x14ac:dyDescent="0.3">
      <c r="A941" t="s">
        <v>125</v>
      </c>
    </row>
    <row r="942" spans="1:1" x14ac:dyDescent="0.3">
      <c r="A942" t="s">
        <v>126</v>
      </c>
    </row>
    <row r="943" spans="1:1" x14ac:dyDescent="0.3">
      <c r="A943" t="s">
        <v>127</v>
      </c>
    </row>
    <row r="944" spans="1:1" x14ac:dyDescent="0.3">
      <c r="A944" t="s">
        <v>185</v>
      </c>
    </row>
    <row r="945" spans="1:11" x14ac:dyDescent="0.3">
      <c r="A945" t="s">
        <v>186</v>
      </c>
    </row>
    <row r="946" spans="1:11" x14ac:dyDescent="0.3">
      <c r="A946" t="s">
        <v>72</v>
      </c>
      <c r="B946">
        <v>1</v>
      </c>
      <c r="C946" t="s">
        <v>73</v>
      </c>
      <c r="D946">
        <v>5.2000000000000002E-6</v>
      </c>
      <c r="E946" t="s">
        <v>74</v>
      </c>
      <c r="F946">
        <v>5.1999999999999998E-3</v>
      </c>
      <c r="G946" t="s">
        <v>75</v>
      </c>
      <c r="H946">
        <v>5.2</v>
      </c>
      <c r="I946" t="s">
        <v>76</v>
      </c>
      <c r="J946" t="s">
        <v>77</v>
      </c>
    </row>
    <row r="947" spans="1:11" x14ac:dyDescent="0.3">
      <c r="A947" t="s">
        <v>72</v>
      </c>
      <c r="B947">
        <v>1</v>
      </c>
      <c r="C947" t="s">
        <v>78</v>
      </c>
      <c r="D947">
        <v>0.1541999</v>
      </c>
      <c r="E947" t="s">
        <v>74</v>
      </c>
      <c r="F947">
        <v>154.19990000000001</v>
      </c>
      <c r="G947" t="s">
        <v>75</v>
      </c>
      <c r="H947">
        <v>154199.89799999999</v>
      </c>
      <c r="I947" t="s">
        <v>76</v>
      </c>
      <c r="J947" t="s">
        <v>77</v>
      </c>
    </row>
    <row r="948" spans="1:11" x14ac:dyDescent="0.3">
      <c r="A948" t="s">
        <v>72</v>
      </c>
      <c r="B948">
        <v>1</v>
      </c>
      <c r="C948" t="s">
        <v>79</v>
      </c>
      <c r="D948">
        <v>0.35390340999999997</v>
      </c>
      <c r="E948" t="s">
        <v>74</v>
      </c>
      <c r="F948">
        <v>353.90341000000001</v>
      </c>
      <c r="G948" t="s">
        <v>75</v>
      </c>
      <c r="H948">
        <v>353903.413</v>
      </c>
      <c r="I948" t="s">
        <v>76</v>
      </c>
      <c r="J948" t="s">
        <v>77</v>
      </c>
    </row>
    <row r="949" spans="1:11" x14ac:dyDescent="0.3">
      <c r="A949" t="s">
        <v>72</v>
      </c>
      <c r="B949">
        <v>1</v>
      </c>
      <c r="C949" t="s">
        <v>94</v>
      </c>
      <c r="D949">
        <v>9.2916000000000006E-3</v>
      </c>
      <c r="E949" t="s">
        <v>74</v>
      </c>
      <c r="F949">
        <v>9.2916000000000007</v>
      </c>
      <c r="G949" t="s">
        <v>75</v>
      </c>
      <c r="H949">
        <v>9291.6</v>
      </c>
      <c r="I949" t="s">
        <v>76</v>
      </c>
      <c r="J949" t="s">
        <v>77</v>
      </c>
    </row>
    <row r="950" spans="1:11" x14ac:dyDescent="0.3">
      <c r="A950" t="s">
        <v>72</v>
      </c>
      <c r="B950">
        <v>1</v>
      </c>
      <c r="C950" t="s">
        <v>80</v>
      </c>
      <c r="D950">
        <v>9.2922999999999999E-3</v>
      </c>
      <c r="E950" t="s">
        <v>74</v>
      </c>
      <c r="F950">
        <v>9.2922999999999991</v>
      </c>
      <c r="G950" t="s">
        <v>75</v>
      </c>
      <c r="H950">
        <v>9292.2999999999993</v>
      </c>
      <c r="I950" t="s">
        <v>76</v>
      </c>
      <c r="J950" t="s">
        <v>77</v>
      </c>
    </row>
    <row r="951" spans="1:11" x14ac:dyDescent="0.3">
      <c r="A951" t="s">
        <v>72</v>
      </c>
      <c r="B951">
        <v>1</v>
      </c>
      <c r="C951" t="s">
        <v>81</v>
      </c>
      <c r="D951">
        <v>0.36319818999999998</v>
      </c>
      <c r="E951" t="s">
        <v>74</v>
      </c>
      <c r="F951">
        <v>363.19819000000001</v>
      </c>
      <c r="G951" t="s">
        <v>75</v>
      </c>
      <c r="H951">
        <v>363198.19099999999</v>
      </c>
      <c r="I951" t="s">
        <v>76</v>
      </c>
      <c r="J951" t="s">
        <v>82</v>
      </c>
      <c r="K951">
        <v>2.7533177000000002</v>
      </c>
    </row>
    <row r="952" spans="1:11" x14ac:dyDescent="0.3">
      <c r="A952" t="s">
        <v>83</v>
      </c>
      <c r="B952">
        <v>1000</v>
      </c>
      <c r="C952" t="s">
        <v>79</v>
      </c>
      <c r="D952">
        <v>2.6870900000000001E-3</v>
      </c>
      <c r="E952" t="s">
        <v>74</v>
      </c>
      <c r="F952">
        <v>2.68709</v>
      </c>
      <c r="G952" t="s">
        <v>75</v>
      </c>
      <c r="H952">
        <v>2687.0909999999999</v>
      </c>
      <c r="I952" t="s">
        <v>76</v>
      </c>
      <c r="J952" t="s">
        <v>77</v>
      </c>
    </row>
    <row r="953" spans="1:11" x14ac:dyDescent="0.3">
      <c r="A953" t="s">
        <v>83</v>
      </c>
      <c r="B953">
        <v>1000</v>
      </c>
      <c r="C953" t="s">
        <v>94</v>
      </c>
      <c r="D953">
        <v>2.4916000000000001E-3</v>
      </c>
      <c r="E953" t="s">
        <v>74</v>
      </c>
      <c r="F953">
        <v>2.4916</v>
      </c>
      <c r="G953" t="s">
        <v>75</v>
      </c>
      <c r="H953">
        <v>2491.6039999999998</v>
      </c>
      <c r="I953" t="s">
        <v>76</v>
      </c>
      <c r="J953" t="s">
        <v>77</v>
      </c>
    </row>
    <row r="954" spans="1:11" x14ac:dyDescent="0.3">
      <c r="A954" t="s">
        <v>83</v>
      </c>
      <c r="B954">
        <v>1000</v>
      </c>
      <c r="C954" t="s">
        <v>80</v>
      </c>
      <c r="D954">
        <v>2.6628200000000002E-3</v>
      </c>
      <c r="E954" t="s">
        <v>74</v>
      </c>
      <c r="F954">
        <v>2.66282</v>
      </c>
      <c r="G954" t="s">
        <v>75</v>
      </c>
      <c r="H954">
        <v>2662.819</v>
      </c>
      <c r="I954" t="s">
        <v>76</v>
      </c>
      <c r="J954" t="s">
        <v>77</v>
      </c>
    </row>
    <row r="955" spans="1:11" x14ac:dyDescent="0.3">
      <c r="A955" t="s">
        <v>83</v>
      </c>
      <c r="B955">
        <v>1000</v>
      </c>
      <c r="C955" t="s">
        <v>81</v>
      </c>
      <c r="D955">
        <v>5.3507700000000004E-3</v>
      </c>
      <c r="E955" t="s">
        <v>74</v>
      </c>
      <c r="F955">
        <v>5.3507699999999998</v>
      </c>
      <c r="G955" t="s">
        <v>75</v>
      </c>
      <c r="H955">
        <v>5350.7709999999997</v>
      </c>
      <c r="I955" t="s">
        <v>76</v>
      </c>
      <c r="J955" t="s">
        <v>82</v>
      </c>
      <c r="K955">
        <v>186.8889566</v>
      </c>
    </row>
    <row r="956" spans="1:11" x14ac:dyDescent="0.3">
      <c r="A956" t="s">
        <v>84</v>
      </c>
      <c r="B956">
        <v>1001</v>
      </c>
      <c r="C956" t="s">
        <v>79</v>
      </c>
      <c r="D956">
        <v>3.0379600000000001E-3</v>
      </c>
      <c r="E956" t="s">
        <v>74</v>
      </c>
      <c r="F956">
        <v>3.03796</v>
      </c>
      <c r="G956" t="s">
        <v>75</v>
      </c>
      <c r="H956">
        <v>3037.9569999999999</v>
      </c>
      <c r="I956" t="s">
        <v>76</v>
      </c>
      <c r="J956" t="s">
        <v>77</v>
      </c>
    </row>
    <row r="957" spans="1:11" x14ac:dyDescent="0.3">
      <c r="A957" t="s">
        <v>84</v>
      </c>
      <c r="B957">
        <v>1001</v>
      </c>
      <c r="C957" t="s">
        <v>94</v>
      </c>
      <c r="D957">
        <v>2.4984E-3</v>
      </c>
      <c r="E957" t="s">
        <v>74</v>
      </c>
      <c r="F957">
        <v>2.4984000000000002</v>
      </c>
      <c r="G957" t="s">
        <v>75</v>
      </c>
      <c r="H957">
        <v>2498.3980000000001</v>
      </c>
      <c r="I957" t="s">
        <v>76</v>
      </c>
      <c r="J957" t="s">
        <v>77</v>
      </c>
    </row>
    <row r="958" spans="1:11" x14ac:dyDescent="0.3">
      <c r="A958" t="s">
        <v>84</v>
      </c>
      <c r="B958">
        <v>1001</v>
      </c>
      <c r="C958" t="s">
        <v>80</v>
      </c>
      <c r="D958">
        <v>2.6694399999999999E-3</v>
      </c>
      <c r="E958" t="s">
        <v>74</v>
      </c>
      <c r="F958">
        <v>2.6694399999999998</v>
      </c>
      <c r="G958" t="s">
        <v>75</v>
      </c>
      <c r="H958">
        <v>2669.442</v>
      </c>
      <c r="I958" t="s">
        <v>76</v>
      </c>
      <c r="J958" t="s">
        <v>77</v>
      </c>
    </row>
    <row r="959" spans="1:11" x14ac:dyDescent="0.3">
      <c r="A959" t="s">
        <v>84</v>
      </c>
      <c r="B959">
        <v>1001</v>
      </c>
      <c r="C959" t="s">
        <v>81</v>
      </c>
      <c r="D959">
        <v>5.7082599999999997E-3</v>
      </c>
      <c r="E959" t="s">
        <v>74</v>
      </c>
      <c r="F959">
        <v>5.7082600000000001</v>
      </c>
      <c r="G959" t="s">
        <v>75</v>
      </c>
      <c r="H959">
        <v>5708.2610000000004</v>
      </c>
      <c r="I959" t="s">
        <v>76</v>
      </c>
      <c r="J959" t="s">
        <v>82</v>
      </c>
      <c r="K959">
        <v>175.18470249999999</v>
      </c>
    </row>
    <row r="960" spans="1:11" x14ac:dyDescent="0.3">
      <c r="A960" t="s">
        <v>85</v>
      </c>
      <c r="B960">
        <v>1001</v>
      </c>
      <c r="C960" t="s">
        <v>86</v>
      </c>
      <c r="D960">
        <v>5.7084600000000003E-3</v>
      </c>
      <c r="E960" t="s">
        <v>74</v>
      </c>
      <c r="F960">
        <v>5.7084599999999996</v>
      </c>
      <c r="G960" t="s">
        <v>75</v>
      </c>
      <c r="H960">
        <v>5708.4629999999997</v>
      </c>
      <c r="I960" t="s">
        <v>76</v>
      </c>
      <c r="J960" t="s">
        <v>82</v>
      </c>
      <c r="K960">
        <v>175.17848950000001</v>
      </c>
    </row>
    <row r="961" spans="1:11" x14ac:dyDescent="0.3">
      <c r="A961" t="s">
        <v>187</v>
      </c>
    </row>
    <row r="962" spans="1:11" x14ac:dyDescent="0.3">
      <c r="A962" t="s">
        <v>188</v>
      </c>
    </row>
    <row r="963" spans="1:11" x14ac:dyDescent="0.3">
      <c r="A963" t="s">
        <v>72</v>
      </c>
      <c r="B963">
        <v>1</v>
      </c>
      <c r="C963" t="s">
        <v>73</v>
      </c>
      <c r="D963">
        <v>5.2000000000000002E-6</v>
      </c>
      <c r="E963" t="s">
        <v>74</v>
      </c>
      <c r="F963">
        <v>5.1999999999999998E-3</v>
      </c>
      <c r="G963" t="s">
        <v>75</v>
      </c>
      <c r="H963">
        <v>5.2</v>
      </c>
      <c r="I963" t="s">
        <v>76</v>
      </c>
      <c r="J963" t="s">
        <v>77</v>
      </c>
    </row>
    <row r="964" spans="1:11" x14ac:dyDescent="0.3">
      <c r="A964" t="s">
        <v>72</v>
      </c>
      <c r="B964">
        <v>1</v>
      </c>
      <c r="C964" t="s">
        <v>78</v>
      </c>
      <c r="D964">
        <v>3.9100000000000002E-5</v>
      </c>
      <c r="E964" t="s">
        <v>74</v>
      </c>
      <c r="F964">
        <v>3.9100000000000003E-2</v>
      </c>
      <c r="G964" t="s">
        <v>75</v>
      </c>
      <c r="H964">
        <v>39.1</v>
      </c>
      <c r="I964" t="s">
        <v>76</v>
      </c>
      <c r="J964" t="s">
        <v>77</v>
      </c>
    </row>
    <row r="965" spans="1:11" x14ac:dyDescent="0.3">
      <c r="A965" t="s">
        <v>72</v>
      </c>
      <c r="B965">
        <v>1</v>
      </c>
      <c r="C965" t="s">
        <v>79</v>
      </c>
      <c r="D965">
        <v>6.5557000000000002E-3</v>
      </c>
      <c r="E965" t="s">
        <v>74</v>
      </c>
      <c r="F965">
        <v>6.5556999999999999</v>
      </c>
      <c r="G965" t="s">
        <v>75</v>
      </c>
      <c r="H965">
        <v>6555.7</v>
      </c>
      <c r="I965" t="s">
        <v>76</v>
      </c>
      <c r="J965" t="s">
        <v>77</v>
      </c>
    </row>
    <row r="966" spans="1:11" x14ac:dyDescent="0.3">
      <c r="A966" t="s">
        <v>72</v>
      </c>
      <c r="B966">
        <v>1</v>
      </c>
      <c r="C966" t="s">
        <v>94</v>
      </c>
      <c r="D966">
        <v>2.7596999999999999E-3</v>
      </c>
      <c r="E966" t="s">
        <v>74</v>
      </c>
      <c r="F966">
        <v>2.7597</v>
      </c>
      <c r="G966" t="s">
        <v>75</v>
      </c>
      <c r="H966">
        <v>2759.7</v>
      </c>
      <c r="I966" t="s">
        <v>76</v>
      </c>
      <c r="J966" t="s">
        <v>77</v>
      </c>
    </row>
    <row r="967" spans="1:11" x14ac:dyDescent="0.3">
      <c r="A967" t="s">
        <v>72</v>
      </c>
      <c r="B967">
        <v>1</v>
      </c>
      <c r="C967" t="s">
        <v>80</v>
      </c>
      <c r="D967">
        <v>2.8999E-3</v>
      </c>
      <c r="E967" t="s">
        <v>74</v>
      </c>
      <c r="F967">
        <v>2.8999000000000001</v>
      </c>
      <c r="G967" t="s">
        <v>75</v>
      </c>
      <c r="H967">
        <v>2899.9</v>
      </c>
      <c r="I967" t="s">
        <v>76</v>
      </c>
      <c r="J967" t="s">
        <v>77</v>
      </c>
    </row>
    <row r="968" spans="1:11" x14ac:dyDescent="0.3">
      <c r="A968" t="s">
        <v>72</v>
      </c>
      <c r="B968">
        <v>1</v>
      </c>
      <c r="C968" t="s">
        <v>81</v>
      </c>
      <c r="D968">
        <v>9.4566000000000008E-3</v>
      </c>
      <c r="E968" t="s">
        <v>74</v>
      </c>
      <c r="F968">
        <v>9.4565999999999999</v>
      </c>
      <c r="G968" t="s">
        <v>75</v>
      </c>
      <c r="H968">
        <v>9456.6</v>
      </c>
      <c r="I968" t="s">
        <v>76</v>
      </c>
      <c r="J968" t="s">
        <v>82</v>
      </c>
      <c r="K968">
        <v>105.7462506</v>
      </c>
    </row>
    <row r="969" spans="1:11" x14ac:dyDescent="0.3">
      <c r="A969" t="s">
        <v>83</v>
      </c>
      <c r="B969">
        <v>1000</v>
      </c>
      <c r="C969" t="s">
        <v>79</v>
      </c>
      <c r="D969">
        <v>2.72997E-3</v>
      </c>
      <c r="E969" t="s">
        <v>74</v>
      </c>
      <c r="F969">
        <v>2.7299699999999998</v>
      </c>
      <c r="G969" t="s">
        <v>75</v>
      </c>
      <c r="H969">
        <v>2729.9740000000002</v>
      </c>
      <c r="I969" t="s">
        <v>76</v>
      </c>
      <c r="J969" t="s">
        <v>77</v>
      </c>
    </row>
    <row r="970" spans="1:11" x14ac:dyDescent="0.3">
      <c r="A970" t="s">
        <v>83</v>
      </c>
      <c r="B970">
        <v>1000</v>
      </c>
      <c r="C970" t="s">
        <v>94</v>
      </c>
      <c r="D970">
        <v>2.55442E-3</v>
      </c>
      <c r="E970" t="s">
        <v>74</v>
      </c>
      <c r="F970">
        <v>2.5544199999999999</v>
      </c>
      <c r="G970" t="s">
        <v>75</v>
      </c>
      <c r="H970">
        <v>2554.4229999999998</v>
      </c>
      <c r="I970" t="s">
        <v>76</v>
      </c>
      <c r="J970" t="s">
        <v>77</v>
      </c>
    </row>
    <row r="971" spans="1:11" x14ac:dyDescent="0.3">
      <c r="A971" t="s">
        <v>83</v>
      </c>
      <c r="B971">
        <v>1000</v>
      </c>
      <c r="C971" t="s">
        <v>80</v>
      </c>
      <c r="D971">
        <v>2.7362699999999998E-3</v>
      </c>
      <c r="E971" t="s">
        <v>74</v>
      </c>
      <c r="F971">
        <v>2.7362700000000002</v>
      </c>
      <c r="G971" t="s">
        <v>75</v>
      </c>
      <c r="H971">
        <v>2736.2660000000001</v>
      </c>
      <c r="I971" t="s">
        <v>76</v>
      </c>
      <c r="J971" t="s">
        <v>77</v>
      </c>
    </row>
    <row r="972" spans="1:11" x14ac:dyDescent="0.3">
      <c r="A972" t="s">
        <v>83</v>
      </c>
      <c r="B972">
        <v>1000</v>
      </c>
      <c r="C972" t="s">
        <v>81</v>
      </c>
      <c r="D972">
        <v>5.4673899999999999E-3</v>
      </c>
      <c r="E972" t="s">
        <v>74</v>
      </c>
      <c r="F972">
        <v>5.46739</v>
      </c>
      <c r="G972" t="s">
        <v>75</v>
      </c>
      <c r="H972">
        <v>5467.3890000000001</v>
      </c>
      <c r="I972" t="s">
        <v>76</v>
      </c>
      <c r="J972" t="s">
        <v>82</v>
      </c>
      <c r="K972">
        <v>182.90267399999999</v>
      </c>
    </row>
    <row r="973" spans="1:11" x14ac:dyDescent="0.3">
      <c r="A973" t="s">
        <v>84</v>
      </c>
      <c r="B973">
        <v>1001</v>
      </c>
      <c r="C973" t="s">
        <v>79</v>
      </c>
      <c r="D973">
        <v>2.7338000000000002E-3</v>
      </c>
      <c r="E973" t="s">
        <v>74</v>
      </c>
      <c r="F973">
        <v>2.7338</v>
      </c>
      <c r="G973" t="s">
        <v>75</v>
      </c>
      <c r="H973">
        <v>2733.7959999999998</v>
      </c>
      <c r="I973" t="s">
        <v>76</v>
      </c>
      <c r="J973" t="s">
        <v>77</v>
      </c>
    </row>
    <row r="974" spans="1:11" x14ac:dyDescent="0.3">
      <c r="A974" t="s">
        <v>84</v>
      </c>
      <c r="B974">
        <v>1001</v>
      </c>
      <c r="C974" t="s">
        <v>94</v>
      </c>
      <c r="D974">
        <v>2.55463E-3</v>
      </c>
      <c r="E974" t="s">
        <v>74</v>
      </c>
      <c r="F974">
        <v>2.55463</v>
      </c>
      <c r="G974" t="s">
        <v>75</v>
      </c>
      <c r="H974">
        <v>2554.6280000000002</v>
      </c>
      <c r="I974" t="s">
        <v>76</v>
      </c>
      <c r="J974" t="s">
        <v>77</v>
      </c>
    </row>
    <row r="975" spans="1:11" x14ac:dyDescent="0.3">
      <c r="A975" t="s">
        <v>84</v>
      </c>
      <c r="B975">
        <v>1001</v>
      </c>
      <c r="C975" t="s">
        <v>80</v>
      </c>
      <c r="D975">
        <v>2.7364300000000002E-3</v>
      </c>
      <c r="E975" t="s">
        <v>74</v>
      </c>
      <c r="F975">
        <v>2.7364299999999999</v>
      </c>
      <c r="G975" t="s">
        <v>75</v>
      </c>
      <c r="H975">
        <v>2736.43</v>
      </c>
      <c r="I975" t="s">
        <v>76</v>
      </c>
      <c r="J975" t="s">
        <v>77</v>
      </c>
    </row>
    <row r="976" spans="1:11" x14ac:dyDescent="0.3">
      <c r="A976" t="s">
        <v>84</v>
      </c>
      <c r="B976">
        <v>1001</v>
      </c>
      <c r="C976" t="s">
        <v>81</v>
      </c>
      <c r="D976">
        <v>5.4713699999999997E-3</v>
      </c>
      <c r="E976" t="s">
        <v>74</v>
      </c>
      <c r="F976">
        <v>5.4713700000000003</v>
      </c>
      <c r="G976" t="s">
        <v>75</v>
      </c>
      <c r="H976">
        <v>5471.3739999999998</v>
      </c>
      <c r="I976" t="s">
        <v>76</v>
      </c>
      <c r="J976" t="s">
        <v>82</v>
      </c>
      <c r="K976">
        <v>182.76943470000001</v>
      </c>
    </row>
    <row r="977" spans="1:11" x14ac:dyDescent="0.3">
      <c r="A977" t="s">
        <v>85</v>
      </c>
      <c r="B977">
        <v>1001</v>
      </c>
      <c r="C977" t="s">
        <v>86</v>
      </c>
      <c r="D977">
        <v>5.4715900000000001E-3</v>
      </c>
      <c r="E977" t="s">
        <v>74</v>
      </c>
      <c r="F977">
        <v>5.47159</v>
      </c>
      <c r="G977" t="s">
        <v>75</v>
      </c>
      <c r="H977">
        <v>5471.5929999999998</v>
      </c>
      <c r="I977" t="s">
        <v>76</v>
      </c>
      <c r="J977" t="s">
        <v>82</v>
      </c>
      <c r="K977">
        <v>182.7621311</v>
      </c>
    </row>
    <row r="978" spans="1:11" x14ac:dyDescent="0.3">
      <c r="A978" t="s">
        <v>115</v>
      </c>
    </row>
    <row r="979" spans="1:11" x14ac:dyDescent="0.3">
      <c r="A979" t="s">
        <v>127</v>
      </c>
    </row>
    <row r="980" spans="1:11" x14ac:dyDescent="0.3">
      <c r="A980" t="s">
        <v>87</v>
      </c>
    </row>
    <row r="981" spans="1:11" x14ac:dyDescent="0.3">
      <c r="A981" t="s">
        <v>189</v>
      </c>
    </row>
    <row r="982" spans="1:11" x14ac:dyDescent="0.3">
      <c r="A982" t="s">
        <v>72</v>
      </c>
      <c r="B982">
        <v>1</v>
      </c>
      <c r="C982" t="s">
        <v>81</v>
      </c>
      <c r="D982">
        <v>0.36319818999999998</v>
      </c>
      <c r="E982" t="s">
        <v>74</v>
      </c>
      <c r="F982">
        <v>363.19819000000001</v>
      </c>
      <c r="G982" t="s">
        <v>75</v>
      </c>
      <c r="H982">
        <v>363198.19099999999</v>
      </c>
      <c r="I982" t="s">
        <v>76</v>
      </c>
      <c r="J982" t="s">
        <v>82</v>
      </c>
      <c r="K982">
        <v>2.7533177000000002</v>
      </c>
    </row>
    <row r="983" spans="1:11" x14ac:dyDescent="0.3">
      <c r="A983" t="s">
        <v>83</v>
      </c>
      <c r="B983">
        <v>1000</v>
      </c>
      <c r="C983" t="s">
        <v>81</v>
      </c>
      <c r="D983">
        <v>5.3507700000000004E-3</v>
      </c>
      <c r="E983" t="s">
        <v>74</v>
      </c>
      <c r="F983">
        <v>5.3507699999999998</v>
      </c>
      <c r="G983" t="s">
        <v>75</v>
      </c>
      <c r="H983">
        <v>5350.7709999999997</v>
      </c>
      <c r="I983" t="s">
        <v>76</v>
      </c>
      <c r="J983" t="s">
        <v>82</v>
      </c>
      <c r="K983">
        <v>186.8889566</v>
      </c>
    </row>
    <row r="984" spans="1:11" x14ac:dyDescent="0.3">
      <c r="A984" t="s">
        <v>85</v>
      </c>
      <c r="B984">
        <v>1001</v>
      </c>
      <c r="C984" t="s">
        <v>86</v>
      </c>
      <c r="D984">
        <v>5.7084600000000003E-3</v>
      </c>
      <c r="E984" t="s">
        <v>74</v>
      </c>
      <c r="F984">
        <v>5.7084599999999996</v>
      </c>
      <c r="G984" t="s">
        <v>75</v>
      </c>
      <c r="H984">
        <v>5708.4629999999997</v>
      </c>
      <c r="I984" t="s">
        <v>76</v>
      </c>
      <c r="J984" t="s">
        <v>82</v>
      </c>
      <c r="K984">
        <v>175.17848950000001</v>
      </c>
    </row>
    <row r="986" spans="1:11" x14ac:dyDescent="0.3">
      <c r="A986" t="s">
        <v>190</v>
      </c>
    </row>
    <row r="987" spans="1:11" x14ac:dyDescent="0.3">
      <c r="A987" t="s">
        <v>72</v>
      </c>
      <c r="B987">
        <v>1</v>
      </c>
      <c r="C987" t="s">
        <v>81</v>
      </c>
      <c r="D987">
        <v>9.4566000000000008E-3</v>
      </c>
      <c r="E987" t="s">
        <v>74</v>
      </c>
      <c r="F987">
        <v>9.4565999999999999</v>
      </c>
      <c r="G987" t="s">
        <v>75</v>
      </c>
      <c r="H987">
        <v>9456.6</v>
      </c>
      <c r="I987" t="s">
        <v>76</v>
      </c>
      <c r="J987" t="s">
        <v>82</v>
      </c>
      <c r="K987">
        <v>105.7462506</v>
      </c>
    </row>
    <row r="988" spans="1:11" x14ac:dyDescent="0.3">
      <c r="A988" t="s">
        <v>83</v>
      </c>
      <c r="B988">
        <v>1000</v>
      </c>
      <c r="C988" t="s">
        <v>81</v>
      </c>
      <c r="D988">
        <v>5.4673899999999999E-3</v>
      </c>
      <c r="E988" t="s">
        <v>74</v>
      </c>
      <c r="F988">
        <v>5.46739</v>
      </c>
      <c r="G988" t="s">
        <v>75</v>
      </c>
      <c r="H988">
        <v>5467.3890000000001</v>
      </c>
      <c r="I988" t="s">
        <v>76</v>
      </c>
      <c r="J988" t="s">
        <v>82</v>
      </c>
      <c r="K988">
        <v>182.90267399999999</v>
      </c>
    </row>
    <row r="989" spans="1:11" x14ac:dyDescent="0.3">
      <c r="A989" t="s">
        <v>85</v>
      </c>
      <c r="B989">
        <v>1001</v>
      </c>
      <c r="C989" t="s">
        <v>86</v>
      </c>
      <c r="D989">
        <v>5.4715900000000001E-3</v>
      </c>
      <c r="E989" t="s">
        <v>74</v>
      </c>
      <c r="F989">
        <v>5.47159</v>
      </c>
      <c r="G989" t="s">
        <v>75</v>
      </c>
      <c r="H989">
        <v>5471.5929999999998</v>
      </c>
      <c r="I989" t="s">
        <v>76</v>
      </c>
      <c r="J989" t="s">
        <v>82</v>
      </c>
      <c r="K989">
        <v>182.7621311</v>
      </c>
    </row>
    <row r="991" spans="1:11" x14ac:dyDescent="0.3">
      <c r="A991" t="s">
        <v>66</v>
      </c>
    </row>
    <row r="993" spans="1:1" x14ac:dyDescent="0.3">
      <c r="A993" t="s">
        <v>191</v>
      </c>
    </row>
    <row r="994" spans="1:1" x14ac:dyDescent="0.3">
      <c r="A994" t="s">
        <v>68</v>
      </c>
    </row>
    <row r="995" spans="1:1" x14ac:dyDescent="0.3">
      <c r="A995" t="s">
        <v>69</v>
      </c>
    </row>
    <row r="996" spans="1:1" x14ac:dyDescent="0.3">
      <c r="A996" t="s">
        <v>70</v>
      </c>
    </row>
    <row r="997" spans="1:1" x14ac:dyDescent="0.3">
      <c r="A997" t="s">
        <v>115</v>
      </c>
    </row>
    <row r="998" spans="1:1" x14ac:dyDescent="0.3">
      <c r="A998" t="s">
        <v>116</v>
      </c>
    </row>
    <row r="999" spans="1:1" x14ac:dyDescent="0.3">
      <c r="A999" t="s">
        <v>117</v>
      </c>
    </row>
    <row r="1000" spans="1:1" x14ac:dyDescent="0.3">
      <c r="A1000" t="s">
        <v>118</v>
      </c>
    </row>
    <row r="1001" spans="1:1" x14ac:dyDescent="0.3">
      <c r="A1001" t="s">
        <v>119</v>
      </c>
    </row>
    <row r="1002" spans="1:1" x14ac:dyDescent="0.3">
      <c r="A1002" t="s">
        <v>120</v>
      </c>
    </row>
    <row r="1003" spans="1:1" x14ac:dyDescent="0.3">
      <c r="A1003" t="s">
        <v>121</v>
      </c>
    </row>
    <row r="1004" spans="1:1" x14ac:dyDescent="0.3">
      <c r="A1004" t="s">
        <v>122</v>
      </c>
    </row>
    <row r="1005" spans="1:1" x14ac:dyDescent="0.3">
      <c r="A1005" t="s">
        <v>123</v>
      </c>
    </row>
    <row r="1006" spans="1:1" x14ac:dyDescent="0.3">
      <c r="A1006" t="s">
        <v>124</v>
      </c>
    </row>
    <row r="1007" spans="1:1" x14ac:dyDescent="0.3">
      <c r="A1007" t="s">
        <v>125</v>
      </c>
    </row>
    <row r="1008" spans="1:1" x14ac:dyDescent="0.3">
      <c r="A1008" t="s">
        <v>126</v>
      </c>
    </row>
    <row r="1009" spans="1:11" x14ac:dyDescent="0.3">
      <c r="A1009" t="s">
        <v>127</v>
      </c>
    </row>
    <row r="1010" spans="1:11" x14ac:dyDescent="0.3">
      <c r="A1010" t="s">
        <v>192</v>
      </c>
    </row>
    <row r="1011" spans="1:11" x14ac:dyDescent="0.3">
      <c r="A1011" t="s">
        <v>193</v>
      </c>
    </row>
    <row r="1012" spans="1:11" x14ac:dyDescent="0.3">
      <c r="A1012" t="s">
        <v>72</v>
      </c>
      <c r="B1012">
        <v>1</v>
      </c>
      <c r="C1012" t="s">
        <v>73</v>
      </c>
      <c r="D1012">
        <v>4.1999999999999996E-6</v>
      </c>
      <c r="E1012" t="s">
        <v>74</v>
      </c>
      <c r="F1012">
        <v>4.1999999999999997E-3</v>
      </c>
      <c r="G1012" t="s">
        <v>75</v>
      </c>
      <c r="H1012">
        <v>4.2</v>
      </c>
      <c r="I1012" t="s">
        <v>76</v>
      </c>
      <c r="J1012" t="s">
        <v>77</v>
      </c>
    </row>
    <row r="1013" spans="1:11" x14ac:dyDescent="0.3">
      <c r="A1013" t="s">
        <v>72</v>
      </c>
      <c r="B1013">
        <v>1</v>
      </c>
      <c r="C1013" t="s">
        <v>78</v>
      </c>
      <c r="D1013">
        <v>0.13123280000000001</v>
      </c>
      <c r="E1013" t="s">
        <v>74</v>
      </c>
      <c r="F1013">
        <v>131.2328</v>
      </c>
      <c r="G1013" t="s">
        <v>75</v>
      </c>
      <c r="H1013">
        <v>131232.79800000001</v>
      </c>
      <c r="I1013" t="s">
        <v>76</v>
      </c>
      <c r="J1013" t="s">
        <v>77</v>
      </c>
    </row>
    <row r="1014" spans="1:11" x14ac:dyDescent="0.3">
      <c r="A1014" t="s">
        <v>72</v>
      </c>
      <c r="B1014">
        <v>1</v>
      </c>
      <c r="C1014" t="s">
        <v>79</v>
      </c>
      <c r="D1014">
        <v>0.28827049999999999</v>
      </c>
      <c r="E1014" t="s">
        <v>74</v>
      </c>
      <c r="F1014">
        <v>288.27050000000003</v>
      </c>
      <c r="G1014" t="s">
        <v>75</v>
      </c>
      <c r="H1014">
        <v>288270.50300000003</v>
      </c>
      <c r="I1014" t="s">
        <v>76</v>
      </c>
      <c r="J1014" t="s">
        <v>77</v>
      </c>
    </row>
    <row r="1015" spans="1:11" x14ac:dyDescent="0.3">
      <c r="A1015" t="s">
        <v>72</v>
      </c>
      <c r="B1015">
        <v>1</v>
      </c>
      <c r="C1015" t="s">
        <v>94</v>
      </c>
      <c r="D1015">
        <v>9.2353000000000001E-3</v>
      </c>
      <c r="E1015" t="s">
        <v>74</v>
      </c>
      <c r="F1015">
        <v>9.2353000000000005</v>
      </c>
      <c r="G1015" t="s">
        <v>75</v>
      </c>
      <c r="H1015">
        <v>9235.2999999999993</v>
      </c>
      <c r="I1015" t="s">
        <v>76</v>
      </c>
      <c r="J1015" t="s">
        <v>77</v>
      </c>
    </row>
    <row r="1016" spans="1:11" x14ac:dyDescent="0.3">
      <c r="A1016" t="s">
        <v>72</v>
      </c>
      <c r="B1016">
        <v>1</v>
      </c>
      <c r="C1016" t="s">
        <v>80</v>
      </c>
      <c r="D1016">
        <v>9.2359E-3</v>
      </c>
      <c r="E1016" t="s">
        <v>74</v>
      </c>
      <c r="F1016">
        <v>9.2359000000000009</v>
      </c>
      <c r="G1016" t="s">
        <v>75</v>
      </c>
      <c r="H1016">
        <v>9235.9</v>
      </c>
      <c r="I1016" t="s">
        <v>76</v>
      </c>
      <c r="J1016" t="s">
        <v>77</v>
      </c>
    </row>
    <row r="1017" spans="1:11" x14ac:dyDescent="0.3">
      <c r="A1017" t="s">
        <v>72</v>
      </c>
      <c r="B1017">
        <v>1</v>
      </c>
      <c r="C1017" t="s">
        <v>81</v>
      </c>
      <c r="D1017">
        <v>0.29750969999999999</v>
      </c>
      <c r="E1017" t="s">
        <v>74</v>
      </c>
      <c r="F1017">
        <v>297.50970000000001</v>
      </c>
      <c r="G1017" t="s">
        <v>75</v>
      </c>
      <c r="H1017">
        <v>297509.7</v>
      </c>
      <c r="I1017" t="s">
        <v>76</v>
      </c>
      <c r="J1017" t="s">
        <v>82</v>
      </c>
      <c r="K1017">
        <v>3.3612348999999999</v>
      </c>
    </row>
    <row r="1018" spans="1:11" x14ac:dyDescent="0.3">
      <c r="A1018" t="s">
        <v>83</v>
      </c>
      <c r="B1018">
        <v>1000</v>
      </c>
      <c r="C1018" t="s">
        <v>79</v>
      </c>
      <c r="D1018">
        <v>3.47525E-3</v>
      </c>
      <c r="E1018" t="s">
        <v>74</v>
      </c>
      <c r="F1018">
        <v>3.47525</v>
      </c>
      <c r="G1018" t="s">
        <v>75</v>
      </c>
      <c r="H1018">
        <v>3475.252</v>
      </c>
      <c r="I1018" t="s">
        <v>76</v>
      </c>
      <c r="J1018" t="s">
        <v>77</v>
      </c>
    </row>
    <row r="1019" spans="1:11" x14ac:dyDescent="0.3">
      <c r="A1019" t="s">
        <v>83</v>
      </c>
      <c r="B1019">
        <v>1000</v>
      </c>
      <c r="C1019" t="s">
        <v>94</v>
      </c>
      <c r="D1019">
        <v>2.4841899999999998E-3</v>
      </c>
      <c r="E1019" t="s">
        <v>74</v>
      </c>
      <c r="F1019">
        <v>2.4841899999999999</v>
      </c>
      <c r="G1019" t="s">
        <v>75</v>
      </c>
      <c r="H1019">
        <v>2484.192</v>
      </c>
      <c r="I1019" t="s">
        <v>76</v>
      </c>
      <c r="J1019" t="s">
        <v>77</v>
      </c>
    </row>
    <row r="1020" spans="1:11" x14ac:dyDescent="0.3">
      <c r="A1020" t="s">
        <v>83</v>
      </c>
      <c r="B1020">
        <v>1000</v>
      </c>
      <c r="C1020" t="s">
        <v>80</v>
      </c>
      <c r="D1020">
        <v>2.6540600000000002E-3</v>
      </c>
      <c r="E1020" t="s">
        <v>74</v>
      </c>
      <c r="F1020">
        <v>2.6540599999999999</v>
      </c>
      <c r="G1020" t="s">
        <v>75</v>
      </c>
      <c r="H1020">
        <v>2654.0590000000002</v>
      </c>
      <c r="I1020" t="s">
        <v>76</v>
      </c>
      <c r="J1020" t="s">
        <v>77</v>
      </c>
    </row>
    <row r="1021" spans="1:11" x14ac:dyDescent="0.3">
      <c r="A1021" t="s">
        <v>83</v>
      </c>
      <c r="B1021">
        <v>1000</v>
      </c>
      <c r="C1021" t="s">
        <v>81</v>
      </c>
      <c r="D1021">
        <v>6.1302800000000001E-3</v>
      </c>
      <c r="E1021" t="s">
        <v>74</v>
      </c>
      <c r="F1021">
        <v>6.13028</v>
      </c>
      <c r="G1021" t="s">
        <v>75</v>
      </c>
      <c r="H1021">
        <v>6130.277</v>
      </c>
      <c r="I1021" t="s">
        <v>76</v>
      </c>
      <c r="J1021" t="s">
        <v>82</v>
      </c>
      <c r="K1021">
        <v>163.12477430000001</v>
      </c>
    </row>
    <row r="1022" spans="1:11" x14ac:dyDescent="0.3">
      <c r="A1022" t="s">
        <v>84</v>
      </c>
      <c r="B1022">
        <v>1001</v>
      </c>
      <c r="C1022" t="s">
        <v>79</v>
      </c>
      <c r="D1022">
        <v>3.75976E-3</v>
      </c>
      <c r="E1022" t="s">
        <v>74</v>
      </c>
      <c r="F1022">
        <v>3.75976</v>
      </c>
      <c r="G1022" t="s">
        <v>75</v>
      </c>
      <c r="H1022">
        <v>3759.761</v>
      </c>
      <c r="I1022" t="s">
        <v>76</v>
      </c>
      <c r="J1022" t="s">
        <v>77</v>
      </c>
    </row>
    <row r="1023" spans="1:11" x14ac:dyDescent="0.3">
      <c r="A1023" t="s">
        <v>84</v>
      </c>
      <c r="B1023">
        <v>1001</v>
      </c>
      <c r="C1023" t="s">
        <v>94</v>
      </c>
      <c r="D1023">
        <v>2.4909400000000001E-3</v>
      </c>
      <c r="E1023" t="s">
        <v>74</v>
      </c>
      <c r="F1023">
        <v>2.4909400000000002</v>
      </c>
      <c r="G1023" t="s">
        <v>75</v>
      </c>
      <c r="H1023">
        <v>2490.9360000000001</v>
      </c>
      <c r="I1023" t="s">
        <v>76</v>
      </c>
      <c r="J1023" t="s">
        <v>77</v>
      </c>
    </row>
    <row r="1024" spans="1:11" x14ac:dyDescent="0.3">
      <c r="A1024" t="s">
        <v>84</v>
      </c>
      <c r="B1024">
        <v>1001</v>
      </c>
      <c r="C1024" t="s">
        <v>80</v>
      </c>
      <c r="D1024">
        <v>2.6606400000000001E-3</v>
      </c>
      <c r="E1024" t="s">
        <v>74</v>
      </c>
      <c r="F1024">
        <v>2.6606399999999999</v>
      </c>
      <c r="G1024" t="s">
        <v>75</v>
      </c>
      <c r="H1024">
        <v>2660.6350000000002</v>
      </c>
      <c r="I1024" t="s">
        <v>76</v>
      </c>
      <c r="J1024" t="s">
        <v>77</v>
      </c>
    </row>
    <row r="1025" spans="1:11" x14ac:dyDescent="0.3">
      <c r="A1025" t="s">
        <v>84</v>
      </c>
      <c r="B1025">
        <v>1001</v>
      </c>
      <c r="C1025" t="s">
        <v>81</v>
      </c>
      <c r="D1025">
        <v>6.42137E-3</v>
      </c>
      <c r="E1025" t="s">
        <v>74</v>
      </c>
      <c r="F1025">
        <v>6.4213699999999996</v>
      </c>
      <c r="G1025" t="s">
        <v>75</v>
      </c>
      <c r="H1025">
        <v>6421.366</v>
      </c>
      <c r="I1025" t="s">
        <v>76</v>
      </c>
      <c r="J1025" t="s">
        <v>82</v>
      </c>
      <c r="K1025">
        <v>155.73010629999999</v>
      </c>
    </row>
    <row r="1026" spans="1:11" x14ac:dyDescent="0.3">
      <c r="A1026" t="s">
        <v>85</v>
      </c>
      <c r="B1026">
        <v>1001</v>
      </c>
      <c r="C1026" t="s">
        <v>86</v>
      </c>
      <c r="D1026">
        <v>6.4215599999999998E-3</v>
      </c>
      <c r="E1026" t="s">
        <v>74</v>
      </c>
      <c r="F1026">
        <v>6.4215600000000004</v>
      </c>
      <c r="G1026" t="s">
        <v>75</v>
      </c>
      <c r="H1026">
        <v>6421.5559999999996</v>
      </c>
      <c r="I1026" t="s">
        <v>76</v>
      </c>
      <c r="J1026" t="s">
        <v>82</v>
      </c>
      <c r="K1026">
        <v>155.7254854</v>
      </c>
    </row>
    <row r="1027" spans="1:11" x14ac:dyDescent="0.3">
      <c r="A1027" t="s">
        <v>194</v>
      </c>
    </row>
    <row r="1028" spans="1:11" x14ac:dyDescent="0.3">
      <c r="A1028" t="s">
        <v>195</v>
      </c>
    </row>
    <row r="1029" spans="1:11" x14ac:dyDescent="0.3">
      <c r="A1029" t="s">
        <v>72</v>
      </c>
      <c r="B1029">
        <v>1</v>
      </c>
      <c r="C1029" t="s">
        <v>73</v>
      </c>
      <c r="D1029">
        <v>4.1999999999999996E-6</v>
      </c>
      <c r="E1029" t="s">
        <v>74</v>
      </c>
      <c r="F1029">
        <v>4.1999999999999997E-3</v>
      </c>
      <c r="G1029" t="s">
        <v>75</v>
      </c>
      <c r="H1029">
        <v>4.2</v>
      </c>
      <c r="I1029" t="s">
        <v>76</v>
      </c>
      <c r="J1029" t="s">
        <v>77</v>
      </c>
    </row>
    <row r="1030" spans="1:11" x14ac:dyDescent="0.3">
      <c r="A1030" t="s">
        <v>72</v>
      </c>
      <c r="B1030">
        <v>1</v>
      </c>
      <c r="C1030" t="s">
        <v>78</v>
      </c>
      <c r="D1030">
        <v>3.9199999999999997E-5</v>
      </c>
      <c r="E1030" t="s">
        <v>74</v>
      </c>
      <c r="F1030">
        <v>3.9199999999999999E-2</v>
      </c>
      <c r="G1030" t="s">
        <v>75</v>
      </c>
      <c r="H1030">
        <v>39.200000000000003</v>
      </c>
      <c r="I1030" t="s">
        <v>76</v>
      </c>
      <c r="J1030" t="s">
        <v>77</v>
      </c>
    </row>
    <row r="1031" spans="1:11" x14ac:dyDescent="0.3">
      <c r="A1031" t="s">
        <v>72</v>
      </c>
      <c r="B1031">
        <v>1</v>
      </c>
      <c r="C1031" t="s">
        <v>79</v>
      </c>
      <c r="D1031">
        <v>6.6309999999999997E-3</v>
      </c>
      <c r="E1031" t="s">
        <v>74</v>
      </c>
      <c r="F1031">
        <v>6.6310000000000002</v>
      </c>
      <c r="G1031" t="s">
        <v>75</v>
      </c>
      <c r="H1031">
        <v>6631</v>
      </c>
      <c r="I1031" t="s">
        <v>76</v>
      </c>
      <c r="J1031" t="s">
        <v>77</v>
      </c>
    </row>
    <row r="1032" spans="1:11" x14ac:dyDescent="0.3">
      <c r="A1032" t="s">
        <v>72</v>
      </c>
      <c r="B1032">
        <v>1</v>
      </c>
      <c r="C1032" t="s">
        <v>94</v>
      </c>
      <c r="D1032">
        <v>2.6375000000000001E-3</v>
      </c>
      <c r="E1032" t="s">
        <v>74</v>
      </c>
      <c r="F1032">
        <v>2.6375000000000002</v>
      </c>
      <c r="G1032" t="s">
        <v>75</v>
      </c>
      <c r="H1032">
        <v>2637.5</v>
      </c>
      <c r="I1032" t="s">
        <v>76</v>
      </c>
      <c r="J1032" t="s">
        <v>77</v>
      </c>
    </row>
    <row r="1033" spans="1:11" x14ac:dyDescent="0.3">
      <c r="A1033" t="s">
        <v>72</v>
      </c>
      <c r="B1033">
        <v>1</v>
      </c>
      <c r="C1033" t="s">
        <v>80</v>
      </c>
      <c r="D1033">
        <v>2.8528999999999998E-3</v>
      </c>
      <c r="E1033" t="s">
        <v>74</v>
      </c>
      <c r="F1033">
        <v>2.8529</v>
      </c>
      <c r="G1033" t="s">
        <v>75</v>
      </c>
      <c r="H1033">
        <v>2852.9</v>
      </c>
      <c r="I1033" t="s">
        <v>76</v>
      </c>
      <c r="J1033" t="s">
        <v>77</v>
      </c>
    </row>
    <row r="1034" spans="1:11" x14ac:dyDescent="0.3">
      <c r="A1034" t="s">
        <v>72</v>
      </c>
      <c r="B1034">
        <v>1</v>
      </c>
      <c r="C1034" t="s">
        <v>81</v>
      </c>
      <c r="D1034">
        <v>9.4850000000000004E-3</v>
      </c>
      <c r="E1034" t="s">
        <v>74</v>
      </c>
      <c r="F1034">
        <v>9.4849999999999994</v>
      </c>
      <c r="G1034" t="s">
        <v>75</v>
      </c>
      <c r="H1034">
        <v>9485</v>
      </c>
      <c r="I1034" t="s">
        <v>76</v>
      </c>
      <c r="J1034" t="s">
        <v>82</v>
      </c>
      <c r="K1034">
        <v>105.42962780000001</v>
      </c>
    </row>
    <row r="1035" spans="1:11" x14ac:dyDescent="0.3">
      <c r="A1035" t="s">
        <v>83</v>
      </c>
      <c r="B1035">
        <v>1000</v>
      </c>
      <c r="C1035" t="s">
        <v>79</v>
      </c>
      <c r="D1035">
        <v>3.7407899999999999E-3</v>
      </c>
      <c r="E1035" t="s">
        <v>74</v>
      </c>
      <c r="F1035">
        <v>3.7407900000000001</v>
      </c>
      <c r="G1035" t="s">
        <v>75</v>
      </c>
      <c r="H1035">
        <v>3740.7939999999999</v>
      </c>
      <c r="I1035" t="s">
        <v>76</v>
      </c>
      <c r="J1035" t="s">
        <v>77</v>
      </c>
    </row>
    <row r="1036" spans="1:11" x14ac:dyDescent="0.3">
      <c r="A1036" t="s">
        <v>83</v>
      </c>
      <c r="B1036">
        <v>1000</v>
      </c>
      <c r="C1036" t="s">
        <v>94</v>
      </c>
      <c r="D1036">
        <v>2.5357499999999998E-3</v>
      </c>
      <c r="E1036" t="s">
        <v>74</v>
      </c>
      <c r="F1036">
        <v>2.5357500000000002</v>
      </c>
      <c r="G1036" t="s">
        <v>75</v>
      </c>
      <c r="H1036">
        <v>2535.7510000000002</v>
      </c>
      <c r="I1036" t="s">
        <v>76</v>
      </c>
      <c r="J1036" t="s">
        <v>77</v>
      </c>
    </row>
    <row r="1037" spans="1:11" x14ac:dyDescent="0.3">
      <c r="A1037" t="s">
        <v>83</v>
      </c>
      <c r="B1037">
        <v>1000</v>
      </c>
      <c r="C1037" t="s">
        <v>80</v>
      </c>
      <c r="D1037">
        <v>2.7170599999999999E-3</v>
      </c>
      <c r="E1037" t="s">
        <v>74</v>
      </c>
      <c r="F1037">
        <v>2.71706</v>
      </c>
      <c r="G1037" t="s">
        <v>75</v>
      </c>
      <c r="H1037">
        <v>2717.0590000000002</v>
      </c>
      <c r="I1037" t="s">
        <v>76</v>
      </c>
      <c r="J1037" t="s">
        <v>77</v>
      </c>
    </row>
    <row r="1038" spans="1:11" x14ac:dyDescent="0.3">
      <c r="A1038" t="s">
        <v>83</v>
      </c>
      <c r="B1038">
        <v>1000</v>
      </c>
      <c r="C1038" t="s">
        <v>81</v>
      </c>
      <c r="D1038">
        <v>6.4590899999999998E-3</v>
      </c>
      <c r="E1038" t="s">
        <v>74</v>
      </c>
      <c r="F1038">
        <v>6.4590899999999998</v>
      </c>
      <c r="G1038" t="s">
        <v>75</v>
      </c>
      <c r="H1038">
        <v>6459.0910000000003</v>
      </c>
      <c r="I1038" t="s">
        <v>76</v>
      </c>
      <c r="J1038" t="s">
        <v>82</v>
      </c>
      <c r="K1038">
        <v>154.8205423</v>
      </c>
    </row>
    <row r="1039" spans="1:11" x14ac:dyDescent="0.3">
      <c r="A1039" t="s">
        <v>84</v>
      </c>
      <c r="B1039">
        <v>1001</v>
      </c>
      <c r="C1039" t="s">
        <v>79</v>
      </c>
      <c r="D1039">
        <v>3.7436800000000001E-3</v>
      </c>
      <c r="E1039" t="s">
        <v>74</v>
      </c>
      <c r="F1039">
        <v>3.7436799999999999</v>
      </c>
      <c r="G1039" t="s">
        <v>75</v>
      </c>
      <c r="H1039">
        <v>3743.6819999999998</v>
      </c>
      <c r="I1039" t="s">
        <v>76</v>
      </c>
      <c r="J1039" t="s">
        <v>77</v>
      </c>
    </row>
    <row r="1040" spans="1:11" x14ac:dyDescent="0.3">
      <c r="A1040" t="s">
        <v>84</v>
      </c>
      <c r="B1040">
        <v>1001</v>
      </c>
      <c r="C1040" t="s">
        <v>94</v>
      </c>
      <c r="D1040">
        <v>2.5358500000000001E-3</v>
      </c>
      <c r="E1040" t="s">
        <v>74</v>
      </c>
      <c r="F1040">
        <v>2.5358499999999999</v>
      </c>
      <c r="G1040" t="s">
        <v>75</v>
      </c>
      <c r="H1040">
        <v>2535.8530000000001</v>
      </c>
      <c r="I1040" t="s">
        <v>76</v>
      </c>
      <c r="J1040" t="s">
        <v>77</v>
      </c>
    </row>
    <row r="1041" spans="1:11" x14ac:dyDescent="0.3">
      <c r="A1041" t="s">
        <v>84</v>
      </c>
      <c r="B1041">
        <v>1001</v>
      </c>
      <c r="C1041" t="s">
        <v>80</v>
      </c>
      <c r="D1041">
        <v>2.71719E-3</v>
      </c>
      <c r="E1041" t="s">
        <v>74</v>
      </c>
      <c r="F1041">
        <v>2.71719</v>
      </c>
      <c r="G1041" t="s">
        <v>75</v>
      </c>
      <c r="H1041">
        <v>2717.1950000000002</v>
      </c>
      <c r="I1041" t="s">
        <v>76</v>
      </c>
      <c r="J1041" t="s">
        <v>77</v>
      </c>
    </row>
    <row r="1042" spans="1:11" x14ac:dyDescent="0.3">
      <c r="A1042" t="s">
        <v>84</v>
      </c>
      <c r="B1042">
        <v>1001</v>
      </c>
      <c r="C1042" t="s">
        <v>81</v>
      </c>
      <c r="D1042">
        <v>6.4621100000000001E-3</v>
      </c>
      <c r="E1042" t="s">
        <v>74</v>
      </c>
      <c r="F1042">
        <v>6.46211</v>
      </c>
      <c r="G1042" t="s">
        <v>75</v>
      </c>
      <c r="H1042">
        <v>6462.1139999999996</v>
      </c>
      <c r="I1042" t="s">
        <v>76</v>
      </c>
      <c r="J1042" t="s">
        <v>82</v>
      </c>
      <c r="K1042">
        <v>154.74811349999999</v>
      </c>
    </row>
    <row r="1043" spans="1:11" x14ac:dyDescent="0.3">
      <c r="A1043" t="s">
        <v>85</v>
      </c>
      <c r="B1043">
        <v>1001</v>
      </c>
      <c r="C1043" t="s">
        <v>86</v>
      </c>
      <c r="D1043">
        <v>6.4623299999999996E-3</v>
      </c>
      <c r="E1043" t="s">
        <v>74</v>
      </c>
      <c r="F1043">
        <v>6.4623299999999997</v>
      </c>
      <c r="G1043" t="s">
        <v>75</v>
      </c>
      <c r="H1043">
        <v>6462.3339999999998</v>
      </c>
      <c r="I1043" t="s">
        <v>76</v>
      </c>
      <c r="J1043" t="s">
        <v>82</v>
      </c>
      <c r="K1043">
        <v>154.7428549</v>
      </c>
    </row>
    <row r="1044" spans="1:11" x14ac:dyDescent="0.3">
      <c r="A1044" t="s">
        <v>115</v>
      </c>
    </row>
    <row r="1045" spans="1:11" x14ac:dyDescent="0.3">
      <c r="A1045" t="s">
        <v>127</v>
      </c>
    </row>
    <row r="1046" spans="1:11" x14ac:dyDescent="0.3">
      <c r="A1046" t="s">
        <v>87</v>
      </c>
    </row>
    <row r="1047" spans="1:11" x14ac:dyDescent="0.3">
      <c r="A1047" t="s">
        <v>196</v>
      </c>
    </row>
    <row r="1048" spans="1:11" x14ac:dyDescent="0.3">
      <c r="A1048" t="s">
        <v>72</v>
      </c>
      <c r="B1048">
        <v>1</v>
      </c>
      <c r="C1048" t="s">
        <v>81</v>
      </c>
      <c r="D1048">
        <v>0.29750969999999999</v>
      </c>
      <c r="E1048" t="s">
        <v>74</v>
      </c>
      <c r="F1048">
        <v>297.50970000000001</v>
      </c>
      <c r="G1048" t="s">
        <v>75</v>
      </c>
      <c r="H1048">
        <v>297509.7</v>
      </c>
      <c r="I1048" t="s">
        <v>76</v>
      </c>
      <c r="J1048" t="s">
        <v>82</v>
      </c>
      <c r="K1048">
        <v>3.3612348999999999</v>
      </c>
    </row>
    <row r="1049" spans="1:11" x14ac:dyDescent="0.3">
      <c r="A1049" t="s">
        <v>83</v>
      </c>
      <c r="B1049">
        <v>1000</v>
      </c>
      <c r="C1049" t="s">
        <v>81</v>
      </c>
      <c r="D1049">
        <v>6.1302800000000001E-3</v>
      </c>
      <c r="E1049" t="s">
        <v>74</v>
      </c>
      <c r="F1049">
        <v>6.13028</v>
      </c>
      <c r="G1049" t="s">
        <v>75</v>
      </c>
      <c r="H1049">
        <v>6130.277</v>
      </c>
      <c r="I1049" t="s">
        <v>76</v>
      </c>
      <c r="J1049" t="s">
        <v>82</v>
      </c>
      <c r="K1049">
        <v>163.12477430000001</v>
      </c>
    </row>
    <row r="1050" spans="1:11" x14ac:dyDescent="0.3">
      <c r="A1050" t="s">
        <v>85</v>
      </c>
      <c r="B1050">
        <v>1001</v>
      </c>
      <c r="C1050" t="s">
        <v>86</v>
      </c>
      <c r="D1050">
        <v>6.4215599999999998E-3</v>
      </c>
      <c r="E1050" t="s">
        <v>74</v>
      </c>
      <c r="F1050">
        <v>6.4215600000000004</v>
      </c>
      <c r="G1050" t="s">
        <v>75</v>
      </c>
      <c r="H1050">
        <v>6421.5559999999996</v>
      </c>
      <c r="I1050" t="s">
        <v>76</v>
      </c>
      <c r="J1050" t="s">
        <v>82</v>
      </c>
      <c r="K1050">
        <v>155.7254854</v>
      </c>
    </row>
    <row r="1052" spans="1:11" x14ac:dyDescent="0.3">
      <c r="A1052" t="s">
        <v>197</v>
      </c>
    </row>
    <row r="1053" spans="1:11" x14ac:dyDescent="0.3">
      <c r="A1053" t="s">
        <v>72</v>
      </c>
      <c r="B1053">
        <v>1</v>
      </c>
      <c r="C1053" t="s">
        <v>81</v>
      </c>
      <c r="D1053">
        <v>9.4850000000000004E-3</v>
      </c>
      <c r="E1053" t="s">
        <v>74</v>
      </c>
      <c r="F1053">
        <v>9.4849999999999994</v>
      </c>
      <c r="G1053" t="s">
        <v>75</v>
      </c>
      <c r="H1053">
        <v>9485</v>
      </c>
      <c r="I1053" t="s">
        <v>76</v>
      </c>
      <c r="J1053" t="s">
        <v>82</v>
      </c>
      <c r="K1053">
        <v>105.42962780000001</v>
      </c>
    </row>
    <row r="1054" spans="1:11" x14ac:dyDescent="0.3">
      <c r="A1054" t="s">
        <v>83</v>
      </c>
      <c r="B1054">
        <v>1000</v>
      </c>
      <c r="C1054" t="s">
        <v>81</v>
      </c>
      <c r="D1054">
        <v>6.4590899999999998E-3</v>
      </c>
      <c r="E1054" t="s">
        <v>74</v>
      </c>
      <c r="F1054">
        <v>6.4590899999999998</v>
      </c>
      <c r="G1054" t="s">
        <v>75</v>
      </c>
      <c r="H1054">
        <v>6459.0910000000003</v>
      </c>
      <c r="I1054" t="s">
        <v>76</v>
      </c>
      <c r="J1054" t="s">
        <v>82</v>
      </c>
      <c r="K1054">
        <v>154.8205423</v>
      </c>
    </row>
    <row r="1055" spans="1:11" x14ac:dyDescent="0.3">
      <c r="A1055" t="s">
        <v>85</v>
      </c>
      <c r="B1055">
        <v>1001</v>
      </c>
      <c r="C1055" t="s">
        <v>86</v>
      </c>
      <c r="D1055">
        <v>6.4623299999999996E-3</v>
      </c>
      <c r="E1055" t="s">
        <v>74</v>
      </c>
      <c r="F1055">
        <v>6.4623299999999997</v>
      </c>
      <c r="G1055" t="s">
        <v>75</v>
      </c>
      <c r="H1055">
        <v>6462.3339999999998</v>
      </c>
      <c r="I1055" t="s">
        <v>76</v>
      </c>
      <c r="J1055" t="s">
        <v>82</v>
      </c>
      <c r="K1055">
        <v>154.7428549</v>
      </c>
    </row>
    <row r="1057" spans="1:1" x14ac:dyDescent="0.3">
      <c r="A1057" t="s">
        <v>66</v>
      </c>
    </row>
    <row r="1059" spans="1:1" x14ac:dyDescent="0.3">
      <c r="A1059" t="s">
        <v>198</v>
      </c>
    </row>
    <row r="1060" spans="1:1" x14ac:dyDescent="0.3">
      <c r="A1060" t="s">
        <v>68</v>
      </c>
    </row>
    <row r="1061" spans="1:1" x14ac:dyDescent="0.3">
      <c r="A1061" t="s">
        <v>69</v>
      </c>
    </row>
    <row r="1062" spans="1:1" x14ac:dyDescent="0.3">
      <c r="A1062" t="s">
        <v>70</v>
      </c>
    </row>
    <row r="1063" spans="1:1" x14ac:dyDescent="0.3">
      <c r="A1063" t="s">
        <v>115</v>
      </c>
    </row>
    <row r="1064" spans="1:1" x14ac:dyDescent="0.3">
      <c r="A1064" t="s">
        <v>116</v>
      </c>
    </row>
    <row r="1065" spans="1:1" x14ac:dyDescent="0.3">
      <c r="A1065" t="s">
        <v>117</v>
      </c>
    </row>
    <row r="1066" spans="1:1" x14ac:dyDescent="0.3">
      <c r="A1066" t="s">
        <v>118</v>
      </c>
    </row>
    <row r="1067" spans="1:1" x14ac:dyDescent="0.3">
      <c r="A1067" t="s">
        <v>119</v>
      </c>
    </row>
    <row r="1068" spans="1:1" x14ac:dyDescent="0.3">
      <c r="A1068" t="s">
        <v>120</v>
      </c>
    </row>
    <row r="1069" spans="1:1" x14ac:dyDescent="0.3">
      <c r="A1069" t="s">
        <v>121</v>
      </c>
    </row>
    <row r="1070" spans="1:1" x14ac:dyDescent="0.3">
      <c r="A1070" t="s">
        <v>122</v>
      </c>
    </row>
    <row r="1071" spans="1:1" x14ac:dyDescent="0.3">
      <c r="A1071" t="s">
        <v>123</v>
      </c>
    </row>
    <row r="1072" spans="1:1" x14ac:dyDescent="0.3">
      <c r="A1072" t="s">
        <v>124</v>
      </c>
    </row>
    <row r="1073" spans="1:11" x14ac:dyDescent="0.3">
      <c r="A1073" t="s">
        <v>125</v>
      </c>
    </row>
    <row r="1074" spans="1:11" x14ac:dyDescent="0.3">
      <c r="A1074" t="s">
        <v>126</v>
      </c>
    </row>
    <row r="1075" spans="1:11" x14ac:dyDescent="0.3">
      <c r="A1075" t="s">
        <v>127</v>
      </c>
    </row>
    <row r="1076" spans="1:11" x14ac:dyDescent="0.3">
      <c r="A1076" t="s">
        <v>199</v>
      </c>
    </row>
    <row r="1077" spans="1:11" x14ac:dyDescent="0.3">
      <c r="A1077" t="s">
        <v>200</v>
      </c>
    </row>
    <row r="1078" spans="1:11" x14ac:dyDescent="0.3">
      <c r="A1078" t="s">
        <v>72</v>
      </c>
      <c r="B1078">
        <v>1</v>
      </c>
      <c r="C1078" t="s">
        <v>73</v>
      </c>
      <c r="D1078">
        <v>3.9999999999999998E-6</v>
      </c>
      <c r="E1078" t="s">
        <v>74</v>
      </c>
      <c r="F1078">
        <v>4.0000000000000001E-3</v>
      </c>
      <c r="G1078" t="s">
        <v>75</v>
      </c>
      <c r="H1078">
        <v>4</v>
      </c>
      <c r="I1078" t="s">
        <v>76</v>
      </c>
      <c r="J1078" t="s">
        <v>77</v>
      </c>
    </row>
    <row r="1079" spans="1:11" x14ac:dyDescent="0.3">
      <c r="A1079" t="s">
        <v>72</v>
      </c>
      <c r="B1079">
        <v>1</v>
      </c>
      <c r="C1079" t="s">
        <v>78</v>
      </c>
      <c r="D1079">
        <v>0.1473131</v>
      </c>
      <c r="E1079" t="s">
        <v>74</v>
      </c>
      <c r="F1079">
        <v>147.31309999999999</v>
      </c>
      <c r="G1079" t="s">
        <v>75</v>
      </c>
      <c r="H1079">
        <v>147313.103</v>
      </c>
      <c r="I1079" t="s">
        <v>76</v>
      </c>
      <c r="J1079" t="s">
        <v>77</v>
      </c>
    </row>
    <row r="1080" spans="1:11" x14ac:dyDescent="0.3">
      <c r="A1080" t="s">
        <v>72</v>
      </c>
      <c r="B1080">
        <v>1</v>
      </c>
      <c r="C1080" t="s">
        <v>79</v>
      </c>
      <c r="D1080">
        <v>0.35049050999999998</v>
      </c>
      <c r="E1080" t="s">
        <v>74</v>
      </c>
      <c r="F1080">
        <v>350.49050999999997</v>
      </c>
      <c r="G1080" t="s">
        <v>75</v>
      </c>
      <c r="H1080">
        <v>350490.51</v>
      </c>
      <c r="I1080" t="s">
        <v>76</v>
      </c>
      <c r="J1080" t="s">
        <v>77</v>
      </c>
    </row>
    <row r="1081" spans="1:11" x14ac:dyDescent="0.3">
      <c r="A1081" t="s">
        <v>72</v>
      </c>
      <c r="B1081">
        <v>1</v>
      </c>
      <c r="C1081" t="s">
        <v>94</v>
      </c>
      <c r="D1081">
        <v>3.6318700000000002E-2</v>
      </c>
      <c r="E1081" t="s">
        <v>74</v>
      </c>
      <c r="F1081">
        <v>36.3187</v>
      </c>
      <c r="G1081" t="s">
        <v>75</v>
      </c>
      <c r="H1081">
        <v>36318.701000000001</v>
      </c>
      <c r="I1081" t="s">
        <v>76</v>
      </c>
      <c r="J1081" t="s">
        <v>77</v>
      </c>
    </row>
    <row r="1082" spans="1:11" x14ac:dyDescent="0.3">
      <c r="A1082" t="s">
        <v>72</v>
      </c>
      <c r="B1082">
        <v>1</v>
      </c>
      <c r="C1082" t="s">
        <v>80</v>
      </c>
      <c r="D1082">
        <v>3.6322199999999999E-2</v>
      </c>
      <c r="E1082" t="s">
        <v>74</v>
      </c>
      <c r="F1082">
        <v>36.322200000000002</v>
      </c>
      <c r="G1082" t="s">
        <v>75</v>
      </c>
      <c r="H1082">
        <v>36322.199000000001</v>
      </c>
      <c r="I1082" t="s">
        <v>76</v>
      </c>
      <c r="J1082" t="s">
        <v>77</v>
      </c>
    </row>
    <row r="1083" spans="1:11" x14ac:dyDescent="0.3">
      <c r="A1083" t="s">
        <v>72</v>
      </c>
      <c r="B1083">
        <v>1</v>
      </c>
      <c r="C1083" t="s">
        <v>81</v>
      </c>
      <c r="D1083">
        <v>0.38681518999999998</v>
      </c>
      <c r="E1083" t="s">
        <v>74</v>
      </c>
      <c r="F1083">
        <v>386.81518999999997</v>
      </c>
      <c r="G1083" t="s">
        <v>75</v>
      </c>
      <c r="H1083">
        <v>386815.19</v>
      </c>
      <c r="I1083" t="s">
        <v>76</v>
      </c>
      <c r="J1083" t="s">
        <v>82</v>
      </c>
      <c r="K1083">
        <v>2.5852138999999998</v>
      </c>
    </row>
    <row r="1084" spans="1:11" x14ac:dyDescent="0.3">
      <c r="A1084" t="s">
        <v>83</v>
      </c>
      <c r="B1084">
        <v>1000</v>
      </c>
      <c r="C1084" t="s">
        <v>79</v>
      </c>
      <c r="D1084">
        <v>4.7961E-4</v>
      </c>
      <c r="E1084" t="s">
        <v>74</v>
      </c>
      <c r="F1084">
        <v>0.47960999999999998</v>
      </c>
      <c r="G1084" t="s">
        <v>75</v>
      </c>
      <c r="H1084">
        <v>479.61500000000001</v>
      </c>
      <c r="I1084" t="s">
        <v>76</v>
      </c>
      <c r="J1084" t="s">
        <v>77</v>
      </c>
    </row>
    <row r="1085" spans="1:11" x14ac:dyDescent="0.3">
      <c r="A1085" t="s">
        <v>83</v>
      </c>
      <c r="B1085">
        <v>1000</v>
      </c>
      <c r="C1085" t="s">
        <v>94</v>
      </c>
      <c r="D1085">
        <v>9.8415999999999998E-4</v>
      </c>
      <c r="E1085" t="s">
        <v>74</v>
      </c>
      <c r="F1085">
        <v>0.98416000000000003</v>
      </c>
      <c r="G1085" t="s">
        <v>75</v>
      </c>
      <c r="H1085">
        <v>984.16499999999996</v>
      </c>
      <c r="I1085" t="s">
        <v>76</v>
      </c>
      <c r="J1085" t="s">
        <v>77</v>
      </c>
    </row>
    <row r="1086" spans="1:11" x14ac:dyDescent="0.3">
      <c r="A1086" t="s">
        <v>83</v>
      </c>
      <c r="B1086">
        <v>1000</v>
      </c>
      <c r="C1086" t="s">
        <v>80</v>
      </c>
      <c r="D1086">
        <v>9.8441999999999996E-4</v>
      </c>
      <c r="E1086" t="s">
        <v>74</v>
      </c>
      <c r="F1086">
        <v>0.98441999999999996</v>
      </c>
      <c r="G1086" t="s">
        <v>75</v>
      </c>
      <c r="H1086">
        <v>984.42100000000005</v>
      </c>
      <c r="I1086" t="s">
        <v>76</v>
      </c>
      <c r="J1086" t="s">
        <v>77</v>
      </c>
    </row>
    <row r="1087" spans="1:11" x14ac:dyDescent="0.3">
      <c r="A1087" t="s">
        <v>83</v>
      </c>
      <c r="B1087">
        <v>1000</v>
      </c>
      <c r="C1087" t="s">
        <v>81</v>
      </c>
      <c r="D1087">
        <v>1.4649000000000001E-3</v>
      </c>
      <c r="E1087" t="s">
        <v>74</v>
      </c>
      <c r="F1087">
        <v>1.4649000000000001</v>
      </c>
      <c r="G1087" t="s">
        <v>75</v>
      </c>
      <c r="H1087">
        <v>1464.895</v>
      </c>
      <c r="I1087" t="s">
        <v>76</v>
      </c>
      <c r="J1087" t="s">
        <v>82</v>
      </c>
      <c r="K1087">
        <v>682.64261199999999</v>
      </c>
    </row>
    <row r="1088" spans="1:11" x14ac:dyDescent="0.3">
      <c r="A1088" t="s">
        <v>84</v>
      </c>
      <c r="B1088">
        <v>1001</v>
      </c>
      <c r="C1088" t="s">
        <v>79</v>
      </c>
      <c r="D1088">
        <v>8.2927999999999995E-4</v>
      </c>
      <c r="E1088" t="s">
        <v>74</v>
      </c>
      <c r="F1088">
        <v>0.82928000000000002</v>
      </c>
      <c r="G1088" t="s">
        <v>75</v>
      </c>
      <c r="H1088">
        <v>829.27599999999995</v>
      </c>
      <c r="I1088" t="s">
        <v>76</v>
      </c>
      <c r="J1088" t="s">
        <v>77</v>
      </c>
    </row>
    <row r="1089" spans="1:11" x14ac:dyDescent="0.3">
      <c r="A1089" t="s">
        <v>84</v>
      </c>
      <c r="B1089">
        <v>1001</v>
      </c>
      <c r="C1089" t="s">
        <v>94</v>
      </c>
      <c r="D1089">
        <v>1.01946E-3</v>
      </c>
      <c r="E1089" t="s">
        <v>74</v>
      </c>
      <c r="F1089">
        <v>1.01946</v>
      </c>
      <c r="G1089" t="s">
        <v>75</v>
      </c>
      <c r="H1089">
        <v>1019.4640000000001</v>
      </c>
      <c r="I1089" t="s">
        <v>76</v>
      </c>
      <c r="J1089" t="s">
        <v>77</v>
      </c>
    </row>
    <row r="1090" spans="1:11" x14ac:dyDescent="0.3">
      <c r="A1090" t="s">
        <v>84</v>
      </c>
      <c r="B1090">
        <v>1001</v>
      </c>
      <c r="C1090" t="s">
        <v>80</v>
      </c>
      <c r="D1090">
        <v>1.01972E-3</v>
      </c>
      <c r="E1090" t="s">
        <v>74</v>
      </c>
      <c r="F1090">
        <v>1.01972</v>
      </c>
      <c r="G1090" t="s">
        <v>75</v>
      </c>
      <c r="H1090">
        <v>1019.723</v>
      </c>
      <c r="I1090" t="s">
        <v>76</v>
      </c>
      <c r="J1090" t="s">
        <v>77</v>
      </c>
    </row>
    <row r="1091" spans="1:11" x14ac:dyDescent="0.3">
      <c r="A1091" t="s">
        <v>84</v>
      </c>
      <c r="B1091">
        <v>1001</v>
      </c>
      <c r="C1091" t="s">
        <v>81</v>
      </c>
      <c r="D1091">
        <v>1.84986E-3</v>
      </c>
      <c r="E1091" t="s">
        <v>74</v>
      </c>
      <c r="F1091">
        <v>1.8498600000000001</v>
      </c>
      <c r="G1091" t="s">
        <v>75</v>
      </c>
      <c r="H1091">
        <v>1849.86</v>
      </c>
      <c r="I1091" t="s">
        <v>76</v>
      </c>
      <c r="J1091" t="s">
        <v>82</v>
      </c>
      <c r="K1091">
        <v>540.58135010000001</v>
      </c>
    </row>
    <row r="1092" spans="1:11" x14ac:dyDescent="0.3">
      <c r="A1092" t="s">
        <v>85</v>
      </c>
      <c r="B1092">
        <v>1001</v>
      </c>
      <c r="C1092" t="s">
        <v>86</v>
      </c>
      <c r="D1092">
        <v>1.85013E-3</v>
      </c>
      <c r="E1092" t="s">
        <v>74</v>
      </c>
      <c r="F1092">
        <v>1.8501300000000001</v>
      </c>
      <c r="G1092" t="s">
        <v>75</v>
      </c>
      <c r="H1092">
        <v>1850.134</v>
      </c>
      <c r="I1092" t="s">
        <v>76</v>
      </c>
      <c r="J1092" t="s">
        <v>82</v>
      </c>
      <c r="K1092">
        <v>540.50138800000002</v>
      </c>
    </row>
    <row r="1093" spans="1:11" x14ac:dyDescent="0.3">
      <c r="A1093" t="s">
        <v>201</v>
      </c>
    </row>
    <row r="1094" spans="1:11" x14ac:dyDescent="0.3">
      <c r="A1094" t="s">
        <v>202</v>
      </c>
    </row>
    <row r="1095" spans="1:11" x14ac:dyDescent="0.3">
      <c r="A1095" t="s">
        <v>72</v>
      </c>
      <c r="B1095">
        <v>1</v>
      </c>
      <c r="C1095" t="s">
        <v>73</v>
      </c>
      <c r="D1095">
        <v>3.9999999999999998E-6</v>
      </c>
      <c r="E1095" t="s">
        <v>74</v>
      </c>
      <c r="F1095">
        <v>4.0000000000000001E-3</v>
      </c>
      <c r="G1095" t="s">
        <v>75</v>
      </c>
      <c r="H1095">
        <v>4</v>
      </c>
      <c r="I1095" t="s">
        <v>76</v>
      </c>
      <c r="J1095" t="s">
        <v>77</v>
      </c>
    </row>
    <row r="1096" spans="1:11" x14ac:dyDescent="0.3">
      <c r="A1096" t="s">
        <v>72</v>
      </c>
      <c r="B1096">
        <v>1</v>
      </c>
      <c r="C1096" t="s">
        <v>78</v>
      </c>
      <c r="D1096">
        <v>5.13E-5</v>
      </c>
      <c r="E1096" t="s">
        <v>74</v>
      </c>
      <c r="F1096">
        <v>5.1299999999999998E-2</v>
      </c>
      <c r="G1096" t="s">
        <v>75</v>
      </c>
      <c r="H1096">
        <v>51.3</v>
      </c>
      <c r="I1096" t="s">
        <v>76</v>
      </c>
      <c r="J1096" t="s">
        <v>77</v>
      </c>
    </row>
    <row r="1097" spans="1:11" x14ac:dyDescent="0.3">
      <c r="A1097" t="s">
        <v>72</v>
      </c>
      <c r="B1097">
        <v>1</v>
      </c>
      <c r="C1097" t="s">
        <v>79</v>
      </c>
      <c r="D1097">
        <v>3.8110000000000002E-3</v>
      </c>
      <c r="E1097" t="s">
        <v>74</v>
      </c>
      <c r="F1097">
        <v>3.8109999999999999</v>
      </c>
      <c r="G1097" t="s">
        <v>75</v>
      </c>
      <c r="H1097">
        <v>3811</v>
      </c>
      <c r="I1097" t="s">
        <v>76</v>
      </c>
      <c r="J1097" t="s">
        <v>77</v>
      </c>
    </row>
    <row r="1098" spans="1:11" x14ac:dyDescent="0.3">
      <c r="A1098" t="s">
        <v>72</v>
      </c>
      <c r="B1098">
        <v>1</v>
      </c>
      <c r="C1098" t="s">
        <v>94</v>
      </c>
      <c r="D1098">
        <v>0.15430360000000001</v>
      </c>
      <c r="E1098" t="s">
        <v>74</v>
      </c>
      <c r="F1098">
        <v>154.30359999999999</v>
      </c>
      <c r="G1098" t="s">
        <v>75</v>
      </c>
      <c r="H1098">
        <v>154303.595</v>
      </c>
      <c r="I1098" t="s">
        <v>76</v>
      </c>
      <c r="J1098" t="s">
        <v>77</v>
      </c>
    </row>
    <row r="1099" spans="1:11" x14ac:dyDescent="0.3">
      <c r="A1099" t="s">
        <v>72</v>
      </c>
      <c r="B1099">
        <v>1</v>
      </c>
      <c r="C1099" t="s">
        <v>80</v>
      </c>
      <c r="D1099">
        <v>0.15430440000000001</v>
      </c>
      <c r="E1099" t="s">
        <v>74</v>
      </c>
      <c r="F1099">
        <v>154.30439999999999</v>
      </c>
      <c r="G1099" t="s">
        <v>75</v>
      </c>
      <c r="H1099">
        <v>154304.4</v>
      </c>
      <c r="I1099" t="s">
        <v>76</v>
      </c>
      <c r="J1099" t="s">
        <v>77</v>
      </c>
    </row>
    <row r="1100" spans="1:11" x14ac:dyDescent="0.3">
      <c r="A1100" t="s">
        <v>72</v>
      </c>
      <c r="B1100">
        <v>1</v>
      </c>
      <c r="C1100" t="s">
        <v>81</v>
      </c>
      <c r="D1100">
        <v>0.15811621000000001</v>
      </c>
      <c r="E1100" t="s">
        <v>74</v>
      </c>
      <c r="F1100">
        <v>158.11621</v>
      </c>
      <c r="G1100" t="s">
        <v>75</v>
      </c>
      <c r="H1100">
        <v>158116.20699999999</v>
      </c>
      <c r="I1100" t="s">
        <v>76</v>
      </c>
      <c r="J1100" t="s">
        <v>82</v>
      </c>
      <c r="K1100">
        <v>6.3244623999999998</v>
      </c>
    </row>
    <row r="1101" spans="1:11" x14ac:dyDescent="0.3">
      <c r="A1101" t="s">
        <v>83</v>
      </c>
      <c r="B1101">
        <v>1000</v>
      </c>
      <c r="C1101" t="s">
        <v>79</v>
      </c>
      <c r="D1101">
        <v>5.0511000000000002E-4</v>
      </c>
      <c r="E1101" t="s">
        <v>74</v>
      </c>
      <c r="F1101">
        <v>0.50510999999999995</v>
      </c>
      <c r="G1101" t="s">
        <v>75</v>
      </c>
      <c r="H1101">
        <v>505.11500000000001</v>
      </c>
      <c r="I1101" t="s">
        <v>76</v>
      </c>
      <c r="J1101" t="s">
        <v>77</v>
      </c>
    </row>
    <row r="1102" spans="1:11" x14ac:dyDescent="0.3">
      <c r="A1102" t="s">
        <v>83</v>
      </c>
      <c r="B1102">
        <v>1000</v>
      </c>
      <c r="C1102" t="s">
        <v>94</v>
      </c>
      <c r="D1102">
        <v>1.3835E-3</v>
      </c>
      <c r="E1102" t="s">
        <v>74</v>
      </c>
      <c r="F1102">
        <v>1.3835</v>
      </c>
      <c r="G1102" t="s">
        <v>75</v>
      </c>
      <c r="H1102">
        <v>1383.5029999999999</v>
      </c>
      <c r="I1102" t="s">
        <v>76</v>
      </c>
      <c r="J1102" t="s">
        <v>77</v>
      </c>
    </row>
    <row r="1103" spans="1:11" x14ac:dyDescent="0.3">
      <c r="A1103" t="s">
        <v>83</v>
      </c>
      <c r="B1103">
        <v>1000</v>
      </c>
      <c r="C1103" t="s">
        <v>80</v>
      </c>
      <c r="D1103">
        <v>1.54485E-3</v>
      </c>
      <c r="E1103" t="s">
        <v>74</v>
      </c>
      <c r="F1103">
        <v>1.5448500000000001</v>
      </c>
      <c r="G1103" t="s">
        <v>75</v>
      </c>
      <c r="H1103">
        <v>1544.847</v>
      </c>
      <c r="I1103" t="s">
        <v>76</v>
      </c>
      <c r="J1103" t="s">
        <v>77</v>
      </c>
    </row>
    <row r="1104" spans="1:11" x14ac:dyDescent="0.3">
      <c r="A1104" t="s">
        <v>83</v>
      </c>
      <c r="B1104">
        <v>1000</v>
      </c>
      <c r="C1104" t="s">
        <v>81</v>
      </c>
      <c r="D1104">
        <v>2.0511499999999998E-3</v>
      </c>
      <c r="E1104" t="s">
        <v>74</v>
      </c>
      <c r="F1104">
        <v>2.0511499999999998</v>
      </c>
      <c r="G1104" t="s">
        <v>75</v>
      </c>
      <c r="H1104">
        <v>2051.1480000000001</v>
      </c>
      <c r="I1104" t="s">
        <v>76</v>
      </c>
      <c r="J1104" t="s">
        <v>82</v>
      </c>
      <c r="K1104">
        <v>487.53187500000001</v>
      </c>
    </row>
    <row r="1105" spans="1:11" x14ac:dyDescent="0.3">
      <c r="A1105" t="s">
        <v>84</v>
      </c>
      <c r="B1105">
        <v>1001</v>
      </c>
      <c r="C1105" t="s">
        <v>79</v>
      </c>
      <c r="D1105">
        <v>5.0841999999999999E-4</v>
      </c>
      <c r="E1105" t="s">
        <v>74</v>
      </c>
      <c r="F1105">
        <v>0.50841999999999998</v>
      </c>
      <c r="G1105" t="s">
        <v>75</v>
      </c>
      <c r="H1105">
        <v>508.41699999999997</v>
      </c>
      <c r="I1105" t="s">
        <v>76</v>
      </c>
      <c r="J1105" t="s">
        <v>77</v>
      </c>
    </row>
    <row r="1106" spans="1:11" x14ac:dyDescent="0.3">
      <c r="A1106" t="s">
        <v>84</v>
      </c>
      <c r="B1106">
        <v>1001</v>
      </c>
      <c r="C1106" t="s">
        <v>94</v>
      </c>
      <c r="D1106">
        <v>1.53627E-3</v>
      </c>
      <c r="E1106" t="s">
        <v>74</v>
      </c>
      <c r="F1106">
        <v>1.53627</v>
      </c>
      <c r="G1106" t="s">
        <v>75</v>
      </c>
      <c r="H1106">
        <v>1536.27</v>
      </c>
      <c r="I1106" t="s">
        <v>76</v>
      </c>
      <c r="J1106" t="s">
        <v>77</v>
      </c>
    </row>
    <row r="1107" spans="1:11" x14ac:dyDescent="0.3">
      <c r="A1107" t="s">
        <v>84</v>
      </c>
      <c r="B1107">
        <v>1001</v>
      </c>
      <c r="C1107" t="s">
        <v>80</v>
      </c>
      <c r="D1107">
        <v>1.6974500000000001E-3</v>
      </c>
      <c r="E1107" t="s">
        <v>74</v>
      </c>
      <c r="F1107">
        <v>1.6974499999999999</v>
      </c>
      <c r="G1107" t="s">
        <v>75</v>
      </c>
      <c r="H1107">
        <v>1697.4549999999999</v>
      </c>
      <c r="I1107" t="s">
        <v>76</v>
      </c>
      <c r="J1107" t="s">
        <v>77</v>
      </c>
    </row>
    <row r="1108" spans="1:11" x14ac:dyDescent="0.3">
      <c r="A1108" t="s">
        <v>84</v>
      </c>
      <c r="B1108">
        <v>1001</v>
      </c>
      <c r="C1108" t="s">
        <v>81</v>
      </c>
      <c r="D1108">
        <v>2.2070599999999998E-3</v>
      </c>
      <c r="E1108" t="s">
        <v>74</v>
      </c>
      <c r="F1108">
        <v>2.2070599999999998</v>
      </c>
      <c r="G1108" t="s">
        <v>75</v>
      </c>
      <c r="H1108">
        <v>2207.058</v>
      </c>
      <c r="I1108" t="s">
        <v>76</v>
      </c>
      <c r="J1108" t="s">
        <v>82</v>
      </c>
      <c r="K1108">
        <v>453.0918178</v>
      </c>
    </row>
    <row r="1109" spans="1:11" x14ac:dyDescent="0.3">
      <c r="A1109" t="s">
        <v>85</v>
      </c>
      <c r="B1109">
        <v>1001</v>
      </c>
      <c r="C1109" t="s">
        <v>86</v>
      </c>
      <c r="D1109">
        <v>2.2073100000000001E-3</v>
      </c>
      <c r="E1109" t="s">
        <v>74</v>
      </c>
      <c r="F1109">
        <v>2.2073100000000001</v>
      </c>
      <c r="G1109" t="s">
        <v>75</v>
      </c>
      <c r="H1109">
        <v>2207.3069999999998</v>
      </c>
      <c r="I1109" t="s">
        <v>76</v>
      </c>
      <c r="J1109" t="s">
        <v>82</v>
      </c>
      <c r="K1109">
        <v>453.04072660000003</v>
      </c>
    </row>
    <row r="1110" spans="1:11" x14ac:dyDescent="0.3">
      <c r="A1110" t="s">
        <v>115</v>
      </c>
    </row>
    <row r="1111" spans="1:11" x14ac:dyDescent="0.3">
      <c r="A1111" t="s">
        <v>127</v>
      </c>
    </row>
    <row r="1112" spans="1:11" x14ac:dyDescent="0.3">
      <c r="A1112" t="s">
        <v>87</v>
      </c>
    </row>
    <row r="1113" spans="1:11" x14ac:dyDescent="0.3">
      <c r="A1113" t="s">
        <v>203</v>
      </c>
    </row>
    <row r="1114" spans="1:11" x14ac:dyDescent="0.3">
      <c r="A1114" t="s">
        <v>72</v>
      </c>
      <c r="B1114">
        <v>1</v>
      </c>
      <c r="C1114" t="s">
        <v>81</v>
      </c>
      <c r="D1114">
        <v>0.38681518999999998</v>
      </c>
      <c r="E1114" t="s">
        <v>74</v>
      </c>
      <c r="F1114">
        <v>386.81518999999997</v>
      </c>
      <c r="G1114" t="s">
        <v>75</v>
      </c>
      <c r="H1114">
        <v>386815.19</v>
      </c>
      <c r="I1114" t="s">
        <v>76</v>
      </c>
      <c r="J1114" t="s">
        <v>82</v>
      </c>
      <c r="K1114">
        <v>2.5852138999999998</v>
      </c>
    </row>
    <row r="1115" spans="1:11" x14ac:dyDescent="0.3">
      <c r="A1115" t="s">
        <v>83</v>
      </c>
      <c r="B1115">
        <v>1000</v>
      </c>
      <c r="C1115" t="s">
        <v>81</v>
      </c>
      <c r="D1115">
        <v>1.4649000000000001E-3</v>
      </c>
      <c r="E1115" t="s">
        <v>74</v>
      </c>
      <c r="F1115">
        <v>1.4649000000000001</v>
      </c>
      <c r="G1115" t="s">
        <v>75</v>
      </c>
      <c r="H1115">
        <v>1464.895</v>
      </c>
      <c r="I1115" t="s">
        <v>76</v>
      </c>
      <c r="J1115" t="s">
        <v>82</v>
      </c>
      <c r="K1115">
        <v>682.64261199999999</v>
      </c>
    </row>
    <row r="1116" spans="1:11" x14ac:dyDescent="0.3">
      <c r="A1116" t="s">
        <v>85</v>
      </c>
      <c r="B1116">
        <v>1001</v>
      </c>
      <c r="C1116" t="s">
        <v>86</v>
      </c>
      <c r="D1116">
        <v>1.85013E-3</v>
      </c>
      <c r="E1116" t="s">
        <v>74</v>
      </c>
      <c r="F1116">
        <v>1.8501300000000001</v>
      </c>
      <c r="G1116" t="s">
        <v>75</v>
      </c>
      <c r="H1116">
        <v>1850.134</v>
      </c>
      <c r="I1116" t="s">
        <v>76</v>
      </c>
      <c r="J1116" t="s">
        <v>82</v>
      </c>
      <c r="K1116">
        <v>540.50138800000002</v>
      </c>
    </row>
    <row r="1118" spans="1:11" x14ac:dyDescent="0.3">
      <c r="A1118" t="s">
        <v>204</v>
      </c>
    </row>
    <row r="1119" spans="1:11" x14ac:dyDescent="0.3">
      <c r="A1119" t="s">
        <v>72</v>
      </c>
      <c r="B1119">
        <v>1</v>
      </c>
      <c r="C1119" t="s">
        <v>81</v>
      </c>
      <c r="D1119">
        <v>0.15811621000000001</v>
      </c>
      <c r="E1119" t="s">
        <v>74</v>
      </c>
      <c r="F1119">
        <v>158.11621</v>
      </c>
      <c r="G1119" t="s">
        <v>75</v>
      </c>
      <c r="H1119">
        <v>158116.20699999999</v>
      </c>
      <c r="I1119" t="s">
        <v>76</v>
      </c>
      <c r="J1119" t="s">
        <v>82</v>
      </c>
      <c r="K1119">
        <v>6.3244623999999998</v>
      </c>
    </row>
    <row r="1120" spans="1:11" x14ac:dyDescent="0.3">
      <c r="A1120" t="s">
        <v>83</v>
      </c>
      <c r="B1120">
        <v>1000</v>
      </c>
      <c r="C1120" t="s">
        <v>81</v>
      </c>
      <c r="D1120">
        <v>2.0511499999999998E-3</v>
      </c>
      <c r="E1120" t="s">
        <v>74</v>
      </c>
      <c r="F1120">
        <v>2.0511499999999998</v>
      </c>
      <c r="G1120" t="s">
        <v>75</v>
      </c>
      <c r="H1120">
        <v>2051.1480000000001</v>
      </c>
      <c r="I1120" t="s">
        <v>76</v>
      </c>
      <c r="J1120" t="s">
        <v>82</v>
      </c>
      <c r="K1120">
        <v>487.53187500000001</v>
      </c>
    </row>
    <row r="1121" spans="1:11" x14ac:dyDescent="0.3">
      <c r="A1121" t="s">
        <v>85</v>
      </c>
      <c r="B1121">
        <v>1001</v>
      </c>
      <c r="C1121" t="s">
        <v>86</v>
      </c>
      <c r="D1121">
        <v>2.2073100000000001E-3</v>
      </c>
      <c r="E1121" t="s">
        <v>74</v>
      </c>
      <c r="F1121">
        <v>2.2073100000000001</v>
      </c>
      <c r="G1121" t="s">
        <v>75</v>
      </c>
      <c r="H1121">
        <v>2207.3069999999998</v>
      </c>
      <c r="I1121" t="s">
        <v>76</v>
      </c>
      <c r="J1121" t="s">
        <v>82</v>
      </c>
      <c r="K1121">
        <v>453.04072660000003</v>
      </c>
    </row>
    <row r="1123" spans="1:11" x14ac:dyDescent="0.3">
      <c r="A1123" t="s">
        <v>66</v>
      </c>
    </row>
    <row r="1125" spans="1:11" x14ac:dyDescent="0.3">
      <c r="A1125" t="s">
        <v>205</v>
      </c>
    </row>
    <row r="1126" spans="1:11" x14ac:dyDescent="0.3">
      <c r="A1126" t="s">
        <v>68</v>
      </c>
    </row>
    <row r="1127" spans="1:11" x14ac:dyDescent="0.3">
      <c r="A1127" t="s">
        <v>69</v>
      </c>
    </row>
    <row r="1128" spans="1:11" x14ac:dyDescent="0.3">
      <c r="A1128" t="s">
        <v>70</v>
      </c>
    </row>
    <row r="1129" spans="1:11" x14ac:dyDescent="0.3">
      <c r="A1129" t="s">
        <v>115</v>
      </c>
    </row>
    <row r="1130" spans="1:11" x14ac:dyDescent="0.3">
      <c r="A1130" t="s">
        <v>116</v>
      </c>
    </row>
    <row r="1131" spans="1:11" x14ac:dyDescent="0.3">
      <c r="A1131" t="s">
        <v>117</v>
      </c>
    </row>
    <row r="1132" spans="1:11" x14ac:dyDescent="0.3">
      <c r="A1132" t="s">
        <v>118</v>
      </c>
    </row>
    <row r="1133" spans="1:11" x14ac:dyDescent="0.3">
      <c r="A1133" t="s">
        <v>119</v>
      </c>
    </row>
    <row r="1134" spans="1:11" x14ac:dyDescent="0.3">
      <c r="A1134" t="s">
        <v>120</v>
      </c>
    </row>
    <row r="1135" spans="1:11" x14ac:dyDescent="0.3">
      <c r="A1135" t="s">
        <v>121</v>
      </c>
    </row>
    <row r="1136" spans="1:11" x14ac:dyDescent="0.3">
      <c r="A1136" t="s">
        <v>122</v>
      </c>
    </row>
    <row r="1137" spans="1:11" x14ac:dyDescent="0.3">
      <c r="A1137" t="s">
        <v>123</v>
      </c>
    </row>
    <row r="1138" spans="1:11" x14ac:dyDescent="0.3">
      <c r="A1138" t="s">
        <v>124</v>
      </c>
    </row>
    <row r="1139" spans="1:11" x14ac:dyDescent="0.3">
      <c r="A1139" t="s">
        <v>125</v>
      </c>
    </row>
    <row r="1140" spans="1:11" x14ac:dyDescent="0.3">
      <c r="A1140" t="s">
        <v>126</v>
      </c>
    </row>
    <row r="1141" spans="1:11" x14ac:dyDescent="0.3">
      <c r="A1141" t="s">
        <v>127</v>
      </c>
    </row>
    <row r="1142" spans="1:11" x14ac:dyDescent="0.3">
      <c r="A1142" t="s">
        <v>206</v>
      </c>
    </row>
    <row r="1143" spans="1:11" x14ac:dyDescent="0.3">
      <c r="A1143" t="s">
        <v>207</v>
      </c>
    </row>
    <row r="1144" spans="1:11" x14ac:dyDescent="0.3">
      <c r="A1144" t="s">
        <v>72</v>
      </c>
      <c r="B1144">
        <v>1</v>
      </c>
      <c r="C1144" t="s">
        <v>73</v>
      </c>
      <c r="D1144">
        <v>3.9999999999999998E-6</v>
      </c>
      <c r="E1144" t="s">
        <v>74</v>
      </c>
      <c r="F1144">
        <v>4.0000000000000001E-3</v>
      </c>
      <c r="G1144" t="s">
        <v>75</v>
      </c>
      <c r="H1144">
        <v>4</v>
      </c>
      <c r="I1144" t="s">
        <v>76</v>
      </c>
      <c r="J1144" t="s">
        <v>77</v>
      </c>
    </row>
    <row r="1145" spans="1:11" x14ac:dyDescent="0.3">
      <c r="A1145" t="s">
        <v>72</v>
      </c>
      <c r="B1145">
        <v>1</v>
      </c>
      <c r="C1145" t="s">
        <v>78</v>
      </c>
      <c r="D1145">
        <v>0.13785159999999999</v>
      </c>
      <c r="E1145" t="s">
        <v>74</v>
      </c>
      <c r="F1145">
        <v>137.85159999999999</v>
      </c>
      <c r="G1145" t="s">
        <v>75</v>
      </c>
      <c r="H1145">
        <v>137851.59599999999</v>
      </c>
      <c r="I1145" t="s">
        <v>76</v>
      </c>
      <c r="J1145" t="s">
        <v>77</v>
      </c>
    </row>
    <row r="1146" spans="1:11" x14ac:dyDescent="0.3">
      <c r="A1146" t="s">
        <v>72</v>
      </c>
      <c r="B1146">
        <v>1</v>
      </c>
      <c r="C1146" t="s">
        <v>79</v>
      </c>
      <c r="D1146">
        <v>0.37653181000000002</v>
      </c>
      <c r="E1146" t="s">
        <v>74</v>
      </c>
      <c r="F1146">
        <v>376.53181000000001</v>
      </c>
      <c r="G1146" t="s">
        <v>75</v>
      </c>
      <c r="H1146">
        <v>376531.81</v>
      </c>
      <c r="I1146" t="s">
        <v>76</v>
      </c>
      <c r="J1146" t="s">
        <v>77</v>
      </c>
    </row>
    <row r="1147" spans="1:11" x14ac:dyDescent="0.3">
      <c r="A1147" t="s">
        <v>72</v>
      </c>
      <c r="B1147">
        <v>1</v>
      </c>
      <c r="C1147" t="s">
        <v>94</v>
      </c>
      <c r="D1147">
        <v>3.5051699999999998E-2</v>
      </c>
      <c r="E1147" t="s">
        <v>74</v>
      </c>
      <c r="F1147">
        <v>35.051699999999997</v>
      </c>
      <c r="G1147" t="s">
        <v>75</v>
      </c>
      <c r="H1147">
        <v>35051.699999999997</v>
      </c>
      <c r="I1147" t="s">
        <v>76</v>
      </c>
      <c r="J1147" t="s">
        <v>77</v>
      </c>
    </row>
    <row r="1148" spans="1:11" x14ac:dyDescent="0.3">
      <c r="A1148" t="s">
        <v>72</v>
      </c>
      <c r="B1148">
        <v>1</v>
      </c>
      <c r="C1148" t="s">
        <v>80</v>
      </c>
      <c r="D1148">
        <v>3.5052399999999997E-2</v>
      </c>
      <c r="E1148" t="s">
        <v>74</v>
      </c>
      <c r="F1148">
        <v>35.052399999999999</v>
      </c>
      <c r="G1148" t="s">
        <v>75</v>
      </c>
      <c r="H1148">
        <v>35052.400000000001</v>
      </c>
      <c r="I1148" t="s">
        <v>76</v>
      </c>
      <c r="J1148" t="s">
        <v>77</v>
      </c>
    </row>
    <row r="1149" spans="1:11" x14ac:dyDescent="0.3">
      <c r="A1149" t="s">
        <v>72</v>
      </c>
      <c r="B1149">
        <v>1</v>
      </c>
      <c r="C1149" t="s">
        <v>81</v>
      </c>
      <c r="D1149">
        <v>0.41158699999999998</v>
      </c>
      <c r="E1149" t="s">
        <v>74</v>
      </c>
      <c r="F1149">
        <v>411.58699999999999</v>
      </c>
      <c r="G1149" t="s">
        <v>75</v>
      </c>
      <c r="H1149">
        <v>411587</v>
      </c>
      <c r="I1149" t="s">
        <v>76</v>
      </c>
      <c r="J1149" t="s">
        <v>82</v>
      </c>
      <c r="K1149">
        <v>2.4296199999999999</v>
      </c>
    </row>
    <row r="1150" spans="1:11" x14ac:dyDescent="0.3">
      <c r="A1150" t="s">
        <v>83</v>
      </c>
      <c r="B1150">
        <v>1000</v>
      </c>
      <c r="C1150" t="s">
        <v>79</v>
      </c>
      <c r="D1150">
        <v>4.8534000000000001E-4</v>
      </c>
      <c r="E1150" t="s">
        <v>74</v>
      </c>
      <c r="F1150">
        <v>0.48533999999999999</v>
      </c>
      <c r="G1150" t="s">
        <v>75</v>
      </c>
      <c r="H1150">
        <v>485.34399999999999</v>
      </c>
      <c r="I1150" t="s">
        <v>76</v>
      </c>
      <c r="J1150" t="s">
        <v>77</v>
      </c>
    </row>
    <row r="1151" spans="1:11" x14ac:dyDescent="0.3">
      <c r="A1151" t="s">
        <v>83</v>
      </c>
      <c r="B1151">
        <v>1000</v>
      </c>
      <c r="C1151" t="s">
        <v>94</v>
      </c>
      <c r="D1151">
        <v>5.6362000000000003E-4</v>
      </c>
      <c r="E1151" t="s">
        <v>74</v>
      </c>
      <c r="F1151">
        <v>0.56362000000000001</v>
      </c>
      <c r="G1151" t="s">
        <v>75</v>
      </c>
      <c r="H1151">
        <v>563.61599999999999</v>
      </c>
      <c r="I1151" t="s">
        <v>76</v>
      </c>
      <c r="J1151" t="s">
        <v>77</v>
      </c>
    </row>
    <row r="1152" spans="1:11" x14ac:dyDescent="0.3">
      <c r="A1152" t="s">
        <v>83</v>
      </c>
      <c r="B1152">
        <v>1000</v>
      </c>
      <c r="C1152" t="s">
        <v>80</v>
      </c>
      <c r="D1152">
        <v>5.6389000000000005E-4</v>
      </c>
      <c r="E1152" t="s">
        <v>74</v>
      </c>
      <c r="F1152">
        <v>0.56389</v>
      </c>
      <c r="G1152" t="s">
        <v>75</v>
      </c>
      <c r="H1152">
        <v>563.88800000000003</v>
      </c>
      <c r="I1152" t="s">
        <v>76</v>
      </c>
      <c r="J1152" t="s">
        <v>77</v>
      </c>
    </row>
    <row r="1153" spans="1:11" x14ac:dyDescent="0.3">
      <c r="A1153" t="s">
        <v>83</v>
      </c>
      <c r="B1153">
        <v>1000</v>
      </c>
      <c r="C1153" t="s">
        <v>81</v>
      </c>
      <c r="D1153">
        <v>1.0499400000000001E-3</v>
      </c>
      <c r="E1153" t="s">
        <v>74</v>
      </c>
      <c r="F1153">
        <v>1.0499400000000001</v>
      </c>
      <c r="G1153" t="s">
        <v>75</v>
      </c>
      <c r="H1153">
        <v>1049.942</v>
      </c>
      <c r="I1153" t="s">
        <v>76</v>
      </c>
      <c r="J1153" t="s">
        <v>82</v>
      </c>
      <c r="K1153">
        <v>952.43387240000004</v>
      </c>
    </row>
    <row r="1154" spans="1:11" x14ac:dyDescent="0.3">
      <c r="A1154" t="s">
        <v>84</v>
      </c>
      <c r="B1154">
        <v>1001</v>
      </c>
      <c r="C1154" t="s">
        <v>79</v>
      </c>
      <c r="D1154">
        <v>8.6101000000000005E-4</v>
      </c>
      <c r="E1154" t="s">
        <v>74</v>
      </c>
      <c r="F1154">
        <v>0.86101000000000005</v>
      </c>
      <c r="G1154" t="s">
        <v>75</v>
      </c>
      <c r="H1154">
        <v>861.01499999999999</v>
      </c>
      <c r="I1154" t="s">
        <v>76</v>
      </c>
      <c r="J1154" t="s">
        <v>77</v>
      </c>
    </row>
    <row r="1155" spans="1:11" x14ac:dyDescent="0.3">
      <c r="A1155" t="s">
        <v>84</v>
      </c>
      <c r="B1155">
        <v>1001</v>
      </c>
      <c r="C1155" t="s">
        <v>94</v>
      </c>
      <c r="D1155">
        <v>5.9807000000000003E-4</v>
      </c>
      <c r="E1155" t="s">
        <v>74</v>
      </c>
      <c r="F1155">
        <v>0.59806999999999999</v>
      </c>
      <c r="G1155" t="s">
        <v>75</v>
      </c>
      <c r="H1155">
        <v>598.06899999999996</v>
      </c>
      <c r="I1155" t="s">
        <v>76</v>
      </c>
      <c r="J1155" t="s">
        <v>77</v>
      </c>
    </row>
    <row r="1156" spans="1:11" x14ac:dyDescent="0.3">
      <c r="A1156" t="s">
        <v>84</v>
      </c>
      <c r="B1156">
        <v>1001</v>
      </c>
      <c r="C1156" t="s">
        <v>80</v>
      </c>
      <c r="D1156">
        <v>5.9834000000000005E-4</v>
      </c>
      <c r="E1156" t="s">
        <v>74</v>
      </c>
      <c r="F1156">
        <v>0.59833999999999998</v>
      </c>
      <c r="G1156" t="s">
        <v>75</v>
      </c>
      <c r="H1156">
        <v>598.34199999999998</v>
      </c>
      <c r="I1156" t="s">
        <v>76</v>
      </c>
      <c r="J1156" t="s">
        <v>77</v>
      </c>
    </row>
    <row r="1157" spans="1:11" x14ac:dyDescent="0.3">
      <c r="A1157" t="s">
        <v>84</v>
      </c>
      <c r="B1157">
        <v>1001</v>
      </c>
      <c r="C1157" t="s">
        <v>81</v>
      </c>
      <c r="D1157">
        <v>1.4600699999999999E-3</v>
      </c>
      <c r="E1157" t="s">
        <v>74</v>
      </c>
      <c r="F1157">
        <v>1.46007</v>
      </c>
      <c r="G1157" t="s">
        <v>75</v>
      </c>
      <c r="H1157">
        <v>1460.07</v>
      </c>
      <c r="I1157" t="s">
        <v>76</v>
      </c>
      <c r="J1157" t="s">
        <v>82</v>
      </c>
      <c r="K1157">
        <v>684.89871600000004</v>
      </c>
    </row>
    <row r="1158" spans="1:11" x14ac:dyDescent="0.3">
      <c r="A1158" t="s">
        <v>85</v>
      </c>
      <c r="B1158">
        <v>1001</v>
      </c>
      <c r="C1158" t="s">
        <v>86</v>
      </c>
      <c r="D1158">
        <v>1.46021E-3</v>
      </c>
      <c r="E1158" t="s">
        <v>74</v>
      </c>
      <c r="F1158">
        <v>1.46021</v>
      </c>
      <c r="G1158" t="s">
        <v>75</v>
      </c>
      <c r="H1158">
        <v>1460.2149999999999</v>
      </c>
      <c r="I1158" t="s">
        <v>76</v>
      </c>
      <c r="J1158" t="s">
        <v>82</v>
      </c>
      <c r="K1158">
        <v>684.83073679999995</v>
      </c>
    </row>
    <row r="1159" spans="1:11" x14ac:dyDescent="0.3">
      <c r="A1159" t="s">
        <v>208</v>
      </c>
    </row>
    <row r="1160" spans="1:11" x14ac:dyDescent="0.3">
      <c r="A1160" t="s">
        <v>209</v>
      </c>
    </row>
    <row r="1161" spans="1:11" x14ac:dyDescent="0.3">
      <c r="A1161" t="s">
        <v>72</v>
      </c>
      <c r="B1161">
        <v>1</v>
      </c>
      <c r="C1161" t="s">
        <v>73</v>
      </c>
      <c r="D1161">
        <v>3.9999999999999998E-6</v>
      </c>
      <c r="E1161" t="s">
        <v>74</v>
      </c>
      <c r="F1161">
        <v>4.0000000000000001E-3</v>
      </c>
      <c r="G1161" t="s">
        <v>75</v>
      </c>
      <c r="H1161">
        <v>4</v>
      </c>
      <c r="I1161" t="s">
        <v>76</v>
      </c>
      <c r="J1161" t="s">
        <v>77</v>
      </c>
    </row>
    <row r="1162" spans="1:11" x14ac:dyDescent="0.3">
      <c r="A1162" t="s">
        <v>72</v>
      </c>
      <c r="B1162">
        <v>1</v>
      </c>
      <c r="C1162" t="s">
        <v>78</v>
      </c>
      <c r="D1162">
        <v>4.6799999999999999E-5</v>
      </c>
      <c r="E1162" t="s">
        <v>74</v>
      </c>
      <c r="F1162">
        <v>4.6800000000000001E-2</v>
      </c>
      <c r="G1162" t="s">
        <v>75</v>
      </c>
      <c r="H1162">
        <v>46.8</v>
      </c>
      <c r="I1162" t="s">
        <v>76</v>
      </c>
      <c r="J1162" t="s">
        <v>77</v>
      </c>
    </row>
    <row r="1163" spans="1:11" x14ac:dyDescent="0.3">
      <c r="A1163" t="s">
        <v>72</v>
      </c>
      <c r="B1163">
        <v>1</v>
      </c>
      <c r="C1163" t="s">
        <v>79</v>
      </c>
      <c r="D1163">
        <v>4.1533999999999998E-3</v>
      </c>
      <c r="E1163" t="s">
        <v>74</v>
      </c>
      <c r="F1163">
        <v>4.1534000000000004</v>
      </c>
      <c r="G1163" t="s">
        <v>75</v>
      </c>
      <c r="H1163">
        <v>4153.3999999999996</v>
      </c>
      <c r="I1163" t="s">
        <v>76</v>
      </c>
      <c r="J1163" t="s">
        <v>77</v>
      </c>
    </row>
    <row r="1164" spans="1:11" x14ac:dyDescent="0.3">
      <c r="A1164" t="s">
        <v>72</v>
      </c>
      <c r="B1164">
        <v>1</v>
      </c>
      <c r="C1164" t="s">
        <v>94</v>
      </c>
      <c r="D1164">
        <v>2.9638899999999999E-2</v>
      </c>
      <c r="E1164" t="s">
        <v>74</v>
      </c>
      <c r="F1164">
        <v>29.6389</v>
      </c>
      <c r="G1164" t="s">
        <v>75</v>
      </c>
      <c r="H1164">
        <v>29638.899000000001</v>
      </c>
      <c r="I1164" t="s">
        <v>76</v>
      </c>
      <c r="J1164" t="s">
        <v>77</v>
      </c>
    </row>
    <row r="1165" spans="1:11" x14ac:dyDescent="0.3">
      <c r="A1165" t="s">
        <v>72</v>
      </c>
      <c r="B1165">
        <v>1</v>
      </c>
      <c r="C1165" t="s">
        <v>80</v>
      </c>
      <c r="D1165">
        <v>2.96394E-2</v>
      </c>
      <c r="E1165" t="s">
        <v>74</v>
      </c>
      <c r="F1165">
        <v>29.639399999999998</v>
      </c>
      <c r="G1165" t="s">
        <v>75</v>
      </c>
      <c r="H1165">
        <v>29639.401000000002</v>
      </c>
      <c r="I1165" t="s">
        <v>76</v>
      </c>
      <c r="J1165" t="s">
        <v>77</v>
      </c>
    </row>
    <row r="1166" spans="1:11" x14ac:dyDescent="0.3">
      <c r="A1166" t="s">
        <v>72</v>
      </c>
      <c r="B1166">
        <v>1</v>
      </c>
      <c r="C1166" t="s">
        <v>81</v>
      </c>
      <c r="D1166">
        <v>3.3793799999999999E-2</v>
      </c>
      <c r="E1166" t="s">
        <v>74</v>
      </c>
      <c r="F1166">
        <v>33.793799999999997</v>
      </c>
      <c r="G1166" t="s">
        <v>75</v>
      </c>
      <c r="H1166">
        <v>33793.800000000003</v>
      </c>
      <c r="I1166" t="s">
        <v>76</v>
      </c>
      <c r="J1166" t="s">
        <v>82</v>
      </c>
      <c r="K1166">
        <v>29.591227199999999</v>
      </c>
    </row>
    <row r="1167" spans="1:11" x14ac:dyDescent="0.3">
      <c r="A1167" t="s">
        <v>83</v>
      </c>
      <c r="B1167">
        <v>1000</v>
      </c>
      <c r="C1167" t="s">
        <v>79</v>
      </c>
      <c r="D1167">
        <v>5.0701000000000001E-4</v>
      </c>
      <c r="E1167" t="s">
        <v>74</v>
      </c>
      <c r="F1167">
        <v>0.50700999999999996</v>
      </c>
      <c r="G1167" t="s">
        <v>75</v>
      </c>
      <c r="H1167">
        <v>507.005</v>
      </c>
      <c r="I1167" t="s">
        <v>76</v>
      </c>
      <c r="J1167" t="s">
        <v>77</v>
      </c>
    </row>
    <row r="1168" spans="1:11" x14ac:dyDescent="0.3">
      <c r="A1168" t="s">
        <v>83</v>
      </c>
      <c r="B1168">
        <v>1000</v>
      </c>
      <c r="C1168" t="s">
        <v>94</v>
      </c>
      <c r="D1168">
        <v>9.2478000000000005E-4</v>
      </c>
      <c r="E1168" t="s">
        <v>74</v>
      </c>
      <c r="F1168">
        <v>0.92478000000000005</v>
      </c>
      <c r="G1168" t="s">
        <v>75</v>
      </c>
      <c r="H1168">
        <v>924.78300000000002</v>
      </c>
      <c r="I1168" t="s">
        <v>76</v>
      </c>
      <c r="J1168" t="s">
        <v>77</v>
      </c>
    </row>
    <row r="1169" spans="1:11" x14ac:dyDescent="0.3">
      <c r="A1169" t="s">
        <v>83</v>
      </c>
      <c r="B1169">
        <v>1000</v>
      </c>
      <c r="C1169" t="s">
        <v>80</v>
      </c>
      <c r="D1169">
        <v>1.0866199999999999E-3</v>
      </c>
      <c r="E1169" t="s">
        <v>74</v>
      </c>
      <c r="F1169">
        <v>1.0866199999999999</v>
      </c>
      <c r="G1169" t="s">
        <v>75</v>
      </c>
      <c r="H1169">
        <v>1086.615</v>
      </c>
      <c r="I1169" t="s">
        <v>76</v>
      </c>
      <c r="J1169" t="s">
        <v>77</v>
      </c>
    </row>
    <row r="1170" spans="1:11" x14ac:dyDescent="0.3">
      <c r="A1170" t="s">
        <v>83</v>
      </c>
      <c r="B1170">
        <v>1000</v>
      </c>
      <c r="C1170" t="s">
        <v>81</v>
      </c>
      <c r="D1170">
        <v>1.5947299999999999E-3</v>
      </c>
      <c r="E1170" t="s">
        <v>74</v>
      </c>
      <c r="F1170">
        <v>1.59473</v>
      </c>
      <c r="G1170" t="s">
        <v>75</v>
      </c>
      <c r="H1170">
        <v>1594.7260000000001</v>
      </c>
      <c r="I1170" t="s">
        <v>76</v>
      </c>
      <c r="J1170" t="s">
        <v>82</v>
      </c>
      <c r="K1170">
        <v>627.06693580000001</v>
      </c>
    </row>
    <row r="1171" spans="1:11" x14ac:dyDescent="0.3">
      <c r="A1171" t="s">
        <v>84</v>
      </c>
      <c r="B1171">
        <v>1001</v>
      </c>
      <c r="C1171" t="s">
        <v>79</v>
      </c>
      <c r="D1171">
        <v>5.1064999999999997E-4</v>
      </c>
      <c r="E1171" t="s">
        <v>74</v>
      </c>
      <c r="F1171">
        <v>0.51065000000000005</v>
      </c>
      <c r="G1171" t="s">
        <v>75</v>
      </c>
      <c r="H1171">
        <v>510.64800000000002</v>
      </c>
      <c r="I1171" t="s">
        <v>76</v>
      </c>
      <c r="J1171" t="s">
        <v>77</v>
      </c>
    </row>
    <row r="1172" spans="1:11" x14ac:dyDescent="0.3">
      <c r="A1172" t="s">
        <v>84</v>
      </c>
      <c r="B1172">
        <v>1001</v>
      </c>
      <c r="C1172" t="s">
        <v>94</v>
      </c>
      <c r="D1172">
        <v>9.5346999999999999E-4</v>
      </c>
      <c r="E1172" t="s">
        <v>74</v>
      </c>
      <c r="F1172">
        <v>0.95347000000000004</v>
      </c>
      <c r="G1172" t="s">
        <v>75</v>
      </c>
      <c r="H1172">
        <v>953.46799999999996</v>
      </c>
      <c r="I1172" t="s">
        <v>76</v>
      </c>
      <c r="J1172" t="s">
        <v>77</v>
      </c>
    </row>
    <row r="1173" spans="1:11" x14ac:dyDescent="0.3">
      <c r="A1173" t="s">
        <v>84</v>
      </c>
      <c r="B1173">
        <v>1001</v>
      </c>
      <c r="C1173" t="s">
        <v>80</v>
      </c>
      <c r="D1173">
        <v>1.1151399999999999E-3</v>
      </c>
      <c r="E1173" t="s">
        <v>74</v>
      </c>
      <c r="F1173">
        <v>1.11514</v>
      </c>
      <c r="G1173" t="s">
        <v>75</v>
      </c>
      <c r="H1173">
        <v>1115.1389999999999</v>
      </c>
      <c r="I1173" t="s">
        <v>76</v>
      </c>
      <c r="J1173" t="s">
        <v>77</v>
      </c>
    </row>
    <row r="1174" spans="1:11" x14ac:dyDescent="0.3">
      <c r="A1174" t="s">
        <v>84</v>
      </c>
      <c r="B1174">
        <v>1001</v>
      </c>
      <c r="C1174" t="s">
        <v>81</v>
      </c>
      <c r="D1174">
        <v>1.62689E-3</v>
      </c>
      <c r="E1174" t="s">
        <v>74</v>
      </c>
      <c r="F1174">
        <v>1.6268899999999999</v>
      </c>
      <c r="G1174" t="s">
        <v>75</v>
      </c>
      <c r="H1174">
        <v>1626.893</v>
      </c>
      <c r="I1174" t="s">
        <v>76</v>
      </c>
      <c r="J1174" t="s">
        <v>82</v>
      </c>
      <c r="K1174">
        <v>614.66848389999996</v>
      </c>
    </row>
    <row r="1175" spans="1:11" x14ac:dyDescent="0.3">
      <c r="A1175" t="s">
        <v>85</v>
      </c>
      <c r="B1175">
        <v>1001</v>
      </c>
      <c r="C1175" t="s">
        <v>86</v>
      </c>
      <c r="D1175">
        <v>1.6270900000000001E-3</v>
      </c>
      <c r="E1175" t="s">
        <v>74</v>
      </c>
      <c r="F1175">
        <v>1.6270899999999999</v>
      </c>
      <c r="G1175" t="s">
        <v>75</v>
      </c>
      <c r="H1175">
        <v>1627.0920000000001</v>
      </c>
      <c r="I1175" t="s">
        <v>76</v>
      </c>
      <c r="J1175" t="s">
        <v>82</v>
      </c>
      <c r="K1175">
        <v>614.5932176</v>
      </c>
    </row>
    <row r="1176" spans="1:11" x14ac:dyDescent="0.3">
      <c r="A1176" t="s">
        <v>115</v>
      </c>
    </row>
    <row r="1177" spans="1:11" x14ac:dyDescent="0.3">
      <c r="A1177" t="s">
        <v>127</v>
      </c>
    </row>
    <row r="1178" spans="1:11" x14ac:dyDescent="0.3">
      <c r="A1178" t="s">
        <v>87</v>
      </c>
    </row>
    <row r="1179" spans="1:11" x14ac:dyDescent="0.3">
      <c r="A1179" t="s">
        <v>210</v>
      </c>
    </row>
    <row r="1180" spans="1:11" x14ac:dyDescent="0.3">
      <c r="A1180" t="s">
        <v>72</v>
      </c>
      <c r="B1180">
        <v>1</v>
      </c>
      <c r="C1180" t="s">
        <v>81</v>
      </c>
      <c r="D1180">
        <v>0.41158699999999998</v>
      </c>
      <c r="E1180" t="s">
        <v>74</v>
      </c>
      <c r="F1180">
        <v>411.58699999999999</v>
      </c>
      <c r="G1180" t="s">
        <v>75</v>
      </c>
      <c r="H1180">
        <v>411587</v>
      </c>
      <c r="I1180" t="s">
        <v>76</v>
      </c>
      <c r="J1180" t="s">
        <v>82</v>
      </c>
      <c r="K1180">
        <v>2.4296199999999999</v>
      </c>
    </row>
    <row r="1181" spans="1:11" x14ac:dyDescent="0.3">
      <c r="A1181" t="s">
        <v>83</v>
      </c>
      <c r="B1181">
        <v>1000</v>
      </c>
      <c r="C1181" t="s">
        <v>81</v>
      </c>
      <c r="D1181">
        <v>1.0499400000000001E-3</v>
      </c>
      <c r="E1181" t="s">
        <v>74</v>
      </c>
      <c r="F1181">
        <v>1.0499400000000001</v>
      </c>
      <c r="G1181" t="s">
        <v>75</v>
      </c>
      <c r="H1181">
        <v>1049.942</v>
      </c>
      <c r="I1181" t="s">
        <v>76</v>
      </c>
      <c r="J1181" t="s">
        <v>82</v>
      </c>
      <c r="K1181">
        <v>952.43387240000004</v>
      </c>
    </row>
    <row r="1182" spans="1:11" x14ac:dyDescent="0.3">
      <c r="A1182" t="s">
        <v>85</v>
      </c>
      <c r="B1182">
        <v>1001</v>
      </c>
      <c r="C1182" t="s">
        <v>86</v>
      </c>
      <c r="D1182">
        <v>1.46021E-3</v>
      </c>
      <c r="E1182" t="s">
        <v>74</v>
      </c>
      <c r="F1182">
        <v>1.46021</v>
      </c>
      <c r="G1182" t="s">
        <v>75</v>
      </c>
      <c r="H1182">
        <v>1460.2149999999999</v>
      </c>
      <c r="I1182" t="s">
        <v>76</v>
      </c>
      <c r="J1182" t="s">
        <v>82</v>
      </c>
      <c r="K1182">
        <v>684.83073679999995</v>
      </c>
    </row>
    <row r="1184" spans="1:11" x14ac:dyDescent="0.3">
      <c r="A1184" t="s">
        <v>211</v>
      </c>
    </row>
    <row r="1185" spans="1:11" x14ac:dyDescent="0.3">
      <c r="A1185" t="s">
        <v>72</v>
      </c>
      <c r="B1185">
        <v>1</v>
      </c>
      <c r="C1185" t="s">
        <v>81</v>
      </c>
      <c r="D1185">
        <v>3.3793799999999999E-2</v>
      </c>
      <c r="E1185" t="s">
        <v>74</v>
      </c>
      <c r="F1185">
        <v>33.793799999999997</v>
      </c>
      <c r="G1185" t="s">
        <v>75</v>
      </c>
      <c r="H1185">
        <v>33793.800000000003</v>
      </c>
      <c r="I1185" t="s">
        <v>76</v>
      </c>
      <c r="J1185" t="s">
        <v>82</v>
      </c>
      <c r="K1185">
        <v>29.591227199999999</v>
      </c>
    </row>
    <row r="1186" spans="1:11" x14ac:dyDescent="0.3">
      <c r="A1186" t="s">
        <v>83</v>
      </c>
      <c r="B1186">
        <v>1000</v>
      </c>
      <c r="C1186" t="s">
        <v>81</v>
      </c>
      <c r="D1186">
        <v>1.5947299999999999E-3</v>
      </c>
      <c r="E1186" t="s">
        <v>74</v>
      </c>
      <c r="F1186">
        <v>1.59473</v>
      </c>
      <c r="G1186" t="s">
        <v>75</v>
      </c>
      <c r="H1186">
        <v>1594.7260000000001</v>
      </c>
      <c r="I1186" t="s">
        <v>76</v>
      </c>
      <c r="J1186" t="s">
        <v>82</v>
      </c>
      <c r="K1186">
        <v>627.06693580000001</v>
      </c>
    </row>
    <row r="1187" spans="1:11" x14ac:dyDescent="0.3">
      <c r="A1187" t="s">
        <v>85</v>
      </c>
      <c r="B1187">
        <v>1001</v>
      </c>
      <c r="C1187" t="s">
        <v>86</v>
      </c>
      <c r="D1187">
        <v>1.6270900000000001E-3</v>
      </c>
      <c r="E1187" t="s">
        <v>74</v>
      </c>
      <c r="F1187">
        <v>1.6270899999999999</v>
      </c>
      <c r="G1187" t="s">
        <v>75</v>
      </c>
      <c r="H1187">
        <v>1627.0920000000001</v>
      </c>
      <c r="I1187" t="s">
        <v>76</v>
      </c>
      <c r="J1187" t="s">
        <v>82</v>
      </c>
      <c r="K1187">
        <v>614.5932176</v>
      </c>
    </row>
    <row r="1189" spans="1:11" x14ac:dyDescent="0.3">
      <c r="A1189" t="s">
        <v>66</v>
      </c>
    </row>
    <row r="1191" spans="1:11" x14ac:dyDescent="0.3">
      <c r="A1191" t="s">
        <v>212</v>
      </c>
    </row>
    <row r="1192" spans="1:11" x14ac:dyDescent="0.3">
      <c r="A1192" t="s">
        <v>68</v>
      </c>
    </row>
    <row r="1193" spans="1:11" x14ac:dyDescent="0.3">
      <c r="A1193" t="s">
        <v>69</v>
      </c>
    </row>
    <row r="1194" spans="1:11" x14ac:dyDescent="0.3">
      <c r="A1194" t="s">
        <v>70</v>
      </c>
    </row>
    <row r="1195" spans="1:11" x14ac:dyDescent="0.3">
      <c r="A1195" t="s">
        <v>115</v>
      </c>
    </row>
    <row r="1196" spans="1:11" x14ac:dyDescent="0.3">
      <c r="A1196" t="s">
        <v>116</v>
      </c>
    </row>
    <row r="1197" spans="1:11" x14ac:dyDescent="0.3">
      <c r="A1197" t="s">
        <v>117</v>
      </c>
    </row>
    <row r="1198" spans="1:11" x14ac:dyDescent="0.3">
      <c r="A1198" t="s">
        <v>118</v>
      </c>
    </row>
    <row r="1199" spans="1:11" x14ac:dyDescent="0.3">
      <c r="A1199" t="s">
        <v>119</v>
      </c>
    </row>
    <row r="1200" spans="1:11" x14ac:dyDescent="0.3">
      <c r="A1200" t="s">
        <v>120</v>
      </c>
    </row>
    <row r="1201" spans="1:11" x14ac:dyDescent="0.3">
      <c r="A1201" t="s">
        <v>121</v>
      </c>
    </row>
    <row r="1202" spans="1:11" x14ac:dyDescent="0.3">
      <c r="A1202" t="s">
        <v>122</v>
      </c>
    </row>
    <row r="1203" spans="1:11" x14ac:dyDescent="0.3">
      <c r="A1203" t="s">
        <v>123</v>
      </c>
    </row>
    <row r="1204" spans="1:11" x14ac:dyDescent="0.3">
      <c r="A1204" t="s">
        <v>124</v>
      </c>
    </row>
    <row r="1205" spans="1:11" x14ac:dyDescent="0.3">
      <c r="A1205" t="s">
        <v>125</v>
      </c>
    </row>
    <row r="1206" spans="1:11" x14ac:dyDescent="0.3">
      <c r="A1206" t="s">
        <v>126</v>
      </c>
    </row>
    <row r="1207" spans="1:11" x14ac:dyDescent="0.3">
      <c r="A1207" t="s">
        <v>127</v>
      </c>
    </row>
    <row r="1208" spans="1:11" x14ac:dyDescent="0.3">
      <c r="A1208" t="s">
        <v>213</v>
      </c>
    </row>
    <row r="1209" spans="1:11" x14ac:dyDescent="0.3">
      <c r="A1209" t="s">
        <v>214</v>
      </c>
    </row>
    <row r="1210" spans="1:11" x14ac:dyDescent="0.3">
      <c r="A1210" t="s">
        <v>72</v>
      </c>
      <c r="B1210">
        <v>1</v>
      </c>
      <c r="C1210" t="s">
        <v>73</v>
      </c>
      <c r="D1210">
        <v>4.0999999999999997E-6</v>
      </c>
      <c r="E1210" t="s">
        <v>74</v>
      </c>
      <c r="F1210">
        <v>4.1000000000000003E-3</v>
      </c>
      <c r="G1210" t="s">
        <v>75</v>
      </c>
      <c r="H1210">
        <v>4.0999999999999996</v>
      </c>
      <c r="I1210" t="s">
        <v>76</v>
      </c>
      <c r="J1210" t="s">
        <v>77</v>
      </c>
    </row>
    <row r="1211" spans="1:11" x14ac:dyDescent="0.3">
      <c r="A1211" t="s">
        <v>72</v>
      </c>
      <c r="B1211">
        <v>1</v>
      </c>
      <c r="C1211" t="s">
        <v>78</v>
      </c>
      <c r="D1211">
        <v>0.1307873</v>
      </c>
      <c r="E1211" t="s">
        <v>74</v>
      </c>
      <c r="F1211">
        <v>130.78729999999999</v>
      </c>
      <c r="G1211" t="s">
        <v>75</v>
      </c>
      <c r="H1211">
        <v>130787.298</v>
      </c>
      <c r="I1211" t="s">
        <v>76</v>
      </c>
      <c r="J1211" t="s">
        <v>77</v>
      </c>
    </row>
    <row r="1212" spans="1:11" x14ac:dyDescent="0.3">
      <c r="A1212" t="s">
        <v>72</v>
      </c>
      <c r="B1212">
        <v>1</v>
      </c>
      <c r="C1212" t="s">
        <v>79</v>
      </c>
      <c r="D1212">
        <v>0.35531690999999999</v>
      </c>
      <c r="E1212" t="s">
        <v>74</v>
      </c>
      <c r="F1212">
        <v>355.31691000000001</v>
      </c>
      <c r="G1212" t="s">
        <v>75</v>
      </c>
      <c r="H1212">
        <v>355316.90700000001</v>
      </c>
      <c r="I1212" t="s">
        <v>76</v>
      </c>
      <c r="J1212" t="s">
        <v>77</v>
      </c>
    </row>
    <row r="1213" spans="1:11" x14ac:dyDescent="0.3">
      <c r="A1213" t="s">
        <v>72</v>
      </c>
      <c r="B1213">
        <v>1</v>
      </c>
      <c r="C1213" t="s">
        <v>94</v>
      </c>
      <c r="D1213">
        <v>4.3582999999999998E-3</v>
      </c>
      <c r="E1213" t="s">
        <v>74</v>
      </c>
      <c r="F1213">
        <v>4.3582999999999998</v>
      </c>
      <c r="G1213" t="s">
        <v>75</v>
      </c>
      <c r="H1213">
        <v>4358.3</v>
      </c>
      <c r="I1213" t="s">
        <v>76</v>
      </c>
      <c r="J1213" t="s">
        <v>77</v>
      </c>
    </row>
    <row r="1214" spans="1:11" x14ac:dyDescent="0.3">
      <c r="A1214" t="s">
        <v>72</v>
      </c>
      <c r="B1214">
        <v>1</v>
      </c>
      <c r="C1214" t="s">
        <v>80</v>
      </c>
      <c r="D1214">
        <v>4.3597999999999996E-3</v>
      </c>
      <c r="E1214" t="s">
        <v>74</v>
      </c>
      <c r="F1214">
        <v>4.3597999999999999</v>
      </c>
      <c r="G1214" t="s">
        <v>75</v>
      </c>
      <c r="H1214">
        <v>4359.8</v>
      </c>
      <c r="I1214" t="s">
        <v>76</v>
      </c>
      <c r="J1214" t="s">
        <v>77</v>
      </c>
    </row>
    <row r="1215" spans="1:11" x14ac:dyDescent="0.3">
      <c r="A1215" t="s">
        <v>72</v>
      </c>
      <c r="B1215">
        <v>1</v>
      </c>
      <c r="C1215" t="s">
        <v>81</v>
      </c>
      <c r="D1215">
        <v>0.35967969999999999</v>
      </c>
      <c r="E1215" t="s">
        <v>74</v>
      </c>
      <c r="F1215">
        <v>359.67970000000003</v>
      </c>
      <c r="G1215" t="s">
        <v>75</v>
      </c>
      <c r="H1215">
        <v>359679.69900000002</v>
      </c>
      <c r="I1215" t="s">
        <v>76</v>
      </c>
      <c r="J1215" t="s">
        <v>82</v>
      </c>
      <c r="K1215">
        <v>2.7802514</v>
      </c>
    </row>
    <row r="1216" spans="1:11" x14ac:dyDescent="0.3">
      <c r="A1216" t="s">
        <v>83</v>
      </c>
      <c r="B1216">
        <v>1000</v>
      </c>
      <c r="C1216" t="s">
        <v>79</v>
      </c>
      <c r="D1216">
        <v>4.7864000000000001E-4</v>
      </c>
      <c r="E1216" t="s">
        <v>74</v>
      </c>
      <c r="F1216">
        <v>0.47864000000000001</v>
      </c>
      <c r="G1216" t="s">
        <v>75</v>
      </c>
      <c r="H1216">
        <v>478.63600000000002</v>
      </c>
      <c r="I1216" t="s">
        <v>76</v>
      </c>
      <c r="J1216" t="s">
        <v>77</v>
      </c>
    </row>
    <row r="1217" spans="1:11" x14ac:dyDescent="0.3">
      <c r="A1217" t="s">
        <v>83</v>
      </c>
      <c r="B1217">
        <v>1000</v>
      </c>
      <c r="C1217" t="s">
        <v>94</v>
      </c>
      <c r="D1217">
        <v>5.5803000000000005E-4</v>
      </c>
      <c r="E1217" t="s">
        <v>74</v>
      </c>
      <c r="F1217">
        <v>0.55803000000000003</v>
      </c>
      <c r="G1217" t="s">
        <v>75</v>
      </c>
      <c r="H1217">
        <v>558.03399999999999</v>
      </c>
      <c r="I1217" t="s">
        <v>76</v>
      </c>
      <c r="J1217" t="s">
        <v>77</v>
      </c>
    </row>
    <row r="1218" spans="1:11" x14ac:dyDescent="0.3">
      <c r="A1218" t="s">
        <v>83</v>
      </c>
      <c r="B1218">
        <v>1000</v>
      </c>
      <c r="C1218" t="s">
        <v>80</v>
      </c>
      <c r="D1218">
        <v>5.5829000000000002E-4</v>
      </c>
      <c r="E1218" t="s">
        <v>74</v>
      </c>
      <c r="F1218">
        <v>0.55828999999999995</v>
      </c>
      <c r="G1218" t="s">
        <v>75</v>
      </c>
      <c r="H1218">
        <v>558.28499999999997</v>
      </c>
      <c r="I1218" t="s">
        <v>76</v>
      </c>
      <c r="J1218" t="s">
        <v>77</v>
      </c>
    </row>
    <row r="1219" spans="1:11" x14ac:dyDescent="0.3">
      <c r="A1219" t="s">
        <v>83</v>
      </c>
      <c r="B1219">
        <v>1000</v>
      </c>
      <c r="C1219" t="s">
        <v>81</v>
      </c>
      <c r="D1219">
        <v>1.03765E-3</v>
      </c>
      <c r="E1219" t="s">
        <v>74</v>
      </c>
      <c r="F1219">
        <v>1.03765</v>
      </c>
      <c r="G1219" t="s">
        <v>75</v>
      </c>
      <c r="H1219">
        <v>1037.6479999999999</v>
      </c>
      <c r="I1219" t="s">
        <v>76</v>
      </c>
      <c r="J1219" t="s">
        <v>82</v>
      </c>
      <c r="K1219">
        <v>963.71753860000001</v>
      </c>
    </row>
    <row r="1220" spans="1:11" x14ac:dyDescent="0.3">
      <c r="A1220" t="s">
        <v>84</v>
      </c>
      <c r="B1220">
        <v>1001</v>
      </c>
      <c r="C1220" t="s">
        <v>79</v>
      </c>
      <c r="D1220">
        <v>8.3312000000000002E-4</v>
      </c>
      <c r="E1220" t="s">
        <v>74</v>
      </c>
      <c r="F1220">
        <v>0.83311999999999997</v>
      </c>
      <c r="G1220" t="s">
        <v>75</v>
      </c>
      <c r="H1220">
        <v>833.12</v>
      </c>
      <c r="I1220" t="s">
        <v>76</v>
      </c>
      <c r="J1220" t="s">
        <v>77</v>
      </c>
    </row>
    <row r="1221" spans="1:11" x14ac:dyDescent="0.3">
      <c r="A1221" t="s">
        <v>84</v>
      </c>
      <c r="B1221">
        <v>1001</v>
      </c>
      <c r="C1221" t="s">
        <v>94</v>
      </c>
      <c r="D1221">
        <v>5.6183000000000003E-4</v>
      </c>
      <c r="E1221" t="s">
        <v>74</v>
      </c>
      <c r="F1221">
        <v>0.56183000000000005</v>
      </c>
      <c r="G1221" t="s">
        <v>75</v>
      </c>
      <c r="H1221">
        <v>561.83000000000004</v>
      </c>
      <c r="I1221" t="s">
        <v>76</v>
      </c>
      <c r="J1221" t="s">
        <v>77</v>
      </c>
    </row>
    <row r="1222" spans="1:11" x14ac:dyDescent="0.3">
      <c r="A1222" t="s">
        <v>84</v>
      </c>
      <c r="B1222">
        <v>1001</v>
      </c>
      <c r="C1222" t="s">
        <v>80</v>
      </c>
      <c r="D1222">
        <v>5.6207999999999996E-4</v>
      </c>
      <c r="E1222" t="s">
        <v>74</v>
      </c>
      <c r="F1222">
        <v>0.56208000000000002</v>
      </c>
      <c r="G1222" t="s">
        <v>75</v>
      </c>
      <c r="H1222">
        <v>562.08299999999997</v>
      </c>
      <c r="I1222" t="s">
        <v>76</v>
      </c>
      <c r="J1222" t="s">
        <v>77</v>
      </c>
    </row>
    <row r="1223" spans="1:11" x14ac:dyDescent="0.3">
      <c r="A1223" t="s">
        <v>84</v>
      </c>
      <c r="B1223">
        <v>1001</v>
      </c>
      <c r="C1223" t="s">
        <v>81</v>
      </c>
      <c r="D1223">
        <v>1.3959300000000001E-3</v>
      </c>
      <c r="E1223" t="s">
        <v>74</v>
      </c>
      <c r="F1223">
        <v>1.3959299999999999</v>
      </c>
      <c r="G1223" t="s">
        <v>75</v>
      </c>
      <c r="H1223">
        <v>1395.932</v>
      </c>
      <c r="I1223" t="s">
        <v>76</v>
      </c>
      <c r="J1223" t="s">
        <v>82</v>
      </c>
      <c r="K1223">
        <v>716.36747270000001</v>
      </c>
    </row>
    <row r="1224" spans="1:11" x14ac:dyDescent="0.3">
      <c r="A1224" t="s">
        <v>85</v>
      </c>
      <c r="B1224">
        <v>1001</v>
      </c>
      <c r="C1224" t="s">
        <v>86</v>
      </c>
      <c r="D1224">
        <v>1.39612E-3</v>
      </c>
      <c r="E1224" t="s">
        <v>74</v>
      </c>
      <c r="F1224">
        <v>1.39612</v>
      </c>
      <c r="G1224" t="s">
        <v>75</v>
      </c>
      <c r="H1224">
        <v>1396.116</v>
      </c>
      <c r="I1224" t="s">
        <v>76</v>
      </c>
      <c r="J1224" t="s">
        <v>82</v>
      </c>
      <c r="K1224">
        <v>716.27263479999999</v>
      </c>
    </row>
    <row r="1225" spans="1:11" x14ac:dyDescent="0.3">
      <c r="A1225" t="s">
        <v>215</v>
      </c>
    </row>
    <row r="1226" spans="1:11" x14ac:dyDescent="0.3">
      <c r="A1226" t="s">
        <v>216</v>
      </c>
    </row>
    <row r="1227" spans="1:11" x14ac:dyDescent="0.3">
      <c r="A1227" t="s">
        <v>72</v>
      </c>
      <c r="B1227">
        <v>1</v>
      </c>
      <c r="C1227" t="s">
        <v>73</v>
      </c>
      <c r="D1227">
        <v>4.0999999999999997E-6</v>
      </c>
      <c r="E1227" t="s">
        <v>74</v>
      </c>
      <c r="F1227">
        <v>4.1000000000000003E-3</v>
      </c>
      <c r="G1227" t="s">
        <v>75</v>
      </c>
      <c r="H1227">
        <v>4.0999999999999996</v>
      </c>
      <c r="I1227" t="s">
        <v>76</v>
      </c>
      <c r="J1227" t="s">
        <v>77</v>
      </c>
    </row>
    <row r="1228" spans="1:11" x14ac:dyDescent="0.3">
      <c r="A1228" t="s">
        <v>72</v>
      </c>
      <c r="B1228">
        <v>1</v>
      </c>
      <c r="C1228" t="s">
        <v>78</v>
      </c>
      <c r="D1228">
        <v>3.8999999999999999E-5</v>
      </c>
      <c r="E1228" t="s">
        <v>74</v>
      </c>
      <c r="F1228">
        <v>3.9E-2</v>
      </c>
      <c r="G1228" t="s">
        <v>75</v>
      </c>
      <c r="H1228">
        <v>39</v>
      </c>
      <c r="I1228" t="s">
        <v>76</v>
      </c>
      <c r="J1228" t="s">
        <v>77</v>
      </c>
    </row>
    <row r="1229" spans="1:11" x14ac:dyDescent="0.3">
      <c r="A1229" t="s">
        <v>72</v>
      </c>
      <c r="B1229">
        <v>1</v>
      </c>
      <c r="C1229" t="s">
        <v>79</v>
      </c>
      <c r="D1229">
        <v>4.1916999999999996E-3</v>
      </c>
      <c r="E1229" t="s">
        <v>74</v>
      </c>
      <c r="F1229">
        <v>4.1917</v>
      </c>
      <c r="G1229" t="s">
        <v>75</v>
      </c>
      <c r="H1229">
        <v>4191.7</v>
      </c>
      <c r="I1229" t="s">
        <v>76</v>
      </c>
      <c r="J1229" t="s">
        <v>77</v>
      </c>
    </row>
    <row r="1230" spans="1:11" x14ac:dyDescent="0.3">
      <c r="A1230" t="s">
        <v>72</v>
      </c>
      <c r="B1230">
        <v>1</v>
      </c>
      <c r="C1230" t="s">
        <v>94</v>
      </c>
      <c r="D1230">
        <v>4.8595000000000001E-3</v>
      </c>
      <c r="E1230" t="s">
        <v>74</v>
      </c>
      <c r="F1230">
        <v>4.8594999999999997</v>
      </c>
      <c r="G1230" t="s">
        <v>75</v>
      </c>
      <c r="H1230">
        <v>4859.5</v>
      </c>
      <c r="I1230" t="s">
        <v>76</v>
      </c>
      <c r="J1230" t="s">
        <v>77</v>
      </c>
    </row>
    <row r="1231" spans="1:11" x14ac:dyDescent="0.3">
      <c r="A1231" t="s">
        <v>72</v>
      </c>
      <c r="B1231">
        <v>1</v>
      </c>
      <c r="C1231" t="s">
        <v>80</v>
      </c>
      <c r="D1231">
        <v>4.8599000000000003E-3</v>
      </c>
      <c r="E1231" t="s">
        <v>74</v>
      </c>
      <c r="F1231">
        <v>4.8598999999999997</v>
      </c>
      <c r="G1231" t="s">
        <v>75</v>
      </c>
      <c r="H1231">
        <v>4859.8999999999996</v>
      </c>
      <c r="I1231" t="s">
        <v>76</v>
      </c>
      <c r="J1231" t="s">
        <v>77</v>
      </c>
    </row>
    <row r="1232" spans="1:11" x14ac:dyDescent="0.3">
      <c r="A1232" t="s">
        <v>72</v>
      </c>
      <c r="B1232">
        <v>1</v>
      </c>
      <c r="C1232" t="s">
        <v>81</v>
      </c>
      <c r="D1232">
        <v>9.0528999999999991E-3</v>
      </c>
      <c r="E1232" t="s">
        <v>74</v>
      </c>
      <c r="F1232">
        <v>9.0528999999999993</v>
      </c>
      <c r="G1232" t="s">
        <v>75</v>
      </c>
      <c r="H1232">
        <v>9052.9</v>
      </c>
      <c r="I1232" t="s">
        <v>76</v>
      </c>
      <c r="J1232" t="s">
        <v>82</v>
      </c>
      <c r="K1232">
        <v>110.461845</v>
      </c>
    </row>
    <row r="1233" spans="1:11" x14ac:dyDescent="0.3">
      <c r="A1233" t="s">
        <v>83</v>
      </c>
      <c r="B1233">
        <v>1000</v>
      </c>
      <c r="C1233" t="s">
        <v>79</v>
      </c>
      <c r="D1233">
        <v>5.0191999999999999E-4</v>
      </c>
      <c r="E1233" t="s">
        <v>74</v>
      </c>
      <c r="F1233">
        <v>0.50192000000000003</v>
      </c>
      <c r="G1233" t="s">
        <v>75</v>
      </c>
      <c r="H1233">
        <v>501.92</v>
      </c>
      <c r="I1233" t="s">
        <v>76</v>
      </c>
      <c r="J1233" t="s">
        <v>77</v>
      </c>
    </row>
    <row r="1234" spans="1:11" x14ac:dyDescent="0.3">
      <c r="A1234" t="s">
        <v>83</v>
      </c>
      <c r="B1234">
        <v>1000</v>
      </c>
      <c r="C1234" t="s">
        <v>94</v>
      </c>
      <c r="D1234">
        <v>9.4543000000000003E-4</v>
      </c>
      <c r="E1234" t="s">
        <v>74</v>
      </c>
      <c r="F1234">
        <v>0.94542999999999999</v>
      </c>
      <c r="G1234" t="s">
        <v>75</v>
      </c>
      <c r="H1234">
        <v>945.42600000000004</v>
      </c>
      <c r="I1234" t="s">
        <v>76</v>
      </c>
      <c r="J1234" t="s">
        <v>77</v>
      </c>
    </row>
    <row r="1235" spans="1:11" x14ac:dyDescent="0.3">
      <c r="A1235" t="s">
        <v>83</v>
      </c>
      <c r="B1235">
        <v>1000</v>
      </c>
      <c r="C1235" t="s">
        <v>80</v>
      </c>
      <c r="D1235">
        <v>1.10954E-3</v>
      </c>
      <c r="E1235" t="s">
        <v>74</v>
      </c>
      <c r="F1235">
        <v>1.10954</v>
      </c>
      <c r="G1235" t="s">
        <v>75</v>
      </c>
      <c r="H1235">
        <v>1109.5419999999999</v>
      </c>
      <c r="I1235" t="s">
        <v>76</v>
      </c>
      <c r="J1235" t="s">
        <v>77</v>
      </c>
    </row>
    <row r="1236" spans="1:11" x14ac:dyDescent="0.3">
      <c r="A1236" t="s">
        <v>83</v>
      </c>
      <c r="B1236">
        <v>1000</v>
      </c>
      <c r="C1236" t="s">
        <v>81</v>
      </c>
      <c r="D1236">
        <v>1.6125899999999999E-3</v>
      </c>
      <c r="E1236" t="s">
        <v>74</v>
      </c>
      <c r="F1236">
        <v>1.61259</v>
      </c>
      <c r="G1236" t="s">
        <v>75</v>
      </c>
      <c r="H1236">
        <v>1612.59</v>
      </c>
      <c r="I1236" t="s">
        <v>76</v>
      </c>
      <c r="J1236" t="s">
        <v>82</v>
      </c>
      <c r="K1236">
        <v>620.12058209999998</v>
      </c>
    </row>
    <row r="1237" spans="1:11" x14ac:dyDescent="0.3">
      <c r="A1237" t="s">
        <v>84</v>
      </c>
      <c r="B1237">
        <v>1001</v>
      </c>
      <c r="C1237" t="s">
        <v>79</v>
      </c>
      <c r="D1237">
        <v>5.0560999999999998E-4</v>
      </c>
      <c r="E1237" t="s">
        <v>74</v>
      </c>
      <c r="F1237">
        <v>0.50561</v>
      </c>
      <c r="G1237" t="s">
        <v>75</v>
      </c>
      <c r="H1237">
        <v>505.60599999999999</v>
      </c>
      <c r="I1237" t="s">
        <v>76</v>
      </c>
      <c r="J1237" t="s">
        <v>77</v>
      </c>
    </row>
    <row r="1238" spans="1:11" x14ac:dyDescent="0.3">
      <c r="A1238" t="s">
        <v>84</v>
      </c>
      <c r="B1238">
        <v>1001</v>
      </c>
      <c r="C1238" t="s">
        <v>94</v>
      </c>
      <c r="D1238">
        <v>9.4934000000000001E-4</v>
      </c>
      <c r="E1238" t="s">
        <v>74</v>
      </c>
      <c r="F1238">
        <v>0.94933999999999996</v>
      </c>
      <c r="G1238" t="s">
        <v>75</v>
      </c>
      <c r="H1238">
        <v>949.33600000000001</v>
      </c>
      <c r="I1238" t="s">
        <v>76</v>
      </c>
      <c r="J1238" t="s">
        <v>77</v>
      </c>
    </row>
    <row r="1239" spans="1:11" x14ac:dyDescent="0.3">
      <c r="A1239" t="s">
        <v>84</v>
      </c>
      <c r="B1239">
        <v>1001</v>
      </c>
      <c r="C1239" t="s">
        <v>80</v>
      </c>
      <c r="D1239">
        <v>1.1132900000000001E-3</v>
      </c>
      <c r="E1239" t="s">
        <v>74</v>
      </c>
      <c r="F1239">
        <v>1.1132899999999999</v>
      </c>
      <c r="G1239" t="s">
        <v>75</v>
      </c>
      <c r="H1239">
        <v>1113.289</v>
      </c>
      <c r="I1239" t="s">
        <v>76</v>
      </c>
      <c r="J1239" t="s">
        <v>77</v>
      </c>
    </row>
    <row r="1240" spans="1:11" x14ac:dyDescent="0.3">
      <c r="A1240" t="s">
        <v>84</v>
      </c>
      <c r="B1240">
        <v>1001</v>
      </c>
      <c r="C1240" t="s">
        <v>81</v>
      </c>
      <c r="D1240">
        <v>1.62002E-3</v>
      </c>
      <c r="E1240" t="s">
        <v>74</v>
      </c>
      <c r="F1240">
        <v>1.62002</v>
      </c>
      <c r="G1240" t="s">
        <v>75</v>
      </c>
      <c r="H1240">
        <v>1620.0219999999999</v>
      </c>
      <c r="I1240" t="s">
        <v>76</v>
      </c>
      <c r="J1240" t="s">
        <v>82</v>
      </c>
      <c r="K1240">
        <v>617.27539720000004</v>
      </c>
    </row>
    <row r="1241" spans="1:11" x14ac:dyDescent="0.3">
      <c r="A1241" t="s">
        <v>85</v>
      </c>
      <c r="B1241">
        <v>1001</v>
      </c>
      <c r="C1241" t="s">
        <v>86</v>
      </c>
      <c r="D1241">
        <v>1.6202300000000001E-3</v>
      </c>
      <c r="E1241" t="s">
        <v>74</v>
      </c>
      <c r="F1241">
        <v>1.6202300000000001</v>
      </c>
      <c r="G1241" t="s">
        <v>75</v>
      </c>
      <c r="H1241">
        <v>1620.2270000000001</v>
      </c>
      <c r="I1241" t="s">
        <v>76</v>
      </c>
      <c r="J1241" t="s">
        <v>82</v>
      </c>
      <c r="K1241">
        <v>617.19744969999999</v>
      </c>
    </row>
    <row r="1242" spans="1:11" x14ac:dyDescent="0.3">
      <c r="A1242" t="s">
        <v>115</v>
      </c>
    </row>
    <row r="1243" spans="1:11" x14ac:dyDescent="0.3">
      <c r="A1243" t="s">
        <v>127</v>
      </c>
    </row>
    <row r="1244" spans="1:11" x14ac:dyDescent="0.3">
      <c r="A1244" t="s">
        <v>87</v>
      </c>
    </row>
    <row r="1245" spans="1:11" x14ac:dyDescent="0.3">
      <c r="A1245" t="s">
        <v>217</v>
      </c>
    </row>
    <row r="1246" spans="1:11" x14ac:dyDescent="0.3">
      <c r="A1246" t="s">
        <v>72</v>
      </c>
      <c r="B1246">
        <v>1</v>
      </c>
      <c r="C1246" t="s">
        <v>81</v>
      </c>
      <c r="D1246">
        <v>0.35967969999999999</v>
      </c>
      <c r="E1246" t="s">
        <v>74</v>
      </c>
      <c r="F1246">
        <v>359.67970000000003</v>
      </c>
      <c r="G1246" t="s">
        <v>75</v>
      </c>
      <c r="H1246">
        <v>359679.69900000002</v>
      </c>
      <c r="I1246" t="s">
        <v>76</v>
      </c>
      <c r="J1246" t="s">
        <v>82</v>
      </c>
      <c r="K1246">
        <v>2.7802514</v>
      </c>
    </row>
    <row r="1247" spans="1:11" x14ac:dyDescent="0.3">
      <c r="A1247" t="s">
        <v>83</v>
      </c>
      <c r="B1247">
        <v>1000</v>
      </c>
      <c r="C1247" t="s">
        <v>81</v>
      </c>
      <c r="D1247">
        <v>1.03765E-3</v>
      </c>
      <c r="E1247" t="s">
        <v>74</v>
      </c>
      <c r="F1247">
        <v>1.03765</v>
      </c>
      <c r="G1247" t="s">
        <v>75</v>
      </c>
      <c r="H1247">
        <v>1037.6479999999999</v>
      </c>
      <c r="I1247" t="s">
        <v>76</v>
      </c>
      <c r="J1247" t="s">
        <v>82</v>
      </c>
      <c r="K1247">
        <v>963.71753860000001</v>
      </c>
    </row>
    <row r="1248" spans="1:11" x14ac:dyDescent="0.3">
      <c r="A1248" t="s">
        <v>85</v>
      </c>
      <c r="B1248">
        <v>1001</v>
      </c>
      <c r="C1248" t="s">
        <v>86</v>
      </c>
      <c r="D1248">
        <v>1.39612E-3</v>
      </c>
      <c r="E1248" t="s">
        <v>74</v>
      </c>
      <c r="F1248">
        <v>1.39612</v>
      </c>
      <c r="G1248" t="s">
        <v>75</v>
      </c>
      <c r="H1248">
        <v>1396.116</v>
      </c>
      <c r="I1248" t="s">
        <v>76</v>
      </c>
      <c r="J1248" t="s">
        <v>82</v>
      </c>
      <c r="K1248">
        <v>716.27263479999999</v>
      </c>
    </row>
    <row r="1250" spans="1:11" x14ac:dyDescent="0.3">
      <c r="A1250" t="s">
        <v>218</v>
      </c>
    </row>
    <row r="1251" spans="1:11" x14ac:dyDescent="0.3">
      <c r="A1251" t="s">
        <v>72</v>
      </c>
      <c r="B1251">
        <v>1</v>
      </c>
      <c r="C1251" t="s">
        <v>81</v>
      </c>
      <c r="D1251">
        <v>9.0528999999999991E-3</v>
      </c>
      <c r="E1251" t="s">
        <v>74</v>
      </c>
      <c r="F1251">
        <v>9.0528999999999993</v>
      </c>
      <c r="G1251" t="s">
        <v>75</v>
      </c>
      <c r="H1251">
        <v>9052.9</v>
      </c>
      <c r="I1251" t="s">
        <v>76</v>
      </c>
      <c r="J1251" t="s">
        <v>82</v>
      </c>
      <c r="K1251">
        <v>110.461845</v>
      </c>
    </row>
    <row r="1252" spans="1:11" x14ac:dyDescent="0.3">
      <c r="A1252" t="s">
        <v>83</v>
      </c>
      <c r="B1252">
        <v>1000</v>
      </c>
      <c r="C1252" t="s">
        <v>81</v>
      </c>
      <c r="D1252">
        <v>1.6125899999999999E-3</v>
      </c>
      <c r="E1252" t="s">
        <v>74</v>
      </c>
      <c r="F1252">
        <v>1.61259</v>
      </c>
      <c r="G1252" t="s">
        <v>75</v>
      </c>
      <c r="H1252">
        <v>1612.59</v>
      </c>
      <c r="I1252" t="s">
        <v>76</v>
      </c>
      <c r="J1252" t="s">
        <v>82</v>
      </c>
      <c r="K1252">
        <v>620.12058209999998</v>
      </c>
    </row>
    <row r="1253" spans="1:11" x14ac:dyDescent="0.3">
      <c r="A1253" t="s">
        <v>85</v>
      </c>
      <c r="B1253">
        <v>1001</v>
      </c>
      <c r="C1253" t="s">
        <v>86</v>
      </c>
      <c r="D1253">
        <v>1.6202300000000001E-3</v>
      </c>
      <c r="E1253" t="s">
        <v>74</v>
      </c>
      <c r="F1253">
        <v>1.6202300000000001</v>
      </c>
      <c r="G1253" t="s">
        <v>75</v>
      </c>
      <c r="H1253">
        <v>1620.2270000000001</v>
      </c>
      <c r="I1253" t="s">
        <v>76</v>
      </c>
      <c r="J1253" t="s">
        <v>82</v>
      </c>
      <c r="K1253">
        <v>617.19744969999999</v>
      </c>
    </row>
    <row r="1255" spans="1:11" x14ac:dyDescent="0.3">
      <c r="A1255" t="s">
        <v>64</v>
      </c>
    </row>
    <row r="1256" spans="1:11" x14ac:dyDescent="0.3">
      <c r="A1256" t="s">
        <v>219</v>
      </c>
    </row>
    <row r="1258" spans="1:11" x14ac:dyDescent="0.3">
      <c r="A1258" t="s">
        <v>220</v>
      </c>
    </row>
    <row r="1259" spans="1:11" x14ac:dyDescent="0.3">
      <c r="A1259" t="s">
        <v>68</v>
      </c>
    </row>
    <row r="1260" spans="1:11" x14ac:dyDescent="0.3">
      <c r="A1260" t="s">
        <v>69</v>
      </c>
    </row>
    <row r="1261" spans="1:11" x14ac:dyDescent="0.3">
      <c r="A1261" t="s">
        <v>70</v>
      </c>
    </row>
    <row r="1262" spans="1:11" x14ac:dyDescent="0.3">
      <c r="A1262" t="s">
        <v>71</v>
      </c>
    </row>
    <row r="1263" spans="1:11" x14ac:dyDescent="0.3">
      <c r="A1263" t="s">
        <v>72</v>
      </c>
      <c r="B1263">
        <v>1</v>
      </c>
      <c r="C1263" t="s">
        <v>73</v>
      </c>
      <c r="D1263">
        <v>5.4819999999999999E-4</v>
      </c>
      <c r="E1263" t="s">
        <v>74</v>
      </c>
      <c r="F1263">
        <v>0.54820000000000002</v>
      </c>
      <c r="G1263" t="s">
        <v>75</v>
      </c>
      <c r="H1263">
        <v>548.20000000000005</v>
      </c>
      <c r="I1263" t="s">
        <v>76</v>
      </c>
      <c r="J1263" t="s">
        <v>77</v>
      </c>
    </row>
    <row r="1264" spans="1:11" x14ac:dyDescent="0.3">
      <c r="A1264" t="s">
        <v>72</v>
      </c>
      <c r="B1264">
        <v>1</v>
      </c>
      <c r="C1264" t="s">
        <v>78</v>
      </c>
      <c r="D1264">
        <v>3.7000000000000002E-6</v>
      </c>
      <c r="E1264" t="s">
        <v>74</v>
      </c>
      <c r="F1264">
        <v>3.7000000000000002E-3</v>
      </c>
      <c r="G1264" t="s">
        <v>75</v>
      </c>
      <c r="H1264">
        <v>3.7</v>
      </c>
      <c r="I1264" t="s">
        <v>76</v>
      </c>
      <c r="J1264" t="s">
        <v>77</v>
      </c>
    </row>
    <row r="1265" spans="1:11" x14ac:dyDescent="0.3">
      <c r="A1265" t="s">
        <v>72</v>
      </c>
      <c r="B1265">
        <v>1</v>
      </c>
      <c r="C1265" t="s">
        <v>79</v>
      </c>
      <c r="D1265">
        <v>7.1099999999999994E-5</v>
      </c>
      <c r="E1265" t="s">
        <v>74</v>
      </c>
      <c r="F1265">
        <v>7.1099999999999997E-2</v>
      </c>
      <c r="G1265" t="s">
        <v>75</v>
      </c>
      <c r="H1265">
        <v>71.099999999999994</v>
      </c>
      <c r="I1265" t="s">
        <v>76</v>
      </c>
      <c r="J1265" t="s">
        <v>77</v>
      </c>
    </row>
    <row r="1266" spans="1:11" x14ac:dyDescent="0.3">
      <c r="A1266" t="s">
        <v>72</v>
      </c>
      <c r="B1266">
        <v>1</v>
      </c>
      <c r="C1266" t="s">
        <v>80</v>
      </c>
      <c r="D1266">
        <v>1.1044315099999999</v>
      </c>
      <c r="E1266" t="s">
        <v>74</v>
      </c>
      <c r="F1266">
        <v>1104.4315099999999</v>
      </c>
      <c r="G1266" t="s">
        <v>75</v>
      </c>
      <c r="H1266">
        <v>1104431.51</v>
      </c>
      <c r="I1266" t="s">
        <v>76</v>
      </c>
      <c r="J1266" t="s">
        <v>77</v>
      </c>
    </row>
    <row r="1267" spans="1:11" x14ac:dyDescent="0.3">
      <c r="A1267" t="s">
        <v>72</v>
      </c>
      <c r="B1267">
        <v>1</v>
      </c>
      <c r="C1267" t="s">
        <v>81</v>
      </c>
      <c r="D1267">
        <v>1.1045051800000001</v>
      </c>
      <c r="E1267" t="s">
        <v>74</v>
      </c>
      <c r="F1267">
        <v>1104.5051800000001</v>
      </c>
      <c r="G1267" t="s">
        <v>75</v>
      </c>
      <c r="H1267">
        <v>1104505.1810000001</v>
      </c>
      <c r="I1267" t="s">
        <v>76</v>
      </c>
      <c r="J1267" t="s">
        <v>82</v>
      </c>
      <c r="K1267">
        <v>0.90538280000000004</v>
      </c>
    </row>
    <row r="1268" spans="1:11" x14ac:dyDescent="0.3">
      <c r="A1268" t="s">
        <v>83</v>
      </c>
      <c r="B1268">
        <v>1000</v>
      </c>
      <c r="C1268" t="s">
        <v>79</v>
      </c>
      <c r="D1268">
        <v>1.6999999999999999E-7</v>
      </c>
      <c r="E1268" t="s">
        <v>74</v>
      </c>
      <c r="F1268">
        <v>1.7000000000000001E-4</v>
      </c>
      <c r="G1268" t="s">
        <v>75</v>
      </c>
      <c r="H1268">
        <v>0.17199999999999999</v>
      </c>
      <c r="I1268" t="s">
        <v>76</v>
      </c>
      <c r="J1268" t="s">
        <v>77</v>
      </c>
    </row>
    <row r="1269" spans="1:11" x14ac:dyDescent="0.3">
      <c r="A1269" t="s">
        <v>83</v>
      </c>
      <c r="B1269">
        <v>1000</v>
      </c>
      <c r="C1269" t="s">
        <v>80</v>
      </c>
      <c r="D1269">
        <v>1.07113525</v>
      </c>
      <c r="E1269" t="s">
        <v>74</v>
      </c>
      <c r="F1269">
        <v>1071.13525</v>
      </c>
      <c r="G1269" t="s">
        <v>75</v>
      </c>
      <c r="H1269">
        <v>1071135.254</v>
      </c>
      <c r="I1269" t="s">
        <v>76</v>
      </c>
      <c r="J1269" t="s">
        <v>77</v>
      </c>
    </row>
    <row r="1270" spans="1:11" x14ac:dyDescent="0.3">
      <c r="A1270" t="s">
        <v>83</v>
      </c>
      <c r="B1270">
        <v>1000</v>
      </c>
      <c r="C1270" t="s">
        <v>81</v>
      </c>
      <c r="D1270">
        <v>1.0711367199999999</v>
      </c>
      <c r="E1270" t="s">
        <v>74</v>
      </c>
      <c r="F1270">
        <v>1071.13672</v>
      </c>
      <c r="G1270" t="s">
        <v>75</v>
      </c>
      <c r="H1270">
        <v>1071136.719</v>
      </c>
      <c r="I1270" t="s">
        <v>76</v>
      </c>
      <c r="J1270" t="s">
        <v>82</v>
      </c>
      <c r="K1270">
        <v>0.93358759999999996</v>
      </c>
    </row>
    <row r="1271" spans="1:11" x14ac:dyDescent="0.3">
      <c r="A1271" t="s">
        <v>84</v>
      </c>
      <c r="B1271">
        <v>1001</v>
      </c>
      <c r="C1271" t="s">
        <v>79</v>
      </c>
      <c r="D1271">
        <v>2.3999999999999998E-7</v>
      </c>
      <c r="E1271" t="s">
        <v>74</v>
      </c>
      <c r="F1271">
        <v>2.4000000000000001E-4</v>
      </c>
      <c r="G1271" t="s">
        <v>75</v>
      </c>
      <c r="H1271">
        <v>0.24299999999999999</v>
      </c>
      <c r="I1271" t="s">
        <v>76</v>
      </c>
      <c r="J1271" t="s">
        <v>77</v>
      </c>
    </row>
    <row r="1272" spans="1:11" x14ac:dyDescent="0.3">
      <c r="A1272" t="s">
        <v>84</v>
      </c>
      <c r="B1272">
        <v>1001</v>
      </c>
      <c r="C1272" t="s">
        <v>80</v>
      </c>
      <c r="D1272">
        <v>1.07116846</v>
      </c>
      <c r="E1272" t="s">
        <v>74</v>
      </c>
      <c r="F1272">
        <v>1071.1684600000001</v>
      </c>
      <c r="G1272" t="s">
        <v>75</v>
      </c>
      <c r="H1272">
        <v>1071168.456</v>
      </c>
      <c r="I1272" t="s">
        <v>76</v>
      </c>
      <c r="J1272" t="s">
        <v>77</v>
      </c>
    </row>
    <row r="1273" spans="1:11" x14ac:dyDescent="0.3">
      <c r="A1273" t="s">
        <v>84</v>
      </c>
      <c r="B1273">
        <v>1001</v>
      </c>
      <c r="C1273" t="s">
        <v>81</v>
      </c>
      <c r="D1273">
        <v>1.0711700399999999</v>
      </c>
      <c r="E1273" t="s">
        <v>74</v>
      </c>
      <c r="F1273">
        <v>1071.17004</v>
      </c>
      <c r="G1273" t="s">
        <v>75</v>
      </c>
      <c r="H1273">
        <v>1071170.041</v>
      </c>
      <c r="I1273" t="s">
        <v>76</v>
      </c>
      <c r="J1273" t="s">
        <v>82</v>
      </c>
      <c r="K1273">
        <v>0.93355860000000002</v>
      </c>
    </row>
    <row r="1274" spans="1:11" x14ac:dyDescent="0.3">
      <c r="A1274" t="s">
        <v>85</v>
      </c>
      <c r="B1274">
        <v>1001</v>
      </c>
      <c r="C1274" t="s">
        <v>86</v>
      </c>
      <c r="D1274">
        <v>1.0711700399999999</v>
      </c>
      <c r="E1274" t="s">
        <v>74</v>
      </c>
      <c r="F1274">
        <v>1071.17004</v>
      </c>
      <c r="G1274" t="s">
        <v>75</v>
      </c>
      <c r="H1274">
        <v>1071170.041</v>
      </c>
      <c r="I1274" t="s">
        <v>76</v>
      </c>
      <c r="J1274" t="s">
        <v>82</v>
      </c>
      <c r="K1274">
        <v>0.93355860000000002</v>
      </c>
    </row>
    <row r="1275" spans="1:11" x14ac:dyDescent="0.3">
      <c r="A1275" t="s">
        <v>87</v>
      </c>
    </row>
    <row r="1276" spans="1:11" x14ac:dyDescent="0.3">
      <c r="A1276" t="s">
        <v>88</v>
      </c>
    </row>
    <row r="1277" spans="1:11" x14ac:dyDescent="0.3">
      <c r="A1277" t="s">
        <v>72</v>
      </c>
      <c r="B1277">
        <v>1</v>
      </c>
      <c r="C1277" t="s">
        <v>81</v>
      </c>
      <c r="D1277">
        <v>1.1045051800000001</v>
      </c>
      <c r="E1277" t="s">
        <v>74</v>
      </c>
      <c r="F1277">
        <v>1104.5051800000001</v>
      </c>
      <c r="G1277" t="s">
        <v>75</v>
      </c>
      <c r="H1277">
        <v>1104505.1810000001</v>
      </c>
      <c r="I1277" t="s">
        <v>76</v>
      </c>
      <c r="J1277" t="s">
        <v>82</v>
      </c>
      <c r="K1277">
        <v>0.90538280000000004</v>
      </c>
    </row>
    <row r="1278" spans="1:11" x14ac:dyDescent="0.3">
      <c r="A1278" t="s">
        <v>83</v>
      </c>
      <c r="B1278">
        <v>1000</v>
      </c>
      <c r="C1278" t="s">
        <v>81</v>
      </c>
      <c r="D1278">
        <v>1.0711367199999999</v>
      </c>
      <c r="E1278" t="s">
        <v>74</v>
      </c>
      <c r="F1278">
        <v>1071.13672</v>
      </c>
      <c r="G1278" t="s">
        <v>75</v>
      </c>
      <c r="H1278">
        <v>1071136.719</v>
      </c>
      <c r="I1278" t="s">
        <v>76</v>
      </c>
      <c r="J1278" t="s">
        <v>82</v>
      </c>
      <c r="K1278">
        <v>0.93358759999999996</v>
      </c>
    </row>
    <row r="1279" spans="1:11" x14ac:dyDescent="0.3">
      <c r="A1279" t="s">
        <v>85</v>
      </c>
      <c r="B1279">
        <v>1001</v>
      </c>
      <c r="C1279" t="s">
        <v>86</v>
      </c>
      <c r="D1279">
        <v>1.0711700399999999</v>
      </c>
      <c r="E1279" t="s">
        <v>74</v>
      </c>
      <c r="F1279">
        <v>1071.17004</v>
      </c>
      <c r="G1279" t="s">
        <v>75</v>
      </c>
      <c r="H1279">
        <v>1071170.041</v>
      </c>
      <c r="I1279" t="s">
        <v>76</v>
      </c>
      <c r="J1279" t="s">
        <v>82</v>
      </c>
      <c r="K1279">
        <v>0.93355860000000002</v>
      </c>
    </row>
    <row r="1281" spans="1:11" x14ac:dyDescent="0.3">
      <c r="A1281" t="s">
        <v>66</v>
      </c>
    </row>
    <row r="1283" spans="1:11" x14ac:dyDescent="0.3">
      <c r="A1283" t="s">
        <v>221</v>
      </c>
    </row>
    <row r="1284" spans="1:11" x14ac:dyDescent="0.3">
      <c r="A1284" t="s">
        <v>68</v>
      </c>
    </row>
    <row r="1285" spans="1:11" x14ac:dyDescent="0.3">
      <c r="A1285" t="s">
        <v>69</v>
      </c>
    </row>
    <row r="1286" spans="1:11" x14ac:dyDescent="0.3">
      <c r="A1286" t="s">
        <v>70</v>
      </c>
    </row>
    <row r="1287" spans="1:11" x14ac:dyDescent="0.3">
      <c r="A1287" t="s">
        <v>90</v>
      </c>
    </row>
    <row r="1288" spans="1:11" x14ac:dyDescent="0.3">
      <c r="A1288" t="s">
        <v>72</v>
      </c>
      <c r="B1288">
        <v>1</v>
      </c>
      <c r="C1288" t="s">
        <v>73</v>
      </c>
      <c r="D1288">
        <v>4.4000000000000002E-6</v>
      </c>
      <c r="E1288" t="s">
        <v>74</v>
      </c>
      <c r="F1288">
        <v>4.4000000000000003E-3</v>
      </c>
      <c r="G1288" t="s">
        <v>75</v>
      </c>
      <c r="H1288">
        <v>4.4000000000000004</v>
      </c>
      <c r="I1288" t="s">
        <v>76</v>
      </c>
      <c r="J1288" t="s">
        <v>77</v>
      </c>
    </row>
    <row r="1289" spans="1:11" x14ac:dyDescent="0.3">
      <c r="A1289" t="s">
        <v>72</v>
      </c>
      <c r="B1289">
        <v>1</v>
      </c>
      <c r="C1289" t="s">
        <v>78</v>
      </c>
      <c r="D1289">
        <v>5.6100000000000002E-5</v>
      </c>
      <c r="E1289" t="s">
        <v>74</v>
      </c>
      <c r="F1289">
        <v>5.6099999999999997E-2</v>
      </c>
      <c r="G1289" t="s">
        <v>75</v>
      </c>
      <c r="H1289">
        <v>56.1</v>
      </c>
      <c r="I1289" t="s">
        <v>76</v>
      </c>
      <c r="J1289" t="s">
        <v>77</v>
      </c>
    </row>
    <row r="1290" spans="1:11" x14ac:dyDescent="0.3">
      <c r="A1290" t="s">
        <v>72</v>
      </c>
      <c r="B1290">
        <v>1</v>
      </c>
      <c r="C1290" t="s">
        <v>91</v>
      </c>
      <c r="D1290">
        <v>2.3018000000000001E-3</v>
      </c>
      <c r="E1290" t="s">
        <v>74</v>
      </c>
      <c r="F1290">
        <v>2.3018000000000001</v>
      </c>
      <c r="G1290" t="s">
        <v>75</v>
      </c>
      <c r="H1290">
        <v>2301.8000000000002</v>
      </c>
      <c r="I1290" t="s">
        <v>76</v>
      </c>
      <c r="J1290" t="s">
        <v>77</v>
      </c>
    </row>
    <row r="1291" spans="1:11" x14ac:dyDescent="0.3">
      <c r="A1291" t="s">
        <v>72</v>
      </c>
      <c r="B1291">
        <v>1</v>
      </c>
      <c r="C1291" t="s">
        <v>92</v>
      </c>
      <c r="D1291">
        <v>1.16668E-2</v>
      </c>
      <c r="E1291" t="s">
        <v>74</v>
      </c>
      <c r="F1291">
        <v>11.6668</v>
      </c>
      <c r="G1291" t="s">
        <v>75</v>
      </c>
      <c r="H1291">
        <v>11666.8</v>
      </c>
      <c r="I1291" t="s">
        <v>76</v>
      </c>
      <c r="J1291" t="s">
        <v>77</v>
      </c>
    </row>
    <row r="1292" spans="1:11" x14ac:dyDescent="0.3">
      <c r="A1292" t="s">
        <v>72</v>
      </c>
      <c r="B1292">
        <v>1</v>
      </c>
      <c r="C1292" t="s">
        <v>93</v>
      </c>
      <c r="D1292">
        <v>1.6747999999999999E-3</v>
      </c>
      <c r="E1292" t="s">
        <v>74</v>
      </c>
      <c r="F1292">
        <v>1.6748000000000001</v>
      </c>
      <c r="G1292" t="s">
        <v>75</v>
      </c>
      <c r="H1292">
        <v>1674.8</v>
      </c>
      <c r="I1292" t="s">
        <v>76</v>
      </c>
      <c r="J1292" t="s">
        <v>77</v>
      </c>
    </row>
    <row r="1293" spans="1:11" x14ac:dyDescent="0.3">
      <c r="A1293" t="s">
        <v>72</v>
      </c>
      <c r="B1293">
        <v>1</v>
      </c>
      <c r="C1293" t="s">
        <v>79</v>
      </c>
      <c r="D1293">
        <v>1.5645300000000001E-2</v>
      </c>
      <c r="E1293" t="s">
        <v>74</v>
      </c>
      <c r="F1293">
        <v>15.645300000000001</v>
      </c>
      <c r="G1293" t="s">
        <v>75</v>
      </c>
      <c r="H1293">
        <v>15645.299000000001</v>
      </c>
      <c r="I1293" t="s">
        <v>76</v>
      </c>
      <c r="J1293" t="s">
        <v>77</v>
      </c>
    </row>
    <row r="1294" spans="1:11" x14ac:dyDescent="0.3">
      <c r="A1294" t="s">
        <v>72</v>
      </c>
      <c r="B1294">
        <v>1</v>
      </c>
      <c r="C1294" t="s">
        <v>94</v>
      </c>
      <c r="D1294">
        <v>9.3115000000000003E-3</v>
      </c>
      <c r="E1294" t="s">
        <v>74</v>
      </c>
      <c r="F1294">
        <v>9.3115000000000006</v>
      </c>
      <c r="G1294" t="s">
        <v>75</v>
      </c>
      <c r="H1294">
        <v>9311.5</v>
      </c>
      <c r="I1294" t="s">
        <v>76</v>
      </c>
      <c r="J1294" t="s">
        <v>77</v>
      </c>
    </row>
    <row r="1295" spans="1:11" x14ac:dyDescent="0.3">
      <c r="A1295" t="s">
        <v>72</v>
      </c>
      <c r="B1295">
        <v>1</v>
      </c>
      <c r="C1295" t="s">
        <v>80</v>
      </c>
      <c r="D1295">
        <v>9.3136999999999994E-3</v>
      </c>
      <c r="E1295" t="s">
        <v>74</v>
      </c>
      <c r="F1295">
        <v>9.3137000000000008</v>
      </c>
      <c r="G1295" t="s">
        <v>75</v>
      </c>
      <c r="H1295">
        <v>9313.7000000000007</v>
      </c>
      <c r="I1295" t="s">
        <v>76</v>
      </c>
      <c r="J1295" t="s">
        <v>77</v>
      </c>
    </row>
    <row r="1296" spans="1:11" x14ac:dyDescent="0.3">
      <c r="A1296" t="s">
        <v>72</v>
      </c>
      <c r="B1296">
        <v>1</v>
      </c>
      <c r="C1296" t="s">
        <v>81</v>
      </c>
      <c r="D1296">
        <v>2.4961899999999999E-2</v>
      </c>
      <c r="E1296" t="s">
        <v>74</v>
      </c>
      <c r="F1296">
        <v>24.9619</v>
      </c>
      <c r="G1296" t="s">
        <v>75</v>
      </c>
      <c r="H1296">
        <v>24961.9</v>
      </c>
      <c r="I1296" t="s">
        <v>76</v>
      </c>
      <c r="J1296" t="s">
        <v>82</v>
      </c>
      <c r="K1296">
        <v>40.061053100000002</v>
      </c>
    </row>
    <row r="1297" spans="1:11" x14ac:dyDescent="0.3">
      <c r="A1297" t="s">
        <v>83</v>
      </c>
      <c r="B1297">
        <v>1000</v>
      </c>
      <c r="C1297" t="s">
        <v>79</v>
      </c>
      <c r="D1297">
        <v>1.8E-7</v>
      </c>
      <c r="E1297" t="s">
        <v>74</v>
      </c>
      <c r="F1297">
        <v>1.8000000000000001E-4</v>
      </c>
      <c r="G1297" t="s">
        <v>75</v>
      </c>
      <c r="H1297">
        <v>0.18099999999999999</v>
      </c>
      <c r="I1297" t="s">
        <v>76</v>
      </c>
      <c r="J1297" t="s">
        <v>77</v>
      </c>
    </row>
    <row r="1298" spans="1:11" x14ac:dyDescent="0.3">
      <c r="A1298" t="s">
        <v>83</v>
      </c>
      <c r="B1298">
        <v>1000</v>
      </c>
      <c r="C1298" t="s">
        <v>94</v>
      </c>
      <c r="D1298">
        <v>2.6747099999999998E-3</v>
      </c>
      <c r="E1298" t="s">
        <v>74</v>
      </c>
      <c r="F1298">
        <v>2.6747100000000001</v>
      </c>
      <c r="G1298" t="s">
        <v>75</v>
      </c>
      <c r="H1298">
        <v>2674.7089999999998</v>
      </c>
      <c r="I1298" t="s">
        <v>76</v>
      </c>
      <c r="J1298" t="s">
        <v>77</v>
      </c>
    </row>
    <row r="1299" spans="1:11" x14ac:dyDescent="0.3">
      <c r="A1299" t="s">
        <v>83</v>
      </c>
      <c r="B1299">
        <v>1000</v>
      </c>
      <c r="C1299" t="s">
        <v>80</v>
      </c>
      <c r="D1299">
        <v>2.82833E-3</v>
      </c>
      <c r="E1299" t="s">
        <v>74</v>
      </c>
      <c r="F1299">
        <v>2.8283299999999998</v>
      </c>
      <c r="G1299" t="s">
        <v>75</v>
      </c>
      <c r="H1299">
        <v>2828.335</v>
      </c>
      <c r="I1299" t="s">
        <v>76</v>
      </c>
      <c r="J1299" t="s">
        <v>77</v>
      </c>
    </row>
    <row r="1300" spans="1:11" x14ac:dyDescent="0.3">
      <c r="A1300" t="s">
        <v>83</v>
      </c>
      <c r="B1300">
        <v>1000</v>
      </c>
      <c r="C1300" t="s">
        <v>81</v>
      </c>
      <c r="D1300">
        <v>2.8296100000000002E-3</v>
      </c>
      <c r="E1300" t="s">
        <v>74</v>
      </c>
      <c r="F1300">
        <v>2.8296100000000002</v>
      </c>
      <c r="G1300" t="s">
        <v>75</v>
      </c>
      <c r="H1300">
        <v>2829.6129999999998</v>
      </c>
      <c r="I1300" t="s">
        <v>76</v>
      </c>
      <c r="J1300" t="s">
        <v>82</v>
      </c>
      <c r="K1300">
        <v>353.40519219999999</v>
      </c>
    </row>
    <row r="1301" spans="1:11" x14ac:dyDescent="0.3">
      <c r="A1301" t="s">
        <v>84</v>
      </c>
      <c r="B1301">
        <v>1</v>
      </c>
      <c r="C1301" t="s">
        <v>91</v>
      </c>
      <c r="D1301">
        <v>2.3018000000000001E-3</v>
      </c>
      <c r="E1301" t="s">
        <v>74</v>
      </c>
      <c r="F1301">
        <v>2.3018000000000001</v>
      </c>
      <c r="G1301" t="s">
        <v>75</v>
      </c>
      <c r="H1301">
        <v>2301.8000000000002</v>
      </c>
      <c r="I1301" t="s">
        <v>76</v>
      </c>
      <c r="J1301" t="s">
        <v>77</v>
      </c>
    </row>
    <row r="1302" spans="1:11" x14ac:dyDescent="0.3">
      <c r="A1302" t="s">
        <v>84</v>
      </c>
      <c r="B1302">
        <v>1</v>
      </c>
      <c r="C1302" t="s">
        <v>92</v>
      </c>
      <c r="D1302">
        <v>1.16668E-2</v>
      </c>
      <c r="E1302" t="s">
        <v>74</v>
      </c>
      <c r="F1302">
        <v>11.6668</v>
      </c>
      <c r="G1302" t="s">
        <v>75</v>
      </c>
      <c r="H1302">
        <v>11666.8</v>
      </c>
      <c r="I1302" t="s">
        <v>76</v>
      </c>
      <c r="J1302" t="s">
        <v>77</v>
      </c>
    </row>
    <row r="1303" spans="1:11" x14ac:dyDescent="0.3">
      <c r="A1303" t="s">
        <v>84</v>
      </c>
      <c r="B1303">
        <v>1</v>
      </c>
      <c r="C1303" t="s">
        <v>93</v>
      </c>
      <c r="D1303">
        <v>1.6747999999999999E-3</v>
      </c>
      <c r="E1303" t="s">
        <v>74</v>
      </c>
      <c r="F1303">
        <v>1.6748000000000001</v>
      </c>
      <c r="G1303" t="s">
        <v>75</v>
      </c>
      <c r="H1303">
        <v>1674.8</v>
      </c>
      <c r="I1303" t="s">
        <v>76</v>
      </c>
      <c r="J1303" t="s">
        <v>77</v>
      </c>
    </row>
    <row r="1304" spans="1:11" x14ac:dyDescent="0.3">
      <c r="A1304" t="s">
        <v>84</v>
      </c>
      <c r="B1304">
        <v>1001</v>
      </c>
      <c r="C1304" t="s">
        <v>79</v>
      </c>
      <c r="D1304">
        <v>1.5809999999999999E-5</v>
      </c>
      <c r="E1304" t="s">
        <v>74</v>
      </c>
      <c r="F1304">
        <v>1.5810000000000001E-2</v>
      </c>
      <c r="G1304" t="s">
        <v>75</v>
      </c>
      <c r="H1304">
        <v>15.81</v>
      </c>
      <c r="I1304" t="s">
        <v>76</v>
      </c>
      <c r="J1304" t="s">
        <v>77</v>
      </c>
    </row>
    <row r="1305" spans="1:11" x14ac:dyDescent="0.3">
      <c r="A1305" t="s">
        <v>84</v>
      </c>
      <c r="B1305">
        <v>1001</v>
      </c>
      <c r="C1305" t="s">
        <v>94</v>
      </c>
      <c r="D1305">
        <v>2.6813399999999999E-3</v>
      </c>
      <c r="E1305" t="s">
        <v>74</v>
      </c>
      <c r="F1305">
        <v>2.6813400000000001</v>
      </c>
      <c r="G1305" t="s">
        <v>75</v>
      </c>
      <c r="H1305">
        <v>2681.3389999999999</v>
      </c>
      <c r="I1305" t="s">
        <v>76</v>
      </c>
      <c r="J1305" t="s">
        <v>77</v>
      </c>
    </row>
    <row r="1306" spans="1:11" x14ac:dyDescent="0.3">
      <c r="A1306" t="s">
        <v>84</v>
      </c>
      <c r="B1306">
        <v>1001</v>
      </c>
      <c r="C1306" t="s">
        <v>80</v>
      </c>
      <c r="D1306">
        <v>2.8348100000000001E-3</v>
      </c>
      <c r="E1306" t="s">
        <v>74</v>
      </c>
      <c r="F1306">
        <v>2.8348100000000001</v>
      </c>
      <c r="G1306" t="s">
        <v>75</v>
      </c>
      <c r="H1306">
        <v>2834.8130000000001</v>
      </c>
      <c r="I1306" t="s">
        <v>76</v>
      </c>
      <c r="J1306" t="s">
        <v>77</v>
      </c>
    </row>
    <row r="1307" spans="1:11" x14ac:dyDescent="0.3">
      <c r="A1307" t="s">
        <v>84</v>
      </c>
      <c r="B1307">
        <v>1001</v>
      </c>
      <c r="C1307" t="s">
        <v>81</v>
      </c>
      <c r="D1307">
        <v>2.8517199999999999E-3</v>
      </c>
      <c r="E1307" t="s">
        <v>74</v>
      </c>
      <c r="F1307">
        <v>2.8517199999999998</v>
      </c>
      <c r="G1307" t="s">
        <v>75</v>
      </c>
      <c r="H1307">
        <v>2851.723</v>
      </c>
      <c r="I1307" t="s">
        <v>76</v>
      </c>
      <c r="J1307" t="s">
        <v>82</v>
      </c>
      <c r="K1307">
        <v>350.66519959999999</v>
      </c>
    </row>
    <row r="1308" spans="1:11" x14ac:dyDescent="0.3">
      <c r="A1308" t="s">
        <v>85</v>
      </c>
      <c r="B1308">
        <v>1001</v>
      </c>
      <c r="C1308" t="s">
        <v>86</v>
      </c>
      <c r="D1308">
        <v>2.8519499999999998E-3</v>
      </c>
      <c r="E1308" t="s">
        <v>74</v>
      </c>
      <c r="F1308">
        <v>2.85195</v>
      </c>
      <c r="G1308" t="s">
        <v>75</v>
      </c>
      <c r="H1308">
        <v>2851.951</v>
      </c>
      <c r="I1308" t="s">
        <v>76</v>
      </c>
      <c r="J1308" t="s">
        <v>82</v>
      </c>
      <c r="K1308">
        <v>350.63717309999998</v>
      </c>
    </row>
    <row r="1309" spans="1:11" x14ac:dyDescent="0.3">
      <c r="A1309" t="s">
        <v>95</v>
      </c>
    </row>
    <row r="1310" spans="1:11" x14ac:dyDescent="0.3">
      <c r="A1310" t="s">
        <v>72</v>
      </c>
      <c r="B1310">
        <v>1</v>
      </c>
      <c r="C1310" t="s">
        <v>73</v>
      </c>
      <c r="D1310">
        <v>4.4000000000000002E-6</v>
      </c>
      <c r="E1310" t="s">
        <v>74</v>
      </c>
      <c r="F1310">
        <v>4.4000000000000003E-3</v>
      </c>
      <c r="G1310" t="s">
        <v>75</v>
      </c>
      <c r="H1310">
        <v>4.4000000000000004</v>
      </c>
      <c r="I1310" t="s">
        <v>76</v>
      </c>
      <c r="J1310" t="s">
        <v>77</v>
      </c>
    </row>
    <row r="1311" spans="1:11" x14ac:dyDescent="0.3">
      <c r="A1311" t="s">
        <v>72</v>
      </c>
      <c r="B1311">
        <v>1</v>
      </c>
      <c r="C1311" t="s">
        <v>78</v>
      </c>
      <c r="D1311">
        <v>4.3699999999999998E-5</v>
      </c>
      <c r="E1311" t="s">
        <v>74</v>
      </c>
      <c r="F1311">
        <v>4.3700000000000003E-2</v>
      </c>
      <c r="G1311" t="s">
        <v>75</v>
      </c>
      <c r="H1311">
        <v>43.7</v>
      </c>
      <c r="I1311" t="s">
        <v>76</v>
      </c>
      <c r="J1311" t="s">
        <v>77</v>
      </c>
    </row>
    <row r="1312" spans="1:11" x14ac:dyDescent="0.3">
      <c r="A1312" t="s">
        <v>72</v>
      </c>
      <c r="B1312">
        <v>1</v>
      </c>
      <c r="C1312" t="s">
        <v>91</v>
      </c>
      <c r="D1312">
        <v>2.2315E-3</v>
      </c>
      <c r="E1312" t="s">
        <v>74</v>
      </c>
      <c r="F1312">
        <v>2.2315</v>
      </c>
      <c r="G1312" t="s">
        <v>75</v>
      </c>
      <c r="H1312">
        <v>2231.5</v>
      </c>
      <c r="I1312" t="s">
        <v>76</v>
      </c>
      <c r="J1312" t="s">
        <v>77</v>
      </c>
    </row>
    <row r="1313" spans="1:11" x14ac:dyDescent="0.3">
      <c r="A1313" t="s">
        <v>72</v>
      </c>
      <c r="B1313">
        <v>1</v>
      </c>
      <c r="C1313" t="s">
        <v>92</v>
      </c>
      <c r="D1313">
        <v>1.2443299999999999E-2</v>
      </c>
      <c r="E1313" t="s">
        <v>74</v>
      </c>
      <c r="F1313">
        <v>12.443300000000001</v>
      </c>
      <c r="G1313" t="s">
        <v>75</v>
      </c>
      <c r="H1313">
        <v>12443.3</v>
      </c>
      <c r="I1313" t="s">
        <v>76</v>
      </c>
      <c r="J1313" t="s">
        <v>77</v>
      </c>
    </row>
    <row r="1314" spans="1:11" x14ac:dyDescent="0.3">
      <c r="A1314" t="s">
        <v>72</v>
      </c>
      <c r="B1314">
        <v>1</v>
      </c>
      <c r="C1314" t="s">
        <v>93</v>
      </c>
      <c r="D1314">
        <v>1.6715E-3</v>
      </c>
      <c r="E1314" t="s">
        <v>74</v>
      </c>
      <c r="F1314">
        <v>1.6715</v>
      </c>
      <c r="G1314" t="s">
        <v>75</v>
      </c>
      <c r="H1314">
        <v>1671.5</v>
      </c>
      <c r="I1314" t="s">
        <v>76</v>
      </c>
      <c r="J1314" t="s">
        <v>77</v>
      </c>
    </row>
    <row r="1315" spans="1:11" x14ac:dyDescent="0.3">
      <c r="A1315" t="s">
        <v>72</v>
      </c>
      <c r="B1315">
        <v>1</v>
      </c>
      <c r="C1315" t="s">
        <v>79</v>
      </c>
      <c r="D1315">
        <v>1.6346599999999999E-2</v>
      </c>
      <c r="E1315" t="s">
        <v>74</v>
      </c>
      <c r="F1315">
        <v>16.346599999999999</v>
      </c>
      <c r="G1315" t="s">
        <v>75</v>
      </c>
      <c r="H1315">
        <v>16346.6</v>
      </c>
      <c r="I1315" t="s">
        <v>76</v>
      </c>
      <c r="J1315" t="s">
        <v>77</v>
      </c>
    </row>
    <row r="1316" spans="1:11" x14ac:dyDescent="0.3">
      <c r="A1316" t="s">
        <v>72</v>
      </c>
      <c r="B1316">
        <v>1</v>
      </c>
      <c r="C1316" t="s">
        <v>96</v>
      </c>
      <c r="D1316">
        <v>2.0761E-3</v>
      </c>
      <c r="E1316" t="s">
        <v>74</v>
      </c>
      <c r="F1316">
        <v>2.0760999999999998</v>
      </c>
      <c r="G1316" t="s">
        <v>75</v>
      </c>
      <c r="H1316">
        <v>2076.1</v>
      </c>
      <c r="I1316" t="s">
        <v>76</v>
      </c>
      <c r="J1316" t="s">
        <v>77</v>
      </c>
    </row>
    <row r="1317" spans="1:11" x14ac:dyDescent="0.3">
      <c r="A1317" t="s">
        <v>72</v>
      </c>
      <c r="B1317">
        <v>1</v>
      </c>
      <c r="C1317" t="s">
        <v>94</v>
      </c>
      <c r="D1317">
        <v>3.081E-3</v>
      </c>
      <c r="E1317" t="s">
        <v>74</v>
      </c>
      <c r="F1317">
        <v>3.081</v>
      </c>
      <c r="G1317" t="s">
        <v>75</v>
      </c>
      <c r="H1317">
        <v>3081</v>
      </c>
      <c r="I1317" t="s">
        <v>76</v>
      </c>
      <c r="J1317" t="s">
        <v>77</v>
      </c>
    </row>
    <row r="1318" spans="1:11" x14ac:dyDescent="0.3">
      <c r="A1318" t="s">
        <v>72</v>
      </c>
      <c r="B1318">
        <v>1</v>
      </c>
      <c r="C1318" t="s">
        <v>80</v>
      </c>
      <c r="D1318">
        <v>5.2956000000000001E-3</v>
      </c>
      <c r="E1318" t="s">
        <v>74</v>
      </c>
      <c r="F1318">
        <v>5.2956000000000003</v>
      </c>
      <c r="G1318" t="s">
        <v>75</v>
      </c>
      <c r="H1318">
        <v>5295.6</v>
      </c>
      <c r="I1318" t="s">
        <v>76</v>
      </c>
      <c r="J1318" t="s">
        <v>77</v>
      </c>
    </row>
    <row r="1319" spans="1:11" x14ac:dyDescent="0.3">
      <c r="A1319" t="s">
        <v>72</v>
      </c>
      <c r="B1319">
        <v>1</v>
      </c>
      <c r="C1319" t="s">
        <v>81</v>
      </c>
      <c r="D1319">
        <v>2.1643099999999998E-2</v>
      </c>
      <c r="E1319" t="s">
        <v>74</v>
      </c>
      <c r="F1319">
        <v>21.6431</v>
      </c>
      <c r="G1319" t="s">
        <v>75</v>
      </c>
      <c r="H1319">
        <v>21643.1</v>
      </c>
      <c r="I1319" t="s">
        <v>76</v>
      </c>
      <c r="J1319" t="s">
        <v>82</v>
      </c>
      <c r="K1319">
        <v>46.204101299999998</v>
      </c>
    </row>
    <row r="1320" spans="1:11" x14ac:dyDescent="0.3">
      <c r="A1320" t="s">
        <v>83</v>
      </c>
      <c r="B1320">
        <v>1000</v>
      </c>
      <c r="C1320" t="s">
        <v>79</v>
      </c>
      <c r="D1320">
        <v>2.1E-7</v>
      </c>
      <c r="E1320" t="s">
        <v>74</v>
      </c>
      <c r="F1320">
        <v>2.1000000000000001E-4</v>
      </c>
      <c r="G1320" t="s">
        <v>75</v>
      </c>
      <c r="H1320">
        <v>0.20899999999999999</v>
      </c>
      <c r="I1320" t="s">
        <v>76</v>
      </c>
      <c r="J1320" t="s">
        <v>77</v>
      </c>
    </row>
    <row r="1321" spans="1:11" x14ac:dyDescent="0.3">
      <c r="A1321" t="s">
        <v>83</v>
      </c>
      <c r="B1321">
        <v>1000</v>
      </c>
      <c r="C1321" t="s">
        <v>96</v>
      </c>
      <c r="D1321">
        <v>1.88196E-3</v>
      </c>
      <c r="E1321" t="s">
        <v>74</v>
      </c>
      <c r="F1321">
        <v>1.8819600000000001</v>
      </c>
      <c r="G1321" t="s">
        <v>75</v>
      </c>
      <c r="H1321">
        <v>1881.962</v>
      </c>
      <c r="I1321" t="s">
        <v>76</v>
      </c>
      <c r="J1321" t="s">
        <v>77</v>
      </c>
    </row>
    <row r="1322" spans="1:11" x14ac:dyDescent="0.3">
      <c r="A1322" t="s">
        <v>83</v>
      </c>
      <c r="B1322">
        <v>1000</v>
      </c>
      <c r="C1322" t="s">
        <v>94</v>
      </c>
      <c r="D1322">
        <v>2.9450399999999999E-3</v>
      </c>
      <c r="E1322" t="s">
        <v>74</v>
      </c>
      <c r="F1322">
        <v>2.9450400000000001</v>
      </c>
      <c r="G1322" t="s">
        <v>75</v>
      </c>
      <c r="H1322">
        <v>2945.04</v>
      </c>
      <c r="I1322" t="s">
        <v>76</v>
      </c>
      <c r="J1322" t="s">
        <v>77</v>
      </c>
    </row>
    <row r="1323" spans="1:11" x14ac:dyDescent="0.3">
      <c r="A1323" t="s">
        <v>83</v>
      </c>
      <c r="B1323">
        <v>1000</v>
      </c>
      <c r="C1323" t="s">
        <v>80</v>
      </c>
      <c r="D1323">
        <v>4.9542800000000001E-3</v>
      </c>
      <c r="E1323" t="s">
        <v>74</v>
      </c>
      <c r="F1323">
        <v>4.9542799999999998</v>
      </c>
      <c r="G1323" t="s">
        <v>75</v>
      </c>
      <c r="H1323">
        <v>4954.2759999999998</v>
      </c>
      <c r="I1323" t="s">
        <v>76</v>
      </c>
      <c r="J1323" t="s">
        <v>77</v>
      </c>
    </row>
    <row r="1324" spans="1:11" x14ac:dyDescent="0.3">
      <c r="A1324" t="s">
        <v>83</v>
      </c>
      <c r="B1324">
        <v>1000</v>
      </c>
      <c r="C1324" t="s">
        <v>81</v>
      </c>
      <c r="D1324">
        <v>4.9556399999999999E-3</v>
      </c>
      <c r="E1324" t="s">
        <v>74</v>
      </c>
      <c r="F1324">
        <v>4.9556399999999998</v>
      </c>
      <c r="G1324" t="s">
        <v>75</v>
      </c>
      <c r="H1324">
        <v>4955.643</v>
      </c>
      <c r="I1324" t="s">
        <v>76</v>
      </c>
      <c r="J1324" t="s">
        <v>82</v>
      </c>
      <c r="K1324">
        <v>201.790154</v>
      </c>
    </row>
    <row r="1325" spans="1:11" x14ac:dyDescent="0.3">
      <c r="A1325" t="s">
        <v>84</v>
      </c>
      <c r="B1325">
        <v>1</v>
      </c>
      <c r="C1325" t="s">
        <v>91</v>
      </c>
      <c r="D1325">
        <v>2.2315E-3</v>
      </c>
      <c r="E1325" t="s">
        <v>74</v>
      </c>
      <c r="F1325">
        <v>2.2315</v>
      </c>
      <c r="G1325" t="s">
        <v>75</v>
      </c>
      <c r="H1325">
        <v>2231.5</v>
      </c>
      <c r="I1325" t="s">
        <v>76</v>
      </c>
      <c r="J1325" t="s">
        <v>77</v>
      </c>
    </row>
    <row r="1326" spans="1:11" x14ac:dyDescent="0.3">
      <c r="A1326" t="s">
        <v>84</v>
      </c>
      <c r="B1326">
        <v>1</v>
      </c>
      <c r="C1326" t="s">
        <v>92</v>
      </c>
      <c r="D1326">
        <v>1.2443299999999999E-2</v>
      </c>
      <c r="E1326" t="s">
        <v>74</v>
      </c>
      <c r="F1326">
        <v>12.443300000000001</v>
      </c>
      <c r="G1326" t="s">
        <v>75</v>
      </c>
      <c r="H1326">
        <v>12443.3</v>
      </c>
      <c r="I1326" t="s">
        <v>76</v>
      </c>
      <c r="J1326" t="s">
        <v>77</v>
      </c>
    </row>
    <row r="1327" spans="1:11" x14ac:dyDescent="0.3">
      <c r="A1327" t="s">
        <v>84</v>
      </c>
      <c r="B1327">
        <v>1</v>
      </c>
      <c r="C1327" t="s">
        <v>93</v>
      </c>
      <c r="D1327">
        <v>1.6715E-3</v>
      </c>
      <c r="E1327" t="s">
        <v>74</v>
      </c>
      <c r="F1327">
        <v>1.6715</v>
      </c>
      <c r="G1327" t="s">
        <v>75</v>
      </c>
      <c r="H1327">
        <v>1671.5</v>
      </c>
      <c r="I1327" t="s">
        <v>76</v>
      </c>
      <c r="J1327" t="s">
        <v>77</v>
      </c>
    </row>
    <row r="1328" spans="1:11" x14ac:dyDescent="0.3">
      <c r="A1328" t="s">
        <v>84</v>
      </c>
      <c r="B1328">
        <v>1001</v>
      </c>
      <c r="C1328" t="s">
        <v>79</v>
      </c>
      <c r="D1328">
        <v>1.6540000000000001E-5</v>
      </c>
      <c r="E1328" t="s">
        <v>74</v>
      </c>
      <c r="F1328">
        <v>1.6539999999999999E-2</v>
      </c>
      <c r="G1328" t="s">
        <v>75</v>
      </c>
      <c r="H1328">
        <v>16.538</v>
      </c>
      <c r="I1328" t="s">
        <v>76</v>
      </c>
      <c r="J1328" t="s">
        <v>77</v>
      </c>
    </row>
    <row r="1329" spans="1:11" x14ac:dyDescent="0.3">
      <c r="A1329" t="s">
        <v>84</v>
      </c>
      <c r="B1329">
        <v>1001</v>
      </c>
      <c r="C1329" t="s">
        <v>96</v>
      </c>
      <c r="D1329">
        <v>1.8821599999999999E-3</v>
      </c>
      <c r="E1329" t="s">
        <v>74</v>
      </c>
      <c r="F1329">
        <v>1.8821600000000001</v>
      </c>
      <c r="G1329" t="s">
        <v>75</v>
      </c>
      <c r="H1329">
        <v>1882.1559999999999</v>
      </c>
      <c r="I1329" t="s">
        <v>76</v>
      </c>
      <c r="J1329" t="s">
        <v>77</v>
      </c>
    </row>
    <row r="1330" spans="1:11" x14ac:dyDescent="0.3">
      <c r="A1330" t="s">
        <v>84</v>
      </c>
      <c r="B1330">
        <v>1001</v>
      </c>
      <c r="C1330" t="s">
        <v>94</v>
      </c>
      <c r="D1330">
        <v>2.9451799999999999E-3</v>
      </c>
      <c r="E1330" t="s">
        <v>74</v>
      </c>
      <c r="F1330">
        <v>2.9451800000000001</v>
      </c>
      <c r="G1330" t="s">
        <v>75</v>
      </c>
      <c r="H1330">
        <v>2945.1750000000002</v>
      </c>
      <c r="I1330" t="s">
        <v>76</v>
      </c>
      <c r="J1330" t="s">
        <v>77</v>
      </c>
    </row>
    <row r="1331" spans="1:11" x14ac:dyDescent="0.3">
      <c r="A1331" t="s">
        <v>84</v>
      </c>
      <c r="B1331">
        <v>1001</v>
      </c>
      <c r="C1331" t="s">
        <v>80</v>
      </c>
      <c r="D1331">
        <v>4.9546199999999999E-3</v>
      </c>
      <c r="E1331" t="s">
        <v>74</v>
      </c>
      <c r="F1331">
        <v>4.9546200000000002</v>
      </c>
      <c r="G1331" t="s">
        <v>75</v>
      </c>
      <c r="H1331">
        <v>4954.616</v>
      </c>
      <c r="I1331" t="s">
        <v>76</v>
      </c>
      <c r="J1331" t="s">
        <v>77</v>
      </c>
    </row>
    <row r="1332" spans="1:11" x14ac:dyDescent="0.3">
      <c r="A1332" t="s">
        <v>84</v>
      </c>
      <c r="B1332">
        <v>1001</v>
      </c>
      <c r="C1332" t="s">
        <v>81</v>
      </c>
      <c r="D1332">
        <v>4.9723099999999998E-3</v>
      </c>
      <c r="E1332" t="s">
        <v>74</v>
      </c>
      <c r="F1332">
        <v>4.9723100000000002</v>
      </c>
      <c r="G1332" t="s">
        <v>75</v>
      </c>
      <c r="H1332">
        <v>4972.3149999999996</v>
      </c>
      <c r="I1332" t="s">
        <v>76</v>
      </c>
      <c r="J1332" t="s">
        <v>82</v>
      </c>
      <c r="K1332">
        <v>201.113586</v>
      </c>
    </row>
    <row r="1333" spans="1:11" x14ac:dyDescent="0.3">
      <c r="A1333" t="s">
        <v>85</v>
      </c>
      <c r="B1333">
        <v>1001</v>
      </c>
      <c r="C1333" t="s">
        <v>86</v>
      </c>
      <c r="D1333">
        <v>4.9724799999999996E-3</v>
      </c>
      <c r="E1333" t="s">
        <v>74</v>
      </c>
      <c r="F1333">
        <v>4.97248</v>
      </c>
      <c r="G1333" t="s">
        <v>75</v>
      </c>
      <c r="H1333">
        <v>4972.4790000000003</v>
      </c>
      <c r="I1333" t="s">
        <v>76</v>
      </c>
      <c r="J1333" t="s">
        <v>82</v>
      </c>
      <c r="K1333">
        <v>201.10691979999999</v>
      </c>
    </row>
    <row r="1334" spans="1:11" x14ac:dyDescent="0.3">
      <c r="A1334" t="s">
        <v>87</v>
      </c>
    </row>
    <row r="1335" spans="1:11" x14ac:dyDescent="0.3">
      <c r="A1335" t="s">
        <v>97</v>
      </c>
    </row>
    <row r="1336" spans="1:11" x14ac:dyDescent="0.3">
      <c r="A1336" t="s">
        <v>72</v>
      </c>
      <c r="B1336">
        <v>1</v>
      </c>
      <c r="C1336" t="s">
        <v>81</v>
      </c>
      <c r="D1336">
        <v>2.4961899999999999E-2</v>
      </c>
      <c r="E1336" t="s">
        <v>74</v>
      </c>
      <c r="F1336">
        <v>24.9619</v>
      </c>
      <c r="G1336" t="s">
        <v>75</v>
      </c>
      <c r="H1336">
        <v>24961.9</v>
      </c>
      <c r="I1336" t="s">
        <v>76</v>
      </c>
      <c r="J1336" t="s">
        <v>82</v>
      </c>
      <c r="K1336">
        <v>40.061053100000002</v>
      </c>
    </row>
    <row r="1337" spans="1:11" x14ac:dyDescent="0.3">
      <c r="A1337" t="s">
        <v>83</v>
      </c>
      <c r="B1337">
        <v>1000</v>
      </c>
      <c r="C1337" t="s">
        <v>81</v>
      </c>
      <c r="D1337">
        <v>2.8296100000000002E-3</v>
      </c>
      <c r="E1337" t="s">
        <v>74</v>
      </c>
      <c r="F1337">
        <v>2.8296100000000002</v>
      </c>
      <c r="G1337" t="s">
        <v>75</v>
      </c>
      <c r="H1337">
        <v>2829.6129999999998</v>
      </c>
      <c r="I1337" t="s">
        <v>76</v>
      </c>
      <c r="J1337" t="s">
        <v>82</v>
      </c>
      <c r="K1337">
        <v>353.40519219999999</v>
      </c>
    </row>
    <row r="1338" spans="1:11" x14ac:dyDescent="0.3">
      <c r="A1338" t="s">
        <v>85</v>
      </c>
      <c r="B1338">
        <v>1001</v>
      </c>
      <c r="C1338" t="s">
        <v>86</v>
      </c>
      <c r="D1338">
        <v>2.8519499999999998E-3</v>
      </c>
      <c r="E1338" t="s">
        <v>74</v>
      </c>
      <c r="F1338">
        <v>2.85195</v>
      </c>
      <c r="G1338" t="s">
        <v>75</v>
      </c>
      <c r="H1338">
        <v>2851.951</v>
      </c>
      <c r="I1338" t="s">
        <v>76</v>
      </c>
      <c r="J1338" t="s">
        <v>82</v>
      </c>
      <c r="K1338">
        <v>350.63717309999998</v>
      </c>
    </row>
    <row r="1340" spans="1:11" x14ac:dyDescent="0.3">
      <c r="A1340" t="s">
        <v>98</v>
      </c>
    </row>
    <row r="1341" spans="1:11" x14ac:dyDescent="0.3">
      <c r="A1341" t="s">
        <v>72</v>
      </c>
      <c r="B1341">
        <v>1</v>
      </c>
      <c r="C1341" t="s">
        <v>81</v>
      </c>
      <c r="D1341">
        <v>2.1643099999999998E-2</v>
      </c>
      <c r="E1341" t="s">
        <v>74</v>
      </c>
      <c r="F1341">
        <v>21.6431</v>
      </c>
      <c r="G1341" t="s">
        <v>75</v>
      </c>
      <c r="H1341">
        <v>21643.1</v>
      </c>
      <c r="I1341" t="s">
        <v>76</v>
      </c>
      <c r="J1341" t="s">
        <v>82</v>
      </c>
      <c r="K1341">
        <v>46.204101299999998</v>
      </c>
    </row>
    <row r="1342" spans="1:11" x14ac:dyDescent="0.3">
      <c r="A1342" t="s">
        <v>83</v>
      </c>
      <c r="B1342">
        <v>1000</v>
      </c>
      <c r="C1342" t="s">
        <v>81</v>
      </c>
      <c r="D1342">
        <v>4.9556399999999999E-3</v>
      </c>
      <c r="E1342" t="s">
        <v>74</v>
      </c>
      <c r="F1342">
        <v>4.9556399999999998</v>
      </c>
      <c r="G1342" t="s">
        <v>75</v>
      </c>
      <c r="H1342">
        <v>4955.643</v>
      </c>
      <c r="I1342" t="s">
        <v>76</v>
      </c>
      <c r="J1342" t="s">
        <v>82</v>
      </c>
      <c r="K1342">
        <v>201.790154</v>
      </c>
    </row>
    <row r="1343" spans="1:11" x14ac:dyDescent="0.3">
      <c r="A1343" t="s">
        <v>85</v>
      </c>
      <c r="B1343">
        <v>1001</v>
      </c>
      <c r="C1343" t="s">
        <v>86</v>
      </c>
      <c r="D1343">
        <v>4.9724799999999996E-3</v>
      </c>
      <c r="E1343" t="s">
        <v>74</v>
      </c>
      <c r="F1343">
        <v>4.97248</v>
      </c>
      <c r="G1343" t="s">
        <v>75</v>
      </c>
      <c r="H1343">
        <v>4972.4790000000003</v>
      </c>
      <c r="I1343" t="s">
        <v>76</v>
      </c>
      <c r="J1343" t="s">
        <v>82</v>
      </c>
      <c r="K1343">
        <v>201.10691979999999</v>
      </c>
    </row>
    <row r="1345" spans="1:11" x14ac:dyDescent="0.3">
      <c r="A1345" t="s">
        <v>66</v>
      </c>
    </row>
    <row r="1347" spans="1:11" x14ac:dyDescent="0.3">
      <c r="A1347" t="s">
        <v>222</v>
      </c>
    </row>
    <row r="1348" spans="1:11" x14ac:dyDescent="0.3">
      <c r="A1348" t="s">
        <v>68</v>
      </c>
    </row>
    <row r="1349" spans="1:11" x14ac:dyDescent="0.3">
      <c r="A1349" t="s">
        <v>69</v>
      </c>
    </row>
    <row r="1350" spans="1:11" x14ac:dyDescent="0.3">
      <c r="A1350" t="s">
        <v>70</v>
      </c>
    </row>
    <row r="1351" spans="1:11" x14ac:dyDescent="0.3">
      <c r="A1351" t="s">
        <v>100</v>
      </c>
    </row>
    <row r="1352" spans="1:11" x14ac:dyDescent="0.3">
      <c r="A1352" t="s">
        <v>72</v>
      </c>
      <c r="B1352">
        <v>1</v>
      </c>
      <c r="C1352" t="s">
        <v>73</v>
      </c>
      <c r="D1352">
        <v>4.1999999999999996E-6</v>
      </c>
      <c r="E1352" t="s">
        <v>74</v>
      </c>
      <c r="F1352">
        <v>4.1999999999999997E-3</v>
      </c>
      <c r="G1352" t="s">
        <v>75</v>
      </c>
      <c r="H1352">
        <v>4.2</v>
      </c>
      <c r="I1352" t="s">
        <v>76</v>
      </c>
      <c r="J1352" t="s">
        <v>77</v>
      </c>
    </row>
    <row r="1353" spans="1:11" x14ac:dyDescent="0.3">
      <c r="A1353" t="s">
        <v>72</v>
      </c>
      <c r="B1353">
        <v>1</v>
      </c>
      <c r="C1353" t="s">
        <v>78</v>
      </c>
      <c r="D1353">
        <v>4.5000000000000003E-5</v>
      </c>
      <c r="E1353" t="s">
        <v>74</v>
      </c>
      <c r="F1353">
        <v>4.4999999999999998E-2</v>
      </c>
      <c r="G1353" t="s">
        <v>75</v>
      </c>
      <c r="H1353">
        <v>45</v>
      </c>
      <c r="I1353" t="s">
        <v>76</v>
      </c>
      <c r="J1353" t="s">
        <v>77</v>
      </c>
    </row>
    <row r="1354" spans="1:11" x14ac:dyDescent="0.3">
      <c r="A1354" t="s">
        <v>72</v>
      </c>
      <c r="B1354">
        <v>1</v>
      </c>
      <c r="C1354" t="s">
        <v>91</v>
      </c>
      <c r="D1354">
        <v>2.2874000000000002E-3</v>
      </c>
      <c r="E1354" t="s">
        <v>74</v>
      </c>
      <c r="F1354">
        <v>2.2873999999999999</v>
      </c>
      <c r="G1354" t="s">
        <v>75</v>
      </c>
      <c r="H1354">
        <v>2287.4</v>
      </c>
      <c r="I1354" t="s">
        <v>76</v>
      </c>
      <c r="J1354" t="s">
        <v>77</v>
      </c>
    </row>
    <row r="1355" spans="1:11" x14ac:dyDescent="0.3">
      <c r="A1355" t="s">
        <v>72</v>
      </c>
      <c r="B1355">
        <v>1</v>
      </c>
      <c r="C1355" t="s">
        <v>92</v>
      </c>
      <c r="D1355">
        <v>1.18595E-2</v>
      </c>
      <c r="E1355" t="s">
        <v>74</v>
      </c>
      <c r="F1355">
        <v>11.859500000000001</v>
      </c>
      <c r="G1355" t="s">
        <v>75</v>
      </c>
      <c r="H1355">
        <v>11859.5</v>
      </c>
      <c r="I1355" t="s">
        <v>76</v>
      </c>
      <c r="J1355" t="s">
        <v>77</v>
      </c>
    </row>
    <row r="1356" spans="1:11" x14ac:dyDescent="0.3">
      <c r="A1356" t="s">
        <v>72</v>
      </c>
      <c r="B1356">
        <v>1</v>
      </c>
      <c r="C1356" t="s">
        <v>93</v>
      </c>
      <c r="D1356">
        <v>1.6980999999999999E-3</v>
      </c>
      <c r="E1356" t="s">
        <v>74</v>
      </c>
      <c r="F1356">
        <v>1.6980999999999999</v>
      </c>
      <c r="G1356" t="s">
        <v>75</v>
      </c>
      <c r="H1356">
        <v>1698.1</v>
      </c>
      <c r="I1356" t="s">
        <v>76</v>
      </c>
      <c r="J1356" t="s">
        <v>77</v>
      </c>
    </row>
    <row r="1357" spans="1:11" x14ac:dyDescent="0.3">
      <c r="A1357" t="s">
        <v>72</v>
      </c>
      <c r="B1357">
        <v>1</v>
      </c>
      <c r="C1357" t="s">
        <v>79</v>
      </c>
      <c r="D1357">
        <v>1.5848299999999999E-2</v>
      </c>
      <c r="E1357" t="s">
        <v>74</v>
      </c>
      <c r="F1357">
        <v>15.8483</v>
      </c>
      <c r="G1357" t="s">
        <v>75</v>
      </c>
      <c r="H1357">
        <v>15848.299000000001</v>
      </c>
      <c r="I1357" t="s">
        <v>76</v>
      </c>
      <c r="J1357" t="s">
        <v>77</v>
      </c>
    </row>
    <row r="1358" spans="1:11" x14ac:dyDescent="0.3">
      <c r="A1358" t="s">
        <v>72</v>
      </c>
      <c r="B1358">
        <v>1</v>
      </c>
      <c r="C1358" t="s">
        <v>94</v>
      </c>
      <c r="D1358">
        <v>9.4286999999999999E-3</v>
      </c>
      <c r="E1358" t="s">
        <v>74</v>
      </c>
      <c r="F1358">
        <v>9.4286999999999992</v>
      </c>
      <c r="G1358" t="s">
        <v>75</v>
      </c>
      <c r="H1358">
        <v>9428.7000000000007</v>
      </c>
      <c r="I1358" t="s">
        <v>76</v>
      </c>
      <c r="J1358" t="s">
        <v>77</v>
      </c>
    </row>
    <row r="1359" spans="1:11" x14ac:dyDescent="0.3">
      <c r="A1359" t="s">
        <v>72</v>
      </c>
      <c r="B1359">
        <v>1</v>
      </c>
      <c r="C1359" t="s">
        <v>80</v>
      </c>
      <c r="D1359">
        <v>9.4290999999999993E-3</v>
      </c>
      <c r="E1359" t="s">
        <v>74</v>
      </c>
      <c r="F1359">
        <v>9.4291</v>
      </c>
      <c r="G1359" t="s">
        <v>75</v>
      </c>
      <c r="H1359">
        <v>9429.1</v>
      </c>
      <c r="I1359" t="s">
        <v>76</v>
      </c>
      <c r="J1359" t="s">
        <v>77</v>
      </c>
    </row>
    <row r="1360" spans="1:11" x14ac:dyDescent="0.3">
      <c r="A1360" t="s">
        <v>72</v>
      </c>
      <c r="B1360">
        <v>1</v>
      </c>
      <c r="C1360" t="s">
        <v>81</v>
      </c>
      <c r="D1360">
        <v>2.5279800000000002E-2</v>
      </c>
      <c r="E1360" t="s">
        <v>74</v>
      </c>
      <c r="F1360">
        <v>25.279800000000002</v>
      </c>
      <c r="G1360" t="s">
        <v>75</v>
      </c>
      <c r="H1360">
        <v>25279.798999999999</v>
      </c>
      <c r="I1360" t="s">
        <v>76</v>
      </c>
      <c r="J1360" t="s">
        <v>82</v>
      </c>
      <c r="K1360">
        <v>39.557275799999999</v>
      </c>
    </row>
    <row r="1361" spans="1:11" x14ac:dyDescent="0.3">
      <c r="A1361" t="s">
        <v>83</v>
      </c>
      <c r="B1361">
        <v>1000</v>
      </c>
      <c r="C1361" t="s">
        <v>79</v>
      </c>
      <c r="D1361">
        <v>2.1E-7</v>
      </c>
      <c r="E1361" t="s">
        <v>74</v>
      </c>
      <c r="F1361">
        <v>2.1000000000000001E-4</v>
      </c>
      <c r="G1361" t="s">
        <v>75</v>
      </c>
      <c r="H1361">
        <v>0.20599999999999999</v>
      </c>
      <c r="I1361" t="s">
        <v>76</v>
      </c>
      <c r="J1361" t="s">
        <v>77</v>
      </c>
    </row>
    <row r="1362" spans="1:11" x14ac:dyDescent="0.3">
      <c r="A1362" t="s">
        <v>83</v>
      </c>
      <c r="B1362">
        <v>1000</v>
      </c>
      <c r="C1362" t="s">
        <v>94</v>
      </c>
      <c r="D1362">
        <v>2.6687500000000001E-3</v>
      </c>
      <c r="E1362" t="s">
        <v>74</v>
      </c>
      <c r="F1362">
        <v>2.6687500000000002</v>
      </c>
      <c r="G1362" t="s">
        <v>75</v>
      </c>
      <c r="H1362">
        <v>2668.7510000000002</v>
      </c>
      <c r="I1362" t="s">
        <v>76</v>
      </c>
      <c r="J1362" t="s">
        <v>77</v>
      </c>
    </row>
    <row r="1363" spans="1:11" x14ac:dyDescent="0.3">
      <c r="A1363" t="s">
        <v>83</v>
      </c>
      <c r="B1363">
        <v>1000</v>
      </c>
      <c r="C1363" t="s">
        <v>80</v>
      </c>
      <c r="D1363">
        <v>2.8248700000000002E-3</v>
      </c>
      <c r="E1363" t="s">
        <v>74</v>
      </c>
      <c r="F1363">
        <v>2.8248700000000002</v>
      </c>
      <c r="G1363" t="s">
        <v>75</v>
      </c>
      <c r="H1363">
        <v>2824.8739999999998</v>
      </c>
      <c r="I1363" t="s">
        <v>76</v>
      </c>
      <c r="J1363" t="s">
        <v>77</v>
      </c>
    </row>
    <row r="1364" spans="1:11" x14ac:dyDescent="0.3">
      <c r="A1364" t="s">
        <v>83</v>
      </c>
      <c r="B1364">
        <v>1000</v>
      </c>
      <c r="C1364" t="s">
        <v>81</v>
      </c>
      <c r="D1364">
        <v>2.8260300000000002E-3</v>
      </c>
      <c r="E1364" t="s">
        <v>74</v>
      </c>
      <c r="F1364">
        <v>2.8260299999999998</v>
      </c>
      <c r="G1364" t="s">
        <v>75</v>
      </c>
      <c r="H1364">
        <v>2826.0309999999999</v>
      </c>
      <c r="I1364" t="s">
        <v>76</v>
      </c>
      <c r="J1364" t="s">
        <v>82</v>
      </c>
      <c r="K1364">
        <v>353.85310420000002</v>
      </c>
    </row>
    <row r="1365" spans="1:11" x14ac:dyDescent="0.3">
      <c r="A1365" t="s">
        <v>84</v>
      </c>
      <c r="B1365">
        <v>1</v>
      </c>
      <c r="C1365" t="s">
        <v>91</v>
      </c>
      <c r="D1365">
        <v>2.2874000000000002E-3</v>
      </c>
      <c r="E1365" t="s">
        <v>74</v>
      </c>
      <c r="F1365">
        <v>2.2873999999999999</v>
      </c>
      <c r="G1365" t="s">
        <v>75</v>
      </c>
      <c r="H1365">
        <v>2287.4</v>
      </c>
      <c r="I1365" t="s">
        <v>76</v>
      </c>
      <c r="J1365" t="s">
        <v>77</v>
      </c>
    </row>
    <row r="1366" spans="1:11" x14ac:dyDescent="0.3">
      <c r="A1366" t="s">
        <v>84</v>
      </c>
      <c r="B1366">
        <v>1</v>
      </c>
      <c r="C1366" t="s">
        <v>92</v>
      </c>
      <c r="D1366">
        <v>1.18595E-2</v>
      </c>
      <c r="E1366" t="s">
        <v>74</v>
      </c>
      <c r="F1366">
        <v>11.859500000000001</v>
      </c>
      <c r="G1366" t="s">
        <v>75</v>
      </c>
      <c r="H1366">
        <v>11859.5</v>
      </c>
      <c r="I1366" t="s">
        <v>76</v>
      </c>
      <c r="J1366" t="s">
        <v>77</v>
      </c>
    </row>
    <row r="1367" spans="1:11" x14ac:dyDescent="0.3">
      <c r="A1367" t="s">
        <v>84</v>
      </c>
      <c r="B1367">
        <v>1</v>
      </c>
      <c r="C1367" t="s">
        <v>93</v>
      </c>
      <c r="D1367">
        <v>1.6980999999999999E-3</v>
      </c>
      <c r="E1367" t="s">
        <v>74</v>
      </c>
      <c r="F1367">
        <v>1.6980999999999999</v>
      </c>
      <c r="G1367" t="s">
        <v>75</v>
      </c>
      <c r="H1367">
        <v>1698.1</v>
      </c>
      <c r="I1367" t="s">
        <v>76</v>
      </c>
      <c r="J1367" t="s">
        <v>77</v>
      </c>
    </row>
    <row r="1368" spans="1:11" x14ac:dyDescent="0.3">
      <c r="A1368" t="s">
        <v>84</v>
      </c>
      <c r="B1368">
        <v>1001</v>
      </c>
      <c r="C1368" t="s">
        <v>79</v>
      </c>
      <c r="D1368">
        <v>1.6039999999999999E-5</v>
      </c>
      <c r="E1368" t="s">
        <v>74</v>
      </c>
      <c r="F1368">
        <v>1.6039999999999999E-2</v>
      </c>
      <c r="G1368" t="s">
        <v>75</v>
      </c>
      <c r="H1368">
        <v>16.038</v>
      </c>
      <c r="I1368" t="s">
        <v>76</v>
      </c>
      <c r="J1368" t="s">
        <v>77</v>
      </c>
    </row>
    <row r="1369" spans="1:11" x14ac:dyDescent="0.3">
      <c r="A1369" t="s">
        <v>84</v>
      </c>
      <c r="B1369">
        <v>1001</v>
      </c>
      <c r="C1369" t="s">
        <v>94</v>
      </c>
      <c r="D1369">
        <v>2.6754999999999999E-3</v>
      </c>
      <c r="E1369" t="s">
        <v>74</v>
      </c>
      <c r="F1369">
        <v>2.6755</v>
      </c>
      <c r="G1369" t="s">
        <v>75</v>
      </c>
      <c r="H1369">
        <v>2675.5050000000001</v>
      </c>
      <c r="I1369" t="s">
        <v>76</v>
      </c>
      <c r="J1369" t="s">
        <v>77</v>
      </c>
    </row>
    <row r="1370" spans="1:11" x14ac:dyDescent="0.3">
      <c r="A1370" t="s">
        <v>84</v>
      </c>
      <c r="B1370">
        <v>1001</v>
      </c>
      <c r="C1370" t="s">
        <v>80</v>
      </c>
      <c r="D1370">
        <v>2.83147E-3</v>
      </c>
      <c r="E1370" t="s">
        <v>74</v>
      </c>
      <c r="F1370">
        <v>2.8314699999999999</v>
      </c>
      <c r="G1370" t="s">
        <v>75</v>
      </c>
      <c r="H1370">
        <v>2831.4720000000002</v>
      </c>
      <c r="I1370" t="s">
        <v>76</v>
      </c>
      <c r="J1370" t="s">
        <v>77</v>
      </c>
    </row>
    <row r="1371" spans="1:11" x14ac:dyDescent="0.3">
      <c r="A1371" t="s">
        <v>84</v>
      </c>
      <c r="B1371">
        <v>1001</v>
      </c>
      <c r="C1371" t="s">
        <v>81</v>
      </c>
      <c r="D1371">
        <v>2.8484600000000001E-3</v>
      </c>
      <c r="E1371" t="s">
        <v>74</v>
      </c>
      <c r="F1371">
        <v>2.8484600000000002</v>
      </c>
      <c r="G1371" t="s">
        <v>75</v>
      </c>
      <c r="H1371">
        <v>2848.4630000000002</v>
      </c>
      <c r="I1371" t="s">
        <v>76</v>
      </c>
      <c r="J1371" t="s">
        <v>82</v>
      </c>
      <c r="K1371">
        <v>351.06658340000001</v>
      </c>
    </row>
    <row r="1372" spans="1:11" x14ac:dyDescent="0.3">
      <c r="A1372" t="s">
        <v>85</v>
      </c>
      <c r="B1372">
        <v>1001</v>
      </c>
      <c r="C1372" t="s">
        <v>86</v>
      </c>
      <c r="D1372">
        <v>2.8486900000000001E-3</v>
      </c>
      <c r="E1372" t="s">
        <v>74</v>
      </c>
      <c r="F1372">
        <v>2.8486899999999999</v>
      </c>
      <c r="G1372" t="s">
        <v>75</v>
      </c>
      <c r="H1372">
        <v>2848.6860000000001</v>
      </c>
      <c r="I1372" t="s">
        <v>76</v>
      </c>
      <c r="J1372" t="s">
        <v>82</v>
      </c>
      <c r="K1372">
        <v>351.0389917</v>
      </c>
    </row>
    <row r="1373" spans="1:11" x14ac:dyDescent="0.3">
      <c r="A1373" t="s">
        <v>101</v>
      </c>
    </row>
    <row r="1374" spans="1:11" x14ac:dyDescent="0.3">
      <c r="A1374" t="s">
        <v>72</v>
      </c>
      <c r="B1374">
        <v>1</v>
      </c>
      <c r="C1374" t="s">
        <v>73</v>
      </c>
      <c r="D1374">
        <v>4.1999999999999996E-6</v>
      </c>
      <c r="E1374" t="s">
        <v>74</v>
      </c>
      <c r="F1374">
        <v>4.1999999999999997E-3</v>
      </c>
      <c r="G1374" t="s">
        <v>75</v>
      </c>
      <c r="H1374">
        <v>4.2</v>
      </c>
      <c r="I1374" t="s">
        <v>76</v>
      </c>
      <c r="J1374" t="s">
        <v>77</v>
      </c>
    </row>
    <row r="1375" spans="1:11" x14ac:dyDescent="0.3">
      <c r="A1375" t="s">
        <v>72</v>
      </c>
      <c r="B1375">
        <v>1</v>
      </c>
      <c r="C1375" t="s">
        <v>78</v>
      </c>
      <c r="D1375">
        <v>4.2299999999999998E-5</v>
      </c>
      <c r="E1375" t="s">
        <v>74</v>
      </c>
      <c r="F1375">
        <v>4.2299999999999997E-2</v>
      </c>
      <c r="G1375" t="s">
        <v>75</v>
      </c>
      <c r="H1375">
        <v>42.3</v>
      </c>
      <c r="I1375" t="s">
        <v>76</v>
      </c>
      <c r="J1375" t="s">
        <v>77</v>
      </c>
    </row>
    <row r="1376" spans="1:11" x14ac:dyDescent="0.3">
      <c r="A1376" t="s">
        <v>72</v>
      </c>
      <c r="B1376">
        <v>1</v>
      </c>
      <c r="C1376" t="s">
        <v>91</v>
      </c>
      <c r="D1376">
        <v>2.2263999999999999E-3</v>
      </c>
      <c r="E1376" t="s">
        <v>74</v>
      </c>
      <c r="F1376">
        <v>2.2263999999999999</v>
      </c>
      <c r="G1376" t="s">
        <v>75</v>
      </c>
      <c r="H1376">
        <v>2226.4</v>
      </c>
      <c r="I1376" t="s">
        <v>76</v>
      </c>
      <c r="J1376" t="s">
        <v>77</v>
      </c>
    </row>
    <row r="1377" spans="1:11" x14ac:dyDescent="0.3">
      <c r="A1377" t="s">
        <v>72</v>
      </c>
      <c r="B1377">
        <v>1</v>
      </c>
      <c r="C1377" t="s">
        <v>92</v>
      </c>
      <c r="D1377">
        <v>1.2526499999999999E-2</v>
      </c>
      <c r="E1377" t="s">
        <v>74</v>
      </c>
      <c r="F1377">
        <v>12.5265</v>
      </c>
      <c r="G1377" t="s">
        <v>75</v>
      </c>
      <c r="H1377">
        <v>12526.5</v>
      </c>
      <c r="I1377" t="s">
        <v>76</v>
      </c>
      <c r="J1377" t="s">
        <v>77</v>
      </c>
    </row>
    <row r="1378" spans="1:11" x14ac:dyDescent="0.3">
      <c r="A1378" t="s">
        <v>72</v>
      </c>
      <c r="B1378">
        <v>1</v>
      </c>
      <c r="C1378" t="s">
        <v>93</v>
      </c>
      <c r="D1378">
        <v>1.6899E-3</v>
      </c>
      <c r="E1378" t="s">
        <v>74</v>
      </c>
      <c r="F1378">
        <v>1.6899</v>
      </c>
      <c r="G1378" t="s">
        <v>75</v>
      </c>
      <c r="H1378">
        <v>1689.9</v>
      </c>
      <c r="I1378" t="s">
        <v>76</v>
      </c>
      <c r="J1378" t="s">
        <v>77</v>
      </c>
    </row>
    <row r="1379" spans="1:11" x14ac:dyDescent="0.3">
      <c r="A1379" t="s">
        <v>72</v>
      </c>
      <c r="B1379">
        <v>1</v>
      </c>
      <c r="C1379" t="s">
        <v>79</v>
      </c>
      <c r="D1379">
        <v>1.6443200000000002E-2</v>
      </c>
      <c r="E1379" t="s">
        <v>74</v>
      </c>
      <c r="F1379">
        <v>16.443200000000001</v>
      </c>
      <c r="G1379" t="s">
        <v>75</v>
      </c>
      <c r="H1379">
        <v>16443.2</v>
      </c>
      <c r="I1379" t="s">
        <v>76</v>
      </c>
      <c r="J1379" t="s">
        <v>77</v>
      </c>
    </row>
    <row r="1380" spans="1:11" x14ac:dyDescent="0.3">
      <c r="A1380" t="s">
        <v>72</v>
      </c>
      <c r="B1380">
        <v>1</v>
      </c>
      <c r="C1380" t="s">
        <v>96</v>
      </c>
      <c r="D1380">
        <v>2.1218000000000001E-3</v>
      </c>
      <c r="E1380" t="s">
        <v>74</v>
      </c>
      <c r="F1380">
        <v>2.1217999999999999</v>
      </c>
      <c r="G1380" t="s">
        <v>75</v>
      </c>
      <c r="H1380">
        <v>2121.8000000000002</v>
      </c>
      <c r="I1380" t="s">
        <v>76</v>
      </c>
      <c r="J1380" t="s">
        <v>77</v>
      </c>
    </row>
    <row r="1381" spans="1:11" x14ac:dyDescent="0.3">
      <c r="A1381" t="s">
        <v>72</v>
      </c>
      <c r="B1381">
        <v>1</v>
      </c>
      <c r="C1381" t="s">
        <v>94</v>
      </c>
      <c r="D1381">
        <v>3.0885000000000001E-3</v>
      </c>
      <c r="E1381" t="s">
        <v>74</v>
      </c>
      <c r="F1381">
        <v>3.0884999999999998</v>
      </c>
      <c r="G1381" t="s">
        <v>75</v>
      </c>
      <c r="H1381">
        <v>3088.5</v>
      </c>
      <c r="I1381" t="s">
        <v>76</v>
      </c>
      <c r="J1381" t="s">
        <v>77</v>
      </c>
    </row>
    <row r="1382" spans="1:11" x14ac:dyDescent="0.3">
      <c r="A1382" t="s">
        <v>72</v>
      </c>
      <c r="B1382">
        <v>1</v>
      </c>
      <c r="C1382" t="s">
        <v>80</v>
      </c>
      <c r="D1382">
        <v>5.3419000000000001E-3</v>
      </c>
      <c r="E1382" t="s">
        <v>74</v>
      </c>
      <c r="F1382">
        <v>5.3418999999999999</v>
      </c>
      <c r="G1382" t="s">
        <v>75</v>
      </c>
      <c r="H1382">
        <v>5341.9</v>
      </c>
      <c r="I1382" t="s">
        <v>76</v>
      </c>
      <c r="J1382" t="s">
        <v>77</v>
      </c>
    </row>
    <row r="1383" spans="1:11" x14ac:dyDescent="0.3">
      <c r="A1383" t="s">
        <v>72</v>
      </c>
      <c r="B1383">
        <v>1</v>
      </c>
      <c r="C1383" t="s">
        <v>81</v>
      </c>
      <c r="D1383">
        <v>2.1786199999999999E-2</v>
      </c>
      <c r="E1383" t="s">
        <v>74</v>
      </c>
      <c r="F1383">
        <v>21.786200000000001</v>
      </c>
      <c r="G1383" t="s">
        <v>75</v>
      </c>
      <c r="H1383">
        <v>21786.2</v>
      </c>
      <c r="I1383" t="s">
        <v>76</v>
      </c>
      <c r="J1383" t="s">
        <v>82</v>
      </c>
      <c r="K1383">
        <v>45.900616200000002</v>
      </c>
    </row>
    <row r="1384" spans="1:11" x14ac:dyDescent="0.3">
      <c r="A1384" t="s">
        <v>83</v>
      </c>
      <c r="B1384">
        <v>1000</v>
      </c>
      <c r="C1384" t="s">
        <v>79</v>
      </c>
      <c r="D1384">
        <v>1.8E-7</v>
      </c>
      <c r="E1384" t="s">
        <v>74</v>
      </c>
      <c r="F1384">
        <v>1.8000000000000001E-4</v>
      </c>
      <c r="G1384" t="s">
        <v>75</v>
      </c>
      <c r="H1384">
        <v>0.17499999999999999</v>
      </c>
      <c r="I1384" t="s">
        <v>76</v>
      </c>
      <c r="J1384" t="s">
        <v>77</v>
      </c>
    </row>
    <row r="1385" spans="1:11" x14ac:dyDescent="0.3">
      <c r="A1385" t="s">
        <v>83</v>
      </c>
      <c r="B1385">
        <v>1000</v>
      </c>
      <c r="C1385" t="s">
        <v>96</v>
      </c>
      <c r="D1385">
        <v>1.88225E-3</v>
      </c>
      <c r="E1385" t="s">
        <v>74</v>
      </c>
      <c r="F1385">
        <v>1.88225</v>
      </c>
      <c r="G1385" t="s">
        <v>75</v>
      </c>
      <c r="H1385">
        <v>1882.2470000000001</v>
      </c>
      <c r="I1385" t="s">
        <v>76</v>
      </c>
      <c r="J1385" t="s">
        <v>77</v>
      </c>
    </row>
    <row r="1386" spans="1:11" x14ac:dyDescent="0.3">
      <c r="A1386" t="s">
        <v>83</v>
      </c>
      <c r="B1386">
        <v>1000</v>
      </c>
      <c r="C1386" t="s">
        <v>94</v>
      </c>
      <c r="D1386">
        <v>2.9659500000000002E-3</v>
      </c>
      <c r="E1386" t="s">
        <v>74</v>
      </c>
      <c r="F1386">
        <v>2.9659499999999999</v>
      </c>
      <c r="G1386" t="s">
        <v>75</v>
      </c>
      <c r="H1386">
        <v>2965.9450000000002</v>
      </c>
      <c r="I1386" t="s">
        <v>76</v>
      </c>
      <c r="J1386" t="s">
        <v>77</v>
      </c>
    </row>
    <row r="1387" spans="1:11" x14ac:dyDescent="0.3">
      <c r="A1387" t="s">
        <v>83</v>
      </c>
      <c r="B1387">
        <v>1000</v>
      </c>
      <c r="C1387" t="s">
        <v>80</v>
      </c>
      <c r="D1387">
        <v>4.97154E-3</v>
      </c>
      <c r="E1387" t="s">
        <v>74</v>
      </c>
      <c r="F1387">
        <v>4.9715400000000001</v>
      </c>
      <c r="G1387" t="s">
        <v>75</v>
      </c>
      <c r="H1387">
        <v>4971.5420000000004</v>
      </c>
      <c r="I1387" t="s">
        <v>76</v>
      </c>
      <c r="J1387" t="s">
        <v>77</v>
      </c>
    </row>
    <row r="1388" spans="1:11" x14ac:dyDescent="0.3">
      <c r="A1388" t="s">
        <v>83</v>
      </c>
      <c r="B1388">
        <v>1000</v>
      </c>
      <c r="C1388" t="s">
        <v>81</v>
      </c>
      <c r="D1388">
        <v>4.9727800000000004E-3</v>
      </c>
      <c r="E1388" t="s">
        <v>74</v>
      </c>
      <c r="F1388">
        <v>4.9727800000000002</v>
      </c>
      <c r="G1388" t="s">
        <v>75</v>
      </c>
      <c r="H1388">
        <v>4972.7809999999999</v>
      </c>
      <c r="I1388" t="s">
        <v>76</v>
      </c>
      <c r="J1388" t="s">
        <v>82</v>
      </c>
      <c r="K1388">
        <v>201.0947314</v>
      </c>
    </row>
    <row r="1389" spans="1:11" x14ac:dyDescent="0.3">
      <c r="A1389" t="s">
        <v>84</v>
      </c>
      <c r="B1389">
        <v>1</v>
      </c>
      <c r="C1389" t="s">
        <v>91</v>
      </c>
      <c r="D1389">
        <v>2.2263999999999999E-3</v>
      </c>
      <c r="E1389" t="s">
        <v>74</v>
      </c>
      <c r="F1389">
        <v>2.2263999999999999</v>
      </c>
      <c r="G1389" t="s">
        <v>75</v>
      </c>
      <c r="H1389">
        <v>2226.4</v>
      </c>
      <c r="I1389" t="s">
        <v>76</v>
      </c>
      <c r="J1389" t="s">
        <v>77</v>
      </c>
    </row>
    <row r="1390" spans="1:11" x14ac:dyDescent="0.3">
      <c r="A1390" t="s">
        <v>84</v>
      </c>
      <c r="B1390">
        <v>1</v>
      </c>
      <c r="C1390" t="s">
        <v>92</v>
      </c>
      <c r="D1390">
        <v>1.2526499999999999E-2</v>
      </c>
      <c r="E1390" t="s">
        <v>74</v>
      </c>
      <c r="F1390">
        <v>12.5265</v>
      </c>
      <c r="G1390" t="s">
        <v>75</v>
      </c>
      <c r="H1390">
        <v>12526.5</v>
      </c>
      <c r="I1390" t="s">
        <v>76</v>
      </c>
      <c r="J1390" t="s">
        <v>77</v>
      </c>
    </row>
    <row r="1391" spans="1:11" x14ac:dyDescent="0.3">
      <c r="A1391" t="s">
        <v>84</v>
      </c>
      <c r="B1391">
        <v>1</v>
      </c>
      <c r="C1391" t="s">
        <v>93</v>
      </c>
      <c r="D1391">
        <v>1.6899E-3</v>
      </c>
      <c r="E1391" t="s">
        <v>74</v>
      </c>
      <c r="F1391">
        <v>1.6899</v>
      </c>
      <c r="G1391" t="s">
        <v>75</v>
      </c>
      <c r="H1391">
        <v>1689.9</v>
      </c>
      <c r="I1391" t="s">
        <v>76</v>
      </c>
      <c r="J1391" t="s">
        <v>77</v>
      </c>
    </row>
    <row r="1392" spans="1:11" x14ac:dyDescent="0.3">
      <c r="A1392" t="s">
        <v>84</v>
      </c>
      <c r="B1392">
        <v>1001</v>
      </c>
      <c r="C1392" t="s">
        <v>79</v>
      </c>
      <c r="D1392">
        <v>1.66E-5</v>
      </c>
      <c r="E1392" t="s">
        <v>74</v>
      </c>
      <c r="F1392">
        <v>1.66E-2</v>
      </c>
      <c r="G1392" t="s">
        <v>75</v>
      </c>
      <c r="H1392">
        <v>16.602</v>
      </c>
      <c r="I1392" t="s">
        <v>76</v>
      </c>
      <c r="J1392" t="s">
        <v>77</v>
      </c>
    </row>
    <row r="1393" spans="1:11" x14ac:dyDescent="0.3">
      <c r="A1393" t="s">
        <v>84</v>
      </c>
      <c r="B1393">
        <v>1001</v>
      </c>
      <c r="C1393" t="s">
        <v>96</v>
      </c>
      <c r="D1393">
        <v>1.8824899999999999E-3</v>
      </c>
      <c r="E1393" t="s">
        <v>74</v>
      </c>
      <c r="F1393">
        <v>1.88249</v>
      </c>
      <c r="G1393" t="s">
        <v>75</v>
      </c>
      <c r="H1393">
        <v>1882.4860000000001</v>
      </c>
      <c r="I1393" t="s">
        <v>76</v>
      </c>
      <c r="J1393" t="s">
        <v>77</v>
      </c>
    </row>
    <row r="1394" spans="1:11" x14ac:dyDescent="0.3">
      <c r="A1394" t="s">
        <v>84</v>
      </c>
      <c r="B1394">
        <v>1001</v>
      </c>
      <c r="C1394" t="s">
        <v>94</v>
      </c>
      <c r="D1394">
        <v>2.9660699999999999E-3</v>
      </c>
      <c r="E1394" t="s">
        <v>74</v>
      </c>
      <c r="F1394">
        <v>2.9660700000000002</v>
      </c>
      <c r="G1394" t="s">
        <v>75</v>
      </c>
      <c r="H1394">
        <v>2966.067</v>
      </c>
      <c r="I1394" t="s">
        <v>76</v>
      </c>
      <c r="J1394" t="s">
        <v>77</v>
      </c>
    </row>
    <row r="1395" spans="1:11" x14ac:dyDescent="0.3">
      <c r="A1395" t="s">
        <v>84</v>
      </c>
      <c r="B1395">
        <v>1001</v>
      </c>
      <c r="C1395" t="s">
        <v>80</v>
      </c>
      <c r="D1395">
        <v>4.9719100000000004E-3</v>
      </c>
      <c r="E1395" t="s">
        <v>74</v>
      </c>
      <c r="F1395">
        <v>4.9719100000000003</v>
      </c>
      <c r="G1395" t="s">
        <v>75</v>
      </c>
      <c r="H1395">
        <v>4971.9120000000003</v>
      </c>
      <c r="I1395" t="s">
        <v>76</v>
      </c>
      <c r="J1395" t="s">
        <v>77</v>
      </c>
    </row>
    <row r="1396" spans="1:11" x14ac:dyDescent="0.3">
      <c r="A1396" t="s">
        <v>84</v>
      </c>
      <c r="B1396">
        <v>1001</v>
      </c>
      <c r="C1396" t="s">
        <v>81</v>
      </c>
      <c r="D1396">
        <v>4.9895800000000004E-3</v>
      </c>
      <c r="E1396" t="s">
        <v>74</v>
      </c>
      <c r="F1396">
        <v>4.9895800000000001</v>
      </c>
      <c r="G1396" t="s">
        <v>75</v>
      </c>
      <c r="H1396">
        <v>4989.5770000000002</v>
      </c>
      <c r="I1396" t="s">
        <v>76</v>
      </c>
      <c r="J1396" t="s">
        <v>82</v>
      </c>
      <c r="K1396">
        <v>200.41779639999999</v>
      </c>
    </row>
    <row r="1397" spans="1:11" x14ac:dyDescent="0.3">
      <c r="A1397" t="s">
        <v>85</v>
      </c>
      <c r="B1397">
        <v>1001</v>
      </c>
      <c r="C1397" t="s">
        <v>86</v>
      </c>
      <c r="D1397">
        <v>4.9897400000000003E-3</v>
      </c>
      <c r="E1397" t="s">
        <v>74</v>
      </c>
      <c r="F1397">
        <v>4.9897400000000003</v>
      </c>
      <c r="G1397" t="s">
        <v>75</v>
      </c>
      <c r="H1397">
        <v>4989.7359999999999</v>
      </c>
      <c r="I1397" t="s">
        <v>76</v>
      </c>
      <c r="J1397" t="s">
        <v>82</v>
      </c>
      <c r="K1397">
        <v>200.41138670000001</v>
      </c>
    </row>
    <row r="1398" spans="1:11" x14ac:dyDescent="0.3">
      <c r="A1398" t="s">
        <v>87</v>
      </c>
    </row>
    <row r="1399" spans="1:11" x14ac:dyDescent="0.3">
      <c r="A1399" t="s">
        <v>102</v>
      </c>
    </row>
    <row r="1400" spans="1:11" x14ac:dyDescent="0.3">
      <c r="A1400" t="s">
        <v>72</v>
      </c>
      <c r="B1400">
        <v>1</v>
      </c>
      <c r="C1400" t="s">
        <v>81</v>
      </c>
      <c r="D1400">
        <v>2.5279800000000002E-2</v>
      </c>
      <c r="E1400" t="s">
        <v>74</v>
      </c>
      <c r="F1400">
        <v>25.279800000000002</v>
      </c>
      <c r="G1400" t="s">
        <v>75</v>
      </c>
      <c r="H1400">
        <v>25279.798999999999</v>
      </c>
      <c r="I1400" t="s">
        <v>76</v>
      </c>
      <c r="J1400" t="s">
        <v>82</v>
      </c>
      <c r="K1400">
        <v>39.557275799999999</v>
      </c>
    </row>
    <row r="1401" spans="1:11" x14ac:dyDescent="0.3">
      <c r="A1401" t="s">
        <v>83</v>
      </c>
      <c r="B1401">
        <v>1000</v>
      </c>
      <c r="C1401" t="s">
        <v>81</v>
      </c>
      <c r="D1401">
        <v>2.8260300000000002E-3</v>
      </c>
      <c r="E1401" t="s">
        <v>74</v>
      </c>
      <c r="F1401">
        <v>2.8260299999999998</v>
      </c>
      <c r="G1401" t="s">
        <v>75</v>
      </c>
      <c r="H1401">
        <v>2826.0309999999999</v>
      </c>
      <c r="I1401" t="s">
        <v>76</v>
      </c>
      <c r="J1401" t="s">
        <v>82</v>
      </c>
      <c r="K1401">
        <v>353.85310420000002</v>
      </c>
    </row>
    <row r="1402" spans="1:11" x14ac:dyDescent="0.3">
      <c r="A1402" t="s">
        <v>85</v>
      </c>
      <c r="B1402">
        <v>1001</v>
      </c>
      <c r="C1402" t="s">
        <v>86</v>
      </c>
      <c r="D1402">
        <v>2.8486900000000001E-3</v>
      </c>
      <c r="E1402" t="s">
        <v>74</v>
      </c>
      <c r="F1402">
        <v>2.8486899999999999</v>
      </c>
      <c r="G1402" t="s">
        <v>75</v>
      </c>
      <c r="H1402">
        <v>2848.6860000000001</v>
      </c>
      <c r="I1402" t="s">
        <v>76</v>
      </c>
      <c r="J1402" t="s">
        <v>82</v>
      </c>
      <c r="K1402">
        <v>351.0389917</v>
      </c>
    </row>
    <row r="1404" spans="1:11" x14ac:dyDescent="0.3">
      <c r="A1404" t="s">
        <v>103</v>
      </c>
    </row>
    <row r="1405" spans="1:11" x14ac:dyDescent="0.3">
      <c r="A1405" t="s">
        <v>72</v>
      </c>
      <c r="B1405">
        <v>1</v>
      </c>
      <c r="C1405" t="s">
        <v>81</v>
      </c>
      <c r="D1405">
        <v>2.1786199999999999E-2</v>
      </c>
      <c r="E1405" t="s">
        <v>74</v>
      </c>
      <c r="F1405">
        <v>21.786200000000001</v>
      </c>
      <c r="G1405" t="s">
        <v>75</v>
      </c>
      <c r="H1405">
        <v>21786.2</v>
      </c>
      <c r="I1405" t="s">
        <v>76</v>
      </c>
      <c r="J1405" t="s">
        <v>82</v>
      </c>
      <c r="K1405">
        <v>45.900616200000002</v>
      </c>
    </row>
    <row r="1406" spans="1:11" x14ac:dyDescent="0.3">
      <c r="A1406" t="s">
        <v>83</v>
      </c>
      <c r="B1406">
        <v>1000</v>
      </c>
      <c r="C1406" t="s">
        <v>81</v>
      </c>
      <c r="D1406">
        <v>4.9727800000000004E-3</v>
      </c>
      <c r="E1406" t="s">
        <v>74</v>
      </c>
      <c r="F1406">
        <v>4.9727800000000002</v>
      </c>
      <c r="G1406" t="s">
        <v>75</v>
      </c>
      <c r="H1406">
        <v>4972.7809999999999</v>
      </c>
      <c r="I1406" t="s">
        <v>76</v>
      </c>
      <c r="J1406" t="s">
        <v>82</v>
      </c>
      <c r="K1406">
        <v>201.0947314</v>
      </c>
    </row>
    <row r="1407" spans="1:11" x14ac:dyDescent="0.3">
      <c r="A1407" t="s">
        <v>85</v>
      </c>
      <c r="B1407">
        <v>1001</v>
      </c>
      <c r="C1407" t="s">
        <v>86</v>
      </c>
      <c r="D1407">
        <v>4.9897400000000003E-3</v>
      </c>
      <c r="E1407" t="s">
        <v>74</v>
      </c>
      <c r="F1407">
        <v>4.9897400000000003</v>
      </c>
      <c r="G1407" t="s">
        <v>75</v>
      </c>
      <c r="H1407">
        <v>4989.7359999999999</v>
      </c>
      <c r="I1407" t="s">
        <v>76</v>
      </c>
      <c r="J1407" t="s">
        <v>82</v>
      </c>
      <c r="K1407">
        <v>200.41138670000001</v>
      </c>
    </row>
    <row r="1409" spans="1:11" x14ac:dyDescent="0.3">
      <c r="A1409" t="s">
        <v>66</v>
      </c>
    </row>
    <row r="1411" spans="1:11" x14ac:dyDescent="0.3">
      <c r="A1411" t="s">
        <v>223</v>
      </c>
    </row>
    <row r="1412" spans="1:11" x14ac:dyDescent="0.3">
      <c r="A1412" t="s">
        <v>68</v>
      </c>
    </row>
    <row r="1413" spans="1:11" x14ac:dyDescent="0.3">
      <c r="A1413" t="s">
        <v>69</v>
      </c>
    </row>
    <row r="1414" spans="1:11" x14ac:dyDescent="0.3">
      <c r="A1414" t="s">
        <v>70</v>
      </c>
    </row>
    <row r="1415" spans="1:11" x14ac:dyDescent="0.3">
      <c r="A1415" t="s">
        <v>105</v>
      </c>
    </row>
    <row r="1416" spans="1:11" x14ac:dyDescent="0.3">
      <c r="A1416" t="s">
        <v>72</v>
      </c>
      <c r="B1416">
        <v>1</v>
      </c>
      <c r="C1416" t="s">
        <v>73</v>
      </c>
      <c r="D1416">
        <v>8.9999999999999996E-7</v>
      </c>
      <c r="E1416" t="s">
        <v>74</v>
      </c>
      <c r="F1416">
        <v>8.9999999999999998E-4</v>
      </c>
      <c r="G1416" t="s">
        <v>75</v>
      </c>
      <c r="H1416">
        <v>0.9</v>
      </c>
      <c r="I1416" t="s">
        <v>76</v>
      </c>
      <c r="J1416" t="s">
        <v>77</v>
      </c>
    </row>
    <row r="1417" spans="1:11" x14ac:dyDescent="0.3">
      <c r="A1417" t="s">
        <v>72</v>
      </c>
      <c r="B1417">
        <v>1</v>
      </c>
      <c r="C1417" t="s">
        <v>78</v>
      </c>
      <c r="D1417">
        <v>4.7800000000000003E-5</v>
      </c>
      <c r="E1417" t="s">
        <v>74</v>
      </c>
      <c r="F1417">
        <v>4.7800000000000002E-2</v>
      </c>
      <c r="G1417" t="s">
        <v>75</v>
      </c>
      <c r="H1417">
        <v>47.8</v>
      </c>
      <c r="I1417" t="s">
        <v>76</v>
      </c>
      <c r="J1417" t="s">
        <v>77</v>
      </c>
    </row>
    <row r="1418" spans="1:11" x14ac:dyDescent="0.3">
      <c r="A1418" t="s">
        <v>72</v>
      </c>
      <c r="B1418">
        <v>1</v>
      </c>
      <c r="C1418" t="s">
        <v>91</v>
      </c>
      <c r="D1418">
        <v>2.2661999999999999E-3</v>
      </c>
      <c r="E1418" t="s">
        <v>74</v>
      </c>
      <c r="F1418">
        <v>2.2662</v>
      </c>
      <c r="G1418" t="s">
        <v>75</v>
      </c>
      <c r="H1418">
        <v>2266.1999999999998</v>
      </c>
      <c r="I1418" t="s">
        <v>76</v>
      </c>
      <c r="J1418" t="s">
        <v>77</v>
      </c>
    </row>
    <row r="1419" spans="1:11" x14ac:dyDescent="0.3">
      <c r="A1419" t="s">
        <v>72</v>
      </c>
      <c r="B1419">
        <v>1</v>
      </c>
      <c r="C1419" t="s">
        <v>92</v>
      </c>
      <c r="D1419">
        <v>4.0682000000000001E-3</v>
      </c>
      <c r="E1419" t="s">
        <v>74</v>
      </c>
      <c r="F1419">
        <v>4.0682</v>
      </c>
      <c r="G1419" t="s">
        <v>75</v>
      </c>
      <c r="H1419">
        <v>4068.2</v>
      </c>
      <c r="I1419" t="s">
        <v>76</v>
      </c>
      <c r="J1419" t="s">
        <v>77</v>
      </c>
    </row>
    <row r="1420" spans="1:11" x14ac:dyDescent="0.3">
      <c r="A1420" t="s">
        <v>72</v>
      </c>
      <c r="B1420">
        <v>1</v>
      </c>
      <c r="C1420" t="s">
        <v>93</v>
      </c>
      <c r="D1420">
        <v>1.7282E-3</v>
      </c>
      <c r="E1420" t="s">
        <v>74</v>
      </c>
      <c r="F1420">
        <v>1.7282</v>
      </c>
      <c r="G1420" t="s">
        <v>75</v>
      </c>
      <c r="H1420">
        <v>1728.2</v>
      </c>
      <c r="I1420" t="s">
        <v>76</v>
      </c>
      <c r="J1420" t="s">
        <v>77</v>
      </c>
    </row>
    <row r="1421" spans="1:11" x14ac:dyDescent="0.3">
      <c r="A1421" t="s">
        <v>72</v>
      </c>
      <c r="B1421">
        <v>1</v>
      </c>
      <c r="C1421" t="s">
        <v>79</v>
      </c>
      <c r="D1421">
        <v>8.0645000000000005E-3</v>
      </c>
      <c r="E1421" t="s">
        <v>74</v>
      </c>
      <c r="F1421">
        <v>8.0645000000000007</v>
      </c>
      <c r="G1421" t="s">
        <v>75</v>
      </c>
      <c r="H1421">
        <v>8064.5</v>
      </c>
      <c r="I1421" t="s">
        <v>76</v>
      </c>
      <c r="J1421" t="s">
        <v>77</v>
      </c>
    </row>
    <row r="1422" spans="1:11" x14ac:dyDescent="0.3">
      <c r="A1422" t="s">
        <v>72</v>
      </c>
      <c r="B1422">
        <v>1</v>
      </c>
      <c r="C1422" t="s">
        <v>94</v>
      </c>
      <c r="D1422">
        <v>9.3582000000000005E-3</v>
      </c>
      <c r="E1422" t="s">
        <v>74</v>
      </c>
      <c r="F1422">
        <v>9.3582000000000001</v>
      </c>
      <c r="G1422" t="s">
        <v>75</v>
      </c>
      <c r="H1422">
        <v>9358.2000000000007</v>
      </c>
      <c r="I1422" t="s">
        <v>76</v>
      </c>
      <c r="J1422" t="s">
        <v>77</v>
      </c>
    </row>
    <row r="1423" spans="1:11" x14ac:dyDescent="0.3">
      <c r="A1423" t="s">
        <v>72</v>
      </c>
      <c r="B1423">
        <v>1</v>
      </c>
      <c r="C1423" t="s">
        <v>80</v>
      </c>
      <c r="D1423">
        <v>9.3600999999999997E-3</v>
      </c>
      <c r="E1423" t="s">
        <v>74</v>
      </c>
      <c r="F1423">
        <v>9.3600999999999992</v>
      </c>
      <c r="G1423" t="s">
        <v>75</v>
      </c>
      <c r="H1423">
        <v>9360.1</v>
      </c>
      <c r="I1423" t="s">
        <v>76</v>
      </c>
      <c r="J1423" t="s">
        <v>77</v>
      </c>
    </row>
    <row r="1424" spans="1:11" x14ac:dyDescent="0.3">
      <c r="A1424" t="s">
        <v>72</v>
      </c>
      <c r="B1424">
        <v>1</v>
      </c>
      <c r="C1424" t="s">
        <v>81</v>
      </c>
      <c r="D1424">
        <v>1.7427700000000001E-2</v>
      </c>
      <c r="E1424" t="s">
        <v>74</v>
      </c>
      <c r="F1424">
        <v>17.427700000000002</v>
      </c>
      <c r="G1424" t="s">
        <v>75</v>
      </c>
      <c r="H1424">
        <v>17427.7</v>
      </c>
      <c r="I1424" t="s">
        <v>76</v>
      </c>
      <c r="J1424" t="s">
        <v>82</v>
      </c>
      <c r="K1424">
        <v>57.379919399999999</v>
      </c>
    </row>
    <row r="1425" spans="1:11" x14ac:dyDescent="0.3">
      <c r="A1425" t="s">
        <v>83</v>
      </c>
      <c r="B1425">
        <v>1000</v>
      </c>
      <c r="C1425" t="s">
        <v>79</v>
      </c>
      <c r="D1425">
        <v>1.9999999999999999E-7</v>
      </c>
      <c r="E1425" t="s">
        <v>74</v>
      </c>
      <c r="F1425">
        <v>2.0000000000000001E-4</v>
      </c>
      <c r="G1425" t="s">
        <v>75</v>
      </c>
      <c r="H1425">
        <v>0.19700000000000001</v>
      </c>
      <c r="I1425" t="s">
        <v>76</v>
      </c>
      <c r="J1425" t="s">
        <v>77</v>
      </c>
    </row>
    <row r="1426" spans="1:11" x14ac:dyDescent="0.3">
      <c r="A1426" t="s">
        <v>83</v>
      </c>
      <c r="B1426">
        <v>1000</v>
      </c>
      <c r="C1426" t="s">
        <v>94</v>
      </c>
      <c r="D1426">
        <v>2.67446E-3</v>
      </c>
      <c r="E1426" t="s">
        <v>74</v>
      </c>
      <c r="F1426">
        <v>2.6744599999999998</v>
      </c>
      <c r="G1426" t="s">
        <v>75</v>
      </c>
      <c r="H1426">
        <v>2674.4589999999998</v>
      </c>
      <c r="I1426" t="s">
        <v>76</v>
      </c>
      <c r="J1426" t="s">
        <v>77</v>
      </c>
    </row>
    <row r="1427" spans="1:11" x14ac:dyDescent="0.3">
      <c r="A1427" t="s">
        <v>83</v>
      </c>
      <c r="B1427">
        <v>1000</v>
      </c>
      <c r="C1427" t="s">
        <v>80</v>
      </c>
      <c r="D1427">
        <v>2.8311999999999999E-3</v>
      </c>
      <c r="E1427" t="s">
        <v>74</v>
      </c>
      <c r="F1427">
        <v>2.8311999999999999</v>
      </c>
      <c r="G1427" t="s">
        <v>75</v>
      </c>
      <c r="H1427">
        <v>2831.1990000000001</v>
      </c>
      <c r="I1427" t="s">
        <v>76</v>
      </c>
      <c r="J1427" t="s">
        <v>77</v>
      </c>
    </row>
    <row r="1428" spans="1:11" x14ac:dyDescent="0.3">
      <c r="A1428" t="s">
        <v>83</v>
      </c>
      <c r="B1428">
        <v>1000</v>
      </c>
      <c r="C1428" t="s">
        <v>81</v>
      </c>
      <c r="D1428">
        <v>2.8325899999999998E-3</v>
      </c>
      <c r="E1428" t="s">
        <v>74</v>
      </c>
      <c r="F1428">
        <v>2.8325900000000002</v>
      </c>
      <c r="G1428" t="s">
        <v>75</v>
      </c>
      <c r="H1428">
        <v>2832.5859999999998</v>
      </c>
      <c r="I1428" t="s">
        <v>76</v>
      </c>
      <c r="J1428" t="s">
        <v>82</v>
      </c>
      <c r="K1428">
        <v>353.03431790000002</v>
      </c>
    </row>
    <row r="1429" spans="1:11" x14ac:dyDescent="0.3">
      <c r="A1429" t="s">
        <v>84</v>
      </c>
      <c r="B1429">
        <v>1</v>
      </c>
      <c r="C1429" t="s">
        <v>91</v>
      </c>
      <c r="D1429">
        <v>2.2661999999999999E-3</v>
      </c>
      <c r="E1429" t="s">
        <v>74</v>
      </c>
      <c r="F1429">
        <v>2.2662</v>
      </c>
      <c r="G1429" t="s">
        <v>75</v>
      </c>
      <c r="H1429">
        <v>2266.1999999999998</v>
      </c>
      <c r="I1429" t="s">
        <v>76</v>
      </c>
      <c r="J1429" t="s">
        <v>77</v>
      </c>
    </row>
    <row r="1430" spans="1:11" x14ac:dyDescent="0.3">
      <c r="A1430" t="s">
        <v>84</v>
      </c>
      <c r="B1430">
        <v>1</v>
      </c>
      <c r="C1430" t="s">
        <v>92</v>
      </c>
      <c r="D1430">
        <v>4.0682000000000001E-3</v>
      </c>
      <c r="E1430" t="s">
        <v>74</v>
      </c>
      <c r="F1430">
        <v>4.0682</v>
      </c>
      <c r="G1430" t="s">
        <v>75</v>
      </c>
      <c r="H1430">
        <v>4068.2</v>
      </c>
      <c r="I1430" t="s">
        <v>76</v>
      </c>
      <c r="J1430" t="s">
        <v>77</v>
      </c>
    </row>
    <row r="1431" spans="1:11" x14ac:dyDescent="0.3">
      <c r="A1431" t="s">
        <v>84</v>
      </c>
      <c r="B1431">
        <v>1</v>
      </c>
      <c r="C1431" t="s">
        <v>93</v>
      </c>
      <c r="D1431">
        <v>1.7282E-3</v>
      </c>
      <c r="E1431" t="s">
        <v>74</v>
      </c>
      <c r="F1431">
        <v>1.7282</v>
      </c>
      <c r="G1431" t="s">
        <v>75</v>
      </c>
      <c r="H1431">
        <v>1728.2</v>
      </c>
      <c r="I1431" t="s">
        <v>76</v>
      </c>
      <c r="J1431" t="s">
        <v>77</v>
      </c>
    </row>
    <row r="1432" spans="1:11" x14ac:dyDescent="0.3">
      <c r="A1432" t="s">
        <v>84</v>
      </c>
      <c r="B1432">
        <v>1001</v>
      </c>
      <c r="C1432" t="s">
        <v>79</v>
      </c>
      <c r="D1432">
        <v>8.2500000000000006E-6</v>
      </c>
      <c r="E1432" t="s">
        <v>74</v>
      </c>
      <c r="F1432">
        <v>8.2500000000000004E-3</v>
      </c>
      <c r="G1432" t="s">
        <v>75</v>
      </c>
      <c r="H1432">
        <v>8.2530000000000001</v>
      </c>
      <c r="I1432" t="s">
        <v>76</v>
      </c>
      <c r="J1432" t="s">
        <v>77</v>
      </c>
    </row>
    <row r="1433" spans="1:11" x14ac:dyDescent="0.3">
      <c r="A1433" t="s">
        <v>84</v>
      </c>
      <c r="B1433">
        <v>1001</v>
      </c>
      <c r="C1433" t="s">
        <v>94</v>
      </c>
      <c r="D1433">
        <v>2.6811399999999998E-3</v>
      </c>
      <c r="E1433" t="s">
        <v>74</v>
      </c>
      <c r="F1433">
        <v>2.6811400000000001</v>
      </c>
      <c r="G1433" t="s">
        <v>75</v>
      </c>
      <c r="H1433">
        <v>2681.136</v>
      </c>
      <c r="I1433" t="s">
        <v>76</v>
      </c>
      <c r="J1433" t="s">
        <v>77</v>
      </c>
    </row>
    <row r="1434" spans="1:11" x14ac:dyDescent="0.3">
      <c r="A1434" t="s">
        <v>84</v>
      </c>
      <c r="B1434">
        <v>1001</v>
      </c>
      <c r="C1434" t="s">
        <v>80</v>
      </c>
      <c r="D1434">
        <v>2.8377200000000002E-3</v>
      </c>
      <c r="E1434" t="s">
        <v>74</v>
      </c>
      <c r="F1434">
        <v>2.83772</v>
      </c>
      <c r="G1434" t="s">
        <v>75</v>
      </c>
      <c r="H1434">
        <v>2837.721</v>
      </c>
      <c r="I1434" t="s">
        <v>76</v>
      </c>
      <c r="J1434" t="s">
        <v>77</v>
      </c>
    </row>
    <row r="1435" spans="1:11" x14ac:dyDescent="0.3">
      <c r="A1435" t="s">
        <v>84</v>
      </c>
      <c r="B1435">
        <v>1001</v>
      </c>
      <c r="C1435" t="s">
        <v>81</v>
      </c>
      <c r="D1435">
        <v>2.84717E-3</v>
      </c>
      <c r="E1435" t="s">
        <v>74</v>
      </c>
      <c r="F1435">
        <v>2.8471700000000002</v>
      </c>
      <c r="G1435" t="s">
        <v>75</v>
      </c>
      <c r="H1435">
        <v>2847.1669999999999</v>
      </c>
      <c r="I1435" t="s">
        <v>76</v>
      </c>
      <c r="J1435" t="s">
        <v>82</v>
      </c>
      <c r="K1435">
        <v>351.22637780000002</v>
      </c>
    </row>
    <row r="1436" spans="1:11" x14ac:dyDescent="0.3">
      <c r="A1436" t="s">
        <v>85</v>
      </c>
      <c r="B1436">
        <v>1001</v>
      </c>
      <c r="C1436" t="s">
        <v>86</v>
      </c>
      <c r="D1436">
        <v>2.8473999999999999E-3</v>
      </c>
      <c r="E1436" t="s">
        <v>74</v>
      </c>
      <c r="F1436">
        <v>2.8473999999999999</v>
      </c>
      <c r="G1436" t="s">
        <v>75</v>
      </c>
      <c r="H1436">
        <v>2847.404</v>
      </c>
      <c r="I1436" t="s">
        <v>76</v>
      </c>
      <c r="J1436" t="s">
        <v>82</v>
      </c>
      <c r="K1436">
        <v>351.19711580000001</v>
      </c>
    </row>
    <row r="1437" spans="1:11" x14ac:dyDescent="0.3">
      <c r="A1437" t="s">
        <v>106</v>
      </c>
    </row>
    <row r="1438" spans="1:11" x14ac:dyDescent="0.3">
      <c r="A1438" t="s">
        <v>72</v>
      </c>
      <c r="B1438">
        <v>1</v>
      </c>
      <c r="C1438" t="s">
        <v>73</v>
      </c>
      <c r="D1438">
        <v>8.9999999999999996E-7</v>
      </c>
      <c r="E1438" t="s">
        <v>74</v>
      </c>
      <c r="F1438">
        <v>8.9999999999999998E-4</v>
      </c>
      <c r="G1438" t="s">
        <v>75</v>
      </c>
      <c r="H1438">
        <v>0.9</v>
      </c>
      <c r="I1438" t="s">
        <v>76</v>
      </c>
      <c r="J1438" t="s">
        <v>77</v>
      </c>
    </row>
    <row r="1439" spans="1:11" x14ac:dyDescent="0.3">
      <c r="A1439" t="s">
        <v>72</v>
      </c>
      <c r="B1439">
        <v>1</v>
      </c>
      <c r="C1439" t="s">
        <v>78</v>
      </c>
      <c r="D1439">
        <v>4.3800000000000001E-5</v>
      </c>
      <c r="E1439" t="s">
        <v>74</v>
      </c>
      <c r="F1439">
        <v>4.3799999999999999E-2</v>
      </c>
      <c r="G1439" t="s">
        <v>75</v>
      </c>
      <c r="H1439">
        <v>43.8</v>
      </c>
      <c r="I1439" t="s">
        <v>76</v>
      </c>
      <c r="J1439" t="s">
        <v>77</v>
      </c>
    </row>
    <row r="1440" spans="1:11" x14ac:dyDescent="0.3">
      <c r="A1440" t="s">
        <v>72</v>
      </c>
      <c r="B1440">
        <v>1</v>
      </c>
      <c r="C1440" t="s">
        <v>91</v>
      </c>
      <c r="D1440">
        <v>2.2250999999999998E-3</v>
      </c>
      <c r="E1440" t="s">
        <v>74</v>
      </c>
      <c r="F1440">
        <v>2.2250999999999999</v>
      </c>
      <c r="G1440" t="s">
        <v>75</v>
      </c>
      <c r="H1440">
        <v>2225.1</v>
      </c>
      <c r="I1440" t="s">
        <v>76</v>
      </c>
      <c r="J1440" t="s">
        <v>77</v>
      </c>
    </row>
    <row r="1441" spans="1:11" x14ac:dyDescent="0.3">
      <c r="A1441" t="s">
        <v>72</v>
      </c>
      <c r="B1441">
        <v>1</v>
      </c>
      <c r="C1441" t="s">
        <v>92</v>
      </c>
      <c r="D1441">
        <v>4.2056999999999997E-3</v>
      </c>
      <c r="E1441" t="s">
        <v>74</v>
      </c>
      <c r="F1441">
        <v>4.2057000000000002</v>
      </c>
      <c r="G1441" t="s">
        <v>75</v>
      </c>
      <c r="H1441">
        <v>4205.7</v>
      </c>
      <c r="I1441" t="s">
        <v>76</v>
      </c>
      <c r="J1441" t="s">
        <v>77</v>
      </c>
    </row>
    <row r="1442" spans="1:11" x14ac:dyDescent="0.3">
      <c r="A1442" t="s">
        <v>72</v>
      </c>
      <c r="B1442">
        <v>1</v>
      </c>
      <c r="C1442" t="s">
        <v>93</v>
      </c>
      <c r="D1442">
        <v>1.7007000000000001E-3</v>
      </c>
      <c r="E1442" t="s">
        <v>74</v>
      </c>
      <c r="F1442">
        <v>1.7007000000000001</v>
      </c>
      <c r="G1442" t="s">
        <v>75</v>
      </c>
      <c r="H1442">
        <v>1700.7</v>
      </c>
      <c r="I1442" t="s">
        <v>76</v>
      </c>
      <c r="J1442" t="s">
        <v>77</v>
      </c>
    </row>
    <row r="1443" spans="1:11" x14ac:dyDescent="0.3">
      <c r="A1443" t="s">
        <v>72</v>
      </c>
      <c r="B1443">
        <v>1</v>
      </c>
      <c r="C1443" t="s">
        <v>79</v>
      </c>
      <c r="D1443">
        <v>8.1315999999999992E-3</v>
      </c>
      <c r="E1443" t="s">
        <v>74</v>
      </c>
      <c r="F1443">
        <v>8.1316000000000006</v>
      </c>
      <c r="G1443" t="s">
        <v>75</v>
      </c>
      <c r="H1443">
        <v>8131.6</v>
      </c>
      <c r="I1443" t="s">
        <v>76</v>
      </c>
      <c r="J1443" t="s">
        <v>77</v>
      </c>
    </row>
    <row r="1444" spans="1:11" x14ac:dyDescent="0.3">
      <c r="A1444" t="s">
        <v>72</v>
      </c>
      <c r="B1444">
        <v>1</v>
      </c>
      <c r="C1444" t="s">
        <v>96</v>
      </c>
      <c r="D1444">
        <v>2.0912000000000001E-3</v>
      </c>
      <c r="E1444" t="s">
        <v>74</v>
      </c>
      <c r="F1444">
        <v>2.0912000000000002</v>
      </c>
      <c r="G1444" t="s">
        <v>75</v>
      </c>
      <c r="H1444">
        <v>2091.1999999999998</v>
      </c>
      <c r="I1444" t="s">
        <v>76</v>
      </c>
      <c r="J1444" t="s">
        <v>77</v>
      </c>
    </row>
    <row r="1445" spans="1:11" x14ac:dyDescent="0.3">
      <c r="A1445" t="s">
        <v>72</v>
      </c>
      <c r="B1445">
        <v>1</v>
      </c>
      <c r="C1445" t="s">
        <v>94</v>
      </c>
      <c r="D1445">
        <v>2.9198000000000002E-3</v>
      </c>
      <c r="E1445" t="s">
        <v>74</v>
      </c>
      <c r="F1445">
        <v>2.9198</v>
      </c>
      <c r="G1445" t="s">
        <v>75</v>
      </c>
      <c r="H1445">
        <v>2919.8</v>
      </c>
      <c r="I1445" t="s">
        <v>76</v>
      </c>
      <c r="J1445" t="s">
        <v>77</v>
      </c>
    </row>
    <row r="1446" spans="1:11" x14ac:dyDescent="0.3">
      <c r="A1446" t="s">
        <v>72</v>
      </c>
      <c r="B1446">
        <v>1</v>
      </c>
      <c r="C1446" t="s">
        <v>80</v>
      </c>
      <c r="D1446">
        <v>5.1406000000000004E-3</v>
      </c>
      <c r="E1446" t="s">
        <v>74</v>
      </c>
      <c r="F1446">
        <v>5.1406000000000001</v>
      </c>
      <c r="G1446" t="s">
        <v>75</v>
      </c>
      <c r="H1446">
        <v>5140.6000000000004</v>
      </c>
      <c r="I1446" t="s">
        <v>76</v>
      </c>
      <c r="J1446" t="s">
        <v>77</v>
      </c>
    </row>
    <row r="1447" spans="1:11" x14ac:dyDescent="0.3">
      <c r="A1447" t="s">
        <v>72</v>
      </c>
      <c r="B1447">
        <v>1</v>
      </c>
      <c r="C1447" t="s">
        <v>81</v>
      </c>
      <c r="D1447">
        <v>1.3273200000000001E-2</v>
      </c>
      <c r="E1447" t="s">
        <v>74</v>
      </c>
      <c r="F1447">
        <v>13.273199999999999</v>
      </c>
      <c r="G1447" t="s">
        <v>75</v>
      </c>
      <c r="H1447">
        <v>13273.2</v>
      </c>
      <c r="I1447" t="s">
        <v>76</v>
      </c>
      <c r="J1447" t="s">
        <v>82</v>
      </c>
      <c r="K1447">
        <v>75.339782299999996</v>
      </c>
    </row>
    <row r="1448" spans="1:11" x14ac:dyDescent="0.3">
      <c r="A1448" t="s">
        <v>83</v>
      </c>
      <c r="B1448">
        <v>1000</v>
      </c>
      <c r="C1448" t="s">
        <v>79</v>
      </c>
      <c r="D1448">
        <v>1.8E-7</v>
      </c>
      <c r="E1448" t="s">
        <v>74</v>
      </c>
      <c r="F1448">
        <v>1.8000000000000001E-4</v>
      </c>
      <c r="G1448" t="s">
        <v>75</v>
      </c>
      <c r="H1448">
        <v>0.17799999999999999</v>
      </c>
      <c r="I1448" t="s">
        <v>76</v>
      </c>
      <c r="J1448" t="s">
        <v>77</v>
      </c>
    </row>
    <row r="1449" spans="1:11" x14ac:dyDescent="0.3">
      <c r="A1449" t="s">
        <v>83</v>
      </c>
      <c r="B1449">
        <v>1000</v>
      </c>
      <c r="C1449" t="s">
        <v>96</v>
      </c>
      <c r="D1449">
        <v>1.8838699999999999E-3</v>
      </c>
      <c r="E1449" t="s">
        <v>74</v>
      </c>
      <c r="F1449">
        <v>1.8838699999999999</v>
      </c>
      <c r="G1449" t="s">
        <v>75</v>
      </c>
      <c r="H1449">
        <v>1883.866</v>
      </c>
      <c r="I1449" t="s">
        <v>76</v>
      </c>
      <c r="J1449" t="s">
        <v>77</v>
      </c>
    </row>
    <row r="1450" spans="1:11" x14ac:dyDescent="0.3">
      <c r="A1450" t="s">
        <v>83</v>
      </c>
      <c r="B1450">
        <v>1000</v>
      </c>
      <c r="C1450" t="s">
        <v>94</v>
      </c>
      <c r="D1450">
        <v>2.9595699999999999E-3</v>
      </c>
      <c r="E1450" t="s">
        <v>74</v>
      </c>
      <c r="F1450">
        <v>2.9595699999999998</v>
      </c>
      <c r="G1450" t="s">
        <v>75</v>
      </c>
      <c r="H1450">
        <v>2959.569</v>
      </c>
      <c r="I1450" t="s">
        <v>76</v>
      </c>
      <c r="J1450" t="s">
        <v>77</v>
      </c>
    </row>
    <row r="1451" spans="1:11" x14ac:dyDescent="0.3">
      <c r="A1451" t="s">
        <v>83</v>
      </c>
      <c r="B1451">
        <v>1000</v>
      </c>
      <c r="C1451" t="s">
        <v>80</v>
      </c>
      <c r="D1451">
        <v>4.9722300000000002E-3</v>
      </c>
      <c r="E1451" t="s">
        <v>74</v>
      </c>
      <c r="F1451">
        <v>4.9722299999999997</v>
      </c>
      <c r="G1451" t="s">
        <v>75</v>
      </c>
      <c r="H1451">
        <v>4972.2290000000003</v>
      </c>
      <c r="I1451" t="s">
        <v>76</v>
      </c>
      <c r="J1451" t="s">
        <v>77</v>
      </c>
    </row>
    <row r="1452" spans="1:11" x14ac:dyDescent="0.3">
      <c r="A1452" t="s">
        <v>83</v>
      </c>
      <c r="B1452">
        <v>1000</v>
      </c>
      <c r="C1452" t="s">
        <v>81</v>
      </c>
      <c r="D1452">
        <v>4.97359E-3</v>
      </c>
      <c r="E1452" t="s">
        <v>74</v>
      </c>
      <c r="F1452">
        <v>4.9735899999999997</v>
      </c>
      <c r="G1452" t="s">
        <v>75</v>
      </c>
      <c r="H1452">
        <v>4973.5860000000002</v>
      </c>
      <c r="I1452" t="s">
        <v>76</v>
      </c>
      <c r="J1452" t="s">
        <v>82</v>
      </c>
      <c r="K1452">
        <v>201.06216789999999</v>
      </c>
    </row>
    <row r="1453" spans="1:11" x14ac:dyDescent="0.3">
      <c r="A1453" t="s">
        <v>84</v>
      </c>
      <c r="B1453">
        <v>1</v>
      </c>
      <c r="C1453" t="s">
        <v>91</v>
      </c>
      <c r="D1453">
        <v>2.2250999999999998E-3</v>
      </c>
      <c r="E1453" t="s">
        <v>74</v>
      </c>
      <c r="F1453">
        <v>2.2250999999999999</v>
      </c>
      <c r="G1453" t="s">
        <v>75</v>
      </c>
      <c r="H1453">
        <v>2225.1</v>
      </c>
      <c r="I1453" t="s">
        <v>76</v>
      </c>
      <c r="J1453" t="s">
        <v>77</v>
      </c>
    </row>
    <row r="1454" spans="1:11" x14ac:dyDescent="0.3">
      <c r="A1454" t="s">
        <v>84</v>
      </c>
      <c r="B1454">
        <v>1</v>
      </c>
      <c r="C1454" t="s">
        <v>92</v>
      </c>
      <c r="D1454">
        <v>4.2056999999999997E-3</v>
      </c>
      <c r="E1454" t="s">
        <v>74</v>
      </c>
      <c r="F1454">
        <v>4.2057000000000002</v>
      </c>
      <c r="G1454" t="s">
        <v>75</v>
      </c>
      <c r="H1454">
        <v>4205.7</v>
      </c>
      <c r="I1454" t="s">
        <v>76</v>
      </c>
      <c r="J1454" t="s">
        <v>77</v>
      </c>
    </row>
    <row r="1455" spans="1:11" x14ac:dyDescent="0.3">
      <c r="A1455" t="s">
        <v>84</v>
      </c>
      <c r="B1455">
        <v>1</v>
      </c>
      <c r="C1455" t="s">
        <v>93</v>
      </c>
      <c r="D1455">
        <v>1.7007000000000001E-3</v>
      </c>
      <c r="E1455" t="s">
        <v>74</v>
      </c>
      <c r="F1455">
        <v>1.7007000000000001</v>
      </c>
      <c r="G1455" t="s">
        <v>75</v>
      </c>
      <c r="H1455">
        <v>1700.7</v>
      </c>
      <c r="I1455" t="s">
        <v>76</v>
      </c>
      <c r="J1455" t="s">
        <v>77</v>
      </c>
    </row>
    <row r="1456" spans="1:11" x14ac:dyDescent="0.3">
      <c r="A1456" t="s">
        <v>84</v>
      </c>
      <c r="B1456">
        <v>1001</v>
      </c>
      <c r="C1456" t="s">
        <v>79</v>
      </c>
      <c r="D1456">
        <v>8.3000000000000002E-6</v>
      </c>
      <c r="E1456" t="s">
        <v>74</v>
      </c>
      <c r="F1456">
        <v>8.3000000000000001E-3</v>
      </c>
      <c r="G1456" t="s">
        <v>75</v>
      </c>
      <c r="H1456">
        <v>8.3010000000000002</v>
      </c>
      <c r="I1456" t="s">
        <v>76</v>
      </c>
      <c r="J1456" t="s">
        <v>77</v>
      </c>
    </row>
    <row r="1457" spans="1:11" x14ac:dyDescent="0.3">
      <c r="A1457" t="s">
        <v>84</v>
      </c>
      <c r="B1457">
        <v>1001</v>
      </c>
      <c r="C1457" t="s">
        <v>96</v>
      </c>
      <c r="D1457">
        <v>1.8840700000000001E-3</v>
      </c>
      <c r="E1457" t="s">
        <v>74</v>
      </c>
      <c r="F1457">
        <v>1.8840699999999999</v>
      </c>
      <c r="G1457" t="s">
        <v>75</v>
      </c>
      <c r="H1457">
        <v>1884.0740000000001</v>
      </c>
      <c r="I1457" t="s">
        <v>76</v>
      </c>
      <c r="J1457" t="s">
        <v>77</v>
      </c>
    </row>
    <row r="1458" spans="1:11" x14ac:dyDescent="0.3">
      <c r="A1458" t="s">
        <v>84</v>
      </c>
      <c r="B1458">
        <v>1001</v>
      </c>
      <c r="C1458" t="s">
        <v>94</v>
      </c>
      <c r="D1458">
        <v>2.9595300000000001E-3</v>
      </c>
      <c r="E1458" t="s">
        <v>74</v>
      </c>
      <c r="F1458">
        <v>2.95953</v>
      </c>
      <c r="G1458" t="s">
        <v>75</v>
      </c>
      <c r="H1458">
        <v>2959.529</v>
      </c>
      <c r="I1458" t="s">
        <v>76</v>
      </c>
      <c r="J1458" t="s">
        <v>77</v>
      </c>
    </row>
    <row r="1459" spans="1:11" x14ac:dyDescent="0.3">
      <c r="A1459" t="s">
        <v>84</v>
      </c>
      <c r="B1459">
        <v>1001</v>
      </c>
      <c r="C1459" t="s">
        <v>80</v>
      </c>
      <c r="D1459">
        <v>4.9724000000000001E-3</v>
      </c>
      <c r="E1459" t="s">
        <v>74</v>
      </c>
      <c r="F1459">
        <v>4.9724000000000004</v>
      </c>
      <c r="G1459" t="s">
        <v>75</v>
      </c>
      <c r="H1459">
        <v>4972.3969999999999</v>
      </c>
      <c r="I1459" t="s">
        <v>76</v>
      </c>
      <c r="J1459" t="s">
        <v>77</v>
      </c>
    </row>
    <row r="1460" spans="1:11" x14ac:dyDescent="0.3">
      <c r="A1460" t="s">
        <v>84</v>
      </c>
      <c r="B1460">
        <v>1001</v>
      </c>
      <c r="C1460" t="s">
        <v>81</v>
      </c>
      <c r="D1460">
        <v>4.9818800000000002E-3</v>
      </c>
      <c r="E1460" t="s">
        <v>74</v>
      </c>
      <c r="F1460">
        <v>4.9818800000000003</v>
      </c>
      <c r="G1460" t="s">
        <v>75</v>
      </c>
      <c r="H1460">
        <v>4981.8779999999997</v>
      </c>
      <c r="I1460" t="s">
        <v>76</v>
      </c>
      <c r="J1460" t="s">
        <v>82</v>
      </c>
      <c r="K1460">
        <v>200.72752</v>
      </c>
    </row>
    <row r="1461" spans="1:11" x14ac:dyDescent="0.3">
      <c r="A1461" t="s">
        <v>85</v>
      </c>
      <c r="B1461">
        <v>1001</v>
      </c>
      <c r="C1461" t="s">
        <v>86</v>
      </c>
      <c r="D1461">
        <v>4.98206E-3</v>
      </c>
      <c r="E1461" t="s">
        <v>74</v>
      </c>
      <c r="F1461">
        <v>4.9820599999999997</v>
      </c>
      <c r="G1461" t="s">
        <v>75</v>
      </c>
      <c r="H1461">
        <v>4982.058</v>
      </c>
      <c r="I1461" t="s">
        <v>76</v>
      </c>
      <c r="J1461" t="s">
        <v>82</v>
      </c>
      <c r="K1461">
        <v>200.7202652</v>
      </c>
    </row>
    <row r="1462" spans="1:11" x14ac:dyDescent="0.3">
      <c r="A1462" t="s">
        <v>87</v>
      </c>
    </row>
    <row r="1463" spans="1:11" x14ac:dyDescent="0.3">
      <c r="A1463" t="s">
        <v>107</v>
      </c>
    </row>
    <row r="1464" spans="1:11" x14ac:dyDescent="0.3">
      <c r="A1464" t="s">
        <v>72</v>
      </c>
      <c r="B1464">
        <v>1</v>
      </c>
      <c r="C1464" t="s">
        <v>81</v>
      </c>
      <c r="D1464">
        <v>1.7427700000000001E-2</v>
      </c>
      <c r="E1464" t="s">
        <v>74</v>
      </c>
      <c r="F1464">
        <v>17.427700000000002</v>
      </c>
      <c r="G1464" t="s">
        <v>75</v>
      </c>
      <c r="H1464">
        <v>17427.7</v>
      </c>
      <c r="I1464" t="s">
        <v>76</v>
      </c>
      <c r="J1464" t="s">
        <v>82</v>
      </c>
      <c r="K1464">
        <v>57.379919399999999</v>
      </c>
    </row>
    <row r="1465" spans="1:11" x14ac:dyDescent="0.3">
      <c r="A1465" t="s">
        <v>83</v>
      </c>
      <c r="B1465">
        <v>1000</v>
      </c>
      <c r="C1465" t="s">
        <v>81</v>
      </c>
      <c r="D1465">
        <v>2.8325899999999998E-3</v>
      </c>
      <c r="E1465" t="s">
        <v>74</v>
      </c>
      <c r="F1465">
        <v>2.8325900000000002</v>
      </c>
      <c r="G1465" t="s">
        <v>75</v>
      </c>
      <c r="H1465">
        <v>2832.5859999999998</v>
      </c>
      <c r="I1465" t="s">
        <v>76</v>
      </c>
      <c r="J1465" t="s">
        <v>82</v>
      </c>
      <c r="K1465">
        <v>353.03431790000002</v>
      </c>
    </row>
    <row r="1466" spans="1:11" x14ac:dyDescent="0.3">
      <c r="A1466" t="s">
        <v>85</v>
      </c>
      <c r="B1466">
        <v>1001</v>
      </c>
      <c r="C1466" t="s">
        <v>86</v>
      </c>
      <c r="D1466">
        <v>2.8473999999999999E-3</v>
      </c>
      <c r="E1466" t="s">
        <v>74</v>
      </c>
      <c r="F1466">
        <v>2.8473999999999999</v>
      </c>
      <c r="G1466" t="s">
        <v>75</v>
      </c>
      <c r="H1466">
        <v>2847.404</v>
      </c>
      <c r="I1466" t="s">
        <v>76</v>
      </c>
      <c r="J1466" t="s">
        <v>82</v>
      </c>
      <c r="K1466">
        <v>351.19711580000001</v>
      </c>
    </row>
    <row r="1468" spans="1:11" x14ac:dyDescent="0.3">
      <c r="A1468" t="s">
        <v>108</v>
      </c>
    </row>
    <row r="1469" spans="1:11" x14ac:dyDescent="0.3">
      <c r="A1469" t="s">
        <v>72</v>
      </c>
      <c r="B1469">
        <v>1</v>
      </c>
      <c r="C1469" t="s">
        <v>81</v>
      </c>
      <c r="D1469">
        <v>1.3273200000000001E-2</v>
      </c>
      <c r="E1469" t="s">
        <v>74</v>
      </c>
      <c r="F1469">
        <v>13.273199999999999</v>
      </c>
      <c r="G1469" t="s">
        <v>75</v>
      </c>
      <c r="H1469">
        <v>13273.2</v>
      </c>
      <c r="I1469" t="s">
        <v>76</v>
      </c>
      <c r="J1469" t="s">
        <v>82</v>
      </c>
      <c r="K1469">
        <v>75.339782299999996</v>
      </c>
    </row>
    <row r="1470" spans="1:11" x14ac:dyDescent="0.3">
      <c r="A1470" t="s">
        <v>83</v>
      </c>
      <c r="B1470">
        <v>1000</v>
      </c>
      <c r="C1470" t="s">
        <v>81</v>
      </c>
      <c r="D1470">
        <v>4.97359E-3</v>
      </c>
      <c r="E1470" t="s">
        <v>74</v>
      </c>
      <c r="F1470">
        <v>4.9735899999999997</v>
      </c>
      <c r="G1470" t="s">
        <v>75</v>
      </c>
      <c r="H1470">
        <v>4973.5860000000002</v>
      </c>
      <c r="I1470" t="s">
        <v>76</v>
      </c>
      <c r="J1470" t="s">
        <v>82</v>
      </c>
      <c r="K1470">
        <v>201.06216789999999</v>
      </c>
    </row>
    <row r="1471" spans="1:11" x14ac:dyDescent="0.3">
      <c r="A1471" t="s">
        <v>85</v>
      </c>
      <c r="B1471">
        <v>1001</v>
      </c>
      <c r="C1471" t="s">
        <v>86</v>
      </c>
      <c r="D1471">
        <v>4.98206E-3</v>
      </c>
      <c r="E1471" t="s">
        <v>74</v>
      </c>
      <c r="F1471">
        <v>4.9820599999999997</v>
      </c>
      <c r="G1471" t="s">
        <v>75</v>
      </c>
      <c r="H1471">
        <v>4982.058</v>
      </c>
      <c r="I1471" t="s">
        <v>76</v>
      </c>
      <c r="J1471" t="s">
        <v>82</v>
      </c>
      <c r="K1471">
        <v>200.7202652</v>
      </c>
    </row>
    <row r="1473" spans="1:11" x14ac:dyDescent="0.3">
      <c r="A1473" t="s">
        <v>66</v>
      </c>
    </row>
    <row r="1475" spans="1:11" x14ac:dyDescent="0.3">
      <c r="A1475" t="s">
        <v>224</v>
      </c>
    </row>
    <row r="1476" spans="1:11" x14ac:dyDescent="0.3">
      <c r="A1476" t="s">
        <v>68</v>
      </c>
    </row>
    <row r="1477" spans="1:11" x14ac:dyDescent="0.3">
      <c r="A1477" t="s">
        <v>69</v>
      </c>
    </row>
    <row r="1478" spans="1:11" x14ac:dyDescent="0.3">
      <c r="A1478" t="s">
        <v>70</v>
      </c>
    </row>
    <row r="1479" spans="1:11" x14ac:dyDescent="0.3">
      <c r="A1479" t="s">
        <v>110</v>
      </c>
    </row>
    <row r="1480" spans="1:11" x14ac:dyDescent="0.3">
      <c r="A1480" t="s">
        <v>72</v>
      </c>
      <c r="B1480">
        <v>1</v>
      </c>
      <c r="C1480" t="s">
        <v>73</v>
      </c>
      <c r="D1480">
        <v>7.9999999999999996E-7</v>
      </c>
      <c r="E1480" t="s">
        <v>74</v>
      </c>
      <c r="F1480">
        <v>8.0000000000000004E-4</v>
      </c>
      <c r="G1480" t="s">
        <v>75</v>
      </c>
      <c r="H1480">
        <v>0.8</v>
      </c>
      <c r="I1480" t="s">
        <v>76</v>
      </c>
      <c r="J1480" t="s">
        <v>77</v>
      </c>
    </row>
    <row r="1481" spans="1:11" x14ac:dyDescent="0.3">
      <c r="A1481" t="s">
        <v>72</v>
      </c>
      <c r="B1481">
        <v>1</v>
      </c>
      <c r="C1481" t="s">
        <v>78</v>
      </c>
      <c r="D1481">
        <v>2.0699999999999998E-5</v>
      </c>
      <c r="E1481" t="s">
        <v>74</v>
      </c>
      <c r="F1481">
        <v>2.07E-2</v>
      </c>
      <c r="G1481" t="s">
        <v>75</v>
      </c>
      <c r="H1481">
        <v>20.7</v>
      </c>
      <c r="I1481" t="s">
        <v>76</v>
      </c>
      <c r="J1481" t="s">
        <v>77</v>
      </c>
    </row>
    <row r="1482" spans="1:11" x14ac:dyDescent="0.3">
      <c r="A1482" t="s">
        <v>72</v>
      </c>
      <c r="B1482">
        <v>1</v>
      </c>
      <c r="C1482" t="s">
        <v>79</v>
      </c>
      <c r="D1482">
        <v>4.3230999999999999E-3</v>
      </c>
      <c r="E1482" t="s">
        <v>74</v>
      </c>
      <c r="F1482">
        <v>4.3231000000000002</v>
      </c>
      <c r="G1482" t="s">
        <v>75</v>
      </c>
      <c r="H1482">
        <v>4323.1000000000004</v>
      </c>
      <c r="I1482" t="s">
        <v>76</v>
      </c>
      <c r="J1482" t="s">
        <v>77</v>
      </c>
    </row>
    <row r="1483" spans="1:11" x14ac:dyDescent="0.3">
      <c r="A1483" t="s">
        <v>72</v>
      </c>
      <c r="B1483">
        <v>1</v>
      </c>
      <c r="C1483" t="s">
        <v>94</v>
      </c>
      <c r="D1483">
        <v>9.3053000000000007E-3</v>
      </c>
      <c r="E1483" t="s">
        <v>74</v>
      </c>
      <c r="F1483">
        <v>9.3053000000000008</v>
      </c>
      <c r="G1483" t="s">
        <v>75</v>
      </c>
      <c r="H1483">
        <v>9305.2999999999993</v>
      </c>
      <c r="I1483" t="s">
        <v>76</v>
      </c>
      <c r="J1483" t="s">
        <v>77</v>
      </c>
    </row>
    <row r="1484" spans="1:11" x14ac:dyDescent="0.3">
      <c r="A1484" t="s">
        <v>72</v>
      </c>
      <c r="B1484">
        <v>1</v>
      </c>
      <c r="C1484" t="s">
        <v>80</v>
      </c>
      <c r="D1484">
        <v>9.3057999999999995E-3</v>
      </c>
      <c r="E1484" t="s">
        <v>74</v>
      </c>
      <c r="F1484">
        <v>9.3057999999999996</v>
      </c>
      <c r="G1484" t="s">
        <v>75</v>
      </c>
      <c r="H1484">
        <v>9305.7999999999993</v>
      </c>
      <c r="I1484" t="s">
        <v>76</v>
      </c>
      <c r="J1484" t="s">
        <v>77</v>
      </c>
    </row>
    <row r="1485" spans="1:11" x14ac:dyDescent="0.3">
      <c r="A1485" t="s">
        <v>72</v>
      </c>
      <c r="B1485">
        <v>1</v>
      </c>
      <c r="C1485" t="s">
        <v>81</v>
      </c>
      <c r="D1485">
        <v>1.36317E-2</v>
      </c>
      <c r="E1485" t="s">
        <v>74</v>
      </c>
      <c r="F1485">
        <v>13.6317</v>
      </c>
      <c r="G1485" t="s">
        <v>75</v>
      </c>
      <c r="H1485">
        <v>13631.7</v>
      </c>
      <c r="I1485" t="s">
        <v>76</v>
      </c>
      <c r="J1485" t="s">
        <v>82</v>
      </c>
      <c r="K1485">
        <v>73.358423999999999</v>
      </c>
    </row>
    <row r="1486" spans="1:11" x14ac:dyDescent="0.3">
      <c r="A1486" t="s">
        <v>83</v>
      </c>
      <c r="B1486">
        <v>1000</v>
      </c>
      <c r="C1486" t="s">
        <v>79</v>
      </c>
      <c r="D1486">
        <v>1.4999999999999999E-7</v>
      </c>
      <c r="E1486" t="s">
        <v>74</v>
      </c>
      <c r="F1486">
        <v>1.4999999999999999E-4</v>
      </c>
      <c r="G1486" t="s">
        <v>75</v>
      </c>
      <c r="H1486">
        <v>0.15</v>
      </c>
      <c r="I1486" t="s">
        <v>76</v>
      </c>
      <c r="J1486" t="s">
        <v>77</v>
      </c>
    </row>
    <row r="1487" spans="1:11" x14ac:dyDescent="0.3">
      <c r="A1487" t="s">
        <v>83</v>
      </c>
      <c r="B1487">
        <v>1000</v>
      </c>
      <c r="C1487" t="s">
        <v>94</v>
      </c>
      <c r="D1487">
        <v>2.6633300000000002E-3</v>
      </c>
      <c r="E1487" t="s">
        <v>74</v>
      </c>
      <c r="F1487">
        <v>2.6633300000000002</v>
      </c>
      <c r="G1487" t="s">
        <v>75</v>
      </c>
      <c r="H1487">
        <v>2663.3290000000002</v>
      </c>
      <c r="I1487" t="s">
        <v>76</v>
      </c>
      <c r="J1487" t="s">
        <v>77</v>
      </c>
    </row>
    <row r="1488" spans="1:11" x14ac:dyDescent="0.3">
      <c r="A1488" t="s">
        <v>83</v>
      </c>
      <c r="B1488">
        <v>1000</v>
      </c>
      <c r="C1488" t="s">
        <v>80</v>
      </c>
      <c r="D1488">
        <v>2.8148399999999999E-3</v>
      </c>
      <c r="E1488" t="s">
        <v>74</v>
      </c>
      <c r="F1488">
        <v>2.8148399999999998</v>
      </c>
      <c r="G1488" t="s">
        <v>75</v>
      </c>
      <c r="H1488">
        <v>2814.8380000000002</v>
      </c>
      <c r="I1488" t="s">
        <v>76</v>
      </c>
      <c r="J1488" t="s">
        <v>77</v>
      </c>
    </row>
    <row r="1489" spans="1:11" x14ac:dyDescent="0.3">
      <c r="A1489" t="s">
        <v>83</v>
      </c>
      <c r="B1489">
        <v>1000</v>
      </c>
      <c r="C1489" t="s">
        <v>81</v>
      </c>
      <c r="D1489">
        <v>2.81585E-3</v>
      </c>
      <c r="E1489" t="s">
        <v>74</v>
      </c>
      <c r="F1489">
        <v>2.8158500000000002</v>
      </c>
      <c r="G1489" t="s">
        <v>75</v>
      </c>
      <c r="H1489">
        <v>2815.8539999999998</v>
      </c>
      <c r="I1489" t="s">
        <v>76</v>
      </c>
      <c r="J1489" t="s">
        <v>82</v>
      </c>
      <c r="K1489">
        <v>355.13203959999998</v>
      </c>
    </row>
    <row r="1490" spans="1:11" x14ac:dyDescent="0.3">
      <c r="A1490" t="s">
        <v>84</v>
      </c>
      <c r="B1490">
        <v>1001</v>
      </c>
      <c r="C1490" t="s">
        <v>79</v>
      </c>
      <c r="D1490">
        <v>4.4700000000000004E-6</v>
      </c>
      <c r="E1490" t="s">
        <v>74</v>
      </c>
      <c r="F1490">
        <v>4.47E-3</v>
      </c>
      <c r="G1490" t="s">
        <v>75</v>
      </c>
      <c r="H1490">
        <v>4.4690000000000003</v>
      </c>
      <c r="I1490" t="s">
        <v>76</v>
      </c>
      <c r="J1490" t="s">
        <v>77</v>
      </c>
    </row>
    <row r="1491" spans="1:11" x14ac:dyDescent="0.3">
      <c r="A1491" t="s">
        <v>84</v>
      </c>
      <c r="B1491">
        <v>1001</v>
      </c>
      <c r="C1491" t="s">
        <v>94</v>
      </c>
      <c r="D1491">
        <v>2.6699599999999999E-3</v>
      </c>
      <c r="E1491" t="s">
        <v>74</v>
      </c>
      <c r="F1491">
        <v>2.6699600000000001</v>
      </c>
      <c r="G1491" t="s">
        <v>75</v>
      </c>
      <c r="H1491">
        <v>2669.9639999999999</v>
      </c>
      <c r="I1491" t="s">
        <v>76</v>
      </c>
      <c r="J1491" t="s">
        <v>77</v>
      </c>
    </row>
    <row r="1492" spans="1:11" x14ac:dyDescent="0.3">
      <c r="A1492" t="s">
        <v>84</v>
      </c>
      <c r="B1492">
        <v>1001</v>
      </c>
      <c r="C1492" t="s">
        <v>80</v>
      </c>
      <c r="D1492">
        <v>2.82132E-3</v>
      </c>
      <c r="E1492" t="s">
        <v>74</v>
      </c>
      <c r="F1492">
        <v>2.8213200000000001</v>
      </c>
      <c r="G1492" t="s">
        <v>75</v>
      </c>
      <c r="H1492">
        <v>2821.3229999999999</v>
      </c>
      <c r="I1492" t="s">
        <v>76</v>
      </c>
      <c r="J1492" t="s">
        <v>77</v>
      </c>
    </row>
    <row r="1493" spans="1:11" x14ac:dyDescent="0.3">
      <c r="A1493" t="s">
        <v>84</v>
      </c>
      <c r="B1493">
        <v>1001</v>
      </c>
      <c r="C1493" t="s">
        <v>81</v>
      </c>
      <c r="D1493">
        <v>2.8266599999999999E-3</v>
      </c>
      <c r="E1493" t="s">
        <v>74</v>
      </c>
      <c r="F1493">
        <v>2.82666</v>
      </c>
      <c r="G1493" t="s">
        <v>75</v>
      </c>
      <c r="H1493">
        <v>2826.6590000000001</v>
      </c>
      <c r="I1493" t="s">
        <v>76</v>
      </c>
      <c r="J1493" t="s">
        <v>82</v>
      </c>
      <c r="K1493">
        <v>353.77454499999999</v>
      </c>
    </row>
    <row r="1494" spans="1:11" x14ac:dyDescent="0.3">
      <c r="A1494" t="s">
        <v>85</v>
      </c>
      <c r="B1494">
        <v>1001</v>
      </c>
      <c r="C1494" t="s">
        <v>86</v>
      </c>
      <c r="D1494">
        <v>2.8268799999999999E-3</v>
      </c>
      <c r="E1494" t="s">
        <v>74</v>
      </c>
      <c r="F1494">
        <v>2.8268800000000001</v>
      </c>
      <c r="G1494" t="s">
        <v>75</v>
      </c>
      <c r="H1494">
        <v>2826.884</v>
      </c>
      <c r="I1494" t="s">
        <v>76</v>
      </c>
      <c r="J1494" t="s">
        <v>82</v>
      </c>
      <c r="K1494">
        <v>353.74643650000002</v>
      </c>
    </row>
    <row r="1495" spans="1:11" x14ac:dyDescent="0.3">
      <c r="A1495" t="s">
        <v>111</v>
      </c>
    </row>
    <row r="1496" spans="1:11" x14ac:dyDescent="0.3">
      <c r="A1496" t="s">
        <v>72</v>
      </c>
      <c r="B1496">
        <v>1</v>
      </c>
      <c r="C1496" t="s">
        <v>73</v>
      </c>
      <c r="D1496">
        <v>7.9999999999999996E-7</v>
      </c>
      <c r="E1496" t="s">
        <v>74</v>
      </c>
      <c r="F1496">
        <v>8.0000000000000004E-4</v>
      </c>
      <c r="G1496" t="s">
        <v>75</v>
      </c>
      <c r="H1496">
        <v>0.8</v>
      </c>
      <c r="I1496" t="s">
        <v>76</v>
      </c>
      <c r="J1496" t="s">
        <v>77</v>
      </c>
    </row>
    <row r="1497" spans="1:11" x14ac:dyDescent="0.3">
      <c r="A1497" t="s">
        <v>72</v>
      </c>
      <c r="B1497">
        <v>1</v>
      </c>
      <c r="C1497" t="s">
        <v>78</v>
      </c>
      <c r="D1497">
        <v>2.12E-5</v>
      </c>
      <c r="E1497" t="s">
        <v>74</v>
      </c>
      <c r="F1497">
        <v>2.12E-2</v>
      </c>
      <c r="G1497" t="s">
        <v>75</v>
      </c>
      <c r="H1497">
        <v>21.2</v>
      </c>
      <c r="I1497" t="s">
        <v>76</v>
      </c>
      <c r="J1497" t="s">
        <v>77</v>
      </c>
    </row>
    <row r="1498" spans="1:11" x14ac:dyDescent="0.3">
      <c r="A1498" t="s">
        <v>72</v>
      </c>
      <c r="B1498">
        <v>1</v>
      </c>
      <c r="C1498" t="s">
        <v>79</v>
      </c>
      <c r="D1498">
        <v>4.3800000000000002E-3</v>
      </c>
      <c r="E1498" t="s">
        <v>74</v>
      </c>
      <c r="F1498">
        <v>4.38</v>
      </c>
      <c r="G1498" t="s">
        <v>75</v>
      </c>
      <c r="H1498">
        <v>4380</v>
      </c>
      <c r="I1498" t="s">
        <v>76</v>
      </c>
      <c r="J1498" t="s">
        <v>77</v>
      </c>
    </row>
    <row r="1499" spans="1:11" x14ac:dyDescent="0.3">
      <c r="A1499" t="s">
        <v>72</v>
      </c>
      <c r="B1499">
        <v>1</v>
      </c>
      <c r="C1499" t="s">
        <v>94</v>
      </c>
      <c r="D1499">
        <v>2.4954E-3</v>
      </c>
      <c r="E1499" t="s">
        <v>74</v>
      </c>
      <c r="F1499">
        <v>2.4954000000000001</v>
      </c>
      <c r="G1499" t="s">
        <v>75</v>
      </c>
      <c r="H1499">
        <v>2495.4</v>
      </c>
      <c r="I1499" t="s">
        <v>76</v>
      </c>
      <c r="J1499" t="s">
        <v>77</v>
      </c>
    </row>
    <row r="1500" spans="1:11" x14ac:dyDescent="0.3">
      <c r="A1500" t="s">
        <v>72</v>
      </c>
      <c r="B1500">
        <v>1</v>
      </c>
      <c r="C1500" t="s">
        <v>80</v>
      </c>
      <c r="D1500">
        <v>2.6865000000000001E-3</v>
      </c>
      <c r="E1500" t="s">
        <v>74</v>
      </c>
      <c r="F1500">
        <v>2.6865000000000001</v>
      </c>
      <c r="G1500" t="s">
        <v>75</v>
      </c>
      <c r="H1500">
        <v>2686.5</v>
      </c>
      <c r="I1500" t="s">
        <v>76</v>
      </c>
      <c r="J1500" t="s">
        <v>77</v>
      </c>
    </row>
    <row r="1501" spans="1:11" x14ac:dyDescent="0.3">
      <c r="A1501" t="s">
        <v>72</v>
      </c>
      <c r="B1501">
        <v>1</v>
      </c>
      <c r="C1501" t="s">
        <v>81</v>
      </c>
      <c r="D1501">
        <v>7.0672E-3</v>
      </c>
      <c r="E1501" t="s">
        <v>74</v>
      </c>
      <c r="F1501">
        <v>7.0671999999999997</v>
      </c>
      <c r="G1501" t="s">
        <v>75</v>
      </c>
      <c r="H1501">
        <v>7067.2</v>
      </c>
      <c r="I1501" t="s">
        <v>76</v>
      </c>
      <c r="J1501" t="s">
        <v>82</v>
      </c>
      <c r="K1501">
        <v>141.49875890000001</v>
      </c>
    </row>
    <row r="1502" spans="1:11" x14ac:dyDescent="0.3">
      <c r="A1502" t="s">
        <v>83</v>
      </c>
      <c r="B1502">
        <v>1000</v>
      </c>
      <c r="C1502" t="s">
        <v>79</v>
      </c>
      <c r="D1502">
        <v>1.4999999999999999E-7</v>
      </c>
      <c r="E1502" t="s">
        <v>74</v>
      </c>
      <c r="F1502">
        <v>1.4999999999999999E-4</v>
      </c>
      <c r="G1502" t="s">
        <v>75</v>
      </c>
      <c r="H1502">
        <v>0.15</v>
      </c>
      <c r="I1502" t="s">
        <v>76</v>
      </c>
      <c r="J1502" t="s">
        <v>77</v>
      </c>
    </row>
    <row r="1503" spans="1:11" x14ac:dyDescent="0.3">
      <c r="A1503" t="s">
        <v>83</v>
      </c>
      <c r="B1503">
        <v>1000</v>
      </c>
      <c r="C1503" t="s">
        <v>94</v>
      </c>
      <c r="D1503">
        <v>2.5683300000000002E-3</v>
      </c>
      <c r="E1503" t="s">
        <v>74</v>
      </c>
      <c r="F1503">
        <v>2.56833</v>
      </c>
      <c r="G1503" t="s">
        <v>75</v>
      </c>
      <c r="H1503">
        <v>2568.326</v>
      </c>
      <c r="I1503" t="s">
        <v>76</v>
      </c>
      <c r="J1503" t="s">
        <v>77</v>
      </c>
    </row>
    <row r="1504" spans="1:11" x14ac:dyDescent="0.3">
      <c r="A1504" t="s">
        <v>83</v>
      </c>
      <c r="B1504">
        <v>1000</v>
      </c>
      <c r="C1504" t="s">
        <v>80</v>
      </c>
      <c r="D1504">
        <v>2.72427E-3</v>
      </c>
      <c r="E1504" t="s">
        <v>74</v>
      </c>
      <c r="F1504">
        <v>2.7242700000000002</v>
      </c>
      <c r="G1504" t="s">
        <v>75</v>
      </c>
      <c r="H1504">
        <v>2724.2710000000002</v>
      </c>
      <c r="I1504" t="s">
        <v>76</v>
      </c>
      <c r="J1504" t="s">
        <v>77</v>
      </c>
    </row>
    <row r="1505" spans="1:11" x14ac:dyDescent="0.3">
      <c r="A1505" t="s">
        <v>83</v>
      </c>
      <c r="B1505">
        <v>1000</v>
      </c>
      <c r="C1505" t="s">
        <v>81</v>
      </c>
      <c r="D1505">
        <v>2.72529E-3</v>
      </c>
      <c r="E1505" t="s">
        <v>74</v>
      </c>
      <c r="F1505">
        <v>2.7252900000000002</v>
      </c>
      <c r="G1505" t="s">
        <v>75</v>
      </c>
      <c r="H1505">
        <v>2725.29</v>
      </c>
      <c r="I1505" t="s">
        <v>76</v>
      </c>
      <c r="J1505" t="s">
        <v>82</v>
      </c>
      <c r="K1505">
        <v>366.9334513</v>
      </c>
    </row>
    <row r="1506" spans="1:11" x14ac:dyDescent="0.3">
      <c r="A1506" t="s">
        <v>84</v>
      </c>
      <c r="B1506">
        <v>1001</v>
      </c>
      <c r="C1506" t="s">
        <v>79</v>
      </c>
      <c r="D1506">
        <v>4.5299999999999998E-6</v>
      </c>
      <c r="E1506" t="s">
        <v>74</v>
      </c>
      <c r="F1506">
        <v>4.5300000000000002E-3</v>
      </c>
      <c r="G1506" t="s">
        <v>75</v>
      </c>
      <c r="H1506">
        <v>4.5250000000000004</v>
      </c>
      <c r="I1506" t="s">
        <v>76</v>
      </c>
      <c r="J1506" t="s">
        <v>77</v>
      </c>
    </row>
    <row r="1507" spans="1:11" x14ac:dyDescent="0.3">
      <c r="A1507" t="s">
        <v>84</v>
      </c>
      <c r="B1507">
        <v>1001</v>
      </c>
      <c r="C1507" t="s">
        <v>94</v>
      </c>
      <c r="D1507">
        <v>2.5682499999999998E-3</v>
      </c>
      <c r="E1507" t="s">
        <v>74</v>
      </c>
      <c r="F1507">
        <v>2.5682499999999999</v>
      </c>
      <c r="G1507" t="s">
        <v>75</v>
      </c>
      <c r="H1507">
        <v>2568.2539999999999</v>
      </c>
      <c r="I1507" t="s">
        <v>76</v>
      </c>
      <c r="J1507" t="s">
        <v>77</v>
      </c>
    </row>
    <row r="1508" spans="1:11" x14ac:dyDescent="0.3">
      <c r="A1508" t="s">
        <v>84</v>
      </c>
      <c r="B1508">
        <v>1001</v>
      </c>
      <c r="C1508" t="s">
        <v>80</v>
      </c>
      <c r="D1508">
        <v>2.7242299999999998E-3</v>
      </c>
      <c r="E1508" t="s">
        <v>74</v>
      </c>
      <c r="F1508">
        <v>2.7242299999999999</v>
      </c>
      <c r="G1508" t="s">
        <v>75</v>
      </c>
      <c r="H1508">
        <v>2724.2330000000002</v>
      </c>
      <c r="I1508" t="s">
        <v>76</v>
      </c>
      <c r="J1508" t="s">
        <v>77</v>
      </c>
    </row>
    <row r="1509" spans="1:11" x14ac:dyDescent="0.3">
      <c r="A1509" t="s">
        <v>84</v>
      </c>
      <c r="B1509">
        <v>1001</v>
      </c>
      <c r="C1509" t="s">
        <v>81</v>
      </c>
      <c r="D1509">
        <v>2.7296299999999998E-3</v>
      </c>
      <c r="E1509" t="s">
        <v>74</v>
      </c>
      <c r="F1509">
        <v>2.7296299999999998</v>
      </c>
      <c r="G1509" t="s">
        <v>75</v>
      </c>
      <c r="H1509">
        <v>2729.6280000000002</v>
      </c>
      <c r="I1509" t="s">
        <v>76</v>
      </c>
      <c r="J1509" t="s">
        <v>82</v>
      </c>
      <c r="K1509">
        <v>366.35033540000001</v>
      </c>
    </row>
    <row r="1510" spans="1:11" x14ac:dyDescent="0.3">
      <c r="A1510" t="s">
        <v>85</v>
      </c>
      <c r="B1510">
        <v>1001</v>
      </c>
      <c r="C1510" t="s">
        <v>86</v>
      </c>
      <c r="D1510">
        <v>2.72981E-3</v>
      </c>
      <c r="E1510" t="s">
        <v>74</v>
      </c>
      <c r="F1510">
        <v>2.7298100000000001</v>
      </c>
      <c r="G1510" t="s">
        <v>75</v>
      </c>
      <c r="H1510">
        <v>2729.8049999999998</v>
      </c>
      <c r="I1510" t="s">
        <v>76</v>
      </c>
      <c r="J1510" t="s">
        <v>82</v>
      </c>
      <c r="K1510">
        <v>366.3265217</v>
      </c>
    </row>
    <row r="1511" spans="1:11" x14ac:dyDescent="0.3">
      <c r="A1511" t="s">
        <v>87</v>
      </c>
    </row>
    <row r="1512" spans="1:11" x14ac:dyDescent="0.3">
      <c r="A1512" t="s">
        <v>112</v>
      </c>
    </row>
    <row r="1513" spans="1:11" x14ac:dyDescent="0.3">
      <c r="A1513" t="s">
        <v>72</v>
      </c>
      <c r="B1513">
        <v>1</v>
      </c>
      <c r="C1513" t="s">
        <v>81</v>
      </c>
      <c r="D1513">
        <v>1.36317E-2</v>
      </c>
      <c r="E1513" t="s">
        <v>74</v>
      </c>
      <c r="F1513">
        <v>13.6317</v>
      </c>
      <c r="G1513" t="s">
        <v>75</v>
      </c>
      <c r="H1513">
        <v>13631.7</v>
      </c>
      <c r="I1513" t="s">
        <v>76</v>
      </c>
      <c r="J1513" t="s">
        <v>82</v>
      </c>
      <c r="K1513">
        <v>73.358423999999999</v>
      </c>
    </row>
    <row r="1514" spans="1:11" x14ac:dyDescent="0.3">
      <c r="A1514" t="s">
        <v>83</v>
      </c>
      <c r="B1514">
        <v>1000</v>
      </c>
      <c r="C1514" t="s">
        <v>81</v>
      </c>
      <c r="D1514">
        <v>2.81585E-3</v>
      </c>
      <c r="E1514" t="s">
        <v>74</v>
      </c>
      <c r="F1514">
        <v>2.8158500000000002</v>
      </c>
      <c r="G1514" t="s">
        <v>75</v>
      </c>
      <c r="H1514">
        <v>2815.8539999999998</v>
      </c>
      <c r="I1514" t="s">
        <v>76</v>
      </c>
      <c r="J1514" t="s">
        <v>82</v>
      </c>
      <c r="K1514">
        <v>355.13203959999998</v>
      </c>
    </row>
    <row r="1515" spans="1:11" x14ac:dyDescent="0.3">
      <c r="A1515" t="s">
        <v>85</v>
      </c>
      <c r="B1515">
        <v>1001</v>
      </c>
      <c r="C1515" t="s">
        <v>86</v>
      </c>
      <c r="D1515">
        <v>2.8268799999999999E-3</v>
      </c>
      <c r="E1515" t="s">
        <v>74</v>
      </c>
      <c r="F1515">
        <v>2.8268800000000001</v>
      </c>
      <c r="G1515" t="s">
        <v>75</v>
      </c>
      <c r="H1515">
        <v>2826.884</v>
      </c>
      <c r="I1515" t="s">
        <v>76</v>
      </c>
      <c r="J1515" t="s">
        <v>82</v>
      </c>
      <c r="K1515">
        <v>353.74643650000002</v>
      </c>
    </row>
    <row r="1517" spans="1:11" x14ac:dyDescent="0.3">
      <c r="A1517" t="s">
        <v>113</v>
      </c>
    </row>
    <row r="1518" spans="1:11" x14ac:dyDescent="0.3">
      <c r="A1518" t="s">
        <v>72</v>
      </c>
      <c r="B1518">
        <v>1</v>
      </c>
      <c r="C1518" t="s">
        <v>81</v>
      </c>
      <c r="D1518">
        <v>7.0672E-3</v>
      </c>
      <c r="E1518" t="s">
        <v>74</v>
      </c>
      <c r="F1518">
        <v>7.0671999999999997</v>
      </c>
      <c r="G1518" t="s">
        <v>75</v>
      </c>
      <c r="H1518">
        <v>7067.2</v>
      </c>
      <c r="I1518" t="s">
        <v>76</v>
      </c>
      <c r="J1518" t="s">
        <v>82</v>
      </c>
      <c r="K1518">
        <v>141.49875890000001</v>
      </c>
    </row>
    <row r="1519" spans="1:11" x14ac:dyDescent="0.3">
      <c r="A1519" t="s">
        <v>83</v>
      </c>
      <c r="B1519">
        <v>1000</v>
      </c>
      <c r="C1519" t="s">
        <v>81</v>
      </c>
      <c r="D1519">
        <v>2.72529E-3</v>
      </c>
      <c r="E1519" t="s">
        <v>74</v>
      </c>
      <c r="F1519">
        <v>2.7252900000000002</v>
      </c>
      <c r="G1519" t="s">
        <v>75</v>
      </c>
      <c r="H1519">
        <v>2725.29</v>
      </c>
      <c r="I1519" t="s">
        <v>76</v>
      </c>
      <c r="J1519" t="s">
        <v>82</v>
      </c>
      <c r="K1519">
        <v>366.9334513</v>
      </c>
    </row>
    <row r="1520" spans="1:11" x14ac:dyDescent="0.3">
      <c r="A1520" t="s">
        <v>85</v>
      </c>
      <c r="B1520">
        <v>1001</v>
      </c>
      <c r="C1520" t="s">
        <v>86</v>
      </c>
      <c r="D1520">
        <v>2.72981E-3</v>
      </c>
      <c r="E1520" t="s">
        <v>74</v>
      </c>
      <c r="F1520">
        <v>2.7298100000000001</v>
      </c>
      <c r="G1520" t="s">
        <v>75</v>
      </c>
      <c r="H1520">
        <v>2729.8049999999998</v>
      </c>
      <c r="I1520" t="s">
        <v>76</v>
      </c>
      <c r="J1520" t="s">
        <v>82</v>
      </c>
      <c r="K1520">
        <v>366.3265217</v>
      </c>
    </row>
    <row r="1522" spans="1:1" x14ac:dyDescent="0.3">
      <c r="A1522" t="s">
        <v>66</v>
      </c>
    </row>
    <row r="1524" spans="1:1" x14ac:dyDescent="0.3">
      <c r="A1524" t="s">
        <v>225</v>
      </c>
    </row>
    <row r="1525" spans="1:1" x14ac:dyDescent="0.3">
      <c r="A1525" t="s">
        <v>68</v>
      </c>
    </row>
    <row r="1526" spans="1:1" x14ac:dyDescent="0.3">
      <c r="A1526" t="s">
        <v>69</v>
      </c>
    </row>
    <row r="1527" spans="1:1" x14ac:dyDescent="0.3">
      <c r="A1527" t="s">
        <v>70</v>
      </c>
    </row>
    <row r="1528" spans="1:1" x14ac:dyDescent="0.3">
      <c r="A1528" t="s">
        <v>115</v>
      </c>
    </row>
    <row r="1529" spans="1:1" x14ac:dyDescent="0.3">
      <c r="A1529" t="s">
        <v>116</v>
      </c>
    </row>
    <row r="1530" spans="1:1" x14ac:dyDescent="0.3">
      <c r="A1530" t="s">
        <v>117</v>
      </c>
    </row>
    <row r="1531" spans="1:1" x14ac:dyDescent="0.3">
      <c r="A1531" t="s">
        <v>118</v>
      </c>
    </row>
    <row r="1532" spans="1:1" x14ac:dyDescent="0.3">
      <c r="A1532" t="s">
        <v>119</v>
      </c>
    </row>
    <row r="1533" spans="1:1" x14ac:dyDescent="0.3">
      <c r="A1533" t="s">
        <v>120</v>
      </c>
    </row>
    <row r="1534" spans="1:1" x14ac:dyDescent="0.3">
      <c r="A1534" t="s">
        <v>121</v>
      </c>
    </row>
    <row r="1535" spans="1:1" x14ac:dyDescent="0.3">
      <c r="A1535" t="s">
        <v>122</v>
      </c>
    </row>
    <row r="1536" spans="1:1" x14ac:dyDescent="0.3">
      <c r="A1536" t="s">
        <v>123</v>
      </c>
    </row>
    <row r="1537" spans="1:11" x14ac:dyDescent="0.3">
      <c r="A1537" t="s">
        <v>124</v>
      </c>
    </row>
    <row r="1538" spans="1:11" x14ac:dyDescent="0.3">
      <c r="A1538" t="s">
        <v>125</v>
      </c>
    </row>
    <row r="1539" spans="1:11" x14ac:dyDescent="0.3">
      <c r="A1539" t="s">
        <v>126</v>
      </c>
    </row>
    <row r="1540" spans="1:11" x14ac:dyDescent="0.3">
      <c r="A1540" t="s">
        <v>127</v>
      </c>
    </row>
    <row r="1541" spans="1:11" x14ac:dyDescent="0.3">
      <c r="A1541" t="s">
        <v>128</v>
      </c>
    </row>
    <row r="1542" spans="1:11" x14ac:dyDescent="0.3">
      <c r="A1542" t="s">
        <v>129</v>
      </c>
    </row>
    <row r="1543" spans="1:11" x14ac:dyDescent="0.3">
      <c r="A1543" t="s">
        <v>72</v>
      </c>
      <c r="B1543">
        <v>1</v>
      </c>
      <c r="C1543" t="s">
        <v>73</v>
      </c>
      <c r="D1543">
        <v>4.0999999999999997E-6</v>
      </c>
      <c r="E1543" t="s">
        <v>74</v>
      </c>
      <c r="F1543">
        <v>4.1000000000000003E-3</v>
      </c>
      <c r="G1543" t="s">
        <v>75</v>
      </c>
      <c r="H1543">
        <v>4.0999999999999996</v>
      </c>
      <c r="I1543" t="s">
        <v>76</v>
      </c>
      <c r="J1543" t="s">
        <v>77</v>
      </c>
    </row>
    <row r="1544" spans="1:11" x14ac:dyDescent="0.3">
      <c r="A1544" t="s">
        <v>72</v>
      </c>
      <c r="B1544">
        <v>1</v>
      </c>
      <c r="C1544" t="s">
        <v>78</v>
      </c>
      <c r="D1544">
        <v>0.12775329999999999</v>
      </c>
      <c r="E1544" t="s">
        <v>74</v>
      </c>
      <c r="F1544">
        <v>127.7533</v>
      </c>
      <c r="G1544" t="s">
        <v>75</v>
      </c>
      <c r="H1544">
        <v>127753.302</v>
      </c>
      <c r="I1544" t="s">
        <v>76</v>
      </c>
      <c r="J1544" t="s">
        <v>77</v>
      </c>
    </row>
    <row r="1545" spans="1:11" x14ac:dyDescent="0.3">
      <c r="A1545" t="s">
        <v>72</v>
      </c>
      <c r="B1545">
        <v>1</v>
      </c>
      <c r="C1545" t="s">
        <v>91</v>
      </c>
      <c r="D1545">
        <v>0.27528971000000002</v>
      </c>
      <c r="E1545" t="s">
        <v>74</v>
      </c>
      <c r="F1545">
        <v>275.28971000000001</v>
      </c>
      <c r="G1545" t="s">
        <v>75</v>
      </c>
      <c r="H1545">
        <v>275289.71399999998</v>
      </c>
      <c r="I1545" t="s">
        <v>76</v>
      </c>
      <c r="J1545" t="s">
        <v>77</v>
      </c>
    </row>
    <row r="1546" spans="1:11" x14ac:dyDescent="0.3">
      <c r="A1546" t="s">
        <v>72</v>
      </c>
      <c r="B1546">
        <v>1</v>
      </c>
      <c r="C1546" t="s">
        <v>92</v>
      </c>
      <c r="D1546">
        <v>3.4085000000000001E-3</v>
      </c>
      <c r="E1546" t="s">
        <v>74</v>
      </c>
      <c r="F1546">
        <v>3.4085000000000001</v>
      </c>
      <c r="G1546" t="s">
        <v>75</v>
      </c>
      <c r="H1546">
        <v>3408.5</v>
      </c>
      <c r="I1546" t="s">
        <v>76</v>
      </c>
      <c r="J1546" t="s">
        <v>77</v>
      </c>
    </row>
    <row r="1547" spans="1:11" x14ac:dyDescent="0.3">
      <c r="A1547" t="s">
        <v>72</v>
      </c>
      <c r="B1547">
        <v>1</v>
      </c>
      <c r="C1547" t="s">
        <v>93</v>
      </c>
      <c r="D1547">
        <v>8.77222E-2</v>
      </c>
      <c r="E1547" t="s">
        <v>74</v>
      </c>
      <c r="F1547">
        <v>87.722200000000001</v>
      </c>
      <c r="G1547" t="s">
        <v>75</v>
      </c>
      <c r="H1547">
        <v>87722.197</v>
      </c>
      <c r="I1547" t="s">
        <v>76</v>
      </c>
      <c r="J1547" t="s">
        <v>77</v>
      </c>
    </row>
    <row r="1548" spans="1:11" x14ac:dyDescent="0.3">
      <c r="A1548" t="s">
        <v>72</v>
      </c>
      <c r="B1548">
        <v>1</v>
      </c>
      <c r="C1548" t="s">
        <v>79</v>
      </c>
      <c r="D1548">
        <v>0.36642100999999999</v>
      </c>
      <c r="E1548" t="s">
        <v>74</v>
      </c>
      <c r="F1548">
        <v>366.42101000000002</v>
      </c>
      <c r="G1548" t="s">
        <v>75</v>
      </c>
      <c r="H1548">
        <v>366421.01400000002</v>
      </c>
      <c r="I1548" t="s">
        <v>76</v>
      </c>
      <c r="J1548" t="s">
        <v>77</v>
      </c>
    </row>
    <row r="1549" spans="1:11" x14ac:dyDescent="0.3">
      <c r="A1549" t="s">
        <v>72</v>
      </c>
      <c r="B1549">
        <v>1</v>
      </c>
      <c r="C1549" t="s">
        <v>94</v>
      </c>
      <c r="D1549">
        <v>9.3010999999999996E-3</v>
      </c>
      <c r="E1549" t="s">
        <v>74</v>
      </c>
      <c r="F1549">
        <v>9.3010999999999999</v>
      </c>
      <c r="G1549" t="s">
        <v>75</v>
      </c>
      <c r="H1549">
        <v>9301.1</v>
      </c>
      <c r="I1549" t="s">
        <v>76</v>
      </c>
      <c r="J1549" t="s">
        <v>77</v>
      </c>
    </row>
    <row r="1550" spans="1:11" x14ac:dyDescent="0.3">
      <c r="A1550" t="s">
        <v>72</v>
      </c>
      <c r="B1550">
        <v>1</v>
      </c>
      <c r="C1550" t="s">
        <v>80</v>
      </c>
      <c r="D1550">
        <v>9.3016000000000001E-3</v>
      </c>
      <c r="E1550" t="s">
        <v>74</v>
      </c>
      <c r="F1550">
        <v>9.3016000000000005</v>
      </c>
      <c r="G1550" t="s">
        <v>75</v>
      </c>
      <c r="H1550">
        <v>9301.6</v>
      </c>
      <c r="I1550" t="s">
        <v>76</v>
      </c>
      <c r="J1550" t="s">
        <v>77</v>
      </c>
    </row>
    <row r="1551" spans="1:11" x14ac:dyDescent="0.3">
      <c r="A1551" t="s">
        <v>72</v>
      </c>
      <c r="B1551">
        <v>1</v>
      </c>
      <c r="C1551" t="s">
        <v>81</v>
      </c>
      <c r="D1551">
        <v>0.37572478999999998</v>
      </c>
      <c r="E1551" t="s">
        <v>74</v>
      </c>
      <c r="F1551">
        <v>375.72478999999998</v>
      </c>
      <c r="G1551" t="s">
        <v>75</v>
      </c>
      <c r="H1551">
        <v>375724.79200000002</v>
      </c>
      <c r="I1551" t="s">
        <v>76</v>
      </c>
      <c r="J1551" t="s">
        <v>82</v>
      </c>
      <c r="K1551">
        <v>2.6615224999999998</v>
      </c>
    </row>
    <row r="1552" spans="1:11" x14ac:dyDescent="0.3">
      <c r="A1552" t="s">
        <v>83</v>
      </c>
      <c r="B1552">
        <v>1000</v>
      </c>
      <c r="C1552" t="s">
        <v>79</v>
      </c>
      <c r="D1552">
        <v>2.8000000000000002E-7</v>
      </c>
      <c r="E1552" t="s">
        <v>74</v>
      </c>
      <c r="F1552">
        <v>2.7999999999999998E-4</v>
      </c>
      <c r="G1552" t="s">
        <v>75</v>
      </c>
      <c r="H1552">
        <v>0.28100000000000003</v>
      </c>
      <c r="I1552" t="s">
        <v>76</v>
      </c>
      <c r="J1552" t="s">
        <v>77</v>
      </c>
    </row>
    <row r="1553" spans="1:11" x14ac:dyDescent="0.3">
      <c r="A1553" t="s">
        <v>83</v>
      </c>
      <c r="B1553">
        <v>1000</v>
      </c>
      <c r="C1553" t="s">
        <v>94</v>
      </c>
      <c r="D1553">
        <v>2.5791799999999999E-3</v>
      </c>
      <c r="E1553" t="s">
        <v>74</v>
      </c>
      <c r="F1553">
        <v>2.57918</v>
      </c>
      <c r="G1553" t="s">
        <v>75</v>
      </c>
      <c r="H1553">
        <v>2579.1790000000001</v>
      </c>
      <c r="I1553" t="s">
        <v>76</v>
      </c>
      <c r="J1553" t="s">
        <v>77</v>
      </c>
    </row>
    <row r="1554" spans="1:11" x14ac:dyDescent="0.3">
      <c r="A1554" t="s">
        <v>83</v>
      </c>
      <c r="B1554">
        <v>1000</v>
      </c>
      <c r="C1554" t="s">
        <v>80</v>
      </c>
      <c r="D1554">
        <v>2.7547499999999998E-3</v>
      </c>
      <c r="E1554" t="s">
        <v>74</v>
      </c>
      <c r="F1554">
        <v>2.75475</v>
      </c>
      <c r="G1554" t="s">
        <v>75</v>
      </c>
      <c r="H1554">
        <v>2754.7530000000002</v>
      </c>
      <c r="I1554" t="s">
        <v>76</v>
      </c>
      <c r="J1554" t="s">
        <v>77</v>
      </c>
    </row>
    <row r="1555" spans="1:11" x14ac:dyDescent="0.3">
      <c r="A1555" t="s">
        <v>83</v>
      </c>
      <c r="B1555">
        <v>1000</v>
      </c>
      <c r="C1555" t="s">
        <v>81</v>
      </c>
      <c r="D1555">
        <v>2.75588E-3</v>
      </c>
      <c r="E1555" t="s">
        <v>74</v>
      </c>
      <c r="F1555">
        <v>2.7558799999999999</v>
      </c>
      <c r="G1555" t="s">
        <v>75</v>
      </c>
      <c r="H1555">
        <v>2755.8780000000002</v>
      </c>
      <c r="I1555" t="s">
        <v>76</v>
      </c>
      <c r="J1555" t="s">
        <v>82</v>
      </c>
      <c r="K1555">
        <v>362.86080040000002</v>
      </c>
    </row>
    <row r="1556" spans="1:11" x14ac:dyDescent="0.3">
      <c r="A1556" t="s">
        <v>84</v>
      </c>
      <c r="B1556">
        <v>1</v>
      </c>
      <c r="C1556" t="s">
        <v>91</v>
      </c>
      <c r="D1556">
        <v>0.27528971000000002</v>
      </c>
      <c r="E1556" t="s">
        <v>74</v>
      </c>
      <c r="F1556">
        <v>275.28971000000001</v>
      </c>
      <c r="G1556" t="s">
        <v>75</v>
      </c>
      <c r="H1556">
        <v>275289.71399999998</v>
      </c>
      <c r="I1556" t="s">
        <v>76</v>
      </c>
      <c r="J1556" t="s">
        <v>77</v>
      </c>
    </row>
    <row r="1557" spans="1:11" x14ac:dyDescent="0.3">
      <c r="A1557" t="s">
        <v>84</v>
      </c>
      <c r="B1557">
        <v>1</v>
      </c>
      <c r="C1557" t="s">
        <v>92</v>
      </c>
      <c r="D1557">
        <v>3.4085000000000001E-3</v>
      </c>
      <c r="E1557" t="s">
        <v>74</v>
      </c>
      <c r="F1557">
        <v>3.4085000000000001</v>
      </c>
      <c r="G1557" t="s">
        <v>75</v>
      </c>
      <c r="H1557">
        <v>3408.5</v>
      </c>
      <c r="I1557" t="s">
        <v>76</v>
      </c>
      <c r="J1557" t="s">
        <v>77</v>
      </c>
    </row>
    <row r="1558" spans="1:11" x14ac:dyDescent="0.3">
      <c r="A1558" t="s">
        <v>84</v>
      </c>
      <c r="B1558">
        <v>1</v>
      </c>
      <c r="C1558" t="s">
        <v>93</v>
      </c>
      <c r="D1558">
        <v>8.77222E-2</v>
      </c>
      <c r="E1558" t="s">
        <v>74</v>
      </c>
      <c r="F1558">
        <v>87.722200000000001</v>
      </c>
      <c r="G1558" t="s">
        <v>75</v>
      </c>
      <c r="H1558">
        <v>87722.197</v>
      </c>
      <c r="I1558" t="s">
        <v>76</v>
      </c>
      <c r="J1558" t="s">
        <v>77</v>
      </c>
    </row>
    <row r="1559" spans="1:11" x14ac:dyDescent="0.3">
      <c r="A1559" t="s">
        <v>84</v>
      </c>
      <c r="B1559">
        <v>1001</v>
      </c>
      <c r="C1559" t="s">
        <v>79</v>
      </c>
      <c r="D1559">
        <v>3.6633999999999999E-4</v>
      </c>
      <c r="E1559" t="s">
        <v>74</v>
      </c>
      <c r="F1559">
        <v>0.36634</v>
      </c>
      <c r="G1559" t="s">
        <v>75</v>
      </c>
      <c r="H1559">
        <v>366.33699999999999</v>
      </c>
      <c r="I1559" t="s">
        <v>76</v>
      </c>
      <c r="J1559" t="s">
        <v>77</v>
      </c>
    </row>
    <row r="1560" spans="1:11" x14ac:dyDescent="0.3">
      <c r="A1560" t="s">
        <v>84</v>
      </c>
      <c r="B1560">
        <v>1001</v>
      </c>
      <c r="C1560" t="s">
        <v>94</v>
      </c>
      <c r="D1560">
        <v>2.58589E-3</v>
      </c>
      <c r="E1560" t="s">
        <v>74</v>
      </c>
      <c r="F1560">
        <v>2.58589</v>
      </c>
      <c r="G1560" t="s">
        <v>75</v>
      </c>
      <c r="H1560">
        <v>2585.8939999999998</v>
      </c>
      <c r="I1560" t="s">
        <v>76</v>
      </c>
      <c r="J1560" t="s">
        <v>77</v>
      </c>
    </row>
    <row r="1561" spans="1:11" x14ac:dyDescent="0.3">
      <c r="A1561" t="s">
        <v>84</v>
      </c>
      <c r="B1561">
        <v>1001</v>
      </c>
      <c r="C1561" t="s">
        <v>80</v>
      </c>
      <c r="D1561">
        <v>2.76129E-3</v>
      </c>
      <c r="E1561" t="s">
        <v>74</v>
      </c>
      <c r="F1561">
        <v>2.7612899999999998</v>
      </c>
      <c r="G1561" t="s">
        <v>75</v>
      </c>
      <c r="H1561">
        <v>2761.2930000000001</v>
      </c>
      <c r="I1561" t="s">
        <v>76</v>
      </c>
      <c r="J1561" t="s">
        <v>77</v>
      </c>
    </row>
    <row r="1562" spans="1:11" x14ac:dyDescent="0.3">
      <c r="A1562" t="s">
        <v>84</v>
      </c>
      <c r="B1562">
        <v>1001</v>
      </c>
      <c r="C1562" t="s">
        <v>81</v>
      </c>
      <c r="D1562">
        <v>3.1284699999999999E-3</v>
      </c>
      <c r="E1562" t="s">
        <v>74</v>
      </c>
      <c r="F1562">
        <v>3.1284700000000001</v>
      </c>
      <c r="G1562" t="s">
        <v>75</v>
      </c>
      <c r="H1562">
        <v>3128.4749999999999</v>
      </c>
      <c r="I1562" t="s">
        <v>76</v>
      </c>
      <c r="J1562" t="s">
        <v>82</v>
      </c>
      <c r="K1562">
        <v>319.64460350000002</v>
      </c>
    </row>
    <row r="1563" spans="1:11" x14ac:dyDescent="0.3">
      <c r="A1563" t="s">
        <v>85</v>
      </c>
      <c r="B1563">
        <v>1001</v>
      </c>
      <c r="C1563" t="s">
        <v>86</v>
      </c>
      <c r="D1563">
        <v>3.1286999999999999E-3</v>
      </c>
      <c r="E1563" t="s">
        <v>74</v>
      </c>
      <c r="F1563">
        <v>3.1286999999999998</v>
      </c>
      <c r="G1563" t="s">
        <v>75</v>
      </c>
      <c r="H1563">
        <v>3128.6979999999999</v>
      </c>
      <c r="I1563" t="s">
        <v>76</v>
      </c>
      <c r="J1563" t="s">
        <v>82</v>
      </c>
      <c r="K1563">
        <v>319.62180269999999</v>
      </c>
    </row>
    <row r="1564" spans="1:11" x14ac:dyDescent="0.3">
      <c r="A1564" t="s">
        <v>115</v>
      </c>
    </row>
    <row r="1565" spans="1:11" x14ac:dyDescent="0.3">
      <c r="A1565" t="s">
        <v>127</v>
      </c>
    </row>
    <row r="1566" spans="1:11" x14ac:dyDescent="0.3">
      <c r="A1566" t="s">
        <v>87</v>
      </c>
    </row>
    <row r="1567" spans="1:11" x14ac:dyDescent="0.3">
      <c r="A1567" t="s">
        <v>130</v>
      </c>
    </row>
    <row r="1568" spans="1:11" x14ac:dyDescent="0.3">
      <c r="A1568" t="s">
        <v>72</v>
      </c>
      <c r="B1568">
        <v>1</v>
      </c>
      <c r="C1568" t="s">
        <v>81</v>
      </c>
      <c r="D1568">
        <v>0.37572478999999998</v>
      </c>
      <c r="E1568" t="s">
        <v>74</v>
      </c>
      <c r="F1568">
        <v>375.72478999999998</v>
      </c>
      <c r="G1568" t="s">
        <v>75</v>
      </c>
      <c r="H1568">
        <v>375724.79200000002</v>
      </c>
      <c r="I1568" t="s">
        <v>76</v>
      </c>
      <c r="J1568" t="s">
        <v>82</v>
      </c>
      <c r="K1568">
        <v>2.6615224999999998</v>
      </c>
    </row>
    <row r="1569" spans="1:11" x14ac:dyDescent="0.3">
      <c r="A1569" t="s">
        <v>83</v>
      </c>
      <c r="B1569">
        <v>1000</v>
      </c>
      <c r="C1569" t="s">
        <v>81</v>
      </c>
      <c r="D1569">
        <v>2.75588E-3</v>
      </c>
      <c r="E1569" t="s">
        <v>74</v>
      </c>
      <c r="F1569">
        <v>2.7558799999999999</v>
      </c>
      <c r="G1569" t="s">
        <v>75</v>
      </c>
      <c r="H1569">
        <v>2755.8780000000002</v>
      </c>
      <c r="I1569" t="s">
        <v>76</v>
      </c>
      <c r="J1569" t="s">
        <v>82</v>
      </c>
      <c r="K1569">
        <v>362.86080040000002</v>
      </c>
    </row>
    <row r="1570" spans="1:11" x14ac:dyDescent="0.3">
      <c r="A1570" t="s">
        <v>85</v>
      </c>
      <c r="B1570">
        <v>1001</v>
      </c>
      <c r="C1570" t="s">
        <v>86</v>
      </c>
      <c r="D1570">
        <v>3.1286999999999999E-3</v>
      </c>
      <c r="E1570" t="s">
        <v>74</v>
      </c>
      <c r="F1570">
        <v>3.1286999999999998</v>
      </c>
      <c r="G1570" t="s">
        <v>75</v>
      </c>
      <c r="H1570">
        <v>3128.6979999999999</v>
      </c>
      <c r="I1570" t="s">
        <v>76</v>
      </c>
      <c r="J1570" t="s">
        <v>82</v>
      </c>
      <c r="K1570">
        <v>319.62180269999999</v>
      </c>
    </row>
    <row r="1572" spans="1:11" x14ac:dyDescent="0.3">
      <c r="A1572" t="s">
        <v>66</v>
      </c>
    </row>
    <row r="1574" spans="1:11" x14ac:dyDescent="0.3">
      <c r="A1574" t="s">
        <v>226</v>
      </c>
    </row>
    <row r="1575" spans="1:11" x14ac:dyDescent="0.3">
      <c r="A1575" t="s">
        <v>68</v>
      </c>
    </row>
    <row r="1576" spans="1:11" x14ac:dyDescent="0.3">
      <c r="A1576" t="s">
        <v>69</v>
      </c>
    </row>
    <row r="1577" spans="1:11" x14ac:dyDescent="0.3">
      <c r="A1577" t="s">
        <v>70</v>
      </c>
    </row>
    <row r="1578" spans="1:11" x14ac:dyDescent="0.3">
      <c r="A1578" t="s">
        <v>115</v>
      </c>
    </row>
    <row r="1579" spans="1:11" x14ac:dyDescent="0.3">
      <c r="A1579" t="s">
        <v>116</v>
      </c>
    </row>
    <row r="1580" spans="1:11" x14ac:dyDescent="0.3">
      <c r="A1580" t="s">
        <v>117</v>
      </c>
    </row>
    <row r="1581" spans="1:11" x14ac:dyDescent="0.3">
      <c r="A1581" t="s">
        <v>118</v>
      </c>
    </row>
    <row r="1582" spans="1:11" x14ac:dyDescent="0.3">
      <c r="A1582" t="s">
        <v>119</v>
      </c>
    </row>
    <row r="1583" spans="1:11" x14ac:dyDescent="0.3">
      <c r="A1583" t="s">
        <v>120</v>
      </c>
    </row>
    <row r="1584" spans="1:11" x14ac:dyDescent="0.3">
      <c r="A1584" t="s">
        <v>121</v>
      </c>
    </row>
    <row r="1585" spans="1:11" x14ac:dyDescent="0.3">
      <c r="A1585" t="s">
        <v>122</v>
      </c>
    </row>
    <row r="1586" spans="1:11" x14ac:dyDescent="0.3">
      <c r="A1586" t="s">
        <v>123</v>
      </c>
    </row>
    <row r="1587" spans="1:11" x14ac:dyDescent="0.3">
      <c r="A1587" t="s">
        <v>124</v>
      </c>
    </row>
    <row r="1588" spans="1:11" x14ac:dyDescent="0.3">
      <c r="A1588" t="s">
        <v>125</v>
      </c>
    </row>
    <row r="1589" spans="1:11" x14ac:dyDescent="0.3">
      <c r="A1589" t="s">
        <v>126</v>
      </c>
    </row>
    <row r="1590" spans="1:11" x14ac:dyDescent="0.3">
      <c r="A1590" t="s">
        <v>127</v>
      </c>
    </row>
    <row r="1591" spans="1:11" x14ac:dyDescent="0.3">
      <c r="A1591" t="s">
        <v>132</v>
      </c>
    </row>
    <row r="1592" spans="1:11" x14ac:dyDescent="0.3">
      <c r="A1592" t="s">
        <v>133</v>
      </c>
    </row>
    <row r="1593" spans="1:11" x14ac:dyDescent="0.3">
      <c r="A1593" t="s">
        <v>72</v>
      </c>
      <c r="B1593">
        <v>1</v>
      </c>
      <c r="C1593" t="s">
        <v>73</v>
      </c>
      <c r="D1593">
        <v>4.4000000000000002E-6</v>
      </c>
      <c r="E1593" t="s">
        <v>74</v>
      </c>
      <c r="F1593">
        <v>4.4000000000000003E-3</v>
      </c>
      <c r="G1593" t="s">
        <v>75</v>
      </c>
      <c r="H1593">
        <v>4.4000000000000004</v>
      </c>
      <c r="I1593" t="s">
        <v>76</v>
      </c>
      <c r="J1593" t="s">
        <v>77</v>
      </c>
    </row>
    <row r="1594" spans="1:11" x14ac:dyDescent="0.3">
      <c r="A1594" t="s">
        <v>72</v>
      </c>
      <c r="B1594">
        <v>1</v>
      </c>
      <c r="C1594" t="s">
        <v>78</v>
      </c>
      <c r="D1594">
        <v>0.14378481000000001</v>
      </c>
      <c r="E1594" t="s">
        <v>74</v>
      </c>
      <c r="F1594">
        <v>143.78480999999999</v>
      </c>
      <c r="G1594" t="s">
        <v>75</v>
      </c>
      <c r="H1594">
        <v>143784.80600000001</v>
      </c>
      <c r="I1594" t="s">
        <v>76</v>
      </c>
      <c r="J1594" t="s">
        <v>77</v>
      </c>
    </row>
    <row r="1595" spans="1:11" x14ac:dyDescent="0.3">
      <c r="A1595" t="s">
        <v>72</v>
      </c>
      <c r="B1595">
        <v>1</v>
      </c>
      <c r="C1595" t="s">
        <v>79</v>
      </c>
      <c r="D1595">
        <v>0.27935549999999998</v>
      </c>
      <c r="E1595" t="s">
        <v>74</v>
      </c>
      <c r="F1595">
        <v>279.35550000000001</v>
      </c>
      <c r="G1595" t="s">
        <v>75</v>
      </c>
      <c r="H1595">
        <v>279355.49599999998</v>
      </c>
      <c r="I1595" t="s">
        <v>76</v>
      </c>
      <c r="J1595" t="s">
        <v>77</v>
      </c>
    </row>
    <row r="1596" spans="1:11" x14ac:dyDescent="0.3">
      <c r="A1596" t="s">
        <v>72</v>
      </c>
      <c r="B1596">
        <v>1</v>
      </c>
      <c r="C1596" t="s">
        <v>94</v>
      </c>
      <c r="D1596">
        <v>9.1441999999999999E-3</v>
      </c>
      <c r="E1596" t="s">
        <v>74</v>
      </c>
      <c r="F1596">
        <v>9.1441999999999997</v>
      </c>
      <c r="G1596" t="s">
        <v>75</v>
      </c>
      <c r="H1596">
        <v>9144.2000000000007</v>
      </c>
      <c r="I1596" t="s">
        <v>76</v>
      </c>
      <c r="J1596" t="s">
        <v>77</v>
      </c>
    </row>
    <row r="1597" spans="1:11" x14ac:dyDescent="0.3">
      <c r="A1597" t="s">
        <v>72</v>
      </c>
      <c r="B1597">
        <v>1</v>
      </c>
      <c r="C1597" t="s">
        <v>80</v>
      </c>
      <c r="D1597">
        <v>9.1450000000000004E-3</v>
      </c>
      <c r="E1597" t="s">
        <v>74</v>
      </c>
      <c r="F1597">
        <v>9.1449999999999996</v>
      </c>
      <c r="G1597" t="s">
        <v>75</v>
      </c>
      <c r="H1597">
        <v>9145</v>
      </c>
      <c r="I1597" t="s">
        <v>76</v>
      </c>
      <c r="J1597" t="s">
        <v>77</v>
      </c>
    </row>
    <row r="1598" spans="1:11" x14ac:dyDescent="0.3">
      <c r="A1598" t="s">
        <v>72</v>
      </c>
      <c r="B1598">
        <v>1</v>
      </c>
      <c r="C1598" t="s">
        <v>81</v>
      </c>
      <c r="D1598">
        <v>0.28850281</v>
      </c>
      <c r="E1598" t="s">
        <v>74</v>
      </c>
      <c r="F1598">
        <v>288.50281000000001</v>
      </c>
      <c r="G1598" t="s">
        <v>75</v>
      </c>
      <c r="H1598">
        <v>288502.81199999998</v>
      </c>
      <c r="I1598" t="s">
        <v>76</v>
      </c>
      <c r="J1598" t="s">
        <v>82</v>
      </c>
      <c r="K1598">
        <v>3.4661707000000002</v>
      </c>
    </row>
    <row r="1599" spans="1:11" x14ac:dyDescent="0.3">
      <c r="A1599" t="s">
        <v>83</v>
      </c>
      <c r="B1599">
        <v>1000</v>
      </c>
      <c r="C1599" t="s">
        <v>79</v>
      </c>
      <c r="D1599">
        <v>2.8999999999999998E-7</v>
      </c>
      <c r="E1599" t="s">
        <v>74</v>
      </c>
      <c r="F1599">
        <v>2.9E-4</v>
      </c>
      <c r="G1599" t="s">
        <v>75</v>
      </c>
      <c r="H1599">
        <v>0.28899999999999998</v>
      </c>
      <c r="I1599" t="s">
        <v>76</v>
      </c>
      <c r="J1599" t="s">
        <v>77</v>
      </c>
    </row>
    <row r="1600" spans="1:11" x14ac:dyDescent="0.3">
      <c r="A1600" t="s">
        <v>83</v>
      </c>
      <c r="B1600">
        <v>1000</v>
      </c>
      <c r="C1600" t="s">
        <v>94</v>
      </c>
      <c r="D1600">
        <v>2.58421E-3</v>
      </c>
      <c r="E1600" t="s">
        <v>74</v>
      </c>
      <c r="F1600">
        <v>2.5842100000000001</v>
      </c>
      <c r="G1600" t="s">
        <v>75</v>
      </c>
      <c r="H1600">
        <v>2584.2080000000001</v>
      </c>
      <c r="I1600" t="s">
        <v>76</v>
      </c>
      <c r="J1600" t="s">
        <v>77</v>
      </c>
    </row>
    <row r="1601" spans="1:11" x14ac:dyDescent="0.3">
      <c r="A1601" t="s">
        <v>83</v>
      </c>
      <c r="B1601">
        <v>1000</v>
      </c>
      <c r="C1601" t="s">
        <v>80</v>
      </c>
      <c r="D1601">
        <v>2.7681400000000001E-3</v>
      </c>
      <c r="E1601" t="s">
        <v>74</v>
      </c>
      <c r="F1601">
        <v>2.7681399999999998</v>
      </c>
      <c r="G1601" t="s">
        <v>75</v>
      </c>
      <c r="H1601">
        <v>2768.1410000000001</v>
      </c>
      <c r="I1601" t="s">
        <v>76</v>
      </c>
      <c r="J1601" t="s">
        <v>77</v>
      </c>
    </row>
    <row r="1602" spans="1:11" x14ac:dyDescent="0.3">
      <c r="A1602" t="s">
        <v>83</v>
      </c>
      <c r="B1602">
        <v>1000</v>
      </c>
      <c r="C1602" t="s">
        <v>81</v>
      </c>
      <c r="D1602">
        <v>2.7693100000000001E-3</v>
      </c>
      <c r="E1602" t="s">
        <v>74</v>
      </c>
      <c r="F1602">
        <v>2.7693099999999999</v>
      </c>
      <c r="G1602" t="s">
        <v>75</v>
      </c>
      <c r="H1602">
        <v>2769.3049999999998</v>
      </c>
      <c r="I1602" t="s">
        <v>76</v>
      </c>
      <c r="J1602" t="s">
        <v>82</v>
      </c>
      <c r="K1602">
        <v>361.1013706</v>
      </c>
    </row>
    <row r="1603" spans="1:11" x14ac:dyDescent="0.3">
      <c r="A1603" t="s">
        <v>84</v>
      </c>
      <c r="B1603">
        <v>1001</v>
      </c>
      <c r="C1603" t="s">
        <v>79</v>
      </c>
      <c r="D1603">
        <v>2.7935999999999998E-4</v>
      </c>
      <c r="E1603" t="s">
        <v>74</v>
      </c>
      <c r="F1603">
        <v>0.27936</v>
      </c>
      <c r="G1603" t="s">
        <v>75</v>
      </c>
      <c r="H1603">
        <v>279.36399999999998</v>
      </c>
      <c r="I1603" t="s">
        <v>76</v>
      </c>
      <c r="J1603" t="s">
        <v>77</v>
      </c>
    </row>
    <row r="1604" spans="1:11" x14ac:dyDescent="0.3">
      <c r="A1604" t="s">
        <v>84</v>
      </c>
      <c r="B1604">
        <v>1001</v>
      </c>
      <c r="C1604" t="s">
        <v>94</v>
      </c>
      <c r="D1604">
        <v>2.5907600000000001E-3</v>
      </c>
      <c r="E1604" t="s">
        <v>74</v>
      </c>
      <c r="F1604">
        <v>2.59076</v>
      </c>
      <c r="G1604" t="s">
        <v>75</v>
      </c>
      <c r="H1604">
        <v>2590.761</v>
      </c>
      <c r="I1604" t="s">
        <v>76</v>
      </c>
      <c r="J1604" t="s">
        <v>77</v>
      </c>
    </row>
    <row r="1605" spans="1:11" x14ac:dyDescent="0.3">
      <c r="A1605" t="s">
        <v>84</v>
      </c>
      <c r="B1605">
        <v>1001</v>
      </c>
      <c r="C1605" t="s">
        <v>80</v>
      </c>
      <c r="D1605">
        <v>2.77451E-3</v>
      </c>
      <c r="E1605" t="s">
        <v>74</v>
      </c>
      <c r="F1605">
        <v>2.7745099999999998</v>
      </c>
      <c r="G1605" t="s">
        <v>75</v>
      </c>
      <c r="H1605">
        <v>2774.511</v>
      </c>
      <c r="I1605" t="s">
        <v>76</v>
      </c>
      <c r="J1605" t="s">
        <v>77</v>
      </c>
    </row>
    <row r="1606" spans="1:11" x14ac:dyDescent="0.3">
      <c r="A1606" t="s">
        <v>84</v>
      </c>
      <c r="B1606">
        <v>1001</v>
      </c>
      <c r="C1606" t="s">
        <v>81</v>
      </c>
      <c r="D1606">
        <v>3.0547500000000002E-3</v>
      </c>
      <c r="E1606" t="s">
        <v>74</v>
      </c>
      <c r="F1606">
        <v>3.0547499999999999</v>
      </c>
      <c r="G1606" t="s">
        <v>75</v>
      </c>
      <c r="H1606">
        <v>3054.7539999999999</v>
      </c>
      <c r="I1606" t="s">
        <v>76</v>
      </c>
      <c r="J1606" t="s">
        <v>82</v>
      </c>
      <c r="K1606">
        <v>327.35858930000001</v>
      </c>
    </row>
    <row r="1607" spans="1:11" x14ac:dyDescent="0.3">
      <c r="A1607" t="s">
        <v>85</v>
      </c>
      <c r="B1607">
        <v>1001</v>
      </c>
      <c r="C1607" t="s">
        <v>86</v>
      </c>
      <c r="D1607">
        <v>3.0549800000000001E-3</v>
      </c>
      <c r="E1607" t="s">
        <v>74</v>
      </c>
      <c r="F1607">
        <v>3.05498</v>
      </c>
      <c r="G1607" t="s">
        <v>75</v>
      </c>
      <c r="H1607">
        <v>3054.9839999999999</v>
      </c>
      <c r="I1607" t="s">
        <v>76</v>
      </c>
      <c r="J1607" t="s">
        <v>82</v>
      </c>
      <c r="K1607">
        <v>327.33393469999999</v>
      </c>
    </row>
    <row r="1608" spans="1:11" x14ac:dyDescent="0.3">
      <c r="A1608" t="s">
        <v>134</v>
      </c>
    </row>
    <row r="1609" spans="1:11" x14ac:dyDescent="0.3">
      <c r="A1609" t="s">
        <v>135</v>
      </c>
    </row>
    <row r="1610" spans="1:11" x14ac:dyDescent="0.3">
      <c r="A1610" t="s">
        <v>72</v>
      </c>
      <c r="B1610">
        <v>1</v>
      </c>
      <c r="C1610" t="s">
        <v>73</v>
      </c>
      <c r="D1610">
        <v>4.4000000000000002E-6</v>
      </c>
      <c r="E1610" t="s">
        <v>74</v>
      </c>
      <c r="F1610">
        <v>4.4000000000000003E-3</v>
      </c>
      <c r="G1610" t="s">
        <v>75</v>
      </c>
      <c r="H1610">
        <v>4.4000000000000004</v>
      </c>
      <c r="I1610" t="s">
        <v>76</v>
      </c>
      <c r="J1610" t="s">
        <v>77</v>
      </c>
    </row>
    <row r="1611" spans="1:11" x14ac:dyDescent="0.3">
      <c r="A1611" t="s">
        <v>72</v>
      </c>
      <c r="B1611">
        <v>1</v>
      </c>
      <c r="C1611" t="s">
        <v>78</v>
      </c>
      <c r="D1611">
        <v>5.5099999999999998E-5</v>
      </c>
      <c r="E1611" t="s">
        <v>74</v>
      </c>
      <c r="F1611">
        <v>5.5100000000000003E-2</v>
      </c>
      <c r="G1611" t="s">
        <v>75</v>
      </c>
      <c r="H1611">
        <v>55.1</v>
      </c>
      <c r="I1611" t="s">
        <v>76</v>
      </c>
      <c r="J1611" t="s">
        <v>77</v>
      </c>
    </row>
    <row r="1612" spans="1:11" x14ac:dyDescent="0.3">
      <c r="A1612" t="s">
        <v>72</v>
      </c>
      <c r="B1612">
        <v>1</v>
      </c>
      <c r="C1612" t="s">
        <v>79</v>
      </c>
      <c r="D1612">
        <v>4.2532999999999998E-3</v>
      </c>
      <c r="E1612" t="s">
        <v>74</v>
      </c>
      <c r="F1612">
        <v>4.2533000000000003</v>
      </c>
      <c r="G1612" t="s">
        <v>75</v>
      </c>
      <c r="H1612">
        <v>4253.3</v>
      </c>
      <c r="I1612" t="s">
        <v>76</v>
      </c>
      <c r="J1612" t="s">
        <v>77</v>
      </c>
    </row>
    <row r="1613" spans="1:11" x14ac:dyDescent="0.3">
      <c r="A1613" t="s">
        <v>72</v>
      </c>
      <c r="B1613">
        <v>1</v>
      </c>
      <c r="C1613" t="s">
        <v>94</v>
      </c>
      <c r="D1613">
        <v>2.6091E-3</v>
      </c>
      <c r="E1613" t="s">
        <v>74</v>
      </c>
      <c r="F1613">
        <v>2.6091000000000002</v>
      </c>
      <c r="G1613" t="s">
        <v>75</v>
      </c>
      <c r="H1613">
        <v>2609.1</v>
      </c>
      <c r="I1613" t="s">
        <v>76</v>
      </c>
      <c r="J1613" t="s">
        <v>77</v>
      </c>
    </row>
    <row r="1614" spans="1:11" x14ac:dyDescent="0.3">
      <c r="A1614" t="s">
        <v>72</v>
      </c>
      <c r="B1614">
        <v>1</v>
      </c>
      <c r="C1614" t="s">
        <v>80</v>
      </c>
      <c r="D1614">
        <v>2.8226000000000002E-3</v>
      </c>
      <c r="E1614" t="s">
        <v>74</v>
      </c>
      <c r="F1614">
        <v>2.8226</v>
      </c>
      <c r="G1614" t="s">
        <v>75</v>
      </c>
      <c r="H1614">
        <v>2822.6</v>
      </c>
      <c r="I1614" t="s">
        <v>76</v>
      </c>
      <c r="J1614" t="s">
        <v>77</v>
      </c>
    </row>
    <row r="1615" spans="1:11" x14ac:dyDescent="0.3">
      <c r="A1615" t="s">
        <v>72</v>
      </c>
      <c r="B1615">
        <v>1</v>
      </c>
      <c r="C1615" t="s">
        <v>81</v>
      </c>
      <c r="D1615">
        <v>7.0768999999999997E-3</v>
      </c>
      <c r="E1615" t="s">
        <v>74</v>
      </c>
      <c r="F1615">
        <v>7.0769000000000002</v>
      </c>
      <c r="G1615" t="s">
        <v>75</v>
      </c>
      <c r="H1615">
        <v>7076.9</v>
      </c>
      <c r="I1615" t="s">
        <v>76</v>
      </c>
      <c r="J1615" t="s">
        <v>82</v>
      </c>
      <c r="K1615">
        <v>141.30480890000001</v>
      </c>
    </row>
    <row r="1616" spans="1:11" x14ac:dyDescent="0.3">
      <c r="A1616" t="s">
        <v>83</v>
      </c>
      <c r="B1616">
        <v>1000</v>
      </c>
      <c r="C1616" t="s">
        <v>79</v>
      </c>
      <c r="D1616">
        <v>2.7000000000000001E-7</v>
      </c>
      <c r="E1616" t="s">
        <v>74</v>
      </c>
      <c r="F1616">
        <v>2.7E-4</v>
      </c>
      <c r="G1616" t="s">
        <v>75</v>
      </c>
      <c r="H1616">
        <v>0.26900000000000002</v>
      </c>
      <c r="I1616" t="s">
        <v>76</v>
      </c>
      <c r="J1616" t="s">
        <v>77</v>
      </c>
    </row>
    <row r="1617" spans="1:11" x14ac:dyDescent="0.3">
      <c r="A1617" t="s">
        <v>83</v>
      </c>
      <c r="B1617">
        <v>1000</v>
      </c>
      <c r="C1617" t="s">
        <v>94</v>
      </c>
      <c r="D1617">
        <v>2.58552E-3</v>
      </c>
      <c r="E1617" t="s">
        <v>74</v>
      </c>
      <c r="F1617">
        <v>2.5855199999999998</v>
      </c>
      <c r="G1617" t="s">
        <v>75</v>
      </c>
      <c r="H1617">
        <v>2585.52</v>
      </c>
      <c r="I1617" t="s">
        <v>76</v>
      </c>
      <c r="J1617" t="s">
        <v>77</v>
      </c>
    </row>
    <row r="1618" spans="1:11" x14ac:dyDescent="0.3">
      <c r="A1618" t="s">
        <v>83</v>
      </c>
      <c r="B1618">
        <v>1000</v>
      </c>
      <c r="C1618" t="s">
        <v>80</v>
      </c>
      <c r="D1618">
        <v>2.75881E-3</v>
      </c>
      <c r="E1618" t="s">
        <v>74</v>
      </c>
      <c r="F1618">
        <v>2.75881</v>
      </c>
      <c r="G1618" t="s">
        <v>75</v>
      </c>
      <c r="H1618">
        <v>2758.8069999999998</v>
      </c>
      <c r="I1618" t="s">
        <v>76</v>
      </c>
      <c r="J1618" t="s">
        <v>77</v>
      </c>
    </row>
    <row r="1619" spans="1:11" x14ac:dyDescent="0.3">
      <c r="A1619" t="s">
        <v>83</v>
      </c>
      <c r="B1619">
        <v>1000</v>
      </c>
      <c r="C1619" t="s">
        <v>81</v>
      </c>
      <c r="D1619">
        <v>2.7600200000000002E-3</v>
      </c>
      <c r="E1619" t="s">
        <v>74</v>
      </c>
      <c r="F1619">
        <v>2.7600199999999999</v>
      </c>
      <c r="G1619" t="s">
        <v>75</v>
      </c>
      <c r="H1619">
        <v>2760.0169999999998</v>
      </c>
      <c r="I1619" t="s">
        <v>76</v>
      </c>
      <c r="J1619" t="s">
        <v>82</v>
      </c>
      <c r="K1619">
        <v>362.31661969999999</v>
      </c>
    </row>
    <row r="1620" spans="1:11" x14ac:dyDescent="0.3">
      <c r="A1620" t="s">
        <v>84</v>
      </c>
      <c r="B1620">
        <v>1001</v>
      </c>
      <c r="C1620" t="s">
        <v>79</v>
      </c>
      <c r="D1620">
        <v>4.5199999999999999E-6</v>
      </c>
      <c r="E1620" t="s">
        <v>74</v>
      </c>
      <c r="F1620">
        <v>4.5199999999999997E-3</v>
      </c>
      <c r="G1620" t="s">
        <v>75</v>
      </c>
      <c r="H1620">
        <v>4.5179999999999998</v>
      </c>
      <c r="I1620" t="s">
        <v>76</v>
      </c>
      <c r="J1620" t="s">
        <v>77</v>
      </c>
    </row>
    <row r="1621" spans="1:11" x14ac:dyDescent="0.3">
      <c r="A1621" t="s">
        <v>84</v>
      </c>
      <c r="B1621">
        <v>1001</v>
      </c>
      <c r="C1621" t="s">
        <v>94</v>
      </c>
      <c r="D1621">
        <v>2.5855399999999999E-3</v>
      </c>
      <c r="E1621" t="s">
        <v>74</v>
      </c>
      <c r="F1621">
        <v>2.5855399999999999</v>
      </c>
      <c r="G1621" t="s">
        <v>75</v>
      </c>
      <c r="H1621">
        <v>2585.5430000000001</v>
      </c>
      <c r="I1621" t="s">
        <v>76</v>
      </c>
      <c r="J1621" t="s">
        <v>77</v>
      </c>
    </row>
    <row r="1622" spans="1:11" x14ac:dyDescent="0.3">
      <c r="A1622" t="s">
        <v>84</v>
      </c>
      <c r="B1622">
        <v>1001</v>
      </c>
      <c r="C1622" t="s">
        <v>80</v>
      </c>
      <c r="D1622">
        <v>2.7588700000000001E-3</v>
      </c>
      <c r="E1622" t="s">
        <v>74</v>
      </c>
      <c r="F1622">
        <v>2.7588699999999999</v>
      </c>
      <c r="G1622" t="s">
        <v>75</v>
      </c>
      <c r="H1622">
        <v>2758.8710000000001</v>
      </c>
      <c r="I1622" t="s">
        <v>76</v>
      </c>
      <c r="J1622" t="s">
        <v>77</v>
      </c>
    </row>
    <row r="1623" spans="1:11" x14ac:dyDescent="0.3">
      <c r="A1623" t="s">
        <v>84</v>
      </c>
      <c r="B1623">
        <v>1001</v>
      </c>
      <c r="C1623" t="s">
        <v>81</v>
      </c>
      <c r="D1623">
        <v>2.7643300000000002E-3</v>
      </c>
      <c r="E1623" t="s">
        <v>74</v>
      </c>
      <c r="F1623">
        <v>2.7643300000000002</v>
      </c>
      <c r="G1623" t="s">
        <v>75</v>
      </c>
      <c r="H1623">
        <v>2764.3290000000002</v>
      </c>
      <c r="I1623" t="s">
        <v>76</v>
      </c>
      <c r="J1623" t="s">
        <v>82</v>
      </c>
      <c r="K1623">
        <v>361.75139819999998</v>
      </c>
    </row>
    <row r="1624" spans="1:11" x14ac:dyDescent="0.3">
      <c r="A1624" t="s">
        <v>85</v>
      </c>
      <c r="B1624">
        <v>1001</v>
      </c>
      <c r="C1624" t="s">
        <v>86</v>
      </c>
      <c r="D1624">
        <v>2.7645500000000002E-3</v>
      </c>
      <c r="E1624" t="s">
        <v>74</v>
      </c>
      <c r="F1624">
        <v>2.7645499999999998</v>
      </c>
      <c r="G1624" t="s">
        <v>75</v>
      </c>
      <c r="H1624">
        <v>2764.5459999999998</v>
      </c>
      <c r="I1624" t="s">
        <v>76</v>
      </c>
      <c r="J1624" t="s">
        <v>82</v>
      </c>
      <c r="K1624">
        <v>361.72306759999998</v>
      </c>
    </row>
    <row r="1625" spans="1:11" x14ac:dyDescent="0.3">
      <c r="A1625" t="s">
        <v>115</v>
      </c>
    </row>
    <row r="1626" spans="1:11" x14ac:dyDescent="0.3">
      <c r="A1626" t="s">
        <v>127</v>
      </c>
    </row>
    <row r="1627" spans="1:11" x14ac:dyDescent="0.3">
      <c r="A1627" t="s">
        <v>87</v>
      </c>
    </row>
    <row r="1628" spans="1:11" x14ac:dyDescent="0.3">
      <c r="A1628" t="s">
        <v>136</v>
      </c>
    </row>
    <row r="1629" spans="1:11" x14ac:dyDescent="0.3">
      <c r="A1629" t="s">
        <v>72</v>
      </c>
      <c r="B1629">
        <v>1</v>
      </c>
      <c r="C1629" t="s">
        <v>81</v>
      </c>
      <c r="D1629">
        <v>0.28850281</v>
      </c>
      <c r="E1629" t="s">
        <v>74</v>
      </c>
      <c r="F1629">
        <v>288.50281000000001</v>
      </c>
      <c r="G1629" t="s">
        <v>75</v>
      </c>
      <c r="H1629">
        <v>288502.81199999998</v>
      </c>
      <c r="I1629" t="s">
        <v>76</v>
      </c>
      <c r="J1629" t="s">
        <v>82</v>
      </c>
      <c r="K1629">
        <v>3.4661707000000002</v>
      </c>
    </row>
    <row r="1630" spans="1:11" x14ac:dyDescent="0.3">
      <c r="A1630" t="s">
        <v>83</v>
      </c>
      <c r="B1630">
        <v>1000</v>
      </c>
      <c r="C1630" t="s">
        <v>81</v>
      </c>
      <c r="D1630">
        <v>2.7693100000000001E-3</v>
      </c>
      <c r="E1630" t="s">
        <v>74</v>
      </c>
      <c r="F1630">
        <v>2.7693099999999999</v>
      </c>
      <c r="G1630" t="s">
        <v>75</v>
      </c>
      <c r="H1630">
        <v>2769.3049999999998</v>
      </c>
      <c r="I1630" t="s">
        <v>76</v>
      </c>
      <c r="J1630" t="s">
        <v>82</v>
      </c>
      <c r="K1630">
        <v>361.1013706</v>
      </c>
    </row>
    <row r="1631" spans="1:11" x14ac:dyDescent="0.3">
      <c r="A1631" t="s">
        <v>85</v>
      </c>
      <c r="B1631">
        <v>1001</v>
      </c>
      <c r="C1631" t="s">
        <v>86</v>
      </c>
      <c r="D1631">
        <v>3.0549800000000001E-3</v>
      </c>
      <c r="E1631" t="s">
        <v>74</v>
      </c>
      <c r="F1631">
        <v>3.05498</v>
      </c>
      <c r="G1631" t="s">
        <v>75</v>
      </c>
      <c r="H1631">
        <v>3054.9839999999999</v>
      </c>
      <c r="I1631" t="s">
        <v>76</v>
      </c>
      <c r="J1631" t="s">
        <v>82</v>
      </c>
      <c r="K1631">
        <v>327.33393469999999</v>
      </c>
    </row>
    <row r="1633" spans="1:11" x14ac:dyDescent="0.3">
      <c r="A1633" t="s">
        <v>137</v>
      </c>
    </row>
    <row r="1634" spans="1:11" x14ac:dyDescent="0.3">
      <c r="A1634" t="s">
        <v>72</v>
      </c>
      <c r="B1634">
        <v>1</v>
      </c>
      <c r="C1634" t="s">
        <v>81</v>
      </c>
      <c r="D1634">
        <v>7.0768999999999997E-3</v>
      </c>
      <c r="E1634" t="s">
        <v>74</v>
      </c>
      <c r="F1634">
        <v>7.0769000000000002</v>
      </c>
      <c r="G1634" t="s">
        <v>75</v>
      </c>
      <c r="H1634">
        <v>7076.9</v>
      </c>
      <c r="I1634" t="s">
        <v>76</v>
      </c>
      <c r="J1634" t="s">
        <v>82</v>
      </c>
      <c r="K1634">
        <v>141.30480890000001</v>
      </c>
    </row>
    <row r="1635" spans="1:11" x14ac:dyDescent="0.3">
      <c r="A1635" t="s">
        <v>83</v>
      </c>
      <c r="B1635">
        <v>1000</v>
      </c>
      <c r="C1635" t="s">
        <v>81</v>
      </c>
      <c r="D1635">
        <v>2.7600200000000002E-3</v>
      </c>
      <c r="E1635" t="s">
        <v>74</v>
      </c>
      <c r="F1635">
        <v>2.7600199999999999</v>
      </c>
      <c r="G1635" t="s">
        <v>75</v>
      </c>
      <c r="H1635">
        <v>2760.0169999999998</v>
      </c>
      <c r="I1635" t="s">
        <v>76</v>
      </c>
      <c r="J1635" t="s">
        <v>82</v>
      </c>
      <c r="K1635">
        <v>362.31661969999999</v>
      </c>
    </row>
    <row r="1636" spans="1:11" x14ac:dyDescent="0.3">
      <c r="A1636" t="s">
        <v>85</v>
      </c>
      <c r="B1636">
        <v>1001</v>
      </c>
      <c r="C1636" t="s">
        <v>86</v>
      </c>
      <c r="D1636">
        <v>2.7645500000000002E-3</v>
      </c>
      <c r="E1636" t="s">
        <v>74</v>
      </c>
      <c r="F1636">
        <v>2.7645499999999998</v>
      </c>
      <c r="G1636" t="s">
        <v>75</v>
      </c>
      <c r="H1636">
        <v>2764.5459999999998</v>
      </c>
      <c r="I1636" t="s">
        <v>76</v>
      </c>
      <c r="J1636" t="s">
        <v>82</v>
      </c>
      <c r="K1636">
        <v>361.72306759999998</v>
      </c>
    </row>
    <row r="1638" spans="1:11" x14ac:dyDescent="0.3">
      <c r="A1638" t="s">
        <v>66</v>
      </c>
    </row>
    <row r="1640" spans="1:11" x14ac:dyDescent="0.3">
      <c r="A1640" t="s">
        <v>227</v>
      </c>
    </row>
    <row r="1641" spans="1:11" x14ac:dyDescent="0.3">
      <c r="A1641" t="s">
        <v>68</v>
      </c>
    </row>
    <row r="1642" spans="1:11" x14ac:dyDescent="0.3">
      <c r="A1642" t="s">
        <v>69</v>
      </c>
    </row>
    <row r="1643" spans="1:11" x14ac:dyDescent="0.3">
      <c r="A1643" t="s">
        <v>70</v>
      </c>
    </row>
    <row r="1644" spans="1:11" x14ac:dyDescent="0.3">
      <c r="A1644" t="s">
        <v>115</v>
      </c>
    </row>
    <row r="1645" spans="1:11" x14ac:dyDescent="0.3">
      <c r="A1645" t="s">
        <v>116</v>
      </c>
    </row>
    <row r="1646" spans="1:11" x14ac:dyDescent="0.3">
      <c r="A1646" t="s">
        <v>117</v>
      </c>
    </row>
    <row r="1647" spans="1:11" x14ac:dyDescent="0.3">
      <c r="A1647" t="s">
        <v>118</v>
      </c>
    </row>
    <row r="1648" spans="1:11" x14ac:dyDescent="0.3">
      <c r="A1648" t="s">
        <v>119</v>
      </c>
    </row>
    <row r="1649" spans="1:11" x14ac:dyDescent="0.3">
      <c r="A1649" t="s">
        <v>120</v>
      </c>
    </row>
    <row r="1650" spans="1:11" x14ac:dyDescent="0.3">
      <c r="A1650" t="s">
        <v>121</v>
      </c>
    </row>
    <row r="1651" spans="1:11" x14ac:dyDescent="0.3">
      <c r="A1651" t="s">
        <v>122</v>
      </c>
    </row>
    <row r="1652" spans="1:11" x14ac:dyDescent="0.3">
      <c r="A1652" t="s">
        <v>123</v>
      </c>
    </row>
    <row r="1653" spans="1:11" x14ac:dyDescent="0.3">
      <c r="A1653" t="s">
        <v>124</v>
      </c>
    </row>
    <row r="1654" spans="1:11" x14ac:dyDescent="0.3">
      <c r="A1654" t="s">
        <v>125</v>
      </c>
    </row>
    <row r="1655" spans="1:11" x14ac:dyDescent="0.3">
      <c r="A1655" t="s">
        <v>126</v>
      </c>
    </row>
    <row r="1656" spans="1:11" x14ac:dyDescent="0.3">
      <c r="A1656" t="s">
        <v>127</v>
      </c>
    </row>
    <row r="1657" spans="1:11" x14ac:dyDescent="0.3">
      <c r="A1657" t="s">
        <v>139</v>
      </c>
    </row>
    <row r="1658" spans="1:11" x14ac:dyDescent="0.3">
      <c r="A1658" t="s">
        <v>140</v>
      </c>
    </row>
    <row r="1659" spans="1:11" x14ac:dyDescent="0.3">
      <c r="A1659" t="s">
        <v>72</v>
      </c>
      <c r="B1659">
        <v>1</v>
      </c>
      <c r="C1659" t="s">
        <v>73</v>
      </c>
      <c r="D1659">
        <v>4.4000000000000002E-6</v>
      </c>
      <c r="E1659" t="s">
        <v>74</v>
      </c>
      <c r="F1659">
        <v>4.4000000000000003E-3</v>
      </c>
      <c r="G1659" t="s">
        <v>75</v>
      </c>
      <c r="H1659">
        <v>4.4000000000000004</v>
      </c>
      <c r="I1659" t="s">
        <v>76</v>
      </c>
      <c r="J1659" t="s">
        <v>77</v>
      </c>
    </row>
    <row r="1660" spans="1:11" x14ac:dyDescent="0.3">
      <c r="A1660" t="s">
        <v>72</v>
      </c>
      <c r="B1660">
        <v>1</v>
      </c>
      <c r="C1660" t="s">
        <v>78</v>
      </c>
      <c r="D1660">
        <v>0.13775671</v>
      </c>
      <c r="E1660" t="s">
        <v>74</v>
      </c>
      <c r="F1660">
        <v>137.75671</v>
      </c>
      <c r="G1660" t="s">
        <v>75</v>
      </c>
      <c r="H1660">
        <v>137756.70499999999</v>
      </c>
      <c r="I1660" t="s">
        <v>76</v>
      </c>
      <c r="J1660" t="s">
        <v>77</v>
      </c>
    </row>
    <row r="1661" spans="1:11" x14ac:dyDescent="0.3">
      <c r="A1661" t="s">
        <v>72</v>
      </c>
      <c r="B1661">
        <v>1</v>
      </c>
      <c r="C1661" t="s">
        <v>79</v>
      </c>
      <c r="D1661">
        <v>0.35497791000000001</v>
      </c>
      <c r="E1661" t="s">
        <v>74</v>
      </c>
      <c r="F1661">
        <v>354.97791000000001</v>
      </c>
      <c r="G1661" t="s">
        <v>75</v>
      </c>
      <c r="H1661">
        <v>354977.90600000002</v>
      </c>
      <c r="I1661" t="s">
        <v>76</v>
      </c>
      <c r="J1661" t="s">
        <v>77</v>
      </c>
    </row>
    <row r="1662" spans="1:11" x14ac:dyDescent="0.3">
      <c r="A1662" t="s">
        <v>72</v>
      </c>
      <c r="B1662">
        <v>1</v>
      </c>
      <c r="C1662" t="s">
        <v>94</v>
      </c>
      <c r="D1662">
        <v>9.5697000000000004E-3</v>
      </c>
      <c r="E1662" t="s">
        <v>74</v>
      </c>
      <c r="F1662">
        <v>9.5696999999999992</v>
      </c>
      <c r="G1662" t="s">
        <v>75</v>
      </c>
      <c r="H1662">
        <v>9569.7000000000007</v>
      </c>
      <c r="I1662" t="s">
        <v>76</v>
      </c>
      <c r="J1662" t="s">
        <v>77</v>
      </c>
    </row>
    <row r="1663" spans="1:11" x14ac:dyDescent="0.3">
      <c r="A1663" t="s">
        <v>72</v>
      </c>
      <c r="B1663">
        <v>1</v>
      </c>
      <c r="C1663" t="s">
        <v>80</v>
      </c>
      <c r="D1663">
        <v>9.5703000000000003E-3</v>
      </c>
      <c r="E1663" t="s">
        <v>74</v>
      </c>
      <c r="F1663">
        <v>9.5702999999999996</v>
      </c>
      <c r="G1663" t="s">
        <v>75</v>
      </c>
      <c r="H1663">
        <v>9570.2999999999993</v>
      </c>
      <c r="I1663" t="s">
        <v>76</v>
      </c>
      <c r="J1663" t="s">
        <v>77</v>
      </c>
    </row>
    <row r="1664" spans="1:11" x14ac:dyDescent="0.3">
      <c r="A1664" t="s">
        <v>72</v>
      </c>
      <c r="B1664">
        <v>1</v>
      </c>
      <c r="C1664" t="s">
        <v>81</v>
      </c>
      <c r="D1664">
        <v>0.36455089000000002</v>
      </c>
      <c r="E1664" t="s">
        <v>74</v>
      </c>
      <c r="F1664">
        <v>364.55088999999998</v>
      </c>
      <c r="G1664" t="s">
        <v>75</v>
      </c>
      <c r="H1664">
        <v>364550.88900000002</v>
      </c>
      <c r="I1664" t="s">
        <v>76</v>
      </c>
      <c r="J1664" t="s">
        <v>82</v>
      </c>
      <c r="K1664">
        <v>2.7431013000000002</v>
      </c>
    </row>
    <row r="1665" spans="1:11" x14ac:dyDescent="0.3">
      <c r="A1665" t="s">
        <v>83</v>
      </c>
      <c r="B1665">
        <v>1000</v>
      </c>
      <c r="C1665" t="s">
        <v>79</v>
      </c>
      <c r="D1665">
        <v>2.8999999999999998E-7</v>
      </c>
      <c r="E1665" t="s">
        <v>74</v>
      </c>
      <c r="F1665">
        <v>2.9E-4</v>
      </c>
      <c r="G1665" t="s">
        <v>75</v>
      </c>
      <c r="H1665">
        <v>0.29399999999999998</v>
      </c>
      <c r="I1665" t="s">
        <v>76</v>
      </c>
      <c r="J1665" t="s">
        <v>77</v>
      </c>
    </row>
    <row r="1666" spans="1:11" x14ac:dyDescent="0.3">
      <c r="A1666" t="s">
        <v>83</v>
      </c>
      <c r="B1666">
        <v>1000</v>
      </c>
      <c r="C1666" t="s">
        <v>94</v>
      </c>
      <c r="D1666">
        <v>2.57793E-3</v>
      </c>
      <c r="E1666" t="s">
        <v>74</v>
      </c>
      <c r="F1666">
        <v>2.5779299999999998</v>
      </c>
      <c r="G1666" t="s">
        <v>75</v>
      </c>
      <c r="H1666">
        <v>2577.9279999999999</v>
      </c>
      <c r="I1666" t="s">
        <v>76</v>
      </c>
      <c r="J1666" t="s">
        <v>77</v>
      </c>
    </row>
    <row r="1667" spans="1:11" x14ac:dyDescent="0.3">
      <c r="A1667" t="s">
        <v>83</v>
      </c>
      <c r="B1667">
        <v>1000</v>
      </c>
      <c r="C1667" t="s">
        <v>80</v>
      </c>
      <c r="D1667">
        <v>2.7519200000000001E-3</v>
      </c>
      <c r="E1667" t="s">
        <v>74</v>
      </c>
      <c r="F1667">
        <v>2.7519200000000001</v>
      </c>
      <c r="G1667" t="s">
        <v>75</v>
      </c>
      <c r="H1667">
        <v>2751.9209999999998</v>
      </c>
      <c r="I1667" t="s">
        <v>76</v>
      </c>
      <c r="J1667" t="s">
        <v>77</v>
      </c>
    </row>
    <row r="1668" spans="1:11" x14ac:dyDescent="0.3">
      <c r="A1668" t="s">
        <v>83</v>
      </c>
      <c r="B1668">
        <v>1000</v>
      </c>
      <c r="C1668" t="s">
        <v>81</v>
      </c>
      <c r="D1668">
        <v>2.7530900000000001E-3</v>
      </c>
      <c r="E1668" t="s">
        <v>74</v>
      </c>
      <c r="F1668">
        <v>2.7530899999999998</v>
      </c>
      <c r="G1668" t="s">
        <v>75</v>
      </c>
      <c r="H1668">
        <v>2753.0880000000002</v>
      </c>
      <c r="I1668" t="s">
        <v>76</v>
      </c>
      <c r="J1668" t="s">
        <v>82</v>
      </c>
      <c r="K1668">
        <v>363.22855429999998</v>
      </c>
    </row>
    <row r="1669" spans="1:11" x14ac:dyDescent="0.3">
      <c r="A1669" t="s">
        <v>84</v>
      </c>
      <c r="B1669">
        <v>1001</v>
      </c>
      <c r="C1669" t="s">
        <v>79</v>
      </c>
      <c r="D1669">
        <v>3.5492E-4</v>
      </c>
      <c r="E1669" t="s">
        <v>74</v>
      </c>
      <c r="F1669">
        <v>0.35492000000000001</v>
      </c>
      <c r="G1669" t="s">
        <v>75</v>
      </c>
      <c r="H1669">
        <v>354.916</v>
      </c>
      <c r="I1669" t="s">
        <v>76</v>
      </c>
      <c r="J1669" t="s">
        <v>77</v>
      </c>
    </row>
    <row r="1670" spans="1:11" x14ac:dyDescent="0.3">
      <c r="A1670" t="s">
        <v>84</v>
      </c>
      <c r="B1670">
        <v>1001</v>
      </c>
      <c r="C1670" t="s">
        <v>94</v>
      </c>
      <c r="D1670">
        <v>2.5849100000000002E-3</v>
      </c>
      <c r="E1670" t="s">
        <v>74</v>
      </c>
      <c r="F1670">
        <v>2.5849099999999998</v>
      </c>
      <c r="G1670" t="s">
        <v>75</v>
      </c>
      <c r="H1670">
        <v>2584.913</v>
      </c>
      <c r="I1670" t="s">
        <v>76</v>
      </c>
      <c r="J1670" t="s">
        <v>77</v>
      </c>
    </row>
    <row r="1671" spans="1:11" x14ac:dyDescent="0.3">
      <c r="A1671" t="s">
        <v>84</v>
      </c>
      <c r="B1671">
        <v>1001</v>
      </c>
      <c r="C1671" t="s">
        <v>80</v>
      </c>
      <c r="D1671">
        <v>2.75873E-3</v>
      </c>
      <c r="E1671" t="s">
        <v>74</v>
      </c>
      <c r="F1671">
        <v>2.7587299999999999</v>
      </c>
      <c r="G1671" t="s">
        <v>75</v>
      </c>
      <c r="H1671">
        <v>2758.732</v>
      </c>
      <c r="I1671" t="s">
        <v>76</v>
      </c>
      <c r="J1671" t="s">
        <v>77</v>
      </c>
    </row>
    <row r="1672" spans="1:11" x14ac:dyDescent="0.3">
      <c r="A1672" t="s">
        <v>84</v>
      </c>
      <c r="B1672">
        <v>1001</v>
      </c>
      <c r="C1672" t="s">
        <v>81</v>
      </c>
      <c r="D1672">
        <v>3.11452E-3</v>
      </c>
      <c r="E1672" t="s">
        <v>74</v>
      </c>
      <c r="F1672">
        <v>3.1145200000000002</v>
      </c>
      <c r="G1672" t="s">
        <v>75</v>
      </c>
      <c r="H1672">
        <v>3114.5239999999999</v>
      </c>
      <c r="I1672" t="s">
        <v>76</v>
      </c>
      <c r="J1672" t="s">
        <v>82</v>
      </c>
      <c r="K1672">
        <v>321.07631950000001</v>
      </c>
    </row>
    <row r="1673" spans="1:11" x14ac:dyDescent="0.3">
      <c r="A1673" t="s">
        <v>85</v>
      </c>
      <c r="B1673">
        <v>1001</v>
      </c>
      <c r="C1673" t="s">
        <v>86</v>
      </c>
      <c r="D1673">
        <v>3.11473E-3</v>
      </c>
      <c r="E1673" t="s">
        <v>74</v>
      </c>
      <c r="F1673">
        <v>3.1147300000000002</v>
      </c>
      <c r="G1673" t="s">
        <v>75</v>
      </c>
      <c r="H1673">
        <v>3114.7289999999998</v>
      </c>
      <c r="I1673" t="s">
        <v>76</v>
      </c>
      <c r="J1673" t="s">
        <v>82</v>
      </c>
      <c r="K1673">
        <v>321.05517989999998</v>
      </c>
    </row>
    <row r="1674" spans="1:11" x14ac:dyDescent="0.3">
      <c r="A1674" t="s">
        <v>141</v>
      </c>
    </row>
    <row r="1675" spans="1:11" x14ac:dyDescent="0.3">
      <c r="A1675" t="s">
        <v>142</v>
      </c>
    </row>
    <row r="1676" spans="1:11" x14ac:dyDescent="0.3">
      <c r="A1676" t="s">
        <v>72</v>
      </c>
      <c r="B1676">
        <v>1</v>
      </c>
      <c r="C1676" t="s">
        <v>73</v>
      </c>
      <c r="D1676">
        <v>4.4000000000000002E-6</v>
      </c>
      <c r="E1676" t="s">
        <v>74</v>
      </c>
      <c r="F1676">
        <v>4.4000000000000003E-3</v>
      </c>
      <c r="G1676" t="s">
        <v>75</v>
      </c>
      <c r="H1676">
        <v>4.4000000000000004</v>
      </c>
      <c r="I1676" t="s">
        <v>76</v>
      </c>
      <c r="J1676" t="s">
        <v>77</v>
      </c>
    </row>
    <row r="1677" spans="1:11" x14ac:dyDescent="0.3">
      <c r="A1677" t="s">
        <v>72</v>
      </c>
      <c r="B1677">
        <v>1</v>
      </c>
      <c r="C1677" t="s">
        <v>78</v>
      </c>
      <c r="D1677">
        <v>4.3999999999999999E-5</v>
      </c>
      <c r="E1677" t="s">
        <v>74</v>
      </c>
      <c r="F1677">
        <v>4.3999999999999997E-2</v>
      </c>
      <c r="G1677" t="s">
        <v>75</v>
      </c>
      <c r="H1677">
        <v>44</v>
      </c>
      <c r="I1677" t="s">
        <v>76</v>
      </c>
      <c r="J1677" t="s">
        <v>77</v>
      </c>
    </row>
    <row r="1678" spans="1:11" x14ac:dyDescent="0.3">
      <c r="A1678" t="s">
        <v>72</v>
      </c>
      <c r="B1678">
        <v>1</v>
      </c>
      <c r="C1678" t="s">
        <v>79</v>
      </c>
      <c r="D1678">
        <v>6.4727999999999999E-3</v>
      </c>
      <c r="E1678" t="s">
        <v>74</v>
      </c>
      <c r="F1678">
        <v>6.4728000000000003</v>
      </c>
      <c r="G1678" t="s">
        <v>75</v>
      </c>
      <c r="H1678">
        <v>6472.8</v>
      </c>
      <c r="I1678" t="s">
        <v>76</v>
      </c>
      <c r="J1678" t="s">
        <v>77</v>
      </c>
    </row>
    <row r="1679" spans="1:11" x14ac:dyDescent="0.3">
      <c r="A1679" t="s">
        <v>72</v>
      </c>
      <c r="B1679">
        <v>1</v>
      </c>
      <c r="C1679" t="s">
        <v>94</v>
      </c>
      <c r="D1679">
        <v>2.601E-3</v>
      </c>
      <c r="E1679" t="s">
        <v>74</v>
      </c>
      <c r="F1679">
        <v>2.601</v>
      </c>
      <c r="G1679" t="s">
        <v>75</v>
      </c>
      <c r="H1679">
        <v>2601</v>
      </c>
      <c r="I1679" t="s">
        <v>76</v>
      </c>
      <c r="J1679" t="s">
        <v>77</v>
      </c>
    </row>
    <row r="1680" spans="1:11" x14ac:dyDescent="0.3">
      <c r="A1680" t="s">
        <v>72</v>
      </c>
      <c r="B1680">
        <v>1</v>
      </c>
      <c r="C1680" t="s">
        <v>80</v>
      </c>
      <c r="D1680">
        <v>2.7376000000000002E-3</v>
      </c>
      <c r="E1680" t="s">
        <v>74</v>
      </c>
      <c r="F1680">
        <v>2.7376</v>
      </c>
      <c r="G1680" t="s">
        <v>75</v>
      </c>
      <c r="H1680">
        <v>2737.6</v>
      </c>
      <c r="I1680" t="s">
        <v>76</v>
      </c>
      <c r="J1680" t="s">
        <v>77</v>
      </c>
    </row>
    <row r="1681" spans="1:11" x14ac:dyDescent="0.3">
      <c r="A1681" t="s">
        <v>72</v>
      </c>
      <c r="B1681">
        <v>1</v>
      </c>
      <c r="C1681" t="s">
        <v>81</v>
      </c>
      <c r="D1681">
        <v>9.2116999999999997E-3</v>
      </c>
      <c r="E1681" t="s">
        <v>74</v>
      </c>
      <c r="F1681">
        <v>9.2117000000000004</v>
      </c>
      <c r="G1681" t="s">
        <v>75</v>
      </c>
      <c r="H1681">
        <v>9211.7000000000007</v>
      </c>
      <c r="I1681" t="s">
        <v>76</v>
      </c>
      <c r="J1681" t="s">
        <v>82</v>
      </c>
      <c r="K1681">
        <v>108.5575904</v>
      </c>
    </row>
    <row r="1682" spans="1:11" x14ac:dyDescent="0.3">
      <c r="A1682" t="s">
        <v>83</v>
      </c>
      <c r="B1682">
        <v>1000</v>
      </c>
      <c r="C1682" t="s">
        <v>79</v>
      </c>
      <c r="D1682">
        <v>2.8999999999999998E-7</v>
      </c>
      <c r="E1682" t="s">
        <v>74</v>
      </c>
      <c r="F1682">
        <v>2.9E-4</v>
      </c>
      <c r="G1682" t="s">
        <v>75</v>
      </c>
      <c r="H1682">
        <v>0.28799999999999998</v>
      </c>
      <c r="I1682" t="s">
        <v>76</v>
      </c>
      <c r="J1682" t="s">
        <v>77</v>
      </c>
    </row>
    <row r="1683" spans="1:11" x14ac:dyDescent="0.3">
      <c r="A1683" t="s">
        <v>83</v>
      </c>
      <c r="B1683">
        <v>1000</v>
      </c>
      <c r="C1683" t="s">
        <v>94</v>
      </c>
      <c r="D1683">
        <v>2.57442E-3</v>
      </c>
      <c r="E1683" t="s">
        <v>74</v>
      </c>
      <c r="F1683">
        <v>2.5744199999999999</v>
      </c>
      <c r="G1683" t="s">
        <v>75</v>
      </c>
      <c r="H1683">
        <v>2574.424</v>
      </c>
      <c r="I1683" t="s">
        <v>76</v>
      </c>
      <c r="J1683" t="s">
        <v>77</v>
      </c>
    </row>
    <row r="1684" spans="1:11" x14ac:dyDescent="0.3">
      <c r="A1684" t="s">
        <v>83</v>
      </c>
      <c r="B1684">
        <v>1000</v>
      </c>
      <c r="C1684" t="s">
        <v>80</v>
      </c>
      <c r="D1684">
        <v>2.7357100000000001E-3</v>
      </c>
      <c r="E1684" t="s">
        <v>74</v>
      </c>
      <c r="F1684">
        <v>2.7357100000000001</v>
      </c>
      <c r="G1684" t="s">
        <v>75</v>
      </c>
      <c r="H1684">
        <v>2735.7109999999998</v>
      </c>
      <c r="I1684" t="s">
        <v>76</v>
      </c>
      <c r="J1684" t="s">
        <v>77</v>
      </c>
    </row>
    <row r="1685" spans="1:11" x14ac:dyDescent="0.3">
      <c r="A1685" t="s">
        <v>83</v>
      </c>
      <c r="B1685">
        <v>1000</v>
      </c>
      <c r="C1685" t="s">
        <v>81</v>
      </c>
      <c r="D1685">
        <v>2.7368499999999999E-3</v>
      </c>
      <c r="E1685" t="s">
        <v>74</v>
      </c>
      <c r="F1685">
        <v>2.73685</v>
      </c>
      <c r="G1685" t="s">
        <v>75</v>
      </c>
      <c r="H1685">
        <v>2736.8510000000001</v>
      </c>
      <c r="I1685" t="s">
        <v>76</v>
      </c>
      <c r="J1685" t="s">
        <v>82</v>
      </c>
      <c r="K1685">
        <v>365.38336729999997</v>
      </c>
    </row>
    <row r="1686" spans="1:11" x14ac:dyDescent="0.3">
      <c r="A1686" t="s">
        <v>84</v>
      </c>
      <c r="B1686">
        <v>1001</v>
      </c>
      <c r="C1686" t="s">
        <v>79</v>
      </c>
      <c r="D1686">
        <v>6.7499999999999997E-6</v>
      </c>
      <c r="E1686" t="s">
        <v>74</v>
      </c>
      <c r="F1686">
        <v>6.7499999999999999E-3</v>
      </c>
      <c r="G1686" t="s">
        <v>75</v>
      </c>
      <c r="H1686">
        <v>6.7539999999999996</v>
      </c>
      <c r="I1686" t="s">
        <v>76</v>
      </c>
      <c r="J1686" t="s">
        <v>77</v>
      </c>
    </row>
    <row r="1687" spans="1:11" x14ac:dyDescent="0.3">
      <c r="A1687" t="s">
        <v>84</v>
      </c>
      <c r="B1687">
        <v>1001</v>
      </c>
      <c r="C1687" t="s">
        <v>94</v>
      </c>
      <c r="D1687">
        <v>2.5744499999999998E-3</v>
      </c>
      <c r="E1687" t="s">
        <v>74</v>
      </c>
      <c r="F1687">
        <v>2.5744500000000001</v>
      </c>
      <c r="G1687" t="s">
        <v>75</v>
      </c>
      <c r="H1687">
        <v>2574.4499999999998</v>
      </c>
      <c r="I1687" t="s">
        <v>76</v>
      </c>
      <c r="J1687" t="s">
        <v>77</v>
      </c>
    </row>
    <row r="1688" spans="1:11" x14ac:dyDescent="0.3">
      <c r="A1688" t="s">
        <v>84</v>
      </c>
      <c r="B1688">
        <v>1001</v>
      </c>
      <c r="C1688" t="s">
        <v>80</v>
      </c>
      <c r="D1688">
        <v>2.7357100000000001E-3</v>
      </c>
      <c r="E1688" t="s">
        <v>74</v>
      </c>
      <c r="F1688">
        <v>2.7357100000000001</v>
      </c>
      <c r="G1688" t="s">
        <v>75</v>
      </c>
      <c r="H1688">
        <v>2735.7130000000002</v>
      </c>
      <c r="I1688" t="s">
        <v>76</v>
      </c>
      <c r="J1688" t="s">
        <v>77</v>
      </c>
    </row>
    <row r="1689" spans="1:11" x14ac:dyDescent="0.3">
      <c r="A1689" t="s">
        <v>84</v>
      </c>
      <c r="B1689">
        <v>1001</v>
      </c>
      <c r="C1689" t="s">
        <v>81</v>
      </c>
      <c r="D1689">
        <v>2.74332E-3</v>
      </c>
      <c r="E1689" t="s">
        <v>74</v>
      </c>
      <c r="F1689">
        <v>2.7433200000000002</v>
      </c>
      <c r="G1689" t="s">
        <v>75</v>
      </c>
      <c r="H1689">
        <v>2743.32</v>
      </c>
      <c r="I1689" t="s">
        <v>76</v>
      </c>
      <c r="J1689" t="s">
        <v>82</v>
      </c>
      <c r="K1689">
        <v>364.5218319</v>
      </c>
    </row>
    <row r="1690" spans="1:11" x14ac:dyDescent="0.3">
      <c r="A1690" t="s">
        <v>85</v>
      </c>
      <c r="B1690">
        <v>1001</v>
      </c>
      <c r="C1690" t="s">
        <v>86</v>
      </c>
      <c r="D1690">
        <v>2.7434999999999998E-3</v>
      </c>
      <c r="E1690" t="s">
        <v>74</v>
      </c>
      <c r="F1690">
        <v>2.7435</v>
      </c>
      <c r="G1690" t="s">
        <v>75</v>
      </c>
      <c r="H1690">
        <v>2743.4989999999998</v>
      </c>
      <c r="I1690" t="s">
        <v>76</v>
      </c>
      <c r="J1690" t="s">
        <v>82</v>
      </c>
      <c r="K1690">
        <v>364.49803379999997</v>
      </c>
    </row>
    <row r="1691" spans="1:11" x14ac:dyDescent="0.3">
      <c r="A1691" t="s">
        <v>115</v>
      </c>
    </row>
    <row r="1692" spans="1:11" x14ac:dyDescent="0.3">
      <c r="A1692" t="s">
        <v>127</v>
      </c>
    </row>
    <row r="1693" spans="1:11" x14ac:dyDescent="0.3">
      <c r="A1693" t="s">
        <v>87</v>
      </c>
    </row>
    <row r="1694" spans="1:11" x14ac:dyDescent="0.3">
      <c r="A1694" t="s">
        <v>143</v>
      </c>
    </row>
    <row r="1695" spans="1:11" x14ac:dyDescent="0.3">
      <c r="A1695" t="s">
        <v>72</v>
      </c>
      <c r="B1695">
        <v>1</v>
      </c>
      <c r="C1695" t="s">
        <v>81</v>
      </c>
      <c r="D1695">
        <v>0.36455089000000002</v>
      </c>
      <c r="E1695" t="s">
        <v>74</v>
      </c>
      <c r="F1695">
        <v>364.55088999999998</v>
      </c>
      <c r="G1695" t="s">
        <v>75</v>
      </c>
      <c r="H1695">
        <v>364550.88900000002</v>
      </c>
      <c r="I1695" t="s">
        <v>76</v>
      </c>
      <c r="J1695" t="s">
        <v>82</v>
      </c>
      <c r="K1695">
        <v>2.7431013000000002</v>
      </c>
    </row>
    <row r="1696" spans="1:11" x14ac:dyDescent="0.3">
      <c r="A1696" t="s">
        <v>83</v>
      </c>
      <c r="B1696">
        <v>1000</v>
      </c>
      <c r="C1696" t="s">
        <v>81</v>
      </c>
      <c r="D1696">
        <v>2.7530900000000001E-3</v>
      </c>
      <c r="E1696" t="s">
        <v>74</v>
      </c>
      <c r="F1696">
        <v>2.7530899999999998</v>
      </c>
      <c r="G1696" t="s">
        <v>75</v>
      </c>
      <c r="H1696">
        <v>2753.0880000000002</v>
      </c>
      <c r="I1696" t="s">
        <v>76</v>
      </c>
      <c r="J1696" t="s">
        <v>82</v>
      </c>
      <c r="K1696">
        <v>363.22855429999998</v>
      </c>
    </row>
    <row r="1697" spans="1:11" x14ac:dyDescent="0.3">
      <c r="A1697" t="s">
        <v>85</v>
      </c>
      <c r="B1697">
        <v>1001</v>
      </c>
      <c r="C1697" t="s">
        <v>86</v>
      </c>
      <c r="D1697">
        <v>3.11473E-3</v>
      </c>
      <c r="E1697" t="s">
        <v>74</v>
      </c>
      <c r="F1697">
        <v>3.1147300000000002</v>
      </c>
      <c r="G1697" t="s">
        <v>75</v>
      </c>
      <c r="H1697">
        <v>3114.7289999999998</v>
      </c>
      <c r="I1697" t="s">
        <v>76</v>
      </c>
      <c r="J1697" t="s">
        <v>82</v>
      </c>
      <c r="K1697">
        <v>321.05517989999998</v>
      </c>
    </row>
    <row r="1699" spans="1:11" x14ac:dyDescent="0.3">
      <c r="A1699" t="s">
        <v>144</v>
      </c>
    </row>
    <row r="1700" spans="1:11" x14ac:dyDescent="0.3">
      <c r="A1700" t="s">
        <v>72</v>
      </c>
      <c r="B1700">
        <v>1</v>
      </c>
      <c r="C1700" t="s">
        <v>81</v>
      </c>
      <c r="D1700">
        <v>9.2116999999999997E-3</v>
      </c>
      <c r="E1700" t="s">
        <v>74</v>
      </c>
      <c r="F1700">
        <v>9.2117000000000004</v>
      </c>
      <c r="G1700" t="s">
        <v>75</v>
      </c>
      <c r="H1700">
        <v>9211.7000000000007</v>
      </c>
      <c r="I1700" t="s">
        <v>76</v>
      </c>
      <c r="J1700" t="s">
        <v>82</v>
      </c>
      <c r="K1700">
        <v>108.5575904</v>
      </c>
    </row>
    <row r="1701" spans="1:11" x14ac:dyDescent="0.3">
      <c r="A1701" t="s">
        <v>83</v>
      </c>
      <c r="B1701">
        <v>1000</v>
      </c>
      <c r="C1701" t="s">
        <v>81</v>
      </c>
      <c r="D1701">
        <v>2.7368499999999999E-3</v>
      </c>
      <c r="E1701" t="s">
        <v>74</v>
      </c>
      <c r="F1701">
        <v>2.73685</v>
      </c>
      <c r="G1701" t="s">
        <v>75</v>
      </c>
      <c r="H1701">
        <v>2736.8510000000001</v>
      </c>
      <c r="I1701" t="s">
        <v>76</v>
      </c>
      <c r="J1701" t="s">
        <v>82</v>
      </c>
      <c r="K1701">
        <v>365.38336729999997</v>
      </c>
    </row>
    <row r="1702" spans="1:11" x14ac:dyDescent="0.3">
      <c r="A1702" t="s">
        <v>85</v>
      </c>
      <c r="B1702">
        <v>1001</v>
      </c>
      <c r="C1702" t="s">
        <v>86</v>
      </c>
      <c r="D1702">
        <v>2.7434999999999998E-3</v>
      </c>
      <c r="E1702" t="s">
        <v>74</v>
      </c>
      <c r="F1702">
        <v>2.7435</v>
      </c>
      <c r="G1702" t="s">
        <v>75</v>
      </c>
      <c r="H1702">
        <v>2743.4989999999998</v>
      </c>
      <c r="I1702" t="s">
        <v>76</v>
      </c>
      <c r="J1702" t="s">
        <v>82</v>
      </c>
      <c r="K1702">
        <v>364.49803379999997</v>
      </c>
    </row>
    <row r="1704" spans="1:11" x14ac:dyDescent="0.3">
      <c r="A1704" t="s">
        <v>66</v>
      </c>
    </row>
    <row r="1706" spans="1:11" x14ac:dyDescent="0.3">
      <c r="A1706" t="s">
        <v>228</v>
      </c>
    </row>
    <row r="1707" spans="1:11" x14ac:dyDescent="0.3">
      <c r="A1707" t="s">
        <v>68</v>
      </c>
    </row>
    <row r="1708" spans="1:11" x14ac:dyDescent="0.3">
      <c r="A1708" t="s">
        <v>69</v>
      </c>
    </row>
    <row r="1709" spans="1:11" x14ac:dyDescent="0.3">
      <c r="A1709" t="s">
        <v>70</v>
      </c>
    </row>
    <row r="1710" spans="1:11" x14ac:dyDescent="0.3">
      <c r="A1710" t="s">
        <v>115</v>
      </c>
    </row>
    <row r="1711" spans="1:11" x14ac:dyDescent="0.3">
      <c r="A1711" t="s">
        <v>116</v>
      </c>
    </row>
    <row r="1712" spans="1:11" x14ac:dyDescent="0.3">
      <c r="A1712" t="s">
        <v>117</v>
      </c>
    </row>
    <row r="1713" spans="1:10" x14ac:dyDescent="0.3">
      <c r="A1713" t="s">
        <v>118</v>
      </c>
    </row>
    <row r="1714" spans="1:10" x14ac:dyDescent="0.3">
      <c r="A1714" t="s">
        <v>119</v>
      </c>
    </row>
    <row r="1715" spans="1:10" x14ac:dyDescent="0.3">
      <c r="A1715" t="s">
        <v>120</v>
      </c>
    </row>
    <row r="1716" spans="1:10" x14ac:dyDescent="0.3">
      <c r="A1716" t="s">
        <v>121</v>
      </c>
    </row>
    <row r="1717" spans="1:10" x14ac:dyDescent="0.3">
      <c r="A1717" t="s">
        <v>122</v>
      </c>
    </row>
    <row r="1718" spans="1:10" x14ac:dyDescent="0.3">
      <c r="A1718" t="s">
        <v>123</v>
      </c>
    </row>
    <row r="1719" spans="1:10" x14ac:dyDescent="0.3">
      <c r="A1719" t="s">
        <v>124</v>
      </c>
    </row>
    <row r="1720" spans="1:10" x14ac:dyDescent="0.3">
      <c r="A1720" t="s">
        <v>125</v>
      </c>
    </row>
    <row r="1721" spans="1:10" x14ac:dyDescent="0.3">
      <c r="A1721" t="s">
        <v>126</v>
      </c>
    </row>
    <row r="1722" spans="1:10" x14ac:dyDescent="0.3">
      <c r="A1722" t="s">
        <v>127</v>
      </c>
    </row>
    <row r="1723" spans="1:10" x14ac:dyDescent="0.3">
      <c r="A1723" t="s">
        <v>146</v>
      </c>
    </row>
    <row r="1724" spans="1:10" x14ac:dyDescent="0.3">
      <c r="A1724" t="s">
        <v>147</v>
      </c>
    </row>
    <row r="1725" spans="1:10" x14ac:dyDescent="0.3">
      <c r="A1725" t="s">
        <v>72</v>
      </c>
      <c r="B1725">
        <v>1</v>
      </c>
      <c r="C1725" t="s">
        <v>73</v>
      </c>
      <c r="D1725">
        <v>4.5000000000000001E-6</v>
      </c>
      <c r="E1725" t="s">
        <v>74</v>
      </c>
      <c r="F1725">
        <v>4.4999999999999997E-3</v>
      </c>
      <c r="G1725" t="s">
        <v>75</v>
      </c>
      <c r="H1725">
        <v>4.5</v>
      </c>
      <c r="I1725" t="s">
        <v>76</v>
      </c>
      <c r="J1725" t="s">
        <v>77</v>
      </c>
    </row>
    <row r="1726" spans="1:10" x14ac:dyDescent="0.3">
      <c r="A1726" t="s">
        <v>72</v>
      </c>
      <c r="B1726">
        <v>1</v>
      </c>
      <c r="C1726" t="s">
        <v>78</v>
      </c>
      <c r="D1726">
        <v>0.16776989</v>
      </c>
      <c r="E1726" t="s">
        <v>74</v>
      </c>
      <c r="F1726">
        <v>167.76989</v>
      </c>
      <c r="G1726" t="s">
        <v>75</v>
      </c>
      <c r="H1726">
        <v>167769.894</v>
      </c>
      <c r="I1726" t="s">
        <v>76</v>
      </c>
      <c r="J1726" t="s">
        <v>77</v>
      </c>
    </row>
    <row r="1727" spans="1:10" x14ac:dyDescent="0.3">
      <c r="A1727" t="s">
        <v>72</v>
      </c>
      <c r="B1727">
        <v>1</v>
      </c>
      <c r="C1727" t="s">
        <v>79</v>
      </c>
      <c r="D1727">
        <v>0.30415151000000001</v>
      </c>
      <c r="E1727" t="s">
        <v>74</v>
      </c>
      <c r="F1727">
        <v>304.15150999999997</v>
      </c>
      <c r="G1727" t="s">
        <v>75</v>
      </c>
      <c r="H1727">
        <v>304151.505</v>
      </c>
      <c r="I1727" t="s">
        <v>76</v>
      </c>
      <c r="J1727" t="s">
        <v>77</v>
      </c>
    </row>
    <row r="1728" spans="1:10" x14ac:dyDescent="0.3">
      <c r="A1728" t="s">
        <v>72</v>
      </c>
      <c r="B1728">
        <v>1</v>
      </c>
      <c r="C1728" t="s">
        <v>94</v>
      </c>
      <c r="D1728">
        <v>9.3410999999999998E-3</v>
      </c>
      <c r="E1728" t="s">
        <v>74</v>
      </c>
      <c r="F1728">
        <v>9.3411000000000008</v>
      </c>
      <c r="G1728" t="s">
        <v>75</v>
      </c>
      <c r="H1728">
        <v>9341.1</v>
      </c>
      <c r="I1728" t="s">
        <v>76</v>
      </c>
      <c r="J1728" t="s">
        <v>77</v>
      </c>
    </row>
    <row r="1729" spans="1:11" x14ac:dyDescent="0.3">
      <c r="A1729" t="s">
        <v>72</v>
      </c>
      <c r="B1729">
        <v>1</v>
      </c>
      <c r="C1729" t="s">
        <v>80</v>
      </c>
      <c r="D1729">
        <v>9.3418000000000008E-3</v>
      </c>
      <c r="E1729" t="s">
        <v>74</v>
      </c>
      <c r="F1729">
        <v>9.3417999999999992</v>
      </c>
      <c r="G1729" t="s">
        <v>75</v>
      </c>
      <c r="H1729">
        <v>9341.7999999999993</v>
      </c>
      <c r="I1729" t="s">
        <v>76</v>
      </c>
      <c r="J1729" t="s">
        <v>77</v>
      </c>
    </row>
    <row r="1730" spans="1:11" x14ac:dyDescent="0.3">
      <c r="A1730" t="s">
        <v>72</v>
      </c>
      <c r="B1730">
        <v>1</v>
      </c>
      <c r="C1730" t="s">
        <v>81</v>
      </c>
      <c r="D1730">
        <v>0.31349539999999998</v>
      </c>
      <c r="E1730" t="s">
        <v>74</v>
      </c>
      <c r="F1730">
        <v>313.49540000000002</v>
      </c>
      <c r="G1730" t="s">
        <v>75</v>
      </c>
      <c r="H1730">
        <v>313495.39799999999</v>
      </c>
      <c r="I1730" t="s">
        <v>76</v>
      </c>
      <c r="J1730" t="s">
        <v>82</v>
      </c>
      <c r="K1730">
        <v>3.1898395000000002</v>
      </c>
    </row>
    <row r="1731" spans="1:11" x14ac:dyDescent="0.3">
      <c r="A1731" t="s">
        <v>83</v>
      </c>
      <c r="B1731">
        <v>1000</v>
      </c>
      <c r="C1731" t="s">
        <v>79</v>
      </c>
      <c r="D1731">
        <v>2.2000000000000001E-7</v>
      </c>
      <c r="E1731" t="s">
        <v>74</v>
      </c>
      <c r="F1731">
        <v>2.2000000000000001E-4</v>
      </c>
      <c r="G1731" t="s">
        <v>75</v>
      </c>
      <c r="H1731">
        <v>0.224</v>
      </c>
      <c r="I1731" t="s">
        <v>76</v>
      </c>
      <c r="J1731" t="s">
        <v>77</v>
      </c>
    </row>
    <row r="1732" spans="1:11" x14ac:dyDescent="0.3">
      <c r="A1732" t="s">
        <v>83</v>
      </c>
      <c r="B1732">
        <v>1000</v>
      </c>
      <c r="C1732" t="s">
        <v>94</v>
      </c>
      <c r="D1732">
        <v>2.57354E-3</v>
      </c>
      <c r="E1732" t="s">
        <v>74</v>
      </c>
      <c r="F1732">
        <v>2.5735399999999999</v>
      </c>
      <c r="G1732" t="s">
        <v>75</v>
      </c>
      <c r="H1732">
        <v>2573.5419999999999</v>
      </c>
      <c r="I1732" t="s">
        <v>76</v>
      </c>
      <c r="J1732" t="s">
        <v>77</v>
      </c>
    </row>
    <row r="1733" spans="1:11" x14ac:dyDescent="0.3">
      <c r="A1733" t="s">
        <v>83</v>
      </c>
      <c r="B1733">
        <v>1000</v>
      </c>
      <c r="C1733" t="s">
        <v>80</v>
      </c>
      <c r="D1733">
        <v>2.7535900000000002E-3</v>
      </c>
      <c r="E1733" t="s">
        <v>74</v>
      </c>
      <c r="F1733">
        <v>2.75359</v>
      </c>
      <c r="G1733" t="s">
        <v>75</v>
      </c>
      <c r="H1733">
        <v>2753.587</v>
      </c>
      <c r="I1733" t="s">
        <v>76</v>
      </c>
      <c r="J1733" t="s">
        <v>77</v>
      </c>
    </row>
    <row r="1734" spans="1:11" x14ac:dyDescent="0.3">
      <c r="A1734" t="s">
        <v>83</v>
      </c>
      <c r="B1734">
        <v>1000</v>
      </c>
      <c r="C1734" t="s">
        <v>81</v>
      </c>
      <c r="D1734">
        <v>2.7546300000000001E-3</v>
      </c>
      <c r="E1734" t="s">
        <v>74</v>
      </c>
      <c r="F1734">
        <v>2.7546300000000001</v>
      </c>
      <c r="G1734" t="s">
        <v>75</v>
      </c>
      <c r="H1734">
        <v>2754.6260000000002</v>
      </c>
      <c r="I1734" t="s">
        <v>76</v>
      </c>
      <c r="J1734" t="s">
        <v>82</v>
      </c>
      <c r="K1734">
        <v>363.02565229999999</v>
      </c>
    </row>
    <row r="1735" spans="1:11" x14ac:dyDescent="0.3">
      <c r="A1735" t="s">
        <v>84</v>
      </c>
      <c r="B1735">
        <v>1001</v>
      </c>
      <c r="C1735" t="s">
        <v>79</v>
      </c>
      <c r="D1735">
        <v>3.0406999999999998E-4</v>
      </c>
      <c r="E1735" t="s">
        <v>74</v>
      </c>
      <c r="F1735">
        <v>0.30407000000000001</v>
      </c>
      <c r="G1735" t="s">
        <v>75</v>
      </c>
      <c r="H1735">
        <v>304.072</v>
      </c>
      <c r="I1735" t="s">
        <v>76</v>
      </c>
      <c r="J1735" t="s">
        <v>77</v>
      </c>
    </row>
    <row r="1736" spans="1:11" x14ac:dyDescent="0.3">
      <c r="A1736" t="s">
        <v>84</v>
      </c>
      <c r="B1736">
        <v>1001</v>
      </c>
      <c r="C1736" t="s">
        <v>94</v>
      </c>
      <c r="D1736">
        <v>2.5803000000000002E-3</v>
      </c>
      <c r="E1736" t="s">
        <v>74</v>
      </c>
      <c r="F1736">
        <v>2.5802999999999998</v>
      </c>
      <c r="G1736" t="s">
        <v>75</v>
      </c>
      <c r="H1736">
        <v>2580.3020000000001</v>
      </c>
      <c r="I1736" t="s">
        <v>76</v>
      </c>
      <c r="J1736" t="s">
        <v>77</v>
      </c>
    </row>
    <row r="1737" spans="1:11" x14ac:dyDescent="0.3">
      <c r="A1737" t="s">
        <v>84</v>
      </c>
      <c r="B1737">
        <v>1001</v>
      </c>
      <c r="C1737" t="s">
        <v>80</v>
      </c>
      <c r="D1737">
        <v>2.7601700000000002E-3</v>
      </c>
      <c r="E1737" t="s">
        <v>74</v>
      </c>
      <c r="F1737">
        <v>2.76017</v>
      </c>
      <c r="G1737" t="s">
        <v>75</v>
      </c>
      <c r="H1737">
        <v>2760.1689999999999</v>
      </c>
      <c r="I1737" t="s">
        <v>76</v>
      </c>
      <c r="J1737" t="s">
        <v>77</v>
      </c>
    </row>
    <row r="1738" spans="1:11" x14ac:dyDescent="0.3">
      <c r="A1738" t="s">
        <v>84</v>
      </c>
      <c r="B1738">
        <v>1001</v>
      </c>
      <c r="C1738" t="s">
        <v>81</v>
      </c>
      <c r="D1738">
        <v>3.0650600000000001E-3</v>
      </c>
      <c r="E1738" t="s">
        <v>74</v>
      </c>
      <c r="F1738">
        <v>3.0650599999999999</v>
      </c>
      <c r="G1738" t="s">
        <v>75</v>
      </c>
      <c r="H1738">
        <v>3065.0569999999998</v>
      </c>
      <c r="I1738" t="s">
        <v>76</v>
      </c>
      <c r="J1738" t="s">
        <v>82</v>
      </c>
      <c r="K1738">
        <v>326.2582476</v>
      </c>
    </row>
    <row r="1739" spans="1:11" x14ac:dyDescent="0.3">
      <c r="A1739" t="s">
        <v>85</v>
      </c>
      <c r="B1739">
        <v>1001</v>
      </c>
      <c r="C1739" t="s">
        <v>86</v>
      </c>
      <c r="D1739">
        <v>3.06523E-3</v>
      </c>
      <c r="E1739" t="s">
        <v>74</v>
      </c>
      <c r="F1739">
        <v>3.0652300000000001</v>
      </c>
      <c r="G1739" t="s">
        <v>75</v>
      </c>
      <c r="H1739">
        <v>3065.2310000000002</v>
      </c>
      <c r="I1739" t="s">
        <v>76</v>
      </c>
      <c r="J1739" t="s">
        <v>82</v>
      </c>
      <c r="K1739">
        <v>326.23966489999998</v>
      </c>
    </row>
    <row r="1740" spans="1:11" x14ac:dyDescent="0.3">
      <c r="A1740" t="s">
        <v>148</v>
      </c>
    </row>
    <row r="1741" spans="1:11" x14ac:dyDescent="0.3">
      <c r="A1741" t="s">
        <v>149</v>
      </c>
    </row>
    <row r="1742" spans="1:11" x14ac:dyDescent="0.3">
      <c r="A1742" t="s">
        <v>72</v>
      </c>
      <c r="B1742">
        <v>1</v>
      </c>
      <c r="C1742" t="s">
        <v>73</v>
      </c>
      <c r="D1742">
        <v>4.5000000000000001E-6</v>
      </c>
      <c r="E1742" t="s">
        <v>74</v>
      </c>
      <c r="F1742">
        <v>4.4999999999999997E-3</v>
      </c>
      <c r="G1742" t="s">
        <v>75</v>
      </c>
      <c r="H1742">
        <v>4.5</v>
      </c>
      <c r="I1742" t="s">
        <v>76</v>
      </c>
      <c r="J1742" t="s">
        <v>77</v>
      </c>
    </row>
    <row r="1743" spans="1:11" x14ac:dyDescent="0.3">
      <c r="A1743" t="s">
        <v>72</v>
      </c>
      <c r="B1743">
        <v>1</v>
      </c>
      <c r="C1743" t="s">
        <v>78</v>
      </c>
      <c r="D1743">
        <v>3.8600000000000003E-5</v>
      </c>
      <c r="E1743" t="s">
        <v>74</v>
      </c>
      <c r="F1743">
        <v>3.8600000000000002E-2</v>
      </c>
      <c r="G1743" t="s">
        <v>75</v>
      </c>
      <c r="H1743">
        <v>38.6</v>
      </c>
      <c r="I1743" t="s">
        <v>76</v>
      </c>
      <c r="J1743" t="s">
        <v>77</v>
      </c>
    </row>
    <row r="1744" spans="1:11" x14ac:dyDescent="0.3">
      <c r="A1744" t="s">
        <v>72</v>
      </c>
      <c r="B1744">
        <v>1</v>
      </c>
      <c r="C1744" t="s">
        <v>79</v>
      </c>
      <c r="D1744">
        <v>7.1704999999999998E-3</v>
      </c>
      <c r="E1744" t="s">
        <v>74</v>
      </c>
      <c r="F1744">
        <v>7.1704999999999997</v>
      </c>
      <c r="G1744" t="s">
        <v>75</v>
      </c>
      <c r="H1744">
        <v>7170.5</v>
      </c>
      <c r="I1744" t="s">
        <v>76</v>
      </c>
      <c r="J1744" t="s">
        <v>77</v>
      </c>
    </row>
    <row r="1745" spans="1:11" x14ac:dyDescent="0.3">
      <c r="A1745" t="s">
        <v>72</v>
      </c>
      <c r="B1745">
        <v>1</v>
      </c>
      <c r="C1745" t="s">
        <v>94</v>
      </c>
      <c r="D1745">
        <v>2.6210999999999999E-3</v>
      </c>
      <c r="E1745" t="s">
        <v>74</v>
      </c>
      <c r="F1745">
        <v>2.6211000000000002</v>
      </c>
      <c r="G1745" t="s">
        <v>75</v>
      </c>
      <c r="H1745">
        <v>2621.1</v>
      </c>
      <c r="I1745" t="s">
        <v>76</v>
      </c>
      <c r="J1745" t="s">
        <v>77</v>
      </c>
    </row>
    <row r="1746" spans="1:11" x14ac:dyDescent="0.3">
      <c r="A1746" t="s">
        <v>72</v>
      </c>
      <c r="B1746">
        <v>1</v>
      </c>
      <c r="C1746" t="s">
        <v>80</v>
      </c>
      <c r="D1746">
        <v>2.8343999999999999E-3</v>
      </c>
      <c r="E1746" t="s">
        <v>74</v>
      </c>
      <c r="F1746">
        <v>2.8344</v>
      </c>
      <c r="G1746" t="s">
        <v>75</v>
      </c>
      <c r="H1746">
        <v>2834.4</v>
      </c>
      <c r="I1746" t="s">
        <v>76</v>
      </c>
      <c r="J1746" t="s">
        <v>77</v>
      </c>
    </row>
    <row r="1747" spans="1:11" x14ac:dyDescent="0.3">
      <c r="A1747" t="s">
        <v>72</v>
      </c>
      <c r="B1747">
        <v>1</v>
      </c>
      <c r="C1747" t="s">
        <v>81</v>
      </c>
      <c r="D1747">
        <v>1.0005999999999999E-2</v>
      </c>
      <c r="E1747" t="s">
        <v>74</v>
      </c>
      <c r="F1747">
        <v>10.006</v>
      </c>
      <c r="G1747" t="s">
        <v>75</v>
      </c>
      <c r="H1747">
        <v>10006</v>
      </c>
      <c r="I1747" t="s">
        <v>76</v>
      </c>
      <c r="J1747" t="s">
        <v>82</v>
      </c>
      <c r="K1747">
        <v>99.940033099999994</v>
      </c>
    </row>
    <row r="1748" spans="1:11" x14ac:dyDescent="0.3">
      <c r="A1748" t="s">
        <v>83</v>
      </c>
      <c r="B1748">
        <v>1000</v>
      </c>
      <c r="C1748" t="s">
        <v>79</v>
      </c>
      <c r="D1748">
        <v>2.2000000000000001E-7</v>
      </c>
      <c r="E1748" t="s">
        <v>74</v>
      </c>
      <c r="F1748">
        <v>2.2000000000000001E-4</v>
      </c>
      <c r="G1748" t="s">
        <v>75</v>
      </c>
      <c r="H1748">
        <v>0.222</v>
      </c>
      <c r="I1748" t="s">
        <v>76</v>
      </c>
      <c r="J1748" t="s">
        <v>77</v>
      </c>
    </row>
    <row r="1749" spans="1:11" x14ac:dyDescent="0.3">
      <c r="A1749" t="s">
        <v>83</v>
      </c>
      <c r="B1749">
        <v>1000</v>
      </c>
      <c r="C1749" t="s">
        <v>94</v>
      </c>
      <c r="D1749">
        <v>2.5748099999999999E-3</v>
      </c>
      <c r="E1749" t="s">
        <v>74</v>
      </c>
      <c r="F1749">
        <v>2.5748099999999998</v>
      </c>
      <c r="G1749" t="s">
        <v>75</v>
      </c>
      <c r="H1749">
        <v>2574.8090000000002</v>
      </c>
      <c r="I1749" t="s">
        <v>76</v>
      </c>
      <c r="J1749" t="s">
        <v>77</v>
      </c>
    </row>
    <row r="1750" spans="1:11" x14ac:dyDescent="0.3">
      <c r="A1750" t="s">
        <v>83</v>
      </c>
      <c r="B1750">
        <v>1000</v>
      </c>
      <c r="C1750" t="s">
        <v>80</v>
      </c>
      <c r="D1750">
        <v>2.7498700000000002E-3</v>
      </c>
      <c r="E1750" t="s">
        <v>74</v>
      </c>
      <c r="F1750">
        <v>2.74987</v>
      </c>
      <c r="G1750" t="s">
        <v>75</v>
      </c>
      <c r="H1750">
        <v>2749.8710000000001</v>
      </c>
      <c r="I1750" t="s">
        <v>76</v>
      </c>
      <c r="J1750" t="s">
        <v>77</v>
      </c>
    </row>
    <row r="1751" spans="1:11" x14ac:dyDescent="0.3">
      <c r="A1751" t="s">
        <v>83</v>
      </c>
      <c r="B1751">
        <v>1000</v>
      </c>
      <c r="C1751" t="s">
        <v>81</v>
      </c>
      <c r="D1751">
        <v>2.7508400000000001E-3</v>
      </c>
      <c r="E1751" t="s">
        <v>74</v>
      </c>
      <c r="F1751">
        <v>2.7508400000000002</v>
      </c>
      <c r="G1751" t="s">
        <v>75</v>
      </c>
      <c r="H1751">
        <v>2750.84</v>
      </c>
      <c r="I1751" t="s">
        <v>76</v>
      </c>
      <c r="J1751" t="s">
        <v>82</v>
      </c>
      <c r="K1751">
        <v>363.52529850000002</v>
      </c>
    </row>
    <row r="1752" spans="1:11" x14ac:dyDescent="0.3">
      <c r="A1752" t="s">
        <v>84</v>
      </c>
      <c r="B1752">
        <v>1001</v>
      </c>
      <c r="C1752" t="s">
        <v>79</v>
      </c>
      <c r="D1752">
        <v>7.3900000000000004E-6</v>
      </c>
      <c r="E1752" t="s">
        <v>74</v>
      </c>
      <c r="F1752">
        <v>7.3899999999999999E-3</v>
      </c>
      <c r="G1752" t="s">
        <v>75</v>
      </c>
      <c r="H1752">
        <v>7.3849999999999998</v>
      </c>
      <c r="I1752" t="s">
        <v>76</v>
      </c>
      <c r="J1752" t="s">
        <v>77</v>
      </c>
    </row>
    <row r="1753" spans="1:11" x14ac:dyDescent="0.3">
      <c r="A1753" t="s">
        <v>84</v>
      </c>
      <c r="B1753">
        <v>1001</v>
      </c>
      <c r="C1753" t="s">
        <v>94</v>
      </c>
      <c r="D1753">
        <v>2.57486E-3</v>
      </c>
      <c r="E1753" t="s">
        <v>74</v>
      </c>
      <c r="F1753">
        <v>2.5748600000000001</v>
      </c>
      <c r="G1753" t="s">
        <v>75</v>
      </c>
      <c r="H1753">
        <v>2574.855</v>
      </c>
      <c r="I1753" t="s">
        <v>76</v>
      </c>
      <c r="J1753" t="s">
        <v>77</v>
      </c>
    </row>
    <row r="1754" spans="1:11" x14ac:dyDescent="0.3">
      <c r="A1754" t="s">
        <v>84</v>
      </c>
      <c r="B1754">
        <v>1001</v>
      </c>
      <c r="C1754" t="s">
        <v>80</v>
      </c>
      <c r="D1754">
        <v>2.7499600000000001E-3</v>
      </c>
      <c r="E1754" t="s">
        <v>74</v>
      </c>
      <c r="F1754">
        <v>2.7499600000000002</v>
      </c>
      <c r="G1754" t="s">
        <v>75</v>
      </c>
      <c r="H1754">
        <v>2749.9560000000001</v>
      </c>
      <c r="I1754" t="s">
        <v>76</v>
      </c>
      <c r="J1754" t="s">
        <v>77</v>
      </c>
    </row>
    <row r="1755" spans="1:11" x14ac:dyDescent="0.3">
      <c r="A1755" t="s">
        <v>84</v>
      </c>
      <c r="B1755">
        <v>1001</v>
      </c>
      <c r="C1755" t="s">
        <v>81</v>
      </c>
      <c r="D1755">
        <v>2.7580899999999999E-3</v>
      </c>
      <c r="E1755" t="s">
        <v>74</v>
      </c>
      <c r="F1755">
        <v>2.7580900000000002</v>
      </c>
      <c r="G1755" t="s">
        <v>75</v>
      </c>
      <c r="H1755">
        <v>2758.0880000000002</v>
      </c>
      <c r="I1755" t="s">
        <v>76</v>
      </c>
      <c r="J1755" t="s">
        <v>82</v>
      </c>
      <c r="K1755">
        <v>362.57000570000002</v>
      </c>
    </row>
    <row r="1756" spans="1:11" x14ac:dyDescent="0.3">
      <c r="A1756" t="s">
        <v>85</v>
      </c>
      <c r="B1756">
        <v>1001</v>
      </c>
      <c r="C1756" t="s">
        <v>86</v>
      </c>
      <c r="D1756">
        <v>2.7582499999999999E-3</v>
      </c>
      <c r="E1756" t="s">
        <v>74</v>
      </c>
      <c r="F1756">
        <v>2.7582499999999999</v>
      </c>
      <c r="G1756" t="s">
        <v>75</v>
      </c>
      <c r="H1756">
        <v>2758.2460000000001</v>
      </c>
      <c r="I1756" t="s">
        <v>76</v>
      </c>
      <c r="J1756" t="s">
        <v>82</v>
      </c>
      <c r="K1756">
        <v>362.54924799999998</v>
      </c>
    </row>
    <row r="1757" spans="1:11" x14ac:dyDescent="0.3">
      <c r="A1757" t="s">
        <v>115</v>
      </c>
    </row>
    <row r="1758" spans="1:11" x14ac:dyDescent="0.3">
      <c r="A1758" t="s">
        <v>127</v>
      </c>
    </row>
    <row r="1759" spans="1:11" x14ac:dyDescent="0.3">
      <c r="A1759" t="s">
        <v>87</v>
      </c>
    </row>
    <row r="1760" spans="1:11" x14ac:dyDescent="0.3">
      <c r="A1760" t="s">
        <v>150</v>
      </c>
    </row>
    <row r="1761" spans="1:11" x14ac:dyDescent="0.3">
      <c r="A1761" t="s">
        <v>72</v>
      </c>
      <c r="B1761">
        <v>1</v>
      </c>
      <c r="C1761" t="s">
        <v>81</v>
      </c>
      <c r="D1761">
        <v>0.31349539999999998</v>
      </c>
      <c r="E1761" t="s">
        <v>74</v>
      </c>
      <c r="F1761">
        <v>313.49540000000002</v>
      </c>
      <c r="G1761" t="s">
        <v>75</v>
      </c>
      <c r="H1761">
        <v>313495.39799999999</v>
      </c>
      <c r="I1761" t="s">
        <v>76</v>
      </c>
      <c r="J1761" t="s">
        <v>82</v>
      </c>
      <c r="K1761">
        <v>3.1898395000000002</v>
      </c>
    </row>
    <row r="1762" spans="1:11" x14ac:dyDescent="0.3">
      <c r="A1762" t="s">
        <v>83</v>
      </c>
      <c r="B1762">
        <v>1000</v>
      </c>
      <c r="C1762" t="s">
        <v>81</v>
      </c>
      <c r="D1762">
        <v>2.7546300000000001E-3</v>
      </c>
      <c r="E1762" t="s">
        <v>74</v>
      </c>
      <c r="F1762">
        <v>2.7546300000000001</v>
      </c>
      <c r="G1762" t="s">
        <v>75</v>
      </c>
      <c r="H1762">
        <v>2754.6260000000002</v>
      </c>
      <c r="I1762" t="s">
        <v>76</v>
      </c>
      <c r="J1762" t="s">
        <v>82</v>
      </c>
      <c r="K1762">
        <v>363.02565229999999</v>
      </c>
    </row>
    <row r="1763" spans="1:11" x14ac:dyDescent="0.3">
      <c r="A1763" t="s">
        <v>85</v>
      </c>
      <c r="B1763">
        <v>1001</v>
      </c>
      <c r="C1763" t="s">
        <v>86</v>
      </c>
      <c r="D1763">
        <v>3.06523E-3</v>
      </c>
      <c r="E1763" t="s">
        <v>74</v>
      </c>
      <c r="F1763">
        <v>3.0652300000000001</v>
      </c>
      <c r="G1763" t="s">
        <v>75</v>
      </c>
      <c r="H1763">
        <v>3065.2310000000002</v>
      </c>
      <c r="I1763" t="s">
        <v>76</v>
      </c>
      <c r="J1763" t="s">
        <v>82</v>
      </c>
      <c r="K1763">
        <v>326.23966489999998</v>
      </c>
    </row>
    <row r="1765" spans="1:11" x14ac:dyDescent="0.3">
      <c r="A1765" t="s">
        <v>151</v>
      </c>
    </row>
    <row r="1766" spans="1:11" x14ac:dyDescent="0.3">
      <c r="A1766" t="s">
        <v>72</v>
      </c>
      <c r="B1766">
        <v>1</v>
      </c>
      <c r="C1766" t="s">
        <v>81</v>
      </c>
      <c r="D1766">
        <v>1.0005999999999999E-2</v>
      </c>
      <c r="E1766" t="s">
        <v>74</v>
      </c>
      <c r="F1766">
        <v>10.006</v>
      </c>
      <c r="G1766" t="s">
        <v>75</v>
      </c>
      <c r="H1766">
        <v>10006</v>
      </c>
      <c r="I1766" t="s">
        <v>76</v>
      </c>
      <c r="J1766" t="s">
        <v>82</v>
      </c>
      <c r="K1766">
        <v>99.940033099999994</v>
      </c>
    </row>
    <row r="1767" spans="1:11" x14ac:dyDescent="0.3">
      <c r="A1767" t="s">
        <v>83</v>
      </c>
      <c r="B1767">
        <v>1000</v>
      </c>
      <c r="C1767" t="s">
        <v>81</v>
      </c>
      <c r="D1767">
        <v>2.7508400000000001E-3</v>
      </c>
      <c r="E1767" t="s">
        <v>74</v>
      </c>
      <c r="F1767">
        <v>2.7508400000000002</v>
      </c>
      <c r="G1767" t="s">
        <v>75</v>
      </c>
      <c r="H1767">
        <v>2750.84</v>
      </c>
      <c r="I1767" t="s">
        <v>76</v>
      </c>
      <c r="J1767" t="s">
        <v>82</v>
      </c>
      <c r="K1767">
        <v>363.52529850000002</v>
      </c>
    </row>
    <row r="1768" spans="1:11" x14ac:dyDescent="0.3">
      <c r="A1768" t="s">
        <v>85</v>
      </c>
      <c r="B1768">
        <v>1001</v>
      </c>
      <c r="C1768" t="s">
        <v>86</v>
      </c>
      <c r="D1768">
        <v>2.7582499999999999E-3</v>
      </c>
      <c r="E1768" t="s">
        <v>74</v>
      </c>
      <c r="F1768">
        <v>2.7582499999999999</v>
      </c>
      <c r="G1768" t="s">
        <v>75</v>
      </c>
      <c r="H1768">
        <v>2758.2460000000001</v>
      </c>
      <c r="I1768" t="s">
        <v>76</v>
      </c>
      <c r="J1768" t="s">
        <v>82</v>
      </c>
      <c r="K1768">
        <v>362.54924799999998</v>
      </c>
    </row>
    <row r="1770" spans="1:11" x14ac:dyDescent="0.3">
      <c r="A1770" t="s">
        <v>66</v>
      </c>
    </row>
    <row r="1772" spans="1:11" x14ac:dyDescent="0.3">
      <c r="A1772" t="s">
        <v>229</v>
      </c>
    </row>
    <row r="1773" spans="1:11" x14ac:dyDescent="0.3">
      <c r="A1773" t="s">
        <v>68</v>
      </c>
    </row>
    <row r="1774" spans="1:11" x14ac:dyDescent="0.3">
      <c r="A1774" t="s">
        <v>69</v>
      </c>
    </row>
    <row r="1775" spans="1:11" x14ac:dyDescent="0.3">
      <c r="A1775" t="s">
        <v>70</v>
      </c>
    </row>
    <row r="1776" spans="1:11" x14ac:dyDescent="0.3">
      <c r="A1776" t="s">
        <v>115</v>
      </c>
    </row>
    <row r="1777" spans="1:10" x14ac:dyDescent="0.3">
      <c r="A1777" t="s">
        <v>116</v>
      </c>
    </row>
    <row r="1778" spans="1:10" x14ac:dyDescent="0.3">
      <c r="A1778" t="s">
        <v>117</v>
      </c>
    </row>
    <row r="1779" spans="1:10" x14ac:dyDescent="0.3">
      <c r="A1779" t="s">
        <v>118</v>
      </c>
    </row>
    <row r="1780" spans="1:10" x14ac:dyDescent="0.3">
      <c r="A1780" t="s">
        <v>119</v>
      </c>
    </row>
    <row r="1781" spans="1:10" x14ac:dyDescent="0.3">
      <c r="A1781" t="s">
        <v>120</v>
      </c>
    </row>
    <row r="1782" spans="1:10" x14ac:dyDescent="0.3">
      <c r="A1782" t="s">
        <v>121</v>
      </c>
    </row>
    <row r="1783" spans="1:10" x14ac:dyDescent="0.3">
      <c r="A1783" t="s">
        <v>122</v>
      </c>
    </row>
    <row r="1784" spans="1:10" x14ac:dyDescent="0.3">
      <c r="A1784" t="s">
        <v>123</v>
      </c>
    </row>
    <row r="1785" spans="1:10" x14ac:dyDescent="0.3">
      <c r="A1785" t="s">
        <v>124</v>
      </c>
    </row>
    <row r="1786" spans="1:10" x14ac:dyDescent="0.3">
      <c r="A1786" t="s">
        <v>125</v>
      </c>
    </row>
    <row r="1787" spans="1:10" x14ac:dyDescent="0.3">
      <c r="A1787" t="s">
        <v>126</v>
      </c>
    </row>
    <row r="1788" spans="1:10" x14ac:dyDescent="0.3">
      <c r="A1788" t="s">
        <v>127</v>
      </c>
    </row>
    <row r="1789" spans="1:10" x14ac:dyDescent="0.3">
      <c r="A1789" t="s">
        <v>153</v>
      </c>
    </row>
    <row r="1790" spans="1:10" x14ac:dyDescent="0.3">
      <c r="A1790" t="s">
        <v>154</v>
      </c>
    </row>
    <row r="1791" spans="1:10" x14ac:dyDescent="0.3">
      <c r="A1791" t="s">
        <v>72</v>
      </c>
      <c r="B1791">
        <v>1</v>
      </c>
      <c r="C1791" t="s">
        <v>73</v>
      </c>
      <c r="D1791">
        <v>3.8E-6</v>
      </c>
      <c r="E1791" t="s">
        <v>74</v>
      </c>
      <c r="F1791">
        <v>3.8E-3</v>
      </c>
      <c r="G1791" t="s">
        <v>75</v>
      </c>
      <c r="H1791">
        <v>3.8</v>
      </c>
      <c r="I1791" t="s">
        <v>76</v>
      </c>
      <c r="J1791" t="s">
        <v>77</v>
      </c>
    </row>
    <row r="1792" spans="1:10" x14ac:dyDescent="0.3">
      <c r="A1792" t="s">
        <v>72</v>
      </c>
      <c r="B1792">
        <v>1</v>
      </c>
      <c r="C1792" t="s">
        <v>78</v>
      </c>
      <c r="D1792">
        <v>0.1631251</v>
      </c>
      <c r="E1792" t="s">
        <v>74</v>
      </c>
      <c r="F1792">
        <v>163.1251</v>
      </c>
      <c r="G1792" t="s">
        <v>75</v>
      </c>
      <c r="H1792">
        <v>163125.098</v>
      </c>
      <c r="I1792" t="s">
        <v>76</v>
      </c>
      <c r="J1792" t="s">
        <v>77</v>
      </c>
    </row>
    <row r="1793" spans="1:11" x14ac:dyDescent="0.3">
      <c r="A1793" t="s">
        <v>72</v>
      </c>
      <c r="B1793">
        <v>1</v>
      </c>
      <c r="C1793" t="s">
        <v>79</v>
      </c>
      <c r="D1793">
        <v>0.42470058999999999</v>
      </c>
      <c r="E1793" t="s">
        <v>74</v>
      </c>
      <c r="F1793">
        <v>424.70058999999998</v>
      </c>
      <c r="G1793" t="s">
        <v>75</v>
      </c>
      <c r="H1793">
        <v>424700.58799999999</v>
      </c>
      <c r="I1793" t="s">
        <v>76</v>
      </c>
      <c r="J1793" t="s">
        <v>77</v>
      </c>
    </row>
    <row r="1794" spans="1:11" x14ac:dyDescent="0.3">
      <c r="A1794" t="s">
        <v>72</v>
      </c>
      <c r="B1794">
        <v>1</v>
      </c>
      <c r="C1794" t="s">
        <v>94</v>
      </c>
      <c r="D1794">
        <v>3.5285400000000001E-2</v>
      </c>
      <c r="E1794" t="s">
        <v>74</v>
      </c>
      <c r="F1794">
        <v>35.285400000000003</v>
      </c>
      <c r="G1794" t="s">
        <v>75</v>
      </c>
      <c r="H1794">
        <v>35285.398000000001</v>
      </c>
      <c r="I1794" t="s">
        <v>76</v>
      </c>
      <c r="J1794" t="s">
        <v>77</v>
      </c>
    </row>
    <row r="1795" spans="1:11" x14ac:dyDescent="0.3">
      <c r="A1795" t="s">
        <v>72</v>
      </c>
      <c r="B1795">
        <v>1</v>
      </c>
      <c r="C1795" t="s">
        <v>80</v>
      </c>
      <c r="D1795">
        <v>3.5285999999999998E-2</v>
      </c>
      <c r="E1795" t="s">
        <v>74</v>
      </c>
      <c r="F1795">
        <v>35.286000000000001</v>
      </c>
      <c r="G1795" t="s">
        <v>75</v>
      </c>
      <c r="H1795">
        <v>35286.002</v>
      </c>
      <c r="I1795" t="s">
        <v>76</v>
      </c>
      <c r="J1795" t="s">
        <v>77</v>
      </c>
    </row>
    <row r="1796" spans="1:11" x14ac:dyDescent="0.3">
      <c r="A1796" t="s">
        <v>72</v>
      </c>
      <c r="B1796">
        <v>1</v>
      </c>
      <c r="C1796" t="s">
        <v>81</v>
      </c>
      <c r="D1796">
        <v>0.45999011000000001</v>
      </c>
      <c r="E1796" t="s">
        <v>74</v>
      </c>
      <c r="F1796">
        <v>459.99011000000002</v>
      </c>
      <c r="G1796" t="s">
        <v>75</v>
      </c>
      <c r="H1796">
        <v>459990.114</v>
      </c>
      <c r="I1796" t="s">
        <v>76</v>
      </c>
      <c r="J1796" t="s">
        <v>82</v>
      </c>
      <c r="K1796">
        <v>2.1739598</v>
      </c>
    </row>
    <row r="1797" spans="1:11" x14ac:dyDescent="0.3">
      <c r="A1797" t="s">
        <v>83</v>
      </c>
      <c r="B1797">
        <v>1000</v>
      </c>
      <c r="C1797" t="s">
        <v>79</v>
      </c>
      <c r="D1797">
        <v>1.9000000000000001E-7</v>
      </c>
      <c r="E1797" t="s">
        <v>74</v>
      </c>
      <c r="F1797">
        <v>1.9000000000000001E-4</v>
      </c>
      <c r="G1797" t="s">
        <v>75</v>
      </c>
      <c r="H1797">
        <v>0.192</v>
      </c>
      <c r="I1797" t="s">
        <v>76</v>
      </c>
      <c r="J1797" t="s">
        <v>77</v>
      </c>
    </row>
    <row r="1798" spans="1:11" x14ac:dyDescent="0.3">
      <c r="A1798" t="s">
        <v>83</v>
      </c>
      <c r="B1798">
        <v>1000</v>
      </c>
      <c r="C1798" t="s">
        <v>94</v>
      </c>
      <c r="D1798">
        <v>1.7065859999999999E-2</v>
      </c>
      <c r="E1798" t="s">
        <v>74</v>
      </c>
      <c r="F1798">
        <v>17.065860000000001</v>
      </c>
      <c r="G1798" t="s">
        <v>75</v>
      </c>
      <c r="H1798">
        <v>17065.865000000002</v>
      </c>
      <c r="I1798" t="s">
        <v>76</v>
      </c>
      <c r="J1798" t="s">
        <v>77</v>
      </c>
    </row>
    <row r="1799" spans="1:11" x14ac:dyDescent="0.3">
      <c r="A1799" t="s">
        <v>83</v>
      </c>
      <c r="B1799">
        <v>1000</v>
      </c>
      <c r="C1799" t="s">
        <v>80</v>
      </c>
      <c r="D1799">
        <v>1.706616E-2</v>
      </c>
      <c r="E1799" t="s">
        <v>74</v>
      </c>
      <c r="F1799">
        <v>17.06616</v>
      </c>
      <c r="G1799" t="s">
        <v>75</v>
      </c>
      <c r="H1799">
        <v>17066.157999999999</v>
      </c>
      <c r="I1799" t="s">
        <v>76</v>
      </c>
      <c r="J1799" t="s">
        <v>77</v>
      </c>
    </row>
    <row r="1800" spans="1:11" x14ac:dyDescent="0.3">
      <c r="A1800" t="s">
        <v>83</v>
      </c>
      <c r="B1800">
        <v>1000</v>
      </c>
      <c r="C1800" t="s">
        <v>81</v>
      </c>
      <c r="D1800">
        <v>1.7067160000000001E-2</v>
      </c>
      <c r="E1800" t="s">
        <v>74</v>
      </c>
      <c r="F1800">
        <v>17.067160000000001</v>
      </c>
      <c r="G1800" t="s">
        <v>75</v>
      </c>
      <c r="H1800">
        <v>17067.155999999999</v>
      </c>
      <c r="I1800" t="s">
        <v>76</v>
      </c>
      <c r="J1800" t="s">
        <v>82</v>
      </c>
      <c r="K1800">
        <v>58.5920706</v>
      </c>
    </row>
    <row r="1801" spans="1:11" x14ac:dyDescent="0.3">
      <c r="A1801" t="s">
        <v>84</v>
      </c>
      <c r="B1801">
        <v>1001</v>
      </c>
      <c r="C1801" t="s">
        <v>79</v>
      </c>
      <c r="D1801">
        <v>4.2446999999999998E-4</v>
      </c>
      <c r="E1801" t="s">
        <v>74</v>
      </c>
      <c r="F1801">
        <v>0.42447000000000001</v>
      </c>
      <c r="G1801" t="s">
        <v>75</v>
      </c>
      <c r="H1801">
        <v>424.46800000000002</v>
      </c>
      <c r="I1801" t="s">
        <v>76</v>
      </c>
      <c r="J1801" t="s">
        <v>77</v>
      </c>
    </row>
    <row r="1802" spans="1:11" x14ac:dyDescent="0.3">
      <c r="A1802" t="s">
        <v>84</v>
      </c>
      <c r="B1802">
        <v>1001</v>
      </c>
      <c r="C1802" t="s">
        <v>94</v>
      </c>
      <c r="D1802">
        <v>1.708407E-2</v>
      </c>
      <c r="E1802" t="s">
        <v>74</v>
      </c>
      <c r="F1802">
        <v>17.084070000000001</v>
      </c>
      <c r="G1802" t="s">
        <v>75</v>
      </c>
      <c r="H1802">
        <v>17084.065999999999</v>
      </c>
      <c r="I1802" t="s">
        <v>76</v>
      </c>
      <c r="J1802" t="s">
        <v>77</v>
      </c>
    </row>
    <row r="1803" spans="1:11" x14ac:dyDescent="0.3">
      <c r="A1803" t="s">
        <v>84</v>
      </c>
      <c r="B1803">
        <v>1001</v>
      </c>
      <c r="C1803" t="s">
        <v>80</v>
      </c>
      <c r="D1803">
        <v>1.708436E-2</v>
      </c>
      <c r="E1803" t="s">
        <v>74</v>
      </c>
      <c r="F1803">
        <v>17.08436</v>
      </c>
      <c r="G1803" t="s">
        <v>75</v>
      </c>
      <c r="H1803">
        <v>17084.358</v>
      </c>
      <c r="I1803" t="s">
        <v>76</v>
      </c>
      <c r="J1803" t="s">
        <v>77</v>
      </c>
    </row>
    <row r="1804" spans="1:11" x14ac:dyDescent="0.3">
      <c r="A1804" t="s">
        <v>84</v>
      </c>
      <c r="B1804">
        <v>1001</v>
      </c>
      <c r="C1804" t="s">
        <v>81</v>
      </c>
      <c r="D1804">
        <v>1.750964E-2</v>
      </c>
      <c r="E1804" t="s">
        <v>74</v>
      </c>
      <c r="F1804">
        <v>17.509640000000001</v>
      </c>
      <c r="G1804" t="s">
        <v>75</v>
      </c>
      <c r="H1804">
        <v>17509.635999999999</v>
      </c>
      <c r="I1804" t="s">
        <v>76</v>
      </c>
      <c r="J1804" t="s">
        <v>82</v>
      </c>
      <c r="K1804">
        <v>57.111410800000002</v>
      </c>
    </row>
    <row r="1805" spans="1:11" x14ac:dyDescent="0.3">
      <c r="A1805" t="s">
        <v>85</v>
      </c>
      <c r="B1805">
        <v>1001</v>
      </c>
      <c r="C1805" t="s">
        <v>86</v>
      </c>
      <c r="D1805">
        <v>1.7509810000000001E-2</v>
      </c>
      <c r="E1805" t="s">
        <v>74</v>
      </c>
      <c r="F1805">
        <v>17.509810000000002</v>
      </c>
      <c r="G1805" t="s">
        <v>75</v>
      </c>
      <c r="H1805">
        <v>17509.809000000001</v>
      </c>
      <c r="I1805" t="s">
        <v>76</v>
      </c>
      <c r="J1805" t="s">
        <v>82</v>
      </c>
      <c r="K1805">
        <v>57.1108452</v>
      </c>
    </row>
    <row r="1806" spans="1:11" x14ac:dyDescent="0.3">
      <c r="A1806" t="s">
        <v>155</v>
      </c>
    </row>
    <row r="1807" spans="1:11" x14ac:dyDescent="0.3">
      <c r="A1807" t="s">
        <v>156</v>
      </c>
    </row>
    <row r="1808" spans="1:11" x14ac:dyDescent="0.3">
      <c r="A1808" t="s">
        <v>72</v>
      </c>
      <c r="B1808">
        <v>1</v>
      </c>
      <c r="C1808" t="s">
        <v>73</v>
      </c>
      <c r="D1808">
        <v>3.8E-6</v>
      </c>
      <c r="E1808" t="s">
        <v>74</v>
      </c>
      <c r="F1808">
        <v>3.8E-3</v>
      </c>
      <c r="G1808" t="s">
        <v>75</v>
      </c>
      <c r="H1808">
        <v>3.8</v>
      </c>
      <c r="I1808" t="s">
        <v>76</v>
      </c>
      <c r="J1808" t="s">
        <v>77</v>
      </c>
    </row>
    <row r="1809" spans="1:11" x14ac:dyDescent="0.3">
      <c r="A1809" t="s">
        <v>72</v>
      </c>
      <c r="B1809">
        <v>1</v>
      </c>
      <c r="C1809" t="s">
        <v>78</v>
      </c>
      <c r="D1809">
        <v>3.9700000000000003E-5</v>
      </c>
      <c r="E1809" t="s">
        <v>74</v>
      </c>
      <c r="F1809">
        <v>3.9699999999999999E-2</v>
      </c>
      <c r="G1809" t="s">
        <v>75</v>
      </c>
      <c r="H1809">
        <v>39.700000000000003</v>
      </c>
      <c r="I1809" t="s">
        <v>76</v>
      </c>
      <c r="J1809" t="s">
        <v>77</v>
      </c>
    </row>
    <row r="1810" spans="1:11" x14ac:dyDescent="0.3">
      <c r="A1810" t="s">
        <v>72</v>
      </c>
      <c r="B1810">
        <v>1</v>
      </c>
      <c r="C1810" t="s">
        <v>79</v>
      </c>
      <c r="D1810">
        <v>4.2299E-3</v>
      </c>
      <c r="E1810" t="s">
        <v>74</v>
      </c>
      <c r="F1810">
        <v>4.2298999999999998</v>
      </c>
      <c r="G1810" t="s">
        <v>75</v>
      </c>
      <c r="H1810">
        <v>4229.8999999999996</v>
      </c>
      <c r="I1810" t="s">
        <v>76</v>
      </c>
      <c r="J1810" t="s">
        <v>77</v>
      </c>
    </row>
    <row r="1811" spans="1:11" x14ac:dyDescent="0.3">
      <c r="A1811" t="s">
        <v>72</v>
      </c>
      <c r="B1811">
        <v>1</v>
      </c>
      <c r="C1811" t="s">
        <v>94</v>
      </c>
      <c r="D1811">
        <v>2.84278E-2</v>
      </c>
      <c r="E1811" t="s">
        <v>74</v>
      </c>
      <c r="F1811">
        <v>28.427800000000001</v>
      </c>
      <c r="G1811" t="s">
        <v>75</v>
      </c>
      <c r="H1811">
        <v>28427.8</v>
      </c>
      <c r="I1811" t="s">
        <v>76</v>
      </c>
      <c r="J1811" t="s">
        <v>77</v>
      </c>
    </row>
    <row r="1812" spans="1:11" x14ac:dyDescent="0.3">
      <c r="A1812" t="s">
        <v>72</v>
      </c>
      <c r="B1812">
        <v>1</v>
      </c>
      <c r="C1812" t="s">
        <v>80</v>
      </c>
      <c r="D1812">
        <v>2.8428599999999998E-2</v>
      </c>
      <c r="E1812" t="s">
        <v>74</v>
      </c>
      <c r="F1812">
        <v>28.428599999999999</v>
      </c>
      <c r="G1812" t="s">
        <v>75</v>
      </c>
      <c r="H1812">
        <v>28428.598999999998</v>
      </c>
      <c r="I1812" t="s">
        <v>76</v>
      </c>
      <c r="J1812" t="s">
        <v>77</v>
      </c>
    </row>
    <row r="1813" spans="1:11" x14ac:dyDescent="0.3">
      <c r="A1813" t="s">
        <v>72</v>
      </c>
      <c r="B1813">
        <v>1</v>
      </c>
      <c r="C1813" t="s">
        <v>81</v>
      </c>
      <c r="D1813">
        <v>3.26597E-2</v>
      </c>
      <c r="E1813" t="s">
        <v>74</v>
      </c>
      <c r="F1813">
        <v>32.659700000000001</v>
      </c>
      <c r="G1813" t="s">
        <v>75</v>
      </c>
      <c r="H1813">
        <v>32659.698</v>
      </c>
      <c r="I1813" t="s">
        <v>76</v>
      </c>
      <c r="J1813" t="s">
        <v>82</v>
      </c>
      <c r="K1813">
        <v>30.618776400000002</v>
      </c>
    </row>
    <row r="1814" spans="1:11" x14ac:dyDescent="0.3">
      <c r="A1814" t="s">
        <v>83</v>
      </c>
      <c r="B1814">
        <v>1000</v>
      </c>
      <c r="C1814" t="s">
        <v>79</v>
      </c>
      <c r="D1814">
        <v>3.4999999999999998E-7</v>
      </c>
      <c r="E1814" t="s">
        <v>74</v>
      </c>
      <c r="F1814">
        <v>3.5E-4</v>
      </c>
      <c r="G1814" t="s">
        <v>75</v>
      </c>
      <c r="H1814">
        <v>0.35299999999999998</v>
      </c>
      <c r="I1814" t="s">
        <v>76</v>
      </c>
      <c r="J1814" t="s">
        <v>77</v>
      </c>
    </row>
    <row r="1815" spans="1:11" x14ac:dyDescent="0.3">
      <c r="A1815" t="s">
        <v>83</v>
      </c>
      <c r="B1815">
        <v>1000</v>
      </c>
      <c r="C1815" t="s">
        <v>94</v>
      </c>
      <c r="D1815">
        <v>2.4821329999999999E-2</v>
      </c>
      <c r="E1815" t="s">
        <v>74</v>
      </c>
      <c r="F1815">
        <v>24.82133</v>
      </c>
      <c r="G1815" t="s">
        <v>75</v>
      </c>
      <c r="H1815">
        <v>24821.329000000002</v>
      </c>
      <c r="I1815" t="s">
        <v>76</v>
      </c>
      <c r="J1815" t="s">
        <v>77</v>
      </c>
    </row>
    <row r="1816" spans="1:11" x14ac:dyDescent="0.3">
      <c r="A1816" t="s">
        <v>83</v>
      </c>
      <c r="B1816">
        <v>1000</v>
      </c>
      <c r="C1816" t="s">
        <v>80</v>
      </c>
      <c r="D1816">
        <v>2.5001329999999999E-2</v>
      </c>
      <c r="E1816" t="s">
        <v>74</v>
      </c>
      <c r="F1816">
        <v>25.001329999999999</v>
      </c>
      <c r="G1816" t="s">
        <v>75</v>
      </c>
      <c r="H1816">
        <v>25001.332999999999</v>
      </c>
      <c r="I1816" t="s">
        <v>76</v>
      </c>
      <c r="J1816" t="s">
        <v>77</v>
      </c>
    </row>
    <row r="1817" spans="1:11" x14ac:dyDescent="0.3">
      <c r="A1817" t="s">
        <v>83</v>
      </c>
      <c r="B1817">
        <v>1000</v>
      </c>
      <c r="C1817" t="s">
        <v>81</v>
      </c>
      <c r="D1817">
        <v>2.5002980000000001E-2</v>
      </c>
      <c r="E1817" t="s">
        <v>74</v>
      </c>
      <c r="F1817">
        <v>25.002980000000001</v>
      </c>
      <c r="G1817" t="s">
        <v>75</v>
      </c>
      <c r="H1817">
        <v>25002.978999999999</v>
      </c>
      <c r="I1817" t="s">
        <v>76</v>
      </c>
      <c r="J1817" t="s">
        <v>82</v>
      </c>
      <c r="K1817">
        <v>39.9952337</v>
      </c>
    </row>
    <row r="1818" spans="1:11" x14ac:dyDescent="0.3">
      <c r="A1818" t="s">
        <v>84</v>
      </c>
      <c r="B1818">
        <v>1001</v>
      </c>
      <c r="C1818" t="s">
        <v>79</v>
      </c>
      <c r="D1818">
        <v>4.5800000000000002E-6</v>
      </c>
      <c r="E1818" t="s">
        <v>74</v>
      </c>
      <c r="F1818">
        <v>4.5799999999999999E-3</v>
      </c>
      <c r="G1818" t="s">
        <v>75</v>
      </c>
      <c r="H1818">
        <v>4.5780000000000003</v>
      </c>
      <c r="I1818" t="s">
        <v>76</v>
      </c>
      <c r="J1818" t="s">
        <v>77</v>
      </c>
    </row>
    <row r="1819" spans="1:11" x14ac:dyDescent="0.3">
      <c r="A1819" t="s">
        <v>84</v>
      </c>
      <c r="B1819">
        <v>1001</v>
      </c>
      <c r="C1819" t="s">
        <v>94</v>
      </c>
      <c r="D1819">
        <v>2.4824929999999999E-2</v>
      </c>
      <c r="E1819" t="s">
        <v>74</v>
      </c>
      <c r="F1819">
        <v>24.824929999999998</v>
      </c>
      <c r="G1819" t="s">
        <v>75</v>
      </c>
      <c r="H1819">
        <v>24824.931</v>
      </c>
      <c r="I1819" t="s">
        <v>76</v>
      </c>
      <c r="J1819" t="s">
        <v>77</v>
      </c>
    </row>
    <row r="1820" spans="1:11" x14ac:dyDescent="0.3">
      <c r="A1820" t="s">
        <v>84</v>
      </c>
      <c r="B1820">
        <v>1001</v>
      </c>
      <c r="C1820" t="s">
        <v>80</v>
      </c>
      <c r="D1820">
        <v>2.5004760000000001E-2</v>
      </c>
      <c r="E1820" t="s">
        <v>74</v>
      </c>
      <c r="F1820">
        <v>25.004760000000001</v>
      </c>
      <c r="G1820" t="s">
        <v>75</v>
      </c>
      <c r="H1820">
        <v>25004.756000000001</v>
      </c>
      <c r="I1820" t="s">
        <v>76</v>
      </c>
      <c r="J1820" t="s">
        <v>77</v>
      </c>
    </row>
    <row r="1821" spans="1:11" x14ac:dyDescent="0.3">
      <c r="A1821" t="s">
        <v>84</v>
      </c>
      <c r="B1821">
        <v>1001</v>
      </c>
      <c r="C1821" t="s">
        <v>81</v>
      </c>
      <c r="D1821">
        <v>2.5010629999999999E-2</v>
      </c>
      <c r="E1821" t="s">
        <v>74</v>
      </c>
      <c r="F1821">
        <v>25.010629999999999</v>
      </c>
      <c r="G1821" t="s">
        <v>75</v>
      </c>
      <c r="H1821">
        <v>25010.628000000001</v>
      </c>
      <c r="I1821" t="s">
        <v>76</v>
      </c>
      <c r="J1821" t="s">
        <v>82</v>
      </c>
      <c r="K1821">
        <v>39.9830021</v>
      </c>
    </row>
    <row r="1822" spans="1:11" x14ac:dyDescent="0.3">
      <c r="A1822" t="s">
        <v>85</v>
      </c>
      <c r="B1822">
        <v>1001</v>
      </c>
      <c r="C1822" t="s">
        <v>86</v>
      </c>
      <c r="D1822">
        <v>2.5010939999999999E-2</v>
      </c>
      <c r="E1822" t="s">
        <v>74</v>
      </c>
      <c r="F1822">
        <v>25.010940000000002</v>
      </c>
      <c r="G1822" t="s">
        <v>75</v>
      </c>
      <c r="H1822">
        <v>25010.942999999999</v>
      </c>
      <c r="I1822" t="s">
        <v>76</v>
      </c>
      <c r="J1822" t="s">
        <v>82</v>
      </c>
      <c r="K1822">
        <v>39.982499500000003</v>
      </c>
    </row>
    <row r="1823" spans="1:11" x14ac:dyDescent="0.3">
      <c r="A1823" t="s">
        <v>115</v>
      </c>
    </row>
    <row r="1824" spans="1:11" x14ac:dyDescent="0.3">
      <c r="A1824" t="s">
        <v>127</v>
      </c>
    </row>
    <row r="1825" spans="1:11" x14ac:dyDescent="0.3">
      <c r="A1825" t="s">
        <v>87</v>
      </c>
    </row>
    <row r="1826" spans="1:11" x14ac:dyDescent="0.3">
      <c r="A1826" t="s">
        <v>157</v>
      </c>
    </row>
    <row r="1827" spans="1:11" x14ac:dyDescent="0.3">
      <c r="A1827" t="s">
        <v>72</v>
      </c>
      <c r="B1827">
        <v>1</v>
      </c>
      <c r="C1827" t="s">
        <v>81</v>
      </c>
      <c r="D1827">
        <v>0.45999011000000001</v>
      </c>
      <c r="E1827" t="s">
        <v>74</v>
      </c>
      <c r="F1827">
        <v>459.99011000000002</v>
      </c>
      <c r="G1827" t="s">
        <v>75</v>
      </c>
      <c r="H1827">
        <v>459990.114</v>
      </c>
      <c r="I1827" t="s">
        <v>76</v>
      </c>
      <c r="J1827" t="s">
        <v>82</v>
      </c>
      <c r="K1827">
        <v>2.1739598</v>
      </c>
    </row>
    <row r="1828" spans="1:11" x14ac:dyDescent="0.3">
      <c r="A1828" t="s">
        <v>83</v>
      </c>
      <c r="B1828">
        <v>1000</v>
      </c>
      <c r="C1828" t="s">
        <v>81</v>
      </c>
      <c r="D1828">
        <v>1.7067160000000001E-2</v>
      </c>
      <c r="E1828" t="s">
        <v>74</v>
      </c>
      <c r="F1828">
        <v>17.067160000000001</v>
      </c>
      <c r="G1828" t="s">
        <v>75</v>
      </c>
      <c r="H1828">
        <v>17067.155999999999</v>
      </c>
      <c r="I1828" t="s">
        <v>76</v>
      </c>
      <c r="J1828" t="s">
        <v>82</v>
      </c>
      <c r="K1828">
        <v>58.5920706</v>
      </c>
    </row>
    <row r="1829" spans="1:11" x14ac:dyDescent="0.3">
      <c r="A1829" t="s">
        <v>85</v>
      </c>
      <c r="B1829">
        <v>1001</v>
      </c>
      <c r="C1829" t="s">
        <v>86</v>
      </c>
      <c r="D1829">
        <v>1.7509810000000001E-2</v>
      </c>
      <c r="E1829" t="s">
        <v>74</v>
      </c>
      <c r="F1829">
        <v>17.509810000000002</v>
      </c>
      <c r="G1829" t="s">
        <v>75</v>
      </c>
      <c r="H1829">
        <v>17509.809000000001</v>
      </c>
      <c r="I1829" t="s">
        <v>76</v>
      </c>
      <c r="J1829" t="s">
        <v>82</v>
      </c>
      <c r="K1829">
        <v>57.1108452</v>
      </c>
    </row>
    <row r="1831" spans="1:11" x14ac:dyDescent="0.3">
      <c r="A1831" t="s">
        <v>158</v>
      </c>
    </row>
    <row r="1832" spans="1:11" x14ac:dyDescent="0.3">
      <c r="A1832" t="s">
        <v>72</v>
      </c>
      <c r="B1832">
        <v>1</v>
      </c>
      <c r="C1832" t="s">
        <v>81</v>
      </c>
      <c r="D1832">
        <v>3.26597E-2</v>
      </c>
      <c r="E1832" t="s">
        <v>74</v>
      </c>
      <c r="F1832">
        <v>32.659700000000001</v>
      </c>
      <c r="G1832" t="s">
        <v>75</v>
      </c>
      <c r="H1832">
        <v>32659.698</v>
      </c>
      <c r="I1832" t="s">
        <v>76</v>
      </c>
      <c r="J1832" t="s">
        <v>82</v>
      </c>
      <c r="K1832">
        <v>30.618776400000002</v>
      </c>
    </row>
    <row r="1833" spans="1:11" x14ac:dyDescent="0.3">
      <c r="A1833" t="s">
        <v>83</v>
      </c>
      <c r="B1833">
        <v>1000</v>
      </c>
      <c r="C1833" t="s">
        <v>81</v>
      </c>
      <c r="D1833">
        <v>2.5002980000000001E-2</v>
      </c>
      <c r="E1833" t="s">
        <v>74</v>
      </c>
      <c r="F1833">
        <v>25.002980000000001</v>
      </c>
      <c r="G1833" t="s">
        <v>75</v>
      </c>
      <c r="H1833">
        <v>25002.978999999999</v>
      </c>
      <c r="I1833" t="s">
        <v>76</v>
      </c>
      <c r="J1833" t="s">
        <v>82</v>
      </c>
      <c r="K1833">
        <v>39.9952337</v>
      </c>
    </row>
    <row r="1834" spans="1:11" x14ac:dyDescent="0.3">
      <c r="A1834" t="s">
        <v>85</v>
      </c>
      <c r="B1834">
        <v>1001</v>
      </c>
      <c r="C1834" t="s">
        <v>86</v>
      </c>
      <c r="D1834">
        <v>2.5010939999999999E-2</v>
      </c>
      <c r="E1834" t="s">
        <v>74</v>
      </c>
      <c r="F1834">
        <v>25.010940000000002</v>
      </c>
      <c r="G1834" t="s">
        <v>75</v>
      </c>
      <c r="H1834">
        <v>25010.942999999999</v>
      </c>
      <c r="I1834" t="s">
        <v>76</v>
      </c>
      <c r="J1834" t="s">
        <v>82</v>
      </c>
      <c r="K1834">
        <v>39.982499500000003</v>
      </c>
    </row>
    <row r="1836" spans="1:11" x14ac:dyDescent="0.3">
      <c r="A1836" t="s">
        <v>66</v>
      </c>
    </row>
    <row r="1838" spans="1:11" x14ac:dyDescent="0.3">
      <c r="A1838" t="s">
        <v>230</v>
      </c>
    </row>
    <row r="1839" spans="1:11" x14ac:dyDescent="0.3">
      <c r="A1839" t="s">
        <v>68</v>
      </c>
    </row>
    <row r="1840" spans="1:11" x14ac:dyDescent="0.3">
      <c r="A1840" t="s">
        <v>69</v>
      </c>
    </row>
    <row r="1841" spans="1:1" x14ac:dyDescent="0.3">
      <c r="A1841" t="s">
        <v>70</v>
      </c>
    </row>
    <row r="1842" spans="1:1" x14ac:dyDescent="0.3">
      <c r="A1842" t="s">
        <v>115</v>
      </c>
    </row>
    <row r="1843" spans="1:1" x14ac:dyDescent="0.3">
      <c r="A1843" t="s">
        <v>116</v>
      </c>
    </row>
    <row r="1844" spans="1:1" x14ac:dyDescent="0.3">
      <c r="A1844" t="s">
        <v>117</v>
      </c>
    </row>
    <row r="1845" spans="1:1" x14ac:dyDescent="0.3">
      <c r="A1845" t="s">
        <v>118</v>
      </c>
    </row>
    <row r="1846" spans="1:1" x14ac:dyDescent="0.3">
      <c r="A1846" t="s">
        <v>119</v>
      </c>
    </row>
    <row r="1847" spans="1:1" x14ac:dyDescent="0.3">
      <c r="A1847" t="s">
        <v>120</v>
      </c>
    </row>
    <row r="1848" spans="1:1" x14ac:dyDescent="0.3">
      <c r="A1848" t="s">
        <v>121</v>
      </c>
    </row>
    <row r="1849" spans="1:1" x14ac:dyDescent="0.3">
      <c r="A1849" t="s">
        <v>122</v>
      </c>
    </row>
    <row r="1850" spans="1:1" x14ac:dyDescent="0.3">
      <c r="A1850" t="s">
        <v>123</v>
      </c>
    </row>
    <row r="1851" spans="1:1" x14ac:dyDescent="0.3">
      <c r="A1851" t="s">
        <v>124</v>
      </c>
    </row>
    <row r="1852" spans="1:1" x14ac:dyDescent="0.3">
      <c r="A1852" t="s">
        <v>125</v>
      </c>
    </row>
    <row r="1853" spans="1:1" x14ac:dyDescent="0.3">
      <c r="A1853" t="s">
        <v>126</v>
      </c>
    </row>
    <row r="1854" spans="1:1" x14ac:dyDescent="0.3">
      <c r="A1854" t="s">
        <v>127</v>
      </c>
    </row>
    <row r="1855" spans="1:1" x14ac:dyDescent="0.3">
      <c r="A1855" t="s">
        <v>160</v>
      </c>
    </row>
    <row r="1856" spans="1:1" x14ac:dyDescent="0.3">
      <c r="A1856" t="s">
        <v>161</v>
      </c>
    </row>
    <row r="1857" spans="1:11" x14ac:dyDescent="0.3">
      <c r="A1857" t="s">
        <v>72</v>
      </c>
      <c r="B1857">
        <v>1</v>
      </c>
      <c r="C1857" t="s">
        <v>73</v>
      </c>
      <c r="D1857">
        <v>3.8999999999999999E-6</v>
      </c>
      <c r="E1857" t="s">
        <v>74</v>
      </c>
      <c r="F1857">
        <v>3.8999999999999998E-3</v>
      </c>
      <c r="G1857" t="s">
        <v>75</v>
      </c>
      <c r="H1857">
        <v>3.9</v>
      </c>
      <c r="I1857" t="s">
        <v>76</v>
      </c>
      <c r="J1857" t="s">
        <v>77</v>
      </c>
    </row>
    <row r="1858" spans="1:11" x14ac:dyDescent="0.3">
      <c r="A1858" t="s">
        <v>72</v>
      </c>
      <c r="B1858">
        <v>1</v>
      </c>
      <c r="C1858" t="s">
        <v>78</v>
      </c>
      <c r="D1858">
        <v>0.13210179999999999</v>
      </c>
      <c r="E1858" t="s">
        <v>74</v>
      </c>
      <c r="F1858">
        <v>132.1018</v>
      </c>
      <c r="G1858" t="s">
        <v>75</v>
      </c>
      <c r="H1858">
        <v>132101.804</v>
      </c>
      <c r="I1858" t="s">
        <v>76</v>
      </c>
      <c r="J1858" t="s">
        <v>77</v>
      </c>
    </row>
    <row r="1859" spans="1:11" x14ac:dyDescent="0.3">
      <c r="A1859" t="s">
        <v>72</v>
      </c>
      <c r="B1859">
        <v>1</v>
      </c>
      <c r="C1859" t="s">
        <v>79</v>
      </c>
      <c r="D1859">
        <v>0.29490650000000002</v>
      </c>
      <c r="E1859" t="s">
        <v>74</v>
      </c>
      <c r="F1859">
        <v>294.90649999999999</v>
      </c>
      <c r="G1859" t="s">
        <v>75</v>
      </c>
      <c r="H1859">
        <v>294906.49699999997</v>
      </c>
      <c r="I1859" t="s">
        <v>76</v>
      </c>
      <c r="J1859" t="s">
        <v>77</v>
      </c>
    </row>
    <row r="1860" spans="1:11" x14ac:dyDescent="0.3">
      <c r="A1860" t="s">
        <v>72</v>
      </c>
      <c r="B1860">
        <v>1</v>
      </c>
      <c r="C1860" t="s">
        <v>94</v>
      </c>
      <c r="D1860">
        <v>0.17206930000000001</v>
      </c>
      <c r="E1860" t="s">
        <v>74</v>
      </c>
      <c r="F1860">
        <v>172.0693</v>
      </c>
      <c r="G1860" t="s">
        <v>75</v>
      </c>
      <c r="H1860">
        <v>172069.296</v>
      </c>
      <c r="I1860" t="s">
        <v>76</v>
      </c>
      <c r="J1860" t="s">
        <v>77</v>
      </c>
    </row>
    <row r="1861" spans="1:11" x14ac:dyDescent="0.3">
      <c r="A1861" t="s">
        <v>72</v>
      </c>
      <c r="B1861">
        <v>1</v>
      </c>
      <c r="C1861" t="s">
        <v>80</v>
      </c>
      <c r="D1861">
        <v>0.17206979999999999</v>
      </c>
      <c r="E1861" t="s">
        <v>74</v>
      </c>
      <c r="F1861">
        <v>172.06979999999999</v>
      </c>
      <c r="G1861" t="s">
        <v>75</v>
      </c>
      <c r="H1861">
        <v>172069.80300000001</v>
      </c>
      <c r="I1861" t="s">
        <v>76</v>
      </c>
      <c r="J1861" t="s">
        <v>77</v>
      </c>
    </row>
    <row r="1862" spans="1:11" x14ac:dyDescent="0.3">
      <c r="A1862" t="s">
        <v>72</v>
      </c>
      <c r="B1862">
        <v>1</v>
      </c>
      <c r="C1862" t="s">
        <v>81</v>
      </c>
      <c r="D1862">
        <v>0.46697949999999999</v>
      </c>
      <c r="E1862" t="s">
        <v>74</v>
      </c>
      <c r="F1862">
        <v>466.97949999999997</v>
      </c>
      <c r="G1862" t="s">
        <v>75</v>
      </c>
      <c r="H1862">
        <v>466979.50400000002</v>
      </c>
      <c r="I1862" t="s">
        <v>76</v>
      </c>
      <c r="J1862" t="s">
        <v>82</v>
      </c>
      <c r="K1862">
        <v>2.1414216000000001</v>
      </c>
    </row>
    <row r="1863" spans="1:11" x14ac:dyDescent="0.3">
      <c r="A1863" t="s">
        <v>83</v>
      </c>
      <c r="B1863">
        <v>1000</v>
      </c>
      <c r="C1863" t="s">
        <v>79</v>
      </c>
      <c r="D1863">
        <v>1.9000000000000001E-7</v>
      </c>
      <c r="E1863" t="s">
        <v>74</v>
      </c>
      <c r="F1863">
        <v>1.9000000000000001E-4</v>
      </c>
      <c r="G1863" t="s">
        <v>75</v>
      </c>
      <c r="H1863">
        <v>0.19500000000000001</v>
      </c>
      <c r="I1863" t="s">
        <v>76</v>
      </c>
      <c r="J1863" t="s">
        <v>77</v>
      </c>
    </row>
    <row r="1864" spans="1:11" x14ac:dyDescent="0.3">
      <c r="A1864" t="s">
        <v>83</v>
      </c>
      <c r="B1864">
        <v>1000</v>
      </c>
      <c r="C1864" t="s">
        <v>94</v>
      </c>
      <c r="D1864">
        <v>1.636667E-2</v>
      </c>
      <c r="E1864" t="s">
        <v>74</v>
      </c>
      <c r="F1864">
        <v>16.366669999999999</v>
      </c>
      <c r="G1864" t="s">
        <v>75</v>
      </c>
      <c r="H1864">
        <v>16366.673000000001</v>
      </c>
      <c r="I1864" t="s">
        <v>76</v>
      </c>
      <c r="J1864" t="s">
        <v>77</v>
      </c>
    </row>
    <row r="1865" spans="1:11" x14ac:dyDescent="0.3">
      <c r="A1865" t="s">
        <v>83</v>
      </c>
      <c r="B1865">
        <v>1000</v>
      </c>
      <c r="C1865" t="s">
        <v>80</v>
      </c>
      <c r="D1865">
        <v>1.6367030000000001E-2</v>
      </c>
      <c r="E1865" t="s">
        <v>74</v>
      </c>
      <c r="F1865">
        <v>16.36703</v>
      </c>
      <c r="G1865" t="s">
        <v>75</v>
      </c>
      <c r="H1865">
        <v>16367.035</v>
      </c>
      <c r="I1865" t="s">
        <v>76</v>
      </c>
      <c r="J1865" t="s">
        <v>77</v>
      </c>
    </row>
    <row r="1866" spans="1:11" x14ac:dyDescent="0.3">
      <c r="A1866" t="s">
        <v>83</v>
      </c>
      <c r="B1866">
        <v>1000</v>
      </c>
      <c r="C1866" t="s">
        <v>81</v>
      </c>
      <c r="D1866">
        <v>1.636802E-2</v>
      </c>
      <c r="E1866" t="s">
        <v>74</v>
      </c>
      <c r="F1866">
        <v>16.368020000000001</v>
      </c>
      <c r="G1866" t="s">
        <v>75</v>
      </c>
      <c r="H1866">
        <v>16368.014999999999</v>
      </c>
      <c r="I1866" t="s">
        <v>76</v>
      </c>
      <c r="J1866" t="s">
        <v>82</v>
      </c>
      <c r="K1866">
        <v>61.094762099999997</v>
      </c>
    </row>
    <row r="1867" spans="1:11" x14ac:dyDescent="0.3">
      <c r="A1867" t="s">
        <v>84</v>
      </c>
      <c r="B1867">
        <v>1001</v>
      </c>
      <c r="C1867" t="s">
        <v>79</v>
      </c>
      <c r="D1867">
        <v>2.9481E-4</v>
      </c>
      <c r="E1867" t="s">
        <v>74</v>
      </c>
      <c r="F1867">
        <v>0.29481000000000002</v>
      </c>
      <c r="G1867" t="s">
        <v>75</v>
      </c>
      <c r="H1867">
        <v>294.80500000000001</v>
      </c>
      <c r="I1867" t="s">
        <v>76</v>
      </c>
      <c r="J1867" t="s">
        <v>77</v>
      </c>
    </row>
    <row r="1868" spans="1:11" x14ac:dyDescent="0.3">
      <c r="A1868" t="s">
        <v>84</v>
      </c>
      <c r="B1868">
        <v>1001</v>
      </c>
      <c r="C1868" t="s">
        <v>94</v>
      </c>
      <c r="D1868">
        <v>1.6522220000000001E-2</v>
      </c>
      <c r="E1868" t="s">
        <v>74</v>
      </c>
      <c r="F1868">
        <v>16.522220000000001</v>
      </c>
      <c r="G1868" t="s">
        <v>75</v>
      </c>
      <c r="H1868">
        <v>16522.218000000001</v>
      </c>
      <c r="I1868" t="s">
        <v>76</v>
      </c>
      <c r="J1868" t="s">
        <v>77</v>
      </c>
    </row>
    <row r="1869" spans="1:11" x14ac:dyDescent="0.3">
      <c r="A1869" t="s">
        <v>84</v>
      </c>
      <c r="B1869">
        <v>1001</v>
      </c>
      <c r="C1869" t="s">
        <v>80</v>
      </c>
      <c r="D1869">
        <v>1.652259E-2</v>
      </c>
      <c r="E1869" t="s">
        <v>74</v>
      </c>
      <c r="F1869">
        <v>16.522590000000001</v>
      </c>
      <c r="G1869" t="s">
        <v>75</v>
      </c>
      <c r="H1869">
        <v>16522.585999999999</v>
      </c>
      <c r="I1869" t="s">
        <v>76</v>
      </c>
      <c r="J1869" t="s">
        <v>77</v>
      </c>
    </row>
    <row r="1870" spans="1:11" x14ac:dyDescent="0.3">
      <c r="A1870" t="s">
        <v>84</v>
      </c>
      <c r="B1870">
        <v>1001</v>
      </c>
      <c r="C1870" t="s">
        <v>81</v>
      </c>
      <c r="D1870">
        <v>1.6818179999999999E-2</v>
      </c>
      <c r="E1870" t="s">
        <v>74</v>
      </c>
      <c r="F1870">
        <v>16.818180000000002</v>
      </c>
      <c r="G1870" t="s">
        <v>75</v>
      </c>
      <c r="H1870">
        <v>16818.177</v>
      </c>
      <c r="I1870" t="s">
        <v>76</v>
      </c>
      <c r="J1870" t="s">
        <v>82</v>
      </c>
      <c r="K1870">
        <v>59.459476199999997</v>
      </c>
    </row>
    <row r="1871" spans="1:11" x14ac:dyDescent="0.3">
      <c r="A1871" t="s">
        <v>85</v>
      </c>
      <c r="B1871">
        <v>1001</v>
      </c>
      <c r="C1871" t="s">
        <v>86</v>
      </c>
      <c r="D1871">
        <v>1.6818389999999999E-2</v>
      </c>
      <c r="E1871" t="s">
        <v>74</v>
      </c>
      <c r="F1871">
        <v>16.818390000000001</v>
      </c>
      <c r="G1871" t="s">
        <v>75</v>
      </c>
      <c r="H1871">
        <v>16818.388999999999</v>
      </c>
      <c r="I1871" t="s">
        <v>76</v>
      </c>
      <c r="J1871" t="s">
        <v>82</v>
      </c>
      <c r="K1871">
        <v>59.458728399999998</v>
      </c>
    </row>
    <row r="1872" spans="1:11" x14ac:dyDescent="0.3">
      <c r="A1872" t="s">
        <v>162</v>
      </c>
    </row>
    <row r="1873" spans="1:11" x14ac:dyDescent="0.3">
      <c r="A1873" t="s">
        <v>163</v>
      </c>
    </row>
    <row r="1874" spans="1:11" x14ac:dyDescent="0.3">
      <c r="A1874" t="s">
        <v>72</v>
      </c>
      <c r="B1874">
        <v>1</v>
      </c>
      <c r="C1874" t="s">
        <v>73</v>
      </c>
      <c r="D1874">
        <v>3.8999999999999999E-6</v>
      </c>
      <c r="E1874" t="s">
        <v>74</v>
      </c>
      <c r="F1874">
        <v>3.8999999999999998E-3</v>
      </c>
      <c r="G1874" t="s">
        <v>75</v>
      </c>
      <c r="H1874">
        <v>3.9</v>
      </c>
      <c r="I1874" t="s">
        <v>76</v>
      </c>
      <c r="J1874" t="s">
        <v>77</v>
      </c>
    </row>
    <row r="1875" spans="1:11" x14ac:dyDescent="0.3">
      <c r="A1875" t="s">
        <v>72</v>
      </c>
      <c r="B1875">
        <v>1</v>
      </c>
      <c r="C1875" t="s">
        <v>78</v>
      </c>
      <c r="D1875">
        <v>4.5099999999999998E-5</v>
      </c>
      <c r="E1875" t="s">
        <v>74</v>
      </c>
      <c r="F1875">
        <v>4.5100000000000001E-2</v>
      </c>
      <c r="G1875" t="s">
        <v>75</v>
      </c>
      <c r="H1875">
        <v>45.1</v>
      </c>
      <c r="I1875" t="s">
        <v>76</v>
      </c>
      <c r="J1875" t="s">
        <v>77</v>
      </c>
    </row>
    <row r="1876" spans="1:11" x14ac:dyDescent="0.3">
      <c r="A1876" t="s">
        <v>72</v>
      </c>
      <c r="B1876">
        <v>1</v>
      </c>
      <c r="C1876" t="s">
        <v>79</v>
      </c>
      <c r="D1876">
        <v>3.4791000000000002E-3</v>
      </c>
      <c r="E1876" t="s">
        <v>74</v>
      </c>
      <c r="F1876">
        <v>3.4790999999999999</v>
      </c>
      <c r="G1876" t="s">
        <v>75</v>
      </c>
      <c r="H1876">
        <v>3479.1</v>
      </c>
      <c r="I1876" t="s">
        <v>76</v>
      </c>
      <c r="J1876" t="s">
        <v>77</v>
      </c>
    </row>
    <row r="1877" spans="1:11" x14ac:dyDescent="0.3">
      <c r="A1877" t="s">
        <v>72</v>
      </c>
      <c r="B1877">
        <v>1</v>
      </c>
      <c r="C1877" t="s">
        <v>94</v>
      </c>
      <c r="D1877">
        <v>2.6951200000000002E-2</v>
      </c>
      <c r="E1877" t="s">
        <v>74</v>
      </c>
      <c r="F1877">
        <v>26.9512</v>
      </c>
      <c r="G1877" t="s">
        <v>75</v>
      </c>
      <c r="H1877">
        <v>26951.199000000001</v>
      </c>
      <c r="I1877" t="s">
        <v>76</v>
      </c>
      <c r="J1877" t="s">
        <v>77</v>
      </c>
    </row>
    <row r="1878" spans="1:11" x14ac:dyDescent="0.3">
      <c r="A1878" t="s">
        <v>72</v>
      </c>
      <c r="B1878">
        <v>1</v>
      </c>
      <c r="C1878" t="s">
        <v>80</v>
      </c>
      <c r="D1878">
        <v>2.69521E-2</v>
      </c>
      <c r="E1878" t="s">
        <v>74</v>
      </c>
      <c r="F1878">
        <v>26.952100000000002</v>
      </c>
      <c r="G1878" t="s">
        <v>75</v>
      </c>
      <c r="H1878">
        <v>26952.100999999999</v>
      </c>
      <c r="I1878" t="s">
        <v>76</v>
      </c>
      <c r="J1878" t="s">
        <v>77</v>
      </c>
    </row>
    <row r="1879" spans="1:11" x14ac:dyDescent="0.3">
      <c r="A1879" t="s">
        <v>72</v>
      </c>
      <c r="B1879">
        <v>1</v>
      </c>
      <c r="C1879" t="s">
        <v>81</v>
      </c>
      <c r="D1879">
        <v>3.0432000000000001E-2</v>
      </c>
      <c r="E1879" t="s">
        <v>74</v>
      </c>
      <c r="F1879">
        <v>30.431999999999999</v>
      </c>
      <c r="G1879" t="s">
        <v>75</v>
      </c>
      <c r="H1879">
        <v>30432.001</v>
      </c>
      <c r="I1879" t="s">
        <v>76</v>
      </c>
      <c r="J1879" t="s">
        <v>82</v>
      </c>
      <c r="K1879">
        <v>32.860146399999998</v>
      </c>
    </row>
    <row r="1880" spans="1:11" x14ac:dyDescent="0.3">
      <c r="A1880" t="s">
        <v>83</v>
      </c>
      <c r="B1880">
        <v>1000</v>
      </c>
      <c r="C1880" t="s">
        <v>79</v>
      </c>
      <c r="D1880">
        <v>4.4999999999999998E-7</v>
      </c>
      <c r="E1880" t="s">
        <v>74</v>
      </c>
      <c r="F1880">
        <v>4.4999999999999999E-4</v>
      </c>
      <c r="G1880" t="s">
        <v>75</v>
      </c>
      <c r="H1880">
        <v>0.44600000000000001</v>
      </c>
      <c r="I1880" t="s">
        <v>76</v>
      </c>
      <c r="J1880" t="s">
        <v>77</v>
      </c>
    </row>
    <row r="1881" spans="1:11" x14ac:dyDescent="0.3">
      <c r="A1881" t="s">
        <v>83</v>
      </c>
      <c r="B1881">
        <v>1000</v>
      </c>
      <c r="C1881" t="s">
        <v>94</v>
      </c>
      <c r="D1881">
        <v>2.4296419999999999E-2</v>
      </c>
      <c r="E1881" t="s">
        <v>74</v>
      </c>
      <c r="F1881">
        <v>24.296420000000001</v>
      </c>
      <c r="G1881" t="s">
        <v>75</v>
      </c>
      <c r="H1881">
        <v>24296.419000000002</v>
      </c>
      <c r="I1881" t="s">
        <v>76</v>
      </c>
      <c r="J1881" t="s">
        <v>77</v>
      </c>
    </row>
    <row r="1882" spans="1:11" x14ac:dyDescent="0.3">
      <c r="A1882" t="s">
        <v>83</v>
      </c>
      <c r="B1882">
        <v>1000</v>
      </c>
      <c r="C1882" t="s">
        <v>80</v>
      </c>
      <c r="D1882">
        <v>2.4474849999999999E-2</v>
      </c>
      <c r="E1882" t="s">
        <v>74</v>
      </c>
      <c r="F1882">
        <v>24.47485</v>
      </c>
      <c r="G1882" t="s">
        <v>75</v>
      </c>
      <c r="H1882">
        <v>24474.853999999999</v>
      </c>
      <c r="I1882" t="s">
        <v>76</v>
      </c>
      <c r="J1882" t="s">
        <v>77</v>
      </c>
    </row>
    <row r="1883" spans="1:11" x14ac:dyDescent="0.3">
      <c r="A1883" t="s">
        <v>83</v>
      </c>
      <c r="B1883">
        <v>1000</v>
      </c>
      <c r="C1883" t="s">
        <v>81</v>
      </c>
      <c r="D1883">
        <v>2.447645E-2</v>
      </c>
      <c r="E1883" t="s">
        <v>74</v>
      </c>
      <c r="F1883">
        <v>24.47645</v>
      </c>
      <c r="G1883" t="s">
        <v>75</v>
      </c>
      <c r="H1883">
        <v>24476.45</v>
      </c>
      <c r="I1883" t="s">
        <v>76</v>
      </c>
      <c r="J1883" t="s">
        <v>82</v>
      </c>
      <c r="K1883">
        <v>40.855598000000001</v>
      </c>
    </row>
    <row r="1884" spans="1:11" x14ac:dyDescent="0.3">
      <c r="A1884" t="s">
        <v>84</v>
      </c>
      <c r="B1884">
        <v>1001</v>
      </c>
      <c r="C1884" t="s">
        <v>79</v>
      </c>
      <c r="D1884">
        <v>3.9199999999999997E-6</v>
      </c>
      <c r="E1884" t="s">
        <v>74</v>
      </c>
      <c r="F1884">
        <v>3.9199999999999999E-3</v>
      </c>
      <c r="G1884" t="s">
        <v>75</v>
      </c>
      <c r="H1884">
        <v>3.9209999999999998</v>
      </c>
      <c r="I1884" t="s">
        <v>76</v>
      </c>
      <c r="J1884" t="s">
        <v>77</v>
      </c>
    </row>
    <row r="1885" spans="1:11" x14ac:dyDescent="0.3">
      <c r="A1885" t="s">
        <v>84</v>
      </c>
      <c r="B1885">
        <v>1001</v>
      </c>
      <c r="C1885" t="s">
        <v>94</v>
      </c>
      <c r="D1885">
        <v>2.4299069999999999E-2</v>
      </c>
      <c r="E1885" t="s">
        <v>74</v>
      </c>
      <c r="F1885">
        <v>24.29907</v>
      </c>
      <c r="G1885" t="s">
        <v>75</v>
      </c>
      <c r="H1885">
        <v>24299.071</v>
      </c>
      <c r="I1885" t="s">
        <v>76</v>
      </c>
      <c r="J1885" t="s">
        <v>77</v>
      </c>
    </row>
    <row r="1886" spans="1:11" x14ac:dyDescent="0.3">
      <c r="A1886" t="s">
        <v>84</v>
      </c>
      <c r="B1886">
        <v>1001</v>
      </c>
      <c r="C1886" t="s">
        <v>80</v>
      </c>
      <c r="D1886">
        <v>2.4477329999999999E-2</v>
      </c>
      <c r="E1886" t="s">
        <v>74</v>
      </c>
      <c r="F1886">
        <v>24.477329999999998</v>
      </c>
      <c r="G1886" t="s">
        <v>75</v>
      </c>
      <c r="H1886">
        <v>24477.329000000002</v>
      </c>
      <c r="I1886" t="s">
        <v>76</v>
      </c>
      <c r="J1886" t="s">
        <v>77</v>
      </c>
    </row>
    <row r="1887" spans="1:11" x14ac:dyDescent="0.3">
      <c r="A1887" t="s">
        <v>84</v>
      </c>
      <c r="B1887">
        <v>1001</v>
      </c>
      <c r="C1887" t="s">
        <v>81</v>
      </c>
      <c r="D1887">
        <v>2.4482400000000001E-2</v>
      </c>
      <c r="E1887" t="s">
        <v>74</v>
      </c>
      <c r="F1887">
        <v>24.482399999999998</v>
      </c>
      <c r="G1887" t="s">
        <v>75</v>
      </c>
      <c r="H1887">
        <v>24482.399000000001</v>
      </c>
      <c r="I1887" t="s">
        <v>76</v>
      </c>
      <c r="J1887" t="s">
        <v>82</v>
      </c>
      <c r="K1887">
        <v>40.845669899999997</v>
      </c>
    </row>
    <row r="1888" spans="1:11" x14ac:dyDescent="0.3">
      <c r="A1888" t="s">
        <v>85</v>
      </c>
      <c r="B1888">
        <v>1001</v>
      </c>
      <c r="C1888" t="s">
        <v>86</v>
      </c>
      <c r="D1888">
        <v>2.4482770000000001E-2</v>
      </c>
      <c r="E1888" t="s">
        <v>74</v>
      </c>
      <c r="F1888">
        <v>24.482769999999999</v>
      </c>
      <c r="G1888" t="s">
        <v>75</v>
      </c>
      <c r="H1888">
        <v>24482.773000000001</v>
      </c>
      <c r="I1888" t="s">
        <v>76</v>
      </c>
      <c r="J1888" t="s">
        <v>82</v>
      </c>
      <c r="K1888">
        <v>40.845046799999999</v>
      </c>
    </row>
    <row r="1889" spans="1:11" x14ac:dyDescent="0.3">
      <c r="A1889" t="s">
        <v>115</v>
      </c>
    </row>
    <row r="1890" spans="1:11" x14ac:dyDescent="0.3">
      <c r="A1890" t="s">
        <v>127</v>
      </c>
    </row>
    <row r="1891" spans="1:11" x14ac:dyDescent="0.3">
      <c r="A1891" t="s">
        <v>87</v>
      </c>
    </row>
    <row r="1892" spans="1:11" x14ac:dyDescent="0.3">
      <c r="A1892" t="s">
        <v>164</v>
      </c>
    </row>
    <row r="1893" spans="1:11" x14ac:dyDescent="0.3">
      <c r="A1893" t="s">
        <v>72</v>
      </c>
      <c r="B1893">
        <v>1</v>
      </c>
      <c r="C1893" t="s">
        <v>81</v>
      </c>
      <c r="D1893">
        <v>0.46697949999999999</v>
      </c>
      <c r="E1893" t="s">
        <v>74</v>
      </c>
      <c r="F1893">
        <v>466.97949999999997</v>
      </c>
      <c r="G1893" t="s">
        <v>75</v>
      </c>
      <c r="H1893">
        <v>466979.50400000002</v>
      </c>
      <c r="I1893" t="s">
        <v>76</v>
      </c>
      <c r="J1893" t="s">
        <v>82</v>
      </c>
      <c r="K1893">
        <v>2.1414216000000001</v>
      </c>
    </row>
    <row r="1894" spans="1:11" x14ac:dyDescent="0.3">
      <c r="A1894" t="s">
        <v>83</v>
      </c>
      <c r="B1894">
        <v>1000</v>
      </c>
      <c r="C1894" t="s">
        <v>81</v>
      </c>
      <c r="D1894">
        <v>1.636802E-2</v>
      </c>
      <c r="E1894" t="s">
        <v>74</v>
      </c>
      <c r="F1894">
        <v>16.368020000000001</v>
      </c>
      <c r="G1894" t="s">
        <v>75</v>
      </c>
      <c r="H1894">
        <v>16368.014999999999</v>
      </c>
      <c r="I1894" t="s">
        <v>76</v>
      </c>
      <c r="J1894" t="s">
        <v>82</v>
      </c>
      <c r="K1894">
        <v>61.094762099999997</v>
      </c>
    </row>
    <row r="1895" spans="1:11" x14ac:dyDescent="0.3">
      <c r="A1895" t="s">
        <v>85</v>
      </c>
      <c r="B1895">
        <v>1001</v>
      </c>
      <c r="C1895" t="s">
        <v>86</v>
      </c>
      <c r="D1895">
        <v>1.6818389999999999E-2</v>
      </c>
      <c r="E1895" t="s">
        <v>74</v>
      </c>
      <c r="F1895">
        <v>16.818390000000001</v>
      </c>
      <c r="G1895" t="s">
        <v>75</v>
      </c>
      <c r="H1895">
        <v>16818.388999999999</v>
      </c>
      <c r="I1895" t="s">
        <v>76</v>
      </c>
      <c r="J1895" t="s">
        <v>82</v>
      </c>
      <c r="K1895">
        <v>59.458728399999998</v>
      </c>
    </row>
    <row r="1897" spans="1:11" x14ac:dyDescent="0.3">
      <c r="A1897" t="s">
        <v>165</v>
      </c>
    </row>
    <row r="1898" spans="1:11" x14ac:dyDescent="0.3">
      <c r="A1898" t="s">
        <v>72</v>
      </c>
      <c r="B1898">
        <v>1</v>
      </c>
      <c r="C1898" t="s">
        <v>81</v>
      </c>
      <c r="D1898">
        <v>3.0432000000000001E-2</v>
      </c>
      <c r="E1898" t="s">
        <v>74</v>
      </c>
      <c r="F1898">
        <v>30.431999999999999</v>
      </c>
      <c r="G1898" t="s">
        <v>75</v>
      </c>
      <c r="H1898">
        <v>30432.001</v>
      </c>
      <c r="I1898" t="s">
        <v>76</v>
      </c>
      <c r="J1898" t="s">
        <v>82</v>
      </c>
      <c r="K1898">
        <v>32.860146399999998</v>
      </c>
    </row>
    <row r="1899" spans="1:11" x14ac:dyDescent="0.3">
      <c r="A1899" t="s">
        <v>83</v>
      </c>
      <c r="B1899">
        <v>1000</v>
      </c>
      <c r="C1899" t="s">
        <v>81</v>
      </c>
      <c r="D1899">
        <v>2.447645E-2</v>
      </c>
      <c r="E1899" t="s">
        <v>74</v>
      </c>
      <c r="F1899">
        <v>24.47645</v>
      </c>
      <c r="G1899" t="s">
        <v>75</v>
      </c>
      <c r="H1899">
        <v>24476.45</v>
      </c>
      <c r="I1899" t="s">
        <v>76</v>
      </c>
      <c r="J1899" t="s">
        <v>82</v>
      </c>
      <c r="K1899">
        <v>40.855598000000001</v>
      </c>
    </row>
    <row r="1900" spans="1:11" x14ac:dyDescent="0.3">
      <c r="A1900" t="s">
        <v>85</v>
      </c>
      <c r="B1900">
        <v>1001</v>
      </c>
      <c r="C1900" t="s">
        <v>86</v>
      </c>
      <c r="D1900">
        <v>2.4482770000000001E-2</v>
      </c>
      <c r="E1900" t="s">
        <v>74</v>
      </c>
      <c r="F1900">
        <v>24.482769999999999</v>
      </c>
      <c r="G1900" t="s">
        <v>75</v>
      </c>
      <c r="H1900">
        <v>24482.773000000001</v>
      </c>
      <c r="I1900" t="s">
        <v>76</v>
      </c>
      <c r="J1900" t="s">
        <v>82</v>
      </c>
      <c r="K1900">
        <v>40.845046799999999</v>
      </c>
    </row>
    <row r="1902" spans="1:11" x14ac:dyDescent="0.3">
      <c r="A1902" t="s">
        <v>66</v>
      </c>
    </row>
    <row r="1904" spans="1:11" x14ac:dyDescent="0.3">
      <c r="A1904" t="s">
        <v>231</v>
      </c>
    </row>
    <row r="1905" spans="1:1" x14ac:dyDescent="0.3">
      <c r="A1905" t="s">
        <v>68</v>
      </c>
    </row>
    <row r="1906" spans="1:1" x14ac:dyDescent="0.3">
      <c r="A1906" t="s">
        <v>69</v>
      </c>
    </row>
    <row r="1907" spans="1:1" x14ac:dyDescent="0.3">
      <c r="A1907" t="s">
        <v>70</v>
      </c>
    </row>
    <row r="1908" spans="1:1" x14ac:dyDescent="0.3">
      <c r="A1908" t="s">
        <v>115</v>
      </c>
    </row>
    <row r="1909" spans="1:1" x14ac:dyDescent="0.3">
      <c r="A1909" t="s">
        <v>116</v>
      </c>
    </row>
    <row r="1910" spans="1:1" x14ac:dyDescent="0.3">
      <c r="A1910" t="s">
        <v>117</v>
      </c>
    </row>
    <row r="1911" spans="1:1" x14ac:dyDescent="0.3">
      <c r="A1911" t="s">
        <v>118</v>
      </c>
    </row>
    <row r="1912" spans="1:1" x14ac:dyDescent="0.3">
      <c r="A1912" t="s">
        <v>119</v>
      </c>
    </row>
    <row r="1913" spans="1:1" x14ac:dyDescent="0.3">
      <c r="A1913" t="s">
        <v>120</v>
      </c>
    </row>
    <row r="1914" spans="1:1" x14ac:dyDescent="0.3">
      <c r="A1914" t="s">
        <v>121</v>
      </c>
    </row>
    <row r="1915" spans="1:1" x14ac:dyDescent="0.3">
      <c r="A1915" t="s">
        <v>122</v>
      </c>
    </row>
    <row r="1916" spans="1:1" x14ac:dyDescent="0.3">
      <c r="A1916" t="s">
        <v>123</v>
      </c>
    </row>
    <row r="1917" spans="1:1" x14ac:dyDescent="0.3">
      <c r="A1917" t="s">
        <v>124</v>
      </c>
    </row>
    <row r="1918" spans="1:1" x14ac:dyDescent="0.3">
      <c r="A1918" t="s">
        <v>125</v>
      </c>
    </row>
    <row r="1919" spans="1:1" x14ac:dyDescent="0.3">
      <c r="A1919" t="s">
        <v>126</v>
      </c>
    </row>
    <row r="1920" spans="1:1" x14ac:dyDescent="0.3">
      <c r="A1920" t="s">
        <v>127</v>
      </c>
    </row>
    <row r="1921" spans="1:11" x14ac:dyDescent="0.3">
      <c r="A1921" t="s">
        <v>167</v>
      </c>
    </row>
    <row r="1922" spans="1:11" x14ac:dyDescent="0.3">
      <c r="A1922" t="s">
        <v>168</v>
      </c>
    </row>
    <row r="1923" spans="1:11" x14ac:dyDescent="0.3">
      <c r="A1923" t="s">
        <v>72</v>
      </c>
      <c r="B1923">
        <v>1</v>
      </c>
      <c r="C1923" t="s">
        <v>73</v>
      </c>
      <c r="D1923">
        <v>4.5000000000000001E-6</v>
      </c>
      <c r="E1923" t="s">
        <v>74</v>
      </c>
      <c r="F1923">
        <v>4.4999999999999997E-3</v>
      </c>
      <c r="G1923" t="s">
        <v>75</v>
      </c>
      <c r="H1923">
        <v>4.5</v>
      </c>
      <c r="I1923" t="s">
        <v>76</v>
      </c>
      <c r="J1923" t="s">
        <v>77</v>
      </c>
    </row>
    <row r="1924" spans="1:11" x14ac:dyDescent="0.3">
      <c r="A1924" t="s">
        <v>72</v>
      </c>
      <c r="B1924">
        <v>1</v>
      </c>
      <c r="C1924" t="s">
        <v>78</v>
      </c>
      <c r="D1924">
        <v>0.13956051</v>
      </c>
      <c r="E1924" t="s">
        <v>74</v>
      </c>
      <c r="F1924">
        <v>139.56050999999999</v>
      </c>
      <c r="G1924" t="s">
        <v>75</v>
      </c>
      <c r="H1924">
        <v>139560.50599999999</v>
      </c>
      <c r="I1924" t="s">
        <v>76</v>
      </c>
      <c r="J1924" t="s">
        <v>77</v>
      </c>
    </row>
    <row r="1925" spans="1:11" x14ac:dyDescent="0.3">
      <c r="A1925" t="s">
        <v>72</v>
      </c>
      <c r="B1925">
        <v>1</v>
      </c>
      <c r="C1925" t="s">
        <v>79</v>
      </c>
      <c r="D1925">
        <v>0.27871421000000002</v>
      </c>
      <c r="E1925" t="s">
        <v>74</v>
      </c>
      <c r="F1925">
        <v>278.71420999999998</v>
      </c>
      <c r="G1925" t="s">
        <v>75</v>
      </c>
      <c r="H1925">
        <v>278714.21000000002</v>
      </c>
      <c r="I1925" t="s">
        <v>76</v>
      </c>
      <c r="J1925" t="s">
        <v>77</v>
      </c>
    </row>
    <row r="1926" spans="1:11" x14ac:dyDescent="0.3">
      <c r="A1926" t="s">
        <v>72</v>
      </c>
      <c r="B1926">
        <v>1</v>
      </c>
      <c r="C1926" t="s">
        <v>94</v>
      </c>
      <c r="D1926">
        <v>0.13794111000000001</v>
      </c>
      <c r="E1926" t="s">
        <v>74</v>
      </c>
      <c r="F1926">
        <v>137.94111000000001</v>
      </c>
      <c r="G1926" t="s">
        <v>75</v>
      </c>
      <c r="H1926">
        <v>137941.10699999999</v>
      </c>
      <c r="I1926" t="s">
        <v>76</v>
      </c>
      <c r="J1926" t="s">
        <v>77</v>
      </c>
    </row>
    <row r="1927" spans="1:11" x14ac:dyDescent="0.3">
      <c r="A1927" t="s">
        <v>72</v>
      </c>
      <c r="B1927">
        <v>1</v>
      </c>
      <c r="C1927" t="s">
        <v>80</v>
      </c>
      <c r="D1927">
        <v>0.1379416</v>
      </c>
      <c r="E1927" t="s">
        <v>74</v>
      </c>
      <c r="F1927">
        <v>137.94159999999999</v>
      </c>
      <c r="G1927" t="s">
        <v>75</v>
      </c>
      <c r="H1927">
        <v>137941.59899999999</v>
      </c>
      <c r="I1927" t="s">
        <v>76</v>
      </c>
      <c r="J1927" t="s">
        <v>77</v>
      </c>
    </row>
    <row r="1928" spans="1:11" x14ac:dyDescent="0.3">
      <c r="A1928" t="s">
        <v>72</v>
      </c>
      <c r="B1928">
        <v>1</v>
      </c>
      <c r="C1928" t="s">
        <v>81</v>
      </c>
      <c r="D1928">
        <v>0.41665839999999998</v>
      </c>
      <c r="E1928" t="s">
        <v>74</v>
      </c>
      <c r="F1928">
        <v>416.65839999999997</v>
      </c>
      <c r="G1928" t="s">
        <v>75</v>
      </c>
      <c r="H1928">
        <v>416658.40100000001</v>
      </c>
      <c r="I1928" t="s">
        <v>76</v>
      </c>
      <c r="J1928" t="s">
        <v>82</v>
      </c>
      <c r="K1928">
        <v>2.4000476000000002</v>
      </c>
    </row>
    <row r="1929" spans="1:11" x14ac:dyDescent="0.3">
      <c r="A1929" t="s">
        <v>83</v>
      </c>
      <c r="B1929">
        <v>1000</v>
      </c>
      <c r="C1929" t="s">
        <v>79</v>
      </c>
      <c r="D1929">
        <v>1.3E-7</v>
      </c>
      <c r="E1929" t="s">
        <v>74</v>
      </c>
      <c r="F1929">
        <v>1.2999999999999999E-4</v>
      </c>
      <c r="G1929" t="s">
        <v>75</v>
      </c>
      <c r="H1929">
        <v>0.13100000000000001</v>
      </c>
      <c r="I1929" t="s">
        <v>76</v>
      </c>
      <c r="J1929" t="s">
        <v>77</v>
      </c>
    </row>
    <row r="1930" spans="1:11" x14ac:dyDescent="0.3">
      <c r="A1930" t="s">
        <v>83</v>
      </c>
      <c r="B1930">
        <v>1000</v>
      </c>
      <c r="C1930" t="s">
        <v>94</v>
      </c>
      <c r="D1930">
        <v>6.1983000000000003E-4</v>
      </c>
      <c r="E1930" t="s">
        <v>74</v>
      </c>
      <c r="F1930">
        <v>0.61982999999999999</v>
      </c>
      <c r="G1930" t="s">
        <v>75</v>
      </c>
      <c r="H1930">
        <v>619.82799999999997</v>
      </c>
      <c r="I1930" t="s">
        <v>76</v>
      </c>
      <c r="J1930" t="s">
        <v>77</v>
      </c>
    </row>
    <row r="1931" spans="1:11" x14ac:dyDescent="0.3">
      <c r="A1931" t="s">
        <v>83</v>
      </c>
      <c r="B1931">
        <v>1000</v>
      </c>
      <c r="C1931" t="s">
        <v>80</v>
      </c>
      <c r="D1931">
        <v>6.2009999999999995E-4</v>
      </c>
      <c r="E1931" t="s">
        <v>74</v>
      </c>
      <c r="F1931">
        <v>0.62009999999999998</v>
      </c>
      <c r="G1931" t="s">
        <v>75</v>
      </c>
      <c r="H1931">
        <v>620.101</v>
      </c>
      <c r="I1931" t="s">
        <v>76</v>
      </c>
      <c r="J1931" t="s">
        <v>77</v>
      </c>
    </row>
    <row r="1932" spans="1:11" x14ac:dyDescent="0.3">
      <c r="A1932" t="s">
        <v>83</v>
      </c>
      <c r="B1932">
        <v>1000</v>
      </c>
      <c r="C1932" t="s">
        <v>81</v>
      </c>
      <c r="D1932">
        <v>6.2102999999999995E-4</v>
      </c>
      <c r="E1932" t="s">
        <v>74</v>
      </c>
      <c r="F1932">
        <v>0.62102999999999997</v>
      </c>
      <c r="G1932" t="s">
        <v>75</v>
      </c>
      <c r="H1932">
        <v>621.03200000000004</v>
      </c>
      <c r="I1932" t="s">
        <v>76</v>
      </c>
      <c r="J1932" t="s">
        <v>82</v>
      </c>
      <c r="K1932">
        <v>1610.2228302000001</v>
      </c>
    </row>
    <row r="1933" spans="1:11" x14ac:dyDescent="0.3">
      <c r="A1933" t="s">
        <v>84</v>
      </c>
      <c r="B1933">
        <v>1001</v>
      </c>
      <c r="C1933" t="s">
        <v>79</v>
      </c>
      <c r="D1933">
        <v>2.7856000000000002E-4</v>
      </c>
      <c r="E1933" t="s">
        <v>74</v>
      </c>
      <c r="F1933">
        <v>0.27855999999999997</v>
      </c>
      <c r="G1933" t="s">
        <v>75</v>
      </c>
      <c r="H1933">
        <v>278.56099999999998</v>
      </c>
      <c r="I1933" t="s">
        <v>76</v>
      </c>
      <c r="J1933" t="s">
        <v>77</v>
      </c>
    </row>
    <row r="1934" spans="1:11" x14ac:dyDescent="0.3">
      <c r="A1934" t="s">
        <v>84</v>
      </c>
      <c r="B1934">
        <v>1001</v>
      </c>
      <c r="C1934" t="s">
        <v>94</v>
      </c>
      <c r="D1934">
        <v>7.5701000000000002E-4</v>
      </c>
      <c r="E1934" t="s">
        <v>74</v>
      </c>
      <c r="F1934">
        <v>0.75700999999999996</v>
      </c>
      <c r="G1934" t="s">
        <v>75</v>
      </c>
      <c r="H1934">
        <v>757.01199999999994</v>
      </c>
      <c r="I1934" t="s">
        <v>76</v>
      </c>
      <c r="J1934" t="s">
        <v>77</v>
      </c>
    </row>
    <row r="1935" spans="1:11" x14ac:dyDescent="0.3">
      <c r="A1935" t="s">
        <v>84</v>
      </c>
      <c r="B1935">
        <v>1001</v>
      </c>
      <c r="C1935" t="s">
        <v>80</v>
      </c>
      <c r="D1935">
        <v>7.5728999999999998E-4</v>
      </c>
      <c r="E1935" t="s">
        <v>74</v>
      </c>
      <c r="F1935">
        <v>0.75729000000000002</v>
      </c>
      <c r="G1935" t="s">
        <v>75</v>
      </c>
      <c r="H1935">
        <v>757.28499999999997</v>
      </c>
      <c r="I1935" t="s">
        <v>76</v>
      </c>
      <c r="J1935" t="s">
        <v>77</v>
      </c>
    </row>
    <row r="1936" spans="1:11" x14ac:dyDescent="0.3">
      <c r="A1936" t="s">
        <v>84</v>
      </c>
      <c r="B1936">
        <v>1001</v>
      </c>
      <c r="C1936" t="s">
        <v>81</v>
      </c>
      <c r="D1936">
        <v>1.0366500000000001E-3</v>
      </c>
      <c r="E1936" t="s">
        <v>74</v>
      </c>
      <c r="F1936">
        <v>1.0366500000000001</v>
      </c>
      <c r="G1936" t="s">
        <v>75</v>
      </c>
      <c r="H1936">
        <v>1036.654</v>
      </c>
      <c r="I1936" t="s">
        <v>76</v>
      </c>
      <c r="J1936" t="s">
        <v>82</v>
      </c>
      <c r="K1936">
        <v>964.64224679999995</v>
      </c>
    </row>
    <row r="1937" spans="1:11" x14ac:dyDescent="0.3">
      <c r="A1937" t="s">
        <v>85</v>
      </c>
      <c r="B1937">
        <v>1001</v>
      </c>
      <c r="C1937" t="s">
        <v>86</v>
      </c>
      <c r="D1937">
        <v>1.0368700000000001E-3</v>
      </c>
      <c r="E1937" t="s">
        <v>74</v>
      </c>
      <c r="F1937">
        <v>1.03687</v>
      </c>
      <c r="G1937" t="s">
        <v>75</v>
      </c>
      <c r="H1937">
        <v>1036.873</v>
      </c>
      <c r="I1937" t="s">
        <v>76</v>
      </c>
      <c r="J1937" t="s">
        <v>82</v>
      </c>
      <c r="K1937">
        <v>964.43794249999996</v>
      </c>
    </row>
    <row r="1938" spans="1:11" x14ac:dyDescent="0.3">
      <c r="A1938" t="s">
        <v>169</v>
      </c>
    </row>
    <row r="1939" spans="1:11" x14ac:dyDescent="0.3">
      <c r="A1939" t="s">
        <v>170</v>
      </c>
    </row>
    <row r="1940" spans="1:11" x14ac:dyDescent="0.3">
      <c r="A1940" t="s">
        <v>72</v>
      </c>
      <c r="B1940">
        <v>1</v>
      </c>
      <c r="C1940" t="s">
        <v>73</v>
      </c>
      <c r="D1940">
        <v>4.5000000000000001E-6</v>
      </c>
      <c r="E1940" t="s">
        <v>74</v>
      </c>
      <c r="F1940">
        <v>4.4999999999999997E-3</v>
      </c>
      <c r="G1940" t="s">
        <v>75</v>
      </c>
      <c r="H1940">
        <v>4.5</v>
      </c>
      <c r="I1940" t="s">
        <v>76</v>
      </c>
      <c r="J1940" t="s">
        <v>77</v>
      </c>
    </row>
    <row r="1941" spans="1:11" x14ac:dyDescent="0.3">
      <c r="A1941" t="s">
        <v>72</v>
      </c>
      <c r="B1941">
        <v>1</v>
      </c>
      <c r="C1941" t="s">
        <v>78</v>
      </c>
      <c r="D1941">
        <v>3.3099999999999998E-5</v>
      </c>
      <c r="E1941" t="s">
        <v>74</v>
      </c>
      <c r="F1941">
        <v>3.3099999999999997E-2</v>
      </c>
      <c r="G1941" t="s">
        <v>75</v>
      </c>
      <c r="H1941">
        <v>33.1</v>
      </c>
      <c r="I1941" t="s">
        <v>76</v>
      </c>
      <c r="J1941" t="s">
        <v>77</v>
      </c>
    </row>
    <row r="1942" spans="1:11" x14ac:dyDescent="0.3">
      <c r="A1942" t="s">
        <v>72</v>
      </c>
      <c r="B1942">
        <v>1</v>
      </c>
      <c r="C1942" t="s">
        <v>79</v>
      </c>
      <c r="D1942">
        <v>3.5076E-3</v>
      </c>
      <c r="E1942" t="s">
        <v>74</v>
      </c>
      <c r="F1942">
        <v>3.5076000000000001</v>
      </c>
      <c r="G1942" t="s">
        <v>75</v>
      </c>
      <c r="H1942">
        <v>3507.6</v>
      </c>
      <c r="I1942" t="s">
        <v>76</v>
      </c>
      <c r="J1942" t="s">
        <v>77</v>
      </c>
    </row>
    <row r="1943" spans="1:11" x14ac:dyDescent="0.3">
      <c r="A1943" t="s">
        <v>72</v>
      </c>
      <c r="B1943">
        <v>1</v>
      </c>
      <c r="C1943" t="s">
        <v>94</v>
      </c>
      <c r="D1943">
        <v>3.5276000000000001E-3</v>
      </c>
      <c r="E1943" t="s">
        <v>74</v>
      </c>
      <c r="F1943">
        <v>3.5276000000000001</v>
      </c>
      <c r="G1943" t="s">
        <v>75</v>
      </c>
      <c r="H1943">
        <v>3527.6</v>
      </c>
      <c r="I1943" t="s">
        <v>76</v>
      </c>
      <c r="J1943" t="s">
        <v>77</v>
      </c>
    </row>
    <row r="1944" spans="1:11" x14ac:dyDescent="0.3">
      <c r="A1944" t="s">
        <v>72</v>
      </c>
      <c r="B1944">
        <v>1</v>
      </c>
      <c r="C1944" t="s">
        <v>80</v>
      </c>
      <c r="D1944">
        <v>3.5279999999999999E-3</v>
      </c>
      <c r="E1944" t="s">
        <v>74</v>
      </c>
      <c r="F1944">
        <v>3.528</v>
      </c>
      <c r="G1944" t="s">
        <v>75</v>
      </c>
      <c r="H1944">
        <v>3528</v>
      </c>
      <c r="I1944" t="s">
        <v>76</v>
      </c>
      <c r="J1944" t="s">
        <v>77</v>
      </c>
    </row>
    <row r="1945" spans="1:11" x14ac:dyDescent="0.3">
      <c r="A1945" t="s">
        <v>72</v>
      </c>
      <c r="B1945">
        <v>1</v>
      </c>
      <c r="C1945" t="s">
        <v>81</v>
      </c>
      <c r="D1945">
        <v>7.0368000000000002E-3</v>
      </c>
      <c r="E1945" t="s">
        <v>74</v>
      </c>
      <c r="F1945">
        <v>7.0368000000000004</v>
      </c>
      <c r="G1945" t="s">
        <v>75</v>
      </c>
      <c r="H1945">
        <v>7036.8</v>
      </c>
      <c r="I1945" t="s">
        <v>76</v>
      </c>
      <c r="J1945" t="s">
        <v>82</v>
      </c>
      <c r="K1945">
        <v>142.11004940000001</v>
      </c>
    </row>
    <row r="1946" spans="1:11" x14ac:dyDescent="0.3">
      <c r="A1946" t="s">
        <v>83</v>
      </c>
      <c r="B1946">
        <v>1000</v>
      </c>
      <c r="C1946" t="s">
        <v>79</v>
      </c>
      <c r="D1946">
        <v>2.4999999999999999E-7</v>
      </c>
      <c r="E1946" t="s">
        <v>74</v>
      </c>
      <c r="F1946">
        <v>2.5000000000000001E-4</v>
      </c>
      <c r="G1946" t="s">
        <v>75</v>
      </c>
      <c r="H1946">
        <v>0.254</v>
      </c>
      <c r="I1946" t="s">
        <v>76</v>
      </c>
      <c r="J1946" t="s">
        <v>77</v>
      </c>
    </row>
    <row r="1947" spans="1:11" x14ac:dyDescent="0.3">
      <c r="A1947" t="s">
        <v>83</v>
      </c>
      <c r="B1947">
        <v>1000</v>
      </c>
      <c r="C1947" t="s">
        <v>94</v>
      </c>
      <c r="D1947">
        <v>1.12795E-3</v>
      </c>
      <c r="E1947" t="s">
        <v>74</v>
      </c>
      <c r="F1947">
        <v>1.12795</v>
      </c>
      <c r="G1947" t="s">
        <v>75</v>
      </c>
      <c r="H1947">
        <v>1127.951</v>
      </c>
      <c r="I1947" t="s">
        <v>76</v>
      </c>
      <c r="J1947" t="s">
        <v>77</v>
      </c>
    </row>
    <row r="1948" spans="1:11" x14ac:dyDescent="0.3">
      <c r="A1948" t="s">
        <v>83</v>
      </c>
      <c r="B1948">
        <v>1000</v>
      </c>
      <c r="C1948" t="s">
        <v>80</v>
      </c>
      <c r="D1948">
        <v>1.2943099999999999E-3</v>
      </c>
      <c r="E1948" t="s">
        <v>74</v>
      </c>
      <c r="F1948">
        <v>1.2943100000000001</v>
      </c>
      <c r="G1948" t="s">
        <v>75</v>
      </c>
      <c r="H1948">
        <v>1294.31</v>
      </c>
      <c r="I1948" t="s">
        <v>76</v>
      </c>
      <c r="J1948" t="s">
        <v>77</v>
      </c>
    </row>
    <row r="1949" spans="1:11" x14ac:dyDescent="0.3">
      <c r="A1949" t="s">
        <v>83</v>
      </c>
      <c r="B1949">
        <v>1000</v>
      </c>
      <c r="C1949" t="s">
        <v>81</v>
      </c>
      <c r="D1949">
        <v>1.29565E-3</v>
      </c>
      <c r="E1949" t="s">
        <v>74</v>
      </c>
      <c r="F1949">
        <v>1.29565</v>
      </c>
      <c r="G1949" t="s">
        <v>75</v>
      </c>
      <c r="H1949">
        <v>1295.652</v>
      </c>
      <c r="I1949" t="s">
        <v>76</v>
      </c>
      <c r="J1949" t="s">
        <v>82</v>
      </c>
      <c r="K1949">
        <v>771.81237820000001</v>
      </c>
    </row>
    <row r="1950" spans="1:11" x14ac:dyDescent="0.3">
      <c r="A1950" t="s">
        <v>84</v>
      </c>
      <c r="B1950">
        <v>1001</v>
      </c>
      <c r="C1950" t="s">
        <v>79</v>
      </c>
      <c r="D1950">
        <v>3.76E-6</v>
      </c>
      <c r="E1950" t="s">
        <v>74</v>
      </c>
      <c r="F1950">
        <v>3.7599999999999999E-3</v>
      </c>
      <c r="G1950" t="s">
        <v>75</v>
      </c>
      <c r="H1950">
        <v>3.758</v>
      </c>
      <c r="I1950" t="s">
        <v>76</v>
      </c>
      <c r="J1950" t="s">
        <v>77</v>
      </c>
    </row>
    <row r="1951" spans="1:11" x14ac:dyDescent="0.3">
      <c r="A1951" t="s">
        <v>84</v>
      </c>
      <c r="B1951">
        <v>1001</v>
      </c>
      <c r="C1951" t="s">
        <v>94</v>
      </c>
      <c r="D1951">
        <v>1.13035E-3</v>
      </c>
      <c r="E1951" t="s">
        <v>74</v>
      </c>
      <c r="F1951">
        <v>1.13035</v>
      </c>
      <c r="G1951" t="s">
        <v>75</v>
      </c>
      <c r="H1951">
        <v>1130.348</v>
      </c>
      <c r="I1951" t="s">
        <v>76</v>
      </c>
      <c r="J1951" t="s">
        <v>77</v>
      </c>
    </row>
    <row r="1952" spans="1:11" x14ac:dyDescent="0.3">
      <c r="A1952" t="s">
        <v>84</v>
      </c>
      <c r="B1952">
        <v>1001</v>
      </c>
      <c r="C1952" t="s">
        <v>80</v>
      </c>
      <c r="D1952">
        <v>1.2965400000000001E-3</v>
      </c>
      <c r="E1952" t="s">
        <v>74</v>
      </c>
      <c r="F1952">
        <v>1.29654</v>
      </c>
      <c r="G1952" t="s">
        <v>75</v>
      </c>
      <c r="H1952">
        <v>1296.5419999999999</v>
      </c>
      <c r="I1952" t="s">
        <v>76</v>
      </c>
      <c r="J1952" t="s">
        <v>77</v>
      </c>
    </row>
    <row r="1953" spans="1:11" x14ac:dyDescent="0.3">
      <c r="A1953" t="s">
        <v>84</v>
      </c>
      <c r="B1953">
        <v>1001</v>
      </c>
      <c r="C1953" t="s">
        <v>81</v>
      </c>
      <c r="D1953">
        <v>1.3013899999999999E-3</v>
      </c>
      <c r="E1953" t="s">
        <v>74</v>
      </c>
      <c r="F1953">
        <v>1.30139</v>
      </c>
      <c r="G1953" t="s">
        <v>75</v>
      </c>
      <c r="H1953">
        <v>1301.3869999999999</v>
      </c>
      <c r="I1953" t="s">
        <v>76</v>
      </c>
      <c r="J1953" t="s">
        <v>82</v>
      </c>
      <c r="K1953">
        <v>768.41102000000001</v>
      </c>
    </row>
    <row r="1954" spans="1:11" x14ac:dyDescent="0.3">
      <c r="A1954" t="s">
        <v>85</v>
      </c>
      <c r="B1954">
        <v>1001</v>
      </c>
      <c r="C1954" t="s">
        <v>86</v>
      </c>
      <c r="D1954">
        <v>1.3016099999999999E-3</v>
      </c>
      <c r="E1954" t="s">
        <v>74</v>
      </c>
      <c r="F1954">
        <v>1.3016099999999999</v>
      </c>
      <c r="G1954" t="s">
        <v>75</v>
      </c>
      <c r="H1954">
        <v>1301.6079999999999</v>
      </c>
      <c r="I1954" t="s">
        <v>76</v>
      </c>
      <c r="J1954" t="s">
        <v>82</v>
      </c>
      <c r="K1954">
        <v>768.28053290000003</v>
      </c>
    </row>
    <row r="1955" spans="1:11" x14ac:dyDescent="0.3">
      <c r="A1955" t="s">
        <v>115</v>
      </c>
    </row>
    <row r="1956" spans="1:11" x14ac:dyDescent="0.3">
      <c r="A1956" t="s">
        <v>127</v>
      </c>
    </row>
    <row r="1957" spans="1:11" x14ac:dyDescent="0.3">
      <c r="A1957" t="s">
        <v>87</v>
      </c>
    </row>
    <row r="1958" spans="1:11" x14ac:dyDescent="0.3">
      <c r="A1958" t="s">
        <v>171</v>
      </c>
    </row>
    <row r="1959" spans="1:11" x14ac:dyDescent="0.3">
      <c r="A1959" t="s">
        <v>72</v>
      </c>
      <c r="B1959">
        <v>1</v>
      </c>
      <c r="C1959" t="s">
        <v>81</v>
      </c>
      <c r="D1959">
        <v>0.41665839999999998</v>
      </c>
      <c r="E1959" t="s">
        <v>74</v>
      </c>
      <c r="F1959">
        <v>416.65839999999997</v>
      </c>
      <c r="G1959" t="s">
        <v>75</v>
      </c>
      <c r="H1959">
        <v>416658.40100000001</v>
      </c>
      <c r="I1959" t="s">
        <v>76</v>
      </c>
      <c r="J1959" t="s">
        <v>82</v>
      </c>
      <c r="K1959">
        <v>2.4000476000000002</v>
      </c>
    </row>
    <row r="1960" spans="1:11" x14ac:dyDescent="0.3">
      <c r="A1960" t="s">
        <v>83</v>
      </c>
      <c r="B1960">
        <v>1000</v>
      </c>
      <c r="C1960" t="s">
        <v>81</v>
      </c>
      <c r="D1960">
        <v>6.2102999999999995E-4</v>
      </c>
      <c r="E1960" t="s">
        <v>74</v>
      </c>
      <c r="F1960">
        <v>0.62102999999999997</v>
      </c>
      <c r="G1960" t="s">
        <v>75</v>
      </c>
      <c r="H1960">
        <v>621.03200000000004</v>
      </c>
      <c r="I1960" t="s">
        <v>76</v>
      </c>
      <c r="J1960" t="s">
        <v>82</v>
      </c>
      <c r="K1960">
        <v>1610.2228302000001</v>
      </c>
    </row>
    <row r="1961" spans="1:11" x14ac:dyDescent="0.3">
      <c r="A1961" t="s">
        <v>85</v>
      </c>
      <c r="B1961">
        <v>1001</v>
      </c>
      <c r="C1961" t="s">
        <v>86</v>
      </c>
      <c r="D1961">
        <v>1.0368700000000001E-3</v>
      </c>
      <c r="E1961" t="s">
        <v>74</v>
      </c>
      <c r="F1961">
        <v>1.03687</v>
      </c>
      <c r="G1961" t="s">
        <v>75</v>
      </c>
      <c r="H1961">
        <v>1036.873</v>
      </c>
      <c r="I1961" t="s">
        <v>76</v>
      </c>
      <c r="J1961" t="s">
        <v>82</v>
      </c>
      <c r="K1961">
        <v>964.43794249999996</v>
      </c>
    </row>
    <row r="1963" spans="1:11" x14ac:dyDescent="0.3">
      <c r="A1963" t="s">
        <v>172</v>
      </c>
    </row>
    <row r="1964" spans="1:11" x14ac:dyDescent="0.3">
      <c r="A1964" t="s">
        <v>72</v>
      </c>
      <c r="B1964">
        <v>1</v>
      </c>
      <c r="C1964" t="s">
        <v>81</v>
      </c>
      <c r="D1964">
        <v>7.0368000000000002E-3</v>
      </c>
      <c r="E1964" t="s">
        <v>74</v>
      </c>
      <c r="F1964">
        <v>7.0368000000000004</v>
      </c>
      <c r="G1964" t="s">
        <v>75</v>
      </c>
      <c r="H1964">
        <v>7036.8</v>
      </c>
      <c r="I1964" t="s">
        <v>76</v>
      </c>
      <c r="J1964" t="s">
        <v>82</v>
      </c>
      <c r="K1964">
        <v>142.11004940000001</v>
      </c>
    </row>
    <row r="1965" spans="1:11" x14ac:dyDescent="0.3">
      <c r="A1965" t="s">
        <v>83</v>
      </c>
      <c r="B1965">
        <v>1000</v>
      </c>
      <c r="C1965" t="s">
        <v>81</v>
      </c>
      <c r="D1965">
        <v>1.29565E-3</v>
      </c>
      <c r="E1965" t="s">
        <v>74</v>
      </c>
      <c r="F1965">
        <v>1.29565</v>
      </c>
      <c r="G1965" t="s">
        <v>75</v>
      </c>
      <c r="H1965">
        <v>1295.652</v>
      </c>
      <c r="I1965" t="s">
        <v>76</v>
      </c>
      <c r="J1965" t="s">
        <v>82</v>
      </c>
      <c r="K1965">
        <v>771.81237820000001</v>
      </c>
    </row>
    <row r="1966" spans="1:11" x14ac:dyDescent="0.3">
      <c r="A1966" t="s">
        <v>85</v>
      </c>
      <c r="B1966">
        <v>1001</v>
      </c>
      <c r="C1966" t="s">
        <v>86</v>
      </c>
      <c r="D1966">
        <v>1.3016099999999999E-3</v>
      </c>
      <c r="E1966" t="s">
        <v>74</v>
      </c>
      <c r="F1966">
        <v>1.3016099999999999</v>
      </c>
      <c r="G1966" t="s">
        <v>75</v>
      </c>
      <c r="H1966">
        <v>1301.6079999999999</v>
      </c>
      <c r="I1966" t="s">
        <v>76</v>
      </c>
      <c r="J1966" t="s">
        <v>82</v>
      </c>
      <c r="K1966">
        <v>768.28053290000003</v>
      </c>
    </row>
    <row r="1968" spans="1:11" x14ac:dyDescent="0.3">
      <c r="A1968" t="s">
        <v>66</v>
      </c>
    </row>
    <row r="1970" spans="1:1" x14ac:dyDescent="0.3">
      <c r="A1970" t="s">
        <v>232</v>
      </c>
    </row>
    <row r="1971" spans="1:1" x14ac:dyDescent="0.3">
      <c r="A1971" t="s">
        <v>68</v>
      </c>
    </row>
    <row r="1972" spans="1:1" x14ac:dyDescent="0.3">
      <c r="A1972" t="s">
        <v>69</v>
      </c>
    </row>
    <row r="1973" spans="1:1" x14ac:dyDescent="0.3">
      <c r="A1973" t="s">
        <v>70</v>
      </c>
    </row>
    <row r="1974" spans="1:1" x14ac:dyDescent="0.3">
      <c r="A1974" t="s">
        <v>115</v>
      </c>
    </row>
    <row r="1975" spans="1:1" x14ac:dyDescent="0.3">
      <c r="A1975" t="s">
        <v>116</v>
      </c>
    </row>
    <row r="1976" spans="1:1" x14ac:dyDescent="0.3">
      <c r="A1976" t="s">
        <v>117</v>
      </c>
    </row>
    <row r="1977" spans="1:1" x14ac:dyDescent="0.3">
      <c r="A1977" t="s">
        <v>118</v>
      </c>
    </row>
    <row r="1978" spans="1:1" x14ac:dyDescent="0.3">
      <c r="A1978" t="s">
        <v>119</v>
      </c>
    </row>
    <row r="1979" spans="1:1" x14ac:dyDescent="0.3">
      <c r="A1979" t="s">
        <v>120</v>
      </c>
    </row>
    <row r="1980" spans="1:1" x14ac:dyDescent="0.3">
      <c r="A1980" t="s">
        <v>121</v>
      </c>
    </row>
    <row r="1981" spans="1:1" x14ac:dyDescent="0.3">
      <c r="A1981" t="s">
        <v>122</v>
      </c>
    </row>
    <row r="1982" spans="1:1" x14ac:dyDescent="0.3">
      <c r="A1982" t="s">
        <v>123</v>
      </c>
    </row>
    <row r="1983" spans="1:1" x14ac:dyDescent="0.3">
      <c r="A1983" t="s">
        <v>124</v>
      </c>
    </row>
    <row r="1984" spans="1:1" x14ac:dyDescent="0.3">
      <c r="A1984" t="s">
        <v>125</v>
      </c>
    </row>
    <row r="1985" spans="1:11" x14ac:dyDescent="0.3">
      <c r="A1985" t="s">
        <v>126</v>
      </c>
    </row>
    <row r="1986" spans="1:11" x14ac:dyDescent="0.3">
      <c r="A1986" t="s">
        <v>127</v>
      </c>
    </row>
    <row r="1987" spans="1:11" x14ac:dyDescent="0.3">
      <c r="A1987" t="s">
        <v>174</v>
      </c>
    </row>
    <row r="1988" spans="1:11" x14ac:dyDescent="0.3">
      <c r="A1988" t="s">
        <v>175</v>
      </c>
    </row>
    <row r="1989" spans="1:11" x14ac:dyDescent="0.3">
      <c r="A1989" t="s">
        <v>72</v>
      </c>
      <c r="B1989">
        <v>1</v>
      </c>
      <c r="C1989" t="s">
        <v>73</v>
      </c>
      <c r="D1989">
        <v>4.6E-6</v>
      </c>
      <c r="E1989" t="s">
        <v>74</v>
      </c>
      <c r="F1989">
        <v>4.5999999999999999E-3</v>
      </c>
      <c r="G1989" t="s">
        <v>75</v>
      </c>
      <c r="H1989">
        <v>4.5999999999999996</v>
      </c>
      <c r="I1989" t="s">
        <v>76</v>
      </c>
      <c r="J1989" t="s">
        <v>77</v>
      </c>
    </row>
    <row r="1990" spans="1:11" x14ac:dyDescent="0.3">
      <c r="A1990" t="s">
        <v>72</v>
      </c>
      <c r="B1990">
        <v>1</v>
      </c>
      <c r="C1990" t="s">
        <v>78</v>
      </c>
      <c r="D1990">
        <v>0.16236149999999999</v>
      </c>
      <c r="E1990" t="s">
        <v>74</v>
      </c>
      <c r="F1990">
        <v>162.36150000000001</v>
      </c>
      <c r="G1990" t="s">
        <v>75</v>
      </c>
      <c r="H1990">
        <v>162361.503</v>
      </c>
      <c r="I1990" t="s">
        <v>76</v>
      </c>
      <c r="J1990" t="s">
        <v>77</v>
      </c>
    </row>
    <row r="1991" spans="1:11" x14ac:dyDescent="0.3">
      <c r="A1991" t="s">
        <v>72</v>
      </c>
      <c r="B1991">
        <v>1</v>
      </c>
      <c r="C1991" t="s">
        <v>91</v>
      </c>
      <c r="D1991">
        <v>0.28991108999999998</v>
      </c>
      <c r="E1991" t="s">
        <v>74</v>
      </c>
      <c r="F1991">
        <v>289.91109</v>
      </c>
      <c r="G1991" t="s">
        <v>75</v>
      </c>
      <c r="H1991">
        <v>289911.09100000001</v>
      </c>
      <c r="I1991" t="s">
        <v>76</v>
      </c>
      <c r="J1991" t="s">
        <v>77</v>
      </c>
    </row>
    <row r="1992" spans="1:11" x14ac:dyDescent="0.3">
      <c r="A1992" t="s">
        <v>72</v>
      </c>
      <c r="B1992">
        <v>1</v>
      </c>
      <c r="C1992" t="s">
        <v>92</v>
      </c>
      <c r="D1992">
        <v>3.9503999999999997E-3</v>
      </c>
      <c r="E1992" t="s">
        <v>74</v>
      </c>
      <c r="F1992">
        <v>3.9504000000000001</v>
      </c>
      <c r="G1992" t="s">
        <v>75</v>
      </c>
      <c r="H1992">
        <v>3950.4</v>
      </c>
      <c r="I1992" t="s">
        <v>76</v>
      </c>
      <c r="J1992" t="s">
        <v>77</v>
      </c>
    </row>
    <row r="1993" spans="1:11" x14ac:dyDescent="0.3">
      <c r="A1993" t="s">
        <v>72</v>
      </c>
      <c r="B1993">
        <v>1</v>
      </c>
      <c r="C1993" t="s">
        <v>93</v>
      </c>
      <c r="D1993">
        <v>3.4323000000000001E-3</v>
      </c>
      <c r="E1993" t="s">
        <v>74</v>
      </c>
      <c r="F1993">
        <v>3.4323000000000001</v>
      </c>
      <c r="G1993" t="s">
        <v>75</v>
      </c>
      <c r="H1993">
        <v>3432.3</v>
      </c>
      <c r="I1993" t="s">
        <v>76</v>
      </c>
      <c r="J1993" t="s">
        <v>77</v>
      </c>
    </row>
    <row r="1994" spans="1:11" x14ac:dyDescent="0.3">
      <c r="A1994" t="s">
        <v>72</v>
      </c>
      <c r="B1994">
        <v>1</v>
      </c>
      <c r="C1994" t="s">
        <v>79</v>
      </c>
      <c r="D1994">
        <v>0.29729471000000002</v>
      </c>
      <c r="E1994" t="s">
        <v>74</v>
      </c>
      <c r="F1994">
        <v>297.29471000000001</v>
      </c>
      <c r="G1994" t="s">
        <v>75</v>
      </c>
      <c r="H1994">
        <v>297294.70600000001</v>
      </c>
      <c r="I1994" t="s">
        <v>76</v>
      </c>
      <c r="J1994" t="s">
        <v>77</v>
      </c>
    </row>
    <row r="1995" spans="1:11" x14ac:dyDescent="0.3">
      <c r="A1995" t="s">
        <v>72</v>
      </c>
      <c r="B1995">
        <v>1</v>
      </c>
      <c r="C1995" t="s">
        <v>94</v>
      </c>
      <c r="D1995">
        <v>9.2896000000000003E-3</v>
      </c>
      <c r="E1995" t="s">
        <v>74</v>
      </c>
      <c r="F1995">
        <v>9.2896000000000001</v>
      </c>
      <c r="G1995" t="s">
        <v>75</v>
      </c>
      <c r="H1995">
        <v>9289.6</v>
      </c>
      <c r="I1995" t="s">
        <v>76</v>
      </c>
      <c r="J1995" t="s">
        <v>77</v>
      </c>
    </row>
    <row r="1996" spans="1:11" x14ac:dyDescent="0.3">
      <c r="A1996" t="s">
        <v>72</v>
      </c>
      <c r="B1996">
        <v>1</v>
      </c>
      <c r="C1996" t="s">
        <v>80</v>
      </c>
      <c r="D1996">
        <v>9.2901000000000008E-3</v>
      </c>
      <c r="E1996" t="s">
        <v>74</v>
      </c>
      <c r="F1996">
        <v>9.2901000000000007</v>
      </c>
      <c r="G1996" t="s">
        <v>75</v>
      </c>
      <c r="H1996">
        <v>9290.1</v>
      </c>
      <c r="I1996" t="s">
        <v>76</v>
      </c>
      <c r="J1996" t="s">
        <v>77</v>
      </c>
    </row>
    <row r="1997" spans="1:11" x14ac:dyDescent="0.3">
      <c r="A1997" t="s">
        <v>72</v>
      </c>
      <c r="B1997">
        <v>1</v>
      </c>
      <c r="C1997" t="s">
        <v>81</v>
      </c>
      <c r="D1997">
        <v>0.30658629999999998</v>
      </c>
      <c r="E1997" t="s">
        <v>74</v>
      </c>
      <c r="F1997">
        <v>306.58629999999999</v>
      </c>
      <c r="G1997" t="s">
        <v>75</v>
      </c>
      <c r="H1997">
        <v>306586.29499999998</v>
      </c>
      <c r="I1997" t="s">
        <v>76</v>
      </c>
      <c r="J1997" t="s">
        <v>82</v>
      </c>
      <c r="K1997">
        <v>3.2617243999999999</v>
      </c>
    </row>
    <row r="1998" spans="1:11" x14ac:dyDescent="0.3">
      <c r="A1998" t="s">
        <v>83</v>
      </c>
      <c r="B1998">
        <v>1000</v>
      </c>
      <c r="C1998" t="s">
        <v>79</v>
      </c>
      <c r="D1998">
        <v>1.9000000000000001E-7</v>
      </c>
      <c r="E1998" t="s">
        <v>74</v>
      </c>
      <c r="F1998">
        <v>1.9000000000000001E-4</v>
      </c>
      <c r="G1998" t="s">
        <v>75</v>
      </c>
      <c r="H1998">
        <v>0.191</v>
      </c>
      <c r="I1998" t="s">
        <v>76</v>
      </c>
      <c r="J1998" t="s">
        <v>77</v>
      </c>
    </row>
    <row r="1999" spans="1:11" x14ac:dyDescent="0.3">
      <c r="A1999" t="s">
        <v>83</v>
      </c>
      <c r="B1999">
        <v>1000</v>
      </c>
      <c r="C1999" t="s">
        <v>94</v>
      </c>
      <c r="D1999">
        <v>2.5745799999999999E-3</v>
      </c>
      <c r="E1999" t="s">
        <v>74</v>
      </c>
      <c r="F1999">
        <v>2.5745800000000001</v>
      </c>
      <c r="G1999" t="s">
        <v>75</v>
      </c>
      <c r="H1999">
        <v>2574.5819999999999</v>
      </c>
      <c r="I1999" t="s">
        <v>76</v>
      </c>
      <c r="J1999" t="s">
        <v>77</v>
      </c>
    </row>
    <row r="2000" spans="1:11" x14ac:dyDescent="0.3">
      <c r="A2000" t="s">
        <v>83</v>
      </c>
      <c r="B2000">
        <v>1000</v>
      </c>
      <c r="C2000" t="s">
        <v>80</v>
      </c>
      <c r="D2000">
        <v>2.7311499999999999E-3</v>
      </c>
      <c r="E2000" t="s">
        <v>74</v>
      </c>
      <c r="F2000">
        <v>2.73115</v>
      </c>
      <c r="G2000" t="s">
        <v>75</v>
      </c>
      <c r="H2000">
        <v>2731.1460000000002</v>
      </c>
      <c r="I2000" t="s">
        <v>76</v>
      </c>
      <c r="J2000" t="s">
        <v>77</v>
      </c>
    </row>
    <row r="2001" spans="1:11" x14ac:dyDescent="0.3">
      <c r="A2001" t="s">
        <v>83</v>
      </c>
      <c r="B2001">
        <v>1000</v>
      </c>
      <c r="C2001" t="s">
        <v>81</v>
      </c>
      <c r="D2001">
        <v>2.7322399999999999E-3</v>
      </c>
      <c r="E2001" t="s">
        <v>74</v>
      </c>
      <c r="F2001">
        <v>2.73224</v>
      </c>
      <c r="G2001" t="s">
        <v>75</v>
      </c>
      <c r="H2001">
        <v>2732.241</v>
      </c>
      <c r="I2001" t="s">
        <v>76</v>
      </c>
      <c r="J2001" t="s">
        <v>82</v>
      </c>
      <c r="K2001">
        <v>365.99990400000002</v>
      </c>
    </row>
    <row r="2002" spans="1:11" x14ac:dyDescent="0.3">
      <c r="A2002" t="s">
        <v>84</v>
      </c>
      <c r="B2002">
        <v>1</v>
      </c>
      <c r="C2002" t="s">
        <v>91</v>
      </c>
      <c r="D2002">
        <v>0.28991108999999998</v>
      </c>
      <c r="E2002" t="s">
        <v>74</v>
      </c>
      <c r="F2002">
        <v>289.91109</v>
      </c>
      <c r="G2002" t="s">
        <v>75</v>
      </c>
      <c r="H2002">
        <v>289911.09100000001</v>
      </c>
      <c r="I2002" t="s">
        <v>76</v>
      </c>
      <c r="J2002" t="s">
        <v>77</v>
      </c>
    </row>
    <row r="2003" spans="1:11" x14ac:dyDescent="0.3">
      <c r="A2003" t="s">
        <v>84</v>
      </c>
      <c r="B2003">
        <v>1</v>
      </c>
      <c r="C2003" t="s">
        <v>92</v>
      </c>
      <c r="D2003">
        <v>3.9503999999999997E-3</v>
      </c>
      <c r="E2003" t="s">
        <v>74</v>
      </c>
      <c r="F2003">
        <v>3.9504000000000001</v>
      </c>
      <c r="G2003" t="s">
        <v>75</v>
      </c>
      <c r="H2003">
        <v>3950.4</v>
      </c>
      <c r="I2003" t="s">
        <v>76</v>
      </c>
      <c r="J2003" t="s">
        <v>77</v>
      </c>
    </row>
    <row r="2004" spans="1:11" x14ac:dyDescent="0.3">
      <c r="A2004" t="s">
        <v>84</v>
      </c>
      <c r="B2004">
        <v>1</v>
      </c>
      <c r="C2004" t="s">
        <v>93</v>
      </c>
      <c r="D2004">
        <v>3.4323000000000001E-3</v>
      </c>
      <c r="E2004" t="s">
        <v>74</v>
      </c>
      <c r="F2004">
        <v>3.4323000000000001</v>
      </c>
      <c r="G2004" t="s">
        <v>75</v>
      </c>
      <c r="H2004">
        <v>3432.3</v>
      </c>
      <c r="I2004" t="s">
        <v>76</v>
      </c>
      <c r="J2004" t="s">
        <v>77</v>
      </c>
    </row>
    <row r="2005" spans="1:11" x14ac:dyDescent="0.3">
      <c r="A2005" t="s">
        <v>84</v>
      </c>
      <c r="B2005">
        <v>1001</v>
      </c>
      <c r="C2005" t="s">
        <v>79</v>
      </c>
      <c r="D2005">
        <v>2.9719000000000002E-4</v>
      </c>
      <c r="E2005" t="s">
        <v>74</v>
      </c>
      <c r="F2005">
        <v>0.29719000000000001</v>
      </c>
      <c r="G2005" t="s">
        <v>75</v>
      </c>
      <c r="H2005">
        <v>297.18900000000002</v>
      </c>
      <c r="I2005" t="s">
        <v>76</v>
      </c>
      <c r="J2005" t="s">
        <v>77</v>
      </c>
    </row>
    <row r="2006" spans="1:11" x14ac:dyDescent="0.3">
      <c r="A2006" t="s">
        <v>84</v>
      </c>
      <c r="B2006">
        <v>1001</v>
      </c>
      <c r="C2006" t="s">
        <v>94</v>
      </c>
      <c r="D2006">
        <v>2.58129E-3</v>
      </c>
      <c r="E2006" t="s">
        <v>74</v>
      </c>
      <c r="F2006">
        <v>2.5812900000000001</v>
      </c>
      <c r="G2006" t="s">
        <v>75</v>
      </c>
      <c r="H2006">
        <v>2581.29</v>
      </c>
      <c r="I2006" t="s">
        <v>76</v>
      </c>
      <c r="J2006" t="s">
        <v>77</v>
      </c>
    </row>
    <row r="2007" spans="1:11" x14ac:dyDescent="0.3">
      <c r="A2007" t="s">
        <v>84</v>
      </c>
      <c r="B2007">
        <v>1001</v>
      </c>
      <c r="C2007" t="s">
        <v>80</v>
      </c>
      <c r="D2007">
        <v>2.7377E-3</v>
      </c>
      <c r="E2007" t="s">
        <v>74</v>
      </c>
      <c r="F2007">
        <v>2.7376999999999998</v>
      </c>
      <c r="G2007" t="s">
        <v>75</v>
      </c>
      <c r="H2007">
        <v>2737.6979999999999</v>
      </c>
      <c r="I2007" t="s">
        <v>76</v>
      </c>
      <c r="J2007" t="s">
        <v>77</v>
      </c>
    </row>
    <row r="2008" spans="1:11" x14ac:dyDescent="0.3">
      <c r="A2008" t="s">
        <v>84</v>
      </c>
      <c r="B2008">
        <v>1001</v>
      </c>
      <c r="C2008" t="s">
        <v>81</v>
      </c>
      <c r="D2008">
        <v>3.03579E-3</v>
      </c>
      <c r="E2008" t="s">
        <v>74</v>
      </c>
      <c r="F2008">
        <v>3.03579</v>
      </c>
      <c r="G2008" t="s">
        <v>75</v>
      </c>
      <c r="H2008">
        <v>3035.7919999999999</v>
      </c>
      <c r="I2008" t="s">
        <v>76</v>
      </c>
      <c r="J2008" t="s">
        <v>82</v>
      </c>
      <c r="K2008">
        <v>329.40332069999999</v>
      </c>
    </row>
    <row r="2009" spans="1:11" x14ac:dyDescent="0.3">
      <c r="A2009" t="s">
        <v>85</v>
      </c>
      <c r="B2009">
        <v>1001</v>
      </c>
      <c r="C2009" t="s">
        <v>86</v>
      </c>
      <c r="D2009">
        <v>3.03601E-3</v>
      </c>
      <c r="E2009" t="s">
        <v>74</v>
      </c>
      <c r="F2009">
        <v>3.0360100000000001</v>
      </c>
      <c r="G2009" t="s">
        <v>75</v>
      </c>
      <c r="H2009">
        <v>3036.011</v>
      </c>
      <c r="I2009" t="s">
        <v>76</v>
      </c>
      <c r="J2009" t="s">
        <v>82</v>
      </c>
      <c r="K2009">
        <v>329.37957160000002</v>
      </c>
    </row>
    <row r="2010" spans="1:11" x14ac:dyDescent="0.3">
      <c r="A2010" t="s">
        <v>115</v>
      </c>
    </row>
    <row r="2011" spans="1:11" x14ac:dyDescent="0.3">
      <c r="A2011" t="s">
        <v>127</v>
      </c>
    </row>
    <row r="2012" spans="1:11" x14ac:dyDescent="0.3">
      <c r="A2012" t="s">
        <v>87</v>
      </c>
    </row>
    <row r="2013" spans="1:11" x14ac:dyDescent="0.3">
      <c r="A2013" t="s">
        <v>176</v>
      </c>
    </row>
    <row r="2014" spans="1:11" x14ac:dyDescent="0.3">
      <c r="A2014" t="s">
        <v>72</v>
      </c>
      <c r="B2014">
        <v>1</v>
      </c>
      <c r="C2014" t="s">
        <v>81</v>
      </c>
      <c r="D2014">
        <v>0.30658629999999998</v>
      </c>
      <c r="E2014" t="s">
        <v>74</v>
      </c>
      <c r="F2014">
        <v>306.58629999999999</v>
      </c>
      <c r="G2014" t="s">
        <v>75</v>
      </c>
      <c r="H2014">
        <v>306586.29499999998</v>
      </c>
      <c r="I2014" t="s">
        <v>76</v>
      </c>
      <c r="J2014" t="s">
        <v>82</v>
      </c>
      <c r="K2014">
        <v>3.2617243999999999</v>
      </c>
    </row>
    <row r="2015" spans="1:11" x14ac:dyDescent="0.3">
      <c r="A2015" t="s">
        <v>83</v>
      </c>
      <c r="B2015">
        <v>1000</v>
      </c>
      <c r="C2015" t="s">
        <v>81</v>
      </c>
      <c r="D2015">
        <v>2.7322399999999999E-3</v>
      </c>
      <c r="E2015" t="s">
        <v>74</v>
      </c>
      <c r="F2015">
        <v>2.73224</v>
      </c>
      <c r="G2015" t="s">
        <v>75</v>
      </c>
      <c r="H2015">
        <v>2732.241</v>
      </c>
      <c r="I2015" t="s">
        <v>76</v>
      </c>
      <c r="J2015" t="s">
        <v>82</v>
      </c>
      <c r="K2015">
        <v>365.99990400000002</v>
      </c>
    </row>
    <row r="2016" spans="1:11" x14ac:dyDescent="0.3">
      <c r="A2016" t="s">
        <v>85</v>
      </c>
      <c r="B2016">
        <v>1001</v>
      </c>
      <c r="C2016" t="s">
        <v>86</v>
      </c>
      <c r="D2016">
        <v>3.03601E-3</v>
      </c>
      <c r="E2016" t="s">
        <v>74</v>
      </c>
      <c r="F2016">
        <v>3.0360100000000001</v>
      </c>
      <c r="G2016" t="s">
        <v>75</v>
      </c>
      <c r="H2016">
        <v>3036.011</v>
      </c>
      <c r="I2016" t="s">
        <v>76</v>
      </c>
      <c r="J2016" t="s">
        <v>82</v>
      </c>
      <c r="K2016">
        <v>329.37957160000002</v>
      </c>
    </row>
    <row r="2018" spans="1:1" x14ac:dyDescent="0.3">
      <c r="A2018" t="s">
        <v>66</v>
      </c>
    </row>
    <row r="2020" spans="1:1" x14ac:dyDescent="0.3">
      <c r="A2020" t="s">
        <v>233</v>
      </c>
    </row>
    <row r="2021" spans="1:1" x14ac:dyDescent="0.3">
      <c r="A2021" t="s">
        <v>68</v>
      </c>
    </row>
    <row r="2022" spans="1:1" x14ac:dyDescent="0.3">
      <c r="A2022" t="s">
        <v>69</v>
      </c>
    </row>
    <row r="2023" spans="1:1" x14ac:dyDescent="0.3">
      <c r="A2023" t="s">
        <v>70</v>
      </c>
    </row>
    <row r="2024" spans="1:1" x14ac:dyDescent="0.3">
      <c r="A2024" t="s">
        <v>115</v>
      </c>
    </row>
    <row r="2025" spans="1:1" x14ac:dyDescent="0.3">
      <c r="A2025" t="s">
        <v>116</v>
      </c>
    </row>
    <row r="2026" spans="1:1" x14ac:dyDescent="0.3">
      <c r="A2026" t="s">
        <v>117</v>
      </c>
    </row>
    <row r="2027" spans="1:1" x14ac:dyDescent="0.3">
      <c r="A2027" t="s">
        <v>118</v>
      </c>
    </row>
    <row r="2028" spans="1:1" x14ac:dyDescent="0.3">
      <c r="A2028" t="s">
        <v>119</v>
      </c>
    </row>
    <row r="2029" spans="1:1" x14ac:dyDescent="0.3">
      <c r="A2029" t="s">
        <v>120</v>
      </c>
    </row>
    <row r="2030" spans="1:1" x14ac:dyDescent="0.3">
      <c r="A2030" t="s">
        <v>121</v>
      </c>
    </row>
    <row r="2031" spans="1:1" x14ac:dyDescent="0.3">
      <c r="A2031" t="s">
        <v>122</v>
      </c>
    </row>
    <row r="2032" spans="1:1" x14ac:dyDescent="0.3">
      <c r="A2032" t="s">
        <v>123</v>
      </c>
    </row>
    <row r="2033" spans="1:11" x14ac:dyDescent="0.3">
      <c r="A2033" t="s">
        <v>124</v>
      </c>
    </row>
    <row r="2034" spans="1:11" x14ac:dyDescent="0.3">
      <c r="A2034" t="s">
        <v>125</v>
      </c>
    </row>
    <row r="2035" spans="1:11" x14ac:dyDescent="0.3">
      <c r="A2035" t="s">
        <v>126</v>
      </c>
    </row>
    <row r="2036" spans="1:11" x14ac:dyDescent="0.3">
      <c r="A2036" t="s">
        <v>127</v>
      </c>
    </row>
    <row r="2037" spans="1:11" x14ac:dyDescent="0.3">
      <c r="A2037" t="s">
        <v>178</v>
      </c>
    </row>
    <row r="2038" spans="1:11" x14ac:dyDescent="0.3">
      <c r="A2038" t="s">
        <v>179</v>
      </c>
    </row>
    <row r="2039" spans="1:11" x14ac:dyDescent="0.3">
      <c r="A2039" t="s">
        <v>72</v>
      </c>
      <c r="B2039">
        <v>1</v>
      </c>
      <c r="C2039" t="s">
        <v>73</v>
      </c>
      <c r="D2039">
        <v>4.3000000000000003E-6</v>
      </c>
      <c r="E2039" t="s">
        <v>74</v>
      </c>
      <c r="F2039">
        <v>4.3E-3</v>
      </c>
      <c r="G2039" t="s">
        <v>75</v>
      </c>
      <c r="H2039">
        <v>4.3</v>
      </c>
      <c r="I2039" t="s">
        <v>76</v>
      </c>
      <c r="J2039" t="s">
        <v>77</v>
      </c>
    </row>
    <row r="2040" spans="1:11" x14ac:dyDescent="0.3">
      <c r="A2040" t="s">
        <v>72</v>
      </c>
      <c r="B2040">
        <v>1</v>
      </c>
      <c r="C2040" t="s">
        <v>78</v>
      </c>
      <c r="D2040">
        <v>0.1566613</v>
      </c>
      <c r="E2040" t="s">
        <v>74</v>
      </c>
      <c r="F2040">
        <v>156.66130000000001</v>
      </c>
      <c r="G2040" t="s">
        <v>75</v>
      </c>
      <c r="H2040">
        <v>156661.302</v>
      </c>
      <c r="I2040" t="s">
        <v>76</v>
      </c>
      <c r="J2040" t="s">
        <v>77</v>
      </c>
    </row>
    <row r="2041" spans="1:11" x14ac:dyDescent="0.3">
      <c r="A2041" t="s">
        <v>72</v>
      </c>
      <c r="B2041">
        <v>1</v>
      </c>
      <c r="C2041" t="s">
        <v>79</v>
      </c>
      <c r="D2041">
        <v>0.27349031000000001</v>
      </c>
      <c r="E2041" t="s">
        <v>74</v>
      </c>
      <c r="F2041">
        <v>273.49031000000002</v>
      </c>
      <c r="G2041" t="s">
        <v>75</v>
      </c>
      <c r="H2041">
        <v>273490.31</v>
      </c>
      <c r="I2041" t="s">
        <v>76</v>
      </c>
      <c r="J2041" t="s">
        <v>77</v>
      </c>
    </row>
    <row r="2042" spans="1:11" x14ac:dyDescent="0.3">
      <c r="A2042" t="s">
        <v>72</v>
      </c>
      <c r="B2042">
        <v>1</v>
      </c>
      <c r="C2042" t="s">
        <v>94</v>
      </c>
      <c r="D2042">
        <v>9.1000999999999999E-3</v>
      </c>
      <c r="E2042" t="s">
        <v>74</v>
      </c>
      <c r="F2042">
        <v>9.1000999999999994</v>
      </c>
      <c r="G2042" t="s">
        <v>75</v>
      </c>
      <c r="H2042">
        <v>9100.1</v>
      </c>
      <c r="I2042" t="s">
        <v>76</v>
      </c>
      <c r="J2042" t="s">
        <v>77</v>
      </c>
    </row>
    <row r="2043" spans="1:11" x14ac:dyDescent="0.3">
      <c r="A2043" t="s">
        <v>72</v>
      </c>
      <c r="B2043">
        <v>1</v>
      </c>
      <c r="C2043" t="s">
        <v>80</v>
      </c>
      <c r="D2043">
        <v>9.1009000000000003E-3</v>
      </c>
      <c r="E2043" t="s">
        <v>74</v>
      </c>
      <c r="F2043">
        <v>9.1008999999999993</v>
      </c>
      <c r="G2043" t="s">
        <v>75</v>
      </c>
      <c r="H2043">
        <v>9100.9</v>
      </c>
      <c r="I2043" t="s">
        <v>76</v>
      </c>
      <c r="J2043" t="s">
        <v>77</v>
      </c>
    </row>
    <row r="2044" spans="1:11" x14ac:dyDescent="0.3">
      <c r="A2044" t="s">
        <v>72</v>
      </c>
      <c r="B2044">
        <v>1</v>
      </c>
      <c r="C2044" t="s">
        <v>81</v>
      </c>
      <c r="D2044">
        <v>0.2825937</v>
      </c>
      <c r="E2044" t="s">
        <v>74</v>
      </c>
      <c r="F2044">
        <v>282.59370000000001</v>
      </c>
      <c r="G2044" t="s">
        <v>75</v>
      </c>
      <c r="H2044">
        <v>282593.69699999999</v>
      </c>
      <c r="I2044" t="s">
        <v>76</v>
      </c>
      <c r="J2044" t="s">
        <v>82</v>
      </c>
      <c r="K2044">
        <v>3.5386492999999999</v>
      </c>
    </row>
    <row r="2045" spans="1:11" x14ac:dyDescent="0.3">
      <c r="A2045" t="s">
        <v>83</v>
      </c>
      <c r="B2045">
        <v>1000</v>
      </c>
      <c r="C2045" t="s">
        <v>79</v>
      </c>
      <c r="D2045">
        <v>1.6999999999999999E-7</v>
      </c>
      <c r="E2045" t="s">
        <v>74</v>
      </c>
      <c r="F2045">
        <v>1.7000000000000001E-4</v>
      </c>
      <c r="G2045" t="s">
        <v>75</v>
      </c>
      <c r="H2045">
        <v>0.17399999999999999</v>
      </c>
      <c r="I2045" t="s">
        <v>76</v>
      </c>
      <c r="J2045" t="s">
        <v>77</v>
      </c>
    </row>
    <row r="2046" spans="1:11" x14ac:dyDescent="0.3">
      <c r="A2046" t="s">
        <v>83</v>
      </c>
      <c r="B2046">
        <v>1000</v>
      </c>
      <c r="C2046" t="s">
        <v>94</v>
      </c>
      <c r="D2046">
        <v>2.5751599999999999E-3</v>
      </c>
      <c r="E2046" t="s">
        <v>74</v>
      </c>
      <c r="F2046">
        <v>2.5751599999999999</v>
      </c>
      <c r="G2046" t="s">
        <v>75</v>
      </c>
      <c r="H2046">
        <v>2575.1610000000001</v>
      </c>
      <c r="I2046" t="s">
        <v>76</v>
      </c>
      <c r="J2046" t="s">
        <v>77</v>
      </c>
    </row>
    <row r="2047" spans="1:11" x14ac:dyDescent="0.3">
      <c r="A2047" t="s">
        <v>83</v>
      </c>
      <c r="B2047">
        <v>1000</v>
      </c>
      <c r="C2047" t="s">
        <v>80</v>
      </c>
      <c r="D2047">
        <v>2.7470799999999998E-3</v>
      </c>
      <c r="E2047" t="s">
        <v>74</v>
      </c>
      <c r="F2047">
        <v>2.74708</v>
      </c>
      <c r="G2047" t="s">
        <v>75</v>
      </c>
      <c r="H2047">
        <v>2747.0839999999998</v>
      </c>
      <c r="I2047" t="s">
        <v>76</v>
      </c>
      <c r="J2047" t="s">
        <v>77</v>
      </c>
    </row>
    <row r="2048" spans="1:11" x14ac:dyDescent="0.3">
      <c r="A2048" t="s">
        <v>83</v>
      </c>
      <c r="B2048">
        <v>1000</v>
      </c>
      <c r="C2048" t="s">
        <v>81</v>
      </c>
      <c r="D2048">
        <v>2.74807E-3</v>
      </c>
      <c r="E2048" t="s">
        <v>74</v>
      </c>
      <c r="F2048">
        <v>2.7480699999999998</v>
      </c>
      <c r="G2048" t="s">
        <v>75</v>
      </c>
      <c r="H2048">
        <v>2748.0740000000001</v>
      </c>
      <c r="I2048" t="s">
        <v>76</v>
      </c>
      <c r="J2048" t="s">
        <v>82</v>
      </c>
      <c r="K2048">
        <v>363.89127569999999</v>
      </c>
    </row>
    <row r="2049" spans="1:11" x14ac:dyDescent="0.3">
      <c r="A2049" t="s">
        <v>84</v>
      </c>
      <c r="B2049">
        <v>1001</v>
      </c>
      <c r="C2049" t="s">
        <v>79</v>
      </c>
      <c r="D2049">
        <v>2.7338999999999998E-4</v>
      </c>
      <c r="E2049" t="s">
        <v>74</v>
      </c>
      <c r="F2049">
        <v>0.27339000000000002</v>
      </c>
      <c r="G2049" t="s">
        <v>75</v>
      </c>
      <c r="H2049">
        <v>273.38900000000001</v>
      </c>
      <c r="I2049" t="s">
        <v>76</v>
      </c>
      <c r="J2049" t="s">
        <v>77</v>
      </c>
    </row>
    <row r="2050" spans="1:11" x14ac:dyDescent="0.3">
      <c r="A2050" t="s">
        <v>84</v>
      </c>
      <c r="B2050">
        <v>1001</v>
      </c>
      <c r="C2050" t="s">
        <v>94</v>
      </c>
      <c r="D2050">
        <v>2.5816799999999998E-3</v>
      </c>
      <c r="E2050" t="s">
        <v>74</v>
      </c>
      <c r="F2050">
        <v>2.58168</v>
      </c>
      <c r="G2050" t="s">
        <v>75</v>
      </c>
      <c r="H2050">
        <v>2581.6799999999998</v>
      </c>
      <c r="I2050" t="s">
        <v>76</v>
      </c>
      <c r="J2050" t="s">
        <v>77</v>
      </c>
    </row>
    <row r="2051" spans="1:11" x14ac:dyDescent="0.3">
      <c r="A2051" t="s">
        <v>84</v>
      </c>
      <c r="B2051">
        <v>1001</v>
      </c>
      <c r="C2051" t="s">
        <v>80</v>
      </c>
      <c r="D2051">
        <v>2.7534299999999999E-3</v>
      </c>
      <c r="E2051" t="s">
        <v>74</v>
      </c>
      <c r="F2051">
        <v>2.7534299999999998</v>
      </c>
      <c r="G2051" t="s">
        <v>75</v>
      </c>
      <c r="H2051">
        <v>2753.4319999999998</v>
      </c>
      <c r="I2051" t="s">
        <v>76</v>
      </c>
      <c r="J2051" t="s">
        <v>77</v>
      </c>
    </row>
    <row r="2052" spans="1:11" x14ac:dyDescent="0.3">
      <c r="A2052" t="s">
        <v>84</v>
      </c>
      <c r="B2052">
        <v>1001</v>
      </c>
      <c r="C2052" t="s">
        <v>81</v>
      </c>
      <c r="D2052">
        <v>3.0276399999999998E-3</v>
      </c>
      <c r="E2052" t="s">
        <v>74</v>
      </c>
      <c r="F2052">
        <v>3.0276399999999999</v>
      </c>
      <c r="G2052" t="s">
        <v>75</v>
      </c>
      <c r="H2052">
        <v>3027.64</v>
      </c>
      <c r="I2052" t="s">
        <v>76</v>
      </c>
      <c r="J2052" t="s">
        <v>82</v>
      </c>
      <c r="K2052">
        <v>330.2902436</v>
      </c>
    </row>
    <row r="2053" spans="1:11" x14ac:dyDescent="0.3">
      <c r="A2053" t="s">
        <v>85</v>
      </c>
      <c r="B2053">
        <v>1001</v>
      </c>
      <c r="C2053" t="s">
        <v>86</v>
      </c>
      <c r="D2053">
        <v>3.0278200000000001E-3</v>
      </c>
      <c r="E2053" t="s">
        <v>74</v>
      </c>
      <c r="F2053">
        <v>3.0278200000000002</v>
      </c>
      <c r="G2053" t="s">
        <v>75</v>
      </c>
      <c r="H2053">
        <v>3027.8159999999998</v>
      </c>
      <c r="I2053" t="s">
        <v>76</v>
      </c>
      <c r="J2053" t="s">
        <v>82</v>
      </c>
      <c r="K2053">
        <v>330.27106889999999</v>
      </c>
    </row>
    <row r="2054" spans="1:11" x14ac:dyDescent="0.3">
      <c r="A2054" t="s">
        <v>180</v>
      </c>
    </row>
    <row r="2055" spans="1:11" x14ac:dyDescent="0.3">
      <c r="A2055" t="s">
        <v>181</v>
      </c>
    </row>
    <row r="2056" spans="1:11" x14ac:dyDescent="0.3">
      <c r="A2056" t="s">
        <v>72</v>
      </c>
      <c r="B2056">
        <v>1</v>
      </c>
      <c r="C2056" t="s">
        <v>73</v>
      </c>
      <c r="D2056">
        <v>4.3000000000000003E-6</v>
      </c>
      <c r="E2056" t="s">
        <v>74</v>
      </c>
      <c r="F2056">
        <v>4.3E-3</v>
      </c>
      <c r="G2056" t="s">
        <v>75</v>
      </c>
      <c r="H2056">
        <v>4.3</v>
      </c>
      <c r="I2056" t="s">
        <v>76</v>
      </c>
      <c r="J2056" t="s">
        <v>77</v>
      </c>
    </row>
    <row r="2057" spans="1:11" x14ac:dyDescent="0.3">
      <c r="A2057" t="s">
        <v>72</v>
      </c>
      <c r="B2057">
        <v>1</v>
      </c>
      <c r="C2057" t="s">
        <v>78</v>
      </c>
      <c r="D2057">
        <v>5.0300000000000003E-5</v>
      </c>
      <c r="E2057" t="s">
        <v>74</v>
      </c>
      <c r="F2057">
        <v>5.0299999999999997E-2</v>
      </c>
      <c r="G2057" t="s">
        <v>75</v>
      </c>
      <c r="H2057">
        <v>50.3</v>
      </c>
      <c r="I2057" t="s">
        <v>76</v>
      </c>
      <c r="J2057" t="s">
        <v>77</v>
      </c>
    </row>
    <row r="2058" spans="1:11" x14ac:dyDescent="0.3">
      <c r="A2058" t="s">
        <v>72</v>
      </c>
      <c r="B2058">
        <v>1</v>
      </c>
      <c r="C2058" t="s">
        <v>79</v>
      </c>
      <c r="D2058">
        <v>4.2430000000000002E-3</v>
      </c>
      <c r="E2058" t="s">
        <v>74</v>
      </c>
      <c r="F2058">
        <v>4.2430000000000003</v>
      </c>
      <c r="G2058" t="s">
        <v>75</v>
      </c>
      <c r="H2058">
        <v>4243</v>
      </c>
      <c r="I2058" t="s">
        <v>76</v>
      </c>
      <c r="J2058" t="s">
        <v>77</v>
      </c>
    </row>
    <row r="2059" spans="1:11" x14ac:dyDescent="0.3">
      <c r="A2059" t="s">
        <v>72</v>
      </c>
      <c r="B2059">
        <v>1</v>
      </c>
      <c r="C2059" t="s">
        <v>94</v>
      </c>
      <c r="D2059">
        <v>2.5766999999999999E-3</v>
      </c>
      <c r="E2059" t="s">
        <v>74</v>
      </c>
      <c r="F2059">
        <v>2.5767000000000002</v>
      </c>
      <c r="G2059" t="s">
        <v>75</v>
      </c>
      <c r="H2059">
        <v>2576.6999999999998</v>
      </c>
      <c r="I2059" t="s">
        <v>76</v>
      </c>
      <c r="J2059" t="s">
        <v>77</v>
      </c>
    </row>
    <row r="2060" spans="1:11" x14ac:dyDescent="0.3">
      <c r="A2060" t="s">
        <v>72</v>
      </c>
      <c r="B2060">
        <v>1</v>
      </c>
      <c r="C2060" t="s">
        <v>80</v>
      </c>
      <c r="D2060">
        <v>2.7244999999999999E-3</v>
      </c>
      <c r="E2060" t="s">
        <v>74</v>
      </c>
      <c r="F2060">
        <v>2.7244999999999999</v>
      </c>
      <c r="G2060" t="s">
        <v>75</v>
      </c>
      <c r="H2060">
        <v>2724.5</v>
      </c>
      <c r="I2060" t="s">
        <v>76</v>
      </c>
      <c r="J2060" t="s">
        <v>77</v>
      </c>
    </row>
    <row r="2061" spans="1:11" x14ac:dyDescent="0.3">
      <c r="A2061" t="s">
        <v>72</v>
      </c>
      <c r="B2061">
        <v>1</v>
      </c>
      <c r="C2061" t="s">
        <v>81</v>
      </c>
      <c r="D2061">
        <v>6.9686000000000001E-3</v>
      </c>
      <c r="E2061" t="s">
        <v>74</v>
      </c>
      <c r="F2061">
        <v>6.9686000000000003</v>
      </c>
      <c r="G2061" t="s">
        <v>75</v>
      </c>
      <c r="H2061">
        <v>6968.6</v>
      </c>
      <c r="I2061" t="s">
        <v>76</v>
      </c>
      <c r="J2061" t="s">
        <v>82</v>
      </c>
      <c r="K2061">
        <v>143.50084229999999</v>
      </c>
    </row>
    <row r="2062" spans="1:11" x14ac:dyDescent="0.3">
      <c r="A2062" t="s">
        <v>83</v>
      </c>
      <c r="B2062">
        <v>1000</v>
      </c>
      <c r="C2062" t="s">
        <v>79</v>
      </c>
      <c r="D2062">
        <v>2.1E-7</v>
      </c>
      <c r="E2062" t="s">
        <v>74</v>
      </c>
      <c r="F2062">
        <v>2.1000000000000001E-4</v>
      </c>
      <c r="G2062" t="s">
        <v>75</v>
      </c>
      <c r="H2062">
        <v>0.20799999999999999</v>
      </c>
      <c r="I2062" t="s">
        <v>76</v>
      </c>
      <c r="J2062" t="s">
        <v>77</v>
      </c>
    </row>
    <row r="2063" spans="1:11" x14ac:dyDescent="0.3">
      <c r="A2063" t="s">
        <v>83</v>
      </c>
      <c r="B2063">
        <v>1000</v>
      </c>
      <c r="C2063" t="s">
        <v>94</v>
      </c>
      <c r="D2063">
        <v>2.5773300000000001E-3</v>
      </c>
      <c r="E2063" t="s">
        <v>74</v>
      </c>
      <c r="F2063">
        <v>2.5773299999999999</v>
      </c>
      <c r="G2063" t="s">
        <v>75</v>
      </c>
      <c r="H2063">
        <v>2577.3330000000001</v>
      </c>
      <c r="I2063" t="s">
        <v>76</v>
      </c>
      <c r="J2063" t="s">
        <v>77</v>
      </c>
    </row>
    <row r="2064" spans="1:11" x14ac:dyDescent="0.3">
      <c r="A2064" t="s">
        <v>83</v>
      </c>
      <c r="B2064">
        <v>1000</v>
      </c>
      <c r="C2064" t="s">
        <v>80</v>
      </c>
      <c r="D2064">
        <v>2.7448199999999998E-3</v>
      </c>
      <c r="E2064" t="s">
        <v>74</v>
      </c>
      <c r="F2064">
        <v>2.7448199999999998</v>
      </c>
      <c r="G2064" t="s">
        <v>75</v>
      </c>
      <c r="H2064">
        <v>2744.82</v>
      </c>
      <c r="I2064" t="s">
        <v>76</v>
      </c>
      <c r="J2064" t="s">
        <v>77</v>
      </c>
    </row>
    <row r="2065" spans="1:11" x14ac:dyDescent="0.3">
      <c r="A2065" t="s">
        <v>83</v>
      </c>
      <c r="B2065">
        <v>1000</v>
      </c>
      <c r="C2065" t="s">
        <v>81</v>
      </c>
      <c r="D2065">
        <v>2.7459699999999999E-3</v>
      </c>
      <c r="E2065" t="s">
        <v>74</v>
      </c>
      <c r="F2065">
        <v>2.7459699999999998</v>
      </c>
      <c r="G2065" t="s">
        <v>75</v>
      </c>
      <c r="H2065">
        <v>2745.9749999999999</v>
      </c>
      <c r="I2065" t="s">
        <v>76</v>
      </c>
      <c r="J2065" t="s">
        <v>82</v>
      </c>
      <c r="K2065">
        <v>364.16940449999998</v>
      </c>
    </row>
    <row r="2066" spans="1:11" x14ac:dyDescent="0.3">
      <c r="A2066" t="s">
        <v>84</v>
      </c>
      <c r="B2066">
        <v>1001</v>
      </c>
      <c r="C2066" t="s">
        <v>79</v>
      </c>
      <c r="D2066">
        <v>4.4499999999999997E-6</v>
      </c>
      <c r="E2066" t="s">
        <v>74</v>
      </c>
      <c r="F2066">
        <v>4.45E-3</v>
      </c>
      <c r="G2066" t="s">
        <v>75</v>
      </c>
      <c r="H2066">
        <v>4.4459999999999997</v>
      </c>
      <c r="I2066" t="s">
        <v>76</v>
      </c>
      <c r="J2066" t="s">
        <v>77</v>
      </c>
    </row>
    <row r="2067" spans="1:11" x14ac:dyDescent="0.3">
      <c r="A2067" t="s">
        <v>84</v>
      </c>
      <c r="B2067">
        <v>1001</v>
      </c>
      <c r="C2067" t="s">
        <v>94</v>
      </c>
      <c r="D2067">
        <v>2.5773300000000001E-3</v>
      </c>
      <c r="E2067" t="s">
        <v>74</v>
      </c>
      <c r="F2067">
        <v>2.5773299999999999</v>
      </c>
      <c r="G2067" t="s">
        <v>75</v>
      </c>
      <c r="H2067">
        <v>2577.3319999999999</v>
      </c>
      <c r="I2067" t="s">
        <v>76</v>
      </c>
      <c r="J2067" t="s">
        <v>77</v>
      </c>
    </row>
    <row r="2068" spans="1:11" x14ac:dyDescent="0.3">
      <c r="A2068" t="s">
        <v>84</v>
      </c>
      <c r="B2068">
        <v>1001</v>
      </c>
      <c r="C2068" t="s">
        <v>80</v>
      </c>
      <c r="D2068">
        <v>2.7447999999999999E-3</v>
      </c>
      <c r="E2068" t="s">
        <v>74</v>
      </c>
      <c r="F2068">
        <v>2.7448000000000001</v>
      </c>
      <c r="G2068" t="s">
        <v>75</v>
      </c>
      <c r="H2068">
        <v>2744.8</v>
      </c>
      <c r="I2068" t="s">
        <v>76</v>
      </c>
      <c r="J2068" t="s">
        <v>77</v>
      </c>
    </row>
    <row r="2069" spans="1:11" x14ac:dyDescent="0.3">
      <c r="A2069" t="s">
        <v>84</v>
      </c>
      <c r="B2069">
        <v>1001</v>
      </c>
      <c r="C2069" t="s">
        <v>81</v>
      </c>
      <c r="D2069">
        <v>2.75019E-3</v>
      </c>
      <c r="E2069" t="s">
        <v>74</v>
      </c>
      <c r="F2069">
        <v>2.7501899999999999</v>
      </c>
      <c r="G2069" t="s">
        <v>75</v>
      </c>
      <c r="H2069">
        <v>2750.1930000000002</v>
      </c>
      <c r="I2069" t="s">
        <v>76</v>
      </c>
      <c r="J2069" t="s">
        <v>82</v>
      </c>
      <c r="K2069">
        <v>363.61083359999998</v>
      </c>
    </row>
    <row r="2070" spans="1:11" x14ac:dyDescent="0.3">
      <c r="A2070" t="s">
        <v>85</v>
      </c>
      <c r="B2070">
        <v>1001</v>
      </c>
      <c r="C2070" t="s">
        <v>86</v>
      </c>
      <c r="D2070">
        <v>2.7503499999999999E-3</v>
      </c>
      <c r="E2070" t="s">
        <v>74</v>
      </c>
      <c r="F2070">
        <v>2.7503500000000001</v>
      </c>
      <c r="G2070" t="s">
        <v>75</v>
      </c>
      <c r="H2070">
        <v>2750.3510000000001</v>
      </c>
      <c r="I2070" t="s">
        <v>76</v>
      </c>
      <c r="J2070" t="s">
        <v>82</v>
      </c>
      <c r="K2070">
        <v>363.58992510000002</v>
      </c>
    </row>
    <row r="2071" spans="1:11" x14ac:dyDescent="0.3">
      <c r="A2071" t="s">
        <v>115</v>
      </c>
    </row>
    <row r="2072" spans="1:11" x14ac:dyDescent="0.3">
      <c r="A2072" t="s">
        <v>127</v>
      </c>
    </row>
    <row r="2073" spans="1:11" x14ac:dyDescent="0.3">
      <c r="A2073" t="s">
        <v>87</v>
      </c>
    </row>
    <row r="2074" spans="1:11" x14ac:dyDescent="0.3">
      <c r="A2074" t="s">
        <v>182</v>
      </c>
    </row>
    <row r="2075" spans="1:11" x14ac:dyDescent="0.3">
      <c r="A2075" t="s">
        <v>72</v>
      </c>
      <c r="B2075">
        <v>1</v>
      </c>
      <c r="C2075" t="s">
        <v>81</v>
      </c>
      <c r="D2075">
        <v>0.2825937</v>
      </c>
      <c r="E2075" t="s">
        <v>74</v>
      </c>
      <c r="F2075">
        <v>282.59370000000001</v>
      </c>
      <c r="G2075" t="s">
        <v>75</v>
      </c>
      <c r="H2075">
        <v>282593.69699999999</v>
      </c>
      <c r="I2075" t="s">
        <v>76</v>
      </c>
      <c r="J2075" t="s">
        <v>82</v>
      </c>
      <c r="K2075">
        <v>3.5386492999999999</v>
      </c>
    </row>
    <row r="2076" spans="1:11" x14ac:dyDescent="0.3">
      <c r="A2076" t="s">
        <v>83</v>
      </c>
      <c r="B2076">
        <v>1000</v>
      </c>
      <c r="C2076" t="s">
        <v>81</v>
      </c>
      <c r="D2076">
        <v>2.74807E-3</v>
      </c>
      <c r="E2076" t="s">
        <v>74</v>
      </c>
      <c r="F2076">
        <v>2.7480699999999998</v>
      </c>
      <c r="G2076" t="s">
        <v>75</v>
      </c>
      <c r="H2076">
        <v>2748.0740000000001</v>
      </c>
      <c r="I2076" t="s">
        <v>76</v>
      </c>
      <c r="J2076" t="s">
        <v>82</v>
      </c>
      <c r="K2076">
        <v>363.89127569999999</v>
      </c>
    </row>
    <row r="2077" spans="1:11" x14ac:dyDescent="0.3">
      <c r="A2077" t="s">
        <v>85</v>
      </c>
      <c r="B2077">
        <v>1001</v>
      </c>
      <c r="C2077" t="s">
        <v>86</v>
      </c>
      <c r="D2077">
        <v>3.0278200000000001E-3</v>
      </c>
      <c r="E2077" t="s">
        <v>74</v>
      </c>
      <c r="F2077">
        <v>3.0278200000000002</v>
      </c>
      <c r="G2077" t="s">
        <v>75</v>
      </c>
      <c r="H2077">
        <v>3027.8159999999998</v>
      </c>
      <c r="I2077" t="s">
        <v>76</v>
      </c>
      <c r="J2077" t="s">
        <v>82</v>
      </c>
      <c r="K2077">
        <v>330.27106889999999</v>
      </c>
    </row>
    <row r="2079" spans="1:11" x14ac:dyDescent="0.3">
      <c r="A2079" t="s">
        <v>183</v>
      </c>
    </row>
    <row r="2080" spans="1:11" x14ac:dyDescent="0.3">
      <c r="A2080" t="s">
        <v>72</v>
      </c>
      <c r="B2080">
        <v>1</v>
      </c>
      <c r="C2080" t="s">
        <v>81</v>
      </c>
      <c r="D2080">
        <v>6.9686000000000001E-3</v>
      </c>
      <c r="E2080" t="s">
        <v>74</v>
      </c>
      <c r="F2080">
        <v>6.9686000000000003</v>
      </c>
      <c r="G2080" t="s">
        <v>75</v>
      </c>
      <c r="H2080">
        <v>6968.6</v>
      </c>
      <c r="I2080" t="s">
        <v>76</v>
      </c>
      <c r="J2080" t="s">
        <v>82</v>
      </c>
      <c r="K2080">
        <v>143.50084229999999</v>
      </c>
    </row>
    <row r="2081" spans="1:11" x14ac:dyDescent="0.3">
      <c r="A2081" t="s">
        <v>83</v>
      </c>
      <c r="B2081">
        <v>1000</v>
      </c>
      <c r="C2081" t="s">
        <v>81</v>
      </c>
      <c r="D2081">
        <v>2.7459699999999999E-3</v>
      </c>
      <c r="E2081" t="s">
        <v>74</v>
      </c>
      <c r="F2081">
        <v>2.7459699999999998</v>
      </c>
      <c r="G2081" t="s">
        <v>75</v>
      </c>
      <c r="H2081">
        <v>2745.9749999999999</v>
      </c>
      <c r="I2081" t="s">
        <v>76</v>
      </c>
      <c r="J2081" t="s">
        <v>82</v>
      </c>
      <c r="K2081">
        <v>364.16940449999998</v>
      </c>
    </row>
    <row r="2082" spans="1:11" x14ac:dyDescent="0.3">
      <c r="A2082" t="s">
        <v>85</v>
      </c>
      <c r="B2082">
        <v>1001</v>
      </c>
      <c r="C2082" t="s">
        <v>86</v>
      </c>
      <c r="D2082">
        <v>2.7503499999999999E-3</v>
      </c>
      <c r="E2082" t="s">
        <v>74</v>
      </c>
      <c r="F2082">
        <v>2.7503500000000001</v>
      </c>
      <c r="G2082" t="s">
        <v>75</v>
      </c>
      <c r="H2082">
        <v>2750.3510000000001</v>
      </c>
      <c r="I2082" t="s">
        <v>76</v>
      </c>
      <c r="J2082" t="s">
        <v>82</v>
      </c>
      <c r="K2082">
        <v>363.58992510000002</v>
      </c>
    </row>
    <row r="2084" spans="1:11" x14ac:dyDescent="0.3">
      <c r="A2084" t="s">
        <v>66</v>
      </c>
    </row>
    <row r="2086" spans="1:11" x14ac:dyDescent="0.3">
      <c r="A2086" t="s">
        <v>234</v>
      </c>
    </row>
    <row r="2087" spans="1:11" x14ac:dyDescent="0.3">
      <c r="A2087" t="s">
        <v>68</v>
      </c>
    </row>
    <row r="2088" spans="1:11" x14ac:dyDescent="0.3">
      <c r="A2088" t="s">
        <v>69</v>
      </c>
    </row>
    <row r="2089" spans="1:11" x14ac:dyDescent="0.3">
      <c r="A2089" t="s">
        <v>70</v>
      </c>
    </row>
    <row r="2090" spans="1:11" x14ac:dyDescent="0.3">
      <c r="A2090" t="s">
        <v>115</v>
      </c>
    </row>
    <row r="2091" spans="1:11" x14ac:dyDescent="0.3">
      <c r="A2091" t="s">
        <v>116</v>
      </c>
    </row>
    <row r="2092" spans="1:11" x14ac:dyDescent="0.3">
      <c r="A2092" t="s">
        <v>117</v>
      </c>
    </row>
    <row r="2093" spans="1:11" x14ac:dyDescent="0.3">
      <c r="A2093" t="s">
        <v>118</v>
      </c>
    </row>
    <row r="2094" spans="1:11" x14ac:dyDescent="0.3">
      <c r="A2094" t="s">
        <v>119</v>
      </c>
    </row>
    <row r="2095" spans="1:11" x14ac:dyDescent="0.3">
      <c r="A2095" t="s">
        <v>120</v>
      </c>
    </row>
    <row r="2096" spans="1:11" x14ac:dyDescent="0.3">
      <c r="A2096" t="s">
        <v>121</v>
      </c>
    </row>
    <row r="2097" spans="1:11" x14ac:dyDescent="0.3">
      <c r="A2097" t="s">
        <v>122</v>
      </c>
    </row>
    <row r="2098" spans="1:11" x14ac:dyDescent="0.3">
      <c r="A2098" t="s">
        <v>123</v>
      </c>
    </row>
    <row r="2099" spans="1:11" x14ac:dyDescent="0.3">
      <c r="A2099" t="s">
        <v>124</v>
      </c>
    </row>
    <row r="2100" spans="1:11" x14ac:dyDescent="0.3">
      <c r="A2100" t="s">
        <v>125</v>
      </c>
    </row>
    <row r="2101" spans="1:11" x14ac:dyDescent="0.3">
      <c r="A2101" t="s">
        <v>126</v>
      </c>
    </row>
    <row r="2102" spans="1:11" x14ac:dyDescent="0.3">
      <c r="A2102" t="s">
        <v>127</v>
      </c>
    </row>
    <row r="2103" spans="1:11" x14ac:dyDescent="0.3">
      <c r="A2103" t="s">
        <v>185</v>
      </c>
    </row>
    <row r="2104" spans="1:11" x14ac:dyDescent="0.3">
      <c r="A2104" t="s">
        <v>186</v>
      </c>
    </row>
    <row r="2105" spans="1:11" x14ac:dyDescent="0.3">
      <c r="A2105" t="s">
        <v>72</v>
      </c>
      <c r="B2105">
        <v>1</v>
      </c>
      <c r="C2105" t="s">
        <v>73</v>
      </c>
      <c r="D2105">
        <v>5.1000000000000003E-6</v>
      </c>
      <c r="E2105" t="s">
        <v>74</v>
      </c>
      <c r="F2105">
        <v>5.1000000000000004E-3</v>
      </c>
      <c r="G2105" t="s">
        <v>75</v>
      </c>
      <c r="H2105">
        <v>5.0999999999999996</v>
      </c>
      <c r="I2105" t="s">
        <v>76</v>
      </c>
      <c r="J2105" t="s">
        <v>77</v>
      </c>
    </row>
    <row r="2106" spans="1:11" x14ac:dyDescent="0.3">
      <c r="A2106" t="s">
        <v>72</v>
      </c>
      <c r="B2106">
        <v>1</v>
      </c>
      <c r="C2106" t="s">
        <v>78</v>
      </c>
      <c r="D2106">
        <v>0.1630075</v>
      </c>
      <c r="E2106" t="s">
        <v>74</v>
      </c>
      <c r="F2106">
        <v>163.00749999999999</v>
      </c>
      <c r="G2106" t="s">
        <v>75</v>
      </c>
      <c r="H2106">
        <v>163007.49799999999</v>
      </c>
      <c r="I2106" t="s">
        <v>76</v>
      </c>
      <c r="J2106" t="s">
        <v>77</v>
      </c>
    </row>
    <row r="2107" spans="1:11" x14ac:dyDescent="0.3">
      <c r="A2107" t="s">
        <v>72</v>
      </c>
      <c r="B2107">
        <v>1</v>
      </c>
      <c r="C2107" t="s">
        <v>79</v>
      </c>
      <c r="D2107">
        <v>0.36589861000000001</v>
      </c>
      <c r="E2107" t="s">
        <v>74</v>
      </c>
      <c r="F2107">
        <v>365.89861000000002</v>
      </c>
      <c r="G2107" t="s">
        <v>75</v>
      </c>
      <c r="H2107">
        <v>365898.609</v>
      </c>
      <c r="I2107" t="s">
        <v>76</v>
      </c>
      <c r="J2107" t="s">
        <v>77</v>
      </c>
    </row>
    <row r="2108" spans="1:11" x14ac:dyDescent="0.3">
      <c r="A2108" t="s">
        <v>72</v>
      </c>
      <c r="B2108">
        <v>1</v>
      </c>
      <c r="C2108" t="s">
        <v>94</v>
      </c>
      <c r="D2108">
        <v>9.2224000000000004E-3</v>
      </c>
      <c r="E2108" t="s">
        <v>74</v>
      </c>
      <c r="F2108">
        <v>9.2224000000000004</v>
      </c>
      <c r="G2108" t="s">
        <v>75</v>
      </c>
      <c r="H2108">
        <v>9222.4</v>
      </c>
      <c r="I2108" t="s">
        <v>76</v>
      </c>
      <c r="J2108" t="s">
        <v>77</v>
      </c>
    </row>
    <row r="2109" spans="1:11" x14ac:dyDescent="0.3">
      <c r="A2109" t="s">
        <v>72</v>
      </c>
      <c r="B2109">
        <v>1</v>
      </c>
      <c r="C2109" t="s">
        <v>80</v>
      </c>
      <c r="D2109">
        <v>9.2230999999999997E-3</v>
      </c>
      <c r="E2109" t="s">
        <v>74</v>
      </c>
      <c r="F2109">
        <v>9.2231000000000005</v>
      </c>
      <c r="G2109" t="s">
        <v>75</v>
      </c>
      <c r="H2109">
        <v>9223.1</v>
      </c>
      <c r="I2109" t="s">
        <v>76</v>
      </c>
      <c r="J2109" t="s">
        <v>77</v>
      </c>
    </row>
    <row r="2110" spans="1:11" x14ac:dyDescent="0.3">
      <c r="A2110" t="s">
        <v>72</v>
      </c>
      <c r="B2110">
        <v>1</v>
      </c>
      <c r="C2110" t="s">
        <v>81</v>
      </c>
      <c r="D2110">
        <v>0.37512451000000002</v>
      </c>
      <c r="E2110" t="s">
        <v>74</v>
      </c>
      <c r="F2110">
        <v>375.12450999999999</v>
      </c>
      <c r="G2110" t="s">
        <v>75</v>
      </c>
      <c r="H2110">
        <v>375124.51400000002</v>
      </c>
      <c r="I2110" t="s">
        <v>76</v>
      </c>
      <c r="J2110" t="s">
        <v>82</v>
      </c>
      <c r="K2110">
        <v>2.6657815</v>
      </c>
    </row>
    <row r="2111" spans="1:11" x14ac:dyDescent="0.3">
      <c r="A2111" t="s">
        <v>83</v>
      </c>
      <c r="B2111">
        <v>1000</v>
      </c>
      <c r="C2111" t="s">
        <v>79</v>
      </c>
      <c r="D2111">
        <v>1.9999999999999999E-7</v>
      </c>
      <c r="E2111" t="s">
        <v>74</v>
      </c>
      <c r="F2111">
        <v>2.0000000000000001E-4</v>
      </c>
      <c r="G2111" t="s">
        <v>75</v>
      </c>
      <c r="H2111">
        <v>0.20100000000000001</v>
      </c>
      <c r="I2111" t="s">
        <v>76</v>
      </c>
      <c r="J2111" t="s">
        <v>77</v>
      </c>
    </row>
    <row r="2112" spans="1:11" x14ac:dyDescent="0.3">
      <c r="A2112" t="s">
        <v>83</v>
      </c>
      <c r="B2112">
        <v>1000</v>
      </c>
      <c r="C2112" t="s">
        <v>94</v>
      </c>
      <c r="D2112">
        <v>2.5841100000000001E-3</v>
      </c>
      <c r="E2112" t="s">
        <v>74</v>
      </c>
      <c r="F2112">
        <v>2.5841099999999999</v>
      </c>
      <c r="G2112" t="s">
        <v>75</v>
      </c>
      <c r="H2112">
        <v>2584.1109999999999</v>
      </c>
      <c r="I2112" t="s">
        <v>76</v>
      </c>
      <c r="J2112" t="s">
        <v>77</v>
      </c>
    </row>
    <row r="2113" spans="1:11" x14ac:dyDescent="0.3">
      <c r="A2113" t="s">
        <v>83</v>
      </c>
      <c r="B2113">
        <v>1000</v>
      </c>
      <c r="C2113" t="s">
        <v>80</v>
      </c>
      <c r="D2113">
        <v>2.7636900000000001E-3</v>
      </c>
      <c r="E2113" t="s">
        <v>74</v>
      </c>
      <c r="F2113">
        <v>2.76369</v>
      </c>
      <c r="G2113" t="s">
        <v>75</v>
      </c>
      <c r="H2113">
        <v>2763.6880000000001</v>
      </c>
      <c r="I2113" t="s">
        <v>76</v>
      </c>
      <c r="J2113" t="s">
        <v>77</v>
      </c>
    </row>
    <row r="2114" spans="1:11" x14ac:dyDescent="0.3">
      <c r="A2114" t="s">
        <v>83</v>
      </c>
      <c r="B2114">
        <v>1000</v>
      </c>
      <c r="C2114" t="s">
        <v>81</v>
      </c>
      <c r="D2114">
        <v>2.7647399999999999E-3</v>
      </c>
      <c r="E2114" t="s">
        <v>74</v>
      </c>
      <c r="F2114">
        <v>2.7647400000000002</v>
      </c>
      <c r="G2114" t="s">
        <v>75</v>
      </c>
      <c r="H2114">
        <v>2764.7440000000001</v>
      </c>
      <c r="I2114" t="s">
        <v>76</v>
      </c>
      <c r="J2114" t="s">
        <v>82</v>
      </c>
      <c r="K2114">
        <v>361.69713519999999</v>
      </c>
    </row>
    <row r="2115" spans="1:11" x14ac:dyDescent="0.3">
      <c r="A2115" t="s">
        <v>84</v>
      </c>
      <c r="B2115">
        <v>1001</v>
      </c>
      <c r="C2115" t="s">
        <v>79</v>
      </c>
      <c r="D2115">
        <v>3.6573999999999998E-4</v>
      </c>
      <c r="E2115" t="s">
        <v>74</v>
      </c>
      <c r="F2115">
        <v>0.36574000000000001</v>
      </c>
      <c r="G2115" t="s">
        <v>75</v>
      </c>
      <c r="H2115">
        <v>365.73500000000001</v>
      </c>
      <c r="I2115" t="s">
        <v>76</v>
      </c>
      <c r="J2115" t="s">
        <v>77</v>
      </c>
    </row>
    <row r="2116" spans="1:11" x14ac:dyDescent="0.3">
      <c r="A2116" t="s">
        <v>84</v>
      </c>
      <c r="B2116">
        <v>1001</v>
      </c>
      <c r="C2116" t="s">
        <v>94</v>
      </c>
      <c r="D2116">
        <v>2.5907399999999998E-3</v>
      </c>
      <c r="E2116" t="s">
        <v>74</v>
      </c>
      <c r="F2116">
        <v>2.5907399999999998</v>
      </c>
      <c r="G2116" t="s">
        <v>75</v>
      </c>
      <c r="H2116">
        <v>2590.7429999999999</v>
      </c>
      <c r="I2116" t="s">
        <v>76</v>
      </c>
      <c r="J2116" t="s">
        <v>77</v>
      </c>
    </row>
    <row r="2117" spans="1:11" x14ac:dyDescent="0.3">
      <c r="A2117" t="s">
        <v>84</v>
      </c>
      <c r="B2117">
        <v>1001</v>
      </c>
      <c r="C2117" t="s">
        <v>80</v>
      </c>
      <c r="D2117">
        <v>2.7701399999999999E-3</v>
      </c>
      <c r="E2117" t="s">
        <v>74</v>
      </c>
      <c r="F2117">
        <v>2.77014</v>
      </c>
      <c r="G2117" t="s">
        <v>75</v>
      </c>
      <c r="H2117">
        <v>2770.1410000000001</v>
      </c>
      <c r="I2117" t="s">
        <v>76</v>
      </c>
      <c r="J2117" t="s">
        <v>77</v>
      </c>
    </row>
    <row r="2118" spans="1:11" x14ac:dyDescent="0.3">
      <c r="A2118" t="s">
        <v>84</v>
      </c>
      <c r="B2118">
        <v>1001</v>
      </c>
      <c r="C2118" t="s">
        <v>81</v>
      </c>
      <c r="D2118">
        <v>3.1367299999999999E-3</v>
      </c>
      <c r="E2118" t="s">
        <v>74</v>
      </c>
      <c r="F2118">
        <v>3.13673</v>
      </c>
      <c r="G2118" t="s">
        <v>75</v>
      </c>
      <c r="H2118">
        <v>3136.7330000000002</v>
      </c>
      <c r="I2118" t="s">
        <v>76</v>
      </c>
      <c r="J2118" t="s">
        <v>82</v>
      </c>
      <c r="K2118">
        <v>318.8030392</v>
      </c>
    </row>
    <row r="2119" spans="1:11" x14ac:dyDescent="0.3">
      <c r="A2119" t="s">
        <v>85</v>
      </c>
      <c r="B2119">
        <v>1001</v>
      </c>
      <c r="C2119" t="s">
        <v>86</v>
      </c>
      <c r="D2119">
        <v>3.1369599999999998E-3</v>
      </c>
      <c r="E2119" t="s">
        <v>74</v>
      </c>
      <c r="F2119">
        <v>3.1369600000000002</v>
      </c>
      <c r="G2119" t="s">
        <v>75</v>
      </c>
      <c r="H2119">
        <v>3136.9609999999998</v>
      </c>
      <c r="I2119" t="s">
        <v>76</v>
      </c>
      <c r="J2119" t="s">
        <v>82</v>
      </c>
      <c r="K2119">
        <v>318.77987430000002</v>
      </c>
    </row>
    <row r="2120" spans="1:11" x14ac:dyDescent="0.3">
      <c r="A2120" t="s">
        <v>187</v>
      </c>
    </row>
    <row r="2121" spans="1:11" x14ac:dyDescent="0.3">
      <c r="A2121" t="s">
        <v>188</v>
      </c>
    </row>
    <row r="2122" spans="1:11" x14ac:dyDescent="0.3">
      <c r="A2122" t="s">
        <v>72</v>
      </c>
      <c r="B2122">
        <v>1</v>
      </c>
      <c r="C2122" t="s">
        <v>73</v>
      </c>
      <c r="D2122">
        <v>5.1000000000000003E-6</v>
      </c>
      <c r="E2122" t="s">
        <v>74</v>
      </c>
      <c r="F2122">
        <v>5.1000000000000004E-3</v>
      </c>
      <c r="G2122" t="s">
        <v>75</v>
      </c>
      <c r="H2122">
        <v>5.0999999999999996</v>
      </c>
      <c r="I2122" t="s">
        <v>76</v>
      </c>
      <c r="J2122" t="s">
        <v>77</v>
      </c>
    </row>
    <row r="2123" spans="1:11" x14ac:dyDescent="0.3">
      <c r="A2123" t="s">
        <v>72</v>
      </c>
      <c r="B2123">
        <v>1</v>
      </c>
      <c r="C2123" t="s">
        <v>78</v>
      </c>
      <c r="D2123">
        <v>3.9400000000000002E-5</v>
      </c>
      <c r="E2123" t="s">
        <v>74</v>
      </c>
      <c r="F2123">
        <v>3.9399999999999998E-2</v>
      </c>
      <c r="G2123" t="s">
        <v>75</v>
      </c>
      <c r="H2123">
        <v>39.4</v>
      </c>
      <c r="I2123" t="s">
        <v>76</v>
      </c>
      <c r="J2123" t="s">
        <v>77</v>
      </c>
    </row>
    <row r="2124" spans="1:11" x14ac:dyDescent="0.3">
      <c r="A2124" t="s">
        <v>72</v>
      </c>
      <c r="B2124">
        <v>1</v>
      </c>
      <c r="C2124" t="s">
        <v>79</v>
      </c>
      <c r="D2124">
        <v>6.3899999999999998E-3</v>
      </c>
      <c r="E2124" t="s">
        <v>74</v>
      </c>
      <c r="F2124">
        <v>6.39</v>
      </c>
      <c r="G2124" t="s">
        <v>75</v>
      </c>
      <c r="H2124">
        <v>6390</v>
      </c>
      <c r="I2124" t="s">
        <v>76</v>
      </c>
      <c r="J2124" t="s">
        <v>77</v>
      </c>
    </row>
    <row r="2125" spans="1:11" x14ac:dyDescent="0.3">
      <c r="A2125" t="s">
        <v>72</v>
      </c>
      <c r="B2125">
        <v>1</v>
      </c>
      <c r="C2125" t="s">
        <v>94</v>
      </c>
      <c r="D2125">
        <v>2.6063000000000002E-3</v>
      </c>
      <c r="E2125" t="s">
        <v>74</v>
      </c>
      <c r="F2125">
        <v>2.6063000000000001</v>
      </c>
      <c r="G2125" t="s">
        <v>75</v>
      </c>
      <c r="H2125">
        <v>2606.3000000000002</v>
      </c>
      <c r="I2125" t="s">
        <v>76</v>
      </c>
      <c r="J2125" t="s">
        <v>77</v>
      </c>
    </row>
    <row r="2126" spans="1:11" x14ac:dyDescent="0.3">
      <c r="A2126" t="s">
        <v>72</v>
      </c>
      <c r="B2126">
        <v>1</v>
      </c>
      <c r="C2126" t="s">
        <v>80</v>
      </c>
      <c r="D2126">
        <v>2.8348000000000002E-3</v>
      </c>
      <c r="E2126" t="s">
        <v>74</v>
      </c>
      <c r="F2126">
        <v>2.8348</v>
      </c>
      <c r="G2126" t="s">
        <v>75</v>
      </c>
      <c r="H2126">
        <v>2834.8</v>
      </c>
      <c r="I2126" t="s">
        <v>76</v>
      </c>
      <c r="J2126" t="s">
        <v>77</v>
      </c>
    </row>
    <row r="2127" spans="1:11" x14ac:dyDescent="0.3">
      <c r="A2127" t="s">
        <v>72</v>
      </c>
      <c r="B2127">
        <v>1</v>
      </c>
      <c r="C2127" t="s">
        <v>81</v>
      </c>
      <c r="D2127">
        <v>9.2260999999999992E-3</v>
      </c>
      <c r="E2127" t="s">
        <v>74</v>
      </c>
      <c r="F2127">
        <v>9.2261000000000006</v>
      </c>
      <c r="G2127" t="s">
        <v>75</v>
      </c>
      <c r="H2127">
        <v>9226.1</v>
      </c>
      <c r="I2127" t="s">
        <v>76</v>
      </c>
      <c r="J2127" t="s">
        <v>82</v>
      </c>
      <c r="K2127">
        <v>108.3881645</v>
      </c>
    </row>
    <row r="2128" spans="1:11" x14ac:dyDescent="0.3">
      <c r="A2128" t="s">
        <v>83</v>
      </c>
      <c r="B2128">
        <v>1000</v>
      </c>
      <c r="C2128" t="s">
        <v>79</v>
      </c>
      <c r="D2128">
        <v>1.9000000000000001E-7</v>
      </c>
      <c r="E2128" t="s">
        <v>74</v>
      </c>
      <c r="F2128">
        <v>1.9000000000000001E-4</v>
      </c>
      <c r="G2128" t="s">
        <v>75</v>
      </c>
      <c r="H2128">
        <v>0.187</v>
      </c>
      <c r="I2128" t="s">
        <v>76</v>
      </c>
      <c r="J2128" t="s">
        <v>77</v>
      </c>
    </row>
    <row r="2129" spans="1:11" x14ac:dyDescent="0.3">
      <c r="A2129" t="s">
        <v>83</v>
      </c>
      <c r="B2129">
        <v>1000</v>
      </c>
      <c r="C2129" t="s">
        <v>94</v>
      </c>
      <c r="D2129">
        <v>2.5796700000000001E-3</v>
      </c>
      <c r="E2129" t="s">
        <v>74</v>
      </c>
      <c r="F2129">
        <v>2.5796700000000001</v>
      </c>
      <c r="G2129" t="s">
        <v>75</v>
      </c>
      <c r="H2129">
        <v>2579.6709999999998</v>
      </c>
      <c r="I2129" t="s">
        <v>76</v>
      </c>
      <c r="J2129" t="s">
        <v>77</v>
      </c>
    </row>
    <row r="2130" spans="1:11" x14ac:dyDescent="0.3">
      <c r="A2130" t="s">
        <v>83</v>
      </c>
      <c r="B2130">
        <v>1000</v>
      </c>
      <c r="C2130" t="s">
        <v>80</v>
      </c>
      <c r="D2130">
        <v>2.77326E-3</v>
      </c>
      <c r="E2130" t="s">
        <v>74</v>
      </c>
      <c r="F2130">
        <v>2.7732600000000001</v>
      </c>
      <c r="G2130" t="s">
        <v>75</v>
      </c>
      <c r="H2130">
        <v>2773.2579999999998</v>
      </c>
      <c r="I2130" t="s">
        <v>76</v>
      </c>
      <c r="J2130" t="s">
        <v>77</v>
      </c>
    </row>
    <row r="2131" spans="1:11" x14ac:dyDescent="0.3">
      <c r="A2131" t="s">
        <v>83</v>
      </c>
      <c r="B2131">
        <v>1000</v>
      </c>
      <c r="C2131" t="s">
        <v>81</v>
      </c>
      <c r="D2131">
        <v>2.77437E-3</v>
      </c>
      <c r="E2131" t="s">
        <v>74</v>
      </c>
      <c r="F2131">
        <v>2.7743699999999998</v>
      </c>
      <c r="G2131" t="s">
        <v>75</v>
      </c>
      <c r="H2131">
        <v>2774.3690000000001</v>
      </c>
      <c r="I2131" t="s">
        <v>76</v>
      </c>
      <c r="J2131" t="s">
        <v>82</v>
      </c>
      <c r="K2131">
        <v>360.44235120000002</v>
      </c>
    </row>
    <row r="2132" spans="1:11" x14ac:dyDescent="0.3">
      <c r="A2132" t="s">
        <v>84</v>
      </c>
      <c r="B2132">
        <v>1001</v>
      </c>
      <c r="C2132" t="s">
        <v>79</v>
      </c>
      <c r="D2132">
        <v>6.5699999999999998E-6</v>
      </c>
      <c r="E2132" t="s">
        <v>74</v>
      </c>
      <c r="F2132">
        <v>6.5700000000000003E-3</v>
      </c>
      <c r="G2132" t="s">
        <v>75</v>
      </c>
      <c r="H2132">
        <v>6.57</v>
      </c>
      <c r="I2132" t="s">
        <v>76</v>
      </c>
      <c r="J2132" t="s">
        <v>77</v>
      </c>
    </row>
    <row r="2133" spans="1:11" x14ac:dyDescent="0.3">
      <c r="A2133" t="s">
        <v>84</v>
      </c>
      <c r="B2133">
        <v>1001</v>
      </c>
      <c r="C2133" t="s">
        <v>94</v>
      </c>
      <c r="D2133">
        <v>2.5796999999999999E-3</v>
      </c>
      <c r="E2133" t="s">
        <v>74</v>
      </c>
      <c r="F2133">
        <v>2.5796999999999999</v>
      </c>
      <c r="G2133" t="s">
        <v>75</v>
      </c>
      <c r="H2133">
        <v>2579.6979999999999</v>
      </c>
      <c r="I2133" t="s">
        <v>76</v>
      </c>
      <c r="J2133" t="s">
        <v>77</v>
      </c>
    </row>
    <row r="2134" spans="1:11" x14ac:dyDescent="0.3">
      <c r="A2134" t="s">
        <v>84</v>
      </c>
      <c r="B2134">
        <v>1001</v>
      </c>
      <c r="C2134" t="s">
        <v>80</v>
      </c>
      <c r="D2134">
        <v>2.7733200000000001E-3</v>
      </c>
      <c r="E2134" t="s">
        <v>74</v>
      </c>
      <c r="F2134">
        <v>2.77332</v>
      </c>
      <c r="G2134" t="s">
        <v>75</v>
      </c>
      <c r="H2134">
        <v>2773.32</v>
      </c>
      <c r="I2134" t="s">
        <v>76</v>
      </c>
      <c r="J2134" t="s">
        <v>77</v>
      </c>
    </row>
    <row r="2135" spans="1:11" x14ac:dyDescent="0.3">
      <c r="A2135" t="s">
        <v>84</v>
      </c>
      <c r="B2135">
        <v>1001</v>
      </c>
      <c r="C2135" t="s">
        <v>81</v>
      </c>
      <c r="D2135">
        <v>2.7808099999999999E-3</v>
      </c>
      <c r="E2135" t="s">
        <v>74</v>
      </c>
      <c r="F2135">
        <v>2.7808099999999998</v>
      </c>
      <c r="G2135" t="s">
        <v>75</v>
      </c>
      <c r="H2135">
        <v>2780.8139999999999</v>
      </c>
      <c r="I2135" t="s">
        <v>76</v>
      </c>
      <c r="J2135" t="s">
        <v>82</v>
      </c>
      <c r="K2135">
        <v>359.60693099999997</v>
      </c>
    </row>
    <row r="2136" spans="1:11" x14ac:dyDescent="0.3">
      <c r="A2136" t="s">
        <v>85</v>
      </c>
      <c r="B2136">
        <v>1001</v>
      </c>
      <c r="C2136" t="s">
        <v>86</v>
      </c>
      <c r="D2136">
        <v>2.78101E-3</v>
      </c>
      <c r="E2136" t="s">
        <v>74</v>
      </c>
      <c r="F2136">
        <v>2.7810100000000002</v>
      </c>
      <c r="G2136" t="s">
        <v>75</v>
      </c>
      <c r="H2136">
        <v>2781.0140000000001</v>
      </c>
      <c r="I2136" t="s">
        <v>76</v>
      </c>
      <c r="J2136" t="s">
        <v>82</v>
      </c>
      <c r="K2136">
        <v>359.58109100000001</v>
      </c>
    </row>
    <row r="2137" spans="1:11" x14ac:dyDescent="0.3">
      <c r="A2137" t="s">
        <v>115</v>
      </c>
    </row>
    <row r="2138" spans="1:11" x14ac:dyDescent="0.3">
      <c r="A2138" t="s">
        <v>127</v>
      </c>
    </row>
    <row r="2139" spans="1:11" x14ac:dyDescent="0.3">
      <c r="A2139" t="s">
        <v>87</v>
      </c>
    </row>
    <row r="2140" spans="1:11" x14ac:dyDescent="0.3">
      <c r="A2140" t="s">
        <v>189</v>
      </c>
    </row>
    <row r="2141" spans="1:11" x14ac:dyDescent="0.3">
      <c r="A2141" t="s">
        <v>72</v>
      </c>
      <c r="B2141">
        <v>1</v>
      </c>
      <c r="C2141" t="s">
        <v>81</v>
      </c>
      <c r="D2141">
        <v>0.37512451000000002</v>
      </c>
      <c r="E2141" t="s">
        <v>74</v>
      </c>
      <c r="F2141">
        <v>375.12450999999999</v>
      </c>
      <c r="G2141" t="s">
        <v>75</v>
      </c>
      <c r="H2141">
        <v>375124.51400000002</v>
      </c>
      <c r="I2141" t="s">
        <v>76</v>
      </c>
      <c r="J2141" t="s">
        <v>82</v>
      </c>
      <c r="K2141">
        <v>2.6657815</v>
      </c>
    </row>
    <row r="2142" spans="1:11" x14ac:dyDescent="0.3">
      <c r="A2142" t="s">
        <v>83</v>
      </c>
      <c r="B2142">
        <v>1000</v>
      </c>
      <c r="C2142" t="s">
        <v>81</v>
      </c>
      <c r="D2142">
        <v>2.7647399999999999E-3</v>
      </c>
      <c r="E2142" t="s">
        <v>74</v>
      </c>
      <c r="F2142">
        <v>2.7647400000000002</v>
      </c>
      <c r="G2142" t="s">
        <v>75</v>
      </c>
      <c r="H2142">
        <v>2764.7440000000001</v>
      </c>
      <c r="I2142" t="s">
        <v>76</v>
      </c>
      <c r="J2142" t="s">
        <v>82</v>
      </c>
      <c r="K2142">
        <v>361.69713519999999</v>
      </c>
    </row>
    <row r="2143" spans="1:11" x14ac:dyDescent="0.3">
      <c r="A2143" t="s">
        <v>85</v>
      </c>
      <c r="B2143">
        <v>1001</v>
      </c>
      <c r="C2143" t="s">
        <v>86</v>
      </c>
      <c r="D2143">
        <v>3.1369599999999998E-3</v>
      </c>
      <c r="E2143" t="s">
        <v>74</v>
      </c>
      <c r="F2143">
        <v>3.1369600000000002</v>
      </c>
      <c r="G2143" t="s">
        <v>75</v>
      </c>
      <c r="H2143">
        <v>3136.9609999999998</v>
      </c>
      <c r="I2143" t="s">
        <v>76</v>
      </c>
      <c r="J2143" t="s">
        <v>82</v>
      </c>
      <c r="K2143">
        <v>318.77987430000002</v>
      </c>
    </row>
    <row r="2145" spans="1:11" x14ac:dyDescent="0.3">
      <c r="A2145" t="s">
        <v>190</v>
      </c>
    </row>
    <row r="2146" spans="1:11" x14ac:dyDescent="0.3">
      <c r="A2146" t="s">
        <v>72</v>
      </c>
      <c r="B2146">
        <v>1</v>
      </c>
      <c r="C2146" t="s">
        <v>81</v>
      </c>
      <c r="D2146">
        <v>9.2260999999999992E-3</v>
      </c>
      <c r="E2146" t="s">
        <v>74</v>
      </c>
      <c r="F2146">
        <v>9.2261000000000006</v>
      </c>
      <c r="G2146" t="s">
        <v>75</v>
      </c>
      <c r="H2146">
        <v>9226.1</v>
      </c>
      <c r="I2146" t="s">
        <v>76</v>
      </c>
      <c r="J2146" t="s">
        <v>82</v>
      </c>
      <c r="K2146">
        <v>108.3881645</v>
      </c>
    </row>
    <row r="2147" spans="1:11" x14ac:dyDescent="0.3">
      <c r="A2147" t="s">
        <v>83</v>
      </c>
      <c r="B2147">
        <v>1000</v>
      </c>
      <c r="C2147" t="s">
        <v>81</v>
      </c>
      <c r="D2147">
        <v>2.77437E-3</v>
      </c>
      <c r="E2147" t="s">
        <v>74</v>
      </c>
      <c r="F2147">
        <v>2.7743699999999998</v>
      </c>
      <c r="G2147" t="s">
        <v>75</v>
      </c>
      <c r="H2147">
        <v>2774.3690000000001</v>
      </c>
      <c r="I2147" t="s">
        <v>76</v>
      </c>
      <c r="J2147" t="s">
        <v>82</v>
      </c>
      <c r="K2147">
        <v>360.44235120000002</v>
      </c>
    </row>
    <row r="2148" spans="1:11" x14ac:dyDescent="0.3">
      <c r="A2148" t="s">
        <v>85</v>
      </c>
      <c r="B2148">
        <v>1001</v>
      </c>
      <c r="C2148" t="s">
        <v>86</v>
      </c>
      <c r="D2148">
        <v>2.78101E-3</v>
      </c>
      <c r="E2148" t="s">
        <v>74</v>
      </c>
      <c r="F2148">
        <v>2.7810100000000002</v>
      </c>
      <c r="G2148" t="s">
        <v>75</v>
      </c>
      <c r="H2148">
        <v>2781.0140000000001</v>
      </c>
      <c r="I2148" t="s">
        <v>76</v>
      </c>
      <c r="J2148" t="s">
        <v>82</v>
      </c>
      <c r="K2148">
        <v>359.58109100000001</v>
      </c>
    </row>
    <row r="2150" spans="1:11" x14ac:dyDescent="0.3">
      <c r="A2150" t="s">
        <v>66</v>
      </c>
    </row>
    <row r="2152" spans="1:11" x14ac:dyDescent="0.3">
      <c r="A2152" t="s">
        <v>235</v>
      </c>
    </row>
    <row r="2153" spans="1:11" x14ac:dyDescent="0.3">
      <c r="A2153" t="s">
        <v>68</v>
      </c>
    </row>
    <row r="2154" spans="1:11" x14ac:dyDescent="0.3">
      <c r="A2154" t="s">
        <v>69</v>
      </c>
    </row>
    <row r="2155" spans="1:11" x14ac:dyDescent="0.3">
      <c r="A2155" t="s">
        <v>70</v>
      </c>
    </row>
    <row r="2156" spans="1:11" x14ac:dyDescent="0.3">
      <c r="A2156" t="s">
        <v>115</v>
      </c>
    </row>
    <row r="2157" spans="1:11" x14ac:dyDescent="0.3">
      <c r="A2157" t="s">
        <v>116</v>
      </c>
    </row>
    <row r="2158" spans="1:11" x14ac:dyDescent="0.3">
      <c r="A2158" t="s">
        <v>117</v>
      </c>
    </row>
    <row r="2159" spans="1:11" x14ac:dyDescent="0.3">
      <c r="A2159" t="s">
        <v>118</v>
      </c>
    </row>
    <row r="2160" spans="1:11" x14ac:dyDescent="0.3">
      <c r="A2160" t="s">
        <v>119</v>
      </c>
    </row>
    <row r="2161" spans="1:11" x14ac:dyDescent="0.3">
      <c r="A2161" t="s">
        <v>120</v>
      </c>
    </row>
    <row r="2162" spans="1:11" x14ac:dyDescent="0.3">
      <c r="A2162" t="s">
        <v>121</v>
      </c>
    </row>
    <row r="2163" spans="1:11" x14ac:dyDescent="0.3">
      <c r="A2163" t="s">
        <v>122</v>
      </c>
    </row>
    <row r="2164" spans="1:11" x14ac:dyDescent="0.3">
      <c r="A2164" t="s">
        <v>123</v>
      </c>
    </row>
    <row r="2165" spans="1:11" x14ac:dyDescent="0.3">
      <c r="A2165" t="s">
        <v>124</v>
      </c>
    </row>
    <row r="2166" spans="1:11" x14ac:dyDescent="0.3">
      <c r="A2166" t="s">
        <v>125</v>
      </c>
    </row>
    <row r="2167" spans="1:11" x14ac:dyDescent="0.3">
      <c r="A2167" t="s">
        <v>126</v>
      </c>
    </row>
    <row r="2168" spans="1:11" x14ac:dyDescent="0.3">
      <c r="A2168" t="s">
        <v>127</v>
      </c>
    </row>
    <row r="2169" spans="1:11" x14ac:dyDescent="0.3">
      <c r="A2169" t="s">
        <v>192</v>
      </c>
    </row>
    <row r="2170" spans="1:11" x14ac:dyDescent="0.3">
      <c r="A2170" t="s">
        <v>193</v>
      </c>
    </row>
    <row r="2171" spans="1:11" x14ac:dyDescent="0.3">
      <c r="A2171" t="s">
        <v>72</v>
      </c>
      <c r="B2171">
        <v>1</v>
      </c>
      <c r="C2171" t="s">
        <v>73</v>
      </c>
      <c r="D2171">
        <v>4.0999999999999997E-6</v>
      </c>
      <c r="E2171" t="s">
        <v>74</v>
      </c>
      <c r="F2171">
        <v>4.1000000000000003E-3</v>
      </c>
      <c r="G2171" t="s">
        <v>75</v>
      </c>
      <c r="H2171">
        <v>4.0999999999999996</v>
      </c>
      <c r="I2171" t="s">
        <v>76</v>
      </c>
      <c r="J2171" t="s">
        <v>77</v>
      </c>
    </row>
    <row r="2172" spans="1:11" x14ac:dyDescent="0.3">
      <c r="A2172" t="s">
        <v>72</v>
      </c>
      <c r="B2172">
        <v>1</v>
      </c>
      <c r="C2172" t="s">
        <v>78</v>
      </c>
      <c r="D2172">
        <v>0.13240979999999999</v>
      </c>
      <c r="E2172" t="s">
        <v>74</v>
      </c>
      <c r="F2172">
        <v>132.40979999999999</v>
      </c>
      <c r="G2172" t="s">
        <v>75</v>
      </c>
      <c r="H2172">
        <v>132409.796</v>
      </c>
      <c r="I2172" t="s">
        <v>76</v>
      </c>
      <c r="J2172" t="s">
        <v>77</v>
      </c>
    </row>
    <row r="2173" spans="1:11" x14ac:dyDescent="0.3">
      <c r="A2173" t="s">
        <v>72</v>
      </c>
      <c r="B2173">
        <v>1</v>
      </c>
      <c r="C2173" t="s">
        <v>79</v>
      </c>
      <c r="D2173">
        <v>0.28664469999999997</v>
      </c>
      <c r="E2173" t="s">
        <v>74</v>
      </c>
      <c r="F2173">
        <v>286.6447</v>
      </c>
      <c r="G2173" t="s">
        <v>75</v>
      </c>
      <c r="H2173">
        <v>286644.69699999999</v>
      </c>
      <c r="I2173" t="s">
        <v>76</v>
      </c>
      <c r="J2173" t="s">
        <v>77</v>
      </c>
    </row>
    <row r="2174" spans="1:11" x14ac:dyDescent="0.3">
      <c r="A2174" t="s">
        <v>72</v>
      </c>
      <c r="B2174">
        <v>1</v>
      </c>
      <c r="C2174" t="s">
        <v>94</v>
      </c>
      <c r="D2174">
        <v>8.9987000000000001E-3</v>
      </c>
      <c r="E2174" t="s">
        <v>74</v>
      </c>
      <c r="F2174">
        <v>8.9986999999999995</v>
      </c>
      <c r="G2174" t="s">
        <v>75</v>
      </c>
      <c r="H2174">
        <v>8998.7000000000007</v>
      </c>
      <c r="I2174" t="s">
        <v>76</v>
      </c>
      <c r="J2174" t="s">
        <v>77</v>
      </c>
    </row>
    <row r="2175" spans="1:11" x14ac:dyDescent="0.3">
      <c r="A2175" t="s">
        <v>72</v>
      </c>
      <c r="B2175">
        <v>1</v>
      </c>
      <c r="C2175" t="s">
        <v>80</v>
      </c>
      <c r="D2175">
        <v>8.9995000000000006E-3</v>
      </c>
      <c r="E2175" t="s">
        <v>74</v>
      </c>
      <c r="F2175">
        <v>8.9994999999999994</v>
      </c>
      <c r="G2175" t="s">
        <v>75</v>
      </c>
      <c r="H2175">
        <v>8999.5</v>
      </c>
      <c r="I2175" t="s">
        <v>76</v>
      </c>
      <c r="J2175" t="s">
        <v>77</v>
      </c>
    </row>
    <row r="2176" spans="1:11" x14ac:dyDescent="0.3">
      <c r="A2176" t="s">
        <v>72</v>
      </c>
      <c r="B2176">
        <v>1</v>
      </c>
      <c r="C2176" t="s">
        <v>81</v>
      </c>
      <c r="D2176">
        <v>0.29564648999999998</v>
      </c>
      <c r="E2176" t="s">
        <v>74</v>
      </c>
      <c r="F2176">
        <v>295.64648999999997</v>
      </c>
      <c r="G2176" t="s">
        <v>75</v>
      </c>
      <c r="H2176">
        <v>295646.489</v>
      </c>
      <c r="I2176" t="s">
        <v>76</v>
      </c>
      <c r="J2176" t="s">
        <v>82</v>
      </c>
      <c r="K2176">
        <v>3.3824179999999999</v>
      </c>
    </row>
    <row r="2177" spans="1:11" x14ac:dyDescent="0.3">
      <c r="A2177" t="s">
        <v>83</v>
      </c>
      <c r="B2177">
        <v>1000</v>
      </c>
      <c r="C2177" t="s">
        <v>79</v>
      </c>
      <c r="D2177">
        <v>2.8000000000000002E-7</v>
      </c>
      <c r="E2177" t="s">
        <v>74</v>
      </c>
      <c r="F2177">
        <v>2.7999999999999998E-4</v>
      </c>
      <c r="G2177" t="s">
        <v>75</v>
      </c>
      <c r="H2177">
        <v>0.28399999999999997</v>
      </c>
      <c r="I2177" t="s">
        <v>76</v>
      </c>
      <c r="J2177" t="s">
        <v>77</v>
      </c>
    </row>
    <row r="2178" spans="1:11" x14ac:dyDescent="0.3">
      <c r="A2178" t="s">
        <v>83</v>
      </c>
      <c r="B2178">
        <v>1000</v>
      </c>
      <c r="C2178" t="s">
        <v>94</v>
      </c>
      <c r="D2178">
        <v>2.5739000000000001E-3</v>
      </c>
      <c r="E2178" t="s">
        <v>74</v>
      </c>
      <c r="F2178">
        <v>2.5739000000000001</v>
      </c>
      <c r="G2178" t="s">
        <v>75</v>
      </c>
      <c r="H2178">
        <v>2573.8969999999999</v>
      </c>
      <c r="I2178" t="s">
        <v>76</v>
      </c>
      <c r="J2178" t="s">
        <v>77</v>
      </c>
    </row>
    <row r="2179" spans="1:11" x14ac:dyDescent="0.3">
      <c r="A2179" t="s">
        <v>83</v>
      </c>
      <c r="B2179">
        <v>1000</v>
      </c>
      <c r="C2179" t="s">
        <v>80</v>
      </c>
      <c r="D2179">
        <v>2.7448099999999999E-3</v>
      </c>
      <c r="E2179" t="s">
        <v>74</v>
      </c>
      <c r="F2179">
        <v>2.7448100000000002</v>
      </c>
      <c r="G2179" t="s">
        <v>75</v>
      </c>
      <c r="H2179">
        <v>2744.806</v>
      </c>
      <c r="I2179" t="s">
        <v>76</v>
      </c>
      <c r="J2179" t="s">
        <v>77</v>
      </c>
    </row>
    <row r="2180" spans="1:11" x14ac:dyDescent="0.3">
      <c r="A2180" t="s">
        <v>83</v>
      </c>
      <c r="B2180">
        <v>1000</v>
      </c>
      <c r="C2180" t="s">
        <v>81</v>
      </c>
      <c r="D2180">
        <v>2.74595E-3</v>
      </c>
      <c r="E2180" t="s">
        <v>74</v>
      </c>
      <c r="F2180">
        <v>2.7459500000000001</v>
      </c>
      <c r="G2180" t="s">
        <v>75</v>
      </c>
      <c r="H2180">
        <v>2745.9490000000001</v>
      </c>
      <c r="I2180" t="s">
        <v>76</v>
      </c>
      <c r="J2180" t="s">
        <v>82</v>
      </c>
      <c r="K2180">
        <v>364.17288259999998</v>
      </c>
    </row>
    <row r="2181" spans="1:11" x14ac:dyDescent="0.3">
      <c r="A2181" t="s">
        <v>84</v>
      </c>
      <c r="B2181">
        <v>1001</v>
      </c>
      <c r="C2181" t="s">
        <v>79</v>
      </c>
      <c r="D2181">
        <v>2.8664000000000001E-4</v>
      </c>
      <c r="E2181" t="s">
        <v>74</v>
      </c>
      <c r="F2181">
        <v>0.28664000000000001</v>
      </c>
      <c r="G2181" t="s">
        <v>75</v>
      </c>
      <c r="H2181">
        <v>286.64299999999997</v>
      </c>
      <c r="I2181" t="s">
        <v>76</v>
      </c>
      <c r="J2181" t="s">
        <v>77</v>
      </c>
    </row>
    <row r="2182" spans="1:11" x14ac:dyDescent="0.3">
      <c r="A2182" t="s">
        <v>84</v>
      </c>
      <c r="B2182">
        <v>1001</v>
      </c>
      <c r="C2182" t="s">
        <v>94</v>
      </c>
      <c r="D2182">
        <v>2.5803200000000001E-3</v>
      </c>
      <c r="E2182" t="s">
        <v>74</v>
      </c>
      <c r="F2182">
        <v>2.5803199999999999</v>
      </c>
      <c r="G2182" t="s">
        <v>75</v>
      </c>
      <c r="H2182">
        <v>2580.3150000000001</v>
      </c>
      <c r="I2182" t="s">
        <v>76</v>
      </c>
      <c r="J2182" t="s">
        <v>77</v>
      </c>
    </row>
    <row r="2183" spans="1:11" x14ac:dyDescent="0.3">
      <c r="A2183" t="s">
        <v>84</v>
      </c>
      <c r="B2183">
        <v>1001</v>
      </c>
      <c r="C2183" t="s">
        <v>80</v>
      </c>
      <c r="D2183">
        <v>2.7510500000000001E-3</v>
      </c>
      <c r="E2183" t="s">
        <v>74</v>
      </c>
      <c r="F2183">
        <v>2.7510500000000002</v>
      </c>
      <c r="G2183" t="s">
        <v>75</v>
      </c>
      <c r="H2183">
        <v>2751.0549999999998</v>
      </c>
      <c r="I2183" t="s">
        <v>76</v>
      </c>
      <c r="J2183" t="s">
        <v>77</v>
      </c>
    </row>
    <row r="2184" spans="1:11" x14ac:dyDescent="0.3">
      <c r="A2184" t="s">
        <v>84</v>
      </c>
      <c r="B2184">
        <v>1001</v>
      </c>
      <c r="C2184" t="s">
        <v>81</v>
      </c>
      <c r="D2184">
        <v>3.03856E-3</v>
      </c>
      <c r="E2184" t="s">
        <v>74</v>
      </c>
      <c r="F2184">
        <v>3.0385599999999999</v>
      </c>
      <c r="G2184" t="s">
        <v>75</v>
      </c>
      <c r="H2184">
        <v>3038.5569999999998</v>
      </c>
      <c r="I2184" t="s">
        <v>76</v>
      </c>
      <c r="J2184" t="s">
        <v>82</v>
      </c>
      <c r="K2184">
        <v>329.10354339999998</v>
      </c>
    </row>
    <row r="2185" spans="1:11" x14ac:dyDescent="0.3">
      <c r="A2185" t="s">
        <v>85</v>
      </c>
      <c r="B2185">
        <v>1001</v>
      </c>
      <c r="C2185" t="s">
        <v>86</v>
      </c>
      <c r="D2185">
        <v>3.0387600000000002E-3</v>
      </c>
      <c r="E2185" t="s">
        <v>74</v>
      </c>
      <c r="F2185">
        <v>3.0387599999999999</v>
      </c>
      <c r="G2185" t="s">
        <v>75</v>
      </c>
      <c r="H2185">
        <v>3038.7570000000001</v>
      </c>
      <c r="I2185" t="s">
        <v>76</v>
      </c>
      <c r="J2185" t="s">
        <v>82</v>
      </c>
      <c r="K2185">
        <v>329.08190100000002</v>
      </c>
    </row>
    <row r="2186" spans="1:11" x14ac:dyDescent="0.3">
      <c r="A2186" t="s">
        <v>194</v>
      </c>
    </row>
    <row r="2187" spans="1:11" x14ac:dyDescent="0.3">
      <c r="A2187" t="s">
        <v>195</v>
      </c>
    </row>
    <row r="2188" spans="1:11" x14ac:dyDescent="0.3">
      <c r="A2188" t="s">
        <v>72</v>
      </c>
      <c r="B2188">
        <v>1</v>
      </c>
      <c r="C2188" t="s">
        <v>73</v>
      </c>
      <c r="D2188">
        <v>4.0999999999999997E-6</v>
      </c>
      <c r="E2188" t="s">
        <v>74</v>
      </c>
      <c r="F2188">
        <v>4.1000000000000003E-3</v>
      </c>
      <c r="G2188" t="s">
        <v>75</v>
      </c>
      <c r="H2188">
        <v>4.0999999999999996</v>
      </c>
      <c r="I2188" t="s">
        <v>76</v>
      </c>
      <c r="J2188" t="s">
        <v>77</v>
      </c>
    </row>
    <row r="2189" spans="1:11" x14ac:dyDescent="0.3">
      <c r="A2189" t="s">
        <v>72</v>
      </c>
      <c r="B2189">
        <v>1</v>
      </c>
      <c r="C2189" t="s">
        <v>78</v>
      </c>
      <c r="D2189">
        <v>4.18E-5</v>
      </c>
      <c r="E2189" t="s">
        <v>74</v>
      </c>
      <c r="F2189">
        <v>4.1799999999999997E-2</v>
      </c>
      <c r="G2189" t="s">
        <v>75</v>
      </c>
      <c r="H2189">
        <v>41.8</v>
      </c>
      <c r="I2189" t="s">
        <v>76</v>
      </c>
      <c r="J2189" t="s">
        <v>77</v>
      </c>
    </row>
    <row r="2190" spans="1:11" x14ac:dyDescent="0.3">
      <c r="A2190" t="s">
        <v>72</v>
      </c>
      <c r="B2190">
        <v>1</v>
      </c>
      <c r="C2190" t="s">
        <v>79</v>
      </c>
      <c r="D2190">
        <v>6.9014999999999996E-3</v>
      </c>
      <c r="E2190" t="s">
        <v>74</v>
      </c>
      <c r="F2190">
        <v>6.9015000000000004</v>
      </c>
      <c r="G2190" t="s">
        <v>75</v>
      </c>
      <c r="H2190">
        <v>6901.5</v>
      </c>
      <c r="I2190" t="s">
        <v>76</v>
      </c>
      <c r="J2190" t="s">
        <v>77</v>
      </c>
    </row>
    <row r="2191" spans="1:11" x14ac:dyDescent="0.3">
      <c r="A2191" t="s">
        <v>72</v>
      </c>
      <c r="B2191">
        <v>1</v>
      </c>
      <c r="C2191" t="s">
        <v>94</v>
      </c>
      <c r="D2191">
        <v>2.5858000000000001E-3</v>
      </c>
      <c r="E2191" t="s">
        <v>74</v>
      </c>
      <c r="F2191">
        <v>2.5857999999999999</v>
      </c>
      <c r="G2191" t="s">
        <v>75</v>
      </c>
      <c r="H2191">
        <v>2585.8000000000002</v>
      </c>
      <c r="I2191" t="s">
        <v>76</v>
      </c>
      <c r="J2191" t="s">
        <v>77</v>
      </c>
    </row>
    <row r="2192" spans="1:11" x14ac:dyDescent="0.3">
      <c r="A2192" t="s">
        <v>72</v>
      </c>
      <c r="B2192">
        <v>1</v>
      </c>
      <c r="C2192" t="s">
        <v>80</v>
      </c>
      <c r="D2192">
        <v>2.7228999999999999E-3</v>
      </c>
      <c r="E2192" t="s">
        <v>74</v>
      </c>
      <c r="F2192">
        <v>2.7229000000000001</v>
      </c>
      <c r="G2192" t="s">
        <v>75</v>
      </c>
      <c r="H2192">
        <v>2722.9</v>
      </c>
      <c r="I2192" t="s">
        <v>76</v>
      </c>
      <c r="J2192" t="s">
        <v>77</v>
      </c>
    </row>
    <row r="2193" spans="1:11" x14ac:dyDescent="0.3">
      <c r="A2193" t="s">
        <v>72</v>
      </c>
      <c r="B2193">
        <v>1</v>
      </c>
      <c r="C2193" t="s">
        <v>81</v>
      </c>
      <c r="D2193">
        <v>9.6255999999999998E-3</v>
      </c>
      <c r="E2193" t="s">
        <v>74</v>
      </c>
      <c r="F2193">
        <v>9.6256000000000004</v>
      </c>
      <c r="G2193" t="s">
        <v>75</v>
      </c>
      <c r="H2193">
        <v>9625.6</v>
      </c>
      <c r="I2193" t="s">
        <v>76</v>
      </c>
      <c r="J2193" t="s">
        <v>82</v>
      </c>
      <c r="K2193">
        <v>103.8896307</v>
      </c>
    </row>
    <row r="2194" spans="1:11" x14ac:dyDescent="0.3">
      <c r="A2194" t="s">
        <v>83</v>
      </c>
      <c r="B2194">
        <v>1000</v>
      </c>
      <c r="C2194" t="s">
        <v>79</v>
      </c>
      <c r="D2194">
        <v>2.3999999999999998E-7</v>
      </c>
      <c r="E2194" t="s">
        <v>74</v>
      </c>
      <c r="F2194">
        <v>2.4000000000000001E-4</v>
      </c>
      <c r="G2194" t="s">
        <v>75</v>
      </c>
      <c r="H2194">
        <v>0.24</v>
      </c>
      <c r="I2194" t="s">
        <v>76</v>
      </c>
      <c r="J2194" t="s">
        <v>77</v>
      </c>
    </row>
    <row r="2195" spans="1:11" x14ac:dyDescent="0.3">
      <c r="A2195" t="s">
        <v>83</v>
      </c>
      <c r="B2195">
        <v>1000</v>
      </c>
      <c r="C2195" t="s">
        <v>94</v>
      </c>
      <c r="D2195">
        <v>2.5760700000000002E-3</v>
      </c>
      <c r="E2195" t="s">
        <v>74</v>
      </c>
      <c r="F2195">
        <v>2.5760700000000001</v>
      </c>
      <c r="G2195" t="s">
        <v>75</v>
      </c>
      <c r="H2195">
        <v>2576.0680000000002</v>
      </c>
      <c r="I2195" t="s">
        <v>76</v>
      </c>
      <c r="J2195" t="s">
        <v>77</v>
      </c>
    </row>
    <row r="2196" spans="1:11" x14ac:dyDescent="0.3">
      <c r="A2196" t="s">
        <v>83</v>
      </c>
      <c r="B2196">
        <v>1000</v>
      </c>
      <c r="C2196" t="s">
        <v>80</v>
      </c>
      <c r="D2196">
        <v>2.7462200000000002E-3</v>
      </c>
      <c r="E2196" t="s">
        <v>74</v>
      </c>
      <c r="F2196">
        <v>2.7462200000000001</v>
      </c>
      <c r="G2196" t="s">
        <v>75</v>
      </c>
      <c r="H2196">
        <v>2746.2220000000002</v>
      </c>
      <c r="I2196" t="s">
        <v>76</v>
      </c>
      <c r="J2196" t="s">
        <v>77</v>
      </c>
    </row>
    <row r="2197" spans="1:11" x14ac:dyDescent="0.3">
      <c r="A2197" t="s">
        <v>83</v>
      </c>
      <c r="B2197">
        <v>1000</v>
      </c>
      <c r="C2197" t="s">
        <v>81</v>
      </c>
      <c r="D2197">
        <v>2.7473599999999999E-3</v>
      </c>
      <c r="E2197" t="s">
        <v>74</v>
      </c>
      <c r="F2197">
        <v>2.74736</v>
      </c>
      <c r="G2197" t="s">
        <v>75</v>
      </c>
      <c r="H2197">
        <v>2747.357</v>
      </c>
      <c r="I2197" t="s">
        <v>76</v>
      </c>
      <c r="J2197" t="s">
        <v>82</v>
      </c>
      <c r="K2197">
        <v>363.9862334</v>
      </c>
    </row>
    <row r="2198" spans="1:11" x14ac:dyDescent="0.3">
      <c r="A2198" t="s">
        <v>84</v>
      </c>
      <c r="B2198">
        <v>1001</v>
      </c>
      <c r="C2198" t="s">
        <v>79</v>
      </c>
      <c r="D2198">
        <v>7.1300000000000003E-6</v>
      </c>
      <c r="E2198" t="s">
        <v>74</v>
      </c>
      <c r="F2198">
        <v>7.1300000000000001E-3</v>
      </c>
      <c r="G2198" t="s">
        <v>75</v>
      </c>
      <c r="H2198">
        <v>7.1340000000000003</v>
      </c>
      <c r="I2198" t="s">
        <v>76</v>
      </c>
      <c r="J2198" t="s">
        <v>77</v>
      </c>
    </row>
    <row r="2199" spans="1:11" x14ac:dyDescent="0.3">
      <c r="A2199" t="s">
        <v>84</v>
      </c>
      <c r="B2199">
        <v>1001</v>
      </c>
      <c r="C2199" t="s">
        <v>94</v>
      </c>
      <c r="D2199">
        <v>2.5760800000000001E-3</v>
      </c>
      <c r="E2199" t="s">
        <v>74</v>
      </c>
      <c r="F2199">
        <v>2.5760800000000001</v>
      </c>
      <c r="G2199" t="s">
        <v>75</v>
      </c>
      <c r="H2199">
        <v>2576.078</v>
      </c>
      <c r="I2199" t="s">
        <v>76</v>
      </c>
      <c r="J2199" t="s">
        <v>77</v>
      </c>
    </row>
    <row r="2200" spans="1:11" x14ac:dyDescent="0.3">
      <c r="A2200" t="s">
        <v>84</v>
      </c>
      <c r="B2200">
        <v>1001</v>
      </c>
      <c r="C2200" t="s">
        <v>80</v>
      </c>
      <c r="D2200">
        <v>2.7461999999999999E-3</v>
      </c>
      <c r="E2200" t="s">
        <v>74</v>
      </c>
      <c r="F2200">
        <v>2.7462</v>
      </c>
      <c r="G2200" t="s">
        <v>75</v>
      </c>
      <c r="H2200">
        <v>2746.2</v>
      </c>
      <c r="I2200" t="s">
        <v>76</v>
      </c>
      <c r="J2200" t="s">
        <v>77</v>
      </c>
    </row>
    <row r="2201" spans="1:11" x14ac:dyDescent="0.3">
      <c r="A2201" t="s">
        <v>84</v>
      </c>
      <c r="B2201">
        <v>1001</v>
      </c>
      <c r="C2201" t="s">
        <v>81</v>
      </c>
      <c r="D2201">
        <v>2.7542299999999999E-3</v>
      </c>
      <c r="E2201" t="s">
        <v>74</v>
      </c>
      <c r="F2201">
        <v>2.7542300000000002</v>
      </c>
      <c r="G2201" t="s">
        <v>75</v>
      </c>
      <c r="H2201">
        <v>2754.2280000000001</v>
      </c>
      <c r="I2201" t="s">
        <v>76</v>
      </c>
      <c r="J2201" t="s">
        <v>82</v>
      </c>
      <c r="K2201">
        <v>363.07816589999999</v>
      </c>
    </row>
    <row r="2202" spans="1:11" x14ac:dyDescent="0.3">
      <c r="A2202" t="s">
        <v>85</v>
      </c>
      <c r="B2202">
        <v>1001</v>
      </c>
      <c r="C2202" t="s">
        <v>86</v>
      </c>
      <c r="D2202">
        <v>2.7543899999999998E-3</v>
      </c>
      <c r="E2202" t="s">
        <v>74</v>
      </c>
      <c r="F2202">
        <v>2.7543899999999999</v>
      </c>
      <c r="G2202" t="s">
        <v>75</v>
      </c>
      <c r="H2202">
        <v>2754.386</v>
      </c>
      <c r="I2202" t="s">
        <v>76</v>
      </c>
      <c r="J2202" t="s">
        <v>82</v>
      </c>
      <c r="K2202">
        <v>363.05728720000002</v>
      </c>
    </row>
    <row r="2203" spans="1:11" x14ac:dyDescent="0.3">
      <c r="A2203" t="s">
        <v>115</v>
      </c>
    </row>
    <row r="2204" spans="1:11" x14ac:dyDescent="0.3">
      <c r="A2204" t="s">
        <v>127</v>
      </c>
    </row>
    <row r="2205" spans="1:11" x14ac:dyDescent="0.3">
      <c r="A2205" t="s">
        <v>87</v>
      </c>
    </row>
    <row r="2206" spans="1:11" x14ac:dyDescent="0.3">
      <c r="A2206" t="s">
        <v>196</v>
      </c>
    </row>
    <row r="2207" spans="1:11" x14ac:dyDescent="0.3">
      <c r="A2207" t="s">
        <v>72</v>
      </c>
      <c r="B2207">
        <v>1</v>
      </c>
      <c r="C2207" t="s">
        <v>81</v>
      </c>
      <c r="D2207">
        <v>0.29564648999999998</v>
      </c>
      <c r="E2207" t="s">
        <v>74</v>
      </c>
      <c r="F2207">
        <v>295.64648999999997</v>
      </c>
      <c r="G2207" t="s">
        <v>75</v>
      </c>
      <c r="H2207">
        <v>295646.489</v>
      </c>
      <c r="I2207" t="s">
        <v>76</v>
      </c>
      <c r="J2207" t="s">
        <v>82</v>
      </c>
      <c r="K2207">
        <v>3.3824179999999999</v>
      </c>
    </row>
    <row r="2208" spans="1:11" x14ac:dyDescent="0.3">
      <c r="A2208" t="s">
        <v>83</v>
      </c>
      <c r="B2208">
        <v>1000</v>
      </c>
      <c r="C2208" t="s">
        <v>81</v>
      </c>
      <c r="D2208">
        <v>2.74595E-3</v>
      </c>
      <c r="E2208" t="s">
        <v>74</v>
      </c>
      <c r="F2208">
        <v>2.7459500000000001</v>
      </c>
      <c r="G2208" t="s">
        <v>75</v>
      </c>
      <c r="H2208">
        <v>2745.9490000000001</v>
      </c>
      <c r="I2208" t="s">
        <v>76</v>
      </c>
      <c r="J2208" t="s">
        <v>82</v>
      </c>
      <c r="K2208">
        <v>364.17288259999998</v>
      </c>
    </row>
    <row r="2209" spans="1:11" x14ac:dyDescent="0.3">
      <c r="A2209" t="s">
        <v>85</v>
      </c>
      <c r="B2209">
        <v>1001</v>
      </c>
      <c r="C2209" t="s">
        <v>86</v>
      </c>
      <c r="D2209">
        <v>3.0387600000000002E-3</v>
      </c>
      <c r="E2209" t="s">
        <v>74</v>
      </c>
      <c r="F2209">
        <v>3.0387599999999999</v>
      </c>
      <c r="G2209" t="s">
        <v>75</v>
      </c>
      <c r="H2209">
        <v>3038.7570000000001</v>
      </c>
      <c r="I2209" t="s">
        <v>76</v>
      </c>
      <c r="J2209" t="s">
        <v>82</v>
      </c>
      <c r="K2209">
        <v>329.08190100000002</v>
      </c>
    </row>
    <row r="2211" spans="1:11" x14ac:dyDescent="0.3">
      <c r="A2211" t="s">
        <v>197</v>
      </c>
    </row>
    <row r="2212" spans="1:11" x14ac:dyDescent="0.3">
      <c r="A2212" t="s">
        <v>72</v>
      </c>
      <c r="B2212">
        <v>1</v>
      </c>
      <c r="C2212" t="s">
        <v>81</v>
      </c>
      <c r="D2212">
        <v>9.6255999999999998E-3</v>
      </c>
      <c r="E2212" t="s">
        <v>74</v>
      </c>
      <c r="F2212">
        <v>9.6256000000000004</v>
      </c>
      <c r="G2212" t="s">
        <v>75</v>
      </c>
      <c r="H2212">
        <v>9625.6</v>
      </c>
      <c r="I2212" t="s">
        <v>76</v>
      </c>
      <c r="J2212" t="s">
        <v>82</v>
      </c>
      <c r="K2212">
        <v>103.8896307</v>
      </c>
    </row>
    <row r="2213" spans="1:11" x14ac:dyDescent="0.3">
      <c r="A2213" t="s">
        <v>83</v>
      </c>
      <c r="B2213">
        <v>1000</v>
      </c>
      <c r="C2213" t="s">
        <v>81</v>
      </c>
      <c r="D2213">
        <v>2.7473599999999999E-3</v>
      </c>
      <c r="E2213" t="s">
        <v>74</v>
      </c>
      <c r="F2213">
        <v>2.74736</v>
      </c>
      <c r="G2213" t="s">
        <v>75</v>
      </c>
      <c r="H2213">
        <v>2747.357</v>
      </c>
      <c r="I2213" t="s">
        <v>76</v>
      </c>
      <c r="J2213" t="s">
        <v>82</v>
      </c>
      <c r="K2213">
        <v>363.9862334</v>
      </c>
    </row>
    <row r="2214" spans="1:11" x14ac:dyDescent="0.3">
      <c r="A2214" t="s">
        <v>85</v>
      </c>
      <c r="B2214">
        <v>1001</v>
      </c>
      <c r="C2214" t="s">
        <v>86</v>
      </c>
      <c r="D2214">
        <v>2.7543899999999998E-3</v>
      </c>
      <c r="E2214" t="s">
        <v>74</v>
      </c>
      <c r="F2214">
        <v>2.7543899999999999</v>
      </c>
      <c r="G2214" t="s">
        <v>75</v>
      </c>
      <c r="H2214">
        <v>2754.386</v>
      </c>
      <c r="I2214" t="s">
        <v>76</v>
      </c>
      <c r="J2214" t="s">
        <v>82</v>
      </c>
      <c r="K2214">
        <v>363.05728720000002</v>
      </c>
    </row>
    <row r="2216" spans="1:11" x14ac:dyDescent="0.3">
      <c r="A2216" t="s">
        <v>66</v>
      </c>
    </row>
    <row r="2218" spans="1:11" x14ac:dyDescent="0.3">
      <c r="A2218" t="s">
        <v>236</v>
      </c>
    </row>
    <row r="2219" spans="1:11" x14ac:dyDescent="0.3">
      <c r="A2219" t="s">
        <v>68</v>
      </c>
    </row>
    <row r="2220" spans="1:11" x14ac:dyDescent="0.3">
      <c r="A2220" t="s">
        <v>69</v>
      </c>
    </row>
    <row r="2221" spans="1:11" x14ac:dyDescent="0.3">
      <c r="A2221" t="s">
        <v>70</v>
      </c>
    </row>
    <row r="2222" spans="1:11" x14ac:dyDescent="0.3">
      <c r="A2222" t="s">
        <v>115</v>
      </c>
    </row>
    <row r="2223" spans="1:11" x14ac:dyDescent="0.3">
      <c r="A2223" t="s">
        <v>116</v>
      </c>
    </row>
    <row r="2224" spans="1:11" x14ac:dyDescent="0.3">
      <c r="A2224" t="s">
        <v>117</v>
      </c>
    </row>
    <row r="2225" spans="1:10" x14ac:dyDescent="0.3">
      <c r="A2225" t="s">
        <v>118</v>
      </c>
    </row>
    <row r="2226" spans="1:10" x14ac:dyDescent="0.3">
      <c r="A2226" t="s">
        <v>119</v>
      </c>
    </row>
    <row r="2227" spans="1:10" x14ac:dyDescent="0.3">
      <c r="A2227" t="s">
        <v>120</v>
      </c>
    </row>
    <row r="2228" spans="1:10" x14ac:dyDescent="0.3">
      <c r="A2228" t="s">
        <v>121</v>
      </c>
    </row>
    <row r="2229" spans="1:10" x14ac:dyDescent="0.3">
      <c r="A2229" t="s">
        <v>122</v>
      </c>
    </row>
    <row r="2230" spans="1:10" x14ac:dyDescent="0.3">
      <c r="A2230" t="s">
        <v>123</v>
      </c>
    </row>
    <row r="2231" spans="1:10" x14ac:dyDescent="0.3">
      <c r="A2231" t="s">
        <v>124</v>
      </c>
    </row>
    <row r="2232" spans="1:10" x14ac:dyDescent="0.3">
      <c r="A2232" t="s">
        <v>125</v>
      </c>
    </row>
    <row r="2233" spans="1:10" x14ac:dyDescent="0.3">
      <c r="A2233" t="s">
        <v>126</v>
      </c>
    </row>
    <row r="2234" spans="1:10" x14ac:dyDescent="0.3">
      <c r="A2234" t="s">
        <v>127</v>
      </c>
    </row>
    <row r="2235" spans="1:10" x14ac:dyDescent="0.3">
      <c r="A2235" t="s">
        <v>199</v>
      </c>
    </row>
    <row r="2236" spans="1:10" x14ac:dyDescent="0.3">
      <c r="A2236" t="s">
        <v>200</v>
      </c>
    </row>
    <row r="2237" spans="1:10" x14ac:dyDescent="0.3">
      <c r="A2237" t="s">
        <v>72</v>
      </c>
      <c r="B2237">
        <v>1</v>
      </c>
      <c r="C2237" t="s">
        <v>73</v>
      </c>
      <c r="D2237">
        <v>4.3000000000000003E-6</v>
      </c>
      <c r="E2237" t="s">
        <v>74</v>
      </c>
      <c r="F2237">
        <v>4.3E-3</v>
      </c>
      <c r="G2237" t="s">
        <v>75</v>
      </c>
      <c r="H2237">
        <v>4.3</v>
      </c>
      <c r="I2237" t="s">
        <v>76</v>
      </c>
      <c r="J2237" t="s">
        <v>77</v>
      </c>
    </row>
    <row r="2238" spans="1:10" x14ac:dyDescent="0.3">
      <c r="A2238" t="s">
        <v>72</v>
      </c>
      <c r="B2238">
        <v>1</v>
      </c>
      <c r="C2238" t="s">
        <v>78</v>
      </c>
      <c r="D2238">
        <v>0.13722090000000001</v>
      </c>
      <c r="E2238" t="s">
        <v>74</v>
      </c>
      <c r="F2238">
        <v>137.2209</v>
      </c>
      <c r="G2238" t="s">
        <v>75</v>
      </c>
      <c r="H2238">
        <v>137220.90400000001</v>
      </c>
      <c r="I2238" t="s">
        <v>76</v>
      </c>
      <c r="J2238" t="s">
        <v>77</v>
      </c>
    </row>
    <row r="2239" spans="1:10" x14ac:dyDescent="0.3">
      <c r="A2239" t="s">
        <v>72</v>
      </c>
      <c r="B2239">
        <v>1</v>
      </c>
      <c r="C2239" t="s">
        <v>79</v>
      </c>
      <c r="D2239">
        <v>0.33816600000000002</v>
      </c>
      <c r="E2239" t="s">
        <v>74</v>
      </c>
      <c r="F2239">
        <v>338.166</v>
      </c>
      <c r="G2239" t="s">
        <v>75</v>
      </c>
      <c r="H2239">
        <v>338165.99800000002</v>
      </c>
      <c r="I2239" t="s">
        <v>76</v>
      </c>
      <c r="J2239" t="s">
        <v>77</v>
      </c>
    </row>
    <row r="2240" spans="1:10" x14ac:dyDescent="0.3">
      <c r="A2240" t="s">
        <v>72</v>
      </c>
      <c r="B2240">
        <v>1</v>
      </c>
      <c r="C2240" t="s">
        <v>94</v>
      </c>
      <c r="D2240">
        <v>3.6255299999999997E-2</v>
      </c>
      <c r="E2240" t="s">
        <v>74</v>
      </c>
      <c r="F2240">
        <v>36.255299999999998</v>
      </c>
      <c r="G2240" t="s">
        <v>75</v>
      </c>
      <c r="H2240">
        <v>36255.300000000003</v>
      </c>
      <c r="I2240" t="s">
        <v>76</v>
      </c>
      <c r="J2240" t="s">
        <v>77</v>
      </c>
    </row>
    <row r="2241" spans="1:11" x14ac:dyDescent="0.3">
      <c r="A2241" t="s">
        <v>72</v>
      </c>
      <c r="B2241">
        <v>1</v>
      </c>
      <c r="C2241" t="s">
        <v>80</v>
      </c>
      <c r="D2241">
        <v>3.6259300000000001E-2</v>
      </c>
      <c r="E2241" t="s">
        <v>74</v>
      </c>
      <c r="F2241">
        <v>36.259300000000003</v>
      </c>
      <c r="G2241" t="s">
        <v>75</v>
      </c>
      <c r="H2241">
        <v>36259.300999999999</v>
      </c>
      <c r="I2241" t="s">
        <v>76</v>
      </c>
      <c r="J2241" t="s">
        <v>77</v>
      </c>
    </row>
    <row r="2242" spans="1:11" x14ac:dyDescent="0.3">
      <c r="A2242" t="s">
        <v>72</v>
      </c>
      <c r="B2242">
        <v>1</v>
      </c>
      <c r="C2242" t="s">
        <v>81</v>
      </c>
      <c r="D2242">
        <v>0.37442790999999997</v>
      </c>
      <c r="E2242" t="s">
        <v>74</v>
      </c>
      <c r="F2242">
        <v>374.42791</v>
      </c>
      <c r="G2242" t="s">
        <v>75</v>
      </c>
      <c r="H2242">
        <v>374427.91499999998</v>
      </c>
      <c r="I2242" t="s">
        <v>76</v>
      </c>
      <c r="J2242" t="s">
        <v>82</v>
      </c>
      <c r="K2242">
        <v>2.670741</v>
      </c>
    </row>
    <row r="2243" spans="1:11" x14ac:dyDescent="0.3">
      <c r="A2243" t="s">
        <v>83</v>
      </c>
      <c r="B2243">
        <v>1000</v>
      </c>
      <c r="C2243" t="s">
        <v>79</v>
      </c>
      <c r="D2243">
        <v>1.3E-7</v>
      </c>
      <c r="E2243" t="s">
        <v>74</v>
      </c>
      <c r="F2243">
        <v>1.2999999999999999E-4</v>
      </c>
      <c r="G2243" t="s">
        <v>75</v>
      </c>
      <c r="H2243">
        <v>0.13</v>
      </c>
      <c r="I2243" t="s">
        <v>76</v>
      </c>
      <c r="J2243" t="s">
        <v>77</v>
      </c>
    </row>
    <row r="2244" spans="1:11" x14ac:dyDescent="0.3">
      <c r="A2244" t="s">
        <v>83</v>
      </c>
      <c r="B2244">
        <v>1000</v>
      </c>
      <c r="C2244" t="s">
        <v>94</v>
      </c>
      <c r="D2244">
        <v>1.715363E-2</v>
      </c>
      <c r="E2244" t="s">
        <v>74</v>
      </c>
      <c r="F2244">
        <v>17.15363</v>
      </c>
      <c r="G2244" t="s">
        <v>75</v>
      </c>
      <c r="H2244">
        <v>17153.633000000002</v>
      </c>
      <c r="I2244" t="s">
        <v>76</v>
      </c>
      <c r="J2244" t="s">
        <v>77</v>
      </c>
    </row>
    <row r="2245" spans="1:11" x14ac:dyDescent="0.3">
      <c r="A2245" t="s">
        <v>83</v>
      </c>
      <c r="B2245">
        <v>1000</v>
      </c>
      <c r="C2245" t="s">
        <v>80</v>
      </c>
      <c r="D2245">
        <v>1.7153970000000001E-2</v>
      </c>
      <c r="E2245" t="s">
        <v>74</v>
      </c>
      <c r="F2245">
        <v>17.153970000000001</v>
      </c>
      <c r="G2245" t="s">
        <v>75</v>
      </c>
      <c r="H2245">
        <v>17153.974999999999</v>
      </c>
      <c r="I2245" t="s">
        <v>76</v>
      </c>
      <c r="J2245" t="s">
        <v>77</v>
      </c>
    </row>
    <row r="2246" spans="1:11" x14ac:dyDescent="0.3">
      <c r="A2246" t="s">
        <v>83</v>
      </c>
      <c r="B2246">
        <v>1000</v>
      </c>
      <c r="C2246" t="s">
        <v>81</v>
      </c>
      <c r="D2246">
        <v>1.7154900000000001E-2</v>
      </c>
      <c r="E2246" t="s">
        <v>74</v>
      </c>
      <c r="F2246">
        <v>17.154900000000001</v>
      </c>
      <c r="G2246" t="s">
        <v>75</v>
      </c>
      <c r="H2246">
        <v>17154.902999999998</v>
      </c>
      <c r="I2246" t="s">
        <v>76</v>
      </c>
      <c r="J2246" t="s">
        <v>82</v>
      </c>
      <c r="K2246">
        <v>58.292371299999999</v>
      </c>
    </row>
    <row r="2247" spans="1:11" x14ac:dyDescent="0.3">
      <c r="A2247" t="s">
        <v>84</v>
      </c>
      <c r="B2247">
        <v>1001</v>
      </c>
      <c r="C2247" t="s">
        <v>79</v>
      </c>
      <c r="D2247">
        <v>3.3795E-4</v>
      </c>
      <c r="E2247" t="s">
        <v>74</v>
      </c>
      <c r="F2247">
        <v>0.33794999999999997</v>
      </c>
      <c r="G2247" t="s">
        <v>75</v>
      </c>
      <c r="H2247">
        <v>337.95100000000002</v>
      </c>
      <c r="I2247" t="s">
        <v>76</v>
      </c>
      <c r="J2247" t="s">
        <v>77</v>
      </c>
    </row>
    <row r="2248" spans="1:11" x14ac:dyDescent="0.3">
      <c r="A2248" t="s">
        <v>84</v>
      </c>
      <c r="B2248">
        <v>1001</v>
      </c>
      <c r="C2248" t="s">
        <v>94</v>
      </c>
      <c r="D2248">
        <v>1.7172719999999999E-2</v>
      </c>
      <c r="E2248" t="s">
        <v>74</v>
      </c>
      <c r="F2248">
        <v>17.172720000000002</v>
      </c>
      <c r="G2248" t="s">
        <v>75</v>
      </c>
      <c r="H2248">
        <v>17172.717000000001</v>
      </c>
      <c r="I2248" t="s">
        <v>76</v>
      </c>
      <c r="J2248" t="s">
        <v>77</v>
      </c>
    </row>
    <row r="2249" spans="1:11" x14ac:dyDescent="0.3">
      <c r="A2249" t="s">
        <v>84</v>
      </c>
      <c r="B2249">
        <v>1001</v>
      </c>
      <c r="C2249" t="s">
        <v>80</v>
      </c>
      <c r="D2249">
        <v>1.717306E-2</v>
      </c>
      <c r="E2249" t="s">
        <v>74</v>
      </c>
      <c r="F2249">
        <v>17.17306</v>
      </c>
      <c r="G2249" t="s">
        <v>75</v>
      </c>
      <c r="H2249">
        <v>17173.058000000001</v>
      </c>
      <c r="I2249" t="s">
        <v>76</v>
      </c>
      <c r="J2249" t="s">
        <v>77</v>
      </c>
    </row>
    <row r="2250" spans="1:11" x14ac:dyDescent="0.3">
      <c r="A2250" t="s">
        <v>84</v>
      </c>
      <c r="B2250">
        <v>1001</v>
      </c>
      <c r="C2250" t="s">
        <v>81</v>
      </c>
      <c r="D2250">
        <v>1.7511820000000001E-2</v>
      </c>
      <c r="E2250" t="s">
        <v>74</v>
      </c>
      <c r="F2250">
        <v>17.51182</v>
      </c>
      <c r="G2250" t="s">
        <v>75</v>
      </c>
      <c r="H2250">
        <v>17511.821</v>
      </c>
      <c r="I2250" t="s">
        <v>76</v>
      </c>
      <c r="J2250" t="s">
        <v>82</v>
      </c>
      <c r="K2250">
        <v>57.104283100000004</v>
      </c>
    </row>
    <row r="2251" spans="1:11" x14ac:dyDescent="0.3">
      <c r="A2251" t="s">
        <v>85</v>
      </c>
      <c r="B2251">
        <v>1001</v>
      </c>
      <c r="C2251" t="s">
        <v>86</v>
      </c>
      <c r="D2251">
        <v>1.7512E-2</v>
      </c>
      <c r="E2251" t="s">
        <v>74</v>
      </c>
      <c r="F2251">
        <v>17.512</v>
      </c>
      <c r="G2251" t="s">
        <v>75</v>
      </c>
      <c r="H2251">
        <v>17512.004000000001</v>
      </c>
      <c r="I2251" t="s">
        <v>76</v>
      </c>
      <c r="J2251" t="s">
        <v>82</v>
      </c>
      <c r="K2251">
        <v>57.103686600000003</v>
      </c>
    </row>
    <row r="2252" spans="1:11" x14ac:dyDescent="0.3">
      <c r="A2252" t="s">
        <v>201</v>
      </c>
    </row>
    <row r="2253" spans="1:11" x14ac:dyDescent="0.3">
      <c r="A2253" t="s">
        <v>202</v>
      </c>
    </row>
    <row r="2254" spans="1:11" x14ac:dyDescent="0.3">
      <c r="A2254" t="s">
        <v>72</v>
      </c>
      <c r="B2254">
        <v>1</v>
      </c>
      <c r="C2254" t="s">
        <v>73</v>
      </c>
      <c r="D2254">
        <v>4.3000000000000003E-6</v>
      </c>
      <c r="E2254" t="s">
        <v>74</v>
      </c>
      <c r="F2254">
        <v>4.3E-3</v>
      </c>
      <c r="G2254" t="s">
        <v>75</v>
      </c>
      <c r="H2254">
        <v>4.3</v>
      </c>
      <c r="I2254" t="s">
        <v>76</v>
      </c>
      <c r="J2254" t="s">
        <v>77</v>
      </c>
    </row>
    <row r="2255" spans="1:11" x14ac:dyDescent="0.3">
      <c r="A2255" t="s">
        <v>72</v>
      </c>
      <c r="B2255">
        <v>1</v>
      </c>
      <c r="C2255" t="s">
        <v>78</v>
      </c>
      <c r="D2255">
        <v>4.0599999999999998E-5</v>
      </c>
      <c r="E2255" t="s">
        <v>74</v>
      </c>
      <c r="F2255">
        <v>4.0599999999999997E-2</v>
      </c>
      <c r="G2255" t="s">
        <v>75</v>
      </c>
      <c r="H2255">
        <v>40.6</v>
      </c>
      <c r="I2255" t="s">
        <v>76</v>
      </c>
      <c r="J2255" t="s">
        <v>77</v>
      </c>
    </row>
    <row r="2256" spans="1:11" x14ac:dyDescent="0.3">
      <c r="A2256" t="s">
        <v>72</v>
      </c>
      <c r="B2256">
        <v>1</v>
      </c>
      <c r="C2256" t="s">
        <v>79</v>
      </c>
      <c r="D2256">
        <v>3.8294000000000002E-3</v>
      </c>
      <c r="E2256" t="s">
        <v>74</v>
      </c>
      <c r="F2256">
        <v>3.8294000000000001</v>
      </c>
      <c r="G2256" t="s">
        <v>75</v>
      </c>
      <c r="H2256">
        <v>3829.4</v>
      </c>
      <c r="I2256" t="s">
        <v>76</v>
      </c>
      <c r="J2256" t="s">
        <v>77</v>
      </c>
    </row>
    <row r="2257" spans="1:11" x14ac:dyDescent="0.3">
      <c r="A2257" t="s">
        <v>72</v>
      </c>
      <c r="B2257">
        <v>1</v>
      </c>
      <c r="C2257" t="s">
        <v>94</v>
      </c>
      <c r="D2257">
        <v>0.14663689999999999</v>
      </c>
      <c r="E2257" t="s">
        <v>74</v>
      </c>
      <c r="F2257">
        <v>146.6369</v>
      </c>
      <c r="G2257" t="s">
        <v>75</v>
      </c>
      <c r="H2257">
        <v>146636.90299999999</v>
      </c>
      <c r="I2257" t="s">
        <v>76</v>
      </c>
      <c r="J2257" t="s">
        <v>77</v>
      </c>
    </row>
    <row r="2258" spans="1:11" x14ac:dyDescent="0.3">
      <c r="A2258" t="s">
        <v>72</v>
      </c>
      <c r="B2258">
        <v>1</v>
      </c>
      <c r="C2258" t="s">
        <v>80</v>
      </c>
      <c r="D2258">
        <v>0.1466375</v>
      </c>
      <c r="E2258" t="s">
        <v>74</v>
      </c>
      <c r="F2258">
        <v>146.63749999999999</v>
      </c>
      <c r="G2258" t="s">
        <v>75</v>
      </c>
      <c r="H2258">
        <v>146637.49900000001</v>
      </c>
      <c r="I2258" t="s">
        <v>76</v>
      </c>
      <c r="J2258" t="s">
        <v>77</v>
      </c>
    </row>
    <row r="2259" spans="1:11" x14ac:dyDescent="0.3">
      <c r="A2259" t="s">
        <v>72</v>
      </c>
      <c r="B2259">
        <v>1</v>
      </c>
      <c r="C2259" t="s">
        <v>81</v>
      </c>
      <c r="D2259">
        <v>0.15046780000000001</v>
      </c>
      <c r="E2259" t="s">
        <v>74</v>
      </c>
      <c r="F2259">
        <v>150.46780000000001</v>
      </c>
      <c r="G2259" t="s">
        <v>75</v>
      </c>
      <c r="H2259">
        <v>150467.79800000001</v>
      </c>
      <c r="I2259" t="s">
        <v>76</v>
      </c>
      <c r="J2259" t="s">
        <v>82</v>
      </c>
      <c r="K2259">
        <v>6.6459403000000004</v>
      </c>
    </row>
    <row r="2260" spans="1:11" x14ac:dyDescent="0.3">
      <c r="A2260" t="s">
        <v>83</v>
      </c>
      <c r="B2260">
        <v>1000</v>
      </c>
      <c r="C2260" t="s">
        <v>79</v>
      </c>
      <c r="D2260">
        <v>2.8000000000000002E-7</v>
      </c>
      <c r="E2260" t="s">
        <v>74</v>
      </c>
      <c r="F2260">
        <v>2.7999999999999998E-4</v>
      </c>
      <c r="G2260" t="s">
        <v>75</v>
      </c>
      <c r="H2260">
        <v>0.28000000000000003</v>
      </c>
      <c r="I2260" t="s">
        <v>76</v>
      </c>
      <c r="J2260" t="s">
        <v>77</v>
      </c>
    </row>
    <row r="2261" spans="1:11" x14ac:dyDescent="0.3">
      <c r="A2261" t="s">
        <v>83</v>
      </c>
      <c r="B2261">
        <v>1000</v>
      </c>
      <c r="C2261" t="s">
        <v>94</v>
      </c>
      <c r="D2261">
        <v>2.4698660000000001E-2</v>
      </c>
      <c r="E2261" t="s">
        <v>74</v>
      </c>
      <c r="F2261">
        <v>24.69866</v>
      </c>
      <c r="G2261" t="s">
        <v>75</v>
      </c>
      <c r="H2261">
        <v>24698.655999999999</v>
      </c>
      <c r="I2261" t="s">
        <v>76</v>
      </c>
      <c r="J2261" t="s">
        <v>77</v>
      </c>
    </row>
    <row r="2262" spans="1:11" x14ac:dyDescent="0.3">
      <c r="A2262" t="s">
        <v>83</v>
      </c>
      <c r="B2262">
        <v>1000</v>
      </c>
      <c r="C2262" t="s">
        <v>80</v>
      </c>
      <c r="D2262">
        <v>2.4876410000000002E-2</v>
      </c>
      <c r="E2262" t="s">
        <v>74</v>
      </c>
      <c r="F2262">
        <v>24.87641</v>
      </c>
      <c r="G2262" t="s">
        <v>75</v>
      </c>
      <c r="H2262">
        <v>24876.411</v>
      </c>
      <c r="I2262" t="s">
        <v>76</v>
      </c>
      <c r="J2262" t="s">
        <v>77</v>
      </c>
    </row>
    <row r="2263" spans="1:11" x14ac:dyDescent="0.3">
      <c r="A2263" t="s">
        <v>83</v>
      </c>
      <c r="B2263">
        <v>1000</v>
      </c>
      <c r="C2263" t="s">
        <v>81</v>
      </c>
      <c r="D2263">
        <v>2.4877900000000001E-2</v>
      </c>
      <c r="E2263" t="s">
        <v>74</v>
      </c>
      <c r="F2263">
        <v>24.8779</v>
      </c>
      <c r="G2263" t="s">
        <v>75</v>
      </c>
      <c r="H2263">
        <v>24877.899000000001</v>
      </c>
      <c r="I2263" t="s">
        <v>76</v>
      </c>
      <c r="J2263" t="s">
        <v>82</v>
      </c>
      <c r="K2263">
        <v>40.196320200000002</v>
      </c>
    </row>
    <row r="2264" spans="1:11" x14ac:dyDescent="0.3">
      <c r="A2264" t="s">
        <v>84</v>
      </c>
      <c r="B2264">
        <v>1001</v>
      </c>
      <c r="C2264" t="s">
        <v>79</v>
      </c>
      <c r="D2264">
        <v>4.1099999999999996E-6</v>
      </c>
      <c r="E2264" t="s">
        <v>74</v>
      </c>
      <c r="F2264">
        <v>4.1099999999999999E-3</v>
      </c>
      <c r="G2264" t="s">
        <v>75</v>
      </c>
      <c r="H2264">
        <v>4.1050000000000004</v>
      </c>
      <c r="I2264" t="s">
        <v>76</v>
      </c>
      <c r="J2264" t="s">
        <v>77</v>
      </c>
    </row>
    <row r="2265" spans="1:11" x14ac:dyDescent="0.3">
      <c r="A2265" t="s">
        <v>84</v>
      </c>
      <c r="B2265">
        <v>1001</v>
      </c>
      <c r="C2265" t="s">
        <v>94</v>
      </c>
      <c r="D2265">
        <v>2.4820470000000001E-2</v>
      </c>
      <c r="E2265" t="s">
        <v>74</v>
      </c>
      <c r="F2265">
        <v>24.82047</v>
      </c>
      <c r="G2265" t="s">
        <v>75</v>
      </c>
      <c r="H2265">
        <v>24820.473999999998</v>
      </c>
      <c r="I2265" t="s">
        <v>76</v>
      </c>
      <c r="J2265" t="s">
        <v>77</v>
      </c>
    </row>
    <row r="2266" spans="1:11" x14ac:dyDescent="0.3">
      <c r="A2266" t="s">
        <v>84</v>
      </c>
      <c r="B2266">
        <v>1001</v>
      </c>
      <c r="C2266" t="s">
        <v>80</v>
      </c>
      <c r="D2266">
        <v>2.4998050000000001E-2</v>
      </c>
      <c r="E2266" t="s">
        <v>74</v>
      </c>
      <c r="F2266">
        <v>24.998049999999999</v>
      </c>
      <c r="G2266" t="s">
        <v>75</v>
      </c>
      <c r="H2266">
        <v>24998.054</v>
      </c>
      <c r="I2266" t="s">
        <v>76</v>
      </c>
      <c r="J2266" t="s">
        <v>77</v>
      </c>
    </row>
    <row r="2267" spans="1:11" x14ac:dyDescent="0.3">
      <c r="A2267" t="s">
        <v>84</v>
      </c>
      <c r="B2267">
        <v>1001</v>
      </c>
      <c r="C2267" t="s">
        <v>81</v>
      </c>
      <c r="D2267">
        <v>2.5003359999999999E-2</v>
      </c>
      <c r="E2267" t="s">
        <v>74</v>
      </c>
      <c r="F2267">
        <v>25.003360000000001</v>
      </c>
      <c r="G2267" t="s">
        <v>75</v>
      </c>
      <c r="H2267">
        <v>25003.361000000001</v>
      </c>
      <c r="I2267" t="s">
        <v>76</v>
      </c>
      <c r="J2267" t="s">
        <v>82</v>
      </c>
      <c r="K2267">
        <v>39.994623400000002</v>
      </c>
    </row>
    <row r="2268" spans="1:11" x14ac:dyDescent="0.3">
      <c r="A2268" t="s">
        <v>85</v>
      </c>
      <c r="B2268">
        <v>1001</v>
      </c>
      <c r="C2268" t="s">
        <v>86</v>
      </c>
      <c r="D2268">
        <v>2.500366E-2</v>
      </c>
      <c r="E2268" t="s">
        <v>74</v>
      </c>
      <c r="F2268">
        <v>25.00366</v>
      </c>
      <c r="G2268" t="s">
        <v>75</v>
      </c>
      <c r="H2268">
        <v>25003.657999999999</v>
      </c>
      <c r="I2268" t="s">
        <v>76</v>
      </c>
      <c r="J2268" t="s">
        <v>82</v>
      </c>
      <c r="K2268">
        <v>39.994147900000002</v>
      </c>
    </row>
    <row r="2269" spans="1:11" x14ac:dyDescent="0.3">
      <c r="A2269" t="s">
        <v>115</v>
      </c>
    </row>
    <row r="2270" spans="1:11" x14ac:dyDescent="0.3">
      <c r="A2270" t="s">
        <v>127</v>
      </c>
    </row>
    <row r="2271" spans="1:11" x14ac:dyDescent="0.3">
      <c r="A2271" t="s">
        <v>87</v>
      </c>
    </row>
    <row r="2272" spans="1:11" x14ac:dyDescent="0.3">
      <c r="A2272" t="s">
        <v>203</v>
      </c>
    </row>
    <row r="2273" spans="1:11" x14ac:dyDescent="0.3">
      <c r="A2273" t="s">
        <v>72</v>
      </c>
      <c r="B2273">
        <v>1</v>
      </c>
      <c r="C2273" t="s">
        <v>81</v>
      </c>
      <c r="D2273">
        <v>0.37442790999999997</v>
      </c>
      <c r="E2273" t="s">
        <v>74</v>
      </c>
      <c r="F2273">
        <v>374.42791</v>
      </c>
      <c r="G2273" t="s">
        <v>75</v>
      </c>
      <c r="H2273">
        <v>374427.91499999998</v>
      </c>
      <c r="I2273" t="s">
        <v>76</v>
      </c>
      <c r="J2273" t="s">
        <v>82</v>
      </c>
      <c r="K2273">
        <v>2.670741</v>
      </c>
    </row>
    <row r="2274" spans="1:11" x14ac:dyDescent="0.3">
      <c r="A2274" t="s">
        <v>83</v>
      </c>
      <c r="B2274">
        <v>1000</v>
      </c>
      <c r="C2274" t="s">
        <v>81</v>
      </c>
      <c r="D2274">
        <v>1.7154900000000001E-2</v>
      </c>
      <c r="E2274" t="s">
        <v>74</v>
      </c>
      <c r="F2274">
        <v>17.154900000000001</v>
      </c>
      <c r="G2274" t="s">
        <v>75</v>
      </c>
      <c r="H2274">
        <v>17154.902999999998</v>
      </c>
      <c r="I2274" t="s">
        <v>76</v>
      </c>
      <c r="J2274" t="s">
        <v>82</v>
      </c>
      <c r="K2274">
        <v>58.292371299999999</v>
      </c>
    </row>
    <row r="2275" spans="1:11" x14ac:dyDescent="0.3">
      <c r="A2275" t="s">
        <v>85</v>
      </c>
      <c r="B2275">
        <v>1001</v>
      </c>
      <c r="C2275" t="s">
        <v>86</v>
      </c>
      <c r="D2275">
        <v>1.7512E-2</v>
      </c>
      <c r="E2275" t="s">
        <v>74</v>
      </c>
      <c r="F2275">
        <v>17.512</v>
      </c>
      <c r="G2275" t="s">
        <v>75</v>
      </c>
      <c r="H2275">
        <v>17512.004000000001</v>
      </c>
      <c r="I2275" t="s">
        <v>76</v>
      </c>
      <c r="J2275" t="s">
        <v>82</v>
      </c>
      <c r="K2275">
        <v>57.103686600000003</v>
      </c>
    </row>
    <row r="2277" spans="1:11" x14ac:dyDescent="0.3">
      <c r="A2277" t="s">
        <v>204</v>
      </c>
    </row>
    <row r="2278" spans="1:11" x14ac:dyDescent="0.3">
      <c r="A2278" t="s">
        <v>72</v>
      </c>
      <c r="B2278">
        <v>1</v>
      </c>
      <c r="C2278" t="s">
        <v>81</v>
      </c>
      <c r="D2278">
        <v>0.15046780000000001</v>
      </c>
      <c r="E2278" t="s">
        <v>74</v>
      </c>
      <c r="F2278">
        <v>150.46780000000001</v>
      </c>
      <c r="G2278" t="s">
        <v>75</v>
      </c>
      <c r="H2278">
        <v>150467.79800000001</v>
      </c>
      <c r="I2278" t="s">
        <v>76</v>
      </c>
      <c r="J2278" t="s">
        <v>82</v>
      </c>
      <c r="K2278">
        <v>6.6459403000000004</v>
      </c>
    </row>
    <row r="2279" spans="1:11" x14ac:dyDescent="0.3">
      <c r="A2279" t="s">
        <v>83</v>
      </c>
      <c r="B2279">
        <v>1000</v>
      </c>
      <c r="C2279" t="s">
        <v>81</v>
      </c>
      <c r="D2279">
        <v>2.4877900000000001E-2</v>
      </c>
      <c r="E2279" t="s">
        <v>74</v>
      </c>
      <c r="F2279">
        <v>24.8779</v>
      </c>
      <c r="G2279" t="s">
        <v>75</v>
      </c>
      <c r="H2279">
        <v>24877.899000000001</v>
      </c>
      <c r="I2279" t="s">
        <v>76</v>
      </c>
      <c r="J2279" t="s">
        <v>82</v>
      </c>
      <c r="K2279">
        <v>40.196320200000002</v>
      </c>
    </row>
    <row r="2280" spans="1:11" x14ac:dyDescent="0.3">
      <c r="A2280" t="s">
        <v>85</v>
      </c>
      <c r="B2280">
        <v>1001</v>
      </c>
      <c r="C2280" t="s">
        <v>86</v>
      </c>
      <c r="D2280">
        <v>2.500366E-2</v>
      </c>
      <c r="E2280" t="s">
        <v>74</v>
      </c>
      <c r="F2280">
        <v>25.00366</v>
      </c>
      <c r="G2280" t="s">
        <v>75</v>
      </c>
      <c r="H2280">
        <v>25003.657999999999</v>
      </c>
      <c r="I2280" t="s">
        <v>76</v>
      </c>
      <c r="J2280" t="s">
        <v>82</v>
      </c>
      <c r="K2280">
        <v>39.994147900000002</v>
      </c>
    </row>
    <row r="2282" spans="1:11" x14ac:dyDescent="0.3">
      <c r="A2282" t="s">
        <v>66</v>
      </c>
    </row>
    <row r="2284" spans="1:11" x14ac:dyDescent="0.3">
      <c r="A2284" t="s">
        <v>237</v>
      </c>
    </row>
    <row r="2285" spans="1:11" x14ac:dyDescent="0.3">
      <c r="A2285" t="s">
        <v>68</v>
      </c>
    </row>
    <row r="2286" spans="1:11" x14ac:dyDescent="0.3">
      <c r="A2286" t="s">
        <v>69</v>
      </c>
    </row>
    <row r="2287" spans="1:11" x14ac:dyDescent="0.3">
      <c r="A2287" t="s">
        <v>70</v>
      </c>
    </row>
    <row r="2288" spans="1:11" x14ac:dyDescent="0.3">
      <c r="A2288" t="s">
        <v>115</v>
      </c>
    </row>
    <row r="2289" spans="1:10" x14ac:dyDescent="0.3">
      <c r="A2289" t="s">
        <v>116</v>
      </c>
    </row>
    <row r="2290" spans="1:10" x14ac:dyDescent="0.3">
      <c r="A2290" t="s">
        <v>117</v>
      </c>
    </row>
    <row r="2291" spans="1:10" x14ac:dyDescent="0.3">
      <c r="A2291" t="s">
        <v>118</v>
      </c>
    </row>
    <row r="2292" spans="1:10" x14ac:dyDescent="0.3">
      <c r="A2292" t="s">
        <v>119</v>
      </c>
    </row>
    <row r="2293" spans="1:10" x14ac:dyDescent="0.3">
      <c r="A2293" t="s">
        <v>120</v>
      </c>
    </row>
    <row r="2294" spans="1:10" x14ac:dyDescent="0.3">
      <c r="A2294" t="s">
        <v>121</v>
      </c>
    </row>
    <row r="2295" spans="1:10" x14ac:dyDescent="0.3">
      <c r="A2295" t="s">
        <v>122</v>
      </c>
    </row>
    <row r="2296" spans="1:10" x14ac:dyDescent="0.3">
      <c r="A2296" t="s">
        <v>123</v>
      </c>
    </row>
    <row r="2297" spans="1:10" x14ac:dyDescent="0.3">
      <c r="A2297" t="s">
        <v>124</v>
      </c>
    </row>
    <row r="2298" spans="1:10" x14ac:dyDescent="0.3">
      <c r="A2298" t="s">
        <v>125</v>
      </c>
    </row>
    <row r="2299" spans="1:10" x14ac:dyDescent="0.3">
      <c r="A2299" t="s">
        <v>126</v>
      </c>
    </row>
    <row r="2300" spans="1:10" x14ac:dyDescent="0.3">
      <c r="A2300" t="s">
        <v>127</v>
      </c>
    </row>
    <row r="2301" spans="1:10" x14ac:dyDescent="0.3">
      <c r="A2301" t="s">
        <v>206</v>
      </c>
    </row>
    <row r="2302" spans="1:10" x14ac:dyDescent="0.3">
      <c r="A2302" t="s">
        <v>207</v>
      </c>
    </row>
    <row r="2303" spans="1:10" x14ac:dyDescent="0.3">
      <c r="A2303" t="s">
        <v>72</v>
      </c>
      <c r="B2303">
        <v>1</v>
      </c>
      <c r="C2303" t="s">
        <v>73</v>
      </c>
      <c r="D2303">
        <v>4.3000000000000003E-6</v>
      </c>
      <c r="E2303" t="s">
        <v>74</v>
      </c>
      <c r="F2303">
        <v>4.3E-3</v>
      </c>
      <c r="G2303" t="s">
        <v>75</v>
      </c>
      <c r="H2303">
        <v>4.3</v>
      </c>
      <c r="I2303" t="s">
        <v>76</v>
      </c>
      <c r="J2303" t="s">
        <v>77</v>
      </c>
    </row>
    <row r="2304" spans="1:10" x14ac:dyDescent="0.3">
      <c r="A2304" t="s">
        <v>72</v>
      </c>
      <c r="B2304">
        <v>1</v>
      </c>
      <c r="C2304" t="s">
        <v>78</v>
      </c>
      <c r="D2304">
        <v>0.15963329000000001</v>
      </c>
      <c r="E2304" t="s">
        <v>74</v>
      </c>
      <c r="F2304">
        <v>159.63328999999999</v>
      </c>
      <c r="G2304" t="s">
        <v>75</v>
      </c>
      <c r="H2304">
        <v>159633.29399999999</v>
      </c>
      <c r="I2304" t="s">
        <v>76</v>
      </c>
      <c r="J2304" t="s">
        <v>77</v>
      </c>
    </row>
    <row r="2305" spans="1:11" x14ac:dyDescent="0.3">
      <c r="A2305" t="s">
        <v>72</v>
      </c>
      <c r="B2305">
        <v>1</v>
      </c>
      <c r="C2305" t="s">
        <v>79</v>
      </c>
      <c r="D2305">
        <v>0.35893360000000002</v>
      </c>
      <c r="E2305" t="s">
        <v>74</v>
      </c>
      <c r="F2305">
        <v>358.93360000000001</v>
      </c>
      <c r="G2305" t="s">
        <v>75</v>
      </c>
      <c r="H2305">
        <v>358933.598</v>
      </c>
      <c r="I2305" t="s">
        <v>76</v>
      </c>
      <c r="J2305" t="s">
        <v>77</v>
      </c>
    </row>
    <row r="2306" spans="1:11" x14ac:dyDescent="0.3">
      <c r="A2306" t="s">
        <v>72</v>
      </c>
      <c r="B2306">
        <v>1</v>
      </c>
      <c r="C2306" t="s">
        <v>94</v>
      </c>
      <c r="D2306">
        <v>3.3946999999999998E-2</v>
      </c>
      <c r="E2306" t="s">
        <v>74</v>
      </c>
      <c r="F2306">
        <v>33.947000000000003</v>
      </c>
      <c r="G2306" t="s">
        <v>75</v>
      </c>
      <c r="H2306">
        <v>33946.998</v>
      </c>
      <c r="I2306" t="s">
        <v>76</v>
      </c>
      <c r="J2306" t="s">
        <v>77</v>
      </c>
    </row>
    <row r="2307" spans="1:11" x14ac:dyDescent="0.3">
      <c r="A2307" t="s">
        <v>72</v>
      </c>
      <c r="B2307">
        <v>1</v>
      </c>
      <c r="C2307" t="s">
        <v>80</v>
      </c>
      <c r="D2307">
        <v>3.3947699999999997E-2</v>
      </c>
      <c r="E2307" t="s">
        <v>74</v>
      </c>
      <c r="F2307">
        <v>33.947699999999998</v>
      </c>
      <c r="G2307" t="s">
        <v>75</v>
      </c>
      <c r="H2307">
        <v>33947.699000000001</v>
      </c>
      <c r="I2307" t="s">
        <v>76</v>
      </c>
      <c r="J2307" t="s">
        <v>77</v>
      </c>
    </row>
    <row r="2308" spans="1:11" x14ac:dyDescent="0.3">
      <c r="A2308" t="s">
        <v>72</v>
      </c>
      <c r="B2308">
        <v>1</v>
      </c>
      <c r="C2308" t="s">
        <v>81</v>
      </c>
      <c r="D2308">
        <v>0.39288381</v>
      </c>
      <c r="E2308" t="s">
        <v>74</v>
      </c>
      <c r="F2308">
        <v>392.88380999999998</v>
      </c>
      <c r="G2308" t="s">
        <v>75</v>
      </c>
      <c r="H2308">
        <v>392883.80699999997</v>
      </c>
      <c r="I2308" t="s">
        <v>76</v>
      </c>
      <c r="J2308" t="s">
        <v>82</v>
      </c>
      <c r="K2308">
        <v>2.5452818000000001</v>
      </c>
    </row>
    <row r="2309" spans="1:11" x14ac:dyDescent="0.3">
      <c r="A2309" t="s">
        <v>83</v>
      </c>
      <c r="B2309">
        <v>1000</v>
      </c>
      <c r="C2309" t="s">
        <v>79</v>
      </c>
      <c r="D2309">
        <v>1.1999999999999999E-7</v>
      </c>
      <c r="E2309" t="s">
        <v>74</v>
      </c>
      <c r="F2309">
        <v>1.2E-4</v>
      </c>
      <c r="G2309" t="s">
        <v>75</v>
      </c>
      <c r="H2309">
        <v>0.123</v>
      </c>
      <c r="I2309" t="s">
        <v>76</v>
      </c>
      <c r="J2309" t="s">
        <v>77</v>
      </c>
    </row>
    <row r="2310" spans="1:11" x14ac:dyDescent="0.3">
      <c r="A2310" t="s">
        <v>83</v>
      </c>
      <c r="B2310">
        <v>1000</v>
      </c>
      <c r="C2310" t="s">
        <v>94</v>
      </c>
      <c r="D2310">
        <v>1.6537650000000001E-2</v>
      </c>
      <c r="E2310" t="s">
        <v>74</v>
      </c>
      <c r="F2310">
        <v>16.537649999999999</v>
      </c>
      <c r="G2310" t="s">
        <v>75</v>
      </c>
      <c r="H2310">
        <v>16537.652999999998</v>
      </c>
      <c r="I2310" t="s">
        <v>76</v>
      </c>
      <c r="J2310" t="s">
        <v>77</v>
      </c>
    </row>
    <row r="2311" spans="1:11" x14ac:dyDescent="0.3">
      <c r="A2311" t="s">
        <v>83</v>
      </c>
      <c r="B2311">
        <v>1000</v>
      </c>
      <c r="C2311" t="s">
        <v>80</v>
      </c>
      <c r="D2311">
        <v>1.653802E-2</v>
      </c>
      <c r="E2311" t="s">
        <v>74</v>
      </c>
      <c r="F2311">
        <v>16.538019999999999</v>
      </c>
      <c r="G2311" t="s">
        <v>75</v>
      </c>
      <c r="H2311">
        <v>16538.014999999999</v>
      </c>
      <c r="I2311" t="s">
        <v>76</v>
      </c>
      <c r="J2311" t="s">
        <v>77</v>
      </c>
    </row>
    <row r="2312" spans="1:11" x14ac:dyDescent="0.3">
      <c r="A2312" t="s">
        <v>83</v>
      </c>
      <c r="B2312">
        <v>1000</v>
      </c>
      <c r="C2312" t="s">
        <v>81</v>
      </c>
      <c r="D2312">
        <v>1.6539000000000002E-2</v>
      </c>
      <c r="E2312" t="s">
        <v>74</v>
      </c>
      <c r="F2312">
        <v>16.539000000000001</v>
      </c>
      <c r="G2312" t="s">
        <v>75</v>
      </c>
      <c r="H2312">
        <v>16538.998</v>
      </c>
      <c r="I2312" t="s">
        <v>76</v>
      </c>
      <c r="J2312" t="s">
        <v>82</v>
      </c>
      <c r="K2312">
        <v>60.463156300000001</v>
      </c>
    </row>
    <row r="2313" spans="1:11" x14ac:dyDescent="0.3">
      <c r="A2313" t="s">
        <v>84</v>
      </c>
      <c r="B2313">
        <v>1001</v>
      </c>
      <c r="C2313" t="s">
        <v>79</v>
      </c>
      <c r="D2313">
        <v>3.5869E-4</v>
      </c>
      <c r="E2313" t="s">
        <v>74</v>
      </c>
      <c r="F2313">
        <v>0.35869000000000001</v>
      </c>
      <c r="G2313" t="s">
        <v>75</v>
      </c>
      <c r="H2313">
        <v>358.69099999999997</v>
      </c>
      <c r="I2313" t="s">
        <v>76</v>
      </c>
      <c r="J2313" t="s">
        <v>77</v>
      </c>
    </row>
    <row r="2314" spans="1:11" x14ac:dyDescent="0.3">
      <c r="A2314" t="s">
        <v>84</v>
      </c>
      <c r="B2314">
        <v>1001</v>
      </c>
      <c r="C2314" t="s">
        <v>94</v>
      </c>
      <c r="D2314">
        <v>1.655504E-2</v>
      </c>
      <c r="E2314" t="s">
        <v>74</v>
      </c>
      <c r="F2314">
        <v>16.555040000000002</v>
      </c>
      <c r="G2314" t="s">
        <v>75</v>
      </c>
      <c r="H2314">
        <v>16555.043000000001</v>
      </c>
      <c r="I2314" t="s">
        <v>76</v>
      </c>
      <c r="J2314" t="s">
        <v>77</v>
      </c>
    </row>
    <row r="2315" spans="1:11" x14ac:dyDescent="0.3">
      <c r="A2315" t="s">
        <v>84</v>
      </c>
      <c r="B2315">
        <v>1001</v>
      </c>
      <c r="C2315" t="s">
        <v>80</v>
      </c>
      <c r="D2315">
        <v>1.655541E-2</v>
      </c>
      <c r="E2315" t="s">
        <v>74</v>
      </c>
      <c r="F2315">
        <v>16.555409999999998</v>
      </c>
      <c r="G2315" t="s">
        <v>75</v>
      </c>
      <c r="H2315">
        <v>16555.406999999999</v>
      </c>
      <c r="I2315" t="s">
        <v>76</v>
      </c>
      <c r="J2315" t="s">
        <v>77</v>
      </c>
    </row>
    <row r="2316" spans="1:11" x14ac:dyDescent="0.3">
      <c r="A2316" t="s">
        <v>84</v>
      </c>
      <c r="B2316">
        <v>1001</v>
      </c>
      <c r="C2316" t="s">
        <v>81</v>
      </c>
      <c r="D2316">
        <v>1.691498E-2</v>
      </c>
      <c r="E2316" t="s">
        <v>74</v>
      </c>
      <c r="F2316">
        <v>16.91498</v>
      </c>
      <c r="G2316" t="s">
        <v>75</v>
      </c>
      <c r="H2316">
        <v>16914.975999999999</v>
      </c>
      <c r="I2316" t="s">
        <v>76</v>
      </c>
      <c r="J2316" t="s">
        <v>82</v>
      </c>
      <c r="K2316">
        <v>59.119210600000002</v>
      </c>
    </row>
    <row r="2317" spans="1:11" x14ac:dyDescent="0.3">
      <c r="A2317" t="s">
        <v>85</v>
      </c>
      <c r="B2317">
        <v>1001</v>
      </c>
      <c r="C2317" t="s">
        <v>86</v>
      </c>
      <c r="D2317">
        <v>1.6915159999999999E-2</v>
      </c>
      <c r="E2317" t="s">
        <v>74</v>
      </c>
      <c r="F2317">
        <v>16.91516</v>
      </c>
      <c r="G2317" t="s">
        <v>75</v>
      </c>
      <c r="H2317">
        <v>16915.16</v>
      </c>
      <c r="I2317" t="s">
        <v>76</v>
      </c>
      <c r="J2317" t="s">
        <v>82</v>
      </c>
      <c r="K2317">
        <v>59.118564599999999</v>
      </c>
    </row>
    <row r="2318" spans="1:11" x14ac:dyDescent="0.3">
      <c r="A2318" t="s">
        <v>208</v>
      </c>
    </row>
    <row r="2319" spans="1:11" x14ac:dyDescent="0.3">
      <c r="A2319" t="s">
        <v>209</v>
      </c>
    </row>
    <row r="2320" spans="1:11" x14ac:dyDescent="0.3">
      <c r="A2320" t="s">
        <v>72</v>
      </c>
      <c r="B2320">
        <v>1</v>
      </c>
      <c r="C2320" t="s">
        <v>73</v>
      </c>
      <c r="D2320">
        <v>4.3000000000000003E-6</v>
      </c>
      <c r="E2320" t="s">
        <v>74</v>
      </c>
      <c r="F2320">
        <v>4.3E-3</v>
      </c>
      <c r="G2320" t="s">
        <v>75</v>
      </c>
      <c r="H2320">
        <v>4.3</v>
      </c>
      <c r="I2320" t="s">
        <v>76</v>
      </c>
      <c r="J2320" t="s">
        <v>77</v>
      </c>
    </row>
    <row r="2321" spans="1:11" x14ac:dyDescent="0.3">
      <c r="A2321" t="s">
        <v>72</v>
      </c>
      <c r="B2321">
        <v>1</v>
      </c>
      <c r="C2321" t="s">
        <v>78</v>
      </c>
      <c r="D2321">
        <v>4.1600000000000002E-5</v>
      </c>
      <c r="E2321" t="s">
        <v>74</v>
      </c>
      <c r="F2321">
        <v>4.1599999999999998E-2</v>
      </c>
      <c r="G2321" t="s">
        <v>75</v>
      </c>
      <c r="H2321">
        <v>41.6</v>
      </c>
      <c r="I2321" t="s">
        <v>76</v>
      </c>
      <c r="J2321" t="s">
        <v>77</v>
      </c>
    </row>
    <row r="2322" spans="1:11" x14ac:dyDescent="0.3">
      <c r="A2322" t="s">
        <v>72</v>
      </c>
      <c r="B2322">
        <v>1</v>
      </c>
      <c r="C2322" t="s">
        <v>79</v>
      </c>
      <c r="D2322">
        <v>4.0577E-3</v>
      </c>
      <c r="E2322" t="s">
        <v>74</v>
      </c>
      <c r="F2322">
        <v>4.0576999999999996</v>
      </c>
      <c r="G2322" t="s">
        <v>75</v>
      </c>
      <c r="H2322">
        <v>4057.7</v>
      </c>
      <c r="I2322" t="s">
        <v>76</v>
      </c>
      <c r="J2322" t="s">
        <v>77</v>
      </c>
    </row>
    <row r="2323" spans="1:11" x14ac:dyDescent="0.3">
      <c r="A2323" t="s">
        <v>72</v>
      </c>
      <c r="B2323">
        <v>1</v>
      </c>
      <c r="C2323" t="s">
        <v>94</v>
      </c>
      <c r="D2323">
        <v>2.7711300000000001E-2</v>
      </c>
      <c r="E2323" t="s">
        <v>74</v>
      </c>
      <c r="F2323">
        <v>27.711300000000001</v>
      </c>
      <c r="G2323" t="s">
        <v>75</v>
      </c>
      <c r="H2323">
        <v>27711.3</v>
      </c>
      <c r="I2323" t="s">
        <v>76</v>
      </c>
      <c r="J2323" t="s">
        <v>77</v>
      </c>
    </row>
    <row r="2324" spans="1:11" x14ac:dyDescent="0.3">
      <c r="A2324" t="s">
        <v>72</v>
      </c>
      <c r="B2324">
        <v>1</v>
      </c>
      <c r="C2324" t="s">
        <v>80</v>
      </c>
      <c r="D2324">
        <v>2.7711800000000002E-2</v>
      </c>
      <c r="E2324" t="s">
        <v>74</v>
      </c>
      <c r="F2324">
        <v>27.7118</v>
      </c>
      <c r="G2324" t="s">
        <v>75</v>
      </c>
      <c r="H2324">
        <v>27711.798999999999</v>
      </c>
      <c r="I2324" t="s">
        <v>76</v>
      </c>
      <c r="J2324" t="s">
        <v>77</v>
      </c>
    </row>
    <row r="2325" spans="1:11" x14ac:dyDescent="0.3">
      <c r="A2325" t="s">
        <v>72</v>
      </c>
      <c r="B2325">
        <v>1</v>
      </c>
      <c r="C2325" t="s">
        <v>81</v>
      </c>
      <c r="D2325">
        <v>3.1770600000000003E-2</v>
      </c>
      <c r="E2325" t="s">
        <v>74</v>
      </c>
      <c r="F2325">
        <v>31.770600000000002</v>
      </c>
      <c r="G2325" t="s">
        <v>75</v>
      </c>
      <c r="H2325">
        <v>31770.598000000002</v>
      </c>
      <c r="I2325" t="s">
        <v>76</v>
      </c>
      <c r="J2325" t="s">
        <v>82</v>
      </c>
      <c r="K2325">
        <v>31.475642799999999</v>
      </c>
    </row>
    <row r="2326" spans="1:11" x14ac:dyDescent="0.3">
      <c r="A2326" t="s">
        <v>83</v>
      </c>
      <c r="B2326">
        <v>1000</v>
      </c>
      <c r="C2326" t="s">
        <v>79</v>
      </c>
      <c r="D2326">
        <v>2.3999999999999998E-7</v>
      </c>
      <c r="E2326" t="s">
        <v>74</v>
      </c>
      <c r="F2326">
        <v>2.4000000000000001E-4</v>
      </c>
      <c r="G2326" t="s">
        <v>75</v>
      </c>
      <c r="H2326">
        <v>0.24299999999999999</v>
      </c>
      <c r="I2326" t="s">
        <v>76</v>
      </c>
      <c r="J2326" t="s">
        <v>77</v>
      </c>
    </row>
    <row r="2327" spans="1:11" x14ac:dyDescent="0.3">
      <c r="A2327" t="s">
        <v>83</v>
      </c>
      <c r="B2327">
        <v>1000</v>
      </c>
      <c r="C2327" t="s">
        <v>94</v>
      </c>
      <c r="D2327">
        <v>2.4247769999999998E-2</v>
      </c>
      <c r="E2327" t="s">
        <v>74</v>
      </c>
      <c r="F2327">
        <v>24.247769999999999</v>
      </c>
      <c r="G2327" t="s">
        <v>75</v>
      </c>
      <c r="H2327">
        <v>24247.772000000001</v>
      </c>
      <c r="I2327" t="s">
        <v>76</v>
      </c>
      <c r="J2327" t="s">
        <v>77</v>
      </c>
    </row>
    <row r="2328" spans="1:11" x14ac:dyDescent="0.3">
      <c r="A2328" t="s">
        <v>83</v>
      </c>
      <c r="B2328">
        <v>1000</v>
      </c>
      <c r="C2328" t="s">
        <v>80</v>
      </c>
      <c r="D2328">
        <v>2.4423509999999999E-2</v>
      </c>
      <c r="E2328" t="s">
        <v>74</v>
      </c>
      <c r="F2328">
        <v>24.42351</v>
      </c>
      <c r="G2328" t="s">
        <v>75</v>
      </c>
      <c r="H2328">
        <v>24423.511999999999</v>
      </c>
      <c r="I2328" t="s">
        <v>76</v>
      </c>
      <c r="J2328" t="s">
        <v>77</v>
      </c>
    </row>
    <row r="2329" spans="1:11" x14ac:dyDescent="0.3">
      <c r="A2329" t="s">
        <v>83</v>
      </c>
      <c r="B2329">
        <v>1000</v>
      </c>
      <c r="C2329" t="s">
        <v>81</v>
      </c>
      <c r="D2329">
        <v>2.4424999999999999E-2</v>
      </c>
      <c r="E2329" t="s">
        <v>74</v>
      </c>
      <c r="F2329">
        <v>24.425000000000001</v>
      </c>
      <c r="G2329" t="s">
        <v>75</v>
      </c>
      <c r="H2329">
        <v>24425.005000000001</v>
      </c>
      <c r="I2329" t="s">
        <v>76</v>
      </c>
      <c r="J2329" t="s">
        <v>82</v>
      </c>
      <c r="K2329">
        <v>40.9416498</v>
      </c>
    </row>
    <row r="2330" spans="1:11" x14ac:dyDescent="0.3">
      <c r="A2330" t="s">
        <v>84</v>
      </c>
      <c r="B2330">
        <v>1001</v>
      </c>
      <c r="C2330" t="s">
        <v>79</v>
      </c>
      <c r="D2330">
        <v>4.3000000000000003E-6</v>
      </c>
      <c r="E2330" t="s">
        <v>74</v>
      </c>
      <c r="F2330">
        <v>4.3E-3</v>
      </c>
      <c r="G2330" t="s">
        <v>75</v>
      </c>
      <c r="H2330">
        <v>4.2969999999999997</v>
      </c>
      <c r="I2330" t="s">
        <v>76</v>
      </c>
      <c r="J2330" t="s">
        <v>77</v>
      </c>
    </row>
    <row r="2331" spans="1:11" x14ac:dyDescent="0.3">
      <c r="A2331" t="s">
        <v>84</v>
      </c>
      <c r="B2331">
        <v>1001</v>
      </c>
      <c r="C2331" t="s">
        <v>94</v>
      </c>
      <c r="D2331">
        <v>2.4251229999999999E-2</v>
      </c>
      <c r="E2331" t="s">
        <v>74</v>
      </c>
      <c r="F2331">
        <v>24.25123</v>
      </c>
      <c r="G2331" t="s">
        <v>75</v>
      </c>
      <c r="H2331">
        <v>24251.231</v>
      </c>
      <c r="I2331" t="s">
        <v>76</v>
      </c>
      <c r="J2331" t="s">
        <v>77</v>
      </c>
    </row>
    <row r="2332" spans="1:11" x14ac:dyDescent="0.3">
      <c r="A2332" t="s">
        <v>84</v>
      </c>
      <c r="B2332">
        <v>1001</v>
      </c>
      <c r="C2332" t="s">
        <v>80</v>
      </c>
      <c r="D2332">
        <v>2.442679E-2</v>
      </c>
      <c r="E2332" t="s">
        <v>74</v>
      </c>
      <c r="F2332">
        <v>24.42679</v>
      </c>
      <c r="G2332" t="s">
        <v>75</v>
      </c>
      <c r="H2332">
        <v>24426.794999999998</v>
      </c>
      <c r="I2332" t="s">
        <v>76</v>
      </c>
      <c r="J2332" t="s">
        <v>77</v>
      </c>
    </row>
    <row r="2333" spans="1:11" x14ac:dyDescent="0.3">
      <c r="A2333" t="s">
        <v>84</v>
      </c>
      <c r="B2333">
        <v>1001</v>
      </c>
      <c r="C2333" t="s">
        <v>81</v>
      </c>
      <c r="D2333">
        <v>2.4432349999999999E-2</v>
      </c>
      <c r="E2333" t="s">
        <v>74</v>
      </c>
      <c r="F2333">
        <v>24.43235</v>
      </c>
      <c r="G2333" t="s">
        <v>75</v>
      </c>
      <c r="H2333">
        <v>24432.345000000001</v>
      </c>
      <c r="I2333" t="s">
        <v>76</v>
      </c>
      <c r="J2333" t="s">
        <v>82</v>
      </c>
      <c r="K2333">
        <v>40.929349600000002</v>
      </c>
    </row>
    <row r="2334" spans="1:11" x14ac:dyDescent="0.3">
      <c r="A2334" t="s">
        <v>85</v>
      </c>
      <c r="B2334">
        <v>1001</v>
      </c>
      <c r="C2334" t="s">
        <v>86</v>
      </c>
      <c r="D2334">
        <v>2.443267E-2</v>
      </c>
      <c r="E2334" t="s">
        <v>74</v>
      </c>
      <c r="F2334">
        <v>24.432670000000002</v>
      </c>
      <c r="G2334" t="s">
        <v>75</v>
      </c>
      <c r="H2334">
        <v>24432.674999999999</v>
      </c>
      <c r="I2334" t="s">
        <v>76</v>
      </c>
      <c r="J2334" t="s">
        <v>82</v>
      </c>
      <c r="K2334">
        <v>40.928797400000001</v>
      </c>
    </row>
    <row r="2335" spans="1:11" x14ac:dyDescent="0.3">
      <c r="A2335" t="s">
        <v>115</v>
      </c>
    </row>
    <row r="2336" spans="1:11" x14ac:dyDescent="0.3">
      <c r="A2336" t="s">
        <v>127</v>
      </c>
    </row>
    <row r="2337" spans="1:11" x14ac:dyDescent="0.3">
      <c r="A2337" t="s">
        <v>87</v>
      </c>
    </row>
    <row r="2338" spans="1:11" x14ac:dyDescent="0.3">
      <c r="A2338" t="s">
        <v>210</v>
      </c>
    </row>
    <row r="2339" spans="1:11" x14ac:dyDescent="0.3">
      <c r="A2339" t="s">
        <v>72</v>
      </c>
      <c r="B2339">
        <v>1</v>
      </c>
      <c r="C2339" t="s">
        <v>81</v>
      </c>
      <c r="D2339">
        <v>0.39288381</v>
      </c>
      <c r="E2339" t="s">
        <v>74</v>
      </c>
      <c r="F2339">
        <v>392.88380999999998</v>
      </c>
      <c r="G2339" t="s">
        <v>75</v>
      </c>
      <c r="H2339">
        <v>392883.80699999997</v>
      </c>
      <c r="I2339" t="s">
        <v>76</v>
      </c>
      <c r="J2339" t="s">
        <v>82</v>
      </c>
      <c r="K2339">
        <v>2.5452818000000001</v>
      </c>
    </row>
    <row r="2340" spans="1:11" x14ac:dyDescent="0.3">
      <c r="A2340" t="s">
        <v>83</v>
      </c>
      <c r="B2340">
        <v>1000</v>
      </c>
      <c r="C2340" t="s">
        <v>81</v>
      </c>
      <c r="D2340">
        <v>1.6539000000000002E-2</v>
      </c>
      <c r="E2340" t="s">
        <v>74</v>
      </c>
      <c r="F2340">
        <v>16.539000000000001</v>
      </c>
      <c r="G2340" t="s">
        <v>75</v>
      </c>
      <c r="H2340">
        <v>16538.998</v>
      </c>
      <c r="I2340" t="s">
        <v>76</v>
      </c>
      <c r="J2340" t="s">
        <v>82</v>
      </c>
      <c r="K2340">
        <v>60.463156300000001</v>
      </c>
    </row>
    <row r="2341" spans="1:11" x14ac:dyDescent="0.3">
      <c r="A2341" t="s">
        <v>85</v>
      </c>
      <c r="B2341">
        <v>1001</v>
      </c>
      <c r="C2341" t="s">
        <v>86</v>
      </c>
      <c r="D2341">
        <v>1.6915159999999999E-2</v>
      </c>
      <c r="E2341" t="s">
        <v>74</v>
      </c>
      <c r="F2341">
        <v>16.91516</v>
      </c>
      <c r="G2341" t="s">
        <v>75</v>
      </c>
      <c r="H2341">
        <v>16915.16</v>
      </c>
      <c r="I2341" t="s">
        <v>76</v>
      </c>
      <c r="J2341" t="s">
        <v>82</v>
      </c>
      <c r="K2341">
        <v>59.118564599999999</v>
      </c>
    </row>
    <row r="2343" spans="1:11" x14ac:dyDescent="0.3">
      <c r="A2343" t="s">
        <v>211</v>
      </c>
    </row>
    <row r="2344" spans="1:11" x14ac:dyDescent="0.3">
      <c r="A2344" t="s">
        <v>72</v>
      </c>
      <c r="B2344">
        <v>1</v>
      </c>
      <c r="C2344" t="s">
        <v>81</v>
      </c>
      <c r="D2344">
        <v>3.1770600000000003E-2</v>
      </c>
      <c r="E2344" t="s">
        <v>74</v>
      </c>
      <c r="F2344">
        <v>31.770600000000002</v>
      </c>
      <c r="G2344" t="s">
        <v>75</v>
      </c>
      <c r="H2344">
        <v>31770.598000000002</v>
      </c>
      <c r="I2344" t="s">
        <v>76</v>
      </c>
      <c r="J2344" t="s">
        <v>82</v>
      </c>
      <c r="K2344">
        <v>31.475642799999999</v>
      </c>
    </row>
    <row r="2345" spans="1:11" x14ac:dyDescent="0.3">
      <c r="A2345" t="s">
        <v>83</v>
      </c>
      <c r="B2345">
        <v>1000</v>
      </c>
      <c r="C2345" t="s">
        <v>81</v>
      </c>
      <c r="D2345">
        <v>2.4424999999999999E-2</v>
      </c>
      <c r="E2345" t="s">
        <v>74</v>
      </c>
      <c r="F2345">
        <v>24.425000000000001</v>
      </c>
      <c r="G2345" t="s">
        <v>75</v>
      </c>
      <c r="H2345">
        <v>24425.005000000001</v>
      </c>
      <c r="I2345" t="s">
        <v>76</v>
      </c>
      <c r="J2345" t="s">
        <v>82</v>
      </c>
      <c r="K2345">
        <v>40.9416498</v>
      </c>
    </row>
    <row r="2346" spans="1:11" x14ac:dyDescent="0.3">
      <c r="A2346" t="s">
        <v>85</v>
      </c>
      <c r="B2346">
        <v>1001</v>
      </c>
      <c r="C2346" t="s">
        <v>86</v>
      </c>
      <c r="D2346">
        <v>2.443267E-2</v>
      </c>
      <c r="E2346" t="s">
        <v>74</v>
      </c>
      <c r="F2346">
        <v>24.432670000000002</v>
      </c>
      <c r="G2346" t="s">
        <v>75</v>
      </c>
      <c r="H2346">
        <v>24432.674999999999</v>
      </c>
      <c r="I2346" t="s">
        <v>76</v>
      </c>
      <c r="J2346" t="s">
        <v>82</v>
      </c>
      <c r="K2346">
        <v>40.928797400000001</v>
      </c>
    </row>
    <row r="2348" spans="1:11" x14ac:dyDescent="0.3">
      <c r="A2348" t="s">
        <v>66</v>
      </c>
    </row>
    <row r="2350" spans="1:11" x14ac:dyDescent="0.3">
      <c r="A2350" t="s">
        <v>238</v>
      </c>
    </row>
    <row r="2351" spans="1:11" x14ac:dyDescent="0.3">
      <c r="A2351" t="s">
        <v>68</v>
      </c>
    </row>
    <row r="2352" spans="1:11" x14ac:dyDescent="0.3">
      <c r="A2352" t="s">
        <v>69</v>
      </c>
    </row>
    <row r="2353" spans="1:1" x14ac:dyDescent="0.3">
      <c r="A2353" t="s">
        <v>70</v>
      </c>
    </row>
    <row r="2354" spans="1:1" x14ac:dyDescent="0.3">
      <c r="A2354" t="s">
        <v>115</v>
      </c>
    </row>
    <row r="2355" spans="1:1" x14ac:dyDescent="0.3">
      <c r="A2355" t="s">
        <v>116</v>
      </c>
    </row>
    <row r="2356" spans="1:1" x14ac:dyDescent="0.3">
      <c r="A2356" t="s">
        <v>117</v>
      </c>
    </row>
    <row r="2357" spans="1:1" x14ac:dyDescent="0.3">
      <c r="A2357" t="s">
        <v>118</v>
      </c>
    </row>
    <row r="2358" spans="1:1" x14ac:dyDescent="0.3">
      <c r="A2358" t="s">
        <v>119</v>
      </c>
    </row>
    <row r="2359" spans="1:1" x14ac:dyDescent="0.3">
      <c r="A2359" t="s">
        <v>120</v>
      </c>
    </row>
    <row r="2360" spans="1:1" x14ac:dyDescent="0.3">
      <c r="A2360" t="s">
        <v>121</v>
      </c>
    </row>
    <row r="2361" spans="1:1" x14ac:dyDescent="0.3">
      <c r="A2361" t="s">
        <v>122</v>
      </c>
    </row>
    <row r="2362" spans="1:1" x14ac:dyDescent="0.3">
      <c r="A2362" t="s">
        <v>123</v>
      </c>
    </row>
    <row r="2363" spans="1:1" x14ac:dyDescent="0.3">
      <c r="A2363" t="s">
        <v>124</v>
      </c>
    </row>
    <row r="2364" spans="1:1" x14ac:dyDescent="0.3">
      <c r="A2364" t="s">
        <v>125</v>
      </c>
    </row>
    <row r="2365" spans="1:1" x14ac:dyDescent="0.3">
      <c r="A2365" t="s">
        <v>126</v>
      </c>
    </row>
    <row r="2366" spans="1:1" x14ac:dyDescent="0.3">
      <c r="A2366" t="s">
        <v>127</v>
      </c>
    </row>
    <row r="2367" spans="1:1" x14ac:dyDescent="0.3">
      <c r="A2367" t="s">
        <v>213</v>
      </c>
    </row>
    <row r="2368" spans="1:1" x14ac:dyDescent="0.3">
      <c r="A2368" t="s">
        <v>214</v>
      </c>
    </row>
    <row r="2369" spans="1:11" x14ac:dyDescent="0.3">
      <c r="A2369" t="s">
        <v>72</v>
      </c>
      <c r="B2369">
        <v>1</v>
      </c>
      <c r="C2369" t="s">
        <v>73</v>
      </c>
      <c r="D2369">
        <v>3.8999999999999999E-6</v>
      </c>
      <c r="E2369" t="s">
        <v>74</v>
      </c>
      <c r="F2369">
        <v>3.8999999999999998E-3</v>
      </c>
      <c r="G2369" t="s">
        <v>75</v>
      </c>
      <c r="H2369">
        <v>3.9</v>
      </c>
      <c r="I2369" t="s">
        <v>76</v>
      </c>
      <c r="J2369" t="s">
        <v>77</v>
      </c>
    </row>
    <row r="2370" spans="1:11" x14ac:dyDescent="0.3">
      <c r="A2370" t="s">
        <v>72</v>
      </c>
      <c r="B2370">
        <v>1</v>
      </c>
      <c r="C2370" t="s">
        <v>78</v>
      </c>
      <c r="D2370">
        <v>0.13029879</v>
      </c>
      <c r="E2370" t="s">
        <v>74</v>
      </c>
      <c r="F2370">
        <v>130.29879</v>
      </c>
      <c r="G2370" t="s">
        <v>75</v>
      </c>
      <c r="H2370">
        <v>130298.79300000001</v>
      </c>
      <c r="I2370" t="s">
        <v>76</v>
      </c>
      <c r="J2370" t="s">
        <v>77</v>
      </c>
    </row>
    <row r="2371" spans="1:11" x14ac:dyDescent="0.3">
      <c r="A2371" t="s">
        <v>72</v>
      </c>
      <c r="B2371">
        <v>1</v>
      </c>
      <c r="C2371" t="s">
        <v>79</v>
      </c>
      <c r="D2371">
        <v>0.37530279</v>
      </c>
      <c r="E2371" t="s">
        <v>74</v>
      </c>
      <c r="F2371">
        <v>375.30279000000002</v>
      </c>
      <c r="G2371" t="s">
        <v>75</v>
      </c>
      <c r="H2371">
        <v>375302.79200000002</v>
      </c>
      <c r="I2371" t="s">
        <v>76</v>
      </c>
      <c r="J2371" t="s">
        <v>77</v>
      </c>
    </row>
    <row r="2372" spans="1:11" x14ac:dyDescent="0.3">
      <c r="A2372" t="s">
        <v>72</v>
      </c>
      <c r="B2372">
        <v>1</v>
      </c>
      <c r="C2372" t="s">
        <v>94</v>
      </c>
      <c r="D2372">
        <v>4.3357999999999999E-3</v>
      </c>
      <c r="E2372" t="s">
        <v>74</v>
      </c>
      <c r="F2372">
        <v>4.3357999999999999</v>
      </c>
      <c r="G2372" t="s">
        <v>75</v>
      </c>
      <c r="H2372">
        <v>4335.8</v>
      </c>
      <c r="I2372" t="s">
        <v>76</v>
      </c>
      <c r="J2372" t="s">
        <v>77</v>
      </c>
    </row>
    <row r="2373" spans="1:11" x14ac:dyDescent="0.3">
      <c r="A2373" t="s">
        <v>72</v>
      </c>
      <c r="B2373">
        <v>1</v>
      </c>
      <c r="C2373" t="s">
        <v>80</v>
      </c>
      <c r="D2373">
        <v>4.3365000000000001E-3</v>
      </c>
      <c r="E2373" t="s">
        <v>74</v>
      </c>
      <c r="F2373">
        <v>4.3365</v>
      </c>
      <c r="G2373" t="s">
        <v>75</v>
      </c>
      <c r="H2373">
        <v>4336.5</v>
      </c>
      <c r="I2373" t="s">
        <v>76</v>
      </c>
      <c r="J2373" t="s">
        <v>77</v>
      </c>
    </row>
    <row r="2374" spans="1:11" x14ac:dyDescent="0.3">
      <c r="A2374" t="s">
        <v>72</v>
      </c>
      <c r="B2374">
        <v>1</v>
      </c>
      <c r="C2374" t="s">
        <v>81</v>
      </c>
      <c r="D2374">
        <v>0.37964179999999997</v>
      </c>
      <c r="E2374" t="s">
        <v>74</v>
      </c>
      <c r="F2374">
        <v>379.64179999999999</v>
      </c>
      <c r="G2374" t="s">
        <v>75</v>
      </c>
      <c r="H2374">
        <v>379641.80099999998</v>
      </c>
      <c r="I2374" t="s">
        <v>76</v>
      </c>
      <c r="J2374" t="s">
        <v>82</v>
      </c>
      <c r="K2374">
        <v>2.6340618999999998</v>
      </c>
    </row>
    <row r="2375" spans="1:11" x14ac:dyDescent="0.3">
      <c r="A2375" t="s">
        <v>83</v>
      </c>
      <c r="B2375">
        <v>1000</v>
      </c>
      <c r="C2375" t="s">
        <v>79</v>
      </c>
      <c r="D2375">
        <v>7.0000000000000005E-8</v>
      </c>
      <c r="E2375" t="s">
        <v>74</v>
      </c>
      <c r="F2375">
        <v>6.9999999999999994E-5</v>
      </c>
      <c r="G2375" t="s">
        <v>75</v>
      </c>
      <c r="H2375">
        <v>7.1999999999999995E-2</v>
      </c>
      <c r="I2375" t="s">
        <v>76</v>
      </c>
      <c r="J2375" t="s">
        <v>77</v>
      </c>
    </row>
    <row r="2376" spans="1:11" x14ac:dyDescent="0.3">
      <c r="A2376" t="s">
        <v>83</v>
      </c>
      <c r="B2376">
        <v>1000</v>
      </c>
      <c r="C2376" t="s">
        <v>94</v>
      </c>
      <c r="D2376">
        <v>6.2781000000000002E-4</v>
      </c>
      <c r="E2376" t="s">
        <v>74</v>
      </c>
      <c r="F2376">
        <v>0.62780999999999998</v>
      </c>
      <c r="G2376" t="s">
        <v>75</v>
      </c>
      <c r="H2376">
        <v>627.80600000000004</v>
      </c>
      <c r="I2376" t="s">
        <v>76</v>
      </c>
      <c r="J2376" t="s">
        <v>77</v>
      </c>
    </row>
    <row r="2377" spans="1:11" x14ac:dyDescent="0.3">
      <c r="A2377" t="s">
        <v>83</v>
      </c>
      <c r="B2377">
        <v>1000</v>
      </c>
      <c r="C2377" t="s">
        <v>80</v>
      </c>
      <c r="D2377">
        <v>6.2817000000000005E-4</v>
      </c>
      <c r="E2377" t="s">
        <v>74</v>
      </c>
      <c r="F2377">
        <v>0.62817000000000001</v>
      </c>
      <c r="G2377" t="s">
        <v>75</v>
      </c>
      <c r="H2377">
        <v>628.17100000000005</v>
      </c>
      <c r="I2377" t="s">
        <v>76</v>
      </c>
      <c r="J2377" t="s">
        <v>77</v>
      </c>
    </row>
    <row r="2378" spans="1:11" x14ac:dyDescent="0.3">
      <c r="A2378" t="s">
        <v>83</v>
      </c>
      <c r="B2378">
        <v>1000</v>
      </c>
      <c r="C2378" t="s">
        <v>81</v>
      </c>
      <c r="D2378">
        <v>6.2912999999999999E-4</v>
      </c>
      <c r="E2378" t="s">
        <v>74</v>
      </c>
      <c r="F2378">
        <v>0.62912999999999997</v>
      </c>
      <c r="G2378" t="s">
        <v>75</v>
      </c>
      <c r="H2378">
        <v>629.12900000000002</v>
      </c>
      <c r="I2378" t="s">
        <v>76</v>
      </c>
      <c r="J2378" t="s">
        <v>82</v>
      </c>
      <c r="K2378">
        <v>1589.5003565</v>
      </c>
    </row>
    <row r="2379" spans="1:11" x14ac:dyDescent="0.3">
      <c r="A2379" t="s">
        <v>84</v>
      </c>
      <c r="B2379">
        <v>1001</v>
      </c>
      <c r="C2379" t="s">
        <v>79</v>
      </c>
      <c r="D2379">
        <v>3.7499000000000001E-4</v>
      </c>
      <c r="E2379" t="s">
        <v>74</v>
      </c>
      <c r="F2379">
        <v>0.37498999999999999</v>
      </c>
      <c r="G2379" t="s">
        <v>75</v>
      </c>
      <c r="H2379">
        <v>374.995</v>
      </c>
      <c r="I2379" t="s">
        <v>76</v>
      </c>
      <c r="J2379" t="s">
        <v>77</v>
      </c>
    </row>
    <row r="2380" spans="1:11" x14ac:dyDescent="0.3">
      <c r="A2380" t="s">
        <v>84</v>
      </c>
      <c r="B2380">
        <v>1001</v>
      </c>
      <c r="C2380" t="s">
        <v>94</v>
      </c>
      <c r="D2380">
        <v>6.3150999999999995E-4</v>
      </c>
      <c r="E2380" t="s">
        <v>74</v>
      </c>
      <c r="F2380">
        <v>0.63151000000000002</v>
      </c>
      <c r="G2380" t="s">
        <v>75</v>
      </c>
      <c r="H2380">
        <v>631.51099999999997</v>
      </c>
      <c r="I2380" t="s">
        <v>76</v>
      </c>
      <c r="J2380" t="s">
        <v>77</v>
      </c>
    </row>
    <row r="2381" spans="1:11" x14ac:dyDescent="0.3">
      <c r="A2381" t="s">
        <v>84</v>
      </c>
      <c r="B2381">
        <v>1001</v>
      </c>
      <c r="C2381" t="s">
        <v>80</v>
      </c>
      <c r="D2381">
        <v>6.3188000000000003E-4</v>
      </c>
      <c r="E2381" t="s">
        <v>74</v>
      </c>
      <c r="F2381">
        <v>0.63188</v>
      </c>
      <c r="G2381" t="s">
        <v>75</v>
      </c>
      <c r="H2381">
        <v>631.87599999999998</v>
      </c>
      <c r="I2381" t="s">
        <v>76</v>
      </c>
      <c r="J2381" t="s">
        <v>77</v>
      </c>
    </row>
    <row r="2382" spans="1:11" x14ac:dyDescent="0.3">
      <c r="A2382" t="s">
        <v>84</v>
      </c>
      <c r="B2382">
        <v>1001</v>
      </c>
      <c r="C2382" t="s">
        <v>81</v>
      </c>
      <c r="D2382">
        <v>1.0077599999999999E-3</v>
      </c>
      <c r="E2382" t="s">
        <v>74</v>
      </c>
      <c r="F2382">
        <v>1.00776</v>
      </c>
      <c r="G2382" t="s">
        <v>75</v>
      </c>
      <c r="H2382">
        <v>1007.763</v>
      </c>
      <c r="I2382" t="s">
        <v>76</v>
      </c>
      <c r="J2382" t="s">
        <v>82</v>
      </c>
      <c r="K2382">
        <v>992.29709219999995</v>
      </c>
    </row>
    <row r="2383" spans="1:11" x14ac:dyDescent="0.3">
      <c r="A2383" t="s">
        <v>85</v>
      </c>
      <c r="B2383">
        <v>1001</v>
      </c>
      <c r="C2383" t="s">
        <v>86</v>
      </c>
      <c r="D2383">
        <v>1.00796E-3</v>
      </c>
      <c r="E2383" t="s">
        <v>74</v>
      </c>
      <c r="F2383">
        <v>1.00796</v>
      </c>
      <c r="G2383" t="s">
        <v>75</v>
      </c>
      <c r="H2383">
        <v>1007.962</v>
      </c>
      <c r="I2383" t="s">
        <v>76</v>
      </c>
      <c r="J2383" t="s">
        <v>82</v>
      </c>
      <c r="K2383">
        <v>992.10130240000001</v>
      </c>
    </row>
    <row r="2384" spans="1:11" x14ac:dyDescent="0.3">
      <c r="A2384" t="s">
        <v>215</v>
      </c>
    </row>
    <row r="2385" spans="1:11" x14ac:dyDescent="0.3">
      <c r="A2385" t="s">
        <v>216</v>
      </c>
    </row>
    <row r="2386" spans="1:11" x14ac:dyDescent="0.3">
      <c r="A2386" t="s">
        <v>72</v>
      </c>
      <c r="B2386">
        <v>1</v>
      </c>
      <c r="C2386" t="s">
        <v>73</v>
      </c>
      <c r="D2386">
        <v>3.8999999999999999E-6</v>
      </c>
      <c r="E2386" t="s">
        <v>74</v>
      </c>
      <c r="F2386">
        <v>3.8999999999999998E-3</v>
      </c>
      <c r="G2386" t="s">
        <v>75</v>
      </c>
      <c r="H2386">
        <v>3.9</v>
      </c>
      <c r="I2386" t="s">
        <v>76</v>
      </c>
      <c r="J2386" t="s">
        <v>77</v>
      </c>
    </row>
    <row r="2387" spans="1:11" x14ac:dyDescent="0.3">
      <c r="A2387" t="s">
        <v>72</v>
      </c>
      <c r="B2387">
        <v>1</v>
      </c>
      <c r="C2387" t="s">
        <v>78</v>
      </c>
      <c r="D2387">
        <v>3.4799999999999999E-5</v>
      </c>
      <c r="E2387" t="s">
        <v>74</v>
      </c>
      <c r="F2387">
        <v>3.4799999999999998E-2</v>
      </c>
      <c r="G2387" t="s">
        <v>75</v>
      </c>
      <c r="H2387">
        <v>34.799999999999997</v>
      </c>
      <c r="I2387" t="s">
        <v>76</v>
      </c>
      <c r="J2387" t="s">
        <v>77</v>
      </c>
    </row>
    <row r="2388" spans="1:11" x14ac:dyDescent="0.3">
      <c r="A2388" t="s">
        <v>72</v>
      </c>
      <c r="B2388">
        <v>1</v>
      </c>
      <c r="C2388" t="s">
        <v>79</v>
      </c>
      <c r="D2388">
        <v>4.3927000000000003E-3</v>
      </c>
      <c r="E2388" t="s">
        <v>74</v>
      </c>
      <c r="F2388">
        <v>4.3926999999999996</v>
      </c>
      <c r="G2388" t="s">
        <v>75</v>
      </c>
      <c r="H2388">
        <v>4392.7</v>
      </c>
      <c r="I2388" t="s">
        <v>76</v>
      </c>
      <c r="J2388" t="s">
        <v>77</v>
      </c>
    </row>
    <row r="2389" spans="1:11" x14ac:dyDescent="0.3">
      <c r="A2389" t="s">
        <v>72</v>
      </c>
      <c r="B2389">
        <v>1</v>
      </c>
      <c r="C2389" t="s">
        <v>94</v>
      </c>
      <c r="D2389">
        <v>4.5628999999999999E-3</v>
      </c>
      <c r="E2389" t="s">
        <v>74</v>
      </c>
      <c r="F2389">
        <v>4.5629</v>
      </c>
      <c r="G2389" t="s">
        <v>75</v>
      </c>
      <c r="H2389">
        <v>4562.8999999999996</v>
      </c>
      <c r="I2389" t="s">
        <v>76</v>
      </c>
      <c r="J2389" t="s">
        <v>77</v>
      </c>
    </row>
    <row r="2390" spans="1:11" x14ac:dyDescent="0.3">
      <c r="A2390" t="s">
        <v>72</v>
      </c>
      <c r="B2390">
        <v>1</v>
      </c>
      <c r="C2390" t="s">
        <v>80</v>
      </c>
      <c r="D2390">
        <v>4.5636000000000001E-3</v>
      </c>
      <c r="E2390" t="s">
        <v>74</v>
      </c>
      <c r="F2390">
        <v>4.5636000000000001</v>
      </c>
      <c r="G2390" t="s">
        <v>75</v>
      </c>
      <c r="H2390">
        <v>4563.6000000000004</v>
      </c>
      <c r="I2390" t="s">
        <v>76</v>
      </c>
      <c r="J2390" t="s">
        <v>77</v>
      </c>
    </row>
    <row r="2391" spans="1:11" x14ac:dyDescent="0.3">
      <c r="A2391" t="s">
        <v>72</v>
      </c>
      <c r="B2391">
        <v>1</v>
      </c>
      <c r="C2391" t="s">
        <v>81</v>
      </c>
      <c r="D2391">
        <v>8.9578000000000001E-3</v>
      </c>
      <c r="E2391" t="s">
        <v>74</v>
      </c>
      <c r="F2391">
        <v>8.9578000000000007</v>
      </c>
      <c r="G2391" t="s">
        <v>75</v>
      </c>
      <c r="H2391">
        <v>8957.7999999999993</v>
      </c>
      <c r="I2391" t="s">
        <v>76</v>
      </c>
      <c r="J2391" t="s">
        <v>82</v>
      </c>
      <c r="K2391">
        <v>111.6345475</v>
      </c>
    </row>
    <row r="2392" spans="1:11" x14ac:dyDescent="0.3">
      <c r="A2392" t="s">
        <v>83</v>
      </c>
      <c r="B2392">
        <v>1000</v>
      </c>
      <c r="C2392" t="s">
        <v>79</v>
      </c>
      <c r="D2392">
        <v>2.2000000000000001E-7</v>
      </c>
      <c r="E2392" t="s">
        <v>74</v>
      </c>
      <c r="F2392">
        <v>2.2000000000000001E-4</v>
      </c>
      <c r="G2392" t="s">
        <v>75</v>
      </c>
      <c r="H2392">
        <v>0.218</v>
      </c>
      <c r="I2392" t="s">
        <v>76</v>
      </c>
      <c r="J2392" t="s">
        <v>77</v>
      </c>
    </row>
    <row r="2393" spans="1:11" x14ac:dyDescent="0.3">
      <c r="A2393" t="s">
        <v>83</v>
      </c>
      <c r="B2393">
        <v>1000</v>
      </c>
      <c r="C2393" t="s">
        <v>94</v>
      </c>
      <c r="D2393">
        <v>1.0762300000000001E-3</v>
      </c>
      <c r="E2393" t="s">
        <v>74</v>
      </c>
      <c r="F2393">
        <v>1.07623</v>
      </c>
      <c r="G2393" t="s">
        <v>75</v>
      </c>
      <c r="H2393">
        <v>1076.2339999999999</v>
      </c>
      <c r="I2393" t="s">
        <v>76</v>
      </c>
      <c r="J2393" t="s">
        <v>77</v>
      </c>
    </row>
    <row r="2394" spans="1:11" x14ac:dyDescent="0.3">
      <c r="A2394" t="s">
        <v>83</v>
      </c>
      <c r="B2394">
        <v>1000</v>
      </c>
      <c r="C2394" t="s">
        <v>80</v>
      </c>
      <c r="D2394">
        <v>1.24785E-3</v>
      </c>
      <c r="E2394" t="s">
        <v>74</v>
      </c>
      <c r="F2394">
        <v>1.2478499999999999</v>
      </c>
      <c r="G2394" t="s">
        <v>75</v>
      </c>
      <c r="H2394">
        <v>1247.846</v>
      </c>
      <c r="I2394" t="s">
        <v>76</v>
      </c>
      <c r="J2394" t="s">
        <v>77</v>
      </c>
    </row>
    <row r="2395" spans="1:11" x14ac:dyDescent="0.3">
      <c r="A2395" t="s">
        <v>83</v>
      </c>
      <c r="B2395">
        <v>1000</v>
      </c>
      <c r="C2395" t="s">
        <v>81</v>
      </c>
      <c r="D2395">
        <v>1.24905E-3</v>
      </c>
      <c r="E2395" t="s">
        <v>74</v>
      </c>
      <c r="F2395">
        <v>1.24905</v>
      </c>
      <c r="G2395" t="s">
        <v>75</v>
      </c>
      <c r="H2395">
        <v>1249.0519999999999</v>
      </c>
      <c r="I2395" t="s">
        <v>76</v>
      </c>
      <c r="J2395" t="s">
        <v>82</v>
      </c>
      <c r="K2395">
        <v>800.6073791</v>
      </c>
    </row>
    <row r="2396" spans="1:11" x14ac:dyDescent="0.3">
      <c r="A2396" t="s">
        <v>84</v>
      </c>
      <c r="B2396">
        <v>1001</v>
      </c>
      <c r="C2396" t="s">
        <v>79</v>
      </c>
      <c r="D2396">
        <v>4.6099999999999999E-6</v>
      </c>
      <c r="E2396" t="s">
        <v>74</v>
      </c>
      <c r="F2396">
        <v>4.6100000000000004E-3</v>
      </c>
      <c r="G2396" t="s">
        <v>75</v>
      </c>
      <c r="H2396">
        <v>4.6059999999999999</v>
      </c>
      <c r="I2396" t="s">
        <v>76</v>
      </c>
      <c r="J2396" t="s">
        <v>77</v>
      </c>
    </row>
    <row r="2397" spans="1:11" x14ac:dyDescent="0.3">
      <c r="A2397" t="s">
        <v>84</v>
      </c>
      <c r="B2397">
        <v>1001</v>
      </c>
      <c r="C2397" t="s">
        <v>94</v>
      </c>
      <c r="D2397">
        <v>1.0797199999999999E-3</v>
      </c>
      <c r="E2397" t="s">
        <v>74</v>
      </c>
      <c r="F2397">
        <v>1.07972</v>
      </c>
      <c r="G2397" t="s">
        <v>75</v>
      </c>
      <c r="H2397">
        <v>1079.7170000000001</v>
      </c>
      <c r="I2397" t="s">
        <v>76</v>
      </c>
      <c r="J2397" t="s">
        <v>77</v>
      </c>
    </row>
    <row r="2398" spans="1:11" x14ac:dyDescent="0.3">
      <c r="A2398" t="s">
        <v>84</v>
      </c>
      <c r="B2398">
        <v>1001</v>
      </c>
      <c r="C2398" t="s">
        <v>80</v>
      </c>
      <c r="D2398">
        <v>1.2511600000000001E-3</v>
      </c>
      <c r="E2398" t="s">
        <v>74</v>
      </c>
      <c r="F2398">
        <v>1.25116</v>
      </c>
      <c r="G2398" t="s">
        <v>75</v>
      </c>
      <c r="H2398">
        <v>1251.1590000000001</v>
      </c>
      <c r="I2398" t="s">
        <v>76</v>
      </c>
      <c r="J2398" t="s">
        <v>77</v>
      </c>
    </row>
    <row r="2399" spans="1:11" x14ac:dyDescent="0.3">
      <c r="A2399" t="s">
        <v>84</v>
      </c>
      <c r="B2399">
        <v>1001</v>
      </c>
      <c r="C2399" t="s">
        <v>81</v>
      </c>
      <c r="D2399">
        <v>1.2567500000000001E-3</v>
      </c>
      <c r="E2399" t="s">
        <v>74</v>
      </c>
      <c r="F2399">
        <v>1.25675</v>
      </c>
      <c r="G2399" t="s">
        <v>75</v>
      </c>
      <c r="H2399">
        <v>1256.7529999999999</v>
      </c>
      <c r="I2399" t="s">
        <v>76</v>
      </c>
      <c r="J2399" t="s">
        <v>82</v>
      </c>
      <c r="K2399">
        <v>795.70142980000003</v>
      </c>
    </row>
    <row r="2400" spans="1:11" x14ac:dyDescent="0.3">
      <c r="A2400" t="s">
        <v>85</v>
      </c>
      <c r="B2400">
        <v>1001</v>
      </c>
      <c r="C2400" t="s">
        <v>86</v>
      </c>
      <c r="D2400">
        <v>1.2570599999999999E-3</v>
      </c>
      <c r="E2400" t="s">
        <v>74</v>
      </c>
      <c r="F2400">
        <v>1.2570600000000001</v>
      </c>
      <c r="G2400" t="s">
        <v>75</v>
      </c>
      <c r="H2400">
        <v>1257.0619999999999</v>
      </c>
      <c r="I2400" t="s">
        <v>76</v>
      </c>
      <c r="J2400" t="s">
        <v>82</v>
      </c>
      <c r="K2400">
        <v>795.50558660000002</v>
      </c>
    </row>
    <row r="2401" spans="1:11" x14ac:dyDescent="0.3">
      <c r="A2401" t="s">
        <v>115</v>
      </c>
    </row>
    <row r="2402" spans="1:11" x14ac:dyDescent="0.3">
      <c r="A2402" t="s">
        <v>127</v>
      </c>
    </row>
    <row r="2403" spans="1:11" x14ac:dyDescent="0.3">
      <c r="A2403" t="s">
        <v>87</v>
      </c>
    </row>
    <row r="2404" spans="1:11" x14ac:dyDescent="0.3">
      <c r="A2404" t="s">
        <v>217</v>
      </c>
    </row>
    <row r="2405" spans="1:11" x14ac:dyDescent="0.3">
      <c r="A2405" t="s">
        <v>72</v>
      </c>
      <c r="B2405">
        <v>1</v>
      </c>
      <c r="C2405" t="s">
        <v>81</v>
      </c>
      <c r="D2405">
        <v>0.37964179999999997</v>
      </c>
      <c r="E2405" t="s">
        <v>74</v>
      </c>
      <c r="F2405">
        <v>379.64179999999999</v>
      </c>
      <c r="G2405" t="s">
        <v>75</v>
      </c>
      <c r="H2405">
        <v>379641.80099999998</v>
      </c>
      <c r="I2405" t="s">
        <v>76</v>
      </c>
      <c r="J2405" t="s">
        <v>82</v>
      </c>
      <c r="K2405">
        <v>2.6340618999999998</v>
      </c>
    </row>
    <row r="2406" spans="1:11" x14ac:dyDescent="0.3">
      <c r="A2406" t="s">
        <v>83</v>
      </c>
      <c r="B2406">
        <v>1000</v>
      </c>
      <c r="C2406" t="s">
        <v>81</v>
      </c>
      <c r="D2406">
        <v>6.2912999999999999E-4</v>
      </c>
      <c r="E2406" t="s">
        <v>74</v>
      </c>
      <c r="F2406">
        <v>0.62912999999999997</v>
      </c>
      <c r="G2406" t="s">
        <v>75</v>
      </c>
      <c r="H2406">
        <v>629.12900000000002</v>
      </c>
      <c r="I2406" t="s">
        <v>76</v>
      </c>
      <c r="J2406" t="s">
        <v>82</v>
      </c>
      <c r="K2406">
        <v>1589.5003565</v>
      </c>
    </row>
    <row r="2407" spans="1:11" x14ac:dyDescent="0.3">
      <c r="A2407" t="s">
        <v>85</v>
      </c>
      <c r="B2407">
        <v>1001</v>
      </c>
      <c r="C2407" t="s">
        <v>86</v>
      </c>
      <c r="D2407">
        <v>1.00796E-3</v>
      </c>
      <c r="E2407" t="s">
        <v>74</v>
      </c>
      <c r="F2407">
        <v>1.00796</v>
      </c>
      <c r="G2407" t="s">
        <v>75</v>
      </c>
      <c r="H2407">
        <v>1007.962</v>
      </c>
      <c r="I2407" t="s">
        <v>76</v>
      </c>
      <c r="J2407" t="s">
        <v>82</v>
      </c>
      <c r="K2407">
        <v>992.10130240000001</v>
      </c>
    </row>
    <row r="2409" spans="1:11" x14ac:dyDescent="0.3">
      <c r="A2409" t="s">
        <v>218</v>
      </c>
    </row>
    <row r="2410" spans="1:11" x14ac:dyDescent="0.3">
      <c r="A2410" t="s">
        <v>72</v>
      </c>
      <c r="B2410">
        <v>1</v>
      </c>
      <c r="C2410" t="s">
        <v>81</v>
      </c>
      <c r="D2410">
        <v>8.9578000000000001E-3</v>
      </c>
      <c r="E2410" t="s">
        <v>74</v>
      </c>
      <c r="F2410">
        <v>8.9578000000000007</v>
      </c>
      <c r="G2410" t="s">
        <v>75</v>
      </c>
      <c r="H2410">
        <v>8957.7999999999993</v>
      </c>
      <c r="I2410" t="s">
        <v>76</v>
      </c>
      <c r="J2410" t="s">
        <v>82</v>
      </c>
      <c r="K2410">
        <v>111.6345475</v>
      </c>
    </row>
    <row r="2411" spans="1:11" x14ac:dyDescent="0.3">
      <c r="A2411" t="s">
        <v>83</v>
      </c>
      <c r="B2411">
        <v>1000</v>
      </c>
      <c r="C2411" t="s">
        <v>81</v>
      </c>
      <c r="D2411">
        <v>1.24905E-3</v>
      </c>
      <c r="E2411" t="s">
        <v>74</v>
      </c>
      <c r="F2411">
        <v>1.24905</v>
      </c>
      <c r="G2411" t="s">
        <v>75</v>
      </c>
      <c r="H2411">
        <v>1249.0519999999999</v>
      </c>
      <c r="I2411" t="s">
        <v>76</v>
      </c>
      <c r="J2411" t="s">
        <v>82</v>
      </c>
      <c r="K2411">
        <v>800.6073791</v>
      </c>
    </row>
    <row r="2412" spans="1:11" x14ac:dyDescent="0.3">
      <c r="A2412" t="s">
        <v>85</v>
      </c>
      <c r="B2412">
        <v>1001</v>
      </c>
      <c r="C2412" t="s">
        <v>86</v>
      </c>
      <c r="D2412">
        <v>1.2570599999999999E-3</v>
      </c>
      <c r="E2412" t="s">
        <v>74</v>
      </c>
      <c r="F2412">
        <v>1.2570600000000001</v>
      </c>
      <c r="G2412" t="s">
        <v>75</v>
      </c>
      <c r="H2412">
        <v>1257.0619999999999</v>
      </c>
      <c r="I2412" t="s">
        <v>76</v>
      </c>
      <c r="J2412" t="s">
        <v>82</v>
      </c>
      <c r="K2412">
        <v>795.50558660000002</v>
      </c>
    </row>
    <row r="2414" spans="1:11" x14ac:dyDescent="0.3">
      <c r="A2414" t="s">
        <v>64</v>
      </c>
    </row>
    <row r="2415" spans="1:11" x14ac:dyDescent="0.3">
      <c r="A2415" t="s">
        <v>239</v>
      </c>
    </row>
    <row r="2417" spans="1:11" x14ac:dyDescent="0.3">
      <c r="A2417" t="s">
        <v>240</v>
      </c>
    </row>
    <row r="2418" spans="1:11" x14ac:dyDescent="0.3">
      <c r="A2418" t="s">
        <v>68</v>
      </c>
    </row>
    <row r="2419" spans="1:11" x14ac:dyDescent="0.3">
      <c r="A2419" t="s">
        <v>69</v>
      </c>
    </row>
    <row r="2420" spans="1:11" x14ac:dyDescent="0.3">
      <c r="A2420" t="s">
        <v>70</v>
      </c>
    </row>
    <row r="2421" spans="1:11" x14ac:dyDescent="0.3">
      <c r="A2421" t="s">
        <v>71</v>
      </c>
    </row>
    <row r="2422" spans="1:11" x14ac:dyDescent="0.3">
      <c r="A2422" t="s">
        <v>72</v>
      </c>
      <c r="B2422">
        <v>1</v>
      </c>
      <c r="C2422" t="s">
        <v>73</v>
      </c>
      <c r="D2422">
        <v>5.264E-4</v>
      </c>
      <c r="E2422" t="s">
        <v>74</v>
      </c>
      <c r="F2422">
        <v>0.52639999999999998</v>
      </c>
      <c r="G2422" t="s">
        <v>75</v>
      </c>
      <c r="H2422">
        <v>526.4</v>
      </c>
      <c r="I2422" t="s">
        <v>76</v>
      </c>
      <c r="J2422" t="s">
        <v>77</v>
      </c>
    </row>
    <row r="2423" spans="1:11" x14ac:dyDescent="0.3">
      <c r="A2423" t="s">
        <v>72</v>
      </c>
      <c r="B2423">
        <v>1</v>
      </c>
      <c r="C2423" t="s">
        <v>78</v>
      </c>
      <c r="D2423">
        <v>3.1999999999999999E-6</v>
      </c>
      <c r="E2423" t="s">
        <v>74</v>
      </c>
      <c r="F2423">
        <v>3.2000000000000002E-3</v>
      </c>
      <c r="G2423" t="s">
        <v>75</v>
      </c>
      <c r="H2423">
        <v>3.2</v>
      </c>
      <c r="I2423" t="s">
        <v>76</v>
      </c>
      <c r="J2423" t="s">
        <v>77</v>
      </c>
    </row>
    <row r="2424" spans="1:11" x14ac:dyDescent="0.3">
      <c r="A2424" t="s">
        <v>72</v>
      </c>
      <c r="B2424">
        <v>1</v>
      </c>
      <c r="C2424" t="s">
        <v>79</v>
      </c>
      <c r="D2424">
        <v>6.9200000000000002E-5</v>
      </c>
      <c r="E2424" t="s">
        <v>74</v>
      </c>
      <c r="F2424">
        <v>6.9199999999999998E-2</v>
      </c>
      <c r="G2424" t="s">
        <v>75</v>
      </c>
      <c r="H2424">
        <v>69.2</v>
      </c>
      <c r="I2424" t="s">
        <v>76</v>
      </c>
      <c r="J2424" t="s">
        <v>77</v>
      </c>
    </row>
    <row r="2425" spans="1:11" x14ac:dyDescent="0.3">
      <c r="A2425" t="s">
        <v>72</v>
      </c>
      <c r="B2425">
        <v>1</v>
      </c>
      <c r="C2425" t="s">
        <v>80</v>
      </c>
      <c r="D2425">
        <v>1.0639651999999999</v>
      </c>
      <c r="E2425" t="s">
        <v>74</v>
      </c>
      <c r="F2425">
        <v>1063.9652000000001</v>
      </c>
      <c r="G2425" t="s">
        <v>75</v>
      </c>
      <c r="H2425">
        <v>1063965.2009999999</v>
      </c>
      <c r="I2425" t="s">
        <v>76</v>
      </c>
      <c r="J2425" t="s">
        <v>77</v>
      </c>
    </row>
    <row r="2426" spans="1:11" x14ac:dyDescent="0.3">
      <c r="A2426" t="s">
        <v>72</v>
      </c>
      <c r="B2426">
        <v>1</v>
      </c>
      <c r="C2426" t="s">
        <v>81</v>
      </c>
      <c r="D2426">
        <v>1.0640368499999999</v>
      </c>
      <c r="E2426" t="s">
        <v>74</v>
      </c>
      <c r="F2426">
        <v>1064.03685</v>
      </c>
      <c r="G2426" t="s">
        <v>75</v>
      </c>
      <c r="H2426">
        <v>1064036.8459999999</v>
      </c>
      <c r="I2426" t="s">
        <v>76</v>
      </c>
      <c r="J2426" t="s">
        <v>82</v>
      </c>
      <c r="K2426">
        <v>0.93981709999999996</v>
      </c>
    </row>
    <row r="2427" spans="1:11" x14ac:dyDescent="0.3">
      <c r="A2427" t="s">
        <v>83</v>
      </c>
      <c r="B2427">
        <v>1000</v>
      </c>
      <c r="C2427" t="s">
        <v>79</v>
      </c>
      <c r="D2427">
        <v>4.5700000000000003E-6</v>
      </c>
      <c r="E2427" t="s">
        <v>74</v>
      </c>
      <c r="F2427">
        <v>4.5700000000000003E-3</v>
      </c>
      <c r="G2427" t="s">
        <v>75</v>
      </c>
      <c r="H2427">
        <v>4.5720000000000001</v>
      </c>
      <c r="I2427" t="s">
        <v>76</v>
      </c>
      <c r="J2427" t="s">
        <v>77</v>
      </c>
    </row>
    <row r="2428" spans="1:11" x14ac:dyDescent="0.3">
      <c r="A2428" t="s">
        <v>83</v>
      </c>
      <c r="B2428">
        <v>1000</v>
      </c>
      <c r="C2428" t="s">
        <v>80</v>
      </c>
      <c r="D2428">
        <v>1.0670670200000001</v>
      </c>
      <c r="E2428" t="s">
        <v>74</v>
      </c>
      <c r="F2428">
        <v>1067.06702</v>
      </c>
      <c r="G2428" t="s">
        <v>75</v>
      </c>
      <c r="H2428">
        <v>1067067.017</v>
      </c>
      <c r="I2428" t="s">
        <v>76</v>
      </c>
      <c r="J2428" t="s">
        <v>77</v>
      </c>
    </row>
    <row r="2429" spans="1:11" x14ac:dyDescent="0.3">
      <c r="A2429" t="s">
        <v>83</v>
      </c>
      <c r="B2429">
        <v>1000</v>
      </c>
      <c r="C2429" t="s">
        <v>81</v>
      </c>
      <c r="D2429">
        <v>1.0670731200000001</v>
      </c>
      <c r="E2429" t="s">
        <v>74</v>
      </c>
      <c r="F2429">
        <v>1067.07312</v>
      </c>
      <c r="G2429" t="s">
        <v>75</v>
      </c>
      <c r="H2429">
        <v>1067073.1200000001</v>
      </c>
      <c r="I2429" t="s">
        <v>76</v>
      </c>
      <c r="J2429" t="s">
        <v>82</v>
      </c>
      <c r="K2429">
        <v>0.9371429</v>
      </c>
    </row>
    <row r="2430" spans="1:11" x14ac:dyDescent="0.3">
      <c r="A2430" t="s">
        <v>84</v>
      </c>
      <c r="B2430">
        <v>1001</v>
      </c>
      <c r="C2430" t="s">
        <v>79</v>
      </c>
      <c r="D2430">
        <v>4.6399999999999996E-6</v>
      </c>
      <c r="E2430" t="s">
        <v>74</v>
      </c>
      <c r="F2430">
        <v>4.64E-3</v>
      </c>
      <c r="G2430" t="s">
        <v>75</v>
      </c>
      <c r="H2430">
        <v>4.6369999999999996</v>
      </c>
      <c r="I2430" t="s">
        <v>76</v>
      </c>
      <c r="J2430" t="s">
        <v>77</v>
      </c>
    </row>
    <row r="2431" spans="1:11" x14ac:dyDescent="0.3">
      <c r="A2431" t="s">
        <v>84</v>
      </c>
      <c r="B2431">
        <v>1001</v>
      </c>
      <c r="C2431" t="s">
        <v>80</v>
      </c>
      <c r="D2431">
        <v>1.0670637999999999</v>
      </c>
      <c r="E2431" t="s">
        <v>74</v>
      </c>
      <c r="F2431">
        <v>1067.0637999999999</v>
      </c>
      <c r="G2431" t="s">
        <v>75</v>
      </c>
      <c r="H2431">
        <v>1067063.7960000001</v>
      </c>
      <c r="I2431" t="s">
        <v>76</v>
      </c>
      <c r="J2431" t="s">
        <v>77</v>
      </c>
    </row>
    <row r="2432" spans="1:11" x14ac:dyDescent="0.3">
      <c r="A2432" t="s">
        <v>84</v>
      </c>
      <c r="B2432">
        <v>1001</v>
      </c>
      <c r="C2432" t="s">
        <v>81</v>
      </c>
      <c r="D2432">
        <v>1.06707014</v>
      </c>
      <c r="E2432" t="s">
        <v>74</v>
      </c>
      <c r="F2432">
        <v>1067.07014</v>
      </c>
      <c r="G2432" t="s">
        <v>75</v>
      </c>
      <c r="H2432">
        <v>1067070.1370000001</v>
      </c>
      <c r="I2432" t="s">
        <v>76</v>
      </c>
      <c r="J2432" t="s">
        <v>82</v>
      </c>
      <c r="K2432">
        <v>0.93714549999999996</v>
      </c>
    </row>
    <row r="2433" spans="1:11" x14ac:dyDescent="0.3">
      <c r="A2433" t="s">
        <v>85</v>
      </c>
      <c r="B2433">
        <v>1001</v>
      </c>
      <c r="C2433" t="s">
        <v>86</v>
      </c>
      <c r="D2433">
        <v>1.0670707500000001</v>
      </c>
      <c r="E2433" t="s">
        <v>74</v>
      </c>
      <c r="F2433">
        <v>1067.0707500000001</v>
      </c>
      <c r="G2433" t="s">
        <v>75</v>
      </c>
      <c r="H2433">
        <v>1067070.747</v>
      </c>
      <c r="I2433" t="s">
        <v>76</v>
      </c>
      <c r="J2433" t="s">
        <v>82</v>
      </c>
      <c r="K2433">
        <v>0.93714500000000001</v>
      </c>
    </row>
    <row r="2434" spans="1:11" x14ac:dyDescent="0.3">
      <c r="A2434" t="s">
        <v>87</v>
      </c>
    </row>
    <row r="2435" spans="1:11" x14ac:dyDescent="0.3">
      <c r="A2435" t="s">
        <v>88</v>
      </c>
    </row>
    <row r="2436" spans="1:11" x14ac:dyDescent="0.3">
      <c r="A2436" t="s">
        <v>72</v>
      </c>
      <c r="B2436">
        <v>1</v>
      </c>
      <c r="C2436" t="s">
        <v>81</v>
      </c>
      <c r="D2436">
        <v>1.0640368499999999</v>
      </c>
      <c r="E2436" t="s">
        <v>74</v>
      </c>
      <c r="F2436">
        <v>1064.03685</v>
      </c>
      <c r="G2436" t="s">
        <v>75</v>
      </c>
      <c r="H2436">
        <v>1064036.8459999999</v>
      </c>
      <c r="I2436" t="s">
        <v>76</v>
      </c>
      <c r="J2436" t="s">
        <v>82</v>
      </c>
      <c r="K2436">
        <v>0.93981709999999996</v>
      </c>
    </row>
    <row r="2437" spans="1:11" x14ac:dyDescent="0.3">
      <c r="A2437" t="s">
        <v>83</v>
      </c>
      <c r="B2437">
        <v>1000</v>
      </c>
      <c r="C2437" t="s">
        <v>81</v>
      </c>
      <c r="D2437">
        <v>1.0670731200000001</v>
      </c>
      <c r="E2437" t="s">
        <v>74</v>
      </c>
      <c r="F2437">
        <v>1067.07312</v>
      </c>
      <c r="G2437" t="s">
        <v>75</v>
      </c>
      <c r="H2437">
        <v>1067073.1200000001</v>
      </c>
      <c r="I2437" t="s">
        <v>76</v>
      </c>
      <c r="J2437" t="s">
        <v>82</v>
      </c>
      <c r="K2437">
        <v>0.9371429</v>
      </c>
    </row>
    <row r="2438" spans="1:11" x14ac:dyDescent="0.3">
      <c r="A2438" t="s">
        <v>85</v>
      </c>
      <c r="B2438">
        <v>1001</v>
      </c>
      <c r="C2438" t="s">
        <v>86</v>
      </c>
      <c r="D2438">
        <v>1.0670707500000001</v>
      </c>
      <c r="E2438" t="s">
        <v>74</v>
      </c>
      <c r="F2438">
        <v>1067.0707500000001</v>
      </c>
      <c r="G2438" t="s">
        <v>75</v>
      </c>
      <c r="H2438">
        <v>1067070.747</v>
      </c>
      <c r="I2438" t="s">
        <v>76</v>
      </c>
      <c r="J2438" t="s">
        <v>82</v>
      </c>
      <c r="K2438">
        <v>0.93714500000000001</v>
      </c>
    </row>
    <row r="2440" spans="1:11" x14ac:dyDescent="0.3">
      <c r="A2440" t="s">
        <v>66</v>
      </c>
    </row>
    <row r="2442" spans="1:11" x14ac:dyDescent="0.3">
      <c r="A2442" t="s">
        <v>241</v>
      </c>
    </row>
    <row r="2443" spans="1:11" x14ac:dyDescent="0.3">
      <c r="A2443" t="s">
        <v>68</v>
      </c>
    </row>
    <row r="2444" spans="1:11" x14ac:dyDescent="0.3">
      <c r="A2444" t="s">
        <v>69</v>
      </c>
    </row>
    <row r="2445" spans="1:11" x14ac:dyDescent="0.3">
      <c r="A2445" t="s">
        <v>70</v>
      </c>
    </row>
    <row r="2446" spans="1:11" x14ac:dyDescent="0.3">
      <c r="A2446" t="s">
        <v>90</v>
      </c>
    </row>
    <row r="2447" spans="1:11" x14ac:dyDescent="0.3">
      <c r="A2447" t="s">
        <v>72</v>
      </c>
      <c r="B2447">
        <v>1</v>
      </c>
      <c r="C2447" t="s">
        <v>73</v>
      </c>
      <c r="D2447">
        <v>4.4000000000000002E-6</v>
      </c>
      <c r="E2447" t="s">
        <v>74</v>
      </c>
      <c r="F2447">
        <v>4.4000000000000003E-3</v>
      </c>
      <c r="G2447" t="s">
        <v>75</v>
      </c>
      <c r="H2447">
        <v>4.4000000000000004</v>
      </c>
      <c r="I2447" t="s">
        <v>76</v>
      </c>
      <c r="J2447" t="s">
        <v>77</v>
      </c>
    </row>
    <row r="2448" spans="1:11" x14ac:dyDescent="0.3">
      <c r="A2448" t="s">
        <v>72</v>
      </c>
      <c r="B2448">
        <v>1</v>
      </c>
      <c r="C2448" t="s">
        <v>78</v>
      </c>
      <c r="D2448">
        <v>4.3399999999999998E-5</v>
      </c>
      <c r="E2448" t="s">
        <v>74</v>
      </c>
      <c r="F2448">
        <v>4.3400000000000001E-2</v>
      </c>
      <c r="G2448" t="s">
        <v>75</v>
      </c>
      <c r="H2448">
        <v>43.4</v>
      </c>
      <c r="I2448" t="s">
        <v>76</v>
      </c>
      <c r="J2448" t="s">
        <v>77</v>
      </c>
    </row>
    <row r="2449" spans="1:11" x14ac:dyDescent="0.3">
      <c r="A2449" t="s">
        <v>72</v>
      </c>
      <c r="B2449">
        <v>1</v>
      </c>
      <c r="C2449" t="s">
        <v>91</v>
      </c>
      <c r="D2449">
        <v>2.2740999999999998E-3</v>
      </c>
      <c r="E2449" t="s">
        <v>74</v>
      </c>
      <c r="F2449">
        <v>2.2740999999999998</v>
      </c>
      <c r="G2449" t="s">
        <v>75</v>
      </c>
      <c r="H2449">
        <v>2274.1</v>
      </c>
      <c r="I2449" t="s">
        <v>76</v>
      </c>
      <c r="J2449" t="s">
        <v>77</v>
      </c>
    </row>
    <row r="2450" spans="1:11" x14ac:dyDescent="0.3">
      <c r="A2450" t="s">
        <v>72</v>
      </c>
      <c r="B2450">
        <v>1</v>
      </c>
      <c r="C2450" t="s">
        <v>92</v>
      </c>
      <c r="D2450">
        <v>1.18555E-2</v>
      </c>
      <c r="E2450" t="s">
        <v>74</v>
      </c>
      <c r="F2450">
        <v>11.855499999999999</v>
      </c>
      <c r="G2450" t="s">
        <v>75</v>
      </c>
      <c r="H2450">
        <v>11855.5</v>
      </c>
      <c r="I2450" t="s">
        <v>76</v>
      </c>
      <c r="J2450" t="s">
        <v>77</v>
      </c>
    </row>
    <row r="2451" spans="1:11" x14ac:dyDescent="0.3">
      <c r="A2451" t="s">
        <v>72</v>
      </c>
      <c r="B2451">
        <v>1</v>
      </c>
      <c r="C2451" t="s">
        <v>93</v>
      </c>
      <c r="D2451">
        <v>1.6850999999999999E-3</v>
      </c>
      <c r="E2451" t="s">
        <v>74</v>
      </c>
      <c r="F2451">
        <v>1.6851</v>
      </c>
      <c r="G2451" t="s">
        <v>75</v>
      </c>
      <c r="H2451">
        <v>1685.1</v>
      </c>
      <c r="I2451" t="s">
        <v>76</v>
      </c>
      <c r="J2451" t="s">
        <v>77</v>
      </c>
    </row>
    <row r="2452" spans="1:11" x14ac:dyDescent="0.3">
      <c r="A2452" t="s">
        <v>72</v>
      </c>
      <c r="B2452">
        <v>1</v>
      </c>
      <c r="C2452" t="s">
        <v>79</v>
      </c>
      <c r="D2452">
        <v>1.5816500000000001E-2</v>
      </c>
      <c r="E2452" t="s">
        <v>74</v>
      </c>
      <c r="F2452">
        <v>15.8165</v>
      </c>
      <c r="G2452" t="s">
        <v>75</v>
      </c>
      <c r="H2452">
        <v>15816.5</v>
      </c>
      <c r="I2452" t="s">
        <v>76</v>
      </c>
      <c r="J2452" t="s">
        <v>77</v>
      </c>
    </row>
    <row r="2453" spans="1:11" x14ac:dyDescent="0.3">
      <c r="A2453" t="s">
        <v>72</v>
      </c>
      <c r="B2453">
        <v>1</v>
      </c>
      <c r="C2453" t="s">
        <v>94</v>
      </c>
      <c r="D2453">
        <v>9.4085000000000002E-3</v>
      </c>
      <c r="E2453" t="s">
        <v>74</v>
      </c>
      <c r="F2453">
        <v>9.4085000000000001</v>
      </c>
      <c r="G2453" t="s">
        <v>75</v>
      </c>
      <c r="H2453">
        <v>9408.5</v>
      </c>
      <c r="I2453" t="s">
        <v>76</v>
      </c>
      <c r="J2453" t="s">
        <v>77</v>
      </c>
    </row>
    <row r="2454" spans="1:11" x14ac:dyDescent="0.3">
      <c r="A2454" t="s">
        <v>72</v>
      </c>
      <c r="B2454">
        <v>1</v>
      </c>
      <c r="C2454" t="s">
        <v>80</v>
      </c>
      <c r="D2454">
        <v>9.4103999999999993E-3</v>
      </c>
      <c r="E2454" t="s">
        <v>74</v>
      </c>
      <c r="F2454">
        <v>9.4103999999999992</v>
      </c>
      <c r="G2454" t="s">
        <v>75</v>
      </c>
      <c r="H2454">
        <v>9410.4</v>
      </c>
      <c r="I2454" t="s">
        <v>76</v>
      </c>
      <c r="J2454" t="s">
        <v>77</v>
      </c>
    </row>
    <row r="2455" spans="1:11" x14ac:dyDescent="0.3">
      <c r="A2455" t="s">
        <v>72</v>
      </c>
      <c r="B2455">
        <v>1</v>
      </c>
      <c r="C2455" t="s">
        <v>81</v>
      </c>
      <c r="D2455">
        <v>2.52299E-2</v>
      </c>
      <c r="E2455" t="s">
        <v>74</v>
      </c>
      <c r="F2455">
        <v>25.229900000000001</v>
      </c>
      <c r="G2455" t="s">
        <v>75</v>
      </c>
      <c r="H2455">
        <v>25229.899000000001</v>
      </c>
      <c r="I2455" t="s">
        <v>76</v>
      </c>
      <c r="J2455" t="s">
        <v>82</v>
      </c>
      <c r="K2455">
        <v>39.635513099999997</v>
      </c>
    </row>
    <row r="2456" spans="1:11" x14ac:dyDescent="0.3">
      <c r="A2456" t="s">
        <v>83</v>
      </c>
      <c r="B2456">
        <v>1000</v>
      </c>
      <c r="C2456" t="s">
        <v>91</v>
      </c>
      <c r="D2456">
        <v>5.3529000000000001E-4</v>
      </c>
      <c r="E2456" t="s">
        <v>74</v>
      </c>
      <c r="F2456">
        <v>0.53529000000000004</v>
      </c>
      <c r="G2456" t="s">
        <v>75</v>
      </c>
      <c r="H2456">
        <v>535.29300000000001</v>
      </c>
      <c r="I2456" t="s">
        <v>76</v>
      </c>
      <c r="J2456" t="s">
        <v>77</v>
      </c>
    </row>
    <row r="2457" spans="1:11" x14ac:dyDescent="0.3">
      <c r="A2457" t="s">
        <v>83</v>
      </c>
      <c r="B2457">
        <v>1000</v>
      </c>
      <c r="C2457" t="s">
        <v>92</v>
      </c>
      <c r="D2457">
        <v>1.0749420000000001E-2</v>
      </c>
      <c r="E2457" t="s">
        <v>74</v>
      </c>
      <c r="F2457">
        <v>10.749420000000001</v>
      </c>
      <c r="G2457" t="s">
        <v>75</v>
      </c>
      <c r="H2457">
        <v>10749.424999999999</v>
      </c>
      <c r="I2457" t="s">
        <v>76</v>
      </c>
      <c r="J2457" t="s">
        <v>77</v>
      </c>
    </row>
    <row r="2458" spans="1:11" x14ac:dyDescent="0.3">
      <c r="A2458" t="s">
        <v>83</v>
      </c>
      <c r="B2458">
        <v>1000</v>
      </c>
      <c r="C2458" t="s">
        <v>93</v>
      </c>
      <c r="D2458">
        <v>5.0463000000000005E-4</v>
      </c>
      <c r="E2458" t="s">
        <v>74</v>
      </c>
      <c r="F2458">
        <v>0.50463000000000002</v>
      </c>
      <c r="G2458" t="s">
        <v>75</v>
      </c>
      <c r="H2458">
        <v>504.63299999999998</v>
      </c>
      <c r="I2458" t="s">
        <v>76</v>
      </c>
      <c r="J2458" t="s">
        <v>77</v>
      </c>
    </row>
    <row r="2459" spans="1:11" x14ac:dyDescent="0.3">
      <c r="A2459" t="s">
        <v>83</v>
      </c>
      <c r="B2459">
        <v>1000</v>
      </c>
      <c r="C2459" t="s">
        <v>79</v>
      </c>
      <c r="D2459">
        <v>1.17898E-2</v>
      </c>
      <c r="E2459" t="s">
        <v>74</v>
      </c>
      <c r="F2459">
        <v>11.7898</v>
      </c>
      <c r="G2459" t="s">
        <v>75</v>
      </c>
      <c r="H2459">
        <v>11789.798000000001</v>
      </c>
      <c r="I2459" t="s">
        <v>76</v>
      </c>
      <c r="J2459" t="s">
        <v>77</v>
      </c>
    </row>
    <row r="2460" spans="1:11" x14ac:dyDescent="0.3">
      <c r="A2460" t="s">
        <v>83</v>
      </c>
      <c r="B2460">
        <v>1000</v>
      </c>
      <c r="C2460" t="s">
        <v>94</v>
      </c>
      <c r="D2460">
        <v>2.7276499999999999E-3</v>
      </c>
      <c r="E2460" t="s">
        <v>74</v>
      </c>
      <c r="F2460">
        <v>2.7276500000000001</v>
      </c>
      <c r="G2460" t="s">
        <v>75</v>
      </c>
      <c r="H2460">
        <v>2727.6469999999999</v>
      </c>
      <c r="I2460" t="s">
        <v>76</v>
      </c>
      <c r="J2460" t="s">
        <v>77</v>
      </c>
    </row>
    <row r="2461" spans="1:11" x14ac:dyDescent="0.3">
      <c r="A2461" t="s">
        <v>83</v>
      </c>
      <c r="B2461">
        <v>1000</v>
      </c>
      <c r="C2461" t="s">
        <v>80</v>
      </c>
      <c r="D2461">
        <v>2.9137899999999999E-3</v>
      </c>
      <c r="E2461" t="s">
        <v>74</v>
      </c>
      <c r="F2461">
        <v>2.9137900000000001</v>
      </c>
      <c r="G2461" t="s">
        <v>75</v>
      </c>
      <c r="H2461">
        <v>2913.7869999999998</v>
      </c>
      <c r="I2461" t="s">
        <v>76</v>
      </c>
      <c r="J2461" t="s">
        <v>77</v>
      </c>
    </row>
    <row r="2462" spans="1:11" x14ac:dyDescent="0.3">
      <c r="A2462" t="s">
        <v>83</v>
      </c>
      <c r="B2462">
        <v>1000</v>
      </c>
      <c r="C2462" t="s">
        <v>81</v>
      </c>
      <c r="D2462">
        <v>1.4705060000000001E-2</v>
      </c>
      <c r="E2462" t="s">
        <v>74</v>
      </c>
      <c r="F2462">
        <v>14.70506</v>
      </c>
      <c r="G2462" t="s">
        <v>75</v>
      </c>
      <c r="H2462">
        <v>14705.063</v>
      </c>
      <c r="I2462" t="s">
        <v>76</v>
      </c>
      <c r="J2462" t="s">
        <v>82</v>
      </c>
      <c r="K2462">
        <v>68.003789499999996</v>
      </c>
    </row>
    <row r="2463" spans="1:11" x14ac:dyDescent="0.3">
      <c r="A2463" t="s">
        <v>84</v>
      </c>
      <c r="B2463">
        <v>1001</v>
      </c>
      <c r="C2463" t="s">
        <v>91</v>
      </c>
      <c r="D2463">
        <v>5.3702999999999997E-4</v>
      </c>
      <c r="E2463" t="s">
        <v>74</v>
      </c>
      <c r="F2463">
        <v>0.53703000000000001</v>
      </c>
      <c r="G2463" t="s">
        <v>75</v>
      </c>
      <c r="H2463">
        <v>537.03099999999995</v>
      </c>
      <c r="I2463" t="s">
        <v>76</v>
      </c>
      <c r="J2463" t="s">
        <v>77</v>
      </c>
    </row>
    <row r="2464" spans="1:11" x14ac:dyDescent="0.3">
      <c r="A2464" t="s">
        <v>84</v>
      </c>
      <c r="B2464">
        <v>1001</v>
      </c>
      <c r="C2464" t="s">
        <v>92</v>
      </c>
      <c r="D2464">
        <v>1.0750529999999999E-2</v>
      </c>
      <c r="E2464" t="s">
        <v>74</v>
      </c>
      <c r="F2464">
        <v>10.750529999999999</v>
      </c>
      <c r="G2464" t="s">
        <v>75</v>
      </c>
      <c r="H2464">
        <v>10750.53</v>
      </c>
      <c r="I2464" t="s">
        <v>76</v>
      </c>
      <c r="J2464" t="s">
        <v>77</v>
      </c>
    </row>
    <row r="2465" spans="1:11" x14ac:dyDescent="0.3">
      <c r="A2465" t="s">
        <v>84</v>
      </c>
      <c r="B2465">
        <v>1001</v>
      </c>
      <c r="C2465" t="s">
        <v>93</v>
      </c>
      <c r="D2465">
        <v>5.0580999999999998E-4</v>
      </c>
      <c r="E2465" t="s">
        <v>74</v>
      </c>
      <c r="F2465">
        <v>0.50580999999999998</v>
      </c>
      <c r="G2465" t="s">
        <v>75</v>
      </c>
      <c r="H2465">
        <v>505.81200000000001</v>
      </c>
      <c r="I2465" t="s">
        <v>76</v>
      </c>
      <c r="J2465" t="s">
        <v>77</v>
      </c>
    </row>
    <row r="2466" spans="1:11" x14ac:dyDescent="0.3">
      <c r="A2466" t="s">
        <v>84</v>
      </c>
      <c r="B2466">
        <v>1001</v>
      </c>
      <c r="C2466" t="s">
        <v>79</v>
      </c>
      <c r="D2466">
        <v>1.179382E-2</v>
      </c>
      <c r="E2466" t="s">
        <v>74</v>
      </c>
      <c r="F2466">
        <v>11.79382</v>
      </c>
      <c r="G2466" t="s">
        <v>75</v>
      </c>
      <c r="H2466">
        <v>11793.822</v>
      </c>
      <c r="I2466" t="s">
        <v>76</v>
      </c>
      <c r="J2466" t="s">
        <v>77</v>
      </c>
    </row>
    <row r="2467" spans="1:11" x14ac:dyDescent="0.3">
      <c r="A2467" t="s">
        <v>84</v>
      </c>
      <c r="B2467">
        <v>1001</v>
      </c>
      <c r="C2467" t="s">
        <v>94</v>
      </c>
      <c r="D2467">
        <v>2.7343200000000002E-3</v>
      </c>
      <c r="E2467" t="s">
        <v>74</v>
      </c>
      <c r="F2467">
        <v>2.7343199999999999</v>
      </c>
      <c r="G2467" t="s">
        <v>75</v>
      </c>
      <c r="H2467">
        <v>2734.3220000000001</v>
      </c>
      <c r="I2467" t="s">
        <v>76</v>
      </c>
      <c r="J2467" t="s">
        <v>77</v>
      </c>
    </row>
    <row r="2468" spans="1:11" x14ac:dyDescent="0.3">
      <c r="A2468" t="s">
        <v>84</v>
      </c>
      <c r="B2468">
        <v>1001</v>
      </c>
      <c r="C2468" t="s">
        <v>80</v>
      </c>
      <c r="D2468">
        <v>2.9202799999999999E-3</v>
      </c>
      <c r="E2468" t="s">
        <v>74</v>
      </c>
      <c r="F2468">
        <v>2.92028</v>
      </c>
      <c r="G2468" t="s">
        <v>75</v>
      </c>
      <c r="H2468">
        <v>2920.277</v>
      </c>
      <c r="I2468" t="s">
        <v>76</v>
      </c>
      <c r="J2468" t="s">
        <v>77</v>
      </c>
    </row>
    <row r="2469" spans="1:11" x14ac:dyDescent="0.3">
      <c r="A2469" t="s">
        <v>84</v>
      </c>
      <c r="B2469">
        <v>1001</v>
      </c>
      <c r="C2469" t="s">
        <v>81</v>
      </c>
      <c r="D2469">
        <v>1.4715580000000001E-2</v>
      </c>
      <c r="E2469" t="s">
        <v>74</v>
      </c>
      <c r="F2469">
        <v>14.715579999999999</v>
      </c>
      <c r="G2469" t="s">
        <v>75</v>
      </c>
      <c r="H2469">
        <v>14715.576999999999</v>
      </c>
      <c r="I2469" t="s">
        <v>76</v>
      </c>
      <c r="J2469" t="s">
        <v>82</v>
      </c>
      <c r="K2469">
        <v>67.955202700000001</v>
      </c>
    </row>
    <row r="2470" spans="1:11" x14ac:dyDescent="0.3">
      <c r="A2470" t="s">
        <v>85</v>
      </c>
      <c r="B2470">
        <v>1001</v>
      </c>
      <c r="C2470" t="s">
        <v>86</v>
      </c>
      <c r="D2470">
        <v>1.471576E-2</v>
      </c>
      <c r="E2470" t="s">
        <v>74</v>
      </c>
      <c r="F2470">
        <v>14.71576</v>
      </c>
      <c r="G2470" t="s">
        <v>75</v>
      </c>
      <c r="H2470">
        <v>14715.762000000001</v>
      </c>
      <c r="I2470" t="s">
        <v>76</v>
      </c>
      <c r="J2470" t="s">
        <v>82</v>
      </c>
      <c r="K2470">
        <v>67.954349199999996</v>
      </c>
    </row>
    <row r="2471" spans="1:11" x14ac:dyDescent="0.3">
      <c r="A2471" t="s">
        <v>95</v>
      </c>
    </row>
    <row r="2472" spans="1:11" x14ac:dyDescent="0.3">
      <c r="A2472" t="s">
        <v>72</v>
      </c>
      <c r="B2472">
        <v>1</v>
      </c>
      <c r="C2472" t="s">
        <v>73</v>
      </c>
      <c r="D2472">
        <v>4.4000000000000002E-6</v>
      </c>
      <c r="E2472" t="s">
        <v>74</v>
      </c>
      <c r="F2472">
        <v>4.4000000000000003E-3</v>
      </c>
      <c r="G2472" t="s">
        <v>75</v>
      </c>
      <c r="H2472">
        <v>4.4000000000000004</v>
      </c>
      <c r="I2472" t="s">
        <v>76</v>
      </c>
      <c r="J2472" t="s">
        <v>77</v>
      </c>
    </row>
    <row r="2473" spans="1:11" x14ac:dyDescent="0.3">
      <c r="A2473" t="s">
        <v>72</v>
      </c>
      <c r="B2473">
        <v>1</v>
      </c>
      <c r="C2473" t="s">
        <v>78</v>
      </c>
      <c r="D2473">
        <v>7.4200000000000001E-5</v>
      </c>
      <c r="E2473" t="s">
        <v>74</v>
      </c>
      <c r="F2473">
        <v>7.4200000000000002E-2</v>
      </c>
      <c r="G2473" t="s">
        <v>75</v>
      </c>
      <c r="H2473">
        <v>74.2</v>
      </c>
      <c r="I2473" t="s">
        <v>76</v>
      </c>
      <c r="J2473" t="s">
        <v>77</v>
      </c>
    </row>
    <row r="2474" spans="1:11" x14ac:dyDescent="0.3">
      <c r="A2474" t="s">
        <v>72</v>
      </c>
      <c r="B2474">
        <v>1</v>
      </c>
      <c r="C2474" t="s">
        <v>91</v>
      </c>
      <c r="D2474">
        <v>2.1018999999999999E-3</v>
      </c>
      <c r="E2474" t="s">
        <v>74</v>
      </c>
      <c r="F2474">
        <v>2.1019000000000001</v>
      </c>
      <c r="G2474" t="s">
        <v>75</v>
      </c>
      <c r="H2474">
        <v>2101.9</v>
      </c>
      <c r="I2474" t="s">
        <v>76</v>
      </c>
      <c r="J2474" t="s">
        <v>77</v>
      </c>
    </row>
    <row r="2475" spans="1:11" x14ac:dyDescent="0.3">
      <c r="A2475" t="s">
        <v>72</v>
      </c>
      <c r="B2475">
        <v>1</v>
      </c>
      <c r="C2475" t="s">
        <v>92</v>
      </c>
      <c r="D2475">
        <v>1.16718E-2</v>
      </c>
      <c r="E2475" t="s">
        <v>74</v>
      </c>
      <c r="F2475">
        <v>11.671799999999999</v>
      </c>
      <c r="G2475" t="s">
        <v>75</v>
      </c>
      <c r="H2475">
        <v>11671.8</v>
      </c>
      <c r="I2475" t="s">
        <v>76</v>
      </c>
      <c r="J2475" t="s">
        <v>77</v>
      </c>
    </row>
    <row r="2476" spans="1:11" x14ac:dyDescent="0.3">
      <c r="A2476" t="s">
        <v>72</v>
      </c>
      <c r="B2476">
        <v>1</v>
      </c>
      <c r="C2476" t="s">
        <v>93</v>
      </c>
      <c r="D2476">
        <v>1.6341999999999999E-3</v>
      </c>
      <c r="E2476" t="s">
        <v>74</v>
      </c>
      <c r="F2476">
        <v>1.6342000000000001</v>
      </c>
      <c r="G2476" t="s">
        <v>75</v>
      </c>
      <c r="H2476">
        <v>1634.2</v>
      </c>
      <c r="I2476" t="s">
        <v>76</v>
      </c>
      <c r="J2476" t="s">
        <v>77</v>
      </c>
    </row>
    <row r="2477" spans="1:11" x14ac:dyDescent="0.3">
      <c r="A2477" t="s">
        <v>72</v>
      </c>
      <c r="B2477">
        <v>1</v>
      </c>
      <c r="C2477" t="s">
        <v>79</v>
      </c>
      <c r="D2477">
        <v>1.54083E-2</v>
      </c>
      <c r="E2477" t="s">
        <v>74</v>
      </c>
      <c r="F2477">
        <v>15.408300000000001</v>
      </c>
      <c r="G2477" t="s">
        <v>75</v>
      </c>
      <c r="H2477">
        <v>15408.3</v>
      </c>
      <c r="I2477" t="s">
        <v>76</v>
      </c>
      <c r="J2477" t="s">
        <v>77</v>
      </c>
    </row>
    <row r="2478" spans="1:11" x14ac:dyDescent="0.3">
      <c r="A2478" t="s">
        <v>72</v>
      </c>
      <c r="B2478">
        <v>1</v>
      </c>
      <c r="C2478" t="s">
        <v>96</v>
      </c>
      <c r="D2478">
        <v>1.9837000000000001E-3</v>
      </c>
      <c r="E2478" t="s">
        <v>74</v>
      </c>
      <c r="F2478">
        <v>1.9837</v>
      </c>
      <c r="G2478" t="s">
        <v>75</v>
      </c>
      <c r="H2478">
        <v>1983.7</v>
      </c>
      <c r="I2478" t="s">
        <v>76</v>
      </c>
      <c r="J2478" t="s">
        <v>77</v>
      </c>
    </row>
    <row r="2479" spans="1:11" x14ac:dyDescent="0.3">
      <c r="A2479" t="s">
        <v>72</v>
      </c>
      <c r="B2479">
        <v>1</v>
      </c>
      <c r="C2479" t="s">
        <v>94</v>
      </c>
      <c r="D2479">
        <v>3.081E-3</v>
      </c>
      <c r="E2479" t="s">
        <v>74</v>
      </c>
      <c r="F2479">
        <v>3.081</v>
      </c>
      <c r="G2479" t="s">
        <v>75</v>
      </c>
      <c r="H2479">
        <v>3081</v>
      </c>
      <c r="I2479" t="s">
        <v>76</v>
      </c>
      <c r="J2479" t="s">
        <v>77</v>
      </c>
    </row>
    <row r="2480" spans="1:11" x14ac:dyDescent="0.3">
      <c r="A2480" t="s">
        <v>72</v>
      </c>
      <c r="B2480">
        <v>1</v>
      </c>
      <c r="C2480" t="s">
        <v>80</v>
      </c>
      <c r="D2480">
        <v>5.1926999999999997E-3</v>
      </c>
      <c r="E2480" t="s">
        <v>74</v>
      </c>
      <c r="F2480">
        <v>5.1927000000000003</v>
      </c>
      <c r="G2480" t="s">
        <v>75</v>
      </c>
      <c r="H2480">
        <v>5192.7</v>
      </c>
      <c r="I2480" t="s">
        <v>76</v>
      </c>
      <c r="J2480" t="s">
        <v>77</v>
      </c>
    </row>
    <row r="2481" spans="1:11" x14ac:dyDescent="0.3">
      <c r="A2481" t="s">
        <v>72</v>
      </c>
      <c r="B2481">
        <v>1</v>
      </c>
      <c r="C2481" t="s">
        <v>81</v>
      </c>
      <c r="D2481">
        <v>2.0602200000000001E-2</v>
      </c>
      <c r="E2481" t="s">
        <v>74</v>
      </c>
      <c r="F2481">
        <v>20.6022</v>
      </c>
      <c r="G2481" t="s">
        <v>75</v>
      </c>
      <c r="H2481">
        <v>20602.2</v>
      </c>
      <c r="I2481" t="s">
        <v>76</v>
      </c>
      <c r="J2481" t="s">
        <v>82</v>
      </c>
      <c r="K2481">
        <v>48.538505200000003</v>
      </c>
    </row>
    <row r="2482" spans="1:11" x14ac:dyDescent="0.3">
      <c r="A2482" t="s">
        <v>83</v>
      </c>
      <c r="B2482">
        <v>1000</v>
      </c>
      <c r="C2482" t="s">
        <v>91</v>
      </c>
      <c r="D2482">
        <v>5.3781E-4</v>
      </c>
      <c r="E2482" t="s">
        <v>74</v>
      </c>
      <c r="F2482">
        <v>0.53781000000000001</v>
      </c>
      <c r="G2482" t="s">
        <v>75</v>
      </c>
      <c r="H2482">
        <v>537.81299999999999</v>
      </c>
      <c r="I2482" t="s">
        <v>76</v>
      </c>
      <c r="J2482" t="s">
        <v>77</v>
      </c>
    </row>
    <row r="2483" spans="1:11" x14ac:dyDescent="0.3">
      <c r="A2483" t="s">
        <v>83</v>
      </c>
      <c r="B2483">
        <v>1000</v>
      </c>
      <c r="C2483" t="s">
        <v>92</v>
      </c>
      <c r="D2483">
        <v>1.069344E-2</v>
      </c>
      <c r="E2483" t="s">
        <v>74</v>
      </c>
      <c r="F2483">
        <v>10.693440000000001</v>
      </c>
      <c r="G2483" t="s">
        <v>75</v>
      </c>
      <c r="H2483">
        <v>10693.437</v>
      </c>
      <c r="I2483" t="s">
        <v>76</v>
      </c>
      <c r="J2483" t="s">
        <v>77</v>
      </c>
    </row>
    <row r="2484" spans="1:11" x14ac:dyDescent="0.3">
      <c r="A2484" t="s">
        <v>83</v>
      </c>
      <c r="B2484">
        <v>1000</v>
      </c>
      <c r="C2484" t="s">
        <v>93</v>
      </c>
      <c r="D2484">
        <v>5.0642999999999999E-4</v>
      </c>
      <c r="E2484" t="s">
        <v>74</v>
      </c>
      <c r="F2484">
        <v>0.50643000000000005</v>
      </c>
      <c r="G2484" t="s">
        <v>75</v>
      </c>
      <c r="H2484">
        <v>506.42899999999997</v>
      </c>
      <c r="I2484" t="s">
        <v>76</v>
      </c>
      <c r="J2484" t="s">
        <v>77</v>
      </c>
    </row>
    <row r="2485" spans="1:11" x14ac:dyDescent="0.3">
      <c r="A2485" t="s">
        <v>83</v>
      </c>
      <c r="B2485">
        <v>1000</v>
      </c>
      <c r="C2485" t="s">
        <v>79</v>
      </c>
      <c r="D2485">
        <v>1.1738180000000001E-2</v>
      </c>
      <c r="E2485" t="s">
        <v>74</v>
      </c>
      <c r="F2485">
        <v>11.73818</v>
      </c>
      <c r="G2485" t="s">
        <v>75</v>
      </c>
      <c r="H2485">
        <v>11738.182000000001</v>
      </c>
      <c r="I2485" t="s">
        <v>76</v>
      </c>
      <c r="J2485" t="s">
        <v>77</v>
      </c>
    </row>
    <row r="2486" spans="1:11" x14ac:dyDescent="0.3">
      <c r="A2486" t="s">
        <v>83</v>
      </c>
      <c r="B2486">
        <v>1000</v>
      </c>
      <c r="C2486" t="s">
        <v>96</v>
      </c>
      <c r="D2486">
        <v>1.7851099999999999E-3</v>
      </c>
      <c r="E2486" t="s">
        <v>74</v>
      </c>
      <c r="F2486">
        <v>1.78511</v>
      </c>
      <c r="G2486" t="s">
        <v>75</v>
      </c>
      <c r="H2486">
        <v>1785.1110000000001</v>
      </c>
      <c r="I2486" t="s">
        <v>76</v>
      </c>
      <c r="J2486" t="s">
        <v>77</v>
      </c>
    </row>
    <row r="2487" spans="1:11" x14ac:dyDescent="0.3">
      <c r="A2487" t="s">
        <v>83</v>
      </c>
      <c r="B2487">
        <v>1000</v>
      </c>
      <c r="C2487" t="s">
        <v>94</v>
      </c>
      <c r="D2487">
        <v>3.0531600000000001E-3</v>
      </c>
      <c r="E2487" t="s">
        <v>74</v>
      </c>
      <c r="F2487">
        <v>3.0531600000000001</v>
      </c>
      <c r="G2487" t="s">
        <v>75</v>
      </c>
      <c r="H2487">
        <v>3053.163</v>
      </c>
      <c r="I2487" t="s">
        <v>76</v>
      </c>
      <c r="J2487" t="s">
        <v>77</v>
      </c>
    </row>
    <row r="2488" spans="1:11" x14ac:dyDescent="0.3">
      <c r="A2488" t="s">
        <v>83</v>
      </c>
      <c r="B2488">
        <v>1000</v>
      </c>
      <c r="C2488" t="s">
        <v>80</v>
      </c>
      <c r="D2488">
        <v>4.9714499999999997E-3</v>
      </c>
      <c r="E2488" t="s">
        <v>74</v>
      </c>
      <c r="F2488">
        <v>4.9714499999999999</v>
      </c>
      <c r="G2488" t="s">
        <v>75</v>
      </c>
      <c r="H2488">
        <v>4971.4530000000004</v>
      </c>
      <c r="I2488" t="s">
        <v>76</v>
      </c>
      <c r="J2488" t="s">
        <v>77</v>
      </c>
    </row>
    <row r="2489" spans="1:11" x14ac:dyDescent="0.3">
      <c r="A2489" t="s">
        <v>83</v>
      </c>
      <c r="B2489">
        <v>1000</v>
      </c>
      <c r="C2489" t="s">
        <v>81</v>
      </c>
      <c r="D2489">
        <v>1.6711239999999999E-2</v>
      </c>
      <c r="E2489" t="s">
        <v>74</v>
      </c>
      <c r="F2489">
        <v>16.71124</v>
      </c>
      <c r="G2489" t="s">
        <v>75</v>
      </c>
      <c r="H2489">
        <v>16711.244999999999</v>
      </c>
      <c r="I2489" t="s">
        <v>76</v>
      </c>
      <c r="J2489" t="s">
        <v>82</v>
      </c>
      <c r="K2489">
        <v>59.839947600000002</v>
      </c>
    </row>
    <row r="2490" spans="1:11" x14ac:dyDescent="0.3">
      <c r="A2490" t="s">
        <v>84</v>
      </c>
      <c r="B2490">
        <v>1001</v>
      </c>
      <c r="C2490" t="s">
        <v>91</v>
      </c>
      <c r="D2490">
        <v>5.3938E-4</v>
      </c>
      <c r="E2490" t="s">
        <v>74</v>
      </c>
      <c r="F2490">
        <v>0.53937999999999997</v>
      </c>
      <c r="G2490" t="s">
        <v>75</v>
      </c>
      <c r="H2490">
        <v>539.37599999999998</v>
      </c>
      <c r="I2490" t="s">
        <v>76</v>
      </c>
      <c r="J2490" t="s">
        <v>77</v>
      </c>
    </row>
    <row r="2491" spans="1:11" x14ac:dyDescent="0.3">
      <c r="A2491" t="s">
        <v>84</v>
      </c>
      <c r="B2491">
        <v>1001</v>
      </c>
      <c r="C2491" t="s">
        <v>92</v>
      </c>
      <c r="D2491">
        <v>1.069441E-2</v>
      </c>
      <c r="E2491" t="s">
        <v>74</v>
      </c>
      <c r="F2491">
        <v>10.69441</v>
      </c>
      <c r="G2491" t="s">
        <v>75</v>
      </c>
      <c r="H2491">
        <v>10694.414000000001</v>
      </c>
      <c r="I2491" t="s">
        <v>76</v>
      </c>
      <c r="J2491" t="s">
        <v>77</v>
      </c>
    </row>
    <row r="2492" spans="1:11" x14ac:dyDescent="0.3">
      <c r="A2492" t="s">
        <v>84</v>
      </c>
      <c r="B2492">
        <v>1001</v>
      </c>
      <c r="C2492" t="s">
        <v>93</v>
      </c>
      <c r="D2492">
        <v>5.0756E-4</v>
      </c>
      <c r="E2492" t="s">
        <v>74</v>
      </c>
      <c r="F2492">
        <v>0.50756000000000001</v>
      </c>
      <c r="G2492" t="s">
        <v>75</v>
      </c>
      <c r="H2492">
        <v>507.55599999999998</v>
      </c>
      <c r="I2492" t="s">
        <v>76</v>
      </c>
      <c r="J2492" t="s">
        <v>77</v>
      </c>
    </row>
    <row r="2493" spans="1:11" x14ac:dyDescent="0.3">
      <c r="A2493" t="s">
        <v>84</v>
      </c>
      <c r="B2493">
        <v>1001</v>
      </c>
      <c r="C2493" t="s">
        <v>79</v>
      </c>
      <c r="D2493">
        <v>1.174185E-2</v>
      </c>
      <c r="E2493" t="s">
        <v>74</v>
      </c>
      <c r="F2493">
        <v>11.741849999999999</v>
      </c>
      <c r="G2493" t="s">
        <v>75</v>
      </c>
      <c r="H2493">
        <v>11741.848</v>
      </c>
      <c r="I2493" t="s">
        <v>76</v>
      </c>
      <c r="J2493" t="s">
        <v>77</v>
      </c>
    </row>
    <row r="2494" spans="1:11" x14ac:dyDescent="0.3">
      <c r="A2494" t="s">
        <v>84</v>
      </c>
      <c r="B2494">
        <v>1001</v>
      </c>
      <c r="C2494" t="s">
        <v>96</v>
      </c>
      <c r="D2494">
        <v>1.78531E-3</v>
      </c>
      <c r="E2494" t="s">
        <v>74</v>
      </c>
      <c r="F2494">
        <v>1.78531</v>
      </c>
      <c r="G2494" t="s">
        <v>75</v>
      </c>
      <c r="H2494">
        <v>1785.309</v>
      </c>
      <c r="I2494" t="s">
        <v>76</v>
      </c>
      <c r="J2494" t="s">
        <v>77</v>
      </c>
    </row>
    <row r="2495" spans="1:11" x14ac:dyDescent="0.3">
      <c r="A2495" t="s">
        <v>84</v>
      </c>
      <c r="B2495">
        <v>1001</v>
      </c>
      <c r="C2495" t="s">
        <v>94</v>
      </c>
      <c r="D2495">
        <v>3.0531899999999999E-3</v>
      </c>
      <c r="E2495" t="s">
        <v>74</v>
      </c>
      <c r="F2495">
        <v>3.0531899999999998</v>
      </c>
      <c r="G2495" t="s">
        <v>75</v>
      </c>
      <c r="H2495">
        <v>3053.19</v>
      </c>
      <c r="I2495" t="s">
        <v>76</v>
      </c>
      <c r="J2495" t="s">
        <v>77</v>
      </c>
    </row>
    <row r="2496" spans="1:11" x14ac:dyDescent="0.3">
      <c r="A2496" t="s">
        <v>84</v>
      </c>
      <c r="B2496">
        <v>1001</v>
      </c>
      <c r="C2496" t="s">
        <v>80</v>
      </c>
      <c r="D2496">
        <v>4.9716700000000001E-3</v>
      </c>
      <c r="E2496" t="s">
        <v>74</v>
      </c>
      <c r="F2496">
        <v>4.9716699999999996</v>
      </c>
      <c r="G2496" t="s">
        <v>75</v>
      </c>
      <c r="H2496">
        <v>4971.674</v>
      </c>
      <c r="I2496" t="s">
        <v>76</v>
      </c>
      <c r="J2496" t="s">
        <v>77</v>
      </c>
    </row>
    <row r="2497" spans="1:11" x14ac:dyDescent="0.3">
      <c r="A2497" t="s">
        <v>84</v>
      </c>
      <c r="B2497">
        <v>1001</v>
      </c>
      <c r="C2497" t="s">
        <v>81</v>
      </c>
      <c r="D2497">
        <v>1.6715130000000002E-2</v>
      </c>
      <c r="E2497" t="s">
        <v>74</v>
      </c>
      <c r="F2497">
        <v>16.715129999999998</v>
      </c>
      <c r="G2497" t="s">
        <v>75</v>
      </c>
      <c r="H2497">
        <v>16715.133000000002</v>
      </c>
      <c r="I2497" t="s">
        <v>76</v>
      </c>
      <c r="J2497" t="s">
        <v>82</v>
      </c>
      <c r="K2497">
        <v>59.826028399999998</v>
      </c>
    </row>
    <row r="2498" spans="1:11" x14ac:dyDescent="0.3">
      <c r="A2498" t="s">
        <v>85</v>
      </c>
      <c r="B2498">
        <v>1001</v>
      </c>
      <c r="C2498" t="s">
        <v>86</v>
      </c>
      <c r="D2498">
        <v>1.671537E-2</v>
      </c>
      <c r="E2498" t="s">
        <v>74</v>
      </c>
      <c r="F2498">
        <v>16.71537</v>
      </c>
      <c r="G2498" t="s">
        <v>75</v>
      </c>
      <c r="H2498">
        <v>16715.375</v>
      </c>
      <c r="I2498" t="s">
        <v>76</v>
      </c>
      <c r="J2498" t="s">
        <v>82</v>
      </c>
      <c r="K2498">
        <v>59.825162300000002</v>
      </c>
    </row>
    <row r="2499" spans="1:11" x14ac:dyDescent="0.3">
      <c r="A2499" t="s">
        <v>87</v>
      </c>
    </row>
    <row r="2500" spans="1:11" x14ac:dyDescent="0.3">
      <c r="A2500" t="s">
        <v>97</v>
      </c>
    </row>
    <row r="2501" spans="1:11" x14ac:dyDescent="0.3">
      <c r="A2501" t="s">
        <v>72</v>
      </c>
      <c r="B2501">
        <v>1</v>
      </c>
      <c r="C2501" t="s">
        <v>81</v>
      </c>
      <c r="D2501">
        <v>2.52299E-2</v>
      </c>
      <c r="E2501" t="s">
        <v>74</v>
      </c>
      <c r="F2501">
        <v>25.229900000000001</v>
      </c>
      <c r="G2501" t="s">
        <v>75</v>
      </c>
      <c r="H2501">
        <v>25229.899000000001</v>
      </c>
      <c r="I2501" t="s">
        <v>76</v>
      </c>
      <c r="J2501" t="s">
        <v>82</v>
      </c>
      <c r="K2501">
        <v>39.635513099999997</v>
      </c>
    </row>
    <row r="2502" spans="1:11" x14ac:dyDescent="0.3">
      <c r="A2502" t="s">
        <v>83</v>
      </c>
      <c r="B2502">
        <v>1000</v>
      </c>
      <c r="C2502" t="s">
        <v>81</v>
      </c>
      <c r="D2502">
        <v>1.4705060000000001E-2</v>
      </c>
      <c r="E2502" t="s">
        <v>74</v>
      </c>
      <c r="F2502">
        <v>14.70506</v>
      </c>
      <c r="G2502" t="s">
        <v>75</v>
      </c>
      <c r="H2502">
        <v>14705.063</v>
      </c>
      <c r="I2502" t="s">
        <v>76</v>
      </c>
      <c r="J2502" t="s">
        <v>82</v>
      </c>
      <c r="K2502">
        <v>68.003789499999996</v>
      </c>
    </row>
    <row r="2503" spans="1:11" x14ac:dyDescent="0.3">
      <c r="A2503" t="s">
        <v>85</v>
      </c>
      <c r="B2503">
        <v>1001</v>
      </c>
      <c r="C2503" t="s">
        <v>86</v>
      </c>
      <c r="D2503">
        <v>1.471576E-2</v>
      </c>
      <c r="E2503" t="s">
        <v>74</v>
      </c>
      <c r="F2503">
        <v>14.71576</v>
      </c>
      <c r="G2503" t="s">
        <v>75</v>
      </c>
      <c r="H2503">
        <v>14715.762000000001</v>
      </c>
      <c r="I2503" t="s">
        <v>76</v>
      </c>
      <c r="J2503" t="s">
        <v>82</v>
      </c>
      <c r="K2503">
        <v>67.954349199999996</v>
      </c>
    </row>
    <row r="2505" spans="1:11" x14ac:dyDescent="0.3">
      <c r="A2505" t="s">
        <v>98</v>
      </c>
    </row>
    <row r="2506" spans="1:11" x14ac:dyDescent="0.3">
      <c r="A2506" t="s">
        <v>72</v>
      </c>
      <c r="B2506">
        <v>1</v>
      </c>
      <c r="C2506" t="s">
        <v>81</v>
      </c>
      <c r="D2506">
        <v>2.0602200000000001E-2</v>
      </c>
      <c r="E2506" t="s">
        <v>74</v>
      </c>
      <c r="F2506">
        <v>20.6022</v>
      </c>
      <c r="G2506" t="s">
        <v>75</v>
      </c>
      <c r="H2506">
        <v>20602.2</v>
      </c>
      <c r="I2506" t="s">
        <v>76</v>
      </c>
      <c r="J2506" t="s">
        <v>82</v>
      </c>
      <c r="K2506">
        <v>48.538505200000003</v>
      </c>
    </row>
    <row r="2507" spans="1:11" x14ac:dyDescent="0.3">
      <c r="A2507" t="s">
        <v>83</v>
      </c>
      <c r="B2507">
        <v>1000</v>
      </c>
      <c r="C2507" t="s">
        <v>81</v>
      </c>
      <c r="D2507">
        <v>1.6711239999999999E-2</v>
      </c>
      <c r="E2507" t="s">
        <v>74</v>
      </c>
      <c r="F2507">
        <v>16.71124</v>
      </c>
      <c r="G2507" t="s">
        <v>75</v>
      </c>
      <c r="H2507">
        <v>16711.244999999999</v>
      </c>
      <c r="I2507" t="s">
        <v>76</v>
      </c>
      <c r="J2507" t="s">
        <v>82</v>
      </c>
      <c r="K2507">
        <v>59.839947600000002</v>
      </c>
    </row>
    <row r="2508" spans="1:11" x14ac:dyDescent="0.3">
      <c r="A2508" t="s">
        <v>85</v>
      </c>
      <c r="B2508">
        <v>1001</v>
      </c>
      <c r="C2508" t="s">
        <v>86</v>
      </c>
      <c r="D2508">
        <v>1.671537E-2</v>
      </c>
      <c r="E2508" t="s">
        <v>74</v>
      </c>
      <c r="F2508">
        <v>16.71537</v>
      </c>
      <c r="G2508" t="s">
        <v>75</v>
      </c>
      <c r="H2508">
        <v>16715.375</v>
      </c>
      <c r="I2508" t="s">
        <v>76</v>
      </c>
      <c r="J2508" t="s">
        <v>82</v>
      </c>
      <c r="K2508">
        <v>59.825162300000002</v>
      </c>
    </row>
    <row r="2510" spans="1:11" x14ac:dyDescent="0.3">
      <c r="A2510" t="s">
        <v>66</v>
      </c>
    </row>
    <row r="2512" spans="1:11" x14ac:dyDescent="0.3">
      <c r="A2512" t="s">
        <v>242</v>
      </c>
    </row>
    <row r="2513" spans="1:11" x14ac:dyDescent="0.3">
      <c r="A2513" t="s">
        <v>68</v>
      </c>
    </row>
    <row r="2514" spans="1:11" x14ac:dyDescent="0.3">
      <c r="A2514" t="s">
        <v>69</v>
      </c>
    </row>
    <row r="2515" spans="1:11" x14ac:dyDescent="0.3">
      <c r="A2515" t="s">
        <v>70</v>
      </c>
    </row>
    <row r="2516" spans="1:11" x14ac:dyDescent="0.3">
      <c r="A2516" t="s">
        <v>100</v>
      </c>
    </row>
    <row r="2517" spans="1:11" x14ac:dyDescent="0.3">
      <c r="A2517" t="s">
        <v>72</v>
      </c>
      <c r="B2517">
        <v>1</v>
      </c>
      <c r="C2517" t="s">
        <v>73</v>
      </c>
      <c r="D2517">
        <v>3.4999999999999999E-6</v>
      </c>
      <c r="E2517" t="s">
        <v>74</v>
      </c>
      <c r="F2517">
        <v>3.5000000000000001E-3</v>
      </c>
      <c r="G2517" t="s">
        <v>75</v>
      </c>
      <c r="H2517">
        <v>3.5</v>
      </c>
      <c r="I2517" t="s">
        <v>76</v>
      </c>
      <c r="J2517" t="s">
        <v>77</v>
      </c>
    </row>
    <row r="2518" spans="1:11" x14ac:dyDescent="0.3">
      <c r="A2518" t="s">
        <v>72</v>
      </c>
      <c r="B2518">
        <v>1</v>
      </c>
      <c r="C2518" t="s">
        <v>78</v>
      </c>
      <c r="D2518">
        <v>4.49E-5</v>
      </c>
      <c r="E2518" t="s">
        <v>74</v>
      </c>
      <c r="F2518">
        <v>4.4900000000000002E-2</v>
      </c>
      <c r="G2518" t="s">
        <v>75</v>
      </c>
      <c r="H2518">
        <v>44.9</v>
      </c>
      <c r="I2518" t="s">
        <v>76</v>
      </c>
      <c r="J2518" t="s">
        <v>77</v>
      </c>
    </row>
    <row r="2519" spans="1:11" x14ac:dyDescent="0.3">
      <c r="A2519" t="s">
        <v>72</v>
      </c>
      <c r="B2519">
        <v>1</v>
      </c>
      <c r="C2519" t="s">
        <v>91</v>
      </c>
      <c r="D2519">
        <v>2.2564E-3</v>
      </c>
      <c r="E2519" t="s">
        <v>74</v>
      </c>
      <c r="F2519">
        <v>2.2564000000000002</v>
      </c>
      <c r="G2519" t="s">
        <v>75</v>
      </c>
      <c r="H2519">
        <v>2256.4</v>
      </c>
      <c r="I2519" t="s">
        <v>76</v>
      </c>
      <c r="J2519" t="s">
        <v>77</v>
      </c>
    </row>
    <row r="2520" spans="1:11" x14ac:dyDescent="0.3">
      <c r="A2520" t="s">
        <v>72</v>
      </c>
      <c r="B2520">
        <v>1</v>
      </c>
      <c r="C2520" t="s">
        <v>92</v>
      </c>
      <c r="D2520">
        <v>1.1888299999999999E-2</v>
      </c>
      <c r="E2520" t="s">
        <v>74</v>
      </c>
      <c r="F2520">
        <v>11.888299999999999</v>
      </c>
      <c r="G2520" t="s">
        <v>75</v>
      </c>
      <c r="H2520">
        <v>11888.3</v>
      </c>
      <c r="I2520" t="s">
        <v>76</v>
      </c>
      <c r="J2520" t="s">
        <v>77</v>
      </c>
    </row>
    <row r="2521" spans="1:11" x14ac:dyDescent="0.3">
      <c r="A2521" t="s">
        <v>72</v>
      </c>
      <c r="B2521">
        <v>1</v>
      </c>
      <c r="C2521" t="s">
        <v>93</v>
      </c>
      <c r="D2521">
        <v>1.6911999999999999E-3</v>
      </c>
      <c r="E2521" t="s">
        <v>74</v>
      </c>
      <c r="F2521">
        <v>1.6912</v>
      </c>
      <c r="G2521" t="s">
        <v>75</v>
      </c>
      <c r="H2521">
        <v>1691.2</v>
      </c>
      <c r="I2521" t="s">
        <v>76</v>
      </c>
      <c r="J2521" t="s">
        <v>77</v>
      </c>
    </row>
    <row r="2522" spans="1:11" x14ac:dyDescent="0.3">
      <c r="A2522" t="s">
        <v>72</v>
      </c>
      <c r="B2522">
        <v>1</v>
      </c>
      <c r="C2522" t="s">
        <v>79</v>
      </c>
      <c r="D2522">
        <v>1.5839300000000001E-2</v>
      </c>
      <c r="E2522" t="s">
        <v>74</v>
      </c>
      <c r="F2522">
        <v>15.8393</v>
      </c>
      <c r="G2522" t="s">
        <v>75</v>
      </c>
      <c r="H2522">
        <v>15839.299000000001</v>
      </c>
      <c r="I2522" t="s">
        <v>76</v>
      </c>
      <c r="J2522" t="s">
        <v>77</v>
      </c>
    </row>
    <row r="2523" spans="1:11" x14ac:dyDescent="0.3">
      <c r="A2523" t="s">
        <v>72</v>
      </c>
      <c r="B2523">
        <v>1</v>
      </c>
      <c r="C2523" t="s">
        <v>94</v>
      </c>
      <c r="D2523">
        <v>8.9771E-3</v>
      </c>
      <c r="E2523" t="s">
        <v>74</v>
      </c>
      <c r="F2523">
        <v>8.9771000000000001</v>
      </c>
      <c r="G2523" t="s">
        <v>75</v>
      </c>
      <c r="H2523">
        <v>8977.1</v>
      </c>
      <c r="I2523" t="s">
        <v>76</v>
      </c>
      <c r="J2523" t="s">
        <v>77</v>
      </c>
    </row>
    <row r="2524" spans="1:11" x14ac:dyDescent="0.3">
      <c r="A2524" t="s">
        <v>72</v>
      </c>
      <c r="B2524">
        <v>1</v>
      </c>
      <c r="C2524" t="s">
        <v>80</v>
      </c>
      <c r="D2524">
        <v>8.9776000000000005E-3</v>
      </c>
      <c r="E2524" t="s">
        <v>74</v>
      </c>
      <c r="F2524">
        <v>8.9776000000000007</v>
      </c>
      <c r="G2524" t="s">
        <v>75</v>
      </c>
      <c r="H2524">
        <v>8977.6</v>
      </c>
      <c r="I2524" t="s">
        <v>76</v>
      </c>
      <c r="J2524" t="s">
        <v>77</v>
      </c>
    </row>
    <row r="2525" spans="1:11" x14ac:dyDescent="0.3">
      <c r="A2525" t="s">
        <v>72</v>
      </c>
      <c r="B2525">
        <v>1</v>
      </c>
      <c r="C2525" t="s">
        <v>81</v>
      </c>
      <c r="D2525">
        <v>2.4819600000000001E-2</v>
      </c>
      <c r="E2525" t="s">
        <v>74</v>
      </c>
      <c r="F2525">
        <v>24.819600000000001</v>
      </c>
      <c r="G2525" t="s">
        <v>75</v>
      </c>
      <c r="H2525">
        <v>24819.598999999998</v>
      </c>
      <c r="I2525" t="s">
        <v>76</v>
      </c>
      <c r="J2525" t="s">
        <v>82</v>
      </c>
      <c r="K2525">
        <v>40.2907388</v>
      </c>
    </row>
    <row r="2526" spans="1:11" x14ac:dyDescent="0.3">
      <c r="A2526" t="s">
        <v>83</v>
      </c>
      <c r="B2526">
        <v>1000</v>
      </c>
      <c r="C2526" t="s">
        <v>91</v>
      </c>
      <c r="D2526">
        <v>5.3397000000000004E-4</v>
      </c>
      <c r="E2526" t="s">
        <v>74</v>
      </c>
      <c r="F2526">
        <v>0.53396999999999994</v>
      </c>
      <c r="G2526" t="s">
        <v>75</v>
      </c>
      <c r="H2526">
        <v>533.96699999999998</v>
      </c>
      <c r="I2526" t="s">
        <v>76</v>
      </c>
      <c r="J2526" t="s">
        <v>77</v>
      </c>
    </row>
    <row r="2527" spans="1:11" x14ac:dyDescent="0.3">
      <c r="A2527" t="s">
        <v>83</v>
      </c>
      <c r="B2527">
        <v>1000</v>
      </c>
      <c r="C2527" t="s">
        <v>92</v>
      </c>
      <c r="D2527">
        <v>1.076538E-2</v>
      </c>
      <c r="E2527" t="s">
        <v>74</v>
      </c>
      <c r="F2527">
        <v>10.76538</v>
      </c>
      <c r="G2527" t="s">
        <v>75</v>
      </c>
      <c r="H2527">
        <v>10765.382</v>
      </c>
      <c r="I2527" t="s">
        <v>76</v>
      </c>
      <c r="J2527" t="s">
        <v>77</v>
      </c>
    </row>
    <row r="2528" spans="1:11" x14ac:dyDescent="0.3">
      <c r="A2528" t="s">
        <v>83</v>
      </c>
      <c r="B2528">
        <v>1000</v>
      </c>
      <c r="C2528" t="s">
        <v>93</v>
      </c>
      <c r="D2528">
        <v>5.0805000000000002E-4</v>
      </c>
      <c r="E2528" t="s">
        <v>74</v>
      </c>
      <c r="F2528">
        <v>0.50805</v>
      </c>
      <c r="G2528" t="s">
        <v>75</v>
      </c>
      <c r="H2528">
        <v>508.053</v>
      </c>
      <c r="I2528" t="s">
        <v>76</v>
      </c>
      <c r="J2528" t="s">
        <v>77</v>
      </c>
    </row>
    <row r="2529" spans="1:11" x14ac:dyDescent="0.3">
      <c r="A2529" t="s">
        <v>83</v>
      </c>
      <c r="B2529">
        <v>1000</v>
      </c>
      <c r="C2529" t="s">
        <v>79</v>
      </c>
      <c r="D2529">
        <v>1.180784E-2</v>
      </c>
      <c r="E2529" t="s">
        <v>74</v>
      </c>
      <c r="F2529">
        <v>11.807840000000001</v>
      </c>
      <c r="G2529" t="s">
        <v>75</v>
      </c>
      <c r="H2529">
        <v>11807.843999999999</v>
      </c>
      <c r="I2529" t="s">
        <v>76</v>
      </c>
      <c r="J2529" t="s">
        <v>77</v>
      </c>
    </row>
    <row r="2530" spans="1:11" x14ac:dyDescent="0.3">
      <c r="A2530" t="s">
        <v>83</v>
      </c>
      <c r="B2530">
        <v>1000</v>
      </c>
      <c r="C2530" t="s">
        <v>94</v>
      </c>
      <c r="D2530">
        <v>2.7305900000000002E-3</v>
      </c>
      <c r="E2530" t="s">
        <v>74</v>
      </c>
      <c r="F2530">
        <v>2.7305899999999999</v>
      </c>
      <c r="G2530" t="s">
        <v>75</v>
      </c>
      <c r="H2530">
        <v>2730.5929999999998</v>
      </c>
      <c r="I2530" t="s">
        <v>76</v>
      </c>
      <c r="J2530" t="s">
        <v>77</v>
      </c>
    </row>
    <row r="2531" spans="1:11" x14ac:dyDescent="0.3">
      <c r="A2531" t="s">
        <v>83</v>
      </c>
      <c r="B2531">
        <v>1000</v>
      </c>
      <c r="C2531" t="s">
        <v>80</v>
      </c>
      <c r="D2531">
        <v>2.9077899999999999E-3</v>
      </c>
      <c r="E2531" t="s">
        <v>74</v>
      </c>
      <c r="F2531">
        <v>2.9077899999999999</v>
      </c>
      <c r="G2531" t="s">
        <v>75</v>
      </c>
      <c r="H2531">
        <v>2907.7860000000001</v>
      </c>
      <c r="I2531" t="s">
        <v>76</v>
      </c>
      <c r="J2531" t="s">
        <v>77</v>
      </c>
    </row>
    <row r="2532" spans="1:11" x14ac:dyDescent="0.3">
      <c r="A2532" t="s">
        <v>83</v>
      </c>
      <c r="B2532">
        <v>1000</v>
      </c>
      <c r="C2532" t="s">
        <v>81</v>
      </c>
      <c r="D2532">
        <v>1.471689E-2</v>
      </c>
      <c r="E2532" t="s">
        <v>74</v>
      </c>
      <c r="F2532">
        <v>14.716889999999999</v>
      </c>
      <c r="G2532" t="s">
        <v>75</v>
      </c>
      <c r="H2532">
        <v>14716.887000000001</v>
      </c>
      <c r="I2532" t="s">
        <v>76</v>
      </c>
      <c r="J2532" t="s">
        <v>82</v>
      </c>
      <c r="K2532">
        <v>67.949154800000002</v>
      </c>
    </row>
    <row r="2533" spans="1:11" x14ac:dyDescent="0.3">
      <c r="A2533" t="s">
        <v>84</v>
      </c>
      <c r="B2533">
        <v>1001</v>
      </c>
      <c r="C2533" t="s">
        <v>91</v>
      </c>
      <c r="D2533">
        <v>5.3569000000000002E-4</v>
      </c>
      <c r="E2533" t="s">
        <v>74</v>
      </c>
      <c r="F2533">
        <v>0.53569</v>
      </c>
      <c r="G2533" t="s">
        <v>75</v>
      </c>
      <c r="H2533">
        <v>535.68799999999999</v>
      </c>
      <c r="I2533" t="s">
        <v>76</v>
      </c>
      <c r="J2533" t="s">
        <v>77</v>
      </c>
    </row>
    <row r="2534" spans="1:11" x14ac:dyDescent="0.3">
      <c r="A2534" t="s">
        <v>84</v>
      </c>
      <c r="B2534">
        <v>1001</v>
      </c>
      <c r="C2534" t="s">
        <v>92</v>
      </c>
      <c r="D2534">
        <v>1.07665E-2</v>
      </c>
      <c r="E2534" t="s">
        <v>74</v>
      </c>
      <c r="F2534">
        <v>10.766500000000001</v>
      </c>
      <c r="G2534" t="s">
        <v>75</v>
      </c>
      <c r="H2534">
        <v>10766.504000000001</v>
      </c>
      <c r="I2534" t="s">
        <v>76</v>
      </c>
      <c r="J2534" t="s">
        <v>77</v>
      </c>
    </row>
    <row r="2535" spans="1:11" x14ac:dyDescent="0.3">
      <c r="A2535" t="s">
        <v>84</v>
      </c>
      <c r="B2535">
        <v>1001</v>
      </c>
      <c r="C2535" t="s">
        <v>93</v>
      </c>
      <c r="D2535">
        <v>5.0924E-4</v>
      </c>
      <c r="E2535" t="s">
        <v>74</v>
      </c>
      <c r="F2535">
        <v>0.50924000000000003</v>
      </c>
      <c r="G2535" t="s">
        <v>75</v>
      </c>
      <c r="H2535">
        <v>509.23500000000001</v>
      </c>
      <c r="I2535" t="s">
        <v>76</v>
      </c>
      <c r="J2535" t="s">
        <v>77</v>
      </c>
    </row>
    <row r="2536" spans="1:11" x14ac:dyDescent="0.3">
      <c r="A2536" t="s">
        <v>84</v>
      </c>
      <c r="B2536">
        <v>1001</v>
      </c>
      <c r="C2536" t="s">
        <v>79</v>
      </c>
      <c r="D2536">
        <v>1.181187E-2</v>
      </c>
      <c r="E2536" t="s">
        <v>74</v>
      </c>
      <c r="F2536">
        <v>11.811870000000001</v>
      </c>
      <c r="G2536" t="s">
        <v>75</v>
      </c>
      <c r="H2536">
        <v>11811.870999999999</v>
      </c>
      <c r="I2536" t="s">
        <v>76</v>
      </c>
      <c r="J2536" t="s">
        <v>77</v>
      </c>
    </row>
    <row r="2537" spans="1:11" x14ac:dyDescent="0.3">
      <c r="A2537" t="s">
        <v>84</v>
      </c>
      <c r="B2537">
        <v>1001</v>
      </c>
      <c r="C2537" t="s">
        <v>94</v>
      </c>
      <c r="D2537">
        <v>2.73683E-3</v>
      </c>
      <c r="E2537" t="s">
        <v>74</v>
      </c>
      <c r="F2537">
        <v>2.7368299999999999</v>
      </c>
      <c r="G2537" t="s">
        <v>75</v>
      </c>
      <c r="H2537">
        <v>2736.8330000000001</v>
      </c>
      <c r="I2537" t="s">
        <v>76</v>
      </c>
      <c r="J2537" t="s">
        <v>77</v>
      </c>
    </row>
    <row r="2538" spans="1:11" x14ac:dyDescent="0.3">
      <c r="A2538" t="s">
        <v>84</v>
      </c>
      <c r="B2538">
        <v>1001</v>
      </c>
      <c r="C2538" t="s">
        <v>80</v>
      </c>
      <c r="D2538">
        <v>2.9138499999999999E-3</v>
      </c>
      <c r="E2538" t="s">
        <v>74</v>
      </c>
      <c r="F2538">
        <v>2.9138500000000001</v>
      </c>
      <c r="G2538" t="s">
        <v>75</v>
      </c>
      <c r="H2538">
        <v>2913.8490000000002</v>
      </c>
      <c r="I2538" t="s">
        <v>76</v>
      </c>
      <c r="J2538" t="s">
        <v>77</v>
      </c>
    </row>
    <row r="2539" spans="1:11" x14ac:dyDescent="0.3">
      <c r="A2539" t="s">
        <v>84</v>
      </c>
      <c r="B2539">
        <v>1001</v>
      </c>
      <c r="C2539" t="s">
        <v>81</v>
      </c>
      <c r="D2539">
        <v>1.4726980000000001E-2</v>
      </c>
      <c r="E2539" t="s">
        <v>74</v>
      </c>
      <c r="F2539">
        <v>14.726979999999999</v>
      </c>
      <c r="G2539" t="s">
        <v>75</v>
      </c>
      <c r="H2539">
        <v>14726.978999999999</v>
      </c>
      <c r="I2539" t="s">
        <v>76</v>
      </c>
      <c r="J2539" t="s">
        <v>82</v>
      </c>
      <c r="K2539">
        <v>67.902589199999994</v>
      </c>
    </row>
    <row r="2540" spans="1:11" x14ac:dyDescent="0.3">
      <c r="A2540" t="s">
        <v>85</v>
      </c>
      <c r="B2540">
        <v>1001</v>
      </c>
      <c r="C2540" t="s">
        <v>86</v>
      </c>
      <c r="D2540">
        <v>1.4727199999999999E-2</v>
      </c>
      <c r="E2540" t="s">
        <v>74</v>
      </c>
      <c r="F2540">
        <v>14.7272</v>
      </c>
      <c r="G2540" t="s">
        <v>75</v>
      </c>
      <c r="H2540">
        <v>14727.203</v>
      </c>
      <c r="I2540" t="s">
        <v>76</v>
      </c>
      <c r="J2540" t="s">
        <v>82</v>
      </c>
      <c r="K2540">
        <v>67.901556999999997</v>
      </c>
    </row>
    <row r="2541" spans="1:11" x14ac:dyDescent="0.3">
      <c r="A2541" t="s">
        <v>101</v>
      </c>
    </row>
    <row r="2542" spans="1:11" x14ac:dyDescent="0.3">
      <c r="A2542" t="s">
        <v>72</v>
      </c>
      <c r="B2542">
        <v>1</v>
      </c>
      <c r="C2542" t="s">
        <v>73</v>
      </c>
      <c r="D2542">
        <v>3.4999999999999999E-6</v>
      </c>
      <c r="E2542" t="s">
        <v>74</v>
      </c>
      <c r="F2542">
        <v>3.5000000000000001E-3</v>
      </c>
      <c r="G2542" t="s">
        <v>75</v>
      </c>
      <c r="H2542">
        <v>3.5</v>
      </c>
      <c r="I2542" t="s">
        <v>76</v>
      </c>
      <c r="J2542" t="s">
        <v>77</v>
      </c>
    </row>
    <row r="2543" spans="1:11" x14ac:dyDescent="0.3">
      <c r="A2543" t="s">
        <v>72</v>
      </c>
      <c r="B2543">
        <v>1</v>
      </c>
      <c r="C2543" t="s">
        <v>78</v>
      </c>
      <c r="D2543">
        <v>4.1199999999999999E-5</v>
      </c>
      <c r="E2543" t="s">
        <v>74</v>
      </c>
      <c r="F2543">
        <v>4.1200000000000001E-2</v>
      </c>
      <c r="G2543" t="s">
        <v>75</v>
      </c>
      <c r="H2543">
        <v>41.2</v>
      </c>
      <c r="I2543" t="s">
        <v>76</v>
      </c>
      <c r="J2543" t="s">
        <v>77</v>
      </c>
    </row>
    <row r="2544" spans="1:11" x14ac:dyDescent="0.3">
      <c r="A2544" t="s">
        <v>72</v>
      </c>
      <c r="B2544">
        <v>1</v>
      </c>
      <c r="C2544" t="s">
        <v>91</v>
      </c>
      <c r="D2544">
        <v>2.0926E-3</v>
      </c>
      <c r="E2544" t="s">
        <v>74</v>
      </c>
      <c r="F2544">
        <v>2.0926</v>
      </c>
      <c r="G2544" t="s">
        <v>75</v>
      </c>
      <c r="H2544">
        <v>2092.6</v>
      </c>
      <c r="I2544" t="s">
        <v>76</v>
      </c>
      <c r="J2544" t="s">
        <v>77</v>
      </c>
    </row>
    <row r="2545" spans="1:11" x14ac:dyDescent="0.3">
      <c r="A2545" t="s">
        <v>72</v>
      </c>
      <c r="B2545">
        <v>1</v>
      </c>
      <c r="C2545" t="s">
        <v>92</v>
      </c>
      <c r="D2545">
        <v>1.17205E-2</v>
      </c>
      <c r="E2545" t="s">
        <v>74</v>
      </c>
      <c r="F2545">
        <v>11.720499999999999</v>
      </c>
      <c r="G2545" t="s">
        <v>75</v>
      </c>
      <c r="H2545">
        <v>11720.5</v>
      </c>
      <c r="I2545" t="s">
        <v>76</v>
      </c>
      <c r="J2545" t="s">
        <v>77</v>
      </c>
    </row>
    <row r="2546" spans="1:11" x14ac:dyDescent="0.3">
      <c r="A2546" t="s">
        <v>72</v>
      </c>
      <c r="B2546">
        <v>1</v>
      </c>
      <c r="C2546" t="s">
        <v>93</v>
      </c>
      <c r="D2546">
        <v>1.5885000000000001E-3</v>
      </c>
      <c r="E2546" t="s">
        <v>74</v>
      </c>
      <c r="F2546">
        <v>1.5885</v>
      </c>
      <c r="G2546" t="s">
        <v>75</v>
      </c>
      <c r="H2546">
        <v>1588.5</v>
      </c>
      <c r="I2546" t="s">
        <v>76</v>
      </c>
      <c r="J2546" t="s">
        <v>77</v>
      </c>
    </row>
    <row r="2547" spans="1:11" x14ac:dyDescent="0.3">
      <c r="A2547" t="s">
        <v>72</v>
      </c>
      <c r="B2547">
        <v>1</v>
      </c>
      <c r="C2547" t="s">
        <v>79</v>
      </c>
      <c r="D2547">
        <v>1.5402000000000001E-2</v>
      </c>
      <c r="E2547" t="s">
        <v>74</v>
      </c>
      <c r="F2547">
        <v>15.401999999999999</v>
      </c>
      <c r="G2547" t="s">
        <v>75</v>
      </c>
      <c r="H2547">
        <v>15402</v>
      </c>
      <c r="I2547" t="s">
        <v>76</v>
      </c>
      <c r="J2547" t="s">
        <v>77</v>
      </c>
    </row>
    <row r="2548" spans="1:11" x14ac:dyDescent="0.3">
      <c r="A2548" t="s">
        <v>72</v>
      </c>
      <c r="B2548">
        <v>1</v>
      </c>
      <c r="C2548" t="s">
        <v>96</v>
      </c>
      <c r="D2548">
        <v>2.0165999999999999E-3</v>
      </c>
      <c r="E2548" t="s">
        <v>74</v>
      </c>
      <c r="F2548">
        <v>2.0165999999999999</v>
      </c>
      <c r="G2548" t="s">
        <v>75</v>
      </c>
      <c r="H2548">
        <v>2016.6</v>
      </c>
      <c r="I2548" t="s">
        <v>76</v>
      </c>
      <c r="J2548" t="s">
        <v>77</v>
      </c>
    </row>
    <row r="2549" spans="1:11" x14ac:dyDescent="0.3">
      <c r="A2549" t="s">
        <v>72</v>
      </c>
      <c r="B2549">
        <v>1</v>
      </c>
      <c r="C2549" t="s">
        <v>94</v>
      </c>
      <c r="D2549">
        <v>3.0691E-3</v>
      </c>
      <c r="E2549" t="s">
        <v>74</v>
      </c>
      <c r="F2549">
        <v>3.0691000000000002</v>
      </c>
      <c r="G2549" t="s">
        <v>75</v>
      </c>
      <c r="H2549">
        <v>3069.1</v>
      </c>
      <c r="I2549" t="s">
        <v>76</v>
      </c>
      <c r="J2549" t="s">
        <v>77</v>
      </c>
    </row>
    <row r="2550" spans="1:11" x14ac:dyDescent="0.3">
      <c r="A2550" t="s">
        <v>72</v>
      </c>
      <c r="B2550">
        <v>1</v>
      </c>
      <c r="C2550" t="s">
        <v>80</v>
      </c>
      <c r="D2550">
        <v>5.2103000000000002E-3</v>
      </c>
      <c r="E2550" t="s">
        <v>74</v>
      </c>
      <c r="F2550">
        <v>5.2103000000000002</v>
      </c>
      <c r="G2550" t="s">
        <v>75</v>
      </c>
      <c r="H2550">
        <v>5210.3</v>
      </c>
      <c r="I2550" t="s">
        <v>76</v>
      </c>
      <c r="J2550" t="s">
        <v>77</v>
      </c>
    </row>
    <row r="2551" spans="1:11" x14ac:dyDescent="0.3">
      <c r="A2551" t="s">
        <v>72</v>
      </c>
      <c r="B2551">
        <v>1</v>
      </c>
      <c r="C2551" t="s">
        <v>81</v>
      </c>
      <c r="D2551">
        <v>2.0612999999999999E-2</v>
      </c>
      <c r="E2551" t="s">
        <v>74</v>
      </c>
      <c r="F2551">
        <v>20.613</v>
      </c>
      <c r="G2551" t="s">
        <v>75</v>
      </c>
      <c r="H2551">
        <v>20613</v>
      </c>
      <c r="I2551" t="s">
        <v>76</v>
      </c>
      <c r="J2551" t="s">
        <v>82</v>
      </c>
      <c r="K2551">
        <v>48.513074799999998</v>
      </c>
    </row>
    <row r="2552" spans="1:11" x14ac:dyDescent="0.3">
      <c r="A2552" t="s">
        <v>83</v>
      </c>
      <c r="B2552">
        <v>1000</v>
      </c>
      <c r="C2552" t="s">
        <v>91</v>
      </c>
      <c r="D2552">
        <v>5.3573E-4</v>
      </c>
      <c r="E2552" t="s">
        <v>74</v>
      </c>
      <c r="F2552">
        <v>0.53573000000000004</v>
      </c>
      <c r="G2552" t="s">
        <v>75</v>
      </c>
      <c r="H2552">
        <v>535.73400000000004</v>
      </c>
      <c r="I2552" t="s">
        <v>76</v>
      </c>
      <c r="J2552" t="s">
        <v>77</v>
      </c>
    </row>
    <row r="2553" spans="1:11" x14ac:dyDescent="0.3">
      <c r="A2553" t="s">
        <v>83</v>
      </c>
      <c r="B2553">
        <v>1000</v>
      </c>
      <c r="C2553" t="s">
        <v>92</v>
      </c>
      <c r="D2553">
        <v>1.069348E-2</v>
      </c>
      <c r="E2553" t="s">
        <v>74</v>
      </c>
      <c r="F2553">
        <v>10.693479999999999</v>
      </c>
      <c r="G2553" t="s">
        <v>75</v>
      </c>
      <c r="H2553">
        <v>10693.477999999999</v>
      </c>
      <c r="I2553" t="s">
        <v>76</v>
      </c>
      <c r="J2553" t="s">
        <v>77</v>
      </c>
    </row>
    <row r="2554" spans="1:11" x14ac:dyDescent="0.3">
      <c r="A2554" t="s">
        <v>83</v>
      </c>
      <c r="B2554">
        <v>1000</v>
      </c>
      <c r="C2554" t="s">
        <v>93</v>
      </c>
      <c r="D2554">
        <v>5.0383000000000003E-4</v>
      </c>
      <c r="E2554" t="s">
        <v>74</v>
      </c>
      <c r="F2554">
        <v>0.50383</v>
      </c>
      <c r="G2554" t="s">
        <v>75</v>
      </c>
      <c r="H2554">
        <v>503.83499999999998</v>
      </c>
      <c r="I2554" t="s">
        <v>76</v>
      </c>
      <c r="J2554" t="s">
        <v>77</v>
      </c>
    </row>
    <row r="2555" spans="1:11" x14ac:dyDescent="0.3">
      <c r="A2555" t="s">
        <v>83</v>
      </c>
      <c r="B2555">
        <v>1000</v>
      </c>
      <c r="C2555" t="s">
        <v>79</v>
      </c>
      <c r="D2555">
        <v>1.1733499999999999E-2</v>
      </c>
      <c r="E2555" t="s">
        <v>74</v>
      </c>
      <c r="F2555">
        <v>11.733499999999999</v>
      </c>
      <c r="G2555" t="s">
        <v>75</v>
      </c>
      <c r="H2555">
        <v>11733.496999999999</v>
      </c>
      <c r="I2555" t="s">
        <v>76</v>
      </c>
      <c r="J2555" t="s">
        <v>77</v>
      </c>
    </row>
    <row r="2556" spans="1:11" x14ac:dyDescent="0.3">
      <c r="A2556" t="s">
        <v>83</v>
      </c>
      <c r="B2556">
        <v>1000</v>
      </c>
      <c r="C2556" t="s">
        <v>96</v>
      </c>
      <c r="D2556">
        <v>1.78111E-3</v>
      </c>
      <c r="E2556" t="s">
        <v>74</v>
      </c>
      <c r="F2556">
        <v>1.78111</v>
      </c>
      <c r="G2556" t="s">
        <v>75</v>
      </c>
      <c r="H2556">
        <v>1781.1110000000001</v>
      </c>
      <c r="I2556" t="s">
        <v>76</v>
      </c>
      <c r="J2556" t="s">
        <v>77</v>
      </c>
    </row>
    <row r="2557" spans="1:11" x14ac:dyDescent="0.3">
      <c r="A2557" t="s">
        <v>83</v>
      </c>
      <c r="B2557">
        <v>1000</v>
      </c>
      <c r="C2557" t="s">
        <v>94</v>
      </c>
      <c r="D2557">
        <v>3.0523999999999998E-3</v>
      </c>
      <c r="E2557" t="s">
        <v>74</v>
      </c>
      <c r="F2557">
        <v>3.0524</v>
      </c>
      <c r="G2557" t="s">
        <v>75</v>
      </c>
      <c r="H2557">
        <v>3052.3969999999999</v>
      </c>
      <c r="I2557" t="s">
        <v>76</v>
      </c>
      <c r="J2557" t="s">
        <v>77</v>
      </c>
    </row>
    <row r="2558" spans="1:11" x14ac:dyDescent="0.3">
      <c r="A2558" t="s">
        <v>83</v>
      </c>
      <c r="B2558">
        <v>1000</v>
      </c>
      <c r="C2558" t="s">
        <v>80</v>
      </c>
      <c r="D2558">
        <v>4.9689799999999996E-3</v>
      </c>
      <c r="E2558" t="s">
        <v>74</v>
      </c>
      <c r="F2558">
        <v>4.9689800000000002</v>
      </c>
      <c r="G2558" t="s">
        <v>75</v>
      </c>
      <c r="H2558">
        <v>4968.9750000000004</v>
      </c>
      <c r="I2558" t="s">
        <v>76</v>
      </c>
      <c r="J2558" t="s">
        <v>77</v>
      </c>
    </row>
    <row r="2559" spans="1:11" x14ac:dyDescent="0.3">
      <c r="A2559" t="s">
        <v>83</v>
      </c>
      <c r="B2559">
        <v>1000</v>
      </c>
      <c r="C2559" t="s">
        <v>81</v>
      </c>
      <c r="D2559">
        <v>1.6703909999999999E-2</v>
      </c>
      <c r="E2559" t="s">
        <v>74</v>
      </c>
      <c r="F2559">
        <v>16.70391</v>
      </c>
      <c r="G2559" t="s">
        <v>75</v>
      </c>
      <c r="H2559">
        <v>16703.913</v>
      </c>
      <c r="I2559" t="s">
        <v>76</v>
      </c>
      <c r="J2559" t="s">
        <v>82</v>
      </c>
      <c r="K2559">
        <v>59.866213100000003</v>
      </c>
    </row>
    <row r="2560" spans="1:11" x14ac:dyDescent="0.3">
      <c r="A2560" t="s">
        <v>84</v>
      </c>
      <c r="B2560">
        <v>1001</v>
      </c>
      <c r="C2560" t="s">
        <v>91</v>
      </c>
      <c r="D2560">
        <v>5.3728999999999995E-4</v>
      </c>
      <c r="E2560" t="s">
        <v>74</v>
      </c>
      <c r="F2560">
        <v>0.53729000000000005</v>
      </c>
      <c r="G2560" t="s">
        <v>75</v>
      </c>
      <c r="H2560">
        <v>537.28899999999999</v>
      </c>
      <c r="I2560" t="s">
        <v>76</v>
      </c>
      <c r="J2560" t="s">
        <v>77</v>
      </c>
    </row>
    <row r="2561" spans="1:11" x14ac:dyDescent="0.3">
      <c r="A2561" t="s">
        <v>84</v>
      </c>
      <c r="B2561">
        <v>1001</v>
      </c>
      <c r="C2561" t="s">
        <v>92</v>
      </c>
      <c r="D2561">
        <v>1.0694499999999999E-2</v>
      </c>
      <c r="E2561" t="s">
        <v>74</v>
      </c>
      <c r="F2561">
        <v>10.6945</v>
      </c>
      <c r="G2561" t="s">
        <v>75</v>
      </c>
      <c r="H2561">
        <v>10694.504000000001</v>
      </c>
      <c r="I2561" t="s">
        <v>76</v>
      </c>
      <c r="J2561" t="s">
        <v>77</v>
      </c>
    </row>
    <row r="2562" spans="1:11" x14ac:dyDescent="0.3">
      <c r="A2562" t="s">
        <v>84</v>
      </c>
      <c r="B2562">
        <v>1001</v>
      </c>
      <c r="C2562" t="s">
        <v>93</v>
      </c>
      <c r="D2562">
        <v>5.0491999999999996E-4</v>
      </c>
      <c r="E2562" t="s">
        <v>74</v>
      </c>
      <c r="F2562">
        <v>0.50492000000000004</v>
      </c>
      <c r="G2562" t="s">
        <v>75</v>
      </c>
      <c r="H2562">
        <v>504.91800000000001</v>
      </c>
      <c r="I2562" t="s">
        <v>76</v>
      </c>
      <c r="J2562" t="s">
        <v>77</v>
      </c>
    </row>
    <row r="2563" spans="1:11" x14ac:dyDescent="0.3">
      <c r="A2563" t="s">
        <v>84</v>
      </c>
      <c r="B2563">
        <v>1001</v>
      </c>
      <c r="C2563" t="s">
        <v>79</v>
      </c>
      <c r="D2563">
        <v>1.173716E-2</v>
      </c>
      <c r="E2563" t="s">
        <v>74</v>
      </c>
      <c r="F2563">
        <v>11.737159999999999</v>
      </c>
      <c r="G2563" t="s">
        <v>75</v>
      </c>
      <c r="H2563">
        <v>11737.16</v>
      </c>
      <c r="I2563" t="s">
        <v>76</v>
      </c>
      <c r="J2563" t="s">
        <v>77</v>
      </c>
    </row>
    <row r="2564" spans="1:11" x14ac:dyDescent="0.3">
      <c r="A2564" t="s">
        <v>84</v>
      </c>
      <c r="B2564">
        <v>1001</v>
      </c>
      <c r="C2564" t="s">
        <v>96</v>
      </c>
      <c r="D2564">
        <v>1.7813499999999999E-3</v>
      </c>
      <c r="E2564" t="s">
        <v>74</v>
      </c>
      <c r="F2564">
        <v>1.78135</v>
      </c>
      <c r="G2564" t="s">
        <v>75</v>
      </c>
      <c r="H2564">
        <v>1781.346</v>
      </c>
      <c r="I2564" t="s">
        <v>76</v>
      </c>
      <c r="J2564" t="s">
        <v>77</v>
      </c>
    </row>
    <row r="2565" spans="1:11" x14ac:dyDescent="0.3">
      <c r="A2565" t="s">
        <v>84</v>
      </c>
      <c r="B2565">
        <v>1001</v>
      </c>
      <c r="C2565" t="s">
        <v>94</v>
      </c>
      <c r="D2565">
        <v>3.0524100000000002E-3</v>
      </c>
      <c r="E2565" t="s">
        <v>74</v>
      </c>
      <c r="F2565">
        <v>3.0524100000000001</v>
      </c>
      <c r="G2565" t="s">
        <v>75</v>
      </c>
      <c r="H2565">
        <v>3052.4140000000002</v>
      </c>
      <c r="I2565" t="s">
        <v>76</v>
      </c>
      <c r="J2565" t="s">
        <v>77</v>
      </c>
    </row>
    <row r="2566" spans="1:11" x14ac:dyDescent="0.3">
      <c r="A2566" t="s">
        <v>84</v>
      </c>
      <c r="B2566">
        <v>1001</v>
      </c>
      <c r="C2566" t="s">
        <v>80</v>
      </c>
      <c r="D2566">
        <v>4.9692199999999999E-3</v>
      </c>
      <c r="E2566" t="s">
        <v>74</v>
      </c>
      <c r="F2566">
        <v>4.96922</v>
      </c>
      <c r="G2566" t="s">
        <v>75</v>
      </c>
      <c r="H2566">
        <v>4969.2160000000003</v>
      </c>
      <c r="I2566" t="s">
        <v>76</v>
      </c>
      <c r="J2566" t="s">
        <v>77</v>
      </c>
    </row>
    <row r="2567" spans="1:11" x14ac:dyDescent="0.3">
      <c r="A2567" t="s">
        <v>84</v>
      </c>
      <c r="B2567">
        <v>1001</v>
      </c>
      <c r="C2567" t="s">
        <v>81</v>
      </c>
      <c r="D2567">
        <v>1.6707820000000002E-2</v>
      </c>
      <c r="E2567" t="s">
        <v>74</v>
      </c>
      <c r="F2567">
        <v>16.707820000000002</v>
      </c>
      <c r="G2567" t="s">
        <v>75</v>
      </c>
      <c r="H2567">
        <v>16707.817999999999</v>
      </c>
      <c r="I2567" t="s">
        <v>76</v>
      </c>
      <c r="J2567" t="s">
        <v>82</v>
      </c>
      <c r="K2567">
        <v>59.852221399999998</v>
      </c>
    </row>
    <row r="2568" spans="1:11" x14ac:dyDescent="0.3">
      <c r="A2568" t="s">
        <v>85</v>
      </c>
      <c r="B2568">
        <v>1001</v>
      </c>
      <c r="C2568" t="s">
        <v>86</v>
      </c>
      <c r="D2568">
        <v>1.6708020000000001E-2</v>
      </c>
      <c r="E2568" t="s">
        <v>74</v>
      </c>
      <c r="F2568">
        <v>16.708020000000001</v>
      </c>
      <c r="G2568" t="s">
        <v>75</v>
      </c>
      <c r="H2568">
        <v>16708.023000000001</v>
      </c>
      <c r="I2568" t="s">
        <v>76</v>
      </c>
      <c r="J2568" t="s">
        <v>82</v>
      </c>
      <c r="K2568">
        <v>59.851484200000002</v>
      </c>
    </row>
    <row r="2569" spans="1:11" x14ac:dyDescent="0.3">
      <c r="A2569" t="s">
        <v>87</v>
      </c>
    </row>
    <row r="2570" spans="1:11" x14ac:dyDescent="0.3">
      <c r="A2570" t="s">
        <v>102</v>
      </c>
    </row>
    <row r="2571" spans="1:11" x14ac:dyDescent="0.3">
      <c r="A2571" t="s">
        <v>72</v>
      </c>
      <c r="B2571">
        <v>1</v>
      </c>
      <c r="C2571" t="s">
        <v>81</v>
      </c>
      <c r="D2571">
        <v>2.4819600000000001E-2</v>
      </c>
      <c r="E2571" t="s">
        <v>74</v>
      </c>
      <c r="F2571">
        <v>24.819600000000001</v>
      </c>
      <c r="G2571" t="s">
        <v>75</v>
      </c>
      <c r="H2571">
        <v>24819.598999999998</v>
      </c>
      <c r="I2571" t="s">
        <v>76</v>
      </c>
      <c r="J2571" t="s">
        <v>82</v>
      </c>
      <c r="K2571">
        <v>40.2907388</v>
      </c>
    </row>
    <row r="2572" spans="1:11" x14ac:dyDescent="0.3">
      <c r="A2572" t="s">
        <v>83</v>
      </c>
      <c r="B2572">
        <v>1000</v>
      </c>
      <c r="C2572" t="s">
        <v>81</v>
      </c>
      <c r="D2572">
        <v>1.471689E-2</v>
      </c>
      <c r="E2572" t="s">
        <v>74</v>
      </c>
      <c r="F2572">
        <v>14.716889999999999</v>
      </c>
      <c r="G2572" t="s">
        <v>75</v>
      </c>
      <c r="H2572">
        <v>14716.887000000001</v>
      </c>
      <c r="I2572" t="s">
        <v>76</v>
      </c>
      <c r="J2572" t="s">
        <v>82</v>
      </c>
      <c r="K2572">
        <v>67.949154800000002</v>
      </c>
    </row>
    <row r="2573" spans="1:11" x14ac:dyDescent="0.3">
      <c r="A2573" t="s">
        <v>85</v>
      </c>
      <c r="B2573">
        <v>1001</v>
      </c>
      <c r="C2573" t="s">
        <v>86</v>
      </c>
      <c r="D2573">
        <v>1.4727199999999999E-2</v>
      </c>
      <c r="E2573" t="s">
        <v>74</v>
      </c>
      <c r="F2573">
        <v>14.7272</v>
      </c>
      <c r="G2573" t="s">
        <v>75</v>
      </c>
      <c r="H2573">
        <v>14727.203</v>
      </c>
      <c r="I2573" t="s">
        <v>76</v>
      </c>
      <c r="J2573" t="s">
        <v>82</v>
      </c>
      <c r="K2573">
        <v>67.901556999999997</v>
      </c>
    </row>
    <row r="2575" spans="1:11" x14ac:dyDescent="0.3">
      <c r="A2575" t="s">
        <v>103</v>
      </c>
    </row>
    <row r="2576" spans="1:11" x14ac:dyDescent="0.3">
      <c r="A2576" t="s">
        <v>72</v>
      </c>
      <c r="B2576">
        <v>1</v>
      </c>
      <c r="C2576" t="s">
        <v>81</v>
      </c>
      <c r="D2576">
        <v>2.0612999999999999E-2</v>
      </c>
      <c r="E2576" t="s">
        <v>74</v>
      </c>
      <c r="F2576">
        <v>20.613</v>
      </c>
      <c r="G2576" t="s">
        <v>75</v>
      </c>
      <c r="H2576">
        <v>20613</v>
      </c>
      <c r="I2576" t="s">
        <v>76</v>
      </c>
      <c r="J2576" t="s">
        <v>82</v>
      </c>
      <c r="K2576">
        <v>48.513074799999998</v>
      </c>
    </row>
    <row r="2577" spans="1:11" x14ac:dyDescent="0.3">
      <c r="A2577" t="s">
        <v>83</v>
      </c>
      <c r="B2577">
        <v>1000</v>
      </c>
      <c r="C2577" t="s">
        <v>81</v>
      </c>
      <c r="D2577">
        <v>1.6703909999999999E-2</v>
      </c>
      <c r="E2577" t="s">
        <v>74</v>
      </c>
      <c r="F2577">
        <v>16.70391</v>
      </c>
      <c r="G2577" t="s">
        <v>75</v>
      </c>
      <c r="H2577">
        <v>16703.913</v>
      </c>
      <c r="I2577" t="s">
        <v>76</v>
      </c>
      <c r="J2577" t="s">
        <v>82</v>
      </c>
      <c r="K2577">
        <v>59.866213100000003</v>
      </c>
    </row>
    <row r="2578" spans="1:11" x14ac:dyDescent="0.3">
      <c r="A2578" t="s">
        <v>85</v>
      </c>
      <c r="B2578">
        <v>1001</v>
      </c>
      <c r="C2578" t="s">
        <v>86</v>
      </c>
      <c r="D2578">
        <v>1.6708020000000001E-2</v>
      </c>
      <c r="E2578" t="s">
        <v>74</v>
      </c>
      <c r="F2578">
        <v>16.708020000000001</v>
      </c>
      <c r="G2578" t="s">
        <v>75</v>
      </c>
      <c r="H2578">
        <v>16708.023000000001</v>
      </c>
      <c r="I2578" t="s">
        <v>76</v>
      </c>
      <c r="J2578" t="s">
        <v>82</v>
      </c>
      <c r="K2578">
        <v>59.851484200000002</v>
      </c>
    </row>
    <row r="2580" spans="1:11" x14ac:dyDescent="0.3">
      <c r="A2580" t="s">
        <v>66</v>
      </c>
    </row>
    <row r="2582" spans="1:11" x14ac:dyDescent="0.3">
      <c r="A2582" t="s">
        <v>243</v>
      </c>
    </row>
    <row r="2583" spans="1:11" x14ac:dyDescent="0.3">
      <c r="A2583" t="s">
        <v>68</v>
      </c>
    </row>
    <row r="2584" spans="1:11" x14ac:dyDescent="0.3">
      <c r="A2584" t="s">
        <v>69</v>
      </c>
    </row>
    <row r="2585" spans="1:11" x14ac:dyDescent="0.3">
      <c r="A2585" t="s">
        <v>70</v>
      </c>
    </row>
    <row r="2586" spans="1:11" x14ac:dyDescent="0.3">
      <c r="A2586" t="s">
        <v>105</v>
      </c>
    </row>
    <row r="2587" spans="1:11" x14ac:dyDescent="0.3">
      <c r="A2587" t="s">
        <v>72</v>
      </c>
      <c r="B2587">
        <v>1</v>
      </c>
      <c r="C2587" t="s">
        <v>73</v>
      </c>
      <c r="D2587">
        <v>6.9999999999999997E-7</v>
      </c>
      <c r="E2587" t="s">
        <v>74</v>
      </c>
      <c r="F2587">
        <v>6.9999999999999999E-4</v>
      </c>
      <c r="G2587" t="s">
        <v>75</v>
      </c>
      <c r="H2587">
        <v>0.7</v>
      </c>
      <c r="I2587" t="s">
        <v>76</v>
      </c>
      <c r="J2587" t="s">
        <v>77</v>
      </c>
    </row>
    <row r="2588" spans="1:11" x14ac:dyDescent="0.3">
      <c r="A2588" t="s">
        <v>72</v>
      </c>
      <c r="B2588">
        <v>1</v>
      </c>
      <c r="C2588" t="s">
        <v>78</v>
      </c>
      <c r="D2588">
        <v>4.5599999999999997E-5</v>
      </c>
      <c r="E2588" t="s">
        <v>74</v>
      </c>
      <c r="F2588">
        <v>4.5600000000000002E-2</v>
      </c>
      <c r="G2588" t="s">
        <v>75</v>
      </c>
      <c r="H2588">
        <v>45.6</v>
      </c>
      <c r="I2588" t="s">
        <v>76</v>
      </c>
      <c r="J2588" t="s">
        <v>77</v>
      </c>
    </row>
    <row r="2589" spans="1:11" x14ac:dyDescent="0.3">
      <c r="A2589" t="s">
        <v>72</v>
      </c>
      <c r="B2589">
        <v>1</v>
      </c>
      <c r="C2589" t="s">
        <v>91</v>
      </c>
      <c r="D2589">
        <v>2.2751E-3</v>
      </c>
      <c r="E2589" t="s">
        <v>74</v>
      </c>
      <c r="F2589">
        <v>2.2751000000000001</v>
      </c>
      <c r="G2589" t="s">
        <v>75</v>
      </c>
      <c r="H2589">
        <v>2275.1</v>
      </c>
      <c r="I2589" t="s">
        <v>76</v>
      </c>
      <c r="J2589" t="s">
        <v>77</v>
      </c>
    </row>
    <row r="2590" spans="1:11" x14ac:dyDescent="0.3">
      <c r="A2590" t="s">
        <v>72</v>
      </c>
      <c r="B2590">
        <v>1</v>
      </c>
      <c r="C2590" t="s">
        <v>92</v>
      </c>
      <c r="D2590">
        <v>4.0841000000000002E-3</v>
      </c>
      <c r="E2590" t="s">
        <v>74</v>
      </c>
      <c r="F2590">
        <v>4.0841000000000003</v>
      </c>
      <c r="G2590" t="s">
        <v>75</v>
      </c>
      <c r="H2590">
        <v>4084.1</v>
      </c>
      <c r="I2590" t="s">
        <v>76</v>
      </c>
      <c r="J2590" t="s">
        <v>77</v>
      </c>
    </row>
    <row r="2591" spans="1:11" x14ac:dyDescent="0.3">
      <c r="A2591" t="s">
        <v>72</v>
      </c>
      <c r="B2591">
        <v>1</v>
      </c>
      <c r="C2591" t="s">
        <v>93</v>
      </c>
      <c r="D2591">
        <v>1.6925E-3</v>
      </c>
      <c r="E2591" t="s">
        <v>74</v>
      </c>
      <c r="F2591">
        <v>1.6924999999999999</v>
      </c>
      <c r="G2591" t="s">
        <v>75</v>
      </c>
      <c r="H2591">
        <v>1692.5</v>
      </c>
      <c r="I2591" t="s">
        <v>76</v>
      </c>
      <c r="J2591" t="s">
        <v>77</v>
      </c>
    </row>
    <row r="2592" spans="1:11" x14ac:dyDescent="0.3">
      <c r="A2592" t="s">
        <v>72</v>
      </c>
      <c r="B2592">
        <v>1</v>
      </c>
      <c r="C2592" t="s">
        <v>79</v>
      </c>
      <c r="D2592">
        <v>8.0534999999999999E-3</v>
      </c>
      <c r="E2592" t="s">
        <v>74</v>
      </c>
      <c r="F2592">
        <v>8.0534999999999997</v>
      </c>
      <c r="G2592" t="s">
        <v>75</v>
      </c>
      <c r="H2592">
        <v>8053.5</v>
      </c>
      <c r="I2592" t="s">
        <v>76</v>
      </c>
      <c r="J2592" t="s">
        <v>77</v>
      </c>
    </row>
    <row r="2593" spans="1:11" x14ac:dyDescent="0.3">
      <c r="A2593" t="s">
        <v>72</v>
      </c>
      <c r="B2593">
        <v>1</v>
      </c>
      <c r="C2593" t="s">
        <v>94</v>
      </c>
      <c r="D2593">
        <v>9.3430000000000006E-3</v>
      </c>
      <c r="E2593" t="s">
        <v>74</v>
      </c>
      <c r="F2593">
        <v>9.343</v>
      </c>
      <c r="G2593" t="s">
        <v>75</v>
      </c>
      <c r="H2593">
        <v>9343</v>
      </c>
      <c r="I2593" t="s">
        <v>76</v>
      </c>
      <c r="J2593" t="s">
        <v>77</v>
      </c>
    </row>
    <row r="2594" spans="1:11" x14ac:dyDescent="0.3">
      <c r="A2594" t="s">
        <v>72</v>
      </c>
      <c r="B2594">
        <v>1</v>
      </c>
      <c r="C2594" t="s">
        <v>80</v>
      </c>
      <c r="D2594">
        <v>9.3448999999999997E-3</v>
      </c>
      <c r="E2594" t="s">
        <v>74</v>
      </c>
      <c r="F2594">
        <v>9.3449000000000009</v>
      </c>
      <c r="G2594" t="s">
        <v>75</v>
      </c>
      <c r="H2594">
        <v>9344.9</v>
      </c>
      <c r="I2594" t="s">
        <v>76</v>
      </c>
      <c r="J2594" t="s">
        <v>77</v>
      </c>
    </row>
    <row r="2595" spans="1:11" x14ac:dyDescent="0.3">
      <c r="A2595" t="s">
        <v>72</v>
      </c>
      <c r="B2595">
        <v>1</v>
      </c>
      <c r="C2595" t="s">
        <v>81</v>
      </c>
      <c r="D2595">
        <v>1.74015E-2</v>
      </c>
      <c r="E2595" t="s">
        <v>74</v>
      </c>
      <c r="F2595">
        <v>17.401499999999999</v>
      </c>
      <c r="G2595" t="s">
        <v>75</v>
      </c>
      <c r="H2595">
        <v>17401.5</v>
      </c>
      <c r="I2595" t="s">
        <v>76</v>
      </c>
      <c r="J2595" t="s">
        <v>82</v>
      </c>
      <c r="K2595">
        <v>57.466311500000003</v>
      </c>
    </row>
    <row r="2596" spans="1:11" x14ac:dyDescent="0.3">
      <c r="A2596" t="s">
        <v>83</v>
      </c>
      <c r="B2596">
        <v>1000</v>
      </c>
      <c r="C2596" t="s">
        <v>91</v>
      </c>
      <c r="D2596">
        <v>5.4401000000000004E-4</v>
      </c>
      <c r="E2596" t="s">
        <v>74</v>
      </c>
      <c r="F2596">
        <v>0.54400999999999999</v>
      </c>
      <c r="G2596" t="s">
        <v>75</v>
      </c>
      <c r="H2596">
        <v>544.00699999999995</v>
      </c>
      <c r="I2596" t="s">
        <v>76</v>
      </c>
      <c r="J2596" t="s">
        <v>77</v>
      </c>
    </row>
    <row r="2597" spans="1:11" x14ac:dyDescent="0.3">
      <c r="A2597" t="s">
        <v>83</v>
      </c>
      <c r="B2597">
        <v>1000</v>
      </c>
      <c r="C2597" t="s">
        <v>92</v>
      </c>
      <c r="D2597">
        <v>2.9483600000000001E-3</v>
      </c>
      <c r="E2597" t="s">
        <v>74</v>
      </c>
      <c r="F2597">
        <v>2.9483600000000001</v>
      </c>
      <c r="G2597" t="s">
        <v>75</v>
      </c>
      <c r="H2597">
        <v>2948.3620000000001</v>
      </c>
      <c r="I2597" t="s">
        <v>76</v>
      </c>
      <c r="J2597" t="s">
        <v>77</v>
      </c>
    </row>
    <row r="2598" spans="1:11" x14ac:dyDescent="0.3">
      <c r="A2598" t="s">
        <v>83</v>
      </c>
      <c r="B2598">
        <v>1000</v>
      </c>
      <c r="C2598" t="s">
        <v>93</v>
      </c>
      <c r="D2598">
        <v>5.1303000000000004E-4</v>
      </c>
      <c r="E2598" t="s">
        <v>74</v>
      </c>
      <c r="F2598">
        <v>0.51302999999999999</v>
      </c>
      <c r="G2598" t="s">
        <v>75</v>
      </c>
      <c r="H2598">
        <v>513.03200000000004</v>
      </c>
      <c r="I2598" t="s">
        <v>76</v>
      </c>
      <c r="J2598" t="s">
        <v>77</v>
      </c>
    </row>
    <row r="2599" spans="1:11" x14ac:dyDescent="0.3">
      <c r="A2599" t="s">
        <v>83</v>
      </c>
      <c r="B2599">
        <v>1000</v>
      </c>
      <c r="C2599" t="s">
        <v>79</v>
      </c>
      <c r="D2599">
        <v>4.00585E-3</v>
      </c>
      <c r="E2599" t="s">
        <v>74</v>
      </c>
      <c r="F2599">
        <v>4.0058499999999997</v>
      </c>
      <c r="G2599" t="s">
        <v>75</v>
      </c>
      <c r="H2599">
        <v>4005.8470000000002</v>
      </c>
      <c r="I2599" t="s">
        <v>76</v>
      </c>
      <c r="J2599" t="s">
        <v>77</v>
      </c>
    </row>
    <row r="2600" spans="1:11" x14ac:dyDescent="0.3">
      <c r="A2600" t="s">
        <v>83</v>
      </c>
      <c r="B2600">
        <v>1000</v>
      </c>
      <c r="C2600" t="s">
        <v>94</v>
      </c>
      <c r="D2600">
        <v>2.69608E-3</v>
      </c>
      <c r="E2600" t="s">
        <v>74</v>
      </c>
      <c r="F2600">
        <v>2.6960799999999998</v>
      </c>
      <c r="G2600" t="s">
        <v>75</v>
      </c>
      <c r="H2600">
        <v>2696.078</v>
      </c>
      <c r="I2600" t="s">
        <v>76</v>
      </c>
      <c r="J2600" t="s">
        <v>77</v>
      </c>
    </row>
    <row r="2601" spans="1:11" x14ac:dyDescent="0.3">
      <c r="A2601" t="s">
        <v>83</v>
      </c>
      <c r="B2601">
        <v>1000</v>
      </c>
      <c r="C2601" t="s">
        <v>80</v>
      </c>
      <c r="D2601">
        <v>2.8736399999999998E-3</v>
      </c>
      <c r="E2601" t="s">
        <v>74</v>
      </c>
      <c r="F2601">
        <v>2.87364</v>
      </c>
      <c r="G2601" t="s">
        <v>75</v>
      </c>
      <c r="H2601">
        <v>2873.6390000000001</v>
      </c>
      <c r="I2601" t="s">
        <v>76</v>
      </c>
      <c r="J2601" t="s">
        <v>77</v>
      </c>
    </row>
    <row r="2602" spans="1:11" x14ac:dyDescent="0.3">
      <c r="A2602" t="s">
        <v>83</v>
      </c>
      <c r="B2602">
        <v>1000</v>
      </c>
      <c r="C2602" t="s">
        <v>81</v>
      </c>
      <c r="D2602">
        <v>6.8807E-3</v>
      </c>
      <c r="E2602" t="s">
        <v>74</v>
      </c>
      <c r="F2602">
        <v>6.8807</v>
      </c>
      <c r="G2602" t="s">
        <v>75</v>
      </c>
      <c r="H2602">
        <v>6880.7</v>
      </c>
      <c r="I2602" t="s">
        <v>76</v>
      </c>
      <c r="J2602" t="s">
        <v>82</v>
      </c>
      <c r="K2602">
        <v>145.334058</v>
      </c>
    </row>
    <row r="2603" spans="1:11" x14ac:dyDescent="0.3">
      <c r="A2603" t="s">
        <v>84</v>
      </c>
      <c r="B2603">
        <v>1001</v>
      </c>
      <c r="C2603" t="s">
        <v>91</v>
      </c>
      <c r="D2603">
        <v>5.4573999999999996E-4</v>
      </c>
      <c r="E2603" t="s">
        <v>74</v>
      </c>
      <c r="F2603">
        <v>0.54574</v>
      </c>
      <c r="G2603" t="s">
        <v>75</v>
      </c>
      <c r="H2603">
        <v>545.73699999999997</v>
      </c>
      <c r="I2603" t="s">
        <v>76</v>
      </c>
      <c r="J2603" t="s">
        <v>77</v>
      </c>
    </row>
    <row r="2604" spans="1:11" x14ac:dyDescent="0.3">
      <c r="A2604" t="s">
        <v>84</v>
      </c>
      <c r="B2604">
        <v>1001</v>
      </c>
      <c r="C2604" t="s">
        <v>92</v>
      </c>
      <c r="D2604">
        <v>2.9494999999999999E-3</v>
      </c>
      <c r="E2604" t="s">
        <v>74</v>
      </c>
      <c r="F2604">
        <v>2.9495</v>
      </c>
      <c r="G2604" t="s">
        <v>75</v>
      </c>
      <c r="H2604">
        <v>2949.4960000000001</v>
      </c>
      <c r="I2604" t="s">
        <v>76</v>
      </c>
      <c r="J2604" t="s">
        <v>77</v>
      </c>
    </row>
    <row r="2605" spans="1:11" x14ac:dyDescent="0.3">
      <c r="A2605" t="s">
        <v>84</v>
      </c>
      <c r="B2605">
        <v>1001</v>
      </c>
      <c r="C2605" t="s">
        <v>93</v>
      </c>
      <c r="D2605">
        <v>5.1420999999999997E-4</v>
      </c>
      <c r="E2605" t="s">
        <v>74</v>
      </c>
      <c r="F2605">
        <v>0.51420999999999994</v>
      </c>
      <c r="G2605" t="s">
        <v>75</v>
      </c>
      <c r="H2605">
        <v>514.21</v>
      </c>
      <c r="I2605" t="s">
        <v>76</v>
      </c>
      <c r="J2605" t="s">
        <v>77</v>
      </c>
    </row>
    <row r="2606" spans="1:11" x14ac:dyDescent="0.3">
      <c r="A2606" t="s">
        <v>84</v>
      </c>
      <c r="B2606">
        <v>1001</v>
      </c>
      <c r="C2606" t="s">
        <v>79</v>
      </c>
      <c r="D2606">
        <v>4.0098900000000003E-3</v>
      </c>
      <c r="E2606" t="s">
        <v>74</v>
      </c>
      <c r="F2606">
        <v>4.0098900000000004</v>
      </c>
      <c r="G2606" t="s">
        <v>75</v>
      </c>
      <c r="H2606">
        <v>4009.8910000000001</v>
      </c>
      <c r="I2606" t="s">
        <v>76</v>
      </c>
      <c r="J2606" t="s">
        <v>77</v>
      </c>
    </row>
    <row r="2607" spans="1:11" x14ac:dyDescent="0.3">
      <c r="A2607" t="s">
        <v>84</v>
      </c>
      <c r="B2607">
        <v>1001</v>
      </c>
      <c r="C2607" t="s">
        <v>94</v>
      </c>
      <c r="D2607">
        <v>2.70272E-3</v>
      </c>
      <c r="E2607" t="s">
        <v>74</v>
      </c>
      <c r="F2607">
        <v>2.7027199999999998</v>
      </c>
      <c r="G2607" t="s">
        <v>75</v>
      </c>
      <c r="H2607">
        <v>2702.7179999999998</v>
      </c>
      <c r="I2607" t="s">
        <v>76</v>
      </c>
      <c r="J2607" t="s">
        <v>77</v>
      </c>
    </row>
    <row r="2608" spans="1:11" x14ac:dyDescent="0.3">
      <c r="A2608" t="s">
        <v>84</v>
      </c>
      <c r="B2608">
        <v>1001</v>
      </c>
      <c r="C2608" t="s">
        <v>80</v>
      </c>
      <c r="D2608">
        <v>2.8801E-3</v>
      </c>
      <c r="E2608" t="s">
        <v>74</v>
      </c>
      <c r="F2608">
        <v>2.8801000000000001</v>
      </c>
      <c r="G2608" t="s">
        <v>75</v>
      </c>
      <c r="H2608">
        <v>2880.1039999999998</v>
      </c>
      <c r="I2608" t="s">
        <v>76</v>
      </c>
      <c r="J2608" t="s">
        <v>77</v>
      </c>
    </row>
    <row r="2609" spans="1:11" x14ac:dyDescent="0.3">
      <c r="A2609" t="s">
        <v>84</v>
      </c>
      <c r="B2609">
        <v>1001</v>
      </c>
      <c r="C2609" t="s">
        <v>81</v>
      </c>
      <c r="D2609">
        <v>6.89121E-3</v>
      </c>
      <c r="E2609" t="s">
        <v>74</v>
      </c>
      <c r="F2609">
        <v>6.8912100000000001</v>
      </c>
      <c r="G2609" t="s">
        <v>75</v>
      </c>
      <c r="H2609">
        <v>6891.21</v>
      </c>
      <c r="I2609" t="s">
        <v>76</v>
      </c>
      <c r="J2609" t="s">
        <v>82</v>
      </c>
      <c r="K2609">
        <v>145.11239430000001</v>
      </c>
    </row>
    <row r="2610" spans="1:11" x14ac:dyDescent="0.3">
      <c r="A2610" t="s">
        <v>85</v>
      </c>
      <c r="B2610">
        <v>1001</v>
      </c>
      <c r="C2610" t="s">
        <v>86</v>
      </c>
      <c r="D2610">
        <v>6.8914600000000003E-3</v>
      </c>
      <c r="E2610" t="s">
        <v>74</v>
      </c>
      <c r="F2610">
        <v>6.8914600000000004</v>
      </c>
      <c r="G2610" t="s">
        <v>75</v>
      </c>
      <c r="H2610">
        <v>6891.4570000000003</v>
      </c>
      <c r="I2610" t="s">
        <v>76</v>
      </c>
      <c r="J2610" t="s">
        <v>82</v>
      </c>
      <c r="K2610">
        <v>145.10718840000001</v>
      </c>
    </row>
    <row r="2611" spans="1:11" x14ac:dyDescent="0.3">
      <c r="A2611" t="s">
        <v>106</v>
      </c>
    </row>
    <row r="2612" spans="1:11" x14ac:dyDescent="0.3">
      <c r="A2612" t="s">
        <v>72</v>
      </c>
      <c r="B2612">
        <v>1</v>
      </c>
      <c r="C2612" t="s">
        <v>73</v>
      </c>
      <c r="D2612">
        <v>6.9999999999999997E-7</v>
      </c>
      <c r="E2612" t="s">
        <v>74</v>
      </c>
      <c r="F2612">
        <v>6.9999999999999999E-4</v>
      </c>
      <c r="G2612" t="s">
        <v>75</v>
      </c>
      <c r="H2612">
        <v>0.7</v>
      </c>
      <c r="I2612" t="s">
        <v>76</v>
      </c>
      <c r="J2612" t="s">
        <v>77</v>
      </c>
    </row>
    <row r="2613" spans="1:11" x14ac:dyDescent="0.3">
      <c r="A2613" t="s">
        <v>72</v>
      </c>
      <c r="B2613">
        <v>1</v>
      </c>
      <c r="C2613" t="s">
        <v>78</v>
      </c>
      <c r="D2613">
        <v>4.3000000000000002E-5</v>
      </c>
      <c r="E2613" t="s">
        <v>74</v>
      </c>
      <c r="F2613">
        <v>4.2999999999999997E-2</v>
      </c>
      <c r="G2613" t="s">
        <v>75</v>
      </c>
      <c r="H2613">
        <v>43</v>
      </c>
      <c r="I2613" t="s">
        <v>76</v>
      </c>
      <c r="J2613" t="s">
        <v>77</v>
      </c>
    </row>
    <row r="2614" spans="1:11" x14ac:dyDescent="0.3">
      <c r="A2614" t="s">
        <v>72</v>
      </c>
      <c r="B2614">
        <v>1</v>
      </c>
      <c r="C2614" t="s">
        <v>91</v>
      </c>
      <c r="D2614">
        <v>2.1421000000000001E-3</v>
      </c>
      <c r="E2614" t="s">
        <v>74</v>
      </c>
      <c r="F2614">
        <v>2.1421000000000001</v>
      </c>
      <c r="G2614" t="s">
        <v>75</v>
      </c>
      <c r="H2614">
        <v>2142.1</v>
      </c>
      <c r="I2614" t="s">
        <v>76</v>
      </c>
      <c r="J2614" t="s">
        <v>77</v>
      </c>
    </row>
    <row r="2615" spans="1:11" x14ac:dyDescent="0.3">
      <c r="A2615" t="s">
        <v>72</v>
      </c>
      <c r="B2615">
        <v>1</v>
      </c>
      <c r="C2615" t="s">
        <v>92</v>
      </c>
      <c r="D2615">
        <v>3.9449999999999997E-3</v>
      </c>
      <c r="E2615" t="s">
        <v>74</v>
      </c>
      <c r="F2615">
        <v>3.9449999999999998</v>
      </c>
      <c r="G2615" t="s">
        <v>75</v>
      </c>
      <c r="H2615">
        <v>3945</v>
      </c>
      <c r="I2615" t="s">
        <v>76</v>
      </c>
      <c r="J2615" t="s">
        <v>77</v>
      </c>
    </row>
    <row r="2616" spans="1:11" x14ac:dyDescent="0.3">
      <c r="A2616" t="s">
        <v>72</v>
      </c>
      <c r="B2616">
        <v>1</v>
      </c>
      <c r="C2616" t="s">
        <v>93</v>
      </c>
      <c r="D2616">
        <v>1.6237000000000001E-3</v>
      </c>
      <c r="E2616" t="s">
        <v>74</v>
      </c>
      <c r="F2616">
        <v>1.6236999999999999</v>
      </c>
      <c r="G2616" t="s">
        <v>75</v>
      </c>
      <c r="H2616">
        <v>1623.7</v>
      </c>
      <c r="I2616" t="s">
        <v>76</v>
      </c>
      <c r="J2616" t="s">
        <v>77</v>
      </c>
    </row>
    <row r="2617" spans="1:11" x14ac:dyDescent="0.3">
      <c r="A2617" t="s">
        <v>72</v>
      </c>
      <c r="B2617">
        <v>1</v>
      </c>
      <c r="C2617" t="s">
        <v>79</v>
      </c>
      <c r="D2617">
        <v>7.711E-3</v>
      </c>
      <c r="E2617" t="s">
        <v>74</v>
      </c>
      <c r="F2617">
        <v>7.7110000000000003</v>
      </c>
      <c r="G2617" t="s">
        <v>75</v>
      </c>
      <c r="H2617">
        <v>7711</v>
      </c>
      <c r="I2617" t="s">
        <v>76</v>
      </c>
      <c r="J2617" t="s">
        <v>77</v>
      </c>
    </row>
    <row r="2618" spans="1:11" x14ac:dyDescent="0.3">
      <c r="A2618" t="s">
        <v>72</v>
      </c>
      <c r="B2618">
        <v>1</v>
      </c>
      <c r="C2618" t="s">
        <v>96</v>
      </c>
      <c r="D2618">
        <v>2.1191999999999999E-3</v>
      </c>
      <c r="E2618" t="s">
        <v>74</v>
      </c>
      <c r="F2618">
        <v>2.1192000000000002</v>
      </c>
      <c r="G2618" t="s">
        <v>75</v>
      </c>
      <c r="H2618">
        <v>2119.1999999999998</v>
      </c>
      <c r="I2618" t="s">
        <v>76</v>
      </c>
      <c r="J2618" t="s">
        <v>77</v>
      </c>
    </row>
    <row r="2619" spans="1:11" x14ac:dyDescent="0.3">
      <c r="A2619" t="s">
        <v>72</v>
      </c>
      <c r="B2619">
        <v>1</v>
      </c>
      <c r="C2619" t="s">
        <v>94</v>
      </c>
      <c r="D2619">
        <v>3.1134000000000001E-3</v>
      </c>
      <c r="E2619" t="s">
        <v>74</v>
      </c>
      <c r="F2619">
        <v>3.1133999999999999</v>
      </c>
      <c r="G2619" t="s">
        <v>75</v>
      </c>
      <c r="H2619">
        <v>3113.4</v>
      </c>
      <c r="I2619" t="s">
        <v>76</v>
      </c>
      <c r="J2619" t="s">
        <v>77</v>
      </c>
    </row>
    <row r="2620" spans="1:11" x14ac:dyDescent="0.3">
      <c r="A2620" t="s">
        <v>72</v>
      </c>
      <c r="B2620">
        <v>1</v>
      </c>
      <c r="C2620" t="s">
        <v>80</v>
      </c>
      <c r="D2620">
        <v>5.3598999999999999E-3</v>
      </c>
      <c r="E2620" t="s">
        <v>74</v>
      </c>
      <c r="F2620">
        <v>5.3598999999999997</v>
      </c>
      <c r="G2620" t="s">
        <v>75</v>
      </c>
      <c r="H2620">
        <v>5359.9</v>
      </c>
      <c r="I2620" t="s">
        <v>76</v>
      </c>
      <c r="J2620" t="s">
        <v>77</v>
      </c>
    </row>
    <row r="2621" spans="1:11" x14ac:dyDescent="0.3">
      <c r="A2621" t="s">
        <v>72</v>
      </c>
      <c r="B2621">
        <v>1</v>
      </c>
      <c r="C2621" t="s">
        <v>81</v>
      </c>
      <c r="D2621">
        <v>1.30717E-2</v>
      </c>
      <c r="E2621" t="s">
        <v>74</v>
      </c>
      <c r="F2621">
        <v>13.0717</v>
      </c>
      <c r="G2621" t="s">
        <v>75</v>
      </c>
      <c r="H2621">
        <v>13071.7</v>
      </c>
      <c r="I2621" t="s">
        <v>76</v>
      </c>
      <c r="J2621" t="s">
        <v>82</v>
      </c>
      <c r="K2621">
        <v>76.5011437</v>
      </c>
    </row>
    <row r="2622" spans="1:11" x14ac:dyDescent="0.3">
      <c r="A2622" t="s">
        <v>83</v>
      </c>
      <c r="B2622">
        <v>1000</v>
      </c>
      <c r="C2622" t="s">
        <v>91</v>
      </c>
      <c r="D2622">
        <v>5.4020999999999995E-4</v>
      </c>
      <c r="E2622" t="s">
        <v>74</v>
      </c>
      <c r="F2622">
        <v>0.54020999999999997</v>
      </c>
      <c r="G2622" t="s">
        <v>75</v>
      </c>
      <c r="H2622">
        <v>540.20799999999997</v>
      </c>
      <c r="I2622" t="s">
        <v>76</v>
      </c>
      <c r="J2622" t="s">
        <v>77</v>
      </c>
    </row>
    <row r="2623" spans="1:11" x14ac:dyDescent="0.3">
      <c r="A2623" t="s">
        <v>83</v>
      </c>
      <c r="B2623">
        <v>1000</v>
      </c>
      <c r="C2623" t="s">
        <v>92</v>
      </c>
      <c r="D2623">
        <v>2.8598400000000002E-3</v>
      </c>
      <c r="E2623" t="s">
        <v>74</v>
      </c>
      <c r="F2623">
        <v>2.8598400000000002</v>
      </c>
      <c r="G2623" t="s">
        <v>75</v>
      </c>
      <c r="H2623">
        <v>2859.8420000000001</v>
      </c>
      <c r="I2623" t="s">
        <v>76</v>
      </c>
      <c r="J2623" t="s">
        <v>77</v>
      </c>
    </row>
    <row r="2624" spans="1:11" x14ac:dyDescent="0.3">
      <c r="A2624" t="s">
        <v>83</v>
      </c>
      <c r="B2624">
        <v>1000</v>
      </c>
      <c r="C2624" t="s">
        <v>93</v>
      </c>
      <c r="D2624">
        <v>5.0779999999999998E-4</v>
      </c>
      <c r="E2624" t="s">
        <v>74</v>
      </c>
      <c r="F2624">
        <v>0.50780000000000003</v>
      </c>
      <c r="G2624" t="s">
        <v>75</v>
      </c>
      <c r="H2624">
        <v>507.80500000000001</v>
      </c>
      <c r="I2624" t="s">
        <v>76</v>
      </c>
      <c r="J2624" t="s">
        <v>77</v>
      </c>
    </row>
    <row r="2625" spans="1:11" x14ac:dyDescent="0.3">
      <c r="A2625" t="s">
        <v>83</v>
      </c>
      <c r="B2625">
        <v>1000</v>
      </c>
      <c r="C2625" t="s">
        <v>79</v>
      </c>
      <c r="D2625">
        <v>3.9083E-3</v>
      </c>
      <c r="E2625" t="s">
        <v>74</v>
      </c>
      <c r="F2625">
        <v>3.9083000000000001</v>
      </c>
      <c r="G2625" t="s">
        <v>75</v>
      </c>
      <c r="H2625">
        <v>3908.3049999999998</v>
      </c>
      <c r="I2625" t="s">
        <v>76</v>
      </c>
      <c r="J2625" t="s">
        <v>77</v>
      </c>
    </row>
    <row r="2626" spans="1:11" x14ac:dyDescent="0.3">
      <c r="A2626" t="s">
        <v>83</v>
      </c>
      <c r="B2626">
        <v>1000</v>
      </c>
      <c r="C2626" t="s">
        <v>96</v>
      </c>
      <c r="D2626">
        <v>1.79546E-3</v>
      </c>
      <c r="E2626" t="s">
        <v>74</v>
      </c>
      <c r="F2626">
        <v>1.7954600000000001</v>
      </c>
      <c r="G2626" t="s">
        <v>75</v>
      </c>
      <c r="H2626">
        <v>1795.463</v>
      </c>
      <c r="I2626" t="s">
        <v>76</v>
      </c>
      <c r="J2626" t="s">
        <v>77</v>
      </c>
    </row>
    <row r="2627" spans="1:11" x14ac:dyDescent="0.3">
      <c r="A2627" t="s">
        <v>83</v>
      </c>
      <c r="B2627">
        <v>1000</v>
      </c>
      <c r="C2627" t="s">
        <v>94</v>
      </c>
      <c r="D2627">
        <v>3.04433E-3</v>
      </c>
      <c r="E2627" t="s">
        <v>74</v>
      </c>
      <c r="F2627">
        <v>3.04433</v>
      </c>
      <c r="G2627" t="s">
        <v>75</v>
      </c>
      <c r="H2627">
        <v>3044.3319999999999</v>
      </c>
      <c r="I2627" t="s">
        <v>76</v>
      </c>
      <c r="J2627" t="s">
        <v>77</v>
      </c>
    </row>
    <row r="2628" spans="1:11" x14ac:dyDescent="0.3">
      <c r="A2628" t="s">
        <v>83</v>
      </c>
      <c r="B2628">
        <v>1000</v>
      </c>
      <c r="C2628" t="s">
        <v>80</v>
      </c>
      <c r="D2628">
        <v>4.9682399999999996E-3</v>
      </c>
      <c r="E2628" t="s">
        <v>74</v>
      </c>
      <c r="F2628">
        <v>4.9682399999999998</v>
      </c>
      <c r="G2628" t="s">
        <v>75</v>
      </c>
      <c r="H2628">
        <v>4968.2370000000001</v>
      </c>
      <c r="I2628" t="s">
        <v>76</v>
      </c>
      <c r="J2628" t="s">
        <v>77</v>
      </c>
    </row>
    <row r="2629" spans="1:11" x14ac:dyDescent="0.3">
      <c r="A2629" t="s">
        <v>83</v>
      </c>
      <c r="B2629">
        <v>1000</v>
      </c>
      <c r="C2629" t="s">
        <v>81</v>
      </c>
      <c r="D2629">
        <v>8.8779500000000008E-3</v>
      </c>
      <c r="E2629" t="s">
        <v>74</v>
      </c>
      <c r="F2629">
        <v>8.8779500000000002</v>
      </c>
      <c r="G2629" t="s">
        <v>75</v>
      </c>
      <c r="H2629">
        <v>8877.9539999999997</v>
      </c>
      <c r="I2629" t="s">
        <v>76</v>
      </c>
      <c r="J2629" t="s">
        <v>82</v>
      </c>
      <c r="K2629">
        <v>112.63857109999999</v>
      </c>
    </row>
    <row r="2630" spans="1:11" x14ac:dyDescent="0.3">
      <c r="A2630" t="s">
        <v>84</v>
      </c>
      <c r="B2630">
        <v>1001</v>
      </c>
      <c r="C2630" t="s">
        <v>91</v>
      </c>
      <c r="D2630">
        <v>5.4180999999999999E-4</v>
      </c>
      <c r="E2630" t="s">
        <v>74</v>
      </c>
      <c r="F2630">
        <v>0.54181000000000001</v>
      </c>
      <c r="G2630" t="s">
        <v>75</v>
      </c>
      <c r="H2630">
        <v>541.80799999999999</v>
      </c>
      <c r="I2630" t="s">
        <v>76</v>
      </c>
      <c r="J2630" t="s">
        <v>77</v>
      </c>
    </row>
    <row r="2631" spans="1:11" x14ac:dyDescent="0.3">
      <c r="A2631" t="s">
        <v>84</v>
      </c>
      <c r="B2631">
        <v>1001</v>
      </c>
      <c r="C2631" t="s">
        <v>92</v>
      </c>
      <c r="D2631">
        <v>2.8609299999999998E-3</v>
      </c>
      <c r="E2631" t="s">
        <v>74</v>
      </c>
      <c r="F2631">
        <v>2.8609300000000002</v>
      </c>
      <c r="G2631" t="s">
        <v>75</v>
      </c>
      <c r="H2631">
        <v>2860.9259999999999</v>
      </c>
      <c r="I2631" t="s">
        <v>76</v>
      </c>
      <c r="J2631" t="s">
        <v>77</v>
      </c>
    </row>
    <row r="2632" spans="1:11" x14ac:dyDescent="0.3">
      <c r="A2632" t="s">
        <v>84</v>
      </c>
      <c r="B2632">
        <v>1001</v>
      </c>
      <c r="C2632" t="s">
        <v>93</v>
      </c>
      <c r="D2632">
        <v>5.0892000000000005E-4</v>
      </c>
      <c r="E2632" t="s">
        <v>74</v>
      </c>
      <c r="F2632">
        <v>0.50892000000000004</v>
      </c>
      <c r="G2632" t="s">
        <v>75</v>
      </c>
      <c r="H2632">
        <v>508.92</v>
      </c>
      <c r="I2632" t="s">
        <v>76</v>
      </c>
      <c r="J2632" t="s">
        <v>77</v>
      </c>
    </row>
    <row r="2633" spans="1:11" x14ac:dyDescent="0.3">
      <c r="A2633" t="s">
        <v>84</v>
      </c>
      <c r="B2633">
        <v>1001</v>
      </c>
      <c r="C2633" t="s">
        <v>79</v>
      </c>
      <c r="D2633">
        <v>3.9121E-3</v>
      </c>
      <c r="E2633" t="s">
        <v>74</v>
      </c>
      <c r="F2633">
        <v>3.9121000000000001</v>
      </c>
      <c r="G2633" t="s">
        <v>75</v>
      </c>
      <c r="H2633">
        <v>3912.1039999999998</v>
      </c>
      <c r="I2633" t="s">
        <v>76</v>
      </c>
      <c r="J2633" t="s">
        <v>77</v>
      </c>
    </row>
    <row r="2634" spans="1:11" x14ac:dyDescent="0.3">
      <c r="A2634" t="s">
        <v>84</v>
      </c>
      <c r="B2634">
        <v>1001</v>
      </c>
      <c r="C2634" t="s">
        <v>96</v>
      </c>
      <c r="D2634">
        <v>1.79579E-3</v>
      </c>
      <c r="E2634" t="s">
        <v>74</v>
      </c>
      <c r="F2634">
        <v>1.79579</v>
      </c>
      <c r="G2634" t="s">
        <v>75</v>
      </c>
      <c r="H2634">
        <v>1795.7860000000001</v>
      </c>
      <c r="I2634" t="s">
        <v>76</v>
      </c>
      <c r="J2634" t="s">
        <v>77</v>
      </c>
    </row>
    <row r="2635" spans="1:11" x14ac:dyDescent="0.3">
      <c r="A2635" t="s">
        <v>84</v>
      </c>
      <c r="B2635">
        <v>1001</v>
      </c>
      <c r="C2635" t="s">
        <v>94</v>
      </c>
      <c r="D2635">
        <v>3.0444000000000001E-3</v>
      </c>
      <c r="E2635" t="s">
        <v>74</v>
      </c>
      <c r="F2635">
        <v>3.0444</v>
      </c>
      <c r="G2635" t="s">
        <v>75</v>
      </c>
      <c r="H2635">
        <v>3044.4009999999998</v>
      </c>
      <c r="I2635" t="s">
        <v>76</v>
      </c>
      <c r="J2635" t="s">
        <v>77</v>
      </c>
    </row>
    <row r="2636" spans="1:11" x14ac:dyDescent="0.3">
      <c r="A2636" t="s">
        <v>84</v>
      </c>
      <c r="B2636">
        <v>1001</v>
      </c>
      <c r="C2636" t="s">
        <v>80</v>
      </c>
      <c r="D2636">
        <v>4.9686299999999999E-3</v>
      </c>
      <c r="E2636" t="s">
        <v>74</v>
      </c>
      <c r="F2636">
        <v>4.9686300000000001</v>
      </c>
      <c r="G2636" t="s">
        <v>75</v>
      </c>
      <c r="H2636">
        <v>4968.6289999999999</v>
      </c>
      <c r="I2636" t="s">
        <v>76</v>
      </c>
      <c r="J2636" t="s">
        <v>77</v>
      </c>
    </row>
    <row r="2637" spans="1:11" x14ac:dyDescent="0.3">
      <c r="A2637" t="s">
        <v>84</v>
      </c>
      <c r="B2637">
        <v>1001</v>
      </c>
      <c r="C2637" t="s">
        <v>81</v>
      </c>
      <c r="D2637">
        <v>8.8821400000000002E-3</v>
      </c>
      <c r="E2637" t="s">
        <v>74</v>
      </c>
      <c r="F2637">
        <v>8.8821399999999997</v>
      </c>
      <c r="G2637" t="s">
        <v>75</v>
      </c>
      <c r="H2637">
        <v>8882.1419999999998</v>
      </c>
      <c r="I2637" t="s">
        <v>76</v>
      </c>
      <c r="J2637" t="s">
        <v>82</v>
      </c>
      <c r="K2637">
        <v>112.5854495</v>
      </c>
    </row>
    <row r="2638" spans="1:11" x14ac:dyDescent="0.3">
      <c r="A2638" t="s">
        <v>85</v>
      </c>
      <c r="B2638">
        <v>1001</v>
      </c>
      <c r="C2638" t="s">
        <v>86</v>
      </c>
      <c r="D2638">
        <v>8.8823400000000007E-3</v>
      </c>
      <c r="E2638" t="s">
        <v>74</v>
      </c>
      <c r="F2638">
        <v>8.8823399999999992</v>
      </c>
      <c r="G2638" t="s">
        <v>75</v>
      </c>
      <c r="H2638">
        <v>8882.3410000000003</v>
      </c>
      <c r="I2638" t="s">
        <v>76</v>
      </c>
      <c r="J2638" t="s">
        <v>82</v>
      </c>
      <c r="K2638">
        <v>112.5829377</v>
      </c>
    </row>
    <row r="2639" spans="1:11" x14ac:dyDescent="0.3">
      <c r="A2639" t="s">
        <v>87</v>
      </c>
    </row>
    <row r="2640" spans="1:11" x14ac:dyDescent="0.3">
      <c r="A2640" t="s">
        <v>107</v>
      </c>
    </row>
    <row r="2641" spans="1:11" x14ac:dyDescent="0.3">
      <c r="A2641" t="s">
        <v>72</v>
      </c>
      <c r="B2641">
        <v>1</v>
      </c>
      <c r="C2641" t="s">
        <v>81</v>
      </c>
      <c r="D2641">
        <v>1.74015E-2</v>
      </c>
      <c r="E2641" t="s">
        <v>74</v>
      </c>
      <c r="F2641">
        <v>17.401499999999999</v>
      </c>
      <c r="G2641" t="s">
        <v>75</v>
      </c>
      <c r="H2641">
        <v>17401.5</v>
      </c>
      <c r="I2641" t="s">
        <v>76</v>
      </c>
      <c r="J2641" t="s">
        <v>82</v>
      </c>
      <c r="K2641">
        <v>57.466311500000003</v>
      </c>
    </row>
    <row r="2642" spans="1:11" x14ac:dyDescent="0.3">
      <c r="A2642" t="s">
        <v>83</v>
      </c>
      <c r="B2642">
        <v>1000</v>
      </c>
      <c r="C2642" t="s">
        <v>81</v>
      </c>
      <c r="D2642">
        <v>6.8807E-3</v>
      </c>
      <c r="E2642" t="s">
        <v>74</v>
      </c>
      <c r="F2642">
        <v>6.8807</v>
      </c>
      <c r="G2642" t="s">
        <v>75</v>
      </c>
      <c r="H2642">
        <v>6880.7</v>
      </c>
      <c r="I2642" t="s">
        <v>76</v>
      </c>
      <c r="J2642" t="s">
        <v>82</v>
      </c>
      <c r="K2642">
        <v>145.334058</v>
      </c>
    </row>
    <row r="2643" spans="1:11" x14ac:dyDescent="0.3">
      <c r="A2643" t="s">
        <v>85</v>
      </c>
      <c r="B2643">
        <v>1001</v>
      </c>
      <c r="C2643" t="s">
        <v>86</v>
      </c>
      <c r="D2643">
        <v>6.8914600000000003E-3</v>
      </c>
      <c r="E2643" t="s">
        <v>74</v>
      </c>
      <c r="F2643">
        <v>6.8914600000000004</v>
      </c>
      <c r="G2643" t="s">
        <v>75</v>
      </c>
      <c r="H2643">
        <v>6891.4570000000003</v>
      </c>
      <c r="I2643" t="s">
        <v>76</v>
      </c>
      <c r="J2643" t="s">
        <v>82</v>
      </c>
      <c r="K2643">
        <v>145.10718840000001</v>
      </c>
    </row>
    <row r="2645" spans="1:11" x14ac:dyDescent="0.3">
      <c r="A2645" t="s">
        <v>108</v>
      </c>
    </row>
    <row r="2646" spans="1:11" x14ac:dyDescent="0.3">
      <c r="A2646" t="s">
        <v>72</v>
      </c>
      <c r="B2646">
        <v>1</v>
      </c>
      <c r="C2646" t="s">
        <v>81</v>
      </c>
      <c r="D2646">
        <v>1.30717E-2</v>
      </c>
      <c r="E2646" t="s">
        <v>74</v>
      </c>
      <c r="F2646">
        <v>13.0717</v>
      </c>
      <c r="G2646" t="s">
        <v>75</v>
      </c>
      <c r="H2646">
        <v>13071.7</v>
      </c>
      <c r="I2646" t="s">
        <v>76</v>
      </c>
      <c r="J2646" t="s">
        <v>82</v>
      </c>
      <c r="K2646">
        <v>76.5011437</v>
      </c>
    </row>
    <row r="2647" spans="1:11" x14ac:dyDescent="0.3">
      <c r="A2647" t="s">
        <v>83</v>
      </c>
      <c r="B2647">
        <v>1000</v>
      </c>
      <c r="C2647" t="s">
        <v>81</v>
      </c>
      <c r="D2647">
        <v>8.8779500000000008E-3</v>
      </c>
      <c r="E2647" t="s">
        <v>74</v>
      </c>
      <c r="F2647">
        <v>8.8779500000000002</v>
      </c>
      <c r="G2647" t="s">
        <v>75</v>
      </c>
      <c r="H2647">
        <v>8877.9539999999997</v>
      </c>
      <c r="I2647" t="s">
        <v>76</v>
      </c>
      <c r="J2647" t="s">
        <v>82</v>
      </c>
      <c r="K2647">
        <v>112.63857109999999</v>
      </c>
    </row>
    <row r="2648" spans="1:11" x14ac:dyDescent="0.3">
      <c r="A2648" t="s">
        <v>85</v>
      </c>
      <c r="B2648">
        <v>1001</v>
      </c>
      <c r="C2648" t="s">
        <v>86</v>
      </c>
      <c r="D2648">
        <v>8.8823400000000007E-3</v>
      </c>
      <c r="E2648" t="s">
        <v>74</v>
      </c>
      <c r="F2648">
        <v>8.8823399999999992</v>
      </c>
      <c r="G2648" t="s">
        <v>75</v>
      </c>
      <c r="H2648">
        <v>8882.3410000000003</v>
      </c>
      <c r="I2648" t="s">
        <v>76</v>
      </c>
      <c r="J2648" t="s">
        <v>82</v>
      </c>
      <c r="K2648">
        <v>112.5829377</v>
      </c>
    </row>
    <row r="2650" spans="1:11" x14ac:dyDescent="0.3">
      <c r="A2650" t="s">
        <v>66</v>
      </c>
    </row>
    <row r="2652" spans="1:11" x14ac:dyDescent="0.3">
      <c r="A2652" t="s">
        <v>244</v>
      </c>
    </row>
    <row r="2653" spans="1:11" x14ac:dyDescent="0.3">
      <c r="A2653" t="s">
        <v>68</v>
      </c>
    </row>
    <row r="2654" spans="1:11" x14ac:dyDescent="0.3">
      <c r="A2654" t="s">
        <v>69</v>
      </c>
    </row>
    <row r="2655" spans="1:11" x14ac:dyDescent="0.3">
      <c r="A2655" t="s">
        <v>70</v>
      </c>
    </row>
    <row r="2656" spans="1:11" x14ac:dyDescent="0.3">
      <c r="A2656" t="s">
        <v>110</v>
      </c>
    </row>
    <row r="2657" spans="1:11" x14ac:dyDescent="0.3">
      <c r="A2657" t="s">
        <v>72</v>
      </c>
      <c r="B2657">
        <v>1</v>
      </c>
      <c r="C2657" t="s">
        <v>73</v>
      </c>
      <c r="D2657">
        <v>7.9999999999999996E-7</v>
      </c>
      <c r="E2657" t="s">
        <v>74</v>
      </c>
      <c r="F2657">
        <v>8.0000000000000004E-4</v>
      </c>
      <c r="G2657" t="s">
        <v>75</v>
      </c>
      <c r="H2657">
        <v>0.8</v>
      </c>
      <c r="I2657" t="s">
        <v>76</v>
      </c>
      <c r="J2657" t="s">
        <v>77</v>
      </c>
    </row>
    <row r="2658" spans="1:11" x14ac:dyDescent="0.3">
      <c r="A2658" t="s">
        <v>72</v>
      </c>
      <c r="B2658">
        <v>1</v>
      </c>
      <c r="C2658" t="s">
        <v>78</v>
      </c>
      <c r="D2658">
        <v>1.9400000000000001E-5</v>
      </c>
      <c r="E2658" t="s">
        <v>74</v>
      </c>
      <c r="F2658">
        <v>1.9400000000000001E-2</v>
      </c>
      <c r="G2658" t="s">
        <v>75</v>
      </c>
      <c r="H2658">
        <v>19.399999999999999</v>
      </c>
      <c r="I2658" t="s">
        <v>76</v>
      </c>
      <c r="J2658" t="s">
        <v>77</v>
      </c>
    </row>
    <row r="2659" spans="1:11" x14ac:dyDescent="0.3">
      <c r="A2659" t="s">
        <v>72</v>
      </c>
      <c r="B2659">
        <v>1</v>
      </c>
      <c r="C2659" t="s">
        <v>79</v>
      </c>
      <c r="D2659">
        <v>4.3499999999999997E-3</v>
      </c>
      <c r="E2659" t="s">
        <v>74</v>
      </c>
      <c r="F2659">
        <v>4.3499999999999996</v>
      </c>
      <c r="G2659" t="s">
        <v>75</v>
      </c>
      <c r="H2659">
        <v>4350</v>
      </c>
      <c r="I2659" t="s">
        <v>76</v>
      </c>
      <c r="J2659" t="s">
        <v>77</v>
      </c>
    </row>
    <row r="2660" spans="1:11" x14ac:dyDescent="0.3">
      <c r="A2660" t="s">
        <v>72</v>
      </c>
      <c r="B2660">
        <v>1</v>
      </c>
      <c r="C2660" t="s">
        <v>94</v>
      </c>
      <c r="D2660">
        <v>9.3743000000000003E-3</v>
      </c>
      <c r="E2660" t="s">
        <v>74</v>
      </c>
      <c r="F2660">
        <v>9.3742999999999999</v>
      </c>
      <c r="G2660" t="s">
        <v>75</v>
      </c>
      <c r="H2660">
        <v>9374.2999999999993</v>
      </c>
      <c r="I2660" t="s">
        <v>76</v>
      </c>
      <c r="J2660" t="s">
        <v>77</v>
      </c>
    </row>
    <row r="2661" spans="1:11" x14ac:dyDescent="0.3">
      <c r="A2661" t="s">
        <v>72</v>
      </c>
      <c r="B2661">
        <v>1</v>
      </c>
      <c r="C2661" t="s">
        <v>80</v>
      </c>
      <c r="D2661">
        <v>9.3749000000000002E-3</v>
      </c>
      <c r="E2661" t="s">
        <v>74</v>
      </c>
      <c r="F2661">
        <v>9.3749000000000002</v>
      </c>
      <c r="G2661" t="s">
        <v>75</v>
      </c>
      <c r="H2661">
        <v>9374.9</v>
      </c>
      <c r="I2661" t="s">
        <v>76</v>
      </c>
      <c r="J2661" t="s">
        <v>77</v>
      </c>
    </row>
    <row r="2662" spans="1:11" x14ac:dyDescent="0.3">
      <c r="A2662" t="s">
        <v>72</v>
      </c>
      <c r="B2662">
        <v>1</v>
      </c>
      <c r="C2662" t="s">
        <v>81</v>
      </c>
      <c r="D2662">
        <v>1.37275E-2</v>
      </c>
      <c r="E2662" t="s">
        <v>74</v>
      </c>
      <c r="F2662">
        <v>13.727499999999999</v>
      </c>
      <c r="G2662" t="s">
        <v>75</v>
      </c>
      <c r="H2662">
        <v>13727.5</v>
      </c>
      <c r="I2662" t="s">
        <v>76</v>
      </c>
      <c r="J2662" t="s">
        <v>82</v>
      </c>
      <c r="K2662">
        <v>72.846475499999997</v>
      </c>
    </row>
    <row r="2663" spans="1:11" x14ac:dyDescent="0.3">
      <c r="A2663" t="s">
        <v>83</v>
      </c>
      <c r="B2663">
        <v>1000</v>
      </c>
      <c r="C2663" t="s">
        <v>79</v>
      </c>
      <c r="D2663">
        <v>3.1922399999999998E-3</v>
      </c>
      <c r="E2663" t="s">
        <v>74</v>
      </c>
      <c r="F2663">
        <v>3.19224</v>
      </c>
      <c r="G2663" t="s">
        <v>75</v>
      </c>
      <c r="H2663">
        <v>3192.24</v>
      </c>
      <c r="I2663" t="s">
        <v>76</v>
      </c>
      <c r="J2663" t="s">
        <v>77</v>
      </c>
    </row>
    <row r="2664" spans="1:11" x14ac:dyDescent="0.3">
      <c r="A2664" t="s">
        <v>83</v>
      </c>
      <c r="B2664">
        <v>1000</v>
      </c>
      <c r="C2664" t="s">
        <v>94</v>
      </c>
      <c r="D2664">
        <v>2.6409699999999999E-3</v>
      </c>
      <c r="E2664" t="s">
        <v>74</v>
      </c>
      <c r="F2664">
        <v>2.6409699999999998</v>
      </c>
      <c r="G2664" t="s">
        <v>75</v>
      </c>
      <c r="H2664">
        <v>2640.97</v>
      </c>
      <c r="I2664" t="s">
        <v>76</v>
      </c>
      <c r="J2664" t="s">
        <v>77</v>
      </c>
    </row>
    <row r="2665" spans="1:11" x14ac:dyDescent="0.3">
      <c r="A2665" t="s">
        <v>83</v>
      </c>
      <c r="B2665">
        <v>1000</v>
      </c>
      <c r="C2665" t="s">
        <v>80</v>
      </c>
      <c r="D2665">
        <v>2.80679E-3</v>
      </c>
      <c r="E2665" t="s">
        <v>74</v>
      </c>
      <c r="F2665">
        <v>2.8067899999999999</v>
      </c>
      <c r="G2665" t="s">
        <v>75</v>
      </c>
      <c r="H2665">
        <v>2806.7890000000002</v>
      </c>
      <c r="I2665" t="s">
        <v>76</v>
      </c>
      <c r="J2665" t="s">
        <v>77</v>
      </c>
    </row>
    <row r="2666" spans="1:11" x14ac:dyDescent="0.3">
      <c r="A2666" t="s">
        <v>83</v>
      </c>
      <c r="B2666">
        <v>1000</v>
      </c>
      <c r="C2666" t="s">
        <v>81</v>
      </c>
      <c r="D2666">
        <v>5.9998300000000003E-3</v>
      </c>
      <c r="E2666" t="s">
        <v>74</v>
      </c>
      <c r="F2666">
        <v>5.9998300000000002</v>
      </c>
      <c r="G2666" t="s">
        <v>75</v>
      </c>
      <c r="H2666">
        <v>5999.83</v>
      </c>
      <c r="I2666" t="s">
        <v>76</v>
      </c>
      <c r="J2666" t="s">
        <v>82</v>
      </c>
      <c r="K2666">
        <v>166.67139539999999</v>
      </c>
    </row>
    <row r="2667" spans="1:11" x14ac:dyDescent="0.3">
      <c r="A2667" t="s">
        <v>84</v>
      </c>
      <c r="B2667">
        <v>1001</v>
      </c>
      <c r="C2667" t="s">
        <v>79</v>
      </c>
      <c r="D2667">
        <v>3.1933999999999999E-3</v>
      </c>
      <c r="E2667" t="s">
        <v>74</v>
      </c>
      <c r="F2667">
        <v>3.1934</v>
      </c>
      <c r="G2667" t="s">
        <v>75</v>
      </c>
      <c r="H2667">
        <v>3193.3980000000001</v>
      </c>
      <c r="I2667" t="s">
        <v>76</v>
      </c>
      <c r="J2667" t="s">
        <v>77</v>
      </c>
    </row>
    <row r="2668" spans="1:11" x14ac:dyDescent="0.3">
      <c r="A2668" t="s">
        <v>84</v>
      </c>
      <c r="B2668">
        <v>1001</v>
      </c>
      <c r="C2668" t="s">
        <v>94</v>
      </c>
      <c r="D2668">
        <v>2.6476999999999998E-3</v>
      </c>
      <c r="E2668" t="s">
        <v>74</v>
      </c>
      <c r="F2668">
        <v>2.6476999999999999</v>
      </c>
      <c r="G2668" t="s">
        <v>75</v>
      </c>
      <c r="H2668">
        <v>2647.6970000000001</v>
      </c>
      <c r="I2668" t="s">
        <v>76</v>
      </c>
      <c r="J2668" t="s">
        <v>77</v>
      </c>
    </row>
    <row r="2669" spans="1:11" x14ac:dyDescent="0.3">
      <c r="A2669" t="s">
        <v>84</v>
      </c>
      <c r="B2669">
        <v>1001</v>
      </c>
      <c r="C2669" t="s">
        <v>80</v>
      </c>
      <c r="D2669">
        <v>2.8133500000000001E-3</v>
      </c>
      <c r="E2669" t="s">
        <v>74</v>
      </c>
      <c r="F2669">
        <v>2.8133499999999998</v>
      </c>
      <c r="G2669" t="s">
        <v>75</v>
      </c>
      <c r="H2669">
        <v>2813.35</v>
      </c>
      <c r="I2669" t="s">
        <v>76</v>
      </c>
      <c r="J2669" t="s">
        <v>77</v>
      </c>
    </row>
    <row r="2670" spans="1:11" x14ac:dyDescent="0.3">
      <c r="A2670" t="s">
        <v>84</v>
      </c>
      <c r="B2670">
        <v>1001</v>
      </c>
      <c r="C2670" t="s">
        <v>81</v>
      </c>
      <c r="D2670">
        <v>6.0075500000000004E-3</v>
      </c>
      <c r="E2670" t="s">
        <v>74</v>
      </c>
      <c r="F2670">
        <v>6.0075500000000002</v>
      </c>
      <c r="G2670" t="s">
        <v>75</v>
      </c>
      <c r="H2670">
        <v>6007.549</v>
      </c>
      <c r="I2670" t="s">
        <v>76</v>
      </c>
      <c r="J2670" t="s">
        <v>82</v>
      </c>
      <c r="K2670">
        <v>166.4572244</v>
      </c>
    </row>
    <row r="2671" spans="1:11" x14ac:dyDescent="0.3">
      <c r="A2671" t="s">
        <v>85</v>
      </c>
      <c r="B2671">
        <v>1001</v>
      </c>
      <c r="C2671" t="s">
        <v>86</v>
      </c>
      <c r="D2671">
        <v>6.0077500000000001E-3</v>
      </c>
      <c r="E2671" t="s">
        <v>74</v>
      </c>
      <c r="F2671">
        <v>6.0077499999999997</v>
      </c>
      <c r="G2671" t="s">
        <v>75</v>
      </c>
      <c r="H2671">
        <v>6007.7470000000003</v>
      </c>
      <c r="I2671" t="s">
        <v>76</v>
      </c>
      <c r="J2671" t="s">
        <v>82</v>
      </c>
      <c r="K2671">
        <v>166.45174700000001</v>
      </c>
    </row>
    <row r="2672" spans="1:11" x14ac:dyDescent="0.3">
      <c r="A2672" t="s">
        <v>111</v>
      </c>
    </row>
    <row r="2673" spans="1:11" x14ac:dyDescent="0.3">
      <c r="A2673" t="s">
        <v>72</v>
      </c>
      <c r="B2673">
        <v>1</v>
      </c>
      <c r="C2673" t="s">
        <v>73</v>
      </c>
      <c r="D2673">
        <v>7.9999999999999996E-7</v>
      </c>
      <c r="E2673" t="s">
        <v>74</v>
      </c>
      <c r="F2673">
        <v>8.0000000000000004E-4</v>
      </c>
      <c r="G2673" t="s">
        <v>75</v>
      </c>
      <c r="H2673">
        <v>0.8</v>
      </c>
      <c r="I2673" t="s">
        <v>76</v>
      </c>
      <c r="J2673" t="s">
        <v>77</v>
      </c>
    </row>
    <row r="2674" spans="1:11" x14ac:dyDescent="0.3">
      <c r="A2674" t="s">
        <v>72</v>
      </c>
      <c r="B2674">
        <v>1</v>
      </c>
      <c r="C2674" t="s">
        <v>78</v>
      </c>
      <c r="D2674">
        <v>1.9700000000000001E-5</v>
      </c>
      <c r="E2674" t="s">
        <v>74</v>
      </c>
      <c r="F2674">
        <v>1.9699999999999999E-2</v>
      </c>
      <c r="G2674" t="s">
        <v>75</v>
      </c>
      <c r="H2674">
        <v>19.7</v>
      </c>
      <c r="I2674" t="s">
        <v>76</v>
      </c>
      <c r="J2674" t="s">
        <v>77</v>
      </c>
    </row>
    <row r="2675" spans="1:11" x14ac:dyDescent="0.3">
      <c r="A2675" t="s">
        <v>72</v>
      </c>
      <c r="B2675">
        <v>1</v>
      </c>
      <c r="C2675" t="s">
        <v>79</v>
      </c>
      <c r="D2675">
        <v>4.1909E-3</v>
      </c>
      <c r="E2675" t="s">
        <v>74</v>
      </c>
      <c r="F2675">
        <v>4.1909000000000001</v>
      </c>
      <c r="G2675" t="s">
        <v>75</v>
      </c>
      <c r="H2675">
        <v>4190.8999999999996</v>
      </c>
      <c r="I2675" t="s">
        <v>76</v>
      </c>
      <c r="J2675" t="s">
        <v>77</v>
      </c>
    </row>
    <row r="2676" spans="1:11" x14ac:dyDescent="0.3">
      <c r="A2676" t="s">
        <v>72</v>
      </c>
      <c r="B2676">
        <v>1</v>
      </c>
      <c r="C2676" t="s">
        <v>94</v>
      </c>
      <c r="D2676">
        <v>2.6037E-3</v>
      </c>
      <c r="E2676" t="s">
        <v>74</v>
      </c>
      <c r="F2676">
        <v>2.6036999999999999</v>
      </c>
      <c r="G2676" t="s">
        <v>75</v>
      </c>
      <c r="H2676">
        <v>2603.6999999999998</v>
      </c>
      <c r="I2676" t="s">
        <v>76</v>
      </c>
      <c r="J2676" t="s">
        <v>77</v>
      </c>
    </row>
    <row r="2677" spans="1:11" x14ac:dyDescent="0.3">
      <c r="A2677" t="s">
        <v>72</v>
      </c>
      <c r="B2677">
        <v>1</v>
      </c>
      <c r="C2677" t="s">
        <v>80</v>
      </c>
      <c r="D2677">
        <v>2.7891999999999999E-3</v>
      </c>
      <c r="E2677" t="s">
        <v>74</v>
      </c>
      <c r="F2677">
        <v>2.7892000000000001</v>
      </c>
      <c r="G2677" t="s">
        <v>75</v>
      </c>
      <c r="H2677">
        <v>2789.2</v>
      </c>
      <c r="I2677" t="s">
        <v>76</v>
      </c>
      <c r="J2677" t="s">
        <v>77</v>
      </c>
    </row>
    <row r="2678" spans="1:11" x14ac:dyDescent="0.3">
      <c r="A2678" t="s">
        <v>72</v>
      </c>
      <c r="B2678">
        <v>1</v>
      </c>
      <c r="C2678" t="s">
        <v>81</v>
      </c>
      <c r="D2678">
        <v>6.9806E-3</v>
      </c>
      <c r="E2678" t="s">
        <v>74</v>
      </c>
      <c r="F2678">
        <v>6.9805999999999999</v>
      </c>
      <c r="G2678" t="s">
        <v>75</v>
      </c>
      <c r="H2678">
        <v>6980.6</v>
      </c>
      <c r="I2678" t="s">
        <v>76</v>
      </c>
      <c r="J2678" t="s">
        <v>82</v>
      </c>
      <c r="K2678">
        <v>143.25416490000001</v>
      </c>
    </row>
    <row r="2679" spans="1:11" x14ac:dyDescent="0.3">
      <c r="A2679" t="s">
        <v>83</v>
      </c>
      <c r="B2679">
        <v>1000</v>
      </c>
      <c r="C2679" t="s">
        <v>79</v>
      </c>
      <c r="D2679">
        <v>3.2300100000000002E-3</v>
      </c>
      <c r="E2679" t="s">
        <v>74</v>
      </c>
      <c r="F2679">
        <v>3.23001</v>
      </c>
      <c r="G2679" t="s">
        <v>75</v>
      </c>
      <c r="H2679">
        <v>3230.0059999999999</v>
      </c>
      <c r="I2679" t="s">
        <v>76</v>
      </c>
      <c r="J2679" t="s">
        <v>77</v>
      </c>
    </row>
    <row r="2680" spans="1:11" x14ac:dyDescent="0.3">
      <c r="A2680" t="s">
        <v>83</v>
      </c>
      <c r="B2680">
        <v>1000</v>
      </c>
      <c r="C2680" t="s">
        <v>94</v>
      </c>
      <c r="D2680">
        <v>2.5842199999999999E-3</v>
      </c>
      <c r="E2680" t="s">
        <v>74</v>
      </c>
      <c r="F2680">
        <v>2.5842200000000002</v>
      </c>
      <c r="G2680" t="s">
        <v>75</v>
      </c>
      <c r="H2680">
        <v>2584.2190000000001</v>
      </c>
      <c r="I2680" t="s">
        <v>76</v>
      </c>
      <c r="J2680" t="s">
        <v>77</v>
      </c>
    </row>
    <row r="2681" spans="1:11" x14ac:dyDescent="0.3">
      <c r="A2681" t="s">
        <v>83</v>
      </c>
      <c r="B2681">
        <v>1000</v>
      </c>
      <c r="C2681" t="s">
        <v>80</v>
      </c>
      <c r="D2681">
        <v>2.7525700000000002E-3</v>
      </c>
      <c r="E2681" t="s">
        <v>74</v>
      </c>
      <c r="F2681">
        <v>2.75257</v>
      </c>
      <c r="G2681" t="s">
        <v>75</v>
      </c>
      <c r="H2681">
        <v>2752.57</v>
      </c>
      <c r="I2681" t="s">
        <v>76</v>
      </c>
      <c r="J2681" t="s">
        <v>77</v>
      </c>
    </row>
    <row r="2682" spans="1:11" x14ac:dyDescent="0.3">
      <c r="A2682" t="s">
        <v>83</v>
      </c>
      <c r="B2682">
        <v>1000</v>
      </c>
      <c r="C2682" t="s">
        <v>81</v>
      </c>
      <c r="D2682">
        <v>5.9833899999999999E-3</v>
      </c>
      <c r="E2682" t="s">
        <v>74</v>
      </c>
      <c r="F2682">
        <v>5.98339</v>
      </c>
      <c r="G2682" t="s">
        <v>75</v>
      </c>
      <c r="H2682">
        <v>5983.393</v>
      </c>
      <c r="I2682" t="s">
        <v>76</v>
      </c>
      <c r="J2682" t="s">
        <v>82</v>
      </c>
      <c r="K2682">
        <v>167.12924720000001</v>
      </c>
    </row>
    <row r="2683" spans="1:11" x14ac:dyDescent="0.3">
      <c r="A2683" t="s">
        <v>84</v>
      </c>
      <c r="B2683">
        <v>1001</v>
      </c>
      <c r="C2683" t="s">
        <v>79</v>
      </c>
      <c r="D2683">
        <v>3.2309700000000001E-3</v>
      </c>
      <c r="E2683" t="s">
        <v>74</v>
      </c>
      <c r="F2683">
        <v>3.2309700000000001</v>
      </c>
      <c r="G2683" t="s">
        <v>75</v>
      </c>
      <c r="H2683">
        <v>3230.9659999999999</v>
      </c>
      <c r="I2683" t="s">
        <v>76</v>
      </c>
      <c r="J2683" t="s">
        <v>77</v>
      </c>
    </row>
    <row r="2684" spans="1:11" x14ac:dyDescent="0.3">
      <c r="A2684" t="s">
        <v>84</v>
      </c>
      <c r="B2684">
        <v>1001</v>
      </c>
      <c r="C2684" t="s">
        <v>94</v>
      </c>
      <c r="D2684">
        <v>2.5842399999999998E-3</v>
      </c>
      <c r="E2684" t="s">
        <v>74</v>
      </c>
      <c r="F2684">
        <v>2.5842399999999999</v>
      </c>
      <c r="G2684" t="s">
        <v>75</v>
      </c>
      <c r="H2684">
        <v>2584.2379999999998</v>
      </c>
      <c r="I2684" t="s">
        <v>76</v>
      </c>
      <c r="J2684" t="s">
        <v>77</v>
      </c>
    </row>
    <row r="2685" spans="1:11" x14ac:dyDescent="0.3">
      <c r="A2685" t="s">
        <v>84</v>
      </c>
      <c r="B2685">
        <v>1001</v>
      </c>
      <c r="C2685" t="s">
        <v>80</v>
      </c>
      <c r="D2685">
        <v>2.75261E-3</v>
      </c>
      <c r="E2685" t="s">
        <v>74</v>
      </c>
      <c r="F2685">
        <v>2.7526099999999998</v>
      </c>
      <c r="G2685" t="s">
        <v>75</v>
      </c>
      <c r="H2685">
        <v>2752.607</v>
      </c>
      <c r="I2685" t="s">
        <v>76</v>
      </c>
      <c r="J2685" t="s">
        <v>77</v>
      </c>
    </row>
    <row r="2686" spans="1:11" x14ac:dyDescent="0.3">
      <c r="A2686" t="s">
        <v>84</v>
      </c>
      <c r="B2686">
        <v>1001</v>
      </c>
      <c r="C2686" t="s">
        <v>81</v>
      </c>
      <c r="D2686">
        <v>5.98439E-3</v>
      </c>
      <c r="E2686" t="s">
        <v>74</v>
      </c>
      <c r="F2686">
        <v>5.9843900000000003</v>
      </c>
      <c r="G2686" t="s">
        <v>75</v>
      </c>
      <c r="H2686">
        <v>5984.3890000000001</v>
      </c>
      <c r="I2686" t="s">
        <v>76</v>
      </c>
      <c r="J2686" t="s">
        <v>82</v>
      </c>
      <c r="K2686">
        <v>167.10144389999999</v>
      </c>
    </row>
    <row r="2687" spans="1:11" x14ac:dyDescent="0.3">
      <c r="A2687" t="s">
        <v>85</v>
      </c>
      <c r="B2687">
        <v>1001</v>
      </c>
      <c r="C2687" t="s">
        <v>86</v>
      </c>
      <c r="D2687">
        <v>5.9845899999999997E-3</v>
      </c>
      <c r="E2687" t="s">
        <v>74</v>
      </c>
      <c r="F2687">
        <v>5.9845899999999999</v>
      </c>
      <c r="G2687" t="s">
        <v>75</v>
      </c>
      <c r="H2687">
        <v>5984.5860000000002</v>
      </c>
      <c r="I2687" t="s">
        <v>76</v>
      </c>
      <c r="J2687" t="s">
        <v>82</v>
      </c>
      <c r="K2687">
        <v>167.095924</v>
      </c>
    </row>
    <row r="2688" spans="1:11" x14ac:dyDescent="0.3">
      <c r="A2688" t="s">
        <v>87</v>
      </c>
    </row>
    <row r="2689" spans="1:11" x14ac:dyDescent="0.3">
      <c r="A2689" t="s">
        <v>112</v>
      </c>
    </row>
    <row r="2690" spans="1:11" x14ac:dyDescent="0.3">
      <c r="A2690" t="s">
        <v>72</v>
      </c>
      <c r="B2690">
        <v>1</v>
      </c>
      <c r="C2690" t="s">
        <v>81</v>
      </c>
      <c r="D2690">
        <v>1.37275E-2</v>
      </c>
      <c r="E2690" t="s">
        <v>74</v>
      </c>
      <c r="F2690">
        <v>13.727499999999999</v>
      </c>
      <c r="G2690" t="s">
        <v>75</v>
      </c>
      <c r="H2690">
        <v>13727.5</v>
      </c>
      <c r="I2690" t="s">
        <v>76</v>
      </c>
      <c r="J2690" t="s">
        <v>82</v>
      </c>
      <c r="K2690">
        <v>72.846475499999997</v>
      </c>
    </row>
    <row r="2691" spans="1:11" x14ac:dyDescent="0.3">
      <c r="A2691" t="s">
        <v>83</v>
      </c>
      <c r="B2691">
        <v>1000</v>
      </c>
      <c r="C2691" t="s">
        <v>81</v>
      </c>
      <c r="D2691">
        <v>5.9998300000000003E-3</v>
      </c>
      <c r="E2691" t="s">
        <v>74</v>
      </c>
      <c r="F2691">
        <v>5.9998300000000002</v>
      </c>
      <c r="G2691" t="s">
        <v>75</v>
      </c>
      <c r="H2691">
        <v>5999.83</v>
      </c>
      <c r="I2691" t="s">
        <v>76</v>
      </c>
      <c r="J2691" t="s">
        <v>82</v>
      </c>
      <c r="K2691">
        <v>166.67139539999999</v>
      </c>
    </row>
    <row r="2692" spans="1:11" x14ac:dyDescent="0.3">
      <c r="A2692" t="s">
        <v>85</v>
      </c>
      <c r="B2692">
        <v>1001</v>
      </c>
      <c r="C2692" t="s">
        <v>86</v>
      </c>
      <c r="D2692">
        <v>6.0077500000000001E-3</v>
      </c>
      <c r="E2692" t="s">
        <v>74</v>
      </c>
      <c r="F2692">
        <v>6.0077499999999997</v>
      </c>
      <c r="G2692" t="s">
        <v>75</v>
      </c>
      <c r="H2692">
        <v>6007.7470000000003</v>
      </c>
      <c r="I2692" t="s">
        <v>76</v>
      </c>
      <c r="J2692" t="s">
        <v>82</v>
      </c>
      <c r="K2692">
        <v>166.45174700000001</v>
      </c>
    </row>
    <row r="2694" spans="1:11" x14ac:dyDescent="0.3">
      <c r="A2694" t="s">
        <v>113</v>
      </c>
    </row>
    <row r="2695" spans="1:11" x14ac:dyDescent="0.3">
      <c r="A2695" t="s">
        <v>72</v>
      </c>
      <c r="B2695">
        <v>1</v>
      </c>
      <c r="C2695" t="s">
        <v>81</v>
      </c>
      <c r="D2695">
        <v>6.9806E-3</v>
      </c>
      <c r="E2695" t="s">
        <v>74</v>
      </c>
      <c r="F2695">
        <v>6.9805999999999999</v>
      </c>
      <c r="G2695" t="s">
        <v>75</v>
      </c>
      <c r="H2695">
        <v>6980.6</v>
      </c>
      <c r="I2695" t="s">
        <v>76</v>
      </c>
      <c r="J2695" t="s">
        <v>82</v>
      </c>
      <c r="K2695">
        <v>143.25416490000001</v>
      </c>
    </row>
    <row r="2696" spans="1:11" x14ac:dyDescent="0.3">
      <c r="A2696" t="s">
        <v>83</v>
      </c>
      <c r="B2696">
        <v>1000</v>
      </c>
      <c r="C2696" t="s">
        <v>81</v>
      </c>
      <c r="D2696">
        <v>5.9833899999999999E-3</v>
      </c>
      <c r="E2696" t="s">
        <v>74</v>
      </c>
      <c r="F2696">
        <v>5.98339</v>
      </c>
      <c r="G2696" t="s">
        <v>75</v>
      </c>
      <c r="H2696">
        <v>5983.393</v>
      </c>
      <c r="I2696" t="s">
        <v>76</v>
      </c>
      <c r="J2696" t="s">
        <v>82</v>
      </c>
      <c r="K2696">
        <v>167.12924720000001</v>
      </c>
    </row>
    <row r="2697" spans="1:11" x14ac:dyDescent="0.3">
      <c r="A2697" t="s">
        <v>85</v>
      </c>
      <c r="B2697">
        <v>1001</v>
      </c>
      <c r="C2697" t="s">
        <v>86</v>
      </c>
      <c r="D2697">
        <v>5.9845899999999997E-3</v>
      </c>
      <c r="E2697" t="s">
        <v>74</v>
      </c>
      <c r="F2697">
        <v>5.9845899999999999</v>
      </c>
      <c r="G2697" t="s">
        <v>75</v>
      </c>
      <c r="H2697">
        <v>5984.5860000000002</v>
      </c>
      <c r="I2697" t="s">
        <v>76</v>
      </c>
      <c r="J2697" t="s">
        <v>82</v>
      </c>
      <c r="K2697">
        <v>167.095924</v>
      </c>
    </row>
    <row r="2699" spans="1:11" x14ac:dyDescent="0.3">
      <c r="A2699" t="s">
        <v>66</v>
      </c>
    </row>
    <row r="2701" spans="1:11" x14ac:dyDescent="0.3">
      <c r="A2701" t="s">
        <v>245</v>
      </c>
    </row>
    <row r="2702" spans="1:11" x14ac:dyDescent="0.3">
      <c r="A2702" t="s">
        <v>68</v>
      </c>
    </row>
    <row r="2703" spans="1:11" x14ac:dyDescent="0.3">
      <c r="A2703" t="s">
        <v>69</v>
      </c>
    </row>
    <row r="2704" spans="1:11" x14ac:dyDescent="0.3">
      <c r="A2704" t="s">
        <v>70</v>
      </c>
    </row>
    <row r="2705" spans="1:10" x14ac:dyDescent="0.3">
      <c r="A2705" t="s">
        <v>115</v>
      </c>
    </row>
    <row r="2706" spans="1:10" x14ac:dyDescent="0.3">
      <c r="A2706" t="s">
        <v>116</v>
      </c>
    </row>
    <row r="2707" spans="1:10" x14ac:dyDescent="0.3">
      <c r="A2707" t="s">
        <v>117</v>
      </c>
    </row>
    <row r="2708" spans="1:10" x14ac:dyDescent="0.3">
      <c r="A2708" t="s">
        <v>118</v>
      </c>
    </row>
    <row r="2709" spans="1:10" x14ac:dyDescent="0.3">
      <c r="A2709" t="s">
        <v>119</v>
      </c>
    </row>
    <row r="2710" spans="1:10" x14ac:dyDescent="0.3">
      <c r="A2710" t="s">
        <v>120</v>
      </c>
    </row>
    <row r="2711" spans="1:10" x14ac:dyDescent="0.3">
      <c r="A2711" t="s">
        <v>121</v>
      </c>
    </row>
    <row r="2712" spans="1:10" x14ac:dyDescent="0.3">
      <c r="A2712" t="s">
        <v>122</v>
      </c>
    </row>
    <row r="2713" spans="1:10" x14ac:dyDescent="0.3">
      <c r="A2713" t="s">
        <v>123</v>
      </c>
    </row>
    <row r="2714" spans="1:10" x14ac:dyDescent="0.3">
      <c r="A2714" t="s">
        <v>124</v>
      </c>
    </row>
    <row r="2715" spans="1:10" x14ac:dyDescent="0.3">
      <c r="A2715" t="s">
        <v>125</v>
      </c>
    </row>
    <row r="2716" spans="1:10" x14ac:dyDescent="0.3">
      <c r="A2716" t="s">
        <v>126</v>
      </c>
    </row>
    <row r="2717" spans="1:10" x14ac:dyDescent="0.3">
      <c r="A2717" t="s">
        <v>127</v>
      </c>
    </row>
    <row r="2718" spans="1:10" x14ac:dyDescent="0.3">
      <c r="A2718" t="s">
        <v>128</v>
      </c>
    </row>
    <row r="2719" spans="1:10" x14ac:dyDescent="0.3">
      <c r="A2719" t="s">
        <v>129</v>
      </c>
    </row>
    <row r="2720" spans="1:10" x14ac:dyDescent="0.3">
      <c r="A2720" t="s">
        <v>72</v>
      </c>
      <c r="B2720">
        <v>1</v>
      </c>
      <c r="C2720" t="s">
        <v>73</v>
      </c>
      <c r="D2720">
        <v>4.4000000000000002E-6</v>
      </c>
      <c r="E2720" t="s">
        <v>74</v>
      </c>
      <c r="F2720">
        <v>4.4000000000000003E-3</v>
      </c>
      <c r="G2720" t="s">
        <v>75</v>
      </c>
      <c r="H2720">
        <v>4.4000000000000004</v>
      </c>
      <c r="I2720" t="s">
        <v>76</v>
      </c>
      <c r="J2720" t="s">
        <v>77</v>
      </c>
    </row>
    <row r="2721" spans="1:11" x14ac:dyDescent="0.3">
      <c r="A2721" t="s">
        <v>72</v>
      </c>
      <c r="B2721">
        <v>1</v>
      </c>
      <c r="C2721" t="s">
        <v>78</v>
      </c>
      <c r="D2721">
        <v>0.13973558999999999</v>
      </c>
      <c r="E2721" t="s">
        <v>74</v>
      </c>
      <c r="F2721">
        <v>139.73559</v>
      </c>
      <c r="G2721" t="s">
        <v>75</v>
      </c>
      <c r="H2721">
        <v>139735.59400000001</v>
      </c>
      <c r="I2721" t="s">
        <v>76</v>
      </c>
      <c r="J2721" t="s">
        <v>77</v>
      </c>
    </row>
    <row r="2722" spans="1:11" x14ac:dyDescent="0.3">
      <c r="A2722" t="s">
        <v>72</v>
      </c>
      <c r="B2722">
        <v>1</v>
      </c>
      <c r="C2722" t="s">
        <v>91</v>
      </c>
      <c r="D2722">
        <v>0.26326501000000002</v>
      </c>
      <c r="E2722" t="s">
        <v>74</v>
      </c>
      <c r="F2722">
        <v>263.26501000000002</v>
      </c>
      <c r="G2722" t="s">
        <v>75</v>
      </c>
      <c r="H2722">
        <v>263265.01400000002</v>
      </c>
      <c r="I2722" t="s">
        <v>76</v>
      </c>
      <c r="J2722" t="s">
        <v>77</v>
      </c>
    </row>
    <row r="2723" spans="1:11" x14ac:dyDescent="0.3">
      <c r="A2723" t="s">
        <v>72</v>
      </c>
      <c r="B2723">
        <v>1</v>
      </c>
      <c r="C2723" t="s">
        <v>92</v>
      </c>
      <c r="D2723">
        <v>3.5259000000000002E-3</v>
      </c>
      <c r="E2723" t="s">
        <v>74</v>
      </c>
      <c r="F2723">
        <v>3.5259</v>
      </c>
      <c r="G2723" t="s">
        <v>75</v>
      </c>
      <c r="H2723">
        <v>3525.9</v>
      </c>
      <c r="I2723" t="s">
        <v>76</v>
      </c>
      <c r="J2723" t="s">
        <v>77</v>
      </c>
    </row>
    <row r="2724" spans="1:11" x14ac:dyDescent="0.3">
      <c r="A2724" t="s">
        <v>72</v>
      </c>
      <c r="B2724">
        <v>1</v>
      </c>
      <c r="C2724" t="s">
        <v>93</v>
      </c>
      <c r="D2724">
        <v>9.2534400000000003E-2</v>
      </c>
      <c r="E2724" t="s">
        <v>74</v>
      </c>
      <c r="F2724">
        <v>92.534400000000005</v>
      </c>
      <c r="G2724" t="s">
        <v>75</v>
      </c>
      <c r="H2724">
        <v>92534.400999999998</v>
      </c>
      <c r="I2724" t="s">
        <v>76</v>
      </c>
      <c r="J2724" t="s">
        <v>77</v>
      </c>
    </row>
    <row r="2725" spans="1:11" x14ac:dyDescent="0.3">
      <c r="A2725" t="s">
        <v>72</v>
      </c>
      <c r="B2725">
        <v>1</v>
      </c>
      <c r="C2725" t="s">
        <v>79</v>
      </c>
      <c r="D2725">
        <v>0.35932599999999998</v>
      </c>
      <c r="E2725" t="s">
        <v>74</v>
      </c>
      <c r="F2725">
        <v>359.32600000000002</v>
      </c>
      <c r="G2725" t="s">
        <v>75</v>
      </c>
      <c r="H2725">
        <v>359326.005</v>
      </c>
      <c r="I2725" t="s">
        <v>76</v>
      </c>
      <c r="J2725" t="s">
        <v>77</v>
      </c>
    </row>
    <row r="2726" spans="1:11" x14ac:dyDescent="0.3">
      <c r="A2726" t="s">
        <v>72</v>
      </c>
      <c r="B2726">
        <v>1</v>
      </c>
      <c r="C2726" t="s">
        <v>94</v>
      </c>
      <c r="D2726">
        <v>9.3740000000000004E-3</v>
      </c>
      <c r="E2726" t="s">
        <v>74</v>
      </c>
      <c r="F2726">
        <v>9.3740000000000006</v>
      </c>
      <c r="G2726" t="s">
        <v>75</v>
      </c>
      <c r="H2726">
        <v>9374</v>
      </c>
      <c r="I2726" t="s">
        <v>76</v>
      </c>
      <c r="J2726" t="s">
        <v>77</v>
      </c>
    </row>
    <row r="2727" spans="1:11" x14ac:dyDescent="0.3">
      <c r="A2727" t="s">
        <v>72</v>
      </c>
      <c r="B2727">
        <v>1</v>
      </c>
      <c r="C2727" t="s">
        <v>80</v>
      </c>
      <c r="D2727">
        <v>9.3744999999999992E-3</v>
      </c>
      <c r="E2727" t="s">
        <v>74</v>
      </c>
      <c r="F2727">
        <v>9.3744999999999994</v>
      </c>
      <c r="G2727" t="s">
        <v>75</v>
      </c>
      <c r="H2727">
        <v>9374.5</v>
      </c>
      <c r="I2727" t="s">
        <v>76</v>
      </c>
      <c r="J2727" t="s">
        <v>77</v>
      </c>
    </row>
    <row r="2728" spans="1:11" x14ac:dyDescent="0.3">
      <c r="A2728" t="s">
        <v>72</v>
      </c>
      <c r="B2728">
        <v>1</v>
      </c>
      <c r="C2728" t="s">
        <v>81</v>
      </c>
      <c r="D2728">
        <v>0.36870249999999999</v>
      </c>
      <c r="E2728" t="s">
        <v>74</v>
      </c>
      <c r="F2728">
        <v>368.70249999999999</v>
      </c>
      <c r="G2728" t="s">
        <v>75</v>
      </c>
      <c r="H2728">
        <v>368702.50099999999</v>
      </c>
      <c r="I2728" t="s">
        <v>76</v>
      </c>
      <c r="J2728" t="s">
        <v>82</v>
      </c>
      <c r="K2728">
        <v>2.7122137999999998</v>
      </c>
    </row>
    <row r="2729" spans="1:11" x14ac:dyDescent="0.3">
      <c r="A2729" t="s">
        <v>83</v>
      </c>
      <c r="B2729">
        <v>1000</v>
      </c>
      <c r="C2729" t="s">
        <v>91</v>
      </c>
      <c r="D2729">
        <v>4.9049E-4</v>
      </c>
      <c r="E2729" t="s">
        <v>74</v>
      </c>
      <c r="F2729">
        <v>0.49048999999999998</v>
      </c>
      <c r="G2729" t="s">
        <v>75</v>
      </c>
      <c r="H2729">
        <v>490.488</v>
      </c>
      <c r="I2729" t="s">
        <v>76</v>
      </c>
      <c r="J2729" t="s">
        <v>77</v>
      </c>
    </row>
    <row r="2730" spans="1:11" x14ac:dyDescent="0.3">
      <c r="A2730" t="s">
        <v>83</v>
      </c>
      <c r="B2730">
        <v>1000</v>
      </c>
      <c r="C2730" t="s">
        <v>92</v>
      </c>
      <c r="D2730">
        <v>6.6202999999999998E-4</v>
      </c>
      <c r="E2730" t="s">
        <v>74</v>
      </c>
      <c r="F2730">
        <v>0.66203000000000001</v>
      </c>
      <c r="G2730" t="s">
        <v>75</v>
      </c>
      <c r="H2730">
        <v>662.02499999999998</v>
      </c>
      <c r="I2730" t="s">
        <v>76</v>
      </c>
      <c r="J2730" t="s">
        <v>77</v>
      </c>
    </row>
    <row r="2731" spans="1:11" x14ac:dyDescent="0.3">
      <c r="A2731" t="s">
        <v>83</v>
      </c>
      <c r="B2731">
        <v>1000</v>
      </c>
      <c r="C2731" t="s">
        <v>93</v>
      </c>
      <c r="D2731">
        <v>3.9311000000000001E-4</v>
      </c>
      <c r="E2731" t="s">
        <v>74</v>
      </c>
      <c r="F2731">
        <v>0.39311000000000001</v>
      </c>
      <c r="G2731" t="s">
        <v>75</v>
      </c>
      <c r="H2731">
        <v>393.113</v>
      </c>
      <c r="I2731" t="s">
        <v>76</v>
      </c>
      <c r="J2731" t="s">
        <v>77</v>
      </c>
    </row>
    <row r="2732" spans="1:11" x14ac:dyDescent="0.3">
      <c r="A2732" t="s">
        <v>83</v>
      </c>
      <c r="B2732">
        <v>1000</v>
      </c>
      <c r="C2732" t="s">
        <v>79</v>
      </c>
      <c r="D2732">
        <v>1.5462E-3</v>
      </c>
      <c r="E2732" t="s">
        <v>74</v>
      </c>
      <c r="F2732">
        <v>1.5462</v>
      </c>
      <c r="G2732" t="s">
        <v>75</v>
      </c>
      <c r="H2732">
        <v>1546.1959999999999</v>
      </c>
      <c r="I2732" t="s">
        <v>76</v>
      </c>
      <c r="J2732" t="s">
        <v>77</v>
      </c>
    </row>
    <row r="2733" spans="1:11" x14ac:dyDescent="0.3">
      <c r="A2733" t="s">
        <v>83</v>
      </c>
      <c r="B2733">
        <v>1000</v>
      </c>
      <c r="C2733" t="s">
        <v>94</v>
      </c>
      <c r="D2733">
        <v>2.6380000000000002E-3</v>
      </c>
      <c r="E2733" t="s">
        <v>74</v>
      </c>
      <c r="F2733">
        <v>2.6379999999999999</v>
      </c>
      <c r="G2733" t="s">
        <v>75</v>
      </c>
      <c r="H2733">
        <v>2638</v>
      </c>
      <c r="I2733" t="s">
        <v>76</v>
      </c>
      <c r="J2733" t="s">
        <v>77</v>
      </c>
    </row>
    <row r="2734" spans="1:11" x14ac:dyDescent="0.3">
      <c r="A2734" t="s">
        <v>83</v>
      </c>
      <c r="B2734">
        <v>1000</v>
      </c>
      <c r="C2734" t="s">
        <v>80</v>
      </c>
      <c r="D2734">
        <v>2.8209200000000002E-3</v>
      </c>
      <c r="E2734" t="s">
        <v>74</v>
      </c>
      <c r="F2734">
        <v>2.8209200000000001</v>
      </c>
      <c r="G2734" t="s">
        <v>75</v>
      </c>
      <c r="H2734">
        <v>2820.924</v>
      </c>
      <c r="I2734" t="s">
        <v>76</v>
      </c>
      <c r="J2734" t="s">
        <v>77</v>
      </c>
    </row>
    <row r="2735" spans="1:11" x14ac:dyDescent="0.3">
      <c r="A2735" t="s">
        <v>83</v>
      </c>
      <c r="B2735">
        <v>1000</v>
      </c>
      <c r="C2735" t="s">
        <v>81</v>
      </c>
      <c r="D2735">
        <v>4.3683300000000001E-3</v>
      </c>
      <c r="E2735" t="s">
        <v>74</v>
      </c>
      <c r="F2735">
        <v>4.3683300000000003</v>
      </c>
      <c r="G2735" t="s">
        <v>75</v>
      </c>
      <c r="H2735">
        <v>4368.3320000000003</v>
      </c>
      <c r="I2735" t="s">
        <v>76</v>
      </c>
      <c r="J2735" t="s">
        <v>82</v>
      </c>
      <c r="K2735">
        <v>228.9203091</v>
      </c>
    </row>
    <row r="2736" spans="1:11" x14ac:dyDescent="0.3">
      <c r="A2736" t="s">
        <v>84</v>
      </c>
      <c r="B2736">
        <v>1001</v>
      </c>
      <c r="C2736" t="s">
        <v>91</v>
      </c>
      <c r="D2736">
        <v>7.5299999999999998E-4</v>
      </c>
      <c r="E2736" t="s">
        <v>74</v>
      </c>
      <c r="F2736">
        <v>0.753</v>
      </c>
      <c r="G2736" t="s">
        <v>75</v>
      </c>
      <c r="H2736">
        <v>753</v>
      </c>
      <c r="I2736" t="s">
        <v>76</v>
      </c>
      <c r="J2736" t="s">
        <v>77</v>
      </c>
    </row>
    <row r="2737" spans="1:11" x14ac:dyDescent="0.3">
      <c r="A2737" t="s">
        <v>84</v>
      </c>
      <c r="B2737">
        <v>1001</v>
      </c>
      <c r="C2737" t="s">
        <v>92</v>
      </c>
      <c r="D2737">
        <v>6.6489000000000001E-4</v>
      </c>
      <c r="E2737" t="s">
        <v>74</v>
      </c>
      <c r="F2737">
        <v>0.66488999999999998</v>
      </c>
      <c r="G2737" t="s">
        <v>75</v>
      </c>
      <c r="H2737">
        <v>664.88599999999997</v>
      </c>
      <c r="I2737" t="s">
        <v>76</v>
      </c>
      <c r="J2737" t="s">
        <v>77</v>
      </c>
    </row>
    <row r="2738" spans="1:11" x14ac:dyDescent="0.3">
      <c r="A2738" t="s">
        <v>84</v>
      </c>
      <c r="B2738">
        <v>1001</v>
      </c>
      <c r="C2738" t="s">
        <v>93</v>
      </c>
      <c r="D2738">
        <v>4.8516E-4</v>
      </c>
      <c r="E2738" t="s">
        <v>74</v>
      </c>
      <c r="F2738">
        <v>0.48515999999999998</v>
      </c>
      <c r="G2738" t="s">
        <v>75</v>
      </c>
      <c r="H2738">
        <v>485.16199999999998</v>
      </c>
      <c r="I2738" t="s">
        <v>76</v>
      </c>
      <c r="J2738" t="s">
        <v>77</v>
      </c>
    </row>
    <row r="2739" spans="1:11" x14ac:dyDescent="0.3">
      <c r="A2739" t="s">
        <v>84</v>
      </c>
      <c r="B2739">
        <v>1001</v>
      </c>
      <c r="C2739" t="s">
        <v>79</v>
      </c>
      <c r="D2739">
        <v>1.90362E-3</v>
      </c>
      <c r="E2739" t="s">
        <v>74</v>
      </c>
      <c r="F2739">
        <v>1.9036200000000001</v>
      </c>
      <c r="G2739" t="s">
        <v>75</v>
      </c>
      <c r="H2739">
        <v>1903.6189999999999</v>
      </c>
      <c r="I2739" t="s">
        <v>76</v>
      </c>
      <c r="J2739" t="s">
        <v>77</v>
      </c>
    </row>
    <row r="2740" spans="1:11" x14ac:dyDescent="0.3">
      <c r="A2740" t="s">
        <v>84</v>
      </c>
      <c r="B2740">
        <v>1001</v>
      </c>
      <c r="C2740" t="s">
        <v>94</v>
      </c>
      <c r="D2740">
        <v>2.6447300000000001E-3</v>
      </c>
      <c r="E2740" t="s">
        <v>74</v>
      </c>
      <c r="F2740">
        <v>2.64473</v>
      </c>
      <c r="G2740" t="s">
        <v>75</v>
      </c>
      <c r="H2740">
        <v>2644.7289999999998</v>
      </c>
      <c r="I2740" t="s">
        <v>76</v>
      </c>
      <c r="J2740" t="s">
        <v>77</v>
      </c>
    </row>
    <row r="2741" spans="1:11" x14ac:dyDescent="0.3">
      <c r="A2741" t="s">
        <v>84</v>
      </c>
      <c r="B2741">
        <v>1001</v>
      </c>
      <c r="C2741" t="s">
        <v>80</v>
      </c>
      <c r="D2741">
        <v>2.8274699999999999E-3</v>
      </c>
      <c r="E2741" t="s">
        <v>74</v>
      </c>
      <c r="F2741">
        <v>2.8274699999999999</v>
      </c>
      <c r="G2741" t="s">
        <v>75</v>
      </c>
      <c r="H2741">
        <v>2827.471</v>
      </c>
      <c r="I2741" t="s">
        <v>76</v>
      </c>
      <c r="J2741" t="s">
        <v>77</v>
      </c>
    </row>
    <row r="2742" spans="1:11" x14ac:dyDescent="0.3">
      <c r="A2742" t="s">
        <v>84</v>
      </c>
      <c r="B2742">
        <v>1001</v>
      </c>
      <c r="C2742" t="s">
        <v>81</v>
      </c>
      <c r="D2742">
        <v>4.7323E-3</v>
      </c>
      <c r="E2742" t="s">
        <v>74</v>
      </c>
      <c r="F2742">
        <v>4.7323000000000004</v>
      </c>
      <c r="G2742" t="s">
        <v>75</v>
      </c>
      <c r="H2742">
        <v>4732.3029999999999</v>
      </c>
      <c r="I2742" t="s">
        <v>76</v>
      </c>
      <c r="J2742" t="s">
        <v>82</v>
      </c>
      <c r="K2742">
        <v>211.31360480000001</v>
      </c>
    </row>
    <row r="2743" spans="1:11" x14ac:dyDescent="0.3">
      <c r="A2743" t="s">
        <v>85</v>
      </c>
      <c r="B2743">
        <v>1001</v>
      </c>
      <c r="C2743" t="s">
        <v>86</v>
      </c>
      <c r="D2743">
        <v>4.7325700000000002E-3</v>
      </c>
      <c r="E2743" t="s">
        <v>74</v>
      </c>
      <c r="F2743">
        <v>4.7325699999999999</v>
      </c>
      <c r="G2743" t="s">
        <v>75</v>
      </c>
      <c r="H2743">
        <v>4732.5730000000003</v>
      </c>
      <c r="I2743" t="s">
        <v>76</v>
      </c>
      <c r="J2743" t="s">
        <v>82</v>
      </c>
      <c r="K2743">
        <v>211.30156600000001</v>
      </c>
    </row>
    <row r="2744" spans="1:11" x14ac:dyDescent="0.3">
      <c r="A2744" t="s">
        <v>115</v>
      </c>
    </row>
    <row r="2745" spans="1:11" x14ac:dyDescent="0.3">
      <c r="A2745" t="s">
        <v>127</v>
      </c>
    </row>
    <row r="2746" spans="1:11" x14ac:dyDescent="0.3">
      <c r="A2746" t="s">
        <v>87</v>
      </c>
    </row>
    <row r="2747" spans="1:11" x14ac:dyDescent="0.3">
      <c r="A2747" t="s">
        <v>130</v>
      </c>
    </row>
    <row r="2748" spans="1:11" x14ac:dyDescent="0.3">
      <c r="A2748" t="s">
        <v>72</v>
      </c>
      <c r="B2748">
        <v>1</v>
      </c>
      <c r="C2748" t="s">
        <v>81</v>
      </c>
      <c r="D2748">
        <v>0.36870249999999999</v>
      </c>
      <c r="E2748" t="s">
        <v>74</v>
      </c>
      <c r="F2748">
        <v>368.70249999999999</v>
      </c>
      <c r="G2748" t="s">
        <v>75</v>
      </c>
      <c r="H2748">
        <v>368702.50099999999</v>
      </c>
      <c r="I2748" t="s">
        <v>76</v>
      </c>
      <c r="J2748" t="s">
        <v>82</v>
      </c>
      <c r="K2748">
        <v>2.7122137999999998</v>
      </c>
    </row>
    <row r="2749" spans="1:11" x14ac:dyDescent="0.3">
      <c r="A2749" t="s">
        <v>83</v>
      </c>
      <c r="B2749">
        <v>1000</v>
      </c>
      <c r="C2749" t="s">
        <v>81</v>
      </c>
      <c r="D2749">
        <v>4.3683300000000001E-3</v>
      </c>
      <c r="E2749" t="s">
        <v>74</v>
      </c>
      <c r="F2749">
        <v>4.3683300000000003</v>
      </c>
      <c r="G2749" t="s">
        <v>75</v>
      </c>
      <c r="H2749">
        <v>4368.3320000000003</v>
      </c>
      <c r="I2749" t="s">
        <v>76</v>
      </c>
      <c r="J2749" t="s">
        <v>82</v>
      </c>
      <c r="K2749">
        <v>228.9203091</v>
      </c>
    </row>
    <row r="2750" spans="1:11" x14ac:dyDescent="0.3">
      <c r="A2750" t="s">
        <v>85</v>
      </c>
      <c r="B2750">
        <v>1001</v>
      </c>
      <c r="C2750" t="s">
        <v>86</v>
      </c>
      <c r="D2750">
        <v>4.7325700000000002E-3</v>
      </c>
      <c r="E2750" t="s">
        <v>74</v>
      </c>
      <c r="F2750">
        <v>4.7325699999999999</v>
      </c>
      <c r="G2750" t="s">
        <v>75</v>
      </c>
      <c r="H2750">
        <v>4732.5730000000003</v>
      </c>
      <c r="I2750" t="s">
        <v>76</v>
      </c>
      <c r="J2750" t="s">
        <v>82</v>
      </c>
      <c r="K2750">
        <v>211.30156600000001</v>
      </c>
    </row>
    <row r="2752" spans="1:11" x14ac:dyDescent="0.3">
      <c r="A2752" t="s">
        <v>66</v>
      </c>
    </row>
    <row r="2754" spans="1:1" x14ac:dyDescent="0.3">
      <c r="A2754" t="s">
        <v>246</v>
      </c>
    </row>
    <row r="2755" spans="1:1" x14ac:dyDescent="0.3">
      <c r="A2755" t="s">
        <v>68</v>
      </c>
    </row>
    <row r="2756" spans="1:1" x14ac:dyDescent="0.3">
      <c r="A2756" t="s">
        <v>69</v>
      </c>
    </row>
    <row r="2757" spans="1:1" x14ac:dyDescent="0.3">
      <c r="A2757" t="s">
        <v>70</v>
      </c>
    </row>
    <row r="2758" spans="1:1" x14ac:dyDescent="0.3">
      <c r="A2758" t="s">
        <v>115</v>
      </c>
    </row>
    <row r="2759" spans="1:1" x14ac:dyDescent="0.3">
      <c r="A2759" t="s">
        <v>116</v>
      </c>
    </row>
    <row r="2760" spans="1:1" x14ac:dyDescent="0.3">
      <c r="A2760" t="s">
        <v>117</v>
      </c>
    </row>
    <row r="2761" spans="1:1" x14ac:dyDescent="0.3">
      <c r="A2761" t="s">
        <v>118</v>
      </c>
    </row>
    <row r="2762" spans="1:1" x14ac:dyDescent="0.3">
      <c r="A2762" t="s">
        <v>119</v>
      </c>
    </row>
    <row r="2763" spans="1:1" x14ac:dyDescent="0.3">
      <c r="A2763" t="s">
        <v>120</v>
      </c>
    </row>
    <row r="2764" spans="1:1" x14ac:dyDescent="0.3">
      <c r="A2764" t="s">
        <v>121</v>
      </c>
    </row>
    <row r="2765" spans="1:1" x14ac:dyDescent="0.3">
      <c r="A2765" t="s">
        <v>122</v>
      </c>
    </row>
    <row r="2766" spans="1:1" x14ac:dyDescent="0.3">
      <c r="A2766" t="s">
        <v>123</v>
      </c>
    </row>
    <row r="2767" spans="1:1" x14ac:dyDescent="0.3">
      <c r="A2767" t="s">
        <v>124</v>
      </c>
    </row>
    <row r="2768" spans="1:1" x14ac:dyDescent="0.3">
      <c r="A2768" t="s">
        <v>125</v>
      </c>
    </row>
    <row r="2769" spans="1:11" x14ac:dyDescent="0.3">
      <c r="A2769" t="s">
        <v>126</v>
      </c>
    </row>
    <row r="2770" spans="1:11" x14ac:dyDescent="0.3">
      <c r="A2770" t="s">
        <v>127</v>
      </c>
    </row>
    <row r="2771" spans="1:11" x14ac:dyDescent="0.3">
      <c r="A2771" t="s">
        <v>132</v>
      </c>
    </row>
    <row r="2772" spans="1:11" x14ac:dyDescent="0.3">
      <c r="A2772" t="s">
        <v>133</v>
      </c>
    </row>
    <row r="2773" spans="1:11" x14ac:dyDescent="0.3">
      <c r="A2773" t="s">
        <v>72</v>
      </c>
      <c r="B2773">
        <v>1</v>
      </c>
      <c r="C2773" t="s">
        <v>73</v>
      </c>
      <c r="D2773">
        <v>4.3000000000000003E-6</v>
      </c>
      <c r="E2773" t="s">
        <v>74</v>
      </c>
      <c r="F2773">
        <v>4.3E-3</v>
      </c>
      <c r="G2773" t="s">
        <v>75</v>
      </c>
      <c r="H2773">
        <v>4.3</v>
      </c>
      <c r="I2773" t="s">
        <v>76</v>
      </c>
      <c r="J2773" t="s">
        <v>77</v>
      </c>
    </row>
    <row r="2774" spans="1:11" x14ac:dyDescent="0.3">
      <c r="A2774" t="s">
        <v>72</v>
      </c>
      <c r="B2774">
        <v>1</v>
      </c>
      <c r="C2774" t="s">
        <v>78</v>
      </c>
      <c r="D2774">
        <v>0.13545789999999999</v>
      </c>
      <c r="E2774" t="s">
        <v>74</v>
      </c>
      <c r="F2774">
        <v>135.4579</v>
      </c>
      <c r="G2774" t="s">
        <v>75</v>
      </c>
      <c r="H2774">
        <v>135457.90299999999</v>
      </c>
      <c r="I2774" t="s">
        <v>76</v>
      </c>
      <c r="J2774" t="s">
        <v>77</v>
      </c>
    </row>
    <row r="2775" spans="1:11" x14ac:dyDescent="0.3">
      <c r="A2775" t="s">
        <v>72</v>
      </c>
      <c r="B2775">
        <v>1</v>
      </c>
      <c r="C2775" t="s">
        <v>79</v>
      </c>
      <c r="D2775">
        <v>0.2880376</v>
      </c>
      <c r="E2775" t="s">
        <v>74</v>
      </c>
      <c r="F2775">
        <v>288.0376</v>
      </c>
      <c r="G2775" t="s">
        <v>75</v>
      </c>
      <c r="H2775">
        <v>288037.598</v>
      </c>
      <c r="I2775" t="s">
        <v>76</v>
      </c>
      <c r="J2775" t="s">
        <v>77</v>
      </c>
    </row>
    <row r="2776" spans="1:11" x14ac:dyDescent="0.3">
      <c r="A2776" t="s">
        <v>72</v>
      </c>
      <c r="B2776">
        <v>1</v>
      </c>
      <c r="C2776" t="s">
        <v>94</v>
      </c>
      <c r="D2776">
        <v>9.0588999999999999E-3</v>
      </c>
      <c r="E2776" t="s">
        <v>74</v>
      </c>
      <c r="F2776">
        <v>9.0588999999999995</v>
      </c>
      <c r="G2776" t="s">
        <v>75</v>
      </c>
      <c r="H2776">
        <v>9058.9</v>
      </c>
      <c r="I2776" t="s">
        <v>76</v>
      </c>
      <c r="J2776" t="s">
        <v>77</v>
      </c>
    </row>
    <row r="2777" spans="1:11" x14ac:dyDescent="0.3">
      <c r="A2777" t="s">
        <v>72</v>
      </c>
      <c r="B2777">
        <v>1</v>
      </c>
      <c r="C2777" t="s">
        <v>80</v>
      </c>
      <c r="D2777">
        <v>9.0597000000000004E-3</v>
      </c>
      <c r="E2777" t="s">
        <v>74</v>
      </c>
      <c r="F2777">
        <v>9.0596999999999994</v>
      </c>
      <c r="G2777" t="s">
        <v>75</v>
      </c>
      <c r="H2777">
        <v>9059.7000000000007</v>
      </c>
      <c r="I2777" t="s">
        <v>76</v>
      </c>
      <c r="J2777" t="s">
        <v>77</v>
      </c>
    </row>
    <row r="2778" spans="1:11" x14ac:dyDescent="0.3">
      <c r="A2778" t="s">
        <v>72</v>
      </c>
      <c r="B2778">
        <v>1</v>
      </c>
      <c r="C2778" t="s">
        <v>81</v>
      </c>
      <c r="D2778">
        <v>0.29709971000000002</v>
      </c>
      <c r="E2778" t="s">
        <v>74</v>
      </c>
      <c r="F2778">
        <v>297.09971000000002</v>
      </c>
      <c r="G2778" t="s">
        <v>75</v>
      </c>
      <c r="H2778">
        <v>297099.71000000002</v>
      </c>
      <c r="I2778" t="s">
        <v>76</v>
      </c>
      <c r="J2778" t="s">
        <v>82</v>
      </c>
      <c r="K2778">
        <v>3.3658733999999999</v>
      </c>
    </row>
    <row r="2779" spans="1:11" x14ac:dyDescent="0.3">
      <c r="A2779" t="s">
        <v>83</v>
      </c>
      <c r="B2779">
        <v>1000</v>
      </c>
      <c r="C2779" t="s">
        <v>79</v>
      </c>
      <c r="D2779">
        <v>5.6992999999999996E-4</v>
      </c>
      <c r="E2779" t="s">
        <v>74</v>
      </c>
      <c r="F2779">
        <v>0.56993000000000005</v>
      </c>
      <c r="G2779" t="s">
        <v>75</v>
      </c>
      <c r="H2779">
        <v>569.92700000000002</v>
      </c>
      <c r="I2779" t="s">
        <v>76</v>
      </c>
      <c r="J2779" t="s">
        <v>77</v>
      </c>
    </row>
    <row r="2780" spans="1:11" x14ac:dyDescent="0.3">
      <c r="A2780" t="s">
        <v>83</v>
      </c>
      <c r="B2780">
        <v>1000</v>
      </c>
      <c r="C2780" t="s">
        <v>94</v>
      </c>
      <c r="D2780">
        <v>2.5884200000000001E-3</v>
      </c>
      <c r="E2780" t="s">
        <v>74</v>
      </c>
      <c r="F2780">
        <v>2.5884200000000002</v>
      </c>
      <c r="G2780" t="s">
        <v>75</v>
      </c>
      <c r="H2780">
        <v>2588.424</v>
      </c>
      <c r="I2780" t="s">
        <v>76</v>
      </c>
      <c r="J2780" t="s">
        <v>77</v>
      </c>
    </row>
    <row r="2781" spans="1:11" x14ac:dyDescent="0.3">
      <c r="A2781" t="s">
        <v>83</v>
      </c>
      <c r="B2781">
        <v>1000</v>
      </c>
      <c r="C2781" t="s">
        <v>80</v>
      </c>
      <c r="D2781">
        <v>2.7669700000000001E-3</v>
      </c>
      <c r="E2781" t="s">
        <v>74</v>
      </c>
      <c r="F2781">
        <v>2.7669700000000002</v>
      </c>
      <c r="G2781" t="s">
        <v>75</v>
      </c>
      <c r="H2781">
        <v>2766.9679999999998</v>
      </c>
      <c r="I2781" t="s">
        <v>76</v>
      </c>
      <c r="J2781" t="s">
        <v>77</v>
      </c>
    </row>
    <row r="2782" spans="1:11" x14ac:dyDescent="0.3">
      <c r="A2782" t="s">
        <v>83</v>
      </c>
      <c r="B2782">
        <v>1000</v>
      </c>
      <c r="C2782" t="s">
        <v>81</v>
      </c>
      <c r="D2782">
        <v>3.3379899999999999E-3</v>
      </c>
      <c r="E2782" t="s">
        <v>74</v>
      </c>
      <c r="F2782">
        <v>3.33799</v>
      </c>
      <c r="G2782" t="s">
        <v>75</v>
      </c>
      <c r="H2782">
        <v>3337.9949999999999</v>
      </c>
      <c r="I2782" t="s">
        <v>76</v>
      </c>
      <c r="J2782" t="s">
        <v>82</v>
      </c>
      <c r="K2782">
        <v>299.58105260000002</v>
      </c>
    </row>
    <row r="2783" spans="1:11" x14ac:dyDescent="0.3">
      <c r="A2783" t="s">
        <v>84</v>
      </c>
      <c r="B2783">
        <v>1001</v>
      </c>
      <c r="C2783" t="s">
        <v>79</v>
      </c>
      <c r="D2783">
        <v>8.5711000000000001E-4</v>
      </c>
      <c r="E2783" t="s">
        <v>74</v>
      </c>
      <c r="F2783">
        <v>0.85711000000000004</v>
      </c>
      <c r="G2783" t="s">
        <v>75</v>
      </c>
      <c r="H2783">
        <v>857.10699999999997</v>
      </c>
      <c r="I2783" t="s">
        <v>76</v>
      </c>
      <c r="J2783" t="s">
        <v>77</v>
      </c>
    </row>
    <row r="2784" spans="1:11" x14ac:dyDescent="0.3">
      <c r="A2784" t="s">
        <v>84</v>
      </c>
      <c r="B2784">
        <v>1001</v>
      </c>
      <c r="C2784" t="s">
        <v>94</v>
      </c>
      <c r="D2784">
        <v>2.5948899999999999E-3</v>
      </c>
      <c r="E2784" t="s">
        <v>74</v>
      </c>
      <c r="F2784">
        <v>2.5948899999999999</v>
      </c>
      <c r="G2784" t="s">
        <v>75</v>
      </c>
      <c r="H2784">
        <v>2594.8879999999999</v>
      </c>
      <c r="I2784" t="s">
        <v>76</v>
      </c>
      <c r="J2784" t="s">
        <v>77</v>
      </c>
    </row>
    <row r="2785" spans="1:11" x14ac:dyDescent="0.3">
      <c r="A2785" t="s">
        <v>84</v>
      </c>
      <c r="B2785">
        <v>1001</v>
      </c>
      <c r="C2785" t="s">
        <v>80</v>
      </c>
      <c r="D2785">
        <v>2.7732500000000001E-3</v>
      </c>
      <c r="E2785" t="s">
        <v>74</v>
      </c>
      <c r="F2785">
        <v>2.77325</v>
      </c>
      <c r="G2785" t="s">
        <v>75</v>
      </c>
      <c r="H2785">
        <v>2773.2539999999999</v>
      </c>
      <c r="I2785" t="s">
        <v>76</v>
      </c>
      <c r="J2785" t="s">
        <v>77</v>
      </c>
    </row>
    <row r="2786" spans="1:11" x14ac:dyDescent="0.3">
      <c r="A2786" t="s">
        <v>84</v>
      </c>
      <c r="B2786">
        <v>1001</v>
      </c>
      <c r="C2786" t="s">
        <v>81</v>
      </c>
      <c r="D2786">
        <v>3.63146E-3</v>
      </c>
      <c r="E2786" t="s">
        <v>74</v>
      </c>
      <c r="F2786">
        <v>3.6314600000000001</v>
      </c>
      <c r="G2786" t="s">
        <v>75</v>
      </c>
      <c r="H2786">
        <v>3631.462</v>
      </c>
      <c r="I2786" t="s">
        <v>76</v>
      </c>
      <c r="J2786" t="s">
        <v>82</v>
      </c>
      <c r="K2786">
        <v>275.37115130000001</v>
      </c>
    </row>
    <row r="2787" spans="1:11" x14ac:dyDescent="0.3">
      <c r="A2787" t="s">
        <v>85</v>
      </c>
      <c r="B2787">
        <v>1001</v>
      </c>
      <c r="C2787" t="s">
        <v>86</v>
      </c>
      <c r="D2787">
        <v>3.6316899999999999E-3</v>
      </c>
      <c r="E2787" t="s">
        <v>74</v>
      </c>
      <c r="F2787">
        <v>3.6316899999999999</v>
      </c>
      <c r="G2787" t="s">
        <v>75</v>
      </c>
      <c r="H2787">
        <v>3631.6930000000002</v>
      </c>
      <c r="I2787" t="s">
        <v>76</v>
      </c>
      <c r="J2787" t="s">
        <v>82</v>
      </c>
      <c r="K2787">
        <v>275.3536694</v>
      </c>
    </row>
    <row r="2788" spans="1:11" x14ac:dyDescent="0.3">
      <c r="A2788" t="s">
        <v>134</v>
      </c>
    </row>
    <row r="2789" spans="1:11" x14ac:dyDescent="0.3">
      <c r="A2789" t="s">
        <v>135</v>
      </c>
    </row>
    <row r="2790" spans="1:11" x14ac:dyDescent="0.3">
      <c r="A2790" t="s">
        <v>72</v>
      </c>
      <c r="B2790">
        <v>1</v>
      </c>
      <c r="C2790" t="s">
        <v>73</v>
      </c>
      <c r="D2790">
        <v>4.3000000000000003E-6</v>
      </c>
      <c r="E2790" t="s">
        <v>74</v>
      </c>
      <c r="F2790">
        <v>4.3E-3</v>
      </c>
      <c r="G2790" t="s">
        <v>75</v>
      </c>
      <c r="H2790">
        <v>4.3</v>
      </c>
      <c r="I2790" t="s">
        <v>76</v>
      </c>
      <c r="J2790" t="s">
        <v>77</v>
      </c>
    </row>
    <row r="2791" spans="1:11" x14ac:dyDescent="0.3">
      <c r="A2791" t="s">
        <v>72</v>
      </c>
      <c r="B2791">
        <v>1</v>
      </c>
      <c r="C2791" t="s">
        <v>78</v>
      </c>
      <c r="D2791">
        <v>3.65E-5</v>
      </c>
      <c r="E2791" t="s">
        <v>74</v>
      </c>
      <c r="F2791">
        <v>3.6499999999999998E-2</v>
      </c>
      <c r="G2791" t="s">
        <v>75</v>
      </c>
      <c r="H2791">
        <v>36.5</v>
      </c>
      <c r="I2791" t="s">
        <v>76</v>
      </c>
      <c r="J2791" t="s">
        <v>77</v>
      </c>
    </row>
    <row r="2792" spans="1:11" x14ac:dyDescent="0.3">
      <c r="A2792" t="s">
        <v>72</v>
      </c>
      <c r="B2792">
        <v>1</v>
      </c>
      <c r="C2792" t="s">
        <v>79</v>
      </c>
      <c r="D2792">
        <v>4.2069000000000004E-3</v>
      </c>
      <c r="E2792" t="s">
        <v>74</v>
      </c>
      <c r="F2792">
        <v>4.2069000000000001</v>
      </c>
      <c r="G2792" t="s">
        <v>75</v>
      </c>
      <c r="H2792">
        <v>4206.8999999999996</v>
      </c>
      <c r="I2792" t="s">
        <v>76</v>
      </c>
      <c r="J2792" t="s">
        <v>77</v>
      </c>
    </row>
    <row r="2793" spans="1:11" x14ac:dyDescent="0.3">
      <c r="A2793" t="s">
        <v>72</v>
      </c>
      <c r="B2793">
        <v>1</v>
      </c>
      <c r="C2793" t="s">
        <v>94</v>
      </c>
      <c r="D2793">
        <v>2.627E-3</v>
      </c>
      <c r="E2793" t="s">
        <v>74</v>
      </c>
      <c r="F2793">
        <v>2.6269999999999998</v>
      </c>
      <c r="G2793" t="s">
        <v>75</v>
      </c>
      <c r="H2793">
        <v>2627</v>
      </c>
      <c r="I2793" t="s">
        <v>76</v>
      </c>
      <c r="J2793" t="s">
        <v>77</v>
      </c>
    </row>
    <row r="2794" spans="1:11" x14ac:dyDescent="0.3">
      <c r="A2794" t="s">
        <v>72</v>
      </c>
      <c r="B2794">
        <v>1</v>
      </c>
      <c r="C2794" t="s">
        <v>80</v>
      </c>
      <c r="D2794">
        <v>2.8471E-3</v>
      </c>
      <c r="E2794" t="s">
        <v>74</v>
      </c>
      <c r="F2794">
        <v>2.8471000000000002</v>
      </c>
      <c r="G2794" t="s">
        <v>75</v>
      </c>
      <c r="H2794">
        <v>2847.1</v>
      </c>
      <c r="I2794" t="s">
        <v>76</v>
      </c>
      <c r="J2794" t="s">
        <v>77</v>
      </c>
    </row>
    <row r="2795" spans="1:11" x14ac:dyDescent="0.3">
      <c r="A2795" t="s">
        <v>72</v>
      </c>
      <c r="B2795">
        <v>1</v>
      </c>
      <c r="C2795" t="s">
        <v>81</v>
      </c>
      <c r="D2795">
        <v>7.0550999999999999E-3</v>
      </c>
      <c r="E2795" t="s">
        <v>74</v>
      </c>
      <c r="F2795">
        <v>7.0551000000000004</v>
      </c>
      <c r="G2795" t="s">
        <v>75</v>
      </c>
      <c r="H2795">
        <v>7055.1</v>
      </c>
      <c r="I2795" t="s">
        <v>76</v>
      </c>
      <c r="J2795" t="s">
        <v>82</v>
      </c>
      <c r="K2795">
        <v>141.74143419999999</v>
      </c>
    </row>
    <row r="2796" spans="1:11" x14ac:dyDescent="0.3">
      <c r="A2796" t="s">
        <v>83</v>
      </c>
      <c r="B2796">
        <v>1000</v>
      </c>
      <c r="C2796" t="s">
        <v>79</v>
      </c>
      <c r="D2796">
        <v>8.3131000000000004E-4</v>
      </c>
      <c r="E2796" t="s">
        <v>74</v>
      </c>
      <c r="F2796">
        <v>0.83130999999999999</v>
      </c>
      <c r="G2796" t="s">
        <v>75</v>
      </c>
      <c r="H2796">
        <v>831.30799999999999</v>
      </c>
      <c r="I2796" t="s">
        <v>76</v>
      </c>
      <c r="J2796" t="s">
        <v>77</v>
      </c>
    </row>
    <row r="2797" spans="1:11" x14ac:dyDescent="0.3">
      <c r="A2797" t="s">
        <v>83</v>
      </c>
      <c r="B2797">
        <v>1000</v>
      </c>
      <c r="C2797" t="s">
        <v>94</v>
      </c>
      <c r="D2797">
        <v>2.6092799999999998E-3</v>
      </c>
      <c r="E2797" t="s">
        <v>74</v>
      </c>
      <c r="F2797">
        <v>2.60928</v>
      </c>
      <c r="G2797" t="s">
        <v>75</v>
      </c>
      <c r="H2797">
        <v>2609.2809999999999</v>
      </c>
      <c r="I2797" t="s">
        <v>76</v>
      </c>
      <c r="J2797" t="s">
        <v>77</v>
      </c>
    </row>
    <row r="2798" spans="1:11" x14ac:dyDescent="0.3">
      <c r="A2798" t="s">
        <v>83</v>
      </c>
      <c r="B2798">
        <v>1000</v>
      </c>
      <c r="C2798" t="s">
        <v>80</v>
      </c>
      <c r="D2798">
        <v>2.7986500000000002E-3</v>
      </c>
      <c r="E2798" t="s">
        <v>74</v>
      </c>
      <c r="F2798">
        <v>2.7986499999999999</v>
      </c>
      <c r="G2798" t="s">
        <v>75</v>
      </c>
      <c r="H2798">
        <v>2798.6529999999998</v>
      </c>
      <c r="I2798" t="s">
        <v>76</v>
      </c>
      <c r="J2798" t="s">
        <v>77</v>
      </c>
    </row>
    <row r="2799" spans="1:11" x14ac:dyDescent="0.3">
      <c r="A2799" t="s">
        <v>83</v>
      </c>
      <c r="B2799">
        <v>1000</v>
      </c>
      <c r="C2799" t="s">
        <v>81</v>
      </c>
      <c r="D2799">
        <v>3.6310499999999998E-3</v>
      </c>
      <c r="E2799" t="s">
        <v>74</v>
      </c>
      <c r="F2799">
        <v>3.6310500000000001</v>
      </c>
      <c r="G2799" t="s">
        <v>75</v>
      </c>
      <c r="H2799">
        <v>3631.05</v>
      </c>
      <c r="I2799" t="s">
        <v>76</v>
      </c>
      <c r="J2799" t="s">
        <v>82</v>
      </c>
      <c r="K2799">
        <v>275.4024235</v>
      </c>
    </row>
    <row r="2800" spans="1:11" x14ac:dyDescent="0.3">
      <c r="A2800" t="s">
        <v>84</v>
      </c>
      <c r="B2800">
        <v>1001</v>
      </c>
      <c r="C2800" t="s">
        <v>79</v>
      </c>
      <c r="D2800">
        <v>8.3467999999999997E-4</v>
      </c>
      <c r="E2800" t="s">
        <v>74</v>
      </c>
      <c r="F2800">
        <v>0.83467999999999998</v>
      </c>
      <c r="G2800" t="s">
        <v>75</v>
      </c>
      <c r="H2800">
        <v>834.68100000000004</v>
      </c>
      <c r="I2800" t="s">
        <v>76</v>
      </c>
      <c r="J2800" t="s">
        <v>77</v>
      </c>
    </row>
    <row r="2801" spans="1:11" x14ac:dyDescent="0.3">
      <c r="A2801" t="s">
        <v>84</v>
      </c>
      <c r="B2801">
        <v>1001</v>
      </c>
      <c r="C2801" t="s">
        <v>94</v>
      </c>
      <c r="D2801">
        <v>2.6093000000000002E-3</v>
      </c>
      <c r="E2801" t="s">
        <v>74</v>
      </c>
      <c r="F2801">
        <v>2.6093000000000002</v>
      </c>
      <c r="G2801" t="s">
        <v>75</v>
      </c>
      <c r="H2801">
        <v>2609.2979999999998</v>
      </c>
      <c r="I2801" t="s">
        <v>76</v>
      </c>
      <c r="J2801" t="s">
        <v>77</v>
      </c>
    </row>
    <row r="2802" spans="1:11" x14ac:dyDescent="0.3">
      <c r="A2802" t="s">
        <v>84</v>
      </c>
      <c r="B2802">
        <v>1001</v>
      </c>
      <c r="C2802" t="s">
        <v>80</v>
      </c>
      <c r="D2802">
        <v>2.7986999999999999E-3</v>
      </c>
      <c r="E2802" t="s">
        <v>74</v>
      </c>
      <c r="F2802">
        <v>2.7987000000000002</v>
      </c>
      <c r="G2802" t="s">
        <v>75</v>
      </c>
      <c r="H2802">
        <v>2798.701</v>
      </c>
      <c r="I2802" t="s">
        <v>76</v>
      </c>
      <c r="J2802" t="s">
        <v>77</v>
      </c>
    </row>
    <row r="2803" spans="1:11" x14ac:dyDescent="0.3">
      <c r="A2803" t="s">
        <v>84</v>
      </c>
      <c r="B2803">
        <v>1001</v>
      </c>
      <c r="C2803" t="s">
        <v>81</v>
      </c>
      <c r="D2803">
        <v>3.6344699999999999E-3</v>
      </c>
      <c r="E2803" t="s">
        <v>74</v>
      </c>
      <c r="F2803">
        <v>3.6344699999999999</v>
      </c>
      <c r="G2803" t="s">
        <v>75</v>
      </c>
      <c r="H2803">
        <v>3634.471</v>
      </c>
      <c r="I2803" t="s">
        <v>76</v>
      </c>
      <c r="J2803" t="s">
        <v>82</v>
      </c>
      <c r="K2803">
        <v>275.14319310000002</v>
      </c>
    </row>
    <row r="2804" spans="1:11" x14ac:dyDescent="0.3">
      <c r="A2804" t="s">
        <v>85</v>
      </c>
      <c r="B2804">
        <v>1001</v>
      </c>
      <c r="C2804" t="s">
        <v>86</v>
      </c>
      <c r="D2804">
        <v>3.6346899999999999E-3</v>
      </c>
      <c r="E2804" t="s">
        <v>74</v>
      </c>
      <c r="F2804">
        <v>3.63469</v>
      </c>
      <c r="G2804" t="s">
        <v>75</v>
      </c>
      <c r="H2804">
        <v>3634.6950000000002</v>
      </c>
      <c r="I2804" t="s">
        <v>76</v>
      </c>
      <c r="J2804" t="s">
        <v>82</v>
      </c>
      <c r="K2804">
        <v>275.12628089999998</v>
      </c>
    </row>
    <row r="2805" spans="1:11" x14ac:dyDescent="0.3">
      <c r="A2805" t="s">
        <v>115</v>
      </c>
    </row>
    <row r="2806" spans="1:11" x14ac:dyDescent="0.3">
      <c r="A2806" t="s">
        <v>127</v>
      </c>
    </row>
    <row r="2807" spans="1:11" x14ac:dyDescent="0.3">
      <c r="A2807" t="s">
        <v>87</v>
      </c>
    </row>
    <row r="2808" spans="1:11" x14ac:dyDescent="0.3">
      <c r="A2808" t="s">
        <v>136</v>
      </c>
    </row>
    <row r="2809" spans="1:11" x14ac:dyDescent="0.3">
      <c r="A2809" t="s">
        <v>72</v>
      </c>
      <c r="B2809">
        <v>1</v>
      </c>
      <c r="C2809" t="s">
        <v>81</v>
      </c>
      <c r="D2809">
        <v>0.29709971000000002</v>
      </c>
      <c r="E2809" t="s">
        <v>74</v>
      </c>
      <c r="F2809">
        <v>297.09971000000002</v>
      </c>
      <c r="G2809" t="s">
        <v>75</v>
      </c>
      <c r="H2809">
        <v>297099.71000000002</v>
      </c>
      <c r="I2809" t="s">
        <v>76</v>
      </c>
      <c r="J2809" t="s">
        <v>82</v>
      </c>
      <c r="K2809">
        <v>3.3658733999999999</v>
      </c>
    </row>
    <row r="2810" spans="1:11" x14ac:dyDescent="0.3">
      <c r="A2810" t="s">
        <v>83</v>
      </c>
      <c r="B2810">
        <v>1000</v>
      </c>
      <c r="C2810" t="s">
        <v>81</v>
      </c>
      <c r="D2810">
        <v>3.3379899999999999E-3</v>
      </c>
      <c r="E2810" t="s">
        <v>74</v>
      </c>
      <c r="F2810">
        <v>3.33799</v>
      </c>
      <c r="G2810" t="s">
        <v>75</v>
      </c>
      <c r="H2810">
        <v>3337.9949999999999</v>
      </c>
      <c r="I2810" t="s">
        <v>76</v>
      </c>
      <c r="J2810" t="s">
        <v>82</v>
      </c>
      <c r="K2810">
        <v>299.58105260000002</v>
      </c>
    </row>
    <row r="2811" spans="1:11" x14ac:dyDescent="0.3">
      <c r="A2811" t="s">
        <v>85</v>
      </c>
      <c r="B2811">
        <v>1001</v>
      </c>
      <c r="C2811" t="s">
        <v>86</v>
      </c>
      <c r="D2811">
        <v>3.6316899999999999E-3</v>
      </c>
      <c r="E2811" t="s">
        <v>74</v>
      </c>
      <c r="F2811">
        <v>3.6316899999999999</v>
      </c>
      <c r="G2811" t="s">
        <v>75</v>
      </c>
      <c r="H2811">
        <v>3631.6930000000002</v>
      </c>
      <c r="I2811" t="s">
        <v>76</v>
      </c>
      <c r="J2811" t="s">
        <v>82</v>
      </c>
      <c r="K2811">
        <v>275.3536694</v>
      </c>
    </row>
    <row r="2813" spans="1:11" x14ac:dyDescent="0.3">
      <c r="A2813" t="s">
        <v>137</v>
      </c>
    </row>
    <row r="2814" spans="1:11" x14ac:dyDescent="0.3">
      <c r="A2814" t="s">
        <v>72</v>
      </c>
      <c r="B2814">
        <v>1</v>
      </c>
      <c r="C2814" t="s">
        <v>81</v>
      </c>
      <c r="D2814">
        <v>7.0550999999999999E-3</v>
      </c>
      <c r="E2814" t="s">
        <v>74</v>
      </c>
      <c r="F2814">
        <v>7.0551000000000004</v>
      </c>
      <c r="G2814" t="s">
        <v>75</v>
      </c>
      <c r="H2814">
        <v>7055.1</v>
      </c>
      <c r="I2814" t="s">
        <v>76</v>
      </c>
      <c r="J2814" t="s">
        <v>82</v>
      </c>
      <c r="K2814">
        <v>141.74143419999999</v>
      </c>
    </row>
    <row r="2815" spans="1:11" x14ac:dyDescent="0.3">
      <c r="A2815" t="s">
        <v>83</v>
      </c>
      <c r="B2815">
        <v>1000</v>
      </c>
      <c r="C2815" t="s">
        <v>81</v>
      </c>
      <c r="D2815">
        <v>3.6310499999999998E-3</v>
      </c>
      <c r="E2815" t="s">
        <v>74</v>
      </c>
      <c r="F2815">
        <v>3.6310500000000001</v>
      </c>
      <c r="G2815" t="s">
        <v>75</v>
      </c>
      <c r="H2815">
        <v>3631.05</v>
      </c>
      <c r="I2815" t="s">
        <v>76</v>
      </c>
      <c r="J2815" t="s">
        <v>82</v>
      </c>
      <c r="K2815">
        <v>275.4024235</v>
      </c>
    </row>
    <row r="2816" spans="1:11" x14ac:dyDescent="0.3">
      <c r="A2816" t="s">
        <v>85</v>
      </c>
      <c r="B2816">
        <v>1001</v>
      </c>
      <c r="C2816" t="s">
        <v>86</v>
      </c>
      <c r="D2816">
        <v>3.6346899999999999E-3</v>
      </c>
      <c r="E2816" t="s">
        <v>74</v>
      </c>
      <c r="F2816">
        <v>3.63469</v>
      </c>
      <c r="G2816" t="s">
        <v>75</v>
      </c>
      <c r="H2816">
        <v>3634.6950000000002</v>
      </c>
      <c r="I2816" t="s">
        <v>76</v>
      </c>
      <c r="J2816" t="s">
        <v>82</v>
      </c>
      <c r="K2816">
        <v>275.12628089999998</v>
      </c>
    </row>
    <row r="2818" spans="1:1" x14ac:dyDescent="0.3">
      <c r="A2818" t="s">
        <v>66</v>
      </c>
    </row>
    <row r="2820" spans="1:1" x14ac:dyDescent="0.3">
      <c r="A2820" t="s">
        <v>247</v>
      </c>
    </row>
    <row r="2821" spans="1:1" x14ac:dyDescent="0.3">
      <c r="A2821" t="s">
        <v>68</v>
      </c>
    </row>
    <row r="2822" spans="1:1" x14ac:dyDescent="0.3">
      <c r="A2822" t="s">
        <v>69</v>
      </c>
    </row>
    <row r="2823" spans="1:1" x14ac:dyDescent="0.3">
      <c r="A2823" t="s">
        <v>70</v>
      </c>
    </row>
    <row r="2824" spans="1:1" x14ac:dyDescent="0.3">
      <c r="A2824" t="s">
        <v>115</v>
      </c>
    </row>
    <row r="2825" spans="1:1" x14ac:dyDescent="0.3">
      <c r="A2825" t="s">
        <v>116</v>
      </c>
    </row>
    <row r="2826" spans="1:1" x14ac:dyDescent="0.3">
      <c r="A2826" t="s">
        <v>117</v>
      </c>
    </row>
    <row r="2827" spans="1:1" x14ac:dyDescent="0.3">
      <c r="A2827" t="s">
        <v>118</v>
      </c>
    </row>
    <row r="2828" spans="1:1" x14ac:dyDescent="0.3">
      <c r="A2828" t="s">
        <v>119</v>
      </c>
    </row>
    <row r="2829" spans="1:1" x14ac:dyDescent="0.3">
      <c r="A2829" t="s">
        <v>120</v>
      </c>
    </row>
    <row r="2830" spans="1:1" x14ac:dyDescent="0.3">
      <c r="A2830" t="s">
        <v>121</v>
      </c>
    </row>
    <row r="2831" spans="1:1" x14ac:dyDescent="0.3">
      <c r="A2831" t="s">
        <v>122</v>
      </c>
    </row>
    <row r="2832" spans="1:1" x14ac:dyDescent="0.3">
      <c r="A2832" t="s">
        <v>123</v>
      </c>
    </row>
    <row r="2833" spans="1:11" x14ac:dyDescent="0.3">
      <c r="A2833" t="s">
        <v>124</v>
      </c>
    </row>
    <row r="2834" spans="1:11" x14ac:dyDescent="0.3">
      <c r="A2834" t="s">
        <v>125</v>
      </c>
    </row>
    <row r="2835" spans="1:11" x14ac:dyDescent="0.3">
      <c r="A2835" t="s">
        <v>126</v>
      </c>
    </row>
    <row r="2836" spans="1:11" x14ac:dyDescent="0.3">
      <c r="A2836" t="s">
        <v>127</v>
      </c>
    </row>
    <row r="2837" spans="1:11" x14ac:dyDescent="0.3">
      <c r="A2837" t="s">
        <v>139</v>
      </c>
    </row>
    <row r="2838" spans="1:11" x14ac:dyDescent="0.3">
      <c r="A2838" t="s">
        <v>140</v>
      </c>
    </row>
    <row r="2839" spans="1:11" x14ac:dyDescent="0.3">
      <c r="A2839" t="s">
        <v>72</v>
      </c>
      <c r="B2839">
        <v>1</v>
      </c>
      <c r="C2839" t="s">
        <v>73</v>
      </c>
      <c r="D2839">
        <v>4.3000000000000003E-6</v>
      </c>
      <c r="E2839" t="s">
        <v>74</v>
      </c>
      <c r="F2839">
        <v>4.3E-3</v>
      </c>
      <c r="G2839" t="s">
        <v>75</v>
      </c>
      <c r="H2839">
        <v>4.3</v>
      </c>
      <c r="I2839" t="s">
        <v>76</v>
      </c>
      <c r="J2839" t="s">
        <v>77</v>
      </c>
    </row>
    <row r="2840" spans="1:11" x14ac:dyDescent="0.3">
      <c r="A2840" t="s">
        <v>72</v>
      </c>
      <c r="B2840">
        <v>1</v>
      </c>
      <c r="C2840" t="s">
        <v>78</v>
      </c>
      <c r="D2840">
        <v>0.16512071</v>
      </c>
      <c r="E2840" t="s">
        <v>74</v>
      </c>
      <c r="F2840">
        <v>165.12071</v>
      </c>
      <c r="G2840" t="s">
        <v>75</v>
      </c>
      <c r="H2840">
        <v>165120.70600000001</v>
      </c>
      <c r="I2840" t="s">
        <v>76</v>
      </c>
      <c r="J2840" t="s">
        <v>77</v>
      </c>
    </row>
    <row r="2841" spans="1:11" x14ac:dyDescent="0.3">
      <c r="A2841" t="s">
        <v>72</v>
      </c>
      <c r="B2841">
        <v>1</v>
      </c>
      <c r="C2841" t="s">
        <v>79</v>
      </c>
      <c r="D2841">
        <v>0.35610771000000002</v>
      </c>
      <c r="E2841" t="s">
        <v>74</v>
      </c>
      <c r="F2841">
        <v>356.10771</v>
      </c>
      <c r="G2841" t="s">
        <v>75</v>
      </c>
      <c r="H2841">
        <v>356107.712</v>
      </c>
      <c r="I2841" t="s">
        <v>76</v>
      </c>
      <c r="J2841" t="s">
        <v>77</v>
      </c>
    </row>
    <row r="2842" spans="1:11" x14ac:dyDescent="0.3">
      <c r="A2842" t="s">
        <v>72</v>
      </c>
      <c r="B2842">
        <v>1</v>
      </c>
      <c r="C2842" t="s">
        <v>94</v>
      </c>
      <c r="D2842">
        <v>9.3700999999999993E-3</v>
      </c>
      <c r="E2842" t="s">
        <v>74</v>
      </c>
      <c r="F2842">
        <v>9.3701000000000008</v>
      </c>
      <c r="G2842" t="s">
        <v>75</v>
      </c>
      <c r="H2842">
        <v>9370.1</v>
      </c>
      <c r="I2842" t="s">
        <v>76</v>
      </c>
      <c r="J2842" t="s">
        <v>77</v>
      </c>
    </row>
    <row r="2843" spans="1:11" x14ac:dyDescent="0.3">
      <c r="A2843" t="s">
        <v>72</v>
      </c>
      <c r="B2843">
        <v>1</v>
      </c>
      <c r="C2843" t="s">
        <v>80</v>
      </c>
      <c r="D2843">
        <v>9.3706999999999992E-3</v>
      </c>
      <c r="E2843" t="s">
        <v>74</v>
      </c>
      <c r="F2843">
        <v>9.3706999999999994</v>
      </c>
      <c r="G2843" t="s">
        <v>75</v>
      </c>
      <c r="H2843">
        <v>9370.7000000000007</v>
      </c>
      <c r="I2843" t="s">
        <v>76</v>
      </c>
      <c r="J2843" t="s">
        <v>77</v>
      </c>
    </row>
    <row r="2844" spans="1:11" x14ac:dyDescent="0.3">
      <c r="A2844" t="s">
        <v>72</v>
      </c>
      <c r="B2844">
        <v>1</v>
      </c>
      <c r="C2844" t="s">
        <v>81</v>
      </c>
      <c r="D2844">
        <v>0.36548059999999999</v>
      </c>
      <c r="E2844" t="s">
        <v>74</v>
      </c>
      <c r="F2844">
        <v>365.48059999999998</v>
      </c>
      <c r="G2844" t="s">
        <v>75</v>
      </c>
      <c r="H2844">
        <v>365480.60200000001</v>
      </c>
      <c r="I2844" t="s">
        <v>76</v>
      </c>
      <c r="J2844" t="s">
        <v>82</v>
      </c>
      <c r="K2844">
        <v>2.7361233</v>
      </c>
    </row>
    <row r="2845" spans="1:11" x14ac:dyDescent="0.3">
      <c r="A2845" t="s">
        <v>83</v>
      </c>
      <c r="B2845">
        <v>1000</v>
      </c>
      <c r="C2845" t="s">
        <v>79</v>
      </c>
      <c r="D2845">
        <v>2.6106599999999999E-3</v>
      </c>
      <c r="E2845" t="s">
        <v>74</v>
      </c>
      <c r="F2845">
        <v>2.6106600000000002</v>
      </c>
      <c r="G2845" t="s">
        <v>75</v>
      </c>
      <c r="H2845">
        <v>2610.6619999999998</v>
      </c>
      <c r="I2845" t="s">
        <v>76</v>
      </c>
      <c r="J2845" t="s">
        <v>77</v>
      </c>
    </row>
    <row r="2846" spans="1:11" x14ac:dyDescent="0.3">
      <c r="A2846" t="s">
        <v>83</v>
      </c>
      <c r="B2846">
        <v>1000</v>
      </c>
      <c r="C2846" t="s">
        <v>94</v>
      </c>
      <c r="D2846">
        <v>2.5842999999999999E-3</v>
      </c>
      <c r="E2846" t="s">
        <v>74</v>
      </c>
      <c r="F2846">
        <v>2.5842999999999998</v>
      </c>
      <c r="G2846" t="s">
        <v>75</v>
      </c>
      <c r="H2846">
        <v>2584.3029999999999</v>
      </c>
      <c r="I2846" t="s">
        <v>76</v>
      </c>
      <c r="J2846" t="s">
        <v>77</v>
      </c>
    </row>
    <row r="2847" spans="1:11" x14ac:dyDescent="0.3">
      <c r="A2847" t="s">
        <v>83</v>
      </c>
      <c r="B2847">
        <v>1000</v>
      </c>
      <c r="C2847" t="s">
        <v>80</v>
      </c>
      <c r="D2847">
        <v>2.7628900000000001E-3</v>
      </c>
      <c r="E2847" t="s">
        <v>74</v>
      </c>
      <c r="F2847">
        <v>2.7628900000000001</v>
      </c>
      <c r="G2847" t="s">
        <v>75</v>
      </c>
      <c r="H2847">
        <v>2762.893</v>
      </c>
      <c r="I2847" t="s">
        <v>76</v>
      </c>
      <c r="J2847" t="s">
        <v>77</v>
      </c>
    </row>
    <row r="2848" spans="1:11" x14ac:dyDescent="0.3">
      <c r="A2848" t="s">
        <v>83</v>
      </c>
      <c r="B2848">
        <v>1000</v>
      </c>
      <c r="C2848" t="s">
        <v>81</v>
      </c>
      <c r="D2848">
        <v>5.37449E-3</v>
      </c>
      <c r="E2848" t="s">
        <v>74</v>
      </c>
      <c r="F2848">
        <v>5.3744899999999998</v>
      </c>
      <c r="G2848" t="s">
        <v>75</v>
      </c>
      <c r="H2848">
        <v>5374.4889999999996</v>
      </c>
      <c r="I2848" t="s">
        <v>76</v>
      </c>
      <c r="J2848" t="s">
        <v>82</v>
      </c>
      <c r="K2848">
        <v>186.06419009999999</v>
      </c>
    </row>
    <row r="2849" spans="1:11" x14ac:dyDescent="0.3">
      <c r="A2849" t="s">
        <v>84</v>
      </c>
      <c r="B2849">
        <v>1001</v>
      </c>
      <c r="C2849" t="s">
        <v>79</v>
      </c>
      <c r="D2849">
        <v>2.9638099999999999E-3</v>
      </c>
      <c r="E2849" t="s">
        <v>74</v>
      </c>
      <c r="F2849">
        <v>2.9638100000000001</v>
      </c>
      <c r="G2849" t="s">
        <v>75</v>
      </c>
      <c r="H2849">
        <v>2963.8049999999998</v>
      </c>
      <c r="I2849" t="s">
        <v>76</v>
      </c>
      <c r="J2849" t="s">
        <v>77</v>
      </c>
    </row>
    <row r="2850" spans="1:11" x14ac:dyDescent="0.3">
      <c r="A2850" t="s">
        <v>84</v>
      </c>
      <c r="B2850">
        <v>1001</v>
      </c>
      <c r="C2850" t="s">
        <v>94</v>
      </c>
      <c r="D2850">
        <v>2.5910799999999999E-3</v>
      </c>
      <c r="E2850" t="s">
        <v>74</v>
      </c>
      <c r="F2850">
        <v>2.5910799999999998</v>
      </c>
      <c r="G2850" t="s">
        <v>75</v>
      </c>
      <c r="H2850">
        <v>2591.0819999999999</v>
      </c>
      <c r="I2850" t="s">
        <v>76</v>
      </c>
      <c r="J2850" t="s">
        <v>77</v>
      </c>
    </row>
    <row r="2851" spans="1:11" x14ac:dyDescent="0.3">
      <c r="A2851" t="s">
        <v>84</v>
      </c>
      <c r="B2851">
        <v>1001</v>
      </c>
      <c r="C2851" t="s">
        <v>80</v>
      </c>
      <c r="D2851">
        <v>2.7694899999999999E-3</v>
      </c>
      <c r="E2851" t="s">
        <v>74</v>
      </c>
      <c r="F2851">
        <v>2.7694899999999998</v>
      </c>
      <c r="G2851" t="s">
        <v>75</v>
      </c>
      <c r="H2851">
        <v>2769.4940000000001</v>
      </c>
      <c r="I2851" t="s">
        <v>76</v>
      </c>
      <c r="J2851" t="s">
        <v>77</v>
      </c>
    </row>
    <row r="2852" spans="1:11" x14ac:dyDescent="0.3">
      <c r="A2852" t="s">
        <v>84</v>
      </c>
      <c r="B2852">
        <v>1001</v>
      </c>
      <c r="C2852" t="s">
        <v>81</v>
      </c>
      <c r="D2852">
        <v>5.7342399999999998E-3</v>
      </c>
      <c r="E2852" t="s">
        <v>74</v>
      </c>
      <c r="F2852">
        <v>5.7342399999999998</v>
      </c>
      <c r="G2852" t="s">
        <v>75</v>
      </c>
      <c r="H2852">
        <v>5734.2349999999997</v>
      </c>
      <c r="I2852" t="s">
        <v>76</v>
      </c>
      <c r="J2852" t="s">
        <v>82</v>
      </c>
      <c r="K2852">
        <v>174.3911635</v>
      </c>
    </row>
    <row r="2853" spans="1:11" x14ac:dyDescent="0.3">
      <c r="A2853" t="s">
        <v>85</v>
      </c>
      <c r="B2853">
        <v>1001</v>
      </c>
      <c r="C2853" t="s">
        <v>86</v>
      </c>
      <c r="D2853">
        <v>5.7344400000000004E-3</v>
      </c>
      <c r="E2853" t="s">
        <v>74</v>
      </c>
      <c r="F2853">
        <v>5.7344400000000002</v>
      </c>
      <c r="G2853" t="s">
        <v>75</v>
      </c>
      <c r="H2853">
        <v>5734.4350000000004</v>
      </c>
      <c r="I2853" t="s">
        <v>76</v>
      </c>
      <c r="J2853" t="s">
        <v>82</v>
      </c>
      <c r="K2853">
        <v>174.3850936</v>
      </c>
    </row>
    <row r="2854" spans="1:11" x14ac:dyDescent="0.3">
      <c r="A2854" t="s">
        <v>141</v>
      </c>
    </row>
    <row r="2855" spans="1:11" x14ac:dyDescent="0.3">
      <c r="A2855" t="s">
        <v>142</v>
      </c>
    </row>
    <row r="2856" spans="1:11" x14ac:dyDescent="0.3">
      <c r="A2856" t="s">
        <v>72</v>
      </c>
      <c r="B2856">
        <v>1</v>
      </c>
      <c r="C2856" t="s">
        <v>73</v>
      </c>
      <c r="D2856">
        <v>4.3000000000000003E-6</v>
      </c>
      <c r="E2856" t="s">
        <v>74</v>
      </c>
      <c r="F2856">
        <v>4.3E-3</v>
      </c>
      <c r="G2856" t="s">
        <v>75</v>
      </c>
      <c r="H2856">
        <v>4.3</v>
      </c>
      <c r="I2856" t="s">
        <v>76</v>
      </c>
      <c r="J2856" t="s">
        <v>77</v>
      </c>
    </row>
    <row r="2857" spans="1:11" x14ac:dyDescent="0.3">
      <c r="A2857" t="s">
        <v>72</v>
      </c>
      <c r="B2857">
        <v>1</v>
      </c>
      <c r="C2857" t="s">
        <v>78</v>
      </c>
      <c r="D2857">
        <v>3.8500000000000001E-5</v>
      </c>
      <c r="E2857" t="s">
        <v>74</v>
      </c>
      <c r="F2857">
        <v>3.85E-2</v>
      </c>
      <c r="G2857" t="s">
        <v>75</v>
      </c>
      <c r="H2857">
        <v>38.5</v>
      </c>
      <c r="I2857" t="s">
        <v>76</v>
      </c>
      <c r="J2857" t="s">
        <v>77</v>
      </c>
    </row>
    <row r="2858" spans="1:11" x14ac:dyDescent="0.3">
      <c r="A2858" t="s">
        <v>72</v>
      </c>
      <c r="B2858">
        <v>1</v>
      </c>
      <c r="C2858" t="s">
        <v>79</v>
      </c>
      <c r="D2858">
        <v>6.5871000000000002E-3</v>
      </c>
      <c r="E2858" t="s">
        <v>74</v>
      </c>
      <c r="F2858">
        <v>6.5871000000000004</v>
      </c>
      <c r="G2858" t="s">
        <v>75</v>
      </c>
      <c r="H2858">
        <v>6587.1</v>
      </c>
      <c r="I2858" t="s">
        <v>76</v>
      </c>
      <c r="J2858" t="s">
        <v>77</v>
      </c>
    </row>
    <row r="2859" spans="1:11" x14ac:dyDescent="0.3">
      <c r="A2859" t="s">
        <v>72</v>
      </c>
      <c r="B2859">
        <v>1</v>
      </c>
      <c r="C2859" t="s">
        <v>94</v>
      </c>
      <c r="D2859">
        <v>2.6259999999999999E-3</v>
      </c>
      <c r="E2859" t="s">
        <v>74</v>
      </c>
      <c r="F2859">
        <v>2.6259999999999999</v>
      </c>
      <c r="G2859" t="s">
        <v>75</v>
      </c>
      <c r="H2859">
        <v>2626</v>
      </c>
      <c r="I2859" t="s">
        <v>76</v>
      </c>
      <c r="J2859" t="s">
        <v>77</v>
      </c>
    </row>
    <row r="2860" spans="1:11" x14ac:dyDescent="0.3">
      <c r="A2860" t="s">
        <v>72</v>
      </c>
      <c r="B2860">
        <v>1</v>
      </c>
      <c r="C2860" t="s">
        <v>80</v>
      </c>
      <c r="D2860">
        <v>2.7688000000000001E-3</v>
      </c>
      <c r="E2860" t="s">
        <v>74</v>
      </c>
      <c r="F2860">
        <v>2.7688000000000001</v>
      </c>
      <c r="G2860" t="s">
        <v>75</v>
      </c>
      <c r="H2860">
        <v>2768.8</v>
      </c>
      <c r="I2860" t="s">
        <v>76</v>
      </c>
      <c r="J2860" t="s">
        <v>77</v>
      </c>
    </row>
    <row r="2861" spans="1:11" x14ac:dyDescent="0.3">
      <c r="A2861" t="s">
        <v>72</v>
      </c>
      <c r="B2861">
        <v>1</v>
      </c>
      <c r="C2861" t="s">
        <v>81</v>
      </c>
      <c r="D2861">
        <v>9.3571999999999995E-3</v>
      </c>
      <c r="E2861" t="s">
        <v>74</v>
      </c>
      <c r="F2861">
        <v>9.3572000000000006</v>
      </c>
      <c r="G2861" t="s">
        <v>75</v>
      </c>
      <c r="H2861">
        <v>9357.2000000000007</v>
      </c>
      <c r="I2861" t="s">
        <v>76</v>
      </c>
      <c r="J2861" t="s">
        <v>82</v>
      </c>
      <c r="K2861">
        <v>106.86957630000001</v>
      </c>
    </row>
    <row r="2862" spans="1:11" x14ac:dyDescent="0.3">
      <c r="A2862" t="s">
        <v>83</v>
      </c>
      <c r="B2862">
        <v>1000</v>
      </c>
      <c r="C2862" t="s">
        <v>79</v>
      </c>
      <c r="D2862">
        <v>2.66862E-3</v>
      </c>
      <c r="E2862" t="s">
        <v>74</v>
      </c>
      <c r="F2862">
        <v>2.6686200000000002</v>
      </c>
      <c r="G2862" t="s">
        <v>75</v>
      </c>
      <c r="H2862">
        <v>2668.623</v>
      </c>
      <c r="I2862" t="s">
        <v>76</v>
      </c>
      <c r="J2862" t="s">
        <v>77</v>
      </c>
    </row>
    <row r="2863" spans="1:11" x14ac:dyDescent="0.3">
      <c r="A2863" t="s">
        <v>83</v>
      </c>
      <c r="B2863">
        <v>1000</v>
      </c>
      <c r="C2863" t="s">
        <v>94</v>
      </c>
      <c r="D2863">
        <v>2.6181300000000002E-3</v>
      </c>
      <c r="E2863" t="s">
        <v>74</v>
      </c>
      <c r="F2863">
        <v>2.6181299999999998</v>
      </c>
      <c r="G2863" t="s">
        <v>75</v>
      </c>
      <c r="H2863">
        <v>2618.134</v>
      </c>
      <c r="I2863" t="s">
        <v>76</v>
      </c>
      <c r="J2863" t="s">
        <v>77</v>
      </c>
    </row>
    <row r="2864" spans="1:11" x14ac:dyDescent="0.3">
      <c r="A2864" t="s">
        <v>83</v>
      </c>
      <c r="B2864">
        <v>1000</v>
      </c>
      <c r="C2864" t="s">
        <v>80</v>
      </c>
      <c r="D2864">
        <v>2.8075299999999999E-3</v>
      </c>
      <c r="E2864" t="s">
        <v>74</v>
      </c>
      <c r="F2864">
        <v>2.8075299999999999</v>
      </c>
      <c r="G2864" t="s">
        <v>75</v>
      </c>
      <c r="H2864">
        <v>2807.529</v>
      </c>
      <c r="I2864" t="s">
        <v>76</v>
      </c>
      <c r="J2864" t="s">
        <v>77</v>
      </c>
    </row>
    <row r="2865" spans="1:11" x14ac:dyDescent="0.3">
      <c r="A2865" t="s">
        <v>83</v>
      </c>
      <c r="B2865">
        <v>1000</v>
      </c>
      <c r="C2865" t="s">
        <v>81</v>
      </c>
      <c r="D2865">
        <v>5.4772800000000002E-3</v>
      </c>
      <c r="E2865" t="s">
        <v>74</v>
      </c>
      <c r="F2865">
        <v>5.4772800000000004</v>
      </c>
      <c r="G2865" t="s">
        <v>75</v>
      </c>
      <c r="H2865">
        <v>5477.2830000000004</v>
      </c>
      <c r="I2865" t="s">
        <v>76</v>
      </c>
      <c r="J2865" t="s">
        <v>82</v>
      </c>
      <c r="K2865">
        <v>182.57225579999999</v>
      </c>
    </row>
    <row r="2866" spans="1:11" x14ac:dyDescent="0.3">
      <c r="A2866" t="s">
        <v>84</v>
      </c>
      <c r="B2866">
        <v>1001</v>
      </c>
      <c r="C2866" t="s">
        <v>79</v>
      </c>
      <c r="D2866">
        <v>2.6725400000000002E-3</v>
      </c>
      <c r="E2866" t="s">
        <v>74</v>
      </c>
      <c r="F2866">
        <v>2.6725400000000001</v>
      </c>
      <c r="G2866" t="s">
        <v>75</v>
      </c>
      <c r="H2866">
        <v>2672.538</v>
      </c>
      <c r="I2866" t="s">
        <v>76</v>
      </c>
      <c r="J2866" t="s">
        <v>77</v>
      </c>
    </row>
    <row r="2867" spans="1:11" x14ac:dyDescent="0.3">
      <c r="A2867" t="s">
        <v>84</v>
      </c>
      <c r="B2867">
        <v>1001</v>
      </c>
      <c r="C2867" t="s">
        <v>94</v>
      </c>
      <c r="D2867">
        <v>2.6181400000000001E-3</v>
      </c>
      <c r="E2867" t="s">
        <v>74</v>
      </c>
      <c r="F2867">
        <v>2.6181399999999999</v>
      </c>
      <c r="G2867" t="s">
        <v>75</v>
      </c>
      <c r="H2867">
        <v>2618.1419999999998</v>
      </c>
      <c r="I2867" t="s">
        <v>76</v>
      </c>
      <c r="J2867" t="s">
        <v>77</v>
      </c>
    </row>
    <row r="2868" spans="1:11" x14ac:dyDescent="0.3">
      <c r="A2868" t="s">
        <v>84</v>
      </c>
      <c r="B2868">
        <v>1001</v>
      </c>
      <c r="C2868" t="s">
        <v>80</v>
      </c>
      <c r="D2868">
        <v>2.8074900000000002E-3</v>
      </c>
      <c r="E2868" t="s">
        <v>74</v>
      </c>
      <c r="F2868">
        <v>2.80749</v>
      </c>
      <c r="G2868" t="s">
        <v>75</v>
      </c>
      <c r="H2868">
        <v>2807.49</v>
      </c>
      <c r="I2868" t="s">
        <v>76</v>
      </c>
      <c r="J2868" t="s">
        <v>77</v>
      </c>
    </row>
    <row r="2869" spans="1:11" x14ac:dyDescent="0.3">
      <c r="A2869" t="s">
        <v>84</v>
      </c>
      <c r="B2869">
        <v>1001</v>
      </c>
      <c r="C2869" t="s">
        <v>81</v>
      </c>
      <c r="D2869">
        <v>5.4811599999999997E-3</v>
      </c>
      <c r="E2869" t="s">
        <v>74</v>
      </c>
      <c r="F2869">
        <v>5.48116</v>
      </c>
      <c r="G2869" t="s">
        <v>75</v>
      </c>
      <c r="H2869">
        <v>5481.1589999999997</v>
      </c>
      <c r="I2869" t="s">
        <v>76</v>
      </c>
      <c r="J2869" t="s">
        <v>82</v>
      </c>
      <c r="K2869">
        <v>182.44315599999999</v>
      </c>
    </row>
    <row r="2870" spans="1:11" x14ac:dyDescent="0.3">
      <c r="A2870" t="s">
        <v>85</v>
      </c>
      <c r="B2870">
        <v>1001</v>
      </c>
      <c r="C2870" t="s">
        <v>86</v>
      </c>
      <c r="D2870">
        <v>5.48139E-3</v>
      </c>
      <c r="E2870" t="s">
        <v>74</v>
      </c>
      <c r="F2870">
        <v>5.4813900000000002</v>
      </c>
      <c r="G2870" t="s">
        <v>75</v>
      </c>
      <c r="H2870">
        <v>5481.3950000000004</v>
      </c>
      <c r="I2870" t="s">
        <v>76</v>
      </c>
      <c r="J2870" t="s">
        <v>82</v>
      </c>
      <c r="K2870">
        <v>182.43532350000001</v>
      </c>
    </row>
    <row r="2871" spans="1:11" x14ac:dyDescent="0.3">
      <c r="A2871" t="s">
        <v>115</v>
      </c>
    </row>
    <row r="2872" spans="1:11" x14ac:dyDescent="0.3">
      <c r="A2872" t="s">
        <v>127</v>
      </c>
    </row>
    <row r="2873" spans="1:11" x14ac:dyDescent="0.3">
      <c r="A2873" t="s">
        <v>87</v>
      </c>
    </row>
    <row r="2874" spans="1:11" x14ac:dyDescent="0.3">
      <c r="A2874" t="s">
        <v>143</v>
      </c>
    </row>
    <row r="2875" spans="1:11" x14ac:dyDescent="0.3">
      <c r="A2875" t="s">
        <v>72</v>
      </c>
      <c r="B2875">
        <v>1</v>
      </c>
      <c r="C2875" t="s">
        <v>81</v>
      </c>
      <c r="D2875">
        <v>0.36548059999999999</v>
      </c>
      <c r="E2875" t="s">
        <v>74</v>
      </c>
      <c r="F2875">
        <v>365.48059999999998</v>
      </c>
      <c r="G2875" t="s">
        <v>75</v>
      </c>
      <c r="H2875">
        <v>365480.60200000001</v>
      </c>
      <c r="I2875" t="s">
        <v>76</v>
      </c>
      <c r="J2875" t="s">
        <v>82</v>
      </c>
      <c r="K2875">
        <v>2.7361233</v>
      </c>
    </row>
    <row r="2876" spans="1:11" x14ac:dyDescent="0.3">
      <c r="A2876" t="s">
        <v>83</v>
      </c>
      <c r="B2876">
        <v>1000</v>
      </c>
      <c r="C2876" t="s">
        <v>81</v>
      </c>
      <c r="D2876">
        <v>5.37449E-3</v>
      </c>
      <c r="E2876" t="s">
        <v>74</v>
      </c>
      <c r="F2876">
        <v>5.3744899999999998</v>
      </c>
      <c r="G2876" t="s">
        <v>75</v>
      </c>
      <c r="H2876">
        <v>5374.4889999999996</v>
      </c>
      <c r="I2876" t="s">
        <v>76</v>
      </c>
      <c r="J2876" t="s">
        <v>82</v>
      </c>
      <c r="K2876">
        <v>186.06419009999999</v>
      </c>
    </row>
    <row r="2877" spans="1:11" x14ac:dyDescent="0.3">
      <c r="A2877" t="s">
        <v>85</v>
      </c>
      <c r="B2877">
        <v>1001</v>
      </c>
      <c r="C2877" t="s">
        <v>86</v>
      </c>
      <c r="D2877">
        <v>5.7344400000000004E-3</v>
      </c>
      <c r="E2877" t="s">
        <v>74</v>
      </c>
      <c r="F2877">
        <v>5.7344400000000002</v>
      </c>
      <c r="G2877" t="s">
        <v>75</v>
      </c>
      <c r="H2877">
        <v>5734.4350000000004</v>
      </c>
      <c r="I2877" t="s">
        <v>76</v>
      </c>
      <c r="J2877" t="s">
        <v>82</v>
      </c>
      <c r="K2877">
        <v>174.3850936</v>
      </c>
    </row>
    <row r="2879" spans="1:11" x14ac:dyDescent="0.3">
      <c r="A2879" t="s">
        <v>144</v>
      </c>
    </row>
    <row r="2880" spans="1:11" x14ac:dyDescent="0.3">
      <c r="A2880" t="s">
        <v>72</v>
      </c>
      <c r="B2880">
        <v>1</v>
      </c>
      <c r="C2880" t="s">
        <v>81</v>
      </c>
      <c r="D2880">
        <v>9.3571999999999995E-3</v>
      </c>
      <c r="E2880" t="s">
        <v>74</v>
      </c>
      <c r="F2880">
        <v>9.3572000000000006</v>
      </c>
      <c r="G2880" t="s">
        <v>75</v>
      </c>
      <c r="H2880">
        <v>9357.2000000000007</v>
      </c>
      <c r="I2880" t="s">
        <v>76</v>
      </c>
      <c r="J2880" t="s">
        <v>82</v>
      </c>
      <c r="K2880">
        <v>106.86957630000001</v>
      </c>
    </row>
    <row r="2881" spans="1:11" x14ac:dyDescent="0.3">
      <c r="A2881" t="s">
        <v>83</v>
      </c>
      <c r="B2881">
        <v>1000</v>
      </c>
      <c r="C2881" t="s">
        <v>81</v>
      </c>
      <c r="D2881">
        <v>5.4772800000000002E-3</v>
      </c>
      <c r="E2881" t="s">
        <v>74</v>
      </c>
      <c r="F2881">
        <v>5.4772800000000004</v>
      </c>
      <c r="G2881" t="s">
        <v>75</v>
      </c>
      <c r="H2881">
        <v>5477.2830000000004</v>
      </c>
      <c r="I2881" t="s">
        <v>76</v>
      </c>
      <c r="J2881" t="s">
        <v>82</v>
      </c>
      <c r="K2881">
        <v>182.57225579999999</v>
      </c>
    </row>
    <row r="2882" spans="1:11" x14ac:dyDescent="0.3">
      <c r="A2882" t="s">
        <v>85</v>
      </c>
      <c r="B2882">
        <v>1001</v>
      </c>
      <c r="C2882" t="s">
        <v>86</v>
      </c>
      <c r="D2882">
        <v>5.48139E-3</v>
      </c>
      <c r="E2882" t="s">
        <v>74</v>
      </c>
      <c r="F2882">
        <v>5.4813900000000002</v>
      </c>
      <c r="G2882" t="s">
        <v>75</v>
      </c>
      <c r="H2882">
        <v>5481.3950000000004</v>
      </c>
      <c r="I2882" t="s">
        <v>76</v>
      </c>
      <c r="J2882" t="s">
        <v>82</v>
      </c>
      <c r="K2882">
        <v>182.43532350000001</v>
      </c>
    </row>
    <row r="2884" spans="1:11" x14ac:dyDescent="0.3">
      <c r="A2884" t="s">
        <v>66</v>
      </c>
    </row>
    <row r="2886" spans="1:11" x14ac:dyDescent="0.3">
      <c r="A2886" t="s">
        <v>248</v>
      </c>
    </row>
    <row r="2887" spans="1:11" x14ac:dyDescent="0.3">
      <c r="A2887" t="s">
        <v>68</v>
      </c>
    </row>
    <row r="2888" spans="1:11" x14ac:dyDescent="0.3">
      <c r="A2888" t="s">
        <v>69</v>
      </c>
    </row>
    <row r="2889" spans="1:11" x14ac:dyDescent="0.3">
      <c r="A2889" t="s">
        <v>70</v>
      </c>
    </row>
    <row r="2890" spans="1:11" x14ac:dyDescent="0.3">
      <c r="A2890" t="s">
        <v>115</v>
      </c>
    </row>
    <row r="2891" spans="1:11" x14ac:dyDescent="0.3">
      <c r="A2891" t="s">
        <v>116</v>
      </c>
    </row>
    <row r="2892" spans="1:11" x14ac:dyDescent="0.3">
      <c r="A2892" t="s">
        <v>117</v>
      </c>
    </row>
    <row r="2893" spans="1:11" x14ac:dyDescent="0.3">
      <c r="A2893" t="s">
        <v>118</v>
      </c>
    </row>
    <row r="2894" spans="1:11" x14ac:dyDescent="0.3">
      <c r="A2894" t="s">
        <v>119</v>
      </c>
    </row>
    <row r="2895" spans="1:11" x14ac:dyDescent="0.3">
      <c r="A2895" t="s">
        <v>120</v>
      </c>
    </row>
    <row r="2896" spans="1:11" x14ac:dyDescent="0.3">
      <c r="A2896" t="s">
        <v>121</v>
      </c>
    </row>
    <row r="2897" spans="1:11" x14ac:dyDescent="0.3">
      <c r="A2897" t="s">
        <v>122</v>
      </c>
    </row>
    <row r="2898" spans="1:11" x14ac:dyDescent="0.3">
      <c r="A2898" t="s">
        <v>123</v>
      </c>
    </row>
    <row r="2899" spans="1:11" x14ac:dyDescent="0.3">
      <c r="A2899" t="s">
        <v>124</v>
      </c>
    </row>
    <row r="2900" spans="1:11" x14ac:dyDescent="0.3">
      <c r="A2900" t="s">
        <v>125</v>
      </c>
    </row>
    <row r="2901" spans="1:11" x14ac:dyDescent="0.3">
      <c r="A2901" t="s">
        <v>126</v>
      </c>
    </row>
    <row r="2902" spans="1:11" x14ac:dyDescent="0.3">
      <c r="A2902" t="s">
        <v>127</v>
      </c>
    </row>
    <row r="2903" spans="1:11" x14ac:dyDescent="0.3">
      <c r="A2903" t="s">
        <v>146</v>
      </c>
    </row>
    <row r="2904" spans="1:11" x14ac:dyDescent="0.3">
      <c r="A2904" t="s">
        <v>147</v>
      </c>
    </row>
    <row r="2905" spans="1:11" x14ac:dyDescent="0.3">
      <c r="A2905" t="s">
        <v>72</v>
      </c>
      <c r="B2905">
        <v>1</v>
      </c>
      <c r="C2905" t="s">
        <v>73</v>
      </c>
      <c r="D2905">
        <v>4.3000000000000003E-6</v>
      </c>
      <c r="E2905" t="s">
        <v>74</v>
      </c>
      <c r="F2905">
        <v>4.3E-3</v>
      </c>
      <c r="G2905" t="s">
        <v>75</v>
      </c>
      <c r="H2905">
        <v>4.3</v>
      </c>
      <c r="I2905" t="s">
        <v>76</v>
      </c>
      <c r="J2905" t="s">
        <v>77</v>
      </c>
    </row>
    <row r="2906" spans="1:11" x14ac:dyDescent="0.3">
      <c r="A2906" t="s">
        <v>72</v>
      </c>
      <c r="B2906">
        <v>1</v>
      </c>
      <c r="C2906" t="s">
        <v>78</v>
      </c>
      <c r="D2906">
        <v>0.14705950000000001</v>
      </c>
      <c r="E2906" t="s">
        <v>74</v>
      </c>
      <c r="F2906">
        <v>147.05950000000001</v>
      </c>
      <c r="G2906" t="s">
        <v>75</v>
      </c>
      <c r="H2906">
        <v>147059.5</v>
      </c>
      <c r="I2906" t="s">
        <v>76</v>
      </c>
      <c r="J2906" t="s">
        <v>77</v>
      </c>
    </row>
    <row r="2907" spans="1:11" x14ac:dyDescent="0.3">
      <c r="A2907" t="s">
        <v>72</v>
      </c>
      <c r="B2907">
        <v>1</v>
      </c>
      <c r="C2907" t="s">
        <v>79</v>
      </c>
      <c r="D2907">
        <v>0.29147050000000002</v>
      </c>
      <c r="E2907" t="s">
        <v>74</v>
      </c>
      <c r="F2907">
        <v>291.47050000000002</v>
      </c>
      <c r="G2907" t="s">
        <v>75</v>
      </c>
      <c r="H2907">
        <v>291470.49800000002</v>
      </c>
      <c r="I2907" t="s">
        <v>76</v>
      </c>
      <c r="J2907" t="s">
        <v>77</v>
      </c>
    </row>
    <row r="2908" spans="1:11" x14ac:dyDescent="0.3">
      <c r="A2908" t="s">
        <v>72</v>
      </c>
      <c r="B2908">
        <v>1</v>
      </c>
      <c r="C2908" t="s">
        <v>94</v>
      </c>
      <c r="D2908">
        <v>9.3370999999999992E-3</v>
      </c>
      <c r="E2908" t="s">
        <v>74</v>
      </c>
      <c r="F2908">
        <v>9.3370999999999995</v>
      </c>
      <c r="G2908" t="s">
        <v>75</v>
      </c>
      <c r="H2908">
        <v>9337.1</v>
      </c>
      <c r="I2908" t="s">
        <v>76</v>
      </c>
      <c r="J2908" t="s">
        <v>77</v>
      </c>
    </row>
    <row r="2909" spans="1:11" x14ac:dyDescent="0.3">
      <c r="A2909" t="s">
        <v>72</v>
      </c>
      <c r="B2909">
        <v>1</v>
      </c>
      <c r="C2909" t="s">
        <v>80</v>
      </c>
      <c r="D2909">
        <v>9.3378000000000003E-3</v>
      </c>
      <c r="E2909" t="s">
        <v>74</v>
      </c>
      <c r="F2909">
        <v>9.3377999999999997</v>
      </c>
      <c r="G2909" t="s">
        <v>75</v>
      </c>
      <c r="H2909">
        <v>9337.7999999999993</v>
      </c>
      <c r="I2909" t="s">
        <v>76</v>
      </c>
      <c r="J2909" t="s">
        <v>77</v>
      </c>
    </row>
    <row r="2910" spans="1:11" x14ac:dyDescent="0.3">
      <c r="A2910" t="s">
        <v>72</v>
      </c>
      <c r="B2910">
        <v>1</v>
      </c>
      <c r="C2910" t="s">
        <v>81</v>
      </c>
      <c r="D2910">
        <v>0.30081068999999999</v>
      </c>
      <c r="E2910" t="s">
        <v>74</v>
      </c>
      <c r="F2910">
        <v>300.81069000000002</v>
      </c>
      <c r="G2910" t="s">
        <v>75</v>
      </c>
      <c r="H2910">
        <v>300810.69500000001</v>
      </c>
      <c r="I2910" t="s">
        <v>76</v>
      </c>
      <c r="J2910" t="s">
        <v>82</v>
      </c>
      <c r="K2910">
        <v>3.3243499000000001</v>
      </c>
    </row>
    <row r="2911" spans="1:11" x14ac:dyDescent="0.3">
      <c r="A2911" t="s">
        <v>83</v>
      </c>
      <c r="B2911">
        <v>1000</v>
      </c>
      <c r="C2911" t="s">
        <v>79</v>
      </c>
      <c r="D2911">
        <v>3.6422400000000001E-3</v>
      </c>
      <c r="E2911" t="s">
        <v>74</v>
      </c>
      <c r="F2911">
        <v>3.6422400000000001</v>
      </c>
      <c r="G2911" t="s">
        <v>75</v>
      </c>
      <c r="H2911">
        <v>3642.2370000000001</v>
      </c>
      <c r="I2911" t="s">
        <v>76</v>
      </c>
      <c r="J2911" t="s">
        <v>77</v>
      </c>
    </row>
    <row r="2912" spans="1:11" x14ac:dyDescent="0.3">
      <c r="A2912" t="s">
        <v>83</v>
      </c>
      <c r="B2912">
        <v>1000</v>
      </c>
      <c r="C2912" t="s">
        <v>94</v>
      </c>
      <c r="D2912">
        <v>2.5900699999999999E-3</v>
      </c>
      <c r="E2912" t="s">
        <v>74</v>
      </c>
      <c r="F2912">
        <v>2.5900699999999999</v>
      </c>
      <c r="G2912" t="s">
        <v>75</v>
      </c>
      <c r="H2912">
        <v>2590.0650000000001</v>
      </c>
      <c r="I2912" t="s">
        <v>76</v>
      </c>
      <c r="J2912" t="s">
        <v>77</v>
      </c>
    </row>
    <row r="2913" spans="1:11" x14ac:dyDescent="0.3">
      <c r="A2913" t="s">
        <v>83</v>
      </c>
      <c r="B2913">
        <v>1000</v>
      </c>
      <c r="C2913" t="s">
        <v>80</v>
      </c>
      <c r="D2913">
        <v>2.7673799999999998E-3</v>
      </c>
      <c r="E2913" t="s">
        <v>74</v>
      </c>
      <c r="F2913">
        <v>2.7673800000000002</v>
      </c>
      <c r="G2913" t="s">
        <v>75</v>
      </c>
      <c r="H2913">
        <v>2767.384</v>
      </c>
      <c r="I2913" t="s">
        <v>76</v>
      </c>
      <c r="J2913" t="s">
        <v>77</v>
      </c>
    </row>
    <row r="2914" spans="1:11" x14ac:dyDescent="0.3">
      <c r="A2914" t="s">
        <v>83</v>
      </c>
      <c r="B2914">
        <v>1000</v>
      </c>
      <c r="C2914" t="s">
        <v>81</v>
      </c>
      <c r="D2914">
        <v>6.4106900000000001E-3</v>
      </c>
      <c r="E2914" t="s">
        <v>74</v>
      </c>
      <c r="F2914">
        <v>6.4106899999999998</v>
      </c>
      <c r="G2914" t="s">
        <v>75</v>
      </c>
      <c r="H2914">
        <v>6410.6869999999999</v>
      </c>
      <c r="I2914" t="s">
        <v>76</v>
      </c>
      <c r="J2914" t="s">
        <v>82</v>
      </c>
      <c r="K2914">
        <v>155.98951099999999</v>
      </c>
    </row>
    <row r="2915" spans="1:11" x14ac:dyDescent="0.3">
      <c r="A2915" t="s">
        <v>84</v>
      </c>
      <c r="B2915">
        <v>1001</v>
      </c>
      <c r="C2915" t="s">
        <v>79</v>
      </c>
      <c r="D2915">
        <v>3.9297799999999999E-3</v>
      </c>
      <c r="E2915" t="s">
        <v>74</v>
      </c>
      <c r="F2915">
        <v>3.9297800000000001</v>
      </c>
      <c r="G2915" t="s">
        <v>75</v>
      </c>
      <c r="H2915">
        <v>3929.7779999999998</v>
      </c>
      <c r="I2915" t="s">
        <v>76</v>
      </c>
      <c r="J2915" t="s">
        <v>77</v>
      </c>
    </row>
    <row r="2916" spans="1:11" x14ac:dyDescent="0.3">
      <c r="A2916" t="s">
        <v>84</v>
      </c>
      <c r="B2916">
        <v>1001</v>
      </c>
      <c r="C2916" t="s">
        <v>94</v>
      </c>
      <c r="D2916">
        <v>2.5968100000000002E-3</v>
      </c>
      <c r="E2916" t="s">
        <v>74</v>
      </c>
      <c r="F2916">
        <v>2.5968100000000001</v>
      </c>
      <c r="G2916" t="s">
        <v>75</v>
      </c>
      <c r="H2916">
        <v>2596.806</v>
      </c>
      <c r="I2916" t="s">
        <v>76</v>
      </c>
      <c r="J2916" t="s">
        <v>77</v>
      </c>
    </row>
    <row r="2917" spans="1:11" x14ac:dyDescent="0.3">
      <c r="A2917" t="s">
        <v>84</v>
      </c>
      <c r="B2917">
        <v>1001</v>
      </c>
      <c r="C2917" t="s">
        <v>80</v>
      </c>
      <c r="D2917">
        <v>2.7739499999999999E-3</v>
      </c>
      <c r="E2917" t="s">
        <v>74</v>
      </c>
      <c r="F2917">
        <v>2.7739500000000001</v>
      </c>
      <c r="G2917" t="s">
        <v>75</v>
      </c>
      <c r="H2917">
        <v>2773.9479999999999</v>
      </c>
      <c r="I2917" t="s">
        <v>76</v>
      </c>
      <c r="J2917" t="s">
        <v>77</v>
      </c>
    </row>
    <row r="2918" spans="1:11" x14ac:dyDescent="0.3">
      <c r="A2918" t="s">
        <v>84</v>
      </c>
      <c r="B2918">
        <v>1001</v>
      </c>
      <c r="C2918" t="s">
        <v>81</v>
      </c>
      <c r="D2918">
        <v>6.7047900000000004E-3</v>
      </c>
      <c r="E2918" t="s">
        <v>74</v>
      </c>
      <c r="F2918">
        <v>6.70479</v>
      </c>
      <c r="G2918" t="s">
        <v>75</v>
      </c>
      <c r="H2918">
        <v>6704.7920000000004</v>
      </c>
      <c r="I2918" t="s">
        <v>76</v>
      </c>
      <c r="J2918" t="s">
        <v>82</v>
      </c>
      <c r="K2918">
        <v>149.14705699999999</v>
      </c>
    </row>
    <row r="2919" spans="1:11" x14ac:dyDescent="0.3">
      <c r="A2919" t="s">
        <v>85</v>
      </c>
      <c r="B2919">
        <v>1001</v>
      </c>
      <c r="C2919" t="s">
        <v>86</v>
      </c>
      <c r="D2919">
        <v>6.7049800000000001E-3</v>
      </c>
      <c r="E2919" t="s">
        <v>74</v>
      </c>
      <c r="F2919">
        <v>6.7049799999999999</v>
      </c>
      <c r="G2919" t="s">
        <v>75</v>
      </c>
      <c r="H2919">
        <v>6704.9769999999999</v>
      </c>
      <c r="I2919" t="s">
        <v>76</v>
      </c>
      <c r="J2919" t="s">
        <v>82</v>
      </c>
      <c r="K2919">
        <v>149.14294559999999</v>
      </c>
    </row>
    <row r="2920" spans="1:11" x14ac:dyDescent="0.3">
      <c r="A2920" t="s">
        <v>148</v>
      </c>
    </row>
    <row r="2921" spans="1:11" x14ac:dyDescent="0.3">
      <c r="A2921" t="s">
        <v>149</v>
      </c>
    </row>
    <row r="2922" spans="1:11" x14ac:dyDescent="0.3">
      <c r="A2922" t="s">
        <v>72</v>
      </c>
      <c r="B2922">
        <v>1</v>
      </c>
      <c r="C2922" t="s">
        <v>73</v>
      </c>
      <c r="D2922">
        <v>4.3000000000000003E-6</v>
      </c>
      <c r="E2922" t="s">
        <v>74</v>
      </c>
      <c r="F2922">
        <v>4.3E-3</v>
      </c>
      <c r="G2922" t="s">
        <v>75</v>
      </c>
      <c r="H2922">
        <v>4.3</v>
      </c>
      <c r="I2922" t="s">
        <v>76</v>
      </c>
      <c r="J2922" t="s">
        <v>77</v>
      </c>
    </row>
    <row r="2923" spans="1:11" x14ac:dyDescent="0.3">
      <c r="A2923" t="s">
        <v>72</v>
      </c>
      <c r="B2923">
        <v>1</v>
      </c>
      <c r="C2923" t="s">
        <v>78</v>
      </c>
      <c r="D2923">
        <v>3.8099999999999998E-5</v>
      </c>
      <c r="E2923" t="s">
        <v>74</v>
      </c>
      <c r="F2923">
        <v>3.8100000000000002E-2</v>
      </c>
      <c r="G2923" t="s">
        <v>75</v>
      </c>
      <c r="H2923">
        <v>38.1</v>
      </c>
      <c r="I2923" t="s">
        <v>76</v>
      </c>
      <c r="J2923" t="s">
        <v>77</v>
      </c>
    </row>
    <row r="2924" spans="1:11" x14ac:dyDescent="0.3">
      <c r="A2924" t="s">
        <v>72</v>
      </c>
      <c r="B2924">
        <v>1</v>
      </c>
      <c r="C2924" t="s">
        <v>79</v>
      </c>
      <c r="D2924">
        <v>6.9693000000000003E-3</v>
      </c>
      <c r="E2924" t="s">
        <v>74</v>
      </c>
      <c r="F2924">
        <v>6.9692999999999996</v>
      </c>
      <c r="G2924" t="s">
        <v>75</v>
      </c>
      <c r="H2924">
        <v>6969.3</v>
      </c>
      <c r="I2924" t="s">
        <v>76</v>
      </c>
      <c r="J2924" t="s">
        <v>77</v>
      </c>
    </row>
    <row r="2925" spans="1:11" x14ac:dyDescent="0.3">
      <c r="A2925" t="s">
        <v>72</v>
      </c>
      <c r="B2925">
        <v>1</v>
      </c>
      <c r="C2925" t="s">
        <v>94</v>
      </c>
      <c r="D2925">
        <v>2.6196000000000001E-3</v>
      </c>
      <c r="E2925" t="s">
        <v>74</v>
      </c>
      <c r="F2925">
        <v>2.6196000000000002</v>
      </c>
      <c r="G2925" t="s">
        <v>75</v>
      </c>
      <c r="H2925">
        <v>2619.6</v>
      </c>
      <c r="I2925" t="s">
        <v>76</v>
      </c>
      <c r="J2925" t="s">
        <v>77</v>
      </c>
    </row>
    <row r="2926" spans="1:11" x14ac:dyDescent="0.3">
      <c r="A2926" t="s">
        <v>72</v>
      </c>
      <c r="B2926">
        <v>1</v>
      </c>
      <c r="C2926" t="s">
        <v>80</v>
      </c>
      <c r="D2926">
        <v>2.7571000000000002E-3</v>
      </c>
      <c r="E2926" t="s">
        <v>74</v>
      </c>
      <c r="F2926">
        <v>2.7570999999999999</v>
      </c>
      <c r="G2926" t="s">
        <v>75</v>
      </c>
      <c r="H2926">
        <v>2757.1</v>
      </c>
      <c r="I2926" t="s">
        <v>76</v>
      </c>
      <c r="J2926" t="s">
        <v>77</v>
      </c>
    </row>
    <row r="2927" spans="1:11" x14ac:dyDescent="0.3">
      <c r="A2927" t="s">
        <v>72</v>
      </c>
      <c r="B2927">
        <v>1</v>
      </c>
      <c r="C2927" t="s">
        <v>81</v>
      </c>
      <c r="D2927">
        <v>9.7275E-3</v>
      </c>
      <c r="E2927" t="s">
        <v>74</v>
      </c>
      <c r="F2927">
        <v>9.7274999999999991</v>
      </c>
      <c r="G2927" t="s">
        <v>75</v>
      </c>
      <c r="H2927">
        <v>9727.5</v>
      </c>
      <c r="I2927" t="s">
        <v>76</v>
      </c>
      <c r="J2927" t="s">
        <v>82</v>
      </c>
      <c r="K2927">
        <v>102.80133240000001</v>
      </c>
    </row>
    <row r="2928" spans="1:11" x14ac:dyDescent="0.3">
      <c r="A2928" t="s">
        <v>83</v>
      </c>
      <c r="B2928">
        <v>1000</v>
      </c>
      <c r="C2928" t="s">
        <v>79</v>
      </c>
      <c r="D2928">
        <v>3.9280900000000004E-3</v>
      </c>
      <c r="E2928" t="s">
        <v>74</v>
      </c>
      <c r="F2928">
        <v>3.9280900000000001</v>
      </c>
      <c r="G2928" t="s">
        <v>75</v>
      </c>
      <c r="H2928">
        <v>3928.0859999999998</v>
      </c>
      <c r="I2928" t="s">
        <v>76</v>
      </c>
      <c r="J2928" t="s">
        <v>77</v>
      </c>
    </row>
    <row r="2929" spans="1:11" x14ac:dyDescent="0.3">
      <c r="A2929" t="s">
        <v>83</v>
      </c>
      <c r="B2929">
        <v>1000</v>
      </c>
      <c r="C2929" t="s">
        <v>94</v>
      </c>
      <c r="D2929">
        <v>2.6064600000000001E-3</v>
      </c>
      <c r="E2929" t="s">
        <v>74</v>
      </c>
      <c r="F2929">
        <v>2.6064600000000002</v>
      </c>
      <c r="G2929" t="s">
        <v>75</v>
      </c>
      <c r="H2929">
        <v>2606.4639999999999</v>
      </c>
      <c r="I2929" t="s">
        <v>76</v>
      </c>
      <c r="J2929" t="s">
        <v>77</v>
      </c>
    </row>
    <row r="2930" spans="1:11" x14ac:dyDescent="0.3">
      <c r="A2930" t="s">
        <v>83</v>
      </c>
      <c r="B2930">
        <v>1000</v>
      </c>
      <c r="C2930" t="s">
        <v>80</v>
      </c>
      <c r="D2930">
        <v>2.7882499999999999E-3</v>
      </c>
      <c r="E2930" t="s">
        <v>74</v>
      </c>
      <c r="F2930">
        <v>2.7882500000000001</v>
      </c>
      <c r="G2930" t="s">
        <v>75</v>
      </c>
      <c r="H2930">
        <v>2788.2530000000002</v>
      </c>
      <c r="I2930" t="s">
        <v>76</v>
      </c>
      <c r="J2930" t="s">
        <v>77</v>
      </c>
    </row>
    <row r="2931" spans="1:11" x14ac:dyDescent="0.3">
      <c r="A2931" t="s">
        <v>83</v>
      </c>
      <c r="B2931">
        <v>1000</v>
      </c>
      <c r="C2931" t="s">
        <v>81</v>
      </c>
      <c r="D2931">
        <v>6.7174000000000001E-3</v>
      </c>
      <c r="E2931" t="s">
        <v>74</v>
      </c>
      <c r="F2931">
        <v>6.7173999999999996</v>
      </c>
      <c r="G2931" t="s">
        <v>75</v>
      </c>
      <c r="H2931">
        <v>6717.4049999999997</v>
      </c>
      <c r="I2931" t="s">
        <v>76</v>
      </c>
      <c r="J2931" t="s">
        <v>82</v>
      </c>
      <c r="K2931">
        <v>148.86701389999999</v>
      </c>
    </row>
    <row r="2932" spans="1:11" x14ac:dyDescent="0.3">
      <c r="A2932" t="s">
        <v>84</v>
      </c>
      <c r="B2932">
        <v>1001</v>
      </c>
      <c r="C2932" t="s">
        <v>79</v>
      </c>
      <c r="D2932">
        <v>3.9311199999999998E-3</v>
      </c>
      <c r="E2932" t="s">
        <v>74</v>
      </c>
      <c r="F2932">
        <v>3.9311199999999999</v>
      </c>
      <c r="G2932" t="s">
        <v>75</v>
      </c>
      <c r="H2932">
        <v>3931.1239999999998</v>
      </c>
      <c r="I2932" t="s">
        <v>76</v>
      </c>
      <c r="J2932" t="s">
        <v>77</v>
      </c>
    </row>
    <row r="2933" spans="1:11" x14ac:dyDescent="0.3">
      <c r="A2933" t="s">
        <v>84</v>
      </c>
      <c r="B2933">
        <v>1001</v>
      </c>
      <c r="C2933" t="s">
        <v>94</v>
      </c>
      <c r="D2933">
        <v>2.60648E-3</v>
      </c>
      <c r="E2933" t="s">
        <v>74</v>
      </c>
      <c r="F2933">
        <v>2.6064799999999999</v>
      </c>
      <c r="G2933" t="s">
        <v>75</v>
      </c>
      <c r="H2933">
        <v>2606.4769999999999</v>
      </c>
      <c r="I2933" t="s">
        <v>76</v>
      </c>
      <c r="J2933" t="s">
        <v>77</v>
      </c>
    </row>
    <row r="2934" spans="1:11" x14ac:dyDescent="0.3">
      <c r="A2934" t="s">
        <v>84</v>
      </c>
      <c r="B2934">
        <v>1001</v>
      </c>
      <c r="C2934" t="s">
        <v>80</v>
      </c>
      <c r="D2934">
        <v>2.7882200000000001E-3</v>
      </c>
      <c r="E2934" t="s">
        <v>74</v>
      </c>
      <c r="F2934">
        <v>2.7882199999999999</v>
      </c>
      <c r="G2934" t="s">
        <v>75</v>
      </c>
      <c r="H2934">
        <v>2788.221</v>
      </c>
      <c r="I2934" t="s">
        <v>76</v>
      </c>
      <c r="J2934" t="s">
        <v>77</v>
      </c>
    </row>
    <row r="2935" spans="1:11" x14ac:dyDescent="0.3">
      <c r="A2935" t="s">
        <v>84</v>
      </c>
      <c r="B2935">
        <v>1001</v>
      </c>
      <c r="C2935" t="s">
        <v>81</v>
      </c>
      <c r="D2935">
        <v>6.7204099999999996E-3</v>
      </c>
      <c r="E2935" t="s">
        <v>74</v>
      </c>
      <c r="F2935">
        <v>6.7204100000000002</v>
      </c>
      <c r="G2935" t="s">
        <v>75</v>
      </c>
      <c r="H2935">
        <v>6720.4110000000001</v>
      </c>
      <c r="I2935" t="s">
        <v>76</v>
      </c>
      <c r="J2935" t="s">
        <v>82</v>
      </c>
      <c r="K2935">
        <v>148.80041349999999</v>
      </c>
    </row>
    <row r="2936" spans="1:11" x14ac:dyDescent="0.3">
      <c r="A2936" t="s">
        <v>85</v>
      </c>
      <c r="B2936">
        <v>1001</v>
      </c>
      <c r="C2936" t="s">
        <v>86</v>
      </c>
      <c r="D2936">
        <v>6.7206100000000001E-3</v>
      </c>
      <c r="E2936" t="s">
        <v>74</v>
      </c>
      <c r="F2936">
        <v>6.7206099999999998</v>
      </c>
      <c r="G2936" t="s">
        <v>75</v>
      </c>
      <c r="H2936">
        <v>6720.6109999999999</v>
      </c>
      <c r="I2936" t="s">
        <v>76</v>
      </c>
      <c r="J2936" t="s">
        <v>82</v>
      </c>
      <c r="K2936">
        <v>148.79600479999999</v>
      </c>
    </row>
    <row r="2937" spans="1:11" x14ac:dyDescent="0.3">
      <c r="A2937" t="s">
        <v>115</v>
      </c>
    </row>
    <row r="2938" spans="1:11" x14ac:dyDescent="0.3">
      <c r="A2938" t="s">
        <v>127</v>
      </c>
    </row>
    <row r="2939" spans="1:11" x14ac:dyDescent="0.3">
      <c r="A2939" t="s">
        <v>87</v>
      </c>
    </row>
    <row r="2940" spans="1:11" x14ac:dyDescent="0.3">
      <c r="A2940" t="s">
        <v>150</v>
      </c>
    </row>
    <row r="2941" spans="1:11" x14ac:dyDescent="0.3">
      <c r="A2941" t="s">
        <v>72</v>
      </c>
      <c r="B2941">
        <v>1</v>
      </c>
      <c r="C2941" t="s">
        <v>81</v>
      </c>
      <c r="D2941">
        <v>0.30081068999999999</v>
      </c>
      <c r="E2941" t="s">
        <v>74</v>
      </c>
      <c r="F2941">
        <v>300.81069000000002</v>
      </c>
      <c r="G2941" t="s">
        <v>75</v>
      </c>
      <c r="H2941">
        <v>300810.69500000001</v>
      </c>
      <c r="I2941" t="s">
        <v>76</v>
      </c>
      <c r="J2941" t="s">
        <v>82</v>
      </c>
      <c r="K2941">
        <v>3.3243499000000001</v>
      </c>
    </row>
    <row r="2942" spans="1:11" x14ac:dyDescent="0.3">
      <c r="A2942" t="s">
        <v>83</v>
      </c>
      <c r="B2942">
        <v>1000</v>
      </c>
      <c r="C2942" t="s">
        <v>81</v>
      </c>
      <c r="D2942">
        <v>6.4106900000000001E-3</v>
      </c>
      <c r="E2942" t="s">
        <v>74</v>
      </c>
      <c r="F2942">
        <v>6.4106899999999998</v>
      </c>
      <c r="G2942" t="s">
        <v>75</v>
      </c>
      <c r="H2942">
        <v>6410.6869999999999</v>
      </c>
      <c r="I2942" t="s">
        <v>76</v>
      </c>
      <c r="J2942" t="s">
        <v>82</v>
      </c>
      <c r="K2942">
        <v>155.98951099999999</v>
      </c>
    </row>
    <row r="2943" spans="1:11" x14ac:dyDescent="0.3">
      <c r="A2943" t="s">
        <v>85</v>
      </c>
      <c r="B2943">
        <v>1001</v>
      </c>
      <c r="C2943" t="s">
        <v>86</v>
      </c>
      <c r="D2943">
        <v>6.7049800000000001E-3</v>
      </c>
      <c r="E2943" t="s">
        <v>74</v>
      </c>
      <c r="F2943">
        <v>6.7049799999999999</v>
      </c>
      <c r="G2943" t="s">
        <v>75</v>
      </c>
      <c r="H2943">
        <v>6704.9769999999999</v>
      </c>
      <c r="I2943" t="s">
        <v>76</v>
      </c>
      <c r="J2943" t="s">
        <v>82</v>
      </c>
      <c r="K2943">
        <v>149.14294559999999</v>
      </c>
    </row>
    <row r="2945" spans="1:11" x14ac:dyDescent="0.3">
      <c r="A2945" t="s">
        <v>151</v>
      </c>
    </row>
    <row r="2946" spans="1:11" x14ac:dyDescent="0.3">
      <c r="A2946" t="s">
        <v>72</v>
      </c>
      <c r="B2946">
        <v>1</v>
      </c>
      <c r="C2946" t="s">
        <v>81</v>
      </c>
      <c r="D2946">
        <v>9.7275E-3</v>
      </c>
      <c r="E2946" t="s">
        <v>74</v>
      </c>
      <c r="F2946">
        <v>9.7274999999999991</v>
      </c>
      <c r="G2946" t="s">
        <v>75</v>
      </c>
      <c r="H2946">
        <v>9727.5</v>
      </c>
      <c r="I2946" t="s">
        <v>76</v>
      </c>
      <c r="J2946" t="s">
        <v>82</v>
      </c>
      <c r="K2946">
        <v>102.80133240000001</v>
      </c>
    </row>
    <row r="2947" spans="1:11" x14ac:dyDescent="0.3">
      <c r="A2947" t="s">
        <v>83</v>
      </c>
      <c r="B2947">
        <v>1000</v>
      </c>
      <c r="C2947" t="s">
        <v>81</v>
      </c>
      <c r="D2947">
        <v>6.7174000000000001E-3</v>
      </c>
      <c r="E2947" t="s">
        <v>74</v>
      </c>
      <c r="F2947">
        <v>6.7173999999999996</v>
      </c>
      <c r="G2947" t="s">
        <v>75</v>
      </c>
      <c r="H2947">
        <v>6717.4049999999997</v>
      </c>
      <c r="I2947" t="s">
        <v>76</v>
      </c>
      <c r="J2947" t="s">
        <v>82</v>
      </c>
      <c r="K2947">
        <v>148.86701389999999</v>
      </c>
    </row>
    <row r="2948" spans="1:11" x14ac:dyDescent="0.3">
      <c r="A2948" t="s">
        <v>85</v>
      </c>
      <c r="B2948">
        <v>1001</v>
      </c>
      <c r="C2948" t="s">
        <v>86</v>
      </c>
      <c r="D2948">
        <v>6.7206100000000001E-3</v>
      </c>
      <c r="E2948" t="s">
        <v>74</v>
      </c>
      <c r="F2948">
        <v>6.7206099999999998</v>
      </c>
      <c r="G2948" t="s">
        <v>75</v>
      </c>
      <c r="H2948">
        <v>6720.6109999999999</v>
      </c>
      <c r="I2948" t="s">
        <v>76</v>
      </c>
      <c r="J2948" t="s">
        <v>82</v>
      </c>
      <c r="K2948">
        <v>148.79600479999999</v>
      </c>
    </row>
    <row r="2950" spans="1:11" x14ac:dyDescent="0.3">
      <c r="A2950" t="s">
        <v>66</v>
      </c>
    </row>
    <row r="2952" spans="1:11" x14ac:dyDescent="0.3">
      <c r="A2952" t="s">
        <v>249</v>
      </c>
    </row>
    <row r="2953" spans="1:11" x14ac:dyDescent="0.3">
      <c r="A2953" t="s">
        <v>68</v>
      </c>
    </row>
    <row r="2954" spans="1:11" x14ac:dyDescent="0.3">
      <c r="A2954" t="s">
        <v>69</v>
      </c>
    </row>
    <row r="2955" spans="1:11" x14ac:dyDescent="0.3">
      <c r="A2955" t="s">
        <v>70</v>
      </c>
    </row>
    <row r="2956" spans="1:11" x14ac:dyDescent="0.3">
      <c r="A2956" t="s">
        <v>115</v>
      </c>
    </row>
    <row r="2957" spans="1:11" x14ac:dyDescent="0.3">
      <c r="A2957" t="s">
        <v>116</v>
      </c>
    </row>
    <row r="2958" spans="1:11" x14ac:dyDescent="0.3">
      <c r="A2958" t="s">
        <v>117</v>
      </c>
    </row>
    <row r="2959" spans="1:11" x14ac:dyDescent="0.3">
      <c r="A2959" t="s">
        <v>118</v>
      </c>
    </row>
    <row r="2960" spans="1:11" x14ac:dyDescent="0.3">
      <c r="A2960" t="s">
        <v>119</v>
      </c>
    </row>
    <row r="2961" spans="1:11" x14ac:dyDescent="0.3">
      <c r="A2961" t="s">
        <v>120</v>
      </c>
    </row>
    <row r="2962" spans="1:11" x14ac:dyDescent="0.3">
      <c r="A2962" t="s">
        <v>121</v>
      </c>
    </row>
    <row r="2963" spans="1:11" x14ac:dyDescent="0.3">
      <c r="A2963" t="s">
        <v>122</v>
      </c>
    </row>
    <row r="2964" spans="1:11" x14ac:dyDescent="0.3">
      <c r="A2964" t="s">
        <v>123</v>
      </c>
    </row>
    <row r="2965" spans="1:11" x14ac:dyDescent="0.3">
      <c r="A2965" t="s">
        <v>124</v>
      </c>
    </row>
    <row r="2966" spans="1:11" x14ac:dyDescent="0.3">
      <c r="A2966" t="s">
        <v>125</v>
      </c>
    </row>
    <row r="2967" spans="1:11" x14ac:dyDescent="0.3">
      <c r="A2967" t="s">
        <v>126</v>
      </c>
    </row>
    <row r="2968" spans="1:11" x14ac:dyDescent="0.3">
      <c r="A2968" t="s">
        <v>127</v>
      </c>
    </row>
    <row r="2969" spans="1:11" x14ac:dyDescent="0.3">
      <c r="A2969" t="s">
        <v>153</v>
      </c>
    </row>
    <row r="2970" spans="1:11" x14ac:dyDescent="0.3">
      <c r="A2970" t="s">
        <v>154</v>
      </c>
    </row>
    <row r="2971" spans="1:11" x14ac:dyDescent="0.3">
      <c r="A2971" t="s">
        <v>72</v>
      </c>
      <c r="B2971">
        <v>1</v>
      </c>
      <c r="C2971" t="s">
        <v>73</v>
      </c>
      <c r="D2971">
        <v>3.8E-6</v>
      </c>
      <c r="E2971" t="s">
        <v>74</v>
      </c>
      <c r="F2971">
        <v>3.8E-3</v>
      </c>
      <c r="G2971" t="s">
        <v>75</v>
      </c>
      <c r="H2971">
        <v>3.8</v>
      </c>
      <c r="I2971" t="s">
        <v>76</v>
      </c>
      <c r="J2971" t="s">
        <v>77</v>
      </c>
    </row>
    <row r="2972" spans="1:11" x14ac:dyDescent="0.3">
      <c r="A2972" t="s">
        <v>72</v>
      </c>
      <c r="B2972">
        <v>1</v>
      </c>
      <c r="C2972" t="s">
        <v>78</v>
      </c>
      <c r="D2972">
        <v>0.13057519000000001</v>
      </c>
      <c r="E2972" t="s">
        <v>74</v>
      </c>
      <c r="F2972">
        <v>130.57518999999999</v>
      </c>
      <c r="G2972" t="s">
        <v>75</v>
      </c>
      <c r="H2972">
        <v>130575.19500000001</v>
      </c>
      <c r="I2972" t="s">
        <v>76</v>
      </c>
      <c r="J2972" t="s">
        <v>77</v>
      </c>
    </row>
    <row r="2973" spans="1:11" x14ac:dyDescent="0.3">
      <c r="A2973" t="s">
        <v>72</v>
      </c>
      <c r="B2973">
        <v>1</v>
      </c>
      <c r="C2973" t="s">
        <v>79</v>
      </c>
      <c r="D2973">
        <v>0.42415309000000001</v>
      </c>
      <c r="E2973" t="s">
        <v>74</v>
      </c>
      <c r="F2973">
        <v>424.15309000000002</v>
      </c>
      <c r="G2973" t="s">
        <v>75</v>
      </c>
      <c r="H2973">
        <v>424153.09</v>
      </c>
      <c r="I2973" t="s">
        <v>76</v>
      </c>
      <c r="J2973" t="s">
        <v>77</v>
      </c>
    </row>
    <row r="2974" spans="1:11" x14ac:dyDescent="0.3">
      <c r="A2974" t="s">
        <v>72</v>
      </c>
      <c r="B2974">
        <v>1</v>
      </c>
      <c r="C2974" t="s">
        <v>94</v>
      </c>
      <c r="D2974">
        <v>3.6164000000000002E-2</v>
      </c>
      <c r="E2974" t="s">
        <v>74</v>
      </c>
      <c r="F2974">
        <v>36.164000000000001</v>
      </c>
      <c r="G2974" t="s">
        <v>75</v>
      </c>
      <c r="H2974">
        <v>36164.000999999997</v>
      </c>
      <c r="I2974" t="s">
        <v>76</v>
      </c>
      <c r="J2974" t="s">
        <v>77</v>
      </c>
    </row>
    <row r="2975" spans="1:11" x14ac:dyDescent="0.3">
      <c r="A2975" t="s">
        <v>72</v>
      </c>
      <c r="B2975">
        <v>1</v>
      </c>
      <c r="C2975" t="s">
        <v>80</v>
      </c>
      <c r="D2975">
        <v>3.6164500000000002E-2</v>
      </c>
      <c r="E2975" t="s">
        <v>74</v>
      </c>
      <c r="F2975">
        <v>36.164499999999997</v>
      </c>
      <c r="G2975" t="s">
        <v>75</v>
      </c>
      <c r="H2975">
        <v>36164.5</v>
      </c>
      <c r="I2975" t="s">
        <v>76</v>
      </c>
      <c r="J2975" t="s">
        <v>77</v>
      </c>
    </row>
    <row r="2976" spans="1:11" x14ac:dyDescent="0.3">
      <c r="A2976" t="s">
        <v>72</v>
      </c>
      <c r="B2976">
        <v>1</v>
      </c>
      <c r="C2976" t="s">
        <v>81</v>
      </c>
      <c r="D2976">
        <v>0.46032100999999997</v>
      </c>
      <c r="E2976" t="s">
        <v>74</v>
      </c>
      <c r="F2976">
        <v>460.32101</v>
      </c>
      <c r="G2976" t="s">
        <v>75</v>
      </c>
      <c r="H2976">
        <v>460321.00900000002</v>
      </c>
      <c r="I2976" t="s">
        <v>76</v>
      </c>
      <c r="J2976" t="s">
        <v>82</v>
      </c>
      <c r="K2976">
        <v>2.1723970000000001</v>
      </c>
    </row>
    <row r="2977" spans="1:11" x14ac:dyDescent="0.3">
      <c r="A2977" t="s">
        <v>83</v>
      </c>
      <c r="B2977">
        <v>1000</v>
      </c>
      <c r="C2977" t="s">
        <v>79</v>
      </c>
      <c r="D2977">
        <v>5.0719000000000003E-4</v>
      </c>
      <c r="E2977" t="s">
        <v>74</v>
      </c>
      <c r="F2977">
        <v>0.50719000000000003</v>
      </c>
      <c r="G2977" t="s">
        <v>75</v>
      </c>
      <c r="H2977">
        <v>507.19200000000001</v>
      </c>
      <c r="I2977" t="s">
        <v>76</v>
      </c>
      <c r="J2977" t="s">
        <v>77</v>
      </c>
    </row>
    <row r="2978" spans="1:11" x14ac:dyDescent="0.3">
      <c r="A2978" t="s">
        <v>83</v>
      </c>
      <c r="B2978">
        <v>1000</v>
      </c>
      <c r="C2978" t="s">
        <v>94</v>
      </c>
      <c r="D2978">
        <v>1.6677819999999999E-2</v>
      </c>
      <c r="E2978" t="s">
        <v>74</v>
      </c>
      <c r="F2978">
        <v>16.677820000000001</v>
      </c>
      <c r="G2978" t="s">
        <v>75</v>
      </c>
      <c r="H2978">
        <v>16677.822</v>
      </c>
      <c r="I2978" t="s">
        <v>76</v>
      </c>
      <c r="J2978" t="s">
        <v>77</v>
      </c>
    </row>
    <row r="2979" spans="1:11" x14ac:dyDescent="0.3">
      <c r="A2979" t="s">
        <v>83</v>
      </c>
      <c r="B2979">
        <v>1000</v>
      </c>
      <c r="C2979" t="s">
        <v>80</v>
      </c>
      <c r="D2979">
        <v>1.6678189999999999E-2</v>
      </c>
      <c r="E2979" t="s">
        <v>74</v>
      </c>
      <c r="F2979">
        <v>16.678190000000001</v>
      </c>
      <c r="G2979" t="s">
        <v>75</v>
      </c>
      <c r="H2979">
        <v>16678.194</v>
      </c>
      <c r="I2979" t="s">
        <v>76</v>
      </c>
      <c r="J2979" t="s">
        <v>77</v>
      </c>
    </row>
    <row r="2980" spans="1:11" x14ac:dyDescent="0.3">
      <c r="A2980" t="s">
        <v>83</v>
      </c>
      <c r="B2980">
        <v>1000</v>
      </c>
      <c r="C2980" t="s">
        <v>81</v>
      </c>
      <c r="D2980">
        <v>1.7186369999999999E-2</v>
      </c>
      <c r="E2980" t="s">
        <v>74</v>
      </c>
      <c r="F2980">
        <v>17.18637</v>
      </c>
      <c r="G2980" t="s">
        <v>75</v>
      </c>
      <c r="H2980">
        <v>17186.373</v>
      </c>
      <c r="I2980" t="s">
        <v>76</v>
      </c>
      <c r="J2980" t="s">
        <v>82</v>
      </c>
      <c r="K2980">
        <v>58.185634299999997</v>
      </c>
    </row>
    <row r="2981" spans="1:11" x14ac:dyDescent="0.3">
      <c r="A2981" t="s">
        <v>84</v>
      </c>
      <c r="B2981">
        <v>1001</v>
      </c>
      <c r="C2981" t="s">
        <v>79</v>
      </c>
      <c r="D2981">
        <v>9.3041E-4</v>
      </c>
      <c r="E2981" t="s">
        <v>74</v>
      </c>
      <c r="F2981">
        <v>0.93040999999999996</v>
      </c>
      <c r="G2981" t="s">
        <v>75</v>
      </c>
      <c r="H2981">
        <v>930.41399999999999</v>
      </c>
      <c r="I2981" t="s">
        <v>76</v>
      </c>
      <c r="J2981" t="s">
        <v>77</v>
      </c>
    </row>
    <row r="2982" spans="1:11" x14ac:dyDescent="0.3">
      <c r="A2982" t="s">
        <v>84</v>
      </c>
      <c r="B2982">
        <v>1001</v>
      </c>
      <c r="C2982" t="s">
        <v>94</v>
      </c>
      <c r="D2982">
        <v>1.669729E-2</v>
      </c>
      <c r="E2982" t="s">
        <v>74</v>
      </c>
      <c r="F2982">
        <v>16.697289999999999</v>
      </c>
      <c r="G2982" t="s">
        <v>75</v>
      </c>
      <c r="H2982">
        <v>16697.29</v>
      </c>
      <c r="I2982" t="s">
        <v>76</v>
      </c>
      <c r="J2982" t="s">
        <v>77</v>
      </c>
    </row>
    <row r="2983" spans="1:11" x14ac:dyDescent="0.3">
      <c r="A2983" t="s">
        <v>84</v>
      </c>
      <c r="B2983">
        <v>1001</v>
      </c>
      <c r="C2983" t="s">
        <v>80</v>
      </c>
      <c r="D2983">
        <v>1.669766E-2</v>
      </c>
      <c r="E2983" t="s">
        <v>74</v>
      </c>
      <c r="F2983">
        <v>16.697659999999999</v>
      </c>
      <c r="G2983" t="s">
        <v>75</v>
      </c>
      <c r="H2983">
        <v>16697.662</v>
      </c>
      <c r="I2983" t="s">
        <v>76</v>
      </c>
      <c r="J2983" t="s">
        <v>77</v>
      </c>
    </row>
    <row r="2984" spans="1:11" x14ac:dyDescent="0.3">
      <c r="A2984" t="s">
        <v>84</v>
      </c>
      <c r="B2984">
        <v>1001</v>
      </c>
      <c r="C2984" t="s">
        <v>81</v>
      </c>
      <c r="D2984">
        <v>1.7629059999999998E-2</v>
      </c>
      <c r="E2984" t="s">
        <v>74</v>
      </c>
      <c r="F2984">
        <v>17.629059999999999</v>
      </c>
      <c r="G2984" t="s">
        <v>75</v>
      </c>
      <c r="H2984">
        <v>17629.057000000001</v>
      </c>
      <c r="I2984" t="s">
        <v>76</v>
      </c>
      <c r="J2984" t="s">
        <v>82</v>
      </c>
      <c r="K2984">
        <v>56.724530000000001</v>
      </c>
    </row>
    <row r="2985" spans="1:11" x14ac:dyDescent="0.3">
      <c r="A2985" t="s">
        <v>85</v>
      </c>
      <c r="B2985">
        <v>1001</v>
      </c>
      <c r="C2985" t="s">
        <v>86</v>
      </c>
      <c r="D2985">
        <v>1.7629229999999999E-2</v>
      </c>
      <c r="E2985" t="s">
        <v>74</v>
      </c>
      <c r="F2985">
        <v>17.62923</v>
      </c>
      <c r="G2985" t="s">
        <v>75</v>
      </c>
      <c r="H2985">
        <v>17629.228999999999</v>
      </c>
      <c r="I2985" t="s">
        <v>76</v>
      </c>
      <c r="J2985" t="s">
        <v>82</v>
      </c>
      <c r="K2985">
        <v>56.723978199999998</v>
      </c>
    </row>
    <row r="2986" spans="1:11" x14ac:dyDescent="0.3">
      <c r="A2986" t="s">
        <v>155</v>
      </c>
    </row>
    <row r="2987" spans="1:11" x14ac:dyDescent="0.3">
      <c r="A2987" t="s">
        <v>156</v>
      </c>
    </row>
    <row r="2988" spans="1:11" x14ac:dyDescent="0.3">
      <c r="A2988" t="s">
        <v>72</v>
      </c>
      <c r="B2988">
        <v>1</v>
      </c>
      <c r="C2988" t="s">
        <v>73</v>
      </c>
      <c r="D2988">
        <v>3.8E-6</v>
      </c>
      <c r="E2988" t="s">
        <v>74</v>
      </c>
      <c r="F2988">
        <v>3.8E-3</v>
      </c>
      <c r="G2988" t="s">
        <v>75</v>
      </c>
      <c r="H2988">
        <v>3.8</v>
      </c>
      <c r="I2988" t="s">
        <v>76</v>
      </c>
      <c r="J2988" t="s">
        <v>77</v>
      </c>
    </row>
    <row r="2989" spans="1:11" x14ac:dyDescent="0.3">
      <c r="A2989" t="s">
        <v>72</v>
      </c>
      <c r="B2989">
        <v>1</v>
      </c>
      <c r="C2989" t="s">
        <v>78</v>
      </c>
      <c r="D2989">
        <v>3.9499999999999998E-5</v>
      </c>
      <c r="E2989" t="s">
        <v>74</v>
      </c>
      <c r="F2989">
        <v>3.95E-2</v>
      </c>
      <c r="G2989" t="s">
        <v>75</v>
      </c>
      <c r="H2989">
        <v>39.5</v>
      </c>
      <c r="I2989" t="s">
        <v>76</v>
      </c>
      <c r="J2989" t="s">
        <v>77</v>
      </c>
    </row>
    <row r="2990" spans="1:11" x14ac:dyDescent="0.3">
      <c r="A2990" t="s">
        <v>72</v>
      </c>
      <c r="B2990">
        <v>1</v>
      </c>
      <c r="C2990" t="s">
        <v>79</v>
      </c>
      <c r="D2990">
        <v>4.3097999999999999E-3</v>
      </c>
      <c r="E2990" t="s">
        <v>74</v>
      </c>
      <c r="F2990">
        <v>4.3098000000000001</v>
      </c>
      <c r="G2990" t="s">
        <v>75</v>
      </c>
      <c r="H2990">
        <v>4309.8</v>
      </c>
      <c r="I2990" t="s">
        <v>76</v>
      </c>
      <c r="J2990" t="s">
        <v>77</v>
      </c>
    </row>
    <row r="2991" spans="1:11" x14ac:dyDescent="0.3">
      <c r="A2991" t="s">
        <v>72</v>
      </c>
      <c r="B2991">
        <v>1</v>
      </c>
      <c r="C2991" t="s">
        <v>94</v>
      </c>
      <c r="D2991">
        <v>2.80696E-2</v>
      </c>
      <c r="E2991" t="s">
        <v>74</v>
      </c>
      <c r="F2991">
        <v>28.069600000000001</v>
      </c>
      <c r="G2991" t="s">
        <v>75</v>
      </c>
      <c r="H2991">
        <v>28069.599999999999</v>
      </c>
      <c r="I2991" t="s">
        <v>76</v>
      </c>
      <c r="J2991" t="s">
        <v>77</v>
      </c>
    </row>
    <row r="2992" spans="1:11" x14ac:dyDescent="0.3">
      <c r="A2992" t="s">
        <v>72</v>
      </c>
      <c r="B2992">
        <v>1</v>
      </c>
      <c r="C2992" t="s">
        <v>80</v>
      </c>
      <c r="D2992">
        <v>2.80702E-2</v>
      </c>
      <c r="E2992" t="s">
        <v>74</v>
      </c>
      <c r="F2992">
        <v>28.0702</v>
      </c>
      <c r="G2992" t="s">
        <v>75</v>
      </c>
      <c r="H2992">
        <v>28070.2</v>
      </c>
      <c r="I2992" t="s">
        <v>76</v>
      </c>
      <c r="J2992" t="s">
        <v>77</v>
      </c>
    </row>
    <row r="2993" spans="1:11" x14ac:dyDescent="0.3">
      <c r="A2993" t="s">
        <v>72</v>
      </c>
      <c r="B2993">
        <v>1</v>
      </c>
      <c r="C2993" t="s">
        <v>81</v>
      </c>
      <c r="D2993">
        <v>3.2381E-2</v>
      </c>
      <c r="E2993" t="s">
        <v>74</v>
      </c>
      <c r="F2993">
        <v>32.381</v>
      </c>
      <c r="G2993" t="s">
        <v>75</v>
      </c>
      <c r="H2993">
        <v>32381.002</v>
      </c>
      <c r="I2993" t="s">
        <v>76</v>
      </c>
      <c r="J2993" t="s">
        <v>82</v>
      </c>
      <c r="K2993">
        <v>30.882305800000001</v>
      </c>
    </row>
    <row r="2994" spans="1:11" x14ac:dyDescent="0.3">
      <c r="A2994" t="s">
        <v>83</v>
      </c>
      <c r="B2994">
        <v>1000</v>
      </c>
      <c r="C2994" t="s">
        <v>79</v>
      </c>
      <c r="D2994">
        <v>5.2590999999999998E-4</v>
      </c>
      <c r="E2994" t="s">
        <v>74</v>
      </c>
      <c r="F2994">
        <v>0.52590999999999999</v>
      </c>
      <c r="G2994" t="s">
        <v>75</v>
      </c>
      <c r="H2994">
        <v>525.91300000000001</v>
      </c>
      <c r="I2994" t="s">
        <v>76</v>
      </c>
      <c r="J2994" t="s">
        <v>77</v>
      </c>
    </row>
    <row r="2995" spans="1:11" x14ac:dyDescent="0.3">
      <c r="A2995" t="s">
        <v>83</v>
      </c>
      <c r="B2995">
        <v>1000</v>
      </c>
      <c r="C2995" t="s">
        <v>94</v>
      </c>
      <c r="D2995">
        <v>2.4518829999999998E-2</v>
      </c>
      <c r="E2995" t="s">
        <v>74</v>
      </c>
      <c r="F2995">
        <v>24.518830000000001</v>
      </c>
      <c r="G2995" t="s">
        <v>75</v>
      </c>
      <c r="H2995">
        <v>24518.829000000002</v>
      </c>
      <c r="I2995" t="s">
        <v>76</v>
      </c>
      <c r="J2995" t="s">
        <v>77</v>
      </c>
    </row>
    <row r="2996" spans="1:11" x14ac:dyDescent="0.3">
      <c r="A2996" t="s">
        <v>83</v>
      </c>
      <c r="B2996">
        <v>1000</v>
      </c>
      <c r="C2996" t="s">
        <v>80</v>
      </c>
      <c r="D2996">
        <v>2.4702180000000001E-2</v>
      </c>
      <c r="E2996" t="s">
        <v>74</v>
      </c>
      <c r="F2996">
        <v>24.702179999999998</v>
      </c>
      <c r="G2996" t="s">
        <v>75</v>
      </c>
      <c r="H2996">
        <v>24702.183000000001</v>
      </c>
      <c r="I2996" t="s">
        <v>76</v>
      </c>
      <c r="J2996" t="s">
        <v>77</v>
      </c>
    </row>
    <row r="2997" spans="1:11" x14ac:dyDescent="0.3">
      <c r="A2997" t="s">
        <v>83</v>
      </c>
      <c r="B2997">
        <v>1000</v>
      </c>
      <c r="C2997" t="s">
        <v>81</v>
      </c>
      <c r="D2997">
        <v>2.5229419999999999E-2</v>
      </c>
      <c r="E2997" t="s">
        <v>74</v>
      </c>
      <c r="F2997">
        <v>25.229420000000001</v>
      </c>
      <c r="G2997" t="s">
        <v>75</v>
      </c>
      <c r="H2997">
        <v>25229.416000000001</v>
      </c>
      <c r="I2997" t="s">
        <v>76</v>
      </c>
      <c r="J2997" t="s">
        <v>82</v>
      </c>
      <c r="K2997">
        <v>39.636272400000003</v>
      </c>
    </row>
    <row r="2998" spans="1:11" x14ac:dyDescent="0.3">
      <c r="A2998" t="s">
        <v>84</v>
      </c>
      <c r="B2998">
        <v>1001</v>
      </c>
      <c r="C2998" t="s">
        <v>79</v>
      </c>
      <c r="D2998">
        <v>5.2968999999999998E-4</v>
      </c>
      <c r="E2998" t="s">
        <v>74</v>
      </c>
      <c r="F2998">
        <v>0.52968999999999999</v>
      </c>
      <c r="G2998" t="s">
        <v>75</v>
      </c>
      <c r="H2998">
        <v>529.69399999999996</v>
      </c>
      <c r="I2998" t="s">
        <v>76</v>
      </c>
      <c r="J2998" t="s">
        <v>77</v>
      </c>
    </row>
    <row r="2999" spans="1:11" x14ac:dyDescent="0.3">
      <c r="A2999" t="s">
        <v>84</v>
      </c>
      <c r="B2999">
        <v>1001</v>
      </c>
      <c r="C2999" t="s">
        <v>94</v>
      </c>
      <c r="D2999">
        <v>2.452238E-2</v>
      </c>
      <c r="E2999" t="s">
        <v>74</v>
      </c>
      <c r="F2999">
        <v>24.522379999999998</v>
      </c>
      <c r="G2999" t="s">
        <v>75</v>
      </c>
      <c r="H2999">
        <v>24522.376</v>
      </c>
      <c r="I2999" t="s">
        <v>76</v>
      </c>
      <c r="J2999" t="s">
        <v>77</v>
      </c>
    </row>
    <row r="3000" spans="1:11" x14ac:dyDescent="0.3">
      <c r="A3000" t="s">
        <v>84</v>
      </c>
      <c r="B3000">
        <v>1001</v>
      </c>
      <c r="C3000" t="s">
        <v>80</v>
      </c>
      <c r="D3000">
        <v>2.470555E-2</v>
      </c>
      <c r="E3000" t="s">
        <v>74</v>
      </c>
      <c r="F3000">
        <v>24.705549999999999</v>
      </c>
      <c r="G3000" t="s">
        <v>75</v>
      </c>
      <c r="H3000">
        <v>24705.545999999998</v>
      </c>
      <c r="I3000" t="s">
        <v>76</v>
      </c>
      <c r="J3000" t="s">
        <v>77</v>
      </c>
    </row>
    <row r="3001" spans="1:11" x14ac:dyDescent="0.3">
      <c r="A3001" t="s">
        <v>84</v>
      </c>
      <c r="B3001">
        <v>1001</v>
      </c>
      <c r="C3001" t="s">
        <v>81</v>
      </c>
      <c r="D3001">
        <v>2.5236560000000002E-2</v>
      </c>
      <c r="E3001" t="s">
        <v>74</v>
      </c>
      <c r="F3001">
        <v>25.236560000000001</v>
      </c>
      <c r="G3001" t="s">
        <v>75</v>
      </c>
      <c r="H3001">
        <v>25236.558000000001</v>
      </c>
      <c r="I3001" t="s">
        <v>76</v>
      </c>
      <c r="J3001" t="s">
        <v>82</v>
      </c>
      <c r="K3001">
        <v>39.625054300000002</v>
      </c>
    </row>
    <row r="3002" spans="1:11" x14ac:dyDescent="0.3">
      <c r="A3002" t="s">
        <v>85</v>
      </c>
      <c r="B3002">
        <v>1001</v>
      </c>
      <c r="C3002" t="s">
        <v>86</v>
      </c>
      <c r="D3002">
        <v>2.5236870000000002E-2</v>
      </c>
      <c r="E3002" t="s">
        <v>74</v>
      </c>
      <c r="F3002">
        <v>25.23687</v>
      </c>
      <c r="G3002" t="s">
        <v>75</v>
      </c>
      <c r="H3002">
        <v>25236.875</v>
      </c>
      <c r="I3002" t="s">
        <v>76</v>
      </c>
      <c r="J3002" t="s">
        <v>82</v>
      </c>
      <c r="K3002">
        <v>39.624557699999997</v>
      </c>
    </row>
    <row r="3003" spans="1:11" x14ac:dyDescent="0.3">
      <c r="A3003" t="s">
        <v>115</v>
      </c>
    </row>
    <row r="3004" spans="1:11" x14ac:dyDescent="0.3">
      <c r="A3004" t="s">
        <v>127</v>
      </c>
    </row>
    <row r="3005" spans="1:11" x14ac:dyDescent="0.3">
      <c r="A3005" t="s">
        <v>87</v>
      </c>
    </row>
    <row r="3006" spans="1:11" x14ac:dyDescent="0.3">
      <c r="A3006" t="s">
        <v>157</v>
      </c>
    </row>
    <row r="3007" spans="1:11" x14ac:dyDescent="0.3">
      <c r="A3007" t="s">
        <v>72</v>
      </c>
      <c r="B3007">
        <v>1</v>
      </c>
      <c r="C3007" t="s">
        <v>81</v>
      </c>
      <c r="D3007">
        <v>0.46032100999999997</v>
      </c>
      <c r="E3007" t="s">
        <v>74</v>
      </c>
      <c r="F3007">
        <v>460.32101</v>
      </c>
      <c r="G3007" t="s">
        <v>75</v>
      </c>
      <c r="H3007">
        <v>460321.00900000002</v>
      </c>
      <c r="I3007" t="s">
        <v>76</v>
      </c>
      <c r="J3007" t="s">
        <v>82</v>
      </c>
      <c r="K3007">
        <v>2.1723970000000001</v>
      </c>
    </row>
    <row r="3008" spans="1:11" x14ac:dyDescent="0.3">
      <c r="A3008" t="s">
        <v>83</v>
      </c>
      <c r="B3008">
        <v>1000</v>
      </c>
      <c r="C3008" t="s">
        <v>81</v>
      </c>
      <c r="D3008">
        <v>1.7186369999999999E-2</v>
      </c>
      <c r="E3008" t="s">
        <v>74</v>
      </c>
      <c r="F3008">
        <v>17.18637</v>
      </c>
      <c r="G3008" t="s">
        <v>75</v>
      </c>
      <c r="H3008">
        <v>17186.373</v>
      </c>
      <c r="I3008" t="s">
        <v>76</v>
      </c>
      <c r="J3008" t="s">
        <v>82</v>
      </c>
      <c r="K3008">
        <v>58.185634299999997</v>
      </c>
    </row>
    <row r="3009" spans="1:11" x14ac:dyDescent="0.3">
      <c r="A3009" t="s">
        <v>85</v>
      </c>
      <c r="B3009">
        <v>1001</v>
      </c>
      <c r="C3009" t="s">
        <v>86</v>
      </c>
      <c r="D3009">
        <v>1.7629229999999999E-2</v>
      </c>
      <c r="E3009" t="s">
        <v>74</v>
      </c>
      <c r="F3009">
        <v>17.62923</v>
      </c>
      <c r="G3009" t="s">
        <v>75</v>
      </c>
      <c r="H3009">
        <v>17629.228999999999</v>
      </c>
      <c r="I3009" t="s">
        <v>76</v>
      </c>
      <c r="J3009" t="s">
        <v>82</v>
      </c>
      <c r="K3009">
        <v>56.723978199999998</v>
      </c>
    </row>
    <row r="3011" spans="1:11" x14ac:dyDescent="0.3">
      <c r="A3011" t="s">
        <v>158</v>
      </c>
    </row>
    <row r="3012" spans="1:11" x14ac:dyDescent="0.3">
      <c r="A3012" t="s">
        <v>72</v>
      </c>
      <c r="B3012">
        <v>1</v>
      </c>
      <c r="C3012" t="s">
        <v>81</v>
      </c>
      <c r="D3012">
        <v>3.2381E-2</v>
      </c>
      <c r="E3012" t="s">
        <v>74</v>
      </c>
      <c r="F3012">
        <v>32.381</v>
      </c>
      <c r="G3012" t="s">
        <v>75</v>
      </c>
      <c r="H3012">
        <v>32381.002</v>
      </c>
      <c r="I3012" t="s">
        <v>76</v>
      </c>
      <c r="J3012" t="s">
        <v>82</v>
      </c>
      <c r="K3012">
        <v>30.882305800000001</v>
      </c>
    </row>
    <row r="3013" spans="1:11" x14ac:dyDescent="0.3">
      <c r="A3013" t="s">
        <v>83</v>
      </c>
      <c r="B3013">
        <v>1000</v>
      </c>
      <c r="C3013" t="s">
        <v>81</v>
      </c>
      <c r="D3013">
        <v>2.5229419999999999E-2</v>
      </c>
      <c r="E3013" t="s">
        <v>74</v>
      </c>
      <c r="F3013">
        <v>25.229420000000001</v>
      </c>
      <c r="G3013" t="s">
        <v>75</v>
      </c>
      <c r="H3013">
        <v>25229.416000000001</v>
      </c>
      <c r="I3013" t="s">
        <v>76</v>
      </c>
      <c r="J3013" t="s">
        <v>82</v>
      </c>
      <c r="K3013">
        <v>39.636272400000003</v>
      </c>
    </row>
    <row r="3014" spans="1:11" x14ac:dyDescent="0.3">
      <c r="A3014" t="s">
        <v>85</v>
      </c>
      <c r="B3014">
        <v>1001</v>
      </c>
      <c r="C3014" t="s">
        <v>86</v>
      </c>
      <c r="D3014">
        <v>2.5236870000000002E-2</v>
      </c>
      <c r="E3014" t="s">
        <v>74</v>
      </c>
      <c r="F3014">
        <v>25.23687</v>
      </c>
      <c r="G3014" t="s">
        <v>75</v>
      </c>
      <c r="H3014">
        <v>25236.875</v>
      </c>
      <c r="I3014" t="s">
        <v>76</v>
      </c>
      <c r="J3014" t="s">
        <v>82</v>
      </c>
      <c r="K3014">
        <v>39.624557699999997</v>
      </c>
    </row>
    <row r="3016" spans="1:11" x14ac:dyDescent="0.3">
      <c r="A3016" t="s">
        <v>66</v>
      </c>
    </row>
    <row r="3018" spans="1:11" x14ac:dyDescent="0.3">
      <c r="A3018" t="s">
        <v>250</v>
      </c>
    </row>
    <row r="3019" spans="1:11" x14ac:dyDescent="0.3">
      <c r="A3019" t="s">
        <v>68</v>
      </c>
    </row>
    <row r="3020" spans="1:11" x14ac:dyDescent="0.3">
      <c r="A3020" t="s">
        <v>69</v>
      </c>
    </row>
    <row r="3021" spans="1:11" x14ac:dyDescent="0.3">
      <c r="A3021" t="s">
        <v>70</v>
      </c>
    </row>
    <row r="3022" spans="1:11" x14ac:dyDescent="0.3">
      <c r="A3022" t="s">
        <v>115</v>
      </c>
    </row>
    <row r="3023" spans="1:11" x14ac:dyDescent="0.3">
      <c r="A3023" t="s">
        <v>116</v>
      </c>
    </row>
    <row r="3024" spans="1:11" x14ac:dyDescent="0.3">
      <c r="A3024" t="s">
        <v>117</v>
      </c>
    </row>
    <row r="3025" spans="1:10" x14ac:dyDescent="0.3">
      <c r="A3025" t="s">
        <v>118</v>
      </c>
    </row>
    <row r="3026" spans="1:10" x14ac:dyDescent="0.3">
      <c r="A3026" t="s">
        <v>119</v>
      </c>
    </row>
    <row r="3027" spans="1:10" x14ac:dyDescent="0.3">
      <c r="A3027" t="s">
        <v>120</v>
      </c>
    </row>
    <row r="3028" spans="1:10" x14ac:dyDescent="0.3">
      <c r="A3028" t="s">
        <v>121</v>
      </c>
    </row>
    <row r="3029" spans="1:10" x14ac:dyDescent="0.3">
      <c r="A3029" t="s">
        <v>122</v>
      </c>
    </row>
    <row r="3030" spans="1:10" x14ac:dyDescent="0.3">
      <c r="A3030" t="s">
        <v>123</v>
      </c>
    </row>
    <row r="3031" spans="1:10" x14ac:dyDescent="0.3">
      <c r="A3031" t="s">
        <v>124</v>
      </c>
    </row>
    <row r="3032" spans="1:10" x14ac:dyDescent="0.3">
      <c r="A3032" t="s">
        <v>125</v>
      </c>
    </row>
    <row r="3033" spans="1:10" x14ac:dyDescent="0.3">
      <c r="A3033" t="s">
        <v>126</v>
      </c>
    </row>
    <row r="3034" spans="1:10" x14ac:dyDescent="0.3">
      <c r="A3034" t="s">
        <v>127</v>
      </c>
    </row>
    <row r="3035" spans="1:10" x14ac:dyDescent="0.3">
      <c r="A3035" t="s">
        <v>160</v>
      </c>
    </row>
    <row r="3036" spans="1:10" x14ac:dyDescent="0.3">
      <c r="A3036" t="s">
        <v>161</v>
      </c>
    </row>
    <row r="3037" spans="1:10" x14ac:dyDescent="0.3">
      <c r="A3037" t="s">
        <v>72</v>
      </c>
      <c r="B3037">
        <v>1</v>
      </c>
      <c r="C3037" t="s">
        <v>73</v>
      </c>
      <c r="D3037">
        <v>4.3000000000000003E-6</v>
      </c>
      <c r="E3037" t="s">
        <v>74</v>
      </c>
      <c r="F3037">
        <v>4.3E-3</v>
      </c>
      <c r="G3037" t="s">
        <v>75</v>
      </c>
      <c r="H3037">
        <v>4.3</v>
      </c>
      <c r="I3037" t="s">
        <v>76</v>
      </c>
      <c r="J3037" t="s">
        <v>77</v>
      </c>
    </row>
    <row r="3038" spans="1:10" x14ac:dyDescent="0.3">
      <c r="A3038" t="s">
        <v>72</v>
      </c>
      <c r="B3038">
        <v>1</v>
      </c>
      <c r="C3038" t="s">
        <v>78</v>
      </c>
      <c r="D3038">
        <v>0.14374191</v>
      </c>
      <c r="E3038" t="s">
        <v>74</v>
      </c>
      <c r="F3038">
        <v>143.74190999999999</v>
      </c>
      <c r="G3038" t="s">
        <v>75</v>
      </c>
      <c r="H3038">
        <v>143741.90599999999</v>
      </c>
      <c r="I3038" t="s">
        <v>76</v>
      </c>
      <c r="J3038" t="s">
        <v>77</v>
      </c>
    </row>
    <row r="3039" spans="1:10" x14ac:dyDescent="0.3">
      <c r="A3039" t="s">
        <v>72</v>
      </c>
      <c r="B3039">
        <v>1</v>
      </c>
      <c r="C3039" t="s">
        <v>79</v>
      </c>
      <c r="D3039">
        <v>0.28863119999999998</v>
      </c>
      <c r="E3039" t="s">
        <v>74</v>
      </c>
      <c r="F3039">
        <v>288.63119999999998</v>
      </c>
      <c r="G3039" t="s">
        <v>75</v>
      </c>
      <c r="H3039">
        <v>288631.201</v>
      </c>
      <c r="I3039" t="s">
        <v>76</v>
      </c>
      <c r="J3039" t="s">
        <v>77</v>
      </c>
    </row>
    <row r="3040" spans="1:10" x14ac:dyDescent="0.3">
      <c r="A3040" t="s">
        <v>72</v>
      </c>
      <c r="B3040">
        <v>1</v>
      </c>
      <c r="C3040" t="s">
        <v>94</v>
      </c>
      <c r="D3040">
        <v>0.17077839</v>
      </c>
      <c r="E3040" t="s">
        <v>74</v>
      </c>
      <c r="F3040">
        <v>170.77839</v>
      </c>
      <c r="G3040" t="s">
        <v>75</v>
      </c>
      <c r="H3040">
        <v>170778.394</v>
      </c>
      <c r="I3040" t="s">
        <v>76</v>
      </c>
      <c r="J3040" t="s">
        <v>77</v>
      </c>
    </row>
    <row r="3041" spans="1:11" x14ac:dyDescent="0.3">
      <c r="A3041" t="s">
        <v>72</v>
      </c>
      <c r="B3041">
        <v>1</v>
      </c>
      <c r="C3041" t="s">
        <v>80</v>
      </c>
      <c r="D3041">
        <v>0.17077919999999999</v>
      </c>
      <c r="E3041" t="s">
        <v>74</v>
      </c>
      <c r="F3041">
        <v>170.7792</v>
      </c>
      <c r="G3041" t="s">
        <v>75</v>
      </c>
      <c r="H3041">
        <v>170779.198</v>
      </c>
      <c r="I3041" t="s">
        <v>76</v>
      </c>
      <c r="J3041" t="s">
        <v>77</v>
      </c>
    </row>
    <row r="3042" spans="1:11" x14ac:dyDescent="0.3">
      <c r="A3042" t="s">
        <v>72</v>
      </c>
      <c r="B3042">
        <v>1</v>
      </c>
      <c r="C3042" t="s">
        <v>81</v>
      </c>
      <c r="D3042">
        <v>0.45941269000000001</v>
      </c>
      <c r="E3042" t="s">
        <v>74</v>
      </c>
      <c r="F3042">
        <v>459.41269</v>
      </c>
      <c r="G3042" t="s">
        <v>75</v>
      </c>
      <c r="H3042">
        <v>459412.69400000002</v>
      </c>
      <c r="I3042" t="s">
        <v>76</v>
      </c>
      <c r="J3042" t="s">
        <v>82</v>
      </c>
      <c r="K3042">
        <v>2.1766920999999999</v>
      </c>
    </row>
    <row r="3043" spans="1:11" x14ac:dyDescent="0.3">
      <c r="A3043" t="s">
        <v>83</v>
      </c>
      <c r="B3043">
        <v>1000</v>
      </c>
      <c r="C3043" t="s">
        <v>79</v>
      </c>
      <c r="D3043">
        <v>5.0732000000000001E-4</v>
      </c>
      <c r="E3043" t="s">
        <v>74</v>
      </c>
      <c r="F3043">
        <v>0.50731999999999999</v>
      </c>
      <c r="G3043" t="s">
        <v>75</v>
      </c>
      <c r="H3043">
        <v>507.32400000000001</v>
      </c>
      <c r="I3043" t="s">
        <v>76</v>
      </c>
      <c r="J3043" t="s">
        <v>77</v>
      </c>
    </row>
    <row r="3044" spans="1:11" x14ac:dyDescent="0.3">
      <c r="A3044" t="s">
        <v>83</v>
      </c>
      <c r="B3044">
        <v>1000</v>
      </c>
      <c r="C3044" t="s">
        <v>94</v>
      </c>
      <c r="D3044">
        <v>1.616569E-2</v>
      </c>
      <c r="E3044" t="s">
        <v>74</v>
      </c>
      <c r="F3044">
        <v>16.165690000000001</v>
      </c>
      <c r="G3044" t="s">
        <v>75</v>
      </c>
      <c r="H3044">
        <v>16165.686</v>
      </c>
      <c r="I3044" t="s">
        <v>76</v>
      </c>
      <c r="J3044" t="s">
        <v>77</v>
      </c>
    </row>
    <row r="3045" spans="1:11" x14ac:dyDescent="0.3">
      <c r="A3045" t="s">
        <v>83</v>
      </c>
      <c r="B3045">
        <v>1000</v>
      </c>
      <c r="C3045" t="s">
        <v>80</v>
      </c>
      <c r="D3045">
        <v>1.6166159999999999E-2</v>
      </c>
      <c r="E3045" t="s">
        <v>74</v>
      </c>
      <c r="F3045">
        <v>16.166160000000001</v>
      </c>
      <c r="G3045" t="s">
        <v>75</v>
      </c>
      <c r="H3045">
        <v>16166.164000000001</v>
      </c>
      <c r="I3045" t="s">
        <v>76</v>
      </c>
      <c r="J3045" t="s">
        <v>77</v>
      </c>
    </row>
    <row r="3046" spans="1:11" x14ac:dyDescent="0.3">
      <c r="A3046" t="s">
        <v>83</v>
      </c>
      <c r="B3046">
        <v>1000</v>
      </c>
      <c r="C3046" t="s">
        <v>81</v>
      </c>
      <c r="D3046">
        <v>1.6674439999999999E-2</v>
      </c>
      <c r="E3046" t="s">
        <v>74</v>
      </c>
      <c r="F3046">
        <v>16.674440000000001</v>
      </c>
      <c r="G3046" t="s">
        <v>75</v>
      </c>
      <c r="H3046">
        <v>16674.441999999999</v>
      </c>
      <c r="I3046" t="s">
        <v>76</v>
      </c>
      <c r="J3046" t="s">
        <v>82</v>
      </c>
      <c r="K3046">
        <v>59.972020800000003</v>
      </c>
    </row>
    <row r="3047" spans="1:11" x14ac:dyDescent="0.3">
      <c r="A3047" t="s">
        <v>84</v>
      </c>
      <c r="B3047">
        <v>1001</v>
      </c>
      <c r="C3047" t="s">
        <v>79</v>
      </c>
      <c r="D3047">
        <v>7.9516000000000005E-4</v>
      </c>
      <c r="E3047" t="s">
        <v>74</v>
      </c>
      <c r="F3047">
        <v>0.79515999999999998</v>
      </c>
      <c r="G3047" t="s">
        <v>75</v>
      </c>
      <c r="H3047">
        <v>795.16</v>
      </c>
      <c r="I3047" t="s">
        <v>76</v>
      </c>
      <c r="J3047" t="s">
        <v>77</v>
      </c>
    </row>
    <row r="3048" spans="1:11" x14ac:dyDescent="0.3">
      <c r="A3048" t="s">
        <v>84</v>
      </c>
      <c r="B3048">
        <v>1001</v>
      </c>
      <c r="C3048" t="s">
        <v>94</v>
      </c>
      <c r="D3048">
        <v>1.6320149999999999E-2</v>
      </c>
      <c r="E3048" t="s">
        <v>74</v>
      </c>
      <c r="F3048">
        <v>16.320150000000002</v>
      </c>
      <c r="G3048" t="s">
        <v>75</v>
      </c>
      <c r="H3048">
        <v>16320.146000000001</v>
      </c>
      <c r="I3048" t="s">
        <v>76</v>
      </c>
      <c r="J3048" t="s">
        <v>77</v>
      </c>
    </row>
    <row r="3049" spans="1:11" x14ac:dyDescent="0.3">
      <c r="A3049" t="s">
        <v>84</v>
      </c>
      <c r="B3049">
        <v>1001</v>
      </c>
      <c r="C3049" t="s">
        <v>80</v>
      </c>
      <c r="D3049">
        <v>1.6320620000000001E-2</v>
      </c>
      <c r="E3049" t="s">
        <v>74</v>
      </c>
      <c r="F3049">
        <v>16.320620000000002</v>
      </c>
      <c r="G3049" t="s">
        <v>75</v>
      </c>
      <c r="H3049">
        <v>16320.616</v>
      </c>
      <c r="I3049" t="s">
        <v>76</v>
      </c>
      <c r="J3049" t="s">
        <v>77</v>
      </c>
    </row>
    <row r="3050" spans="1:11" x14ac:dyDescent="0.3">
      <c r="A3050" t="s">
        <v>84</v>
      </c>
      <c r="B3050">
        <v>1001</v>
      </c>
      <c r="C3050" t="s">
        <v>81</v>
      </c>
      <c r="D3050">
        <v>1.711673E-2</v>
      </c>
      <c r="E3050" t="s">
        <v>74</v>
      </c>
      <c r="F3050">
        <v>17.11673</v>
      </c>
      <c r="G3050" t="s">
        <v>75</v>
      </c>
      <c r="H3050">
        <v>17116.733</v>
      </c>
      <c r="I3050" t="s">
        <v>76</v>
      </c>
      <c r="J3050" t="s">
        <v>82</v>
      </c>
      <c r="K3050">
        <v>58.422362399999997</v>
      </c>
    </row>
    <row r="3051" spans="1:11" x14ac:dyDescent="0.3">
      <c r="A3051" t="s">
        <v>85</v>
      </c>
      <c r="B3051">
        <v>1001</v>
      </c>
      <c r="C3051" t="s">
        <v>86</v>
      </c>
      <c r="D3051">
        <v>1.7116940000000001E-2</v>
      </c>
      <c r="E3051" t="s">
        <v>74</v>
      </c>
      <c r="F3051">
        <v>17.11694</v>
      </c>
      <c r="G3051" t="s">
        <v>75</v>
      </c>
      <c r="H3051">
        <v>17116.935000000001</v>
      </c>
      <c r="I3051" t="s">
        <v>76</v>
      </c>
      <c r="J3051" t="s">
        <v>82</v>
      </c>
      <c r="K3051">
        <v>58.421672999999998</v>
      </c>
    </row>
    <row r="3052" spans="1:11" x14ac:dyDescent="0.3">
      <c r="A3052" t="s">
        <v>162</v>
      </c>
    </row>
    <row r="3053" spans="1:11" x14ac:dyDescent="0.3">
      <c r="A3053" t="s">
        <v>163</v>
      </c>
    </row>
    <row r="3054" spans="1:11" x14ac:dyDescent="0.3">
      <c r="A3054" t="s">
        <v>72</v>
      </c>
      <c r="B3054">
        <v>1</v>
      </c>
      <c r="C3054" t="s">
        <v>73</v>
      </c>
      <c r="D3054">
        <v>4.3000000000000003E-6</v>
      </c>
      <c r="E3054" t="s">
        <v>74</v>
      </c>
      <c r="F3054">
        <v>4.3E-3</v>
      </c>
      <c r="G3054" t="s">
        <v>75</v>
      </c>
      <c r="H3054">
        <v>4.3</v>
      </c>
      <c r="I3054" t="s">
        <v>76</v>
      </c>
      <c r="J3054" t="s">
        <v>77</v>
      </c>
    </row>
    <row r="3055" spans="1:11" x14ac:dyDescent="0.3">
      <c r="A3055" t="s">
        <v>72</v>
      </c>
      <c r="B3055">
        <v>1</v>
      </c>
      <c r="C3055" t="s">
        <v>78</v>
      </c>
      <c r="D3055">
        <v>4.1999999999999998E-5</v>
      </c>
      <c r="E3055" t="s">
        <v>74</v>
      </c>
      <c r="F3055">
        <v>4.2000000000000003E-2</v>
      </c>
      <c r="G3055" t="s">
        <v>75</v>
      </c>
      <c r="H3055">
        <v>42</v>
      </c>
      <c r="I3055" t="s">
        <v>76</v>
      </c>
      <c r="J3055" t="s">
        <v>77</v>
      </c>
    </row>
    <row r="3056" spans="1:11" x14ac:dyDescent="0.3">
      <c r="A3056" t="s">
        <v>72</v>
      </c>
      <c r="B3056">
        <v>1</v>
      </c>
      <c r="C3056" t="s">
        <v>79</v>
      </c>
      <c r="D3056">
        <v>3.4315000000000001E-3</v>
      </c>
      <c r="E3056" t="s">
        <v>74</v>
      </c>
      <c r="F3056">
        <v>3.4315000000000002</v>
      </c>
      <c r="G3056" t="s">
        <v>75</v>
      </c>
      <c r="H3056">
        <v>3431.5</v>
      </c>
      <c r="I3056" t="s">
        <v>76</v>
      </c>
      <c r="J3056" t="s">
        <v>77</v>
      </c>
    </row>
    <row r="3057" spans="1:11" x14ac:dyDescent="0.3">
      <c r="A3057" t="s">
        <v>72</v>
      </c>
      <c r="B3057">
        <v>1</v>
      </c>
      <c r="C3057" t="s">
        <v>94</v>
      </c>
      <c r="D3057">
        <v>2.6673499999999999E-2</v>
      </c>
      <c r="E3057" t="s">
        <v>74</v>
      </c>
      <c r="F3057">
        <v>26.673500000000001</v>
      </c>
      <c r="G3057" t="s">
        <v>75</v>
      </c>
      <c r="H3057">
        <v>26673.499</v>
      </c>
      <c r="I3057" t="s">
        <v>76</v>
      </c>
      <c r="J3057" t="s">
        <v>77</v>
      </c>
    </row>
    <row r="3058" spans="1:11" x14ac:dyDescent="0.3">
      <c r="A3058" t="s">
        <v>72</v>
      </c>
      <c r="B3058">
        <v>1</v>
      </c>
      <c r="C3058" t="s">
        <v>80</v>
      </c>
      <c r="D3058">
        <v>2.6674300000000001E-2</v>
      </c>
      <c r="E3058" t="s">
        <v>74</v>
      </c>
      <c r="F3058">
        <v>26.674299999999999</v>
      </c>
      <c r="G3058" t="s">
        <v>75</v>
      </c>
      <c r="H3058">
        <v>26674.3</v>
      </c>
      <c r="I3058" t="s">
        <v>76</v>
      </c>
      <c r="J3058" t="s">
        <v>77</v>
      </c>
    </row>
    <row r="3059" spans="1:11" x14ac:dyDescent="0.3">
      <c r="A3059" t="s">
        <v>72</v>
      </c>
      <c r="B3059">
        <v>1</v>
      </c>
      <c r="C3059" t="s">
        <v>81</v>
      </c>
      <c r="D3059">
        <v>3.0106899999999999E-2</v>
      </c>
      <c r="E3059" t="s">
        <v>74</v>
      </c>
      <c r="F3059">
        <v>30.1069</v>
      </c>
      <c r="G3059" t="s">
        <v>75</v>
      </c>
      <c r="H3059">
        <v>30106.9</v>
      </c>
      <c r="I3059" t="s">
        <v>76</v>
      </c>
      <c r="J3059" t="s">
        <v>82</v>
      </c>
      <c r="K3059">
        <v>33.214976999999998</v>
      </c>
    </row>
    <row r="3060" spans="1:11" x14ac:dyDescent="0.3">
      <c r="A3060" t="s">
        <v>83</v>
      </c>
      <c r="B3060">
        <v>1000</v>
      </c>
      <c r="C3060" t="s">
        <v>79</v>
      </c>
      <c r="D3060">
        <v>5.2499000000000003E-4</v>
      </c>
      <c r="E3060" t="s">
        <v>74</v>
      </c>
      <c r="F3060">
        <v>0.52498999999999996</v>
      </c>
      <c r="G3060" t="s">
        <v>75</v>
      </c>
      <c r="H3060">
        <v>524.995</v>
      </c>
      <c r="I3060" t="s">
        <v>76</v>
      </c>
      <c r="J3060" t="s">
        <v>77</v>
      </c>
    </row>
    <row r="3061" spans="1:11" x14ac:dyDescent="0.3">
      <c r="A3061" t="s">
        <v>83</v>
      </c>
      <c r="B3061">
        <v>1000</v>
      </c>
      <c r="C3061" t="s">
        <v>94</v>
      </c>
      <c r="D3061">
        <v>2.4238590000000001E-2</v>
      </c>
      <c r="E3061" t="s">
        <v>74</v>
      </c>
      <c r="F3061">
        <v>24.238589999999999</v>
      </c>
      <c r="G3061" t="s">
        <v>75</v>
      </c>
      <c r="H3061">
        <v>24238.588</v>
      </c>
      <c r="I3061" t="s">
        <v>76</v>
      </c>
      <c r="J3061" t="s">
        <v>77</v>
      </c>
    </row>
    <row r="3062" spans="1:11" x14ac:dyDescent="0.3">
      <c r="A3062" t="s">
        <v>83</v>
      </c>
      <c r="B3062">
        <v>1000</v>
      </c>
      <c r="C3062" t="s">
        <v>80</v>
      </c>
      <c r="D3062">
        <v>2.442623E-2</v>
      </c>
      <c r="E3062" t="s">
        <v>74</v>
      </c>
      <c r="F3062">
        <v>24.42623</v>
      </c>
      <c r="G3062" t="s">
        <v>75</v>
      </c>
      <c r="H3062">
        <v>24426.228999999999</v>
      </c>
      <c r="I3062" t="s">
        <v>76</v>
      </c>
      <c r="J3062" t="s">
        <v>77</v>
      </c>
    </row>
    <row r="3063" spans="1:11" x14ac:dyDescent="0.3">
      <c r="A3063" t="s">
        <v>83</v>
      </c>
      <c r="B3063">
        <v>1000</v>
      </c>
      <c r="C3063" t="s">
        <v>81</v>
      </c>
      <c r="D3063">
        <v>2.4952530000000001E-2</v>
      </c>
      <c r="E3063" t="s">
        <v>74</v>
      </c>
      <c r="F3063">
        <v>24.952529999999999</v>
      </c>
      <c r="G3063" t="s">
        <v>75</v>
      </c>
      <c r="H3063">
        <v>24952.531999999999</v>
      </c>
      <c r="I3063" t="s">
        <v>76</v>
      </c>
      <c r="J3063" t="s">
        <v>82</v>
      </c>
      <c r="K3063">
        <v>40.0760936</v>
      </c>
    </row>
    <row r="3064" spans="1:11" x14ac:dyDescent="0.3">
      <c r="A3064" t="s">
        <v>84</v>
      </c>
      <c r="B3064">
        <v>1001</v>
      </c>
      <c r="C3064" t="s">
        <v>79</v>
      </c>
      <c r="D3064">
        <v>5.2789999999999998E-4</v>
      </c>
      <c r="E3064" t="s">
        <v>74</v>
      </c>
      <c r="F3064">
        <v>0.52790000000000004</v>
      </c>
      <c r="G3064" t="s">
        <v>75</v>
      </c>
      <c r="H3064">
        <v>527.89800000000002</v>
      </c>
      <c r="I3064" t="s">
        <v>76</v>
      </c>
      <c r="J3064" t="s">
        <v>77</v>
      </c>
    </row>
    <row r="3065" spans="1:11" x14ac:dyDescent="0.3">
      <c r="A3065" t="s">
        <v>84</v>
      </c>
      <c r="B3065">
        <v>1001</v>
      </c>
      <c r="C3065" t="s">
        <v>94</v>
      </c>
      <c r="D3065">
        <v>2.4241019999999999E-2</v>
      </c>
      <c r="E3065" t="s">
        <v>74</v>
      </c>
      <c r="F3065">
        <v>24.241019999999999</v>
      </c>
      <c r="G3065" t="s">
        <v>75</v>
      </c>
      <c r="H3065">
        <v>24241.018</v>
      </c>
      <c r="I3065" t="s">
        <v>76</v>
      </c>
      <c r="J3065" t="s">
        <v>77</v>
      </c>
    </row>
    <row r="3066" spans="1:11" x14ac:dyDescent="0.3">
      <c r="A3066" t="s">
        <v>84</v>
      </c>
      <c r="B3066">
        <v>1001</v>
      </c>
      <c r="C3066" t="s">
        <v>80</v>
      </c>
      <c r="D3066">
        <v>2.4428479999999999E-2</v>
      </c>
      <c r="E3066" t="s">
        <v>74</v>
      </c>
      <c r="F3066">
        <v>24.42848</v>
      </c>
      <c r="G3066" t="s">
        <v>75</v>
      </c>
      <c r="H3066">
        <v>24428.474999999999</v>
      </c>
      <c r="I3066" t="s">
        <v>76</v>
      </c>
      <c r="J3066" t="s">
        <v>77</v>
      </c>
    </row>
    <row r="3067" spans="1:11" x14ac:dyDescent="0.3">
      <c r="A3067" t="s">
        <v>84</v>
      </c>
      <c r="B3067">
        <v>1001</v>
      </c>
      <c r="C3067" t="s">
        <v>81</v>
      </c>
      <c r="D3067">
        <v>2.4957679999999999E-2</v>
      </c>
      <c r="E3067" t="s">
        <v>74</v>
      </c>
      <c r="F3067">
        <v>24.95768</v>
      </c>
      <c r="G3067" t="s">
        <v>75</v>
      </c>
      <c r="H3067">
        <v>24957.68</v>
      </c>
      <c r="I3067" t="s">
        <v>76</v>
      </c>
      <c r="J3067" t="s">
        <v>82</v>
      </c>
      <c r="K3067">
        <v>40.067827299999998</v>
      </c>
    </row>
    <row r="3068" spans="1:11" x14ac:dyDescent="0.3">
      <c r="A3068" t="s">
        <v>85</v>
      </c>
      <c r="B3068">
        <v>1001</v>
      </c>
      <c r="C3068" t="s">
        <v>86</v>
      </c>
      <c r="D3068">
        <v>2.4958040000000001E-2</v>
      </c>
      <c r="E3068" t="s">
        <v>74</v>
      </c>
      <c r="F3068">
        <v>24.95804</v>
      </c>
      <c r="G3068" t="s">
        <v>75</v>
      </c>
      <c r="H3068">
        <v>24958.04</v>
      </c>
      <c r="I3068" t="s">
        <v>76</v>
      </c>
      <c r="J3068" t="s">
        <v>82</v>
      </c>
      <c r="K3068">
        <v>40.067249099999998</v>
      </c>
    </row>
    <row r="3069" spans="1:11" x14ac:dyDescent="0.3">
      <c r="A3069" t="s">
        <v>115</v>
      </c>
    </row>
    <row r="3070" spans="1:11" x14ac:dyDescent="0.3">
      <c r="A3070" t="s">
        <v>127</v>
      </c>
    </row>
    <row r="3071" spans="1:11" x14ac:dyDescent="0.3">
      <c r="A3071" t="s">
        <v>87</v>
      </c>
    </row>
    <row r="3072" spans="1:11" x14ac:dyDescent="0.3">
      <c r="A3072" t="s">
        <v>164</v>
      </c>
    </row>
    <row r="3073" spans="1:11" x14ac:dyDescent="0.3">
      <c r="A3073" t="s">
        <v>72</v>
      </c>
      <c r="B3073">
        <v>1</v>
      </c>
      <c r="C3073" t="s">
        <v>81</v>
      </c>
      <c r="D3073">
        <v>0.45941269000000001</v>
      </c>
      <c r="E3073" t="s">
        <v>74</v>
      </c>
      <c r="F3073">
        <v>459.41269</v>
      </c>
      <c r="G3073" t="s">
        <v>75</v>
      </c>
      <c r="H3073">
        <v>459412.69400000002</v>
      </c>
      <c r="I3073" t="s">
        <v>76</v>
      </c>
      <c r="J3073" t="s">
        <v>82</v>
      </c>
      <c r="K3073">
        <v>2.1766920999999999</v>
      </c>
    </row>
    <row r="3074" spans="1:11" x14ac:dyDescent="0.3">
      <c r="A3074" t="s">
        <v>83</v>
      </c>
      <c r="B3074">
        <v>1000</v>
      </c>
      <c r="C3074" t="s">
        <v>81</v>
      </c>
      <c r="D3074">
        <v>1.6674439999999999E-2</v>
      </c>
      <c r="E3074" t="s">
        <v>74</v>
      </c>
      <c r="F3074">
        <v>16.674440000000001</v>
      </c>
      <c r="G3074" t="s">
        <v>75</v>
      </c>
      <c r="H3074">
        <v>16674.441999999999</v>
      </c>
      <c r="I3074" t="s">
        <v>76</v>
      </c>
      <c r="J3074" t="s">
        <v>82</v>
      </c>
      <c r="K3074">
        <v>59.972020800000003</v>
      </c>
    </row>
    <row r="3075" spans="1:11" x14ac:dyDescent="0.3">
      <c r="A3075" t="s">
        <v>85</v>
      </c>
      <c r="B3075">
        <v>1001</v>
      </c>
      <c r="C3075" t="s">
        <v>86</v>
      </c>
      <c r="D3075">
        <v>1.7116940000000001E-2</v>
      </c>
      <c r="E3075" t="s">
        <v>74</v>
      </c>
      <c r="F3075">
        <v>17.11694</v>
      </c>
      <c r="G3075" t="s">
        <v>75</v>
      </c>
      <c r="H3075">
        <v>17116.935000000001</v>
      </c>
      <c r="I3075" t="s">
        <v>76</v>
      </c>
      <c r="J3075" t="s">
        <v>82</v>
      </c>
      <c r="K3075">
        <v>58.421672999999998</v>
      </c>
    </row>
    <row r="3077" spans="1:11" x14ac:dyDescent="0.3">
      <c r="A3077" t="s">
        <v>165</v>
      </c>
    </row>
    <row r="3078" spans="1:11" x14ac:dyDescent="0.3">
      <c r="A3078" t="s">
        <v>72</v>
      </c>
      <c r="B3078">
        <v>1</v>
      </c>
      <c r="C3078" t="s">
        <v>81</v>
      </c>
      <c r="D3078">
        <v>3.0106899999999999E-2</v>
      </c>
      <c r="E3078" t="s">
        <v>74</v>
      </c>
      <c r="F3078">
        <v>30.1069</v>
      </c>
      <c r="G3078" t="s">
        <v>75</v>
      </c>
      <c r="H3078">
        <v>30106.9</v>
      </c>
      <c r="I3078" t="s">
        <v>76</v>
      </c>
      <c r="J3078" t="s">
        <v>82</v>
      </c>
      <c r="K3078">
        <v>33.214976999999998</v>
      </c>
    </row>
    <row r="3079" spans="1:11" x14ac:dyDescent="0.3">
      <c r="A3079" t="s">
        <v>83</v>
      </c>
      <c r="B3079">
        <v>1000</v>
      </c>
      <c r="C3079" t="s">
        <v>81</v>
      </c>
      <c r="D3079">
        <v>2.4952530000000001E-2</v>
      </c>
      <c r="E3079" t="s">
        <v>74</v>
      </c>
      <c r="F3079">
        <v>24.952529999999999</v>
      </c>
      <c r="G3079" t="s">
        <v>75</v>
      </c>
      <c r="H3079">
        <v>24952.531999999999</v>
      </c>
      <c r="I3079" t="s">
        <v>76</v>
      </c>
      <c r="J3079" t="s">
        <v>82</v>
      </c>
      <c r="K3079">
        <v>40.0760936</v>
      </c>
    </row>
    <row r="3080" spans="1:11" x14ac:dyDescent="0.3">
      <c r="A3080" t="s">
        <v>85</v>
      </c>
      <c r="B3080">
        <v>1001</v>
      </c>
      <c r="C3080" t="s">
        <v>86</v>
      </c>
      <c r="D3080">
        <v>2.4958040000000001E-2</v>
      </c>
      <c r="E3080" t="s">
        <v>74</v>
      </c>
      <c r="F3080">
        <v>24.95804</v>
      </c>
      <c r="G3080" t="s">
        <v>75</v>
      </c>
      <c r="H3080">
        <v>24958.04</v>
      </c>
      <c r="I3080" t="s">
        <v>76</v>
      </c>
      <c r="J3080" t="s">
        <v>82</v>
      </c>
      <c r="K3080">
        <v>40.067249099999998</v>
      </c>
    </row>
    <row r="3082" spans="1:11" x14ac:dyDescent="0.3">
      <c r="A3082" t="s">
        <v>66</v>
      </c>
    </row>
    <row r="3084" spans="1:11" x14ac:dyDescent="0.3">
      <c r="A3084" t="s">
        <v>251</v>
      </c>
    </row>
    <row r="3085" spans="1:11" x14ac:dyDescent="0.3">
      <c r="A3085" t="s">
        <v>68</v>
      </c>
    </row>
    <row r="3086" spans="1:11" x14ac:dyDescent="0.3">
      <c r="A3086" t="s">
        <v>69</v>
      </c>
    </row>
    <row r="3087" spans="1:11" x14ac:dyDescent="0.3">
      <c r="A3087" t="s">
        <v>70</v>
      </c>
    </row>
    <row r="3088" spans="1:11" x14ac:dyDescent="0.3">
      <c r="A3088" t="s">
        <v>115</v>
      </c>
    </row>
    <row r="3089" spans="1:10" x14ac:dyDescent="0.3">
      <c r="A3089" t="s">
        <v>116</v>
      </c>
    </row>
    <row r="3090" spans="1:10" x14ac:dyDescent="0.3">
      <c r="A3090" t="s">
        <v>117</v>
      </c>
    </row>
    <row r="3091" spans="1:10" x14ac:dyDescent="0.3">
      <c r="A3091" t="s">
        <v>118</v>
      </c>
    </row>
    <row r="3092" spans="1:10" x14ac:dyDescent="0.3">
      <c r="A3092" t="s">
        <v>119</v>
      </c>
    </row>
    <row r="3093" spans="1:10" x14ac:dyDescent="0.3">
      <c r="A3093" t="s">
        <v>120</v>
      </c>
    </row>
    <row r="3094" spans="1:10" x14ac:dyDescent="0.3">
      <c r="A3094" t="s">
        <v>121</v>
      </c>
    </row>
    <row r="3095" spans="1:10" x14ac:dyDescent="0.3">
      <c r="A3095" t="s">
        <v>122</v>
      </c>
    </row>
    <row r="3096" spans="1:10" x14ac:dyDescent="0.3">
      <c r="A3096" t="s">
        <v>123</v>
      </c>
    </row>
    <row r="3097" spans="1:10" x14ac:dyDescent="0.3">
      <c r="A3097" t="s">
        <v>124</v>
      </c>
    </row>
    <row r="3098" spans="1:10" x14ac:dyDescent="0.3">
      <c r="A3098" t="s">
        <v>125</v>
      </c>
    </row>
    <row r="3099" spans="1:10" x14ac:dyDescent="0.3">
      <c r="A3099" t="s">
        <v>126</v>
      </c>
    </row>
    <row r="3100" spans="1:10" x14ac:dyDescent="0.3">
      <c r="A3100" t="s">
        <v>127</v>
      </c>
    </row>
    <row r="3101" spans="1:10" x14ac:dyDescent="0.3">
      <c r="A3101" t="s">
        <v>167</v>
      </c>
    </row>
    <row r="3102" spans="1:10" x14ac:dyDescent="0.3">
      <c r="A3102" t="s">
        <v>168</v>
      </c>
    </row>
    <row r="3103" spans="1:10" x14ac:dyDescent="0.3">
      <c r="A3103" t="s">
        <v>72</v>
      </c>
      <c r="B3103">
        <v>1</v>
      </c>
      <c r="C3103" t="s">
        <v>73</v>
      </c>
      <c r="D3103">
        <v>3.7000000000000002E-6</v>
      </c>
      <c r="E3103" t="s">
        <v>74</v>
      </c>
      <c r="F3103">
        <v>3.7000000000000002E-3</v>
      </c>
      <c r="G3103" t="s">
        <v>75</v>
      </c>
      <c r="H3103">
        <v>3.7</v>
      </c>
      <c r="I3103" t="s">
        <v>76</v>
      </c>
      <c r="J3103" t="s">
        <v>77</v>
      </c>
    </row>
    <row r="3104" spans="1:10" x14ac:dyDescent="0.3">
      <c r="A3104" t="s">
        <v>72</v>
      </c>
      <c r="B3104">
        <v>1</v>
      </c>
      <c r="C3104" t="s">
        <v>78</v>
      </c>
      <c r="D3104">
        <v>0.12923499999999999</v>
      </c>
      <c r="E3104" t="s">
        <v>74</v>
      </c>
      <c r="F3104">
        <v>129.23500000000001</v>
      </c>
      <c r="G3104" t="s">
        <v>75</v>
      </c>
      <c r="H3104">
        <v>129234.999</v>
      </c>
      <c r="I3104" t="s">
        <v>76</v>
      </c>
      <c r="J3104" t="s">
        <v>77</v>
      </c>
    </row>
    <row r="3105" spans="1:11" x14ac:dyDescent="0.3">
      <c r="A3105" t="s">
        <v>72</v>
      </c>
      <c r="B3105">
        <v>1</v>
      </c>
      <c r="C3105" t="s">
        <v>79</v>
      </c>
      <c r="D3105">
        <v>0.29011228999999999</v>
      </c>
      <c r="E3105" t="s">
        <v>74</v>
      </c>
      <c r="F3105">
        <v>290.11228999999997</v>
      </c>
      <c r="G3105" t="s">
        <v>75</v>
      </c>
      <c r="H3105">
        <v>290112.28700000001</v>
      </c>
      <c r="I3105" t="s">
        <v>76</v>
      </c>
      <c r="J3105" t="s">
        <v>77</v>
      </c>
    </row>
    <row r="3106" spans="1:11" x14ac:dyDescent="0.3">
      <c r="A3106" t="s">
        <v>72</v>
      </c>
      <c r="B3106">
        <v>1</v>
      </c>
      <c r="C3106" t="s">
        <v>94</v>
      </c>
      <c r="D3106">
        <v>0.1453459</v>
      </c>
      <c r="E3106" t="s">
        <v>74</v>
      </c>
      <c r="F3106">
        <v>145.3459</v>
      </c>
      <c r="G3106" t="s">
        <v>75</v>
      </c>
      <c r="H3106">
        <v>145345.89600000001</v>
      </c>
      <c r="I3106" t="s">
        <v>76</v>
      </c>
      <c r="J3106" t="s">
        <v>77</v>
      </c>
    </row>
    <row r="3107" spans="1:11" x14ac:dyDescent="0.3">
      <c r="A3107" t="s">
        <v>72</v>
      </c>
      <c r="B3107">
        <v>1</v>
      </c>
      <c r="C3107" t="s">
        <v>80</v>
      </c>
      <c r="D3107">
        <v>0.14534639999999999</v>
      </c>
      <c r="E3107" t="s">
        <v>74</v>
      </c>
      <c r="F3107">
        <v>145.34639999999999</v>
      </c>
      <c r="G3107" t="s">
        <v>75</v>
      </c>
      <c r="H3107">
        <v>145346.40299999999</v>
      </c>
      <c r="I3107" t="s">
        <v>76</v>
      </c>
      <c r="J3107" t="s">
        <v>77</v>
      </c>
    </row>
    <row r="3108" spans="1:11" x14ac:dyDescent="0.3">
      <c r="A3108" t="s">
        <v>72</v>
      </c>
      <c r="B3108">
        <v>1</v>
      </c>
      <c r="C3108" t="s">
        <v>81</v>
      </c>
      <c r="D3108">
        <v>0.43546119</v>
      </c>
      <c r="E3108" t="s">
        <v>74</v>
      </c>
      <c r="F3108">
        <v>435.46118999999999</v>
      </c>
      <c r="G3108" t="s">
        <v>75</v>
      </c>
      <c r="H3108">
        <v>435461.19300000003</v>
      </c>
      <c r="I3108" t="s">
        <v>76</v>
      </c>
      <c r="J3108" t="s">
        <v>82</v>
      </c>
      <c r="K3108">
        <v>2.2964159</v>
      </c>
    </row>
    <row r="3109" spans="1:11" x14ac:dyDescent="0.3">
      <c r="A3109" t="s">
        <v>83</v>
      </c>
      <c r="B3109">
        <v>1000</v>
      </c>
      <c r="C3109" t="s">
        <v>79</v>
      </c>
      <c r="D3109">
        <v>5.0790000000000004E-4</v>
      </c>
      <c r="E3109" t="s">
        <v>74</v>
      </c>
      <c r="F3109">
        <v>0.50790000000000002</v>
      </c>
      <c r="G3109" t="s">
        <v>75</v>
      </c>
      <c r="H3109">
        <v>507.9</v>
      </c>
      <c r="I3109" t="s">
        <v>76</v>
      </c>
      <c r="J3109" t="s">
        <v>77</v>
      </c>
    </row>
    <row r="3110" spans="1:11" x14ac:dyDescent="0.3">
      <c r="A3110" t="s">
        <v>83</v>
      </c>
      <c r="B3110">
        <v>1000</v>
      </c>
      <c r="C3110" t="s">
        <v>94</v>
      </c>
      <c r="D3110">
        <v>7.8136999999999998E-4</v>
      </c>
      <c r="E3110" t="s">
        <v>74</v>
      </c>
      <c r="F3110">
        <v>0.78137000000000001</v>
      </c>
      <c r="G3110" t="s">
        <v>75</v>
      </c>
      <c r="H3110">
        <v>781.36900000000003</v>
      </c>
      <c r="I3110" t="s">
        <v>76</v>
      </c>
      <c r="J3110" t="s">
        <v>77</v>
      </c>
    </row>
    <row r="3111" spans="1:11" x14ac:dyDescent="0.3">
      <c r="A3111" t="s">
        <v>83</v>
      </c>
      <c r="B3111">
        <v>1000</v>
      </c>
      <c r="C3111" t="s">
        <v>80</v>
      </c>
      <c r="D3111">
        <v>7.8171999999999996E-4</v>
      </c>
      <c r="E3111" t="s">
        <v>74</v>
      </c>
      <c r="F3111">
        <v>0.78171999999999997</v>
      </c>
      <c r="G3111" t="s">
        <v>75</v>
      </c>
      <c r="H3111">
        <v>781.72199999999998</v>
      </c>
      <c r="I3111" t="s">
        <v>76</v>
      </c>
      <c r="J3111" t="s">
        <v>77</v>
      </c>
    </row>
    <row r="3112" spans="1:11" x14ac:dyDescent="0.3">
      <c r="A3112" t="s">
        <v>83</v>
      </c>
      <c r="B3112">
        <v>1000</v>
      </c>
      <c r="C3112" t="s">
        <v>81</v>
      </c>
      <c r="D3112">
        <v>1.29061E-3</v>
      </c>
      <c r="E3112" t="s">
        <v>74</v>
      </c>
      <c r="F3112">
        <v>1.29061</v>
      </c>
      <c r="G3112" t="s">
        <v>75</v>
      </c>
      <c r="H3112">
        <v>1290.6130000000001</v>
      </c>
      <c r="I3112" t="s">
        <v>76</v>
      </c>
      <c r="J3112" t="s">
        <v>82</v>
      </c>
      <c r="K3112">
        <v>774.82557299999996</v>
      </c>
    </row>
    <row r="3113" spans="1:11" x14ac:dyDescent="0.3">
      <c r="A3113" t="s">
        <v>84</v>
      </c>
      <c r="B3113">
        <v>1001</v>
      </c>
      <c r="C3113" t="s">
        <v>79</v>
      </c>
      <c r="D3113">
        <v>7.9721999999999996E-4</v>
      </c>
      <c r="E3113" t="s">
        <v>74</v>
      </c>
      <c r="F3113">
        <v>0.79722000000000004</v>
      </c>
      <c r="G3113" t="s">
        <v>75</v>
      </c>
      <c r="H3113">
        <v>797.21500000000003</v>
      </c>
      <c r="I3113" t="s">
        <v>76</v>
      </c>
      <c r="J3113" t="s">
        <v>77</v>
      </c>
    </row>
    <row r="3114" spans="1:11" x14ac:dyDescent="0.3">
      <c r="A3114" t="s">
        <v>84</v>
      </c>
      <c r="B3114">
        <v>1001</v>
      </c>
      <c r="C3114" t="s">
        <v>94</v>
      </c>
      <c r="D3114">
        <v>9.2579000000000001E-4</v>
      </c>
      <c r="E3114" t="s">
        <v>74</v>
      </c>
      <c r="F3114">
        <v>0.92579</v>
      </c>
      <c r="G3114" t="s">
        <v>75</v>
      </c>
      <c r="H3114">
        <v>925.79</v>
      </c>
      <c r="I3114" t="s">
        <v>76</v>
      </c>
      <c r="J3114" t="s">
        <v>77</v>
      </c>
    </row>
    <row r="3115" spans="1:11" x14ac:dyDescent="0.3">
      <c r="A3115" t="s">
        <v>84</v>
      </c>
      <c r="B3115">
        <v>1001</v>
      </c>
      <c r="C3115" t="s">
        <v>80</v>
      </c>
      <c r="D3115">
        <v>9.2613999999999999E-4</v>
      </c>
      <c r="E3115" t="s">
        <v>74</v>
      </c>
      <c r="F3115">
        <v>0.92613999999999996</v>
      </c>
      <c r="G3115" t="s">
        <v>75</v>
      </c>
      <c r="H3115">
        <v>926.14300000000003</v>
      </c>
      <c r="I3115" t="s">
        <v>76</v>
      </c>
      <c r="J3115" t="s">
        <v>77</v>
      </c>
    </row>
    <row r="3116" spans="1:11" x14ac:dyDescent="0.3">
      <c r="A3116" t="s">
        <v>84</v>
      </c>
      <c r="B3116">
        <v>1001</v>
      </c>
      <c r="C3116" t="s">
        <v>81</v>
      </c>
      <c r="D3116">
        <v>1.7243499999999999E-3</v>
      </c>
      <c r="E3116" t="s">
        <v>74</v>
      </c>
      <c r="F3116">
        <v>1.72435</v>
      </c>
      <c r="G3116" t="s">
        <v>75</v>
      </c>
      <c r="H3116">
        <v>1724.35</v>
      </c>
      <c r="I3116" t="s">
        <v>76</v>
      </c>
      <c r="J3116" t="s">
        <v>82</v>
      </c>
      <c r="K3116">
        <v>579.92867279999996</v>
      </c>
    </row>
    <row r="3117" spans="1:11" x14ac:dyDescent="0.3">
      <c r="A3117" t="s">
        <v>85</v>
      </c>
      <c r="B3117">
        <v>1001</v>
      </c>
      <c r="C3117" t="s">
        <v>86</v>
      </c>
      <c r="D3117">
        <v>1.7245800000000001E-3</v>
      </c>
      <c r="E3117" t="s">
        <v>74</v>
      </c>
      <c r="F3117">
        <v>1.72458</v>
      </c>
      <c r="G3117" t="s">
        <v>75</v>
      </c>
      <c r="H3117">
        <v>1724.5820000000001</v>
      </c>
      <c r="I3117" t="s">
        <v>76</v>
      </c>
      <c r="J3117" t="s">
        <v>82</v>
      </c>
      <c r="K3117">
        <v>579.8507419</v>
      </c>
    </row>
    <row r="3118" spans="1:11" x14ac:dyDescent="0.3">
      <c r="A3118" t="s">
        <v>169</v>
      </c>
    </row>
    <row r="3119" spans="1:11" x14ac:dyDescent="0.3">
      <c r="A3119" t="s">
        <v>170</v>
      </c>
    </row>
    <row r="3120" spans="1:11" x14ac:dyDescent="0.3">
      <c r="A3120" t="s">
        <v>72</v>
      </c>
      <c r="B3120">
        <v>1</v>
      </c>
      <c r="C3120" t="s">
        <v>73</v>
      </c>
      <c r="D3120">
        <v>3.7000000000000002E-6</v>
      </c>
      <c r="E3120" t="s">
        <v>74</v>
      </c>
      <c r="F3120">
        <v>3.7000000000000002E-3</v>
      </c>
      <c r="G3120" t="s">
        <v>75</v>
      </c>
      <c r="H3120">
        <v>3.7</v>
      </c>
      <c r="I3120" t="s">
        <v>76</v>
      </c>
      <c r="J3120" t="s">
        <v>77</v>
      </c>
    </row>
    <row r="3121" spans="1:11" x14ac:dyDescent="0.3">
      <c r="A3121" t="s">
        <v>72</v>
      </c>
      <c r="B3121">
        <v>1</v>
      </c>
      <c r="C3121" t="s">
        <v>78</v>
      </c>
      <c r="D3121">
        <v>3.6399999999999997E-5</v>
      </c>
      <c r="E3121" t="s">
        <v>74</v>
      </c>
      <c r="F3121">
        <v>3.6400000000000002E-2</v>
      </c>
      <c r="G3121" t="s">
        <v>75</v>
      </c>
      <c r="H3121">
        <v>36.4</v>
      </c>
      <c r="I3121" t="s">
        <v>76</v>
      </c>
      <c r="J3121" t="s">
        <v>77</v>
      </c>
    </row>
    <row r="3122" spans="1:11" x14ac:dyDescent="0.3">
      <c r="A3122" t="s">
        <v>72</v>
      </c>
      <c r="B3122">
        <v>1</v>
      </c>
      <c r="C3122" t="s">
        <v>79</v>
      </c>
      <c r="D3122">
        <v>3.5544999999999999E-3</v>
      </c>
      <c r="E3122" t="s">
        <v>74</v>
      </c>
      <c r="F3122">
        <v>3.5545</v>
      </c>
      <c r="G3122" t="s">
        <v>75</v>
      </c>
      <c r="H3122">
        <v>3554.5</v>
      </c>
      <c r="I3122" t="s">
        <v>76</v>
      </c>
      <c r="J3122" t="s">
        <v>77</v>
      </c>
    </row>
    <row r="3123" spans="1:11" x14ac:dyDescent="0.3">
      <c r="A3123" t="s">
        <v>72</v>
      </c>
      <c r="B3123">
        <v>1</v>
      </c>
      <c r="C3123" t="s">
        <v>94</v>
      </c>
      <c r="D3123">
        <v>3.6584999999999999E-3</v>
      </c>
      <c r="E3123" t="s">
        <v>74</v>
      </c>
      <c r="F3123">
        <v>3.6585000000000001</v>
      </c>
      <c r="G3123" t="s">
        <v>75</v>
      </c>
      <c r="H3123">
        <v>3658.5</v>
      </c>
      <c r="I3123" t="s">
        <v>76</v>
      </c>
      <c r="J3123" t="s">
        <v>77</v>
      </c>
    </row>
    <row r="3124" spans="1:11" x14ac:dyDescent="0.3">
      <c r="A3124" t="s">
        <v>72</v>
      </c>
      <c r="B3124">
        <v>1</v>
      </c>
      <c r="C3124" t="s">
        <v>80</v>
      </c>
      <c r="D3124">
        <v>3.6591000000000002E-3</v>
      </c>
      <c r="E3124" t="s">
        <v>74</v>
      </c>
      <c r="F3124">
        <v>3.6591</v>
      </c>
      <c r="G3124" t="s">
        <v>75</v>
      </c>
      <c r="H3124">
        <v>3659.1</v>
      </c>
      <c r="I3124" t="s">
        <v>76</v>
      </c>
      <c r="J3124" t="s">
        <v>77</v>
      </c>
    </row>
    <row r="3125" spans="1:11" x14ac:dyDescent="0.3">
      <c r="A3125" t="s">
        <v>72</v>
      </c>
      <c r="B3125">
        <v>1</v>
      </c>
      <c r="C3125" t="s">
        <v>81</v>
      </c>
      <c r="D3125">
        <v>7.2145999999999998E-3</v>
      </c>
      <c r="E3125" t="s">
        <v>74</v>
      </c>
      <c r="F3125">
        <v>7.2145999999999999</v>
      </c>
      <c r="G3125" t="s">
        <v>75</v>
      </c>
      <c r="H3125">
        <v>7214.6</v>
      </c>
      <c r="I3125" t="s">
        <v>76</v>
      </c>
      <c r="J3125" t="s">
        <v>82</v>
      </c>
      <c r="K3125">
        <v>138.60781879999999</v>
      </c>
    </row>
    <row r="3126" spans="1:11" x14ac:dyDescent="0.3">
      <c r="A3126" t="s">
        <v>83</v>
      </c>
      <c r="B3126">
        <v>1000</v>
      </c>
      <c r="C3126" t="s">
        <v>79</v>
      </c>
      <c r="D3126">
        <v>5.2813999999999997E-4</v>
      </c>
      <c r="E3126" t="s">
        <v>74</v>
      </c>
      <c r="F3126">
        <v>0.52814000000000005</v>
      </c>
      <c r="G3126" t="s">
        <v>75</v>
      </c>
      <c r="H3126">
        <v>528.13599999999997</v>
      </c>
      <c r="I3126" t="s">
        <v>76</v>
      </c>
      <c r="J3126" t="s">
        <v>77</v>
      </c>
    </row>
    <row r="3127" spans="1:11" x14ac:dyDescent="0.3">
      <c r="A3127" t="s">
        <v>83</v>
      </c>
      <c r="B3127">
        <v>1000</v>
      </c>
      <c r="C3127" t="s">
        <v>94</v>
      </c>
      <c r="D3127">
        <v>1.13061E-3</v>
      </c>
      <c r="E3127" t="s">
        <v>74</v>
      </c>
      <c r="F3127">
        <v>1.1306099999999999</v>
      </c>
      <c r="G3127" t="s">
        <v>75</v>
      </c>
      <c r="H3127">
        <v>1130.6110000000001</v>
      </c>
      <c r="I3127" t="s">
        <v>76</v>
      </c>
      <c r="J3127" t="s">
        <v>77</v>
      </c>
    </row>
    <row r="3128" spans="1:11" x14ac:dyDescent="0.3">
      <c r="A3128" t="s">
        <v>83</v>
      </c>
      <c r="B3128">
        <v>1000</v>
      </c>
      <c r="C3128" t="s">
        <v>80</v>
      </c>
      <c r="D3128">
        <v>1.3047099999999999E-3</v>
      </c>
      <c r="E3128" t="s">
        <v>74</v>
      </c>
      <c r="F3128">
        <v>1.30471</v>
      </c>
      <c r="G3128" t="s">
        <v>75</v>
      </c>
      <c r="H3128">
        <v>1304.7070000000001</v>
      </c>
      <c r="I3128" t="s">
        <v>76</v>
      </c>
      <c r="J3128" t="s">
        <v>77</v>
      </c>
    </row>
    <row r="3129" spans="1:11" x14ac:dyDescent="0.3">
      <c r="A3129" t="s">
        <v>83</v>
      </c>
      <c r="B3129">
        <v>1000</v>
      </c>
      <c r="C3129" t="s">
        <v>81</v>
      </c>
      <c r="D3129">
        <v>1.8341099999999999E-3</v>
      </c>
      <c r="E3129" t="s">
        <v>74</v>
      </c>
      <c r="F3129">
        <v>1.8341099999999999</v>
      </c>
      <c r="G3129" t="s">
        <v>75</v>
      </c>
      <c r="H3129">
        <v>1834.1079999999999</v>
      </c>
      <c r="I3129" t="s">
        <v>76</v>
      </c>
      <c r="J3129" t="s">
        <v>82</v>
      </c>
      <c r="K3129">
        <v>545.22427130000005</v>
      </c>
    </row>
    <row r="3130" spans="1:11" x14ac:dyDescent="0.3">
      <c r="A3130" t="s">
        <v>84</v>
      </c>
      <c r="B3130">
        <v>1001</v>
      </c>
      <c r="C3130" t="s">
        <v>79</v>
      </c>
      <c r="D3130">
        <v>5.3116000000000003E-4</v>
      </c>
      <c r="E3130" t="s">
        <v>74</v>
      </c>
      <c r="F3130">
        <v>0.53115999999999997</v>
      </c>
      <c r="G3130" t="s">
        <v>75</v>
      </c>
      <c r="H3130">
        <v>531.16</v>
      </c>
      <c r="I3130" t="s">
        <v>76</v>
      </c>
      <c r="J3130" t="s">
        <v>77</v>
      </c>
    </row>
    <row r="3131" spans="1:11" x14ac:dyDescent="0.3">
      <c r="A3131" t="s">
        <v>84</v>
      </c>
      <c r="B3131">
        <v>1001</v>
      </c>
      <c r="C3131" t="s">
        <v>94</v>
      </c>
      <c r="D3131">
        <v>1.1331399999999999E-3</v>
      </c>
      <c r="E3131" t="s">
        <v>74</v>
      </c>
      <c r="F3131">
        <v>1.13314</v>
      </c>
      <c r="G3131" t="s">
        <v>75</v>
      </c>
      <c r="H3131">
        <v>1133.136</v>
      </c>
      <c r="I3131" t="s">
        <v>76</v>
      </c>
      <c r="J3131" t="s">
        <v>77</v>
      </c>
    </row>
    <row r="3132" spans="1:11" x14ac:dyDescent="0.3">
      <c r="A3132" t="s">
        <v>84</v>
      </c>
      <c r="B3132">
        <v>1001</v>
      </c>
      <c r="C3132" t="s">
        <v>80</v>
      </c>
      <c r="D3132">
        <v>1.3070600000000001E-3</v>
      </c>
      <c r="E3132" t="s">
        <v>74</v>
      </c>
      <c r="F3132">
        <v>1.3070600000000001</v>
      </c>
      <c r="G3132" t="s">
        <v>75</v>
      </c>
      <c r="H3132">
        <v>1307.059</v>
      </c>
      <c r="I3132" t="s">
        <v>76</v>
      </c>
      <c r="J3132" t="s">
        <v>77</v>
      </c>
    </row>
    <row r="3133" spans="1:11" x14ac:dyDescent="0.3">
      <c r="A3133" t="s">
        <v>84</v>
      </c>
      <c r="B3133">
        <v>1001</v>
      </c>
      <c r="C3133" t="s">
        <v>81</v>
      </c>
      <c r="D3133">
        <v>1.8394800000000001E-3</v>
      </c>
      <c r="E3133" t="s">
        <v>74</v>
      </c>
      <c r="F3133">
        <v>1.83948</v>
      </c>
      <c r="G3133" t="s">
        <v>75</v>
      </c>
      <c r="H3133">
        <v>1839.4829999999999</v>
      </c>
      <c r="I3133" t="s">
        <v>76</v>
      </c>
      <c r="J3133" t="s">
        <v>82</v>
      </c>
      <c r="K3133">
        <v>543.63106259999995</v>
      </c>
    </row>
    <row r="3134" spans="1:11" x14ac:dyDescent="0.3">
      <c r="A3134" t="s">
        <v>85</v>
      </c>
      <c r="B3134">
        <v>1001</v>
      </c>
      <c r="C3134" t="s">
        <v>86</v>
      </c>
      <c r="D3134">
        <v>1.8397400000000001E-3</v>
      </c>
      <c r="E3134" t="s">
        <v>74</v>
      </c>
      <c r="F3134">
        <v>1.8397399999999999</v>
      </c>
      <c r="G3134" t="s">
        <v>75</v>
      </c>
      <c r="H3134">
        <v>1839.7349999999999</v>
      </c>
      <c r="I3134" t="s">
        <v>76</v>
      </c>
      <c r="J3134" t="s">
        <v>82</v>
      </c>
      <c r="K3134">
        <v>543.55645879999997</v>
      </c>
    </row>
    <row r="3135" spans="1:11" x14ac:dyDescent="0.3">
      <c r="A3135" t="s">
        <v>115</v>
      </c>
    </row>
    <row r="3136" spans="1:11" x14ac:dyDescent="0.3">
      <c r="A3136" t="s">
        <v>127</v>
      </c>
    </row>
    <row r="3137" spans="1:11" x14ac:dyDescent="0.3">
      <c r="A3137" t="s">
        <v>87</v>
      </c>
    </row>
    <row r="3138" spans="1:11" x14ac:dyDescent="0.3">
      <c r="A3138" t="s">
        <v>171</v>
      </c>
    </row>
    <row r="3139" spans="1:11" x14ac:dyDescent="0.3">
      <c r="A3139" t="s">
        <v>72</v>
      </c>
      <c r="B3139">
        <v>1</v>
      </c>
      <c r="C3139" t="s">
        <v>81</v>
      </c>
      <c r="D3139">
        <v>0.43546119</v>
      </c>
      <c r="E3139" t="s">
        <v>74</v>
      </c>
      <c r="F3139">
        <v>435.46118999999999</v>
      </c>
      <c r="G3139" t="s">
        <v>75</v>
      </c>
      <c r="H3139">
        <v>435461.19300000003</v>
      </c>
      <c r="I3139" t="s">
        <v>76</v>
      </c>
      <c r="J3139" t="s">
        <v>82</v>
      </c>
      <c r="K3139">
        <v>2.2964159</v>
      </c>
    </row>
    <row r="3140" spans="1:11" x14ac:dyDescent="0.3">
      <c r="A3140" t="s">
        <v>83</v>
      </c>
      <c r="B3140">
        <v>1000</v>
      </c>
      <c r="C3140" t="s">
        <v>81</v>
      </c>
      <c r="D3140">
        <v>1.29061E-3</v>
      </c>
      <c r="E3140" t="s">
        <v>74</v>
      </c>
      <c r="F3140">
        <v>1.29061</v>
      </c>
      <c r="G3140" t="s">
        <v>75</v>
      </c>
      <c r="H3140">
        <v>1290.6130000000001</v>
      </c>
      <c r="I3140" t="s">
        <v>76</v>
      </c>
      <c r="J3140" t="s">
        <v>82</v>
      </c>
      <c r="K3140">
        <v>774.82557299999996</v>
      </c>
    </row>
    <row r="3141" spans="1:11" x14ac:dyDescent="0.3">
      <c r="A3141" t="s">
        <v>85</v>
      </c>
      <c r="B3141">
        <v>1001</v>
      </c>
      <c r="C3141" t="s">
        <v>86</v>
      </c>
      <c r="D3141">
        <v>1.7245800000000001E-3</v>
      </c>
      <c r="E3141" t="s">
        <v>74</v>
      </c>
      <c r="F3141">
        <v>1.72458</v>
      </c>
      <c r="G3141" t="s">
        <v>75</v>
      </c>
      <c r="H3141">
        <v>1724.5820000000001</v>
      </c>
      <c r="I3141" t="s">
        <v>76</v>
      </c>
      <c r="J3141" t="s">
        <v>82</v>
      </c>
      <c r="K3141">
        <v>579.8507419</v>
      </c>
    </row>
    <row r="3143" spans="1:11" x14ac:dyDescent="0.3">
      <c r="A3143" t="s">
        <v>172</v>
      </c>
    </row>
    <row r="3144" spans="1:11" x14ac:dyDescent="0.3">
      <c r="A3144" t="s">
        <v>72</v>
      </c>
      <c r="B3144">
        <v>1</v>
      </c>
      <c r="C3144" t="s">
        <v>81</v>
      </c>
      <c r="D3144">
        <v>7.2145999999999998E-3</v>
      </c>
      <c r="E3144" t="s">
        <v>74</v>
      </c>
      <c r="F3144">
        <v>7.2145999999999999</v>
      </c>
      <c r="G3144" t="s">
        <v>75</v>
      </c>
      <c r="H3144">
        <v>7214.6</v>
      </c>
      <c r="I3144" t="s">
        <v>76</v>
      </c>
      <c r="J3144" t="s">
        <v>82</v>
      </c>
      <c r="K3144">
        <v>138.60781879999999</v>
      </c>
    </row>
    <row r="3145" spans="1:11" x14ac:dyDescent="0.3">
      <c r="A3145" t="s">
        <v>83</v>
      </c>
      <c r="B3145">
        <v>1000</v>
      </c>
      <c r="C3145" t="s">
        <v>81</v>
      </c>
      <c r="D3145">
        <v>1.8341099999999999E-3</v>
      </c>
      <c r="E3145" t="s">
        <v>74</v>
      </c>
      <c r="F3145">
        <v>1.8341099999999999</v>
      </c>
      <c r="G3145" t="s">
        <v>75</v>
      </c>
      <c r="H3145">
        <v>1834.1079999999999</v>
      </c>
      <c r="I3145" t="s">
        <v>76</v>
      </c>
      <c r="J3145" t="s">
        <v>82</v>
      </c>
      <c r="K3145">
        <v>545.22427130000005</v>
      </c>
    </row>
    <row r="3146" spans="1:11" x14ac:dyDescent="0.3">
      <c r="A3146" t="s">
        <v>85</v>
      </c>
      <c r="B3146">
        <v>1001</v>
      </c>
      <c r="C3146" t="s">
        <v>86</v>
      </c>
      <c r="D3146">
        <v>1.8397400000000001E-3</v>
      </c>
      <c r="E3146" t="s">
        <v>74</v>
      </c>
      <c r="F3146">
        <v>1.8397399999999999</v>
      </c>
      <c r="G3146" t="s">
        <v>75</v>
      </c>
      <c r="H3146">
        <v>1839.7349999999999</v>
      </c>
      <c r="I3146" t="s">
        <v>76</v>
      </c>
      <c r="J3146" t="s">
        <v>82</v>
      </c>
      <c r="K3146">
        <v>543.55645879999997</v>
      </c>
    </row>
    <row r="3148" spans="1:11" x14ac:dyDescent="0.3">
      <c r="A3148" t="s">
        <v>66</v>
      </c>
    </row>
    <row r="3150" spans="1:11" x14ac:dyDescent="0.3">
      <c r="A3150" t="s">
        <v>252</v>
      </c>
    </row>
    <row r="3151" spans="1:11" x14ac:dyDescent="0.3">
      <c r="A3151" t="s">
        <v>68</v>
      </c>
    </row>
    <row r="3152" spans="1:11" x14ac:dyDescent="0.3">
      <c r="A3152" t="s">
        <v>69</v>
      </c>
    </row>
    <row r="3153" spans="1:1" x14ac:dyDescent="0.3">
      <c r="A3153" t="s">
        <v>70</v>
      </c>
    </row>
    <row r="3154" spans="1:1" x14ac:dyDescent="0.3">
      <c r="A3154" t="s">
        <v>115</v>
      </c>
    </row>
    <row r="3155" spans="1:1" x14ac:dyDescent="0.3">
      <c r="A3155" t="s">
        <v>116</v>
      </c>
    </row>
    <row r="3156" spans="1:1" x14ac:dyDescent="0.3">
      <c r="A3156" t="s">
        <v>117</v>
      </c>
    </row>
    <row r="3157" spans="1:1" x14ac:dyDescent="0.3">
      <c r="A3157" t="s">
        <v>118</v>
      </c>
    </row>
    <row r="3158" spans="1:1" x14ac:dyDescent="0.3">
      <c r="A3158" t="s">
        <v>119</v>
      </c>
    </row>
    <row r="3159" spans="1:1" x14ac:dyDescent="0.3">
      <c r="A3159" t="s">
        <v>120</v>
      </c>
    </row>
    <row r="3160" spans="1:1" x14ac:dyDescent="0.3">
      <c r="A3160" t="s">
        <v>121</v>
      </c>
    </row>
    <row r="3161" spans="1:1" x14ac:dyDescent="0.3">
      <c r="A3161" t="s">
        <v>122</v>
      </c>
    </row>
    <row r="3162" spans="1:1" x14ac:dyDescent="0.3">
      <c r="A3162" t="s">
        <v>123</v>
      </c>
    </row>
    <row r="3163" spans="1:1" x14ac:dyDescent="0.3">
      <c r="A3163" t="s">
        <v>124</v>
      </c>
    </row>
    <row r="3164" spans="1:1" x14ac:dyDescent="0.3">
      <c r="A3164" t="s">
        <v>125</v>
      </c>
    </row>
    <row r="3165" spans="1:1" x14ac:dyDescent="0.3">
      <c r="A3165" t="s">
        <v>126</v>
      </c>
    </row>
    <row r="3166" spans="1:1" x14ac:dyDescent="0.3">
      <c r="A3166" t="s">
        <v>127</v>
      </c>
    </row>
    <row r="3167" spans="1:1" x14ac:dyDescent="0.3">
      <c r="A3167" t="s">
        <v>174</v>
      </c>
    </row>
    <row r="3168" spans="1:1" x14ac:dyDescent="0.3">
      <c r="A3168" t="s">
        <v>175</v>
      </c>
    </row>
    <row r="3169" spans="1:11" x14ac:dyDescent="0.3">
      <c r="A3169" t="s">
        <v>72</v>
      </c>
      <c r="B3169">
        <v>1</v>
      </c>
      <c r="C3169" t="s">
        <v>73</v>
      </c>
      <c r="D3169">
        <v>3.8999999999999999E-6</v>
      </c>
      <c r="E3169" t="s">
        <v>74</v>
      </c>
      <c r="F3169">
        <v>3.8999999999999998E-3</v>
      </c>
      <c r="G3169" t="s">
        <v>75</v>
      </c>
      <c r="H3169">
        <v>3.9</v>
      </c>
      <c r="I3169" t="s">
        <v>76</v>
      </c>
      <c r="J3169" t="s">
        <v>77</v>
      </c>
    </row>
    <row r="3170" spans="1:11" x14ac:dyDescent="0.3">
      <c r="A3170" t="s">
        <v>72</v>
      </c>
      <c r="B3170">
        <v>1</v>
      </c>
      <c r="C3170" t="s">
        <v>78</v>
      </c>
      <c r="D3170">
        <v>0.1522548</v>
      </c>
      <c r="E3170" t="s">
        <v>74</v>
      </c>
      <c r="F3170">
        <v>152.25479999999999</v>
      </c>
      <c r="G3170" t="s">
        <v>75</v>
      </c>
      <c r="H3170">
        <v>152254.80499999999</v>
      </c>
      <c r="I3170" t="s">
        <v>76</v>
      </c>
      <c r="J3170" t="s">
        <v>77</v>
      </c>
    </row>
    <row r="3171" spans="1:11" x14ac:dyDescent="0.3">
      <c r="A3171" t="s">
        <v>72</v>
      </c>
      <c r="B3171">
        <v>1</v>
      </c>
      <c r="C3171" t="s">
        <v>91</v>
      </c>
      <c r="D3171">
        <v>0.28868449000000002</v>
      </c>
      <c r="E3171" t="s">
        <v>74</v>
      </c>
      <c r="F3171">
        <v>288.68448999999998</v>
      </c>
      <c r="G3171" t="s">
        <v>75</v>
      </c>
      <c r="H3171">
        <v>288684.48700000002</v>
      </c>
      <c r="I3171" t="s">
        <v>76</v>
      </c>
      <c r="J3171" t="s">
        <v>77</v>
      </c>
    </row>
    <row r="3172" spans="1:11" x14ac:dyDescent="0.3">
      <c r="A3172" t="s">
        <v>72</v>
      </c>
      <c r="B3172">
        <v>1</v>
      </c>
      <c r="C3172" t="s">
        <v>92</v>
      </c>
      <c r="D3172">
        <v>3.9138000000000003E-3</v>
      </c>
      <c r="E3172" t="s">
        <v>74</v>
      </c>
      <c r="F3172">
        <v>3.9138000000000002</v>
      </c>
      <c r="G3172" t="s">
        <v>75</v>
      </c>
      <c r="H3172">
        <v>3913.8</v>
      </c>
      <c r="I3172" t="s">
        <v>76</v>
      </c>
      <c r="J3172" t="s">
        <v>77</v>
      </c>
    </row>
    <row r="3173" spans="1:11" x14ac:dyDescent="0.3">
      <c r="A3173" t="s">
        <v>72</v>
      </c>
      <c r="B3173">
        <v>1</v>
      </c>
      <c r="C3173" t="s">
        <v>93</v>
      </c>
      <c r="D3173">
        <v>3.4047000000000001E-3</v>
      </c>
      <c r="E3173" t="s">
        <v>74</v>
      </c>
      <c r="F3173">
        <v>3.4047000000000001</v>
      </c>
      <c r="G3173" t="s">
        <v>75</v>
      </c>
      <c r="H3173">
        <v>3404.7</v>
      </c>
      <c r="I3173" t="s">
        <v>76</v>
      </c>
      <c r="J3173" t="s">
        <v>77</v>
      </c>
    </row>
    <row r="3174" spans="1:11" x14ac:dyDescent="0.3">
      <c r="A3174" t="s">
        <v>72</v>
      </c>
      <c r="B3174">
        <v>1</v>
      </c>
      <c r="C3174" t="s">
        <v>79</v>
      </c>
      <c r="D3174">
        <v>0.29600378999999999</v>
      </c>
      <c r="E3174" t="s">
        <v>74</v>
      </c>
      <c r="F3174">
        <v>296.00378999999998</v>
      </c>
      <c r="G3174" t="s">
        <v>75</v>
      </c>
      <c r="H3174">
        <v>296003.78899999999</v>
      </c>
      <c r="I3174" t="s">
        <v>76</v>
      </c>
      <c r="J3174" t="s">
        <v>77</v>
      </c>
    </row>
    <row r="3175" spans="1:11" x14ac:dyDescent="0.3">
      <c r="A3175" t="s">
        <v>72</v>
      </c>
      <c r="B3175">
        <v>1</v>
      </c>
      <c r="C3175" t="s">
        <v>94</v>
      </c>
      <c r="D3175">
        <v>9.1917000000000006E-3</v>
      </c>
      <c r="E3175" t="s">
        <v>74</v>
      </c>
      <c r="F3175">
        <v>9.1917000000000009</v>
      </c>
      <c r="G3175" t="s">
        <v>75</v>
      </c>
      <c r="H3175">
        <v>9191.7000000000007</v>
      </c>
      <c r="I3175" t="s">
        <v>76</v>
      </c>
      <c r="J3175" t="s">
        <v>77</v>
      </c>
    </row>
    <row r="3176" spans="1:11" x14ac:dyDescent="0.3">
      <c r="A3176" t="s">
        <v>72</v>
      </c>
      <c r="B3176">
        <v>1</v>
      </c>
      <c r="C3176" t="s">
        <v>80</v>
      </c>
      <c r="D3176">
        <v>9.1926999999999998E-3</v>
      </c>
      <c r="E3176" t="s">
        <v>74</v>
      </c>
      <c r="F3176">
        <v>9.1927000000000003</v>
      </c>
      <c r="G3176" t="s">
        <v>75</v>
      </c>
      <c r="H3176">
        <v>9192.7000000000007</v>
      </c>
      <c r="I3176" t="s">
        <v>76</v>
      </c>
      <c r="J3176" t="s">
        <v>77</v>
      </c>
    </row>
    <row r="3177" spans="1:11" x14ac:dyDescent="0.3">
      <c r="A3177" t="s">
        <v>72</v>
      </c>
      <c r="B3177">
        <v>1</v>
      </c>
      <c r="C3177" t="s">
        <v>81</v>
      </c>
      <c r="D3177">
        <v>0.30519789000000003</v>
      </c>
      <c r="E3177" t="s">
        <v>74</v>
      </c>
      <c r="F3177">
        <v>305.19788999999997</v>
      </c>
      <c r="G3177" t="s">
        <v>75</v>
      </c>
      <c r="H3177">
        <v>305197.89500000002</v>
      </c>
      <c r="I3177" t="s">
        <v>76</v>
      </c>
      <c r="J3177" t="s">
        <v>82</v>
      </c>
      <c r="K3177">
        <v>3.2765626000000001</v>
      </c>
    </row>
    <row r="3178" spans="1:11" x14ac:dyDescent="0.3">
      <c r="A3178" t="s">
        <v>83</v>
      </c>
      <c r="B3178">
        <v>1000</v>
      </c>
      <c r="C3178" t="s">
        <v>91</v>
      </c>
      <c r="D3178">
        <v>4.9375000000000005E-4</v>
      </c>
      <c r="E3178" t="s">
        <v>74</v>
      </c>
      <c r="F3178">
        <v>0.49375000000000002</v>
      </c>
      <c r="G3178" t="s">
        <v>75</v>
      </c>
      <c r="H3178">
        <v>493.74799999999999</v>
      </c>
      <c r="I3178" t="s">
        <v>76</v>
      </c>
      <c r="J3178" t="s">
        <v>77</v>
      </c>
    </row>
    <row r="3179" spans="1:11" x14ac:dyDescent="0.3">
      <c r="A3179" t="s">
        <v>83</v>
      </c>
      <c r="B3179">
        <v>1000</v>
      </c>
      <c r="C3179" t="s">
        <v>92</v>
      </c>
      <c r="D3179">
        <v>6.5917000000000005E-4</v>
      </c>
      <c r="E3179" t="s">
        <v>74</v>
      </c>
      <c r="F3179">
        <v>0.65917000000000003</v>
      </c>
      <c r="G3179" t="s">
        <v>75</v>
      </c>
      <c r="H3179">
        <v>659.16499999999996</v>
      </c>
      <c r="I3179" t="s">
        <v>76</v>
      </c>
      <c r="J3179" t="s">
        <v>77</v>
      </c>
    </row>
    <row r="3180" spans="1:11" x14ac:dyDescent="0.3">
      <c r="A3180" t="s">
        <v>83</v>
      </c>
      <c r="B3180">
        <v>1000</v>
      </c>
      <c r="C3180" t="s">
        <v>93</v>
      </c>
      <c r="D3180">
        <v>3.8886999999999998E-4</v>
      </c>
      <c r="E3180" t="s">
        <v>74</v>
      </c>
      <c r="F3180">
        <v>0.38886999999999999</v>
      </c>
      <c r="G3180" t="s">
        <v>75</v>
      </c>
      <c r="H3180">
        <v>388.87</v>
      </c>
      <c r="I3180" t="s">
        <v>76</v>
      </c>
      <c r="J3180" t="s">
        <v>77</v>
      </c>
    </row>
    <row r="3181" spans="1:11" x14ac:dyDescent="0.3">
      <c r="A3181" t="s">
        <v>83</v>
      </c>
      <c r="B3181">
        <v>1000</v>
      </c>
      <c r="C3181" t="s">
        <v>79</v>
      </c>
      <c r="D3181">
        <v>1.54239E-3</v>
      </c>
      <c r="E3181" t="s">
        <v>74</v>
      </c>
      <c r="F3181">
        <v>1.5423899999999999</v>
      </c>
      <c r="G3181" t="s">
        <v>75</v>
      </c>
      <c r="H3181">
        <v>1542.3869999999999</v>
      </c>
      <c r="I3181" t="s">
        <v>76</v>
      </c>
      <c r="J3181" t="s">
        <v>77</v>
      </c>
    </row>
    <row r="3182" spans="1:11" x14ac:dyDescent="0.3">
      <c r="A3182" t="s">
        <v>83</v>
      </c>
      <c r="B3182">
        <v>1000</v>
      </c>
      <c r="C3182" t="s">
        <v>94</v>
      </c>
      <c r="D3182">
        <v>2.6370399999999998E-3</v>
      </c>
      <c r="E3182" t="s">
        <v>74</v>
      </c>
      <c r="F3182">
        <v>2.6370399999999998</v>
      </c>
      <c r="G3182" t="s">
        <v>75</v>
      </c>
      <c r="H3182">
        <v>2637.0439999999999</v>
      </c>
      <c r="I3182" t="s">
        <v>76</v>
      </c>
      <c r="J3182" t="s">
        <v>77</v>
      </c>
    </row>
    <row r="3183" spans="1:11" x14ac:dyDescent="0.3">
      <c r="A3183" t="s">
        <v>83</v>
      </c>
      <c r="B3183">
        <v>1000</v>
      </c>
      <c r="C3183" t="s">
        <v>80</v>
      </c>
      <c r="D3183">
        <v>2.8192899999999999E-3</v>
      </c>
      <c r="E3183" t="s">
        <v>74</v>
      </c>
      <c r="F3183">
        <v>2.8192900000000001</v>
      </c>
      <c r="G3183" t="s">
        <v>75</v>
      </c>
      <c r="H3183">
        <v>2819.2950000000001</v>
      </c>
      <c r="I3183" t="s">
        <v>76</v>
      </c>
      <c r="J3183" t="s">
        <v>77</v>
      </c>
    </row>
    <row r="3184" spans="1:11" x14ac:dyDescent="0.3">
      <c r="A3184" t="s">
        <v>83</v>
      </c>
      <c r="B3184">
        <v>1000</v>
      </c>
      <c r="C3184" t="s">
        <v>81</v>
      </c>
      <c r="D3184">
        <v>4.3628399999999998E-3</v>
      </c>
      <c r="E3184" t="s">
        <v>74</v>
      </c>
      <c r="F3184">
        <v>4.3628400000000003</v>
      </c>
      <c r="G3184" t="s">
        <v>75</v>
      </c>
      <c r="H3184">
        <v>4362.8370000000004</v>
      </c>
      <c r="I3184" t="s">
        <v>76</v>
      </c>
      <c r="J3184" t="s">
        <v>82</v>
      </c>
      <c r="K3184">
        <v>229.20863829999999</v>
      </c>
    </row>
    <row r="3185" spans="1:11" x14ac:dyDescent="0.3">
      <c r="A3185" t="s">
        <v>84</v>
      </c>
      <c r="B3185">
        <v>1001</v>
      </c>
      <c r="C3185" t="s">
        <v>91</v>
      </c>
      <c r="D3185">
        <v>7.8165000000000005E-4</v>
      </c>
      <c r="E3185" t="s">
        <v>74</v>
      </c>
      <c r="F3185">
        <v>0.78164999999999996</v>
      </c>
      <c r="G3185" t="s">
        <v>75</v>
      </c>
      <c r="H3185">
        <v>781.65</v>
      </c>
      <c r="I3185" t="s">
        <v>76</v>
      </c>
      <c r="J3185" t="s">
        <v>77</v>
      </c>
    </row>
    <row r="3186" spans="1:11" x14ac:dyDescent="0.3">
      <c r="A3186" t="s">
        <v>84</v>
      </c>
      <c r="B3186">
        <v>1001</v>
      </c>
      <c r="C3186" t="s">
        <v>92</v>
      </c>
      <c r="D3186">
        <v>6.6242000000000004E-4</v>
      </c>
      <c r="E3186" t="s">
        <v>74</v>
      </c>
      <c r="F3186">
        <v>0.66242000000000001</v>
      </c>
      <c r="G3186" t="s">
        <v>75</v>
      </c>
      <c r="H3186">
        <v>662.41600000000005</v>
      </c>
      <c r="I3186" t="s">
        <v>76</v>
      </c>
      <c r="J3186" t="s">
        <v>77</v>
      </c>
    </row>
    <row r="3187" spans="1:11" x14ac:dyDescent="0.3">
      <c r="A3187" t="s">
        <v>84</v>
      </c>
      <c r="B3187">
        <v>1001</v>
      </c>
      <c r="C3187" t="s">
        <v>93</v>
      </c>
      <c r="D3187">
        <v>3.9188E-4</v>
      </c>
      <c r="E3187" t="s">
        <v>74</v>
      </c>
      <c r="F3187">
        <v>0.39188000000000001</v>
      </c>
      <c r="G3187" t="s">
        <v>75</v>
      </c>
      <c r="H3187">
        <v>391.88299999999998</v>
      </c>
      <c r="I3187" t="s">
        <v>76</v>
      </c>
      <c r="J3187" t="s">
        <v>77</v>
      </c>
    </row>
    <row r="3188" spans="1:11" x14ac:dyDescent="0.3">
      <c r="A3188" t="s">
        <v>84</v>
      </c>
      <c r="B3188">
        <v>1001</v>
      </c>
      <c r="C3188" t="s">
        <v>79</v>
      </c>
      <c r="D3188">
        <v>1.8365499999999999E-3</v>
      </c>
      <c r="E3188" t="s">
        <v>74</v>
      </c>
      <c r="F3188">
        <v>1.8365499999999999</v>
      </c>
      <c r="G3188" t="s">
        <v>75</v>
      </c>
      <c r="H3188">
        <v>1836.5540000000001</v>
      </c>
      <c r="I3188" t="s">
        <v>76</v>
      </c>
      <c r="J3188" t="s">
        <v>77</v>
      </c>
    </row>
    <row r="3189" spans="1:11" x14ac:dyDescent="0.3">
      <c r="A3189" t="s">
        <v>84</v>
      </c>
      <c r="B3189">
        <v>1001</v>
      </c>
      <c r="C3189" t="s">
        <v>94</v>
      </c>
      <c r="D3189">
        <v>2.6435899999999999E-3</v>
      </c>
      <c r="E3189" t="s">
        <v>74</v>
      </c>
      <c r="F3189">
        <v>2.6435900000000001</v>
      </c>
      <c r="G3189" t="s">
        <v>75</v>
      </c>
      <c r="H3189">
        <v>2643.5920000000001</v>
      </c>
      <c r="I3189" t="s">
        <v>76</v>
      </c>
      <c r="J3189" t="s">
        <v>77</v>
      </c>
    </row>
    <row r="3190" spans="1:11" x14ac:dyDescent="0.3">
      <c r="A3190" t="s">
        <v>84</v>
      </c>
      <c r="B3190">
        <v>1001</v>
      </c>
      <c r="C3190" t="s">
        <v>80</v>
      </c>
      <c r="D3190">
        <v>2.8256599999999998E-3</v>
      </c>
      <c r="E3190" t="s">
        <v>74</v>
      </c>
      <c r="F3190">
        <v>2.8256600000000001</v>
      </c>
      <c r="G3190" t="s">
        <v>75</v>
      </c>
      <c r="H3190">
        <v>2825.6619999999998</v>
      </c>
      <c r="I3190" t="s">
        <v>76</v>
      </c>
      <c r="J3190" t="s">
        <v>77</v>
      </c>
    </row>
    <row r="3191" spans="1:11" x14ac:dyDescent="0.3">
      <c r="A3191" t="s">
        <v>84</v>
      </c>
      <c r="B3191">
        <v>1001</v>
      </c>
      <c r="C3191" t="s">
        <v>81</v>
      </c>
      <c r="D3191">
        <v>4.66337E-3</v>
      </c>
      <c r="E3191" t="s">
        <v>74</v>
      </c>
      <c r="F3191">
        <v>4.6633699999999996</v>
      </c>
      <c r="G3191" t="s">
        <v>75</v>
      </c>
      <c r="H3191">
        <v>4663.3710000000001</v>
      </c>
      <c r="I3191" t="s">
        <v>76</v>
      </c>
      <c r="J3191" t="s">
        <v>82</v>
      </c>
      <c r="K3191">
        <v>214.43714449999999</v>
      </c>
    </row>
    <row r="3192" spans="1:11" x14ac:dyDescent="0.3">
      <c r="A3192" t="s">
        <v>85</v>
      </c>
      <c r="B3192">
        <v>1001</v>
      </c>
      <c r="C3192" t="s">
        <v>86</v>
      </c>
      <c r="D3192">
        <v>4.66367E-3</v>
      </c>
      <c r="E3192" t="s">
        <v>74</v>
      </c>
      <c r="F3192">
        <v>4.6636699999999998</v>
      </c>
      <c r="G3192" t="s">
        <v>75</v>
      </c>
      <c r="H3192">
        <v>4663.67</v>
      </c>
      <c r="I3192" t="s">
        <v>76</v>
      </c>
      <c r="J3192" t="s">
        <v>82</v>
      </c>
      <c r="K3192">
        <v>214.4233893</v>
      </c>
    </row>
    <row r="3193" spans="1:11" x14ac:dyDescent="0.3">
      <c r="A3193" t="s">
        <v>115</v>
      </c>
    </row>
    <row r="3194" spans="1:11" x14ac:dyDescent="0.3">
      <c r="A3194" t="s">
        <v>127</v>
      </c>
    </row>
    <row r="3195" spans="1:11" x14ac:dyDescent="0.3">
      <c r="A3195" t="s">
        <v>87</v>
      </c>
    </row>
    <row r="3196" spans="1:11" x14ac:dyDescent="0.3">
      <c r="A3196" t="s">
        <v>176</v>
      </c>
    </row>
    <row r="3197" spans="1:11" x14ac:dyDescent="0.3">
      <c r="A3197" t="s">
        <v>72</v>
      </c>
      <c r="B3197">
        <v>1</v>
      </c>
      <c r="C3197" t="s">
        <v>81</v>
      </c>
      <c r="D3197">
        <v>0.30519789000000003</v>
      </c>
      <c r="E3197" t="s">
        <v>74</v>
      </c>
      <c r="F3197">
        <v>305.19788999999997</v>
      </c>
      <c r="G3197" t="s">
        <v>75</v>
      </c>
      <c r="H3197">
        <v>305197.89500000002</v>
      </c>
      <c r="I3197" t="s">
        <v>76</v>
      </c>
      <c r="J3197" t="s">
        <v>82</v>
      </c>
      <c r="K3197">
        <v>3.2765626000000001</v>
      </c>
    </row>
    <row r="3198" spans="1:11" x14ac:dyDescent="0.3">
      <c r="A3198" t="s">
        <v>83</v>
      </c>
      <c r="B3198">
        <v>1000</v>
      </c>
      <c r="C3198" t="s">
        <v>81</v>
      </c>
      <c r="D3198">
        <v>4.3628399999999998E-3</v>
      </c>
      <c r="E3198" t="s">
        <v>74</v>
      </c>
      <c r="F3198">
        <v>4.3628400000000003</v>
      </c>
      <c r="G3198" t="s">
        <v>75</v>
      </c>
      <c r="H3198">
        <v>4362.8370000000004</v>
      </c>
      <c r="I3198" t="s">
        <v>76</v>
      </c>
      <c r="J3198" t="s">
        <v>82</v>
      </c>
      <c r="K3198">
        <v>229.20863829999999</v>
      </c>
    </row>
    <row r="3199" spans="1:11" x14ac:dyDescent="0.3">
      <c r="A3199" t="s">
        <v>85</v>
      </c>
      <c r="B3199">
        <v>1001</v>
      </c>
      <c r="C3199" t="s">
        <v>86</v>
      </c>
      <c r="D3199">
        <v>4.66367E-3</v>
      </c>
      <c r="E3199" t="s">
        <v>74</v>
      </c>
      <c r="F3199">
        <v>4.6636699999999998</v>
      </c>
      <c r="G3199" t="s">
        <v>75</v>
      </c>
      <c r="H3199">
        <v>4663.67</v>
      </c>
      <c r="I3199" t="s">
        <v>76</v>
      </c>
      <c r="J3199" t="s">
        <v>82</v>
      </c>
      <c r="K3199">
        <v>214.4233893</v>
      </c>
    </row>
    <row r="3201" spans="1:1" x14ac:dyDescent="0.3">
      <c r="A3201" t="s">
        <v>66</v>
      </c>
    </row>
    <row r="3203" spans="1:1" x14ac:dyDescent="0.3">
      <c r="A3203" t="s">
        <v>253</v>
      </c>
    </row>
    <row r="3204" spans="1:1" x14ac:dyDescent="0.3">
      <c r="A3204" t="s">
        <v>68</v>
      </c>
    </row>
    <row r="3205" spans="1:1" x14ac:dyDescent="0.3">
      <c r="A3205" t="s">
        <v>69</v>
      </c>
    </row>
    <row r="3206" spans="1:1" x14ac:dyDescent="0.3">
      <c r="A3206" t="s">
        <v>70</v>
      </c>
    </row>
    <row r="3207" spans="1:1" x14ac:dyDescent="0.3">
      <c r="A3207" t="s">
        <v>115</v>
      </c>
    </row>
    <row r="3208" spans="1:1" x14ac:dyDescent="0.3">
      <c r="A3208" t="s">
        <v>116</v>
      </c>
    </row>
    <row r="3209" spans="1:1" x14ac:dyDescent="0.3">
      <c r="A3209" t="s">
        <v>117</v>
      </c>
    </row>
    <row r="3210" spans="1:1" x14ac:dyDescent="0.3">
      <c r="A3210" t="s">
        <v>118</v>
      </c>
    </row>
    <row r="3211" spans="1:1" x14ac:dyDescent="0.3">
      <c r="A3211" t="s">
        <v>119</v>
      </c>
    </row>
    <row r="3212" spans="1:1" x14ac:dyDescent="0.3">
      <c r="A3212" t="s">
        <v>120</v>
      </c>
    </row>
    <row r="3213" spans="1:1" x14ac:dyDescent="0.3">
      <c r="A3213" t="s">
        <v>121</v>
      </c>
    </row>
    <row r="3214" spans="1:1" x14ac:dyDescent="0.3">
      <c r="A3214" t="s">
        <v>122</v>
      </c>
    </row>
    <row r="3215" spans="1:1" x14ac:dyDescent="0.3">
      <c r="A3215" t="s">
        <v>123</v>
      </c>
    </row>
    <row r="3216" spans="1:1" x14ac:dyDescent="0.3">
      <c r="A3216" t="s">
        <v>124</v>
      </c>
    </row>
    <row r="3217" spans="1:11" x14ac:dyDescent="0.3">
      <c r="A3217" t="s">
        <v>125</v>
      </c>
    </row>
    <row r="3218" spans="1:11" x14ac:dyDescent="0.3">
      <c r="A3218" t="s">
        <v>126</v>
      </c>
    </row>
    <row r="3219" spans="1:11" x14ac:dyDescent="0.3">
      <c r="A3219" t="s">
        <v>127</v>
      </c>
    </row>
    <row r="3220" spans="1:11" x14ac:dyDescent="0.3">
      <c r="A3220" t="s">
        <v>178</v>
      </c>
    </row>
    <row r="3221" spans="1:11" x14ac:dyDescent="0.3">
      <c r="A3221" t="s">
        <v>179</v>
      </c>
    </row>
    <row r="3222" spans="1:11" x14ac:dyDescent="0.3">
      <c r="A3222" t="s">
        <v>72</v>
      </c>
      <c r="B3222">
        <v>1</v>
      </c>
      <c r="C3222" t="s">
        <v>73</v>
      </c>
      <c r="D3222">
        <v>3.7000000000000002E-6</v>
      </c>
      <c r="E3222" t="s">
        <v>74</v>
      </c>
      <c r="F3222">
        <v>3.7000000000000002E-3</v>
      </c>
      <c r="G3222" t="s">
        <v>75</v>
      </c>
      <c r="H3222">
        <v>3.7</v>
      </c>
      <c r="I3222" t="s">
        <v>76</v>
      </c>
      <c r="J3222" t="s">
        <v>77</v>
      </c>
    </row>
    <row r="3223" spans="1:11" x14ac:dyDescent="0.3">
      <c r="A3223" t="s">
        <v>72</v>
      </c>
      <c r="B3223">
        <v>1</v>
      </c>
      <c r="C3223" t="s">
        <v>78</v>
      </c>
      <c r="D3223">
        <v>0.12960240000000001</v>
      </c>
      <c r="E3223" t="s">
        <v>74</v>
      </c>
      <c r="F3223">
        <v>129.60239999999999</v>
      </c>
      <c r="G3223" t="s">
        <v>75</v>
      </c>
      <c r="H3223">
        <v>129602.402</v>
      </c>
      <c r="I3223" t="s">
        <v>76</v>
      </c>
      <c r="J3223" t="s">
        <v>77</v>
      </c>
    </row>
    <row r="3224" spans="1:11" x14ac:dyDescent="0.3">
      <c r="A3224" t="s">
        <v>72</v>
      </c>
      <c r="B3224">
        <v>1</v>
      </c>
      <c r="C3224" t="s">
        <v>79</v>
      </c>
      <c r="D3224">
        <v>0.28493448999999998</v>
      </c>
      <c r="E3224" t="s">
        <v>74</v>
      </c>
      <c r="F3224">
        <v>284.93448999999998</v>
      </c>
      <c r="G3224" t="s">
        <v>75</v>
      </c>
      <c r="H3224">
        <v>284934.49099999998</v>
      </c>
      <c r="I3224" t="s">
        <v>76</v>
      </c>
      <c r="J3224" t="s">
        <v>77</v>
      </c>
    </row>
    <row r="3225" spans="1:11" x14ac:dyDescent="0.3">
      <c r="A3225" t="s">
        <v>72</v>
      </c>
      <c r="B3225">
        <v>1</v>
      </c>
      <c r="C3225" t="s">
        <v>94</v>
      </c>
      <c r="D3225">
        <v>9.0664999999999999E-3</v>
      </c>
      <c r="E3225" t="s">
        <v>74</v>
      </c>
      <c r="F3225">
        <v>9.0664999999999996</v>
      </c>
      <c r="G3225" t="s">
        <v>75</v>
      </c>
      <c r="H3225">
        <v>9066.5</v>
      </c>
      <c r="I3225" t="s">
        <v>76</v>
      </c>
      <c r="J3225" t="s">
        <v>77</v>
      </c>
    </row>
    <row r="3226" spans="1:11" x14ac:dyDescent="0.3">
      <c r="A3226" t="s">
        <v>72</v>
      </c>
      <c r="B3226">
        <v>1</v>
      </c>
      <c r="C3226" t="s">
        <v>80</v>
      </c>
      <c r="D3226">
        <v>9.0676000000000003E-3</v>
      </c>
      <c r="E3226" t="s">
        <v>74</v>
      </c>
      <c r="F3226">
        <v>9.0676000000000005</v>
      </c>
      <c r="G3226" t="s">
        <v>75</v>
      </c>
      <c r="H3226">
        <v>9067.6</v>
      </c>
      <c r="I3226" t="s">
        <v>76</v>
      </c>
      <c r="J3226" t="s">
        <v>77</v>
      </c>
    </row>
    <row r="3227" spans="1:11" x14ac:dyDescent="0.3">
      <c r="A3227" t="s">
        <v>72</v>
      </c>
      <c r="B3227">
        <v>1</v>
      </c>
      <c r="C3227" t="s">
        <v>81</v>
      </c>
      <c r="D3227">
        <v>0.29400429</v>
      </c>
      <c r="E3227" t="s">
        <v>74</v>
      </c>
      <c r="F3227">
        <v>294.00429000000003</v>
      </c>
      <c r="G3227" t="s">
        <v>75</v>
      </c>
      <c r="H3227">
        <v>294004.29100000003</v>
      </c>
      <c r="I3227" t="s">
        <v>76</v>
      </c>
      <c r="J3227" t="s">
        <v>82</v>
      </c>
      <c r="K3227">
        <v>3.4013108999999999</v>
      </c>
    </row>
    <row r="3228" spans="1:11" x14ac:dyDescent="0.3">
      <c r="A3228" t="s">
        <v>83</v>
      </c>
      <c r="B3228">
        <v>1000</v>
      </c>
      <c r="C3228" t="s">
        <v>79</v>
      </c>
      <c r="D3228">
        <v>5.5991000000000005E-4</v>
      </c>
      <c r="E3228" t="s">
        <v>74</v>
      </c>
      <c r="F3228">
        <v>0.55991000000000002</v>
      </c>
      <c r="G3228" t="s">
        <v>75</v>
      </c>
      <c r="H3228">
        <v>559.91300000000001</v>
      </c>
      <c r="I3228" t="s">
        <v>76</v>
      </c>
      <c r="J3228" t="s">
        <v>77</v>
      </c>
    </row>
    <row r="3229" spans="1:11" x14ac:dyDescent="0.3">
      <c r="A3229" t="s">
        <v>83</v>
      </c>
      <c r="B3229">
        <v>1000</v>
      </c>
      <c r="C3229" t="s">
        <v>94</v>
      </c>
      <c r="D3229">
        <v>2.5864899999999999E-3</v>
      </c>
      <c r="E3229" t="s">
        <v>74</v>
      </c>
      <c r="F3229">
        <v>2.58649</v>
      </c>
      <c r="G3229" t="s">
        <v>75</v>
      </c>
      <c r="H3229">
        <v>2586.4949999999999</v>
      </c>
      <c r="I3229" t="s">
        <v>76</v>
      </c>
      <c r="J3229" t="s">
        <v>77</v>
      </c>
    </row>
    <row r="3230" spans="1:11" x14ac:dyDescent="0.3">
      <c r="A3230" t="s">
        <v>83</v>
      </c>
      <c r="B3230">
        <v>1000</v>
      </c>
      <c r="C3230" t="s">
        <v>80</v>
      </c>
      <c r="D3230">
        <v>2.7672999999999999E-3</v>
      </c>
      <c r="E3230" t="s">
        <v>74</v>
      </c>
      <c r="F3230">
        <v>2.7673000000000001</v>
      </c>
      <c r="G3230" t="s">
        <v>75</v>
      </c>
      <c r="H3230">
        <v>2767.3049999999998</v>
      </c>
      <c r="I3230" t="s">
        <v>76</v>
      </c>
      <c r="J3230" t="s">
        <v>77</v>
      </c>
    </row>
    <row r="3231" spans="1:11" x14ac:dyDescent="0.3">
      <c r="A3231" t="s">
        <v>83</v>
      </c>
      <c r="B3231">
        <v>1000</v>
      </c>
      <c r="C3231" t="s">
        <v>81</v>
      </c>
      <c r="D3231">
        <v>3.3282799999999999E-3</v>
      </c>
      <c r="E3231" t="s">
        <v>74</v>
      </c>
      <c r="F3231">
        <v>3.3282799999999999</v>
      </c>
      <c r="G3231" t="s">
        <v>75</v>
      </c>
      <c r="H3231">
        <v>3328.2779999999998</v>
      </c>
      <c r="I3231" t="s">
        <v>76</v>
      </c>
      <c r="J3231" t="s">
        <v>82</v>
      </c>
      <c r="K3231">
        <v>300.4556437</v>
      </c>
    </row>
    <row r="3232" spans="1:11" x14ac:dyDescent="0.3">
      <c r="A3232" t="s">
        <v>84</v>
      </c>
      <c r="B3232">
        <v>1001</v>
      </c>
      <c r="C3232" t="s">
        <v>79</v>
      </c>
      <c r="D3232">
        <v>8.4400000000000002E-4</v>
      </c>
      <c r="E3232" t="s">
        <v>74</v>
      </c>
      <c r="F3232">
        <v>0.84399999999999997</v>
      </c>
      <c r="G3232" t="s">
        <v>75</v>
      </c>
      <c r="H3232">
        <v>844.00300000000004</v>
      </c>
      <c r="I3232" t="s">
        <v>76</v>
      </c>
      <c r="J3232" t="s">
        <v>77</v>
      </c>
    </row>
    <row r="3233" spans="1:11" x14ac:dyDescent="0.3">
      <c r="A3233" t="s">
        <v>84</v>
      </c>
      <c r="B3233">
        <v>1001</v>
      </c>
      <c r="C3233" t="s">
        <v>94</v>
      </c>
      <c r="D3233">
        <v>2.59297E-3</v>
      </c>
      <c r="E3233" t="s">
        <v>74</v>
      </c>
      <c r="F3233">
        <v>2.5929700000000002</v>
      </c>
      <c r="G3233" t="s">
        <v>75</v>
      </c>
      <c r="H3233">
        <v>2592.9679999999998</v>
      </c>
      <c r="I3233" t="s">
        <v>76</v>
      </c>
      <c r="J3233" t="s">
        <v>77</v>
      </c>
    </row>
    <row r="3234" spans="1:11" x14ac:dyDescent="0.3">
      <c r="A3234" t="s">
        <v>84</v>
      </c>
      <c r="B3234">
        <v>1001</v>
      </c>
      <c r="C3234" t="s">
        <v>80</v>
      </c>
      <c r="D3234">
        <v>2.7736000000000002E-3</v>
      </c>
      <c r="E3234" t="s">
        <v>74</v>
      </c>
      <c r="F3234">
        <v>2.7736000000000001</v>
      </c>
      <c r="G3234" t="s">
        <v>75</v>
      </c>
      <c r="H3234">
        <v>2773.5990000000002</v>
      </c>
      <c r="I3234" t="s">
        <v>76</v>
      </c>
      <c r="J3234" t="s">
        <v>77</v>
      </c>
    </row>
    <row r="3235" spans="1:11" x14ac:dyDescent="0.3">
      <c r="A3235" t="s">
        <v>84</v>
      </c>
      <c r="B3235">
        <v>1001</v>
      </c>
      <c r="C3235" t="s">
        <v>81</v>
      </c>
      <c r="D3235">
        <v>3.6186600000000001E-3</v>
      </c>
      <c r="E3235" t="s">
        <v>74</v>
      </c>
      <c r="F3235">
        <v>3.6186600000000002</v>
      </c>
      <c r="G3235" t="s">
        <v>75</v>
      </c>
      <c r="H3235">
        <v>3618.6640000000002</v>
      </c>
      <c r="I3235" t="s">
        <v>76</v>
      </c>
      <c r="J3235" t="s">
        <v>82</v>
      </c>
      <c r="K3235">
        <v>276.34505780000001</v>
      </c>
    </row>
    <row r="3236" spans="1:11" x14ac:dyDescent="0.3">
      <c r="A3236" t="s">
        <v>85</v>
      </c>
      <c r="B3236">
        <v>1001</v>
      </c>
      <c r="C3236" t="s">
        <v>86</v>
      </c>
      <c r="D3236">
        <v>3.6188700000000002E-3</v>
      </c>
      <c r="E3236" t="s">
        <v>74</v>
      </c>
      <c r="F3236">
        <v>3.6188699999999998</v>
      </c>
      <c r="G3236" t="s">
        <v>75</v>
      </c>
      <c r="H3236">
        <v>3618.8739999999998</v>
      </c>
      <c r="I3236" t="s">
        <v>76</v>
      </c>
      <c r="J3236" t="s">
        <v>82</v>
      </c>
      <c r="K3236">
        <v>276.32905240000002</v>
      </c>
    </row>
    <row r="3237" spans="1:11" x14ac:dyDescent="0.3">
      <c r="A3237" t="s">
        <v>180</v>
      </c>
    </row>
    <row r="3238" spans="1:11" x14ac:dyDescent="0.3">
      <c r="A3238" t="s">
        <v>181</v>
      </c>
    </row>
    <row r="3239" spans="1:11" x14ac:dyDescent="0.3">
      <c r="A3239" t="s">
        <v>72</v>
      </c>
      <c r="B3239">
        <v>1</v>
      </c>
      <c r="C3239" t="s">
        <v>73</v>
      </c>
      <c r="D3239">
        <v>3.7000000000000002E-6</v>
      </c>
      <c r="E3239" t="s">
        <v>74</v>
      </c>
      <c r="F3239">
        <v>3.7000000000000002E-3</v>
      </c>
      <c r="G3239" t="s">
        <v>75</v>
      </c>
      <c r="H3239">
        <v>3.7</v>
      </c>
      <c r="I3239" t="s">
        <v>76</v>
      </c>
      <c r="J3239" t="s">
        <v>77</v>
      </c>
    </row>
    <row r="3240" spans="1:11" x14ac:dyDescent="0.3">
      <c r="A3240" t="s">
        <v>72</v>
      </c>
      <c r="B3240">
        <v>1</v>
      </c>
      <c r="C3240" t="s">
        <v>78</v>
      </c>
      <c r="D3240">
        <v>3.6000000000000001E-5</v>
      </c>
      <c r="E3240" t="s">
        <v>74</v>
      </c>
      <c r="F3240">
        <v>3.5999999999999997E-2</v>
      </c>
      <c r="G3240" t="s">
        <v>75</v>
      </c>
      <c r="H3240">
        <v>36</v>
      </c>
      <c r="I3240" t="s">
        <v>76</v>
      </c>
      <c r="J3240" t="s">
        <v>77</v>
      </c>
    </row>
    <row r="3241" spans="1:11" x14ac:dyDescent="0.3">
      <c r="A3241" t="s">
        <v>72</v>
      </c>
      <c r="B3241">
        <v>1</v>
      </c>
      <c r="C3241" t="s">
        <v>79</v>
      </c>
      <c r="D3241">
        <v>4.1158999999999996E-3</v>
      </c>
      <c r="E3241" t="s">
        <v>74</v>
      </c>
      <c r="F3241">
        <v>4.1158999999999999</v>
      </c>
      <c r="G3241" t="s">
        <v>75</v>
      </c>
      <c r="H3241">
        <v>4115.8999999999996</v>
      </c>
      <c r="I3241" t="s">
        <v>76</v>
      </c>
      <c r="J3241" t="s">
        <v>77</v>
      </c>
    </row>
    <row r="3242" spans="1:11" x14ac:dyDescent="0.3">
      <c r="A3242" t="s">
        <v>72</v>
      </c>
      <c r="B3242">
        <v>1</v>
      </c>
      <c r="C3242" t="s">
        <v>94</v>
      </c>
      <c r="D3242">
        <v>2.6334000000000002E-3</v>
      </c>
      <c r="E3242" t="s">
        <v>74</v>
      </c>
      <c r="F3242">
        <v>2.6334</v>
      </c>
      <c r="G3242" t="s">
        <v>75</v>
      </c>
      <c r="H3242">
        <v>2633.4</v>
      </c>
      <c r="I3242" t="s">
        <v>76</v>
      </c>
      <c r="J3242" t="s">
        <v>77</v>
      </c>
    </row>
    <row r="3243" spans="1:11" x14ac:dyDescent="0.3">
      <c r="A3243" t="s">
        <v>72</v>
      </c>
      <c r="B3243">
        <v>1</v>
      </c>
      <c r="C3243" t="s">
        <v>80</v>
      </c>
      <c r="D3243">
        <v>2.8546999999999999E-3</v>
      </c>
      <c r="E3243" t="s">
        <v>74</v>
      </c>
      <c r="F3243">
        <v>2.8546999999999998</v>
      </c>
      <c r="G3243" t="s">
        <v>75</v>
      </c>
      <c r="H3243">
        <v>2854.7</v>
      </c>
      <c r="I3243" t="s">
        <v>76</v>
      </c>
      <c r="J3243" t="s">
        <v>77</v>
      </c>
    </row>
    <row r="3244" spans="1:11" x14ac:dyDescent="0.3">
      <c r="A3244" t="s">
        <v>72</v>
      </c>
      <c r="B3244">
        <v>1</v>
      </c>
      <c r="C3244" t="s">
        <v>81</v>
      </c>
      <c r="D3244">
        <v>6.9715000000000003E-3</v>
      </c>
      <c r="E3244" t="s">
        <v>74</v>
      </c>
      <c r="F3244">
        <v>6.9714999999999998</v>
      </c>
      <c r="G3244" t="s">
        <v>75</v>
      </c>
      <c r="H3244">
        <v>6971.5</v>
      </c>
      <c r="I3244" t="s">
        <v>76</v>
      </c>
      <c r="J3244" t="s">
        <v>82</v>
      </c>
      <c r="K3244">
        <v>143.4411557</v>
      </c>
    </row>
    <row r="3245" spans="1:11" x14ac:dyDescent="0.3">
      <c r="A3245" t="s">
        <v>83</v>
      </c>
      <c r="B3245">
        <v>1000</v>
      </c>
      <c r="C3245" t="s">
        <v>79</v>
      </c>
      <c r="D3245">
        <v>8.1484999999999999E-4</v>
      </c>
      <c r="E3245" t="s">
        <v>74</v>
      </c>
      <c r="F3245">
        <v>0.81484999999999996</v>
      </c>
      <c r="G3245" t="s">
        <v>75</v>
      </c>
      <c r="H3245">
        <v>814.85</v>
      </c>
      <c r="I3245" t="s">
        <v>76</v>
      </c>
      <c r="J3245" t="s">
        <v>77</v>
      </c>
    </row>
    <row r="3246" spans="1:11" x14ac:dyDescent="0.3">
      <c r="A3246" t="s">
        <v>83</v>
      </c>
      <c r="B3246">
        <v>1000</v>
      </c>
      <c r="C3246" t="s">
        <v>94</v>
      </c>
      <c r="D3246">
        <v>2.6096800000000001E-3</v>
      </c>
      <c r="E3246" t="s">
        <v>74</v>
      </c>
      <c r="F3246">
        <v>2.60968</v>
      </c>
      <c r="G3246" t="s">
        <v>75</v>
      </c>
      <c r="H3246">
        <v>2609.6770000000001</v>
      </c>
      <c r="I3246" t="s">
        <v>76</v>
      </c>
      <c r="J3246" t="s">
        <v>77</v>
      </c>
    </row>
    <row r="3247" spans="1:11" x14ac:dyDescent="0.3">
      <c r="A3247" t="s">
        <v>83</v>
      </c>
      <c r="B3247">
        <v>1000</v>
      </c>
      <c r="C3247" t="s">
        <v>80</v>
      </c>
      <c r="D3247">
        <v>2.8021000000000001E-3</v>
      </c>
      <c r="E3247" t="s">
        <v>74</v>
      </c>
      <c r="F3247">
        <v>2.8020999999999998</v>
      </c>
      <c r="G3247" t="s">
        <v>75</v>
      </c>
      <c r="H3247">
        <v>2802.0970000000002</v>
      </c>
      <c r="I3247" t="s">
        <v>76</v>
      </c>
      <c r="J3247" t="s">
        <v>77</v>
      </c>
    </row>
    <row r="3248" spans="1:11" x14ac:dyDescent="0.3">
      <c r="A3248" t="s">
        <v>83</v>
      </c>
      <c r="B3248">
        <v>1000</v>
      </c>
      <c r="C3248" t="s">
        <v>81</v>
      </c>
      <c r="D3248">
        <v>3.6180000000000001E-3</v>
      </c>
      <c r="E3248" t="s">
        <v>74</v>
      </c>
      <c r="F3248">
        <v>3.6179999999999999</v>
      </c>
      <c r="G3248" t="s">
        <v>75</v>
      </c>
      <c r="H3248">
        <v>3618.0039999999999</v>
      </c>
      <c r="I3248" t="s">
        <v>76</v>
      </c>
      <c r="J3248" t="s">
        <v>82</v>
      </c>
      <c r="K3248">
        <v>276.39552320000001</v>
      </c>
    </row>
    <row r="3249" spans="1:11" x14ac:dyDescent="0.3">
      <c r="A3249" t="s">
        <v>84</v>
      </c>
      <c r="B3249">
        <v>1001</v>
      </c>
      <c r="C3249" t="s">
        <v>79</v>
      </c>
      <c r="D3249">
        <v>8.1815000000000002E-4</v>
      </c>
      <c r="E3249" t="s">
        <v>74</v>
      </c>
      <c r="F3249">
        <v>0.81815000000000004</v>
      </c>
      <c r="G3249" t="s">
        <v>75</v>
      </c>
      <c r="H3249">
        <v>818.14700000000005</v>
      </c>
      <c r="I3249" t="s">
        <v>76</v>
      </c>
      <c r="J3249" t="s">
        <v>77</v>
      </c>
    </row>
    <row r="3250" spans="1:11" x14ac:dyDescent="0.3">
      <c r="A3250" t="s">
        <v>84</v>
      </c>
      <c r="B3250">
        <v>1001</v>
      </c>
      <c r="C3250" t="s">
        <v>94</v>
      </c>
      <c r="D3250">
        <v>2.6097E-3</v>
      </c>
      <c r="E3250" t="s">
        <v>74</v>
      </c>
      <c r="F3250">
        <v>2.6097000000000001</v>
      </c>
      <c r="G3250" t="s">
        <v>75</v>
      </c>
      <c r="H3250">
        <v>2609.6999999999998</v>
      </c>
      <c r="I3250" t="s">
        <v>76</v>
      </c>
      <c r="J3250" t="s">
        <v>77</v>
      </c>
    </row>
    <row r="3251" spans="1:11" x14ac:dyDescent="0.3">
      <c r="A3251" t="s">
        <v>84</v>
      </c>
      <c r="B3251">
        <v>1001</v>
      </c>
      <c r="C3251" t="s">
        <v>80</v>
      </c>
      <c r="D3251">
        <v>2.8021500000000002E-3</v>
      </c>
      <c r="E3251" t="s">
        <v>74</v>
      </c>
      <c r="F3251">
        <v>2.8021500000000001</v>
      </c>
      <c r="G3251" t="s">
        <v>75</v>
      </c>
      <c r="H3251">
        <v>2802.15</v>
      </c>
      <c r="I3251" t="s">
        <v>76</v>
      </c>
      <c r="J3251" t="s">
        <v>77</v>
      </c>
    </row>
    <row r="3252" spans="1:11" x14ac:dyDescent="0.3">
      <c r="A3252" t="s">
        <v>84</v>
      </c>
      <c r="B3252">
        <v>1001</v>
      </c>
      <c r="C3252" t="s">
        <v>81</v>
      </c>
      <c r="D3252">
        <v>3.6213500000000002E-3</v>
      </c>
      <c r="E3252" t="s">
        <v>74</v>
      </c>
      <c r="F3252">
        <v>3.6213500000000001</v>
      </c>
      <c r="G3252" t="s">
        <v>75</v>
      </c>
      <c r="H3252">
        <v>3621.3530000000001</v>
      </c>
      <c r="I3252" t="s">
        <v>76</v>
      </c>
      <c r="J3252" t="s">
        <v>82</v>
      </c>
      <c r="K3252">
        <v>276.1398562</v>
      </c>
    </row>
    <row r="3253" spans="1:11" x14ac:dyDescent="0.3">
      <c r="A3253" t="s">
        <v>85</v>
      </c>
      <c r="B3253">
        <v>1001</v>
      </c>
      <c r="C3253" t="s">
        <v>86</v>
      </c>
      <c r="D3253">
        <v>3.6215599999999998E-3</v>
      </c>
      <c r="E3253" t="s">
        <v>74</v>
      </c>
      <c r="F3253">
        <v>3.6215600000000001</v>
      </c>
      <c r="G3253" t="s">
        <v>75</v>
      </c>
      <c r="H3253">
        <v>3621.5619999999999</v>
      </c>
      <c r="I3253" t="s">
        <v>76</v>
      </c>
      <c r="J3253" t="s">
        <v>82</v>
      </c>
      <c r="K3253">
        <v>276.12396530000001</v>
      </c>
    </row>
    <row r="3254" spans="1:11" x14ac:dyDescent="0.3">
      <c r="A3254" t="s">
        <v>115</v>
      </c>
    </row>
    <row r="3255" spans="1:11" x14ac:dyDescent="0.3">
      <c r="A3255" t="s">
        <v>127</v>
      </c>
    </row>
    <row r="3256" spans="1:11" x14ac:dyDescent="0.3">
      <c r="A3256" t="s">
        <v>87</v>
      </c>
    </row>
    <row r="3257" spans="1:11" x14ac:dyDescent="0.3">
      <c r="A3257" t="s">
        <v>182</v>
      </c>
    </row>
    <row r="3258" spans="1:11" x14ac:dyDescent="0.3">
      <c r="A3258" t="s">
        <v>72</v>
      </c>
      <c r="B3258">
        <v>1</v>
      </c>
      <c r="C3258" t="s">
        <v>81</v>
      </c>
      <c r="D3258">
        <v>0.29400429</v>
      </c>
      <c r="E3258" t="s">
        <v>74</v>
      </c>
      <c r="F3258">
        <v>294.00429000000003</v>
      </c>
      <c r="G3258" t="s">
        <v>75</v>
      </c>
      <c r="H3258">
        <v>294004.29100000003</v>
      </c>
      <c r="I3258" t="s">
        <v>76</v>
      </c>
      <c r="J3258" t="s">
        <v>82</v>
      </c>
      <c r="K3258">
        <v>3.4013108999999999</v>
      </c>
    </row>
    <row r="3259" spans="1:11" x14ac:dyDescent="0.3">
      <c r="A3259" t="s">
        <v>83</v>
      </c>
      <c r="B3259">
        <v>1000</v>
      </c>
      <c r="C3259" t="s">
        <v>81</v>
      </c>
      <c r="D3259">
        <v>3.3282799999999999E-3</v>
      </c>
      <c r="E3259" t="s">
        <v>74</v>
      </c>
      <c r="F3259">
        <v>3.3282799999999999</v>
      </c>
      <c r="G3259" t="s">
        <v>75</v>
      </c>
      <c r="H3259">
        <v>3328.2779999999998</v>
      </c>
      <c r="I3259" t="s">
        <v>76</v>
      </c>
      <c r="J3259" t="s">
        <v>82</v>
      </c>
      <c r="K3259">
        <v>300.4556437</v>
      </c>
    </row>
    <row r="3260" spans="1:11" x14ac:dyDescent="0.3">
      <c r="A3260" t="s">
        <v>85</v>
      </c>
      <c r="B3260">
        <v>1001</v>
      </c>
      <c r="C3260" t="s">
        <v>86</v>
      </c>
      <c r="D3260">
        <v>3.6188700000000002E-3</v>
      </c>
      <c r="E3260" t="s">
        <v>74</v>
      </c>
      <c r="F3260">
        <v>3.6188699999999998</v>
      </c>
      <c r="G3260" t="s">
        <v>75</v>
      </c>
      <c r="H3260">
        <v>3618.8739999999998</v>
      </c>
      <c r="I3260" t="s">
        <v>76</v>
      </c>
      <c r="J3260" t="s">
        <v>82</v>
      </c>
      <c r="K3260">
        <v>276.32905240000002</v>
      </c>
    </row>
    <row r="3262" spans="1:11" x14ac:dyDescent="0.3">
      <c r="A3262" t="s">
        <v>183</v>
      </c>
    </row>
    <row r="3263" spans="1:11" x14ac:dyDescent="0.3">
      <c r="A3263" t="s">
        <v>72</v>
      </c>
      <c r="B3263">
        <v>1</v>
      </c>
      <c r="C3263" t="s">
        <v>81</v>
      </c>
      <c r="D3263">
        <v>6.9715000000000003E-3</v>
      </c>
      <c r="E3263" t="s">
        <v>74</v>
      </c>
      <c r="F3263">
        <v>6.9714999999999998</v>
      </c>
      <c r="G3263" t="s">
        <v>75</v>
      </c>
      <c r="H3263">
        <v>6971.5</v>
      </c>
      <c r="I3263" t="s">
        <v>76</v>
      </c>
      <c r="J3263" t="s">
        <v>82</v>
      </c>
      <c r="K3263">
        <v>143.4411557</v>
      </c>
    </row>
    <row r="3264" spans="1:11" x14ac:dyDescent="0.3">
      <c r="A3264" t="s">
        <v>83</v>
      </c>
      <c r="B3264">
        <v>1000</v>
      </c>
      <c r="C3264" t="s">
        <v>81</v>
      </c>
      <c r="D3264">
        <v>3.6180000000000001E-3</v>
      </c>
      <c r="E3264" t="s">
        <v>74</v>
      </c>
      <c r="F3264">
        <v>3.6179999999999999</v>
      </c>
      <c r="G3264" t="s">
        <v>75</v>
      </c>
      <c r="H3264">
        <v>3618.0039999999999</v>
      </c>
      <c r="I3264" t="s">
        <v>76</v>
      </c>
      <c r="J3264" t="s">
        <v>82</v>
      </c>
      <c r="K3264">
        <v>276.39552320000001</v>
      </c>
    </row>
    <row r="3265" spans="1:11" x14ac:dyDescent="0.3">
      <c r="A3265" t="s">
        <v>85</v>
      </c>
      <c r="B3265">
        <v>1001</v>
      </c>
      <c r="C3265" t="s">
        <v>86</v>
      </c>
      <c r="D3265">
        <v>3.6215599999999998E-3</v>
      </c>
      <c r="E3265" t="s">
        <v>74</v>
      </c>
      <c r="F3265">
        <v>3.6215600000000001</v>
      </c>
      <c r="G3265" t="s">
        <v>75</v>
      </c>
      <c r="H3265">
        <v>3621.5619999999999</v>
      </c>
      <c r="I3265" t="s">
        <v>76</v>
      </c>
      <c r="J3265" t="s">
        <v>82</v>
      </c>
      <c r="K3265">
        <v>276.12396530000001</v>
      </c>
    </row>
    <row r="3267" spans="1:11" x14ac:dyDescent="0.3">
      <c r="A3267" t="s">
        <v>66</v>
      </c>
    </row>
    <row r="3269" spans="1:11" x14ac:dyDescent="0.3">
      <c r="A3269" t="s">
        <v>254</v>
      </c>
    </row>
    <row r="3270" spans="1:11" x14ac:dyDescent="0.3">
      <c r="A3270" t="s">
        <v>68</v>
      </c>
    </row>
    <row r="3271" spans="1:11" x14ac:dyDescent="0.3">
      <c r="A3271" t="s">
        <v>69</v>
      </c>
    </row>
    <row r="3272" spans="1:11" x14ac:dyDescent="0.3">
      <c r="A3272" t="s">
        <v>70</v>
      </c>
    </row>
    <row r="3273" spans="1:11" x14ac:dyDescent="0.3">
      <c r="A3273" t="s">
        <v>115</v>
      </c>
    </row>
    <row r="3274" spans="1:11" x14ac:dyDescent="0.3">
      <c r="A3274" t="s">
        <v>116</v>
      </c>
    </row>
    <row r="3275" spans="1:11" x14ac:dyDescent="0.3">
      <c r="A3275" t="s">
        <v>117</v>
      </c>
    </row>
    <row r="3276" spans="1:11" x14ac:dyDescent="0.3">
      <c r="A3276" t="s">
        <v>118</v>
      </c>
    </row>
    <row r="3277" spans="1:11" x14ac:dyDescent="0.3">
      <c r="A3277" t="s">
        <v>119</v>
      </c>
    </row>
    <row r="3278" spans="1:11" x14ac:dyDescent="0.3">
      <c r="A3278" t="s">
        <v>120</v>
      </c>
    </row>
    <row r="3279" spans="1:11" x14ac:dyDescent="0.3">
      <c r="A3279" t="s">
        <v>121</v>
      </c>
    </row>
    <row r="3280" spans="1:11" x14ac:dyDescent="0.3">
      <c r="A3280" t="s">
        <v>122</v>
      </c>
    </row>
    <row r="3281" spans="1:11" x14ac:dyDescent="0.3">
      <c r="A3281" t="s">
        <v>123</v>
      </c>
    </row>
    <row r="3282" spans="1:11" x14ac:dyDescent="0.3">
      <c r="A3282" t="s">
        <v>124</v>
      </c>
    </row>
    <row r="3283" spans="1:11" x14ac:dyDescent="0.3">
      <c r="A3283" t="s">
        <v>125</v>
      </c>
    </row>
    <row r="3284" spans="1:11" x14ac:dyDescent="0.3">
      <c r="A3284" t="s">
        <v>126</v>
      </c>
    </row>
    <row r="3285" spans="1:11" x14ac:dyDescent="0.3">
      <c r="A3285" t="s">
        <v>127</v>
      </c>
    </row>
    <row r="3286" spans="1:11" x14ac:dyDescent="0.3">
      <c r="A3286" t="s">
        <v>185</v>
      </c>
    </row>
    <row r="3287" spans="1:11" x14ac:dyDescent="0.3">
      <c r="A3287" t="s">
        <v>186</v>
      </c>
    </row>
    <row r="3288" spans="1:11" x14ac:dyDescent="0.3">
      <c r="A3288" t="s">
        <v>72</v>
      </c>
      <c r="B3288">
        <v>1</v>
      </c>
      <c r="C3288" t="s">
        <v>73</v>
      </c>
      <c r="D3288">
        <v>5.8000000000000004E-6</v>
      </c>
      <c r="E3288" t="s">
        <v>74</v>
      </c>
      <c r="F3288">
        <v>5.7999999999999996E-3</v>
      </c>
      <c r="G3288" t="s">
        <v>75</v>
      </c>
      <c r="H3288">
        <v>5.8</v>
      </c>
      <c r="I3288" t="s">
        <v>76</v>
      </c>
      <c r="J3288" t="s">
        <v>77</v>
      </c>
    </row>
    <row r="3289" spans="1:11" x14ac:dyDescent="0.3">
      <c r="A3289" t="s">
        <v>72</v>
      </c>
      <c r="B3289">
        <v>1</v>
      </c>
      <c r="C3289" t="s">
        <v>78</v>
      </c>
      <c r="D3289">
        <v>0.15587901000000001</v>
      </c>
      <c r="E3289" t="s">
        <v>74</v>
      </c>
      <c r="F3289">
        <v>155.87900999999999</v>
      </c>
      <c r="G3289" t="s">
        <v>75</v>
      </c>
      <c r="H3289">
        <v>155879.00599999999</v>
      </c>
      <c r="I3289" t="s">
        <v>76</v>
      </c>
      <c r="J3289" t="s">
        <v>77</v>
      </c>
    </row>
    <row r="3290" spans="1:11" x14ac:dyDescent="0.3">
      <c r="A3290" t="s">
        <v>72</v>
      </c>
      <c r="B3290">
        <v>1</v>
      </c>
      <c r="C3290" t="s">
        <v>79</v>
      </c>
      <c r="D3290">
        <v>0.35760208999999998</v>
      </c>
      <c r="E3290" t="s">
        <v>74</v>
      </c>
      <c r="F3290">
        <v>357.60208999999998</v>
      </c>
      <c r="G3290" t="s">
        <v>75</v>
      </c>
      <c r="H3290">
        <v>357602.09</v>
      </c>
      <c r="I3290" t="s">
        <v>76</v>
      </c>
      <c r="J3290" t="s">
        <v>77</v>
      </c>
    </row>
    <row r="3291" spans="1:11" x14ac:dyDescent="0.3">
      <c r="A3291" t="s">
        <v>72</v>
      </c>
      <c r="B3291">
        <v>1</v>
      </c>
      <c r="C3291" t="s">
        <v>94</v>
      </c>
      <c r="D3291">
        <v>9.2981000000000001E-3</v>
      </c>
      <c r="E3291" t="s">
        <v>74</v>
      </c>
      <c r="F3291">
        <v>9.2980999999999998</v>
      </c>
      <c r="G3291" t="s">
        <v>75</v>
      </c>
      <c r="H3291">
        <v>9298.1</v>
      </c>
      <c r="I3291" t="s">
        <v>76</v>
      </c>
      <c r="J3291" t="s">
        <v>77</v>
      </c>
    </row>
    <row r="3292" spans="1:11" x14ac:dyDescent="0.3">
      <c r="A3292" t="s">
        <v>72</v>
      </c>
      <c r="B3292">
        <v>1</v>
      </c>
      <c r="C3292" t="s">
        <v>80</v>
      </c>
      <c r="D3292">
        <v>9.2987999999999994E-3</v>
      </c>
      <c r="E3292" t="s">
        <v>74</v>
      </c>
      <c r="F3292">
        <v>9.2988</v>
      </c>
      <c r="G3292" t="s">
        <v>75</v>
      </c>
      <c r="H3292">
        <v>9298.7999999999993</v>
      </c>
      <c r="I3292" t="s">
        <v>76</v>
      </c>
      <c r="J3292" t="s">
        <v>77</v>
      </c>
    </row>
    <row r="3293" spans="1:11" x14ac:dyDescent="0.3">
      <c r="A3293" t="s">
        <v>72</v>
      </c>
      <c r="B3293">
        <v>1</v>
      </c>
      <c r="C3293" t="s">
        <v>81</v>
      </c>
      <c r="D3293">
        <v>0.36690381</v>
      </c>
      <c r="E3293" t="s">
        <v>74</v>
      </c>
      <c r="F3293">
        <v>366.90381000000002</v>
      </c>
      <c r="G3293" t="s">
        <v>75</v>
      </c>
      <c r="H3293">
        <v>366903.81199999998</v>
      </c>
      <c r="I3293" t="s">
        <v>76</v>
      </c>
      <c r="J3293" t="s">
        <v>82</v>
      </c>
      <c r="K3293">
        <v>2.7255099999999999</v>
      </c>
    </row>
    <row r="3294" spans="1:11" x14ac:dyDescent="0.3">
      <c r="A3294" t="s">
        <v>83</v>
      </c>
      <c r="B3294">
        <v>1000</v>
      </c>
      <c r="C3294" t="s">
        <v>79</v>
      </c>
      <c r="D3294">
        <v>2.5404099999999999E-3</v>
      </c>
      <c r="E3294" t="s">
        <v>74</v>
      </c>
      <c r="F3294">
        <v>2.5404100000000001</v>
      </c>
      <c r="G3294" t="s">
        <v>75</v>
      </c>
      <c r="H3294">
        <v>2540.4059999999999</v>
      </c>
      <c r="I3294" t="s">
        <v>76</v>
      </c>
      <c r="J3294" t="s">
        <v>77</v>
      </c>
    </row>
    <row r="3295" spans="1:11" x14ac:dyDescent="0.3">
      <c r="A3295" t="s">
        <v>83</v>
      </c>
      <c r="B3295">
        <v>1000</v>
      </c>
      <c r="C3295" t="s">
        <v>94</v>
      </c>
      <c r="D3295">
        <v>2.5840899999999998E-3</v>
      </c>
      <c r="E3295" t="s">
        <v>74</v>
      </c>
      <c r="F3295">
        <v>2.5840900000000002</v>
      </c>
      <c r="G3295" t="s">
        <v>75</v>
      </c>
      <c r="H3295">
        <v>2584.0880000000002</v>
      </c>
      <c r="I3295" t="s">
        <v>76</v>
      </c>
      <c r="J3295" t="s">
        <v>77</v>
      </c>
    </row>
    <row r="3296" spans="1:11" x14ac:dyDescent="0.3">
      <c r="A3296" t="s">
        <v>83</v>
      </c>
      <c r="B3296">
        <v>1000</v>
      </c>
      <c r="C3296" t="s">
        <v>80</v>
      </c>
      <c r="D3296">
        <v>2.7633200000000001E-3</v>
      </c>
      <c r="E3296" t="s">
        <v>74</v>
      </c>
      <c r="F3296">
        <v>2.7633200000000002</v>
      </c>
      <c r="G3296" t="s">
        <v>75</v>
      </c>
      <c r="H3296">
        <v>2763.317</v>
      </c>
      <c r="I3296" t="s">
        <v>76</v>
      </c>
      <c r="J3296" t="s">
        <v>77</v>
      </c>
    </row>
    <row r="3297" spans="1:11" x14ac:dyDescent="0.3">
      <c r="A3297" t="s">
        <v>83</v>
      </c>
      <c r="B3297">
        <v>1000</v>
      </c>
      <c r="C3297" t="s">
        <v>81</v>
      </c>
      <c r="D3297">
        <v>5.3046500000000002E-3</v>
      </c>
      <c r="E3297" t="s">
        <v>74</v>
      </c>
      <c r="F3297">
        <v>5.3046499999999996</v>
      </c>
      <c r="G3297" t="s">
        <v>75</v>
      </c>
      <c r="H3297">
        <v>5304.6490000000003</v>
      </c>
      <c r="I3297" t="s">
        <v>76</v>
      </c>
      <c r="J3297" t="s">
        <v>82</v>
      </c>
      <c r="K3297">
        <v>188.513891</v>
      </c>
    </row>
    <row r="3298" spans="1:11" x14ac:dyDescent="0.3">
      <c r="A3298" t="s">
        <v>84</v>
      </c>
      <c r="B3298">
        <v>1001</v>
      </c>
      <c r="C3298" t="s">
        <v>79</v>
      </c>
      <c r="D3298">
        <v>2.8951099999999998E-3</v>
      </c>
      <c r="E3298" t="s">
        <v>74</v>
      </c>
      <c r="F3298">
        <v>2.8951099999999999</v>
      </c>
      <c r="G3298" t="s">
        <v>75</v>
      </c>
      <c r="H3298">
        <v>2895.1129999999998</v>
      </c>
      <c r="I3298" t="s">
        <v>76</v>
      </c>
      <c r="J3298" t="s">
        <v>77</v>
      </c>
    </row>
    <row r="3299" spans="1:11" x14ac:dyDescent="0.3">
      <c r="A3299" t="s">
        <v>84</v>
      </c>
      <c r="B3299">
        <v>1001</v>
      </c>
      <c r="C3299" t="s">
        <v>94</v>
      </c>
      <c r="D3299">
        <v>2.5907999999999999E-3</v>
      </c>
      <c r="E3299" t="s">
        <v>74</v>
      </c>
      <c r="F3299">
        <v>2.5908000000000002</v>
      </c>
      <c r="G3299" t="s">
        <v>75</v>
      </c>
      <c r="H3299">
        <v>2590.7950000000001</v>
      </c>
      <c r="I3299" t="s">
        <v>76</v>
      </c>
      <c r="J3299" t="s">
        <v>77</v>
      </c>
    </row>
    <row r="3300" spans="1:11" x14ac:dyDescent="0.3">
      <c r="A3300" t="s">
        <v>84</v>
      </c>
      <c r="B3300">
        <v>1001</v>
      </c>
      <c r="C3300" t="s">
        <v>80</v>
      </c>
      <c r="D3300">
        <v>2.7698499999999999E-3</v>
      </c>
      <c r="E3300" t="s">
        <v>74</v>
      </c>
      <c r="F3300">
        <v>2.7698499999999999</v>
      </c>
      <c r="G3300" t="s">
        <v>75</v>
      </c>
      <c r="H3300">
        <v>2769.846</v>
      </c>
      <c r="I3300" t="s">
        <v>76</v>
      </c>
      <c r="J3300" t="s">
        <v>77</v>
      </c>
    </row>
    <row r="3301" spans="1:11" x14ac:dyDescent="0.3">
      <c r="A3301" t="s">
        <v>84</v>
      </c>
      <c r="B3301">
        <v>1001</v>
      </c>
      <c r="C3301" t="s">
        <v>81</v>
      </c>
      <c r="D3301">
        <v>5.6658899999999998E-3</v>
      </c>
      <c r="E3301" t="s">
        <v>74</v>
      </c>
      <c r="F3301">
        <v>5.6658900000000001</v>
      </c>
      <c r="G3301" t="s">
        <v>75</v>
      </c>
      <c r="H3301">
        <v>5665.89</v>
      </c>
      <c r="I3301" t="s">
        <v>76</v>
      </c>
      <c r="J3301" t="s">
        <v>82</v>
      </c>
      <c r="K3301">
        <v>176.4947899</v>
      </c>
    </row>
    <row r="3302" spans="1:11" x14ac:dyDescent="0.3">
      <c r="A3302" t="s">
        <v>85</v>
      </c>
      <c r="B3302">
        <v>1001</v>
      </c>
      <c r="C3302" t="s">
        <v>86</v>
      </c>
      <c r="D3302">
        <v>5.6660900000000004E-3</v>
      </c>
      <c r="E3302" t="s">
        <v>74</v>
      </c>
      <c r="F3302">
        <v>5.6660899999999996</v>
      </c>
      <c r="G3302" t="s">
        <v>75</v>
      </c>
      <c r="H3302">
        <v>5666.0870000000004</v>
      </c>
      <c r="I3302" t="s">
        <v>76</v>
      </c>
      <c r="J3302" t="s">
        <v>82</v>
      </c>
      <c r="K3302">
        <v>176.488632</v>
      </c>
    </row>
    <row r="3303" spans="1:11" x14ac:dyDescent="0.3">
      <c r="A3303" t="s">
        <v>187</v>
      </c>
    </row>
    <row r="3304" spans="1:11" x14ac:dyDescent="0.3">
      <c r="A3304" t="s">
        <v>188</v>
      </c>
    </row>
    <row r="3305" spans="1:11" x14ac:dyDescent="0.3">
      <c r="A3305" t="s">
        <v>72</v>
      </c>
      <c r="B3305">
        <v>1</v>
      </c>
      <c r="C3305" t="s">
        <v>73</v>
      </c>
      <c r="D3305">
        <v>5.8000000000000004E-6</v>
      </c>
      <c r="E3305" t="s">
        <v>74</v>
      </c>
      <c r="F3305">
        <v>5.7999999999999996E-3</v>
      </c>
      <c r="G3305" t="s">
        <v>75</v>
      </c>
      <c r="H3305">
        <v>5.8</v>
      </c>
      <c r="I3305" t="s">
        <v>76</v>
      </c>
      <c r="J3305" t="s">
        <v>77</v>
      </c>
    </row>
    <row r="3306" spans="1:11" x14ac:dyDescent="0.3">
      <c r="A3306" t="s">
        <v>72</v>
      </c>
      <c r="B3306">
        <v>1</v>
      </c>
      <c r="C3306" t="s">
        <v>78</v>
      </c>
      <c r="D3306">
        <v>5.0599999999999997E-5</v>
      </c>
      <c r="E3306" t="s">
        <v>74</v>
      </c>
      <c r="F3306">
        <v>5.0599999999999999E-2</v>
      </c>
      <c r="G3306" t="s">
        <v>75</v>
      </c>
      <c r="H3306">
        <v>50.6</v>
      </c>
      <c r="I3306" t="s">
        <v>76</v>
      </c>
      <c r="J3306" t="s">
        <v>77</v>
      </c>
    </row>
    <row r="3307" spans="1:11" x14ac:dyDescent="0.3">
      <c r="A3307" t="s">
        <v>72</v>
      </c>
      <c r="B3307">
        <v>1</v>
      </c>
      <c r="C3307" t="s">
        <v>79</v>
      </c>
      <c r="D3307">
        <v>6.2467E-3</v>
      </c>
      <c r="E3307" t="s">
        <v>74</v>
      </c>
      <c r="F3307">
        <v>6.2466999999999997</v>
      </c>
      <c r="G3307" t="s">
        <v>75</v>
      </c>
      <c r="H3307">
        <v>6246.7</v>
      </c>
      <c r="I3307" t="s">
        <v>76</v>
      </c>
      <c r="J3307" t="s">
        <v>77</v>
      </c>
    </row>
    <row r="3308" spans="1:11" x14ac:dyDescent="0.3">
      <c r="A3308" t="s">
        <v>72</v>
      </c>
      <c r="B3308">
        <v>1</v>
      </c>
      <c r="C3308" t="s">
        <v>94</v>
      </c>
      <c r="D3308">
        <v>2.6529000000000001E-3</v>
      </c>
      <c r="E3308" t="s">
        <v>74</v>
      </c>
      <c r="F3308">
        <v>2.6528999999999998</v>
      </c>
      <c r="G3308" t="s">
        <v>75</v>
      </c>
      <c r="H3308">
        <v>2652.9</v>
      </c>
      <c r="I3308" t="s">
        <v>76</v>
      </c>
      <c r="J3308" t="s">
        <v>77</v>
      </c>
    </row>
    <row r="3309" spans="1:11" x14ac:dyDescent="0.3">
      <c r="A3309" t="s">
        <v>72</v>
      </c>
      <c r="B3309">
        <v>1</v>
      </c>
      <c r="C3309" t="s">
        <v>80</v>
      </c>
      <c r="D3309">
        <v>2.8671999999999999E-3</v>
      </c>
      <c r="E3309" t="s">
        <v>74</v>
      </c>
      <c r="F3309">
        <v>2.8672</v>
      </c>
      <c r="G3309" t="s">
        <v>75</v>
      </c>
      <c r="H3309">
        <v>2867.2</v>
      </c>
      <c r="I3309" t="s">
        <v>76</v>
      </c>
      <c r="J3309" t="s">
        <v>77</v>
      </c>
    </row>
    <row r="3310" spans="1:11" x14ac:dyDescent="0.3">
      <c r="A3310" t="s">
        <v>72</v>
      </c>
      <c r="B3310">
        <v>1</v>
      </c>
      <c r="C3310" t="s">
        <v>81</v>
      </c>
      <c r="D3310">
        <v>9.1149999999999998E-3</v>
      </c>
      <c r="E3310" t="s">
        <v>74</v>
      </c>
      <c r="F3310">
        <v>9.1150000000000002</v>
      </c>
      <c r="G3310" t="s">
        <v>75</v>
      </c>
      <c r="H3310">
        <v>9115</v>
      </c>
      <c r="I3310" t="s">
        <v>76</v>
      </c>
      <c r="J3310" t="s">
        <v>82</v>
      </c>
      <c r="K3310">
        <v>109.7092674</v>
      </c>
    </row>
    <row r="3311" spans="1:11" x14ac:dyDescent="0.3">
      <c r="A3311" t="s">
        <v>83</v>
      </c>
      <c r="B3311">
        <v>1000</v>
      </c>
      <c r="C3311" t="s">
        <v>79</v>
      </c>
      <c r="D3311">
        <v>2.56011E-3</v>
      </c>
      <c r="E3311" t="s">
        <v>74</v>
      </c>
      <c r="F3311">
        <v>2.5601099999999999</v>
      </c>
      <c r="G3311" t="s">
        <v>75</v>
      </c>
      <c r="H3311">
        <v>2560.107</v>
      </c>
      <c r="I3311" t="s">
        <v>76</v>
      </c>
      <c r="J3311" t="s">
        <v>77</v>
      </c>
    </row>
    <row r="3312" spans="1:11" x14ac:dyDescent="0.3">
      <c r="A3312" t="s">
        <v>83</v>
      </c>
      <c r="B3312">
        <v>1000</v>
      </c>
      <c r="C3312" t="s">
        <v>94</v>
      </c>
      <c r="D3312">
        <v>2.61232E-3</v>
      </c>
      <c r="E3312" t="s">
        <v>74</v>
      </c>
      <c r="F3312">
        <v>2.61232</v>
      </c>
      <c r="G3312" t="s">
        <v>75</v>
      </c>
      <c r="H3312">
        <v>2612.3159999999998</v>
      </c>
      <c r="I3312" t="s">
        <v>76</v>
      </c>
      <c r="J3312" t="s">
        <v>77</v>
      </c>
    </row>
    <row r="3313" spans="1:11" x14ac:dyDescent="0.3">
      <c r="A3313" t="s">
        <v>83</v>
      </c>
      <c r="B3313">
        <v>1000</v>
      </c>
      <c r="C3313" t="s">
        <v>80</v>
      </c>
      <c r="D3313">
        <v>2.7983299999999999E-3</v>
      </c>
      <c r="E3313" t="s">
        <v>74</v>
      </c>
      <c r="F3313">
        <v>2.79833</v>
      </c>
      <c r="G3313" t="s">
        <v>75</v>
      </c>
      <c r="H3313">
        <v>2798.3290000000002</v>
      </c>
      <c r="I3313" t="s">
        <v>76</v>
      </c>
      <c r="J3313" t="s">
        <v>77</v>
      </c>
    </row>
    <row r="3314" spans="1:11" x14ac:dyDescent="0.3">
      <c r="A3314" t="s">
        <v>83</v>
      </c>
      <c r="B3314">
        <v>1000</v>
      </c>
      <c r="C3314" t="s">
        <v>81</v>
      </c>
      <c r="D3314">
        <v>5.3596299999999998E-3</v>
      </c>
      <c r="E3314" t="s">
        <v>74</v>
      </c>
      <c r="F3314">
        <v>5.3596300000000001</v>
      </c>
      <c r="G3314" t="s">
        <v>75</v>
      </c>
      <c r="H3314">
        <v>5359.6329999999998</v>
      </c>
      <c r="I3314" t="s">
        <v>76</v>
      </c>
      <c r="J3314" t="s">
        <v>82</v>
      </c>
      <c r="K3314">
        <v>186.57992379999999</v>
      </c>
    </row>
    <row r="3315" spans="1:11" x14ac:dyDescent="0.3">
      <c r="A3315" t="s">
        <v>84</v>
      </c>
      <c r="B3315">
        <v>1001</v>
      </c>
      <c r="C3315" t="s">
        <v>79</v>
      </c>
      <c r="D3315">
        <v>2.5637899999999998E-3</v>
      </c>
      <c r="E3315" t="s">
        <v>74</v>
      </c>
      <c r="F3315">
        <v>2.56379</v>
      </c>
      <c r="G3315" t="s">
        <v>75</v>
      </c>
      <c r="H3315">
        <v>2563.79</v>
      </c>
      <c r="I3315" t="s">
        <v>76</v>
      </c>
      <c r="J3315" t="s">
        <v>77</v>
      </c>
    </row>
    <row r="3316" spans="1:11" x14ac:dyDescent="0.3">
      <c r="A3316" t="s">
        <v>84</v>
      </c>
      <c r="B3316">
        <v>1001</v>
      </c>
      <c r="C3316" t="s">
        <v>94</v>
      </c>
      <c r="D3316">
        <v>2.6123600000000002E-3</v>
      </c>
      <c r="E3316" t="s">
        <v>74</v>
      </c>
      <c r="F3316">
        <v>2.6123599999999998</v>
      </c>
      <c r="G3316" t="s">
        <v>75</v>
      </c>
      <c r="H3316">
        <v>2612.3560000000002</v>
      </c>
      <c r="I3316" t="s">
        <v>76</v>
      </c>
      <c r="J3316" t="s">
        <v>77</v>
      </c>
    </row>
    <row r="3317" spans="1:11" x14ac:dyDescent="0.3">
      <c r="A3317" t="s">
        <v>84</v>
      </c>
      <c r="B3317">
        <v>1001</v>
      </c>
      <c r="C3317" t="s">
        <v>80</v>
      </c>
      <c r="D3317">
        <v>2.7983999999999999E-3</v>
      </c>
      <c r="E3317" t="s">
        <v>74</v>
      </c>
      <c r="F3317">
        <v>2.7984</v>
      </c>
      <c r="G3317" t="s">
        <v>75</v>
      </c>
      <c r="H3317">
        <v>2798.3980000000001</v>
      </c>
      <c r="I3317" t="s">
        <v>76</v>
      </c>
      <c r="J3317" t="s">
        <v>77</v>
      </c>
    </row>
    <row r="3318" spans="1:11" x14ac:dyDescent="0.3">
      <c r="A3318" t="s">
        <v>84</v>
      </c>
      <c r="B3318">
        <v>1001</v>
      </c>
      <c r="C3318" t="s">
        <v>81</v>
      </c>
      <c r="D3318">
        <v>5.3633800000000001E-3</v>
      </c>
      <c r="E3318" t="s">
        <v>74</v>
      </c>
      <c r="F3318">
        <v>5.3633800000000003</v>
      </c>
      <c r="G3318" t="s">
        <v>75</v>
      </c>
      <c r="H3318">
        <v>5363.3850000000002</v>
      </c>
      <c r="I3318" t="s">
        <v>76</v>
      </c>
      <c r="J3318" t="s">
        <v>82</v>
      </c>
      <c r="K3318">
        <v>186.44942259999999</v>
      </c>
    </row>
    <row r="3319" spans="1:11" x14ac:dyDescent="0.3">
      <c r="A3319" t="s">
        <v>85</v>
      </c>
      <c r="B3319">
        <v>1001</v>
      </c>
      <c r="C3319" t="s">
        <v>86</v>
      </c>
      <c r="D3319">
        <v>5.3635799999999997E-3</v>
      </c>
      <c r="E3319" t="s">
        <v>74</v>
      </c>
      <c r="F3319">
        <v>5.3635799999999998</v>
      </c>
      <c r="G3319" t="s">
        <v>75</v>
      </c>
      <c r="H3319">
        <v>5363.576</v>
      </c>
      <c r="I3319" t="s">
        <v>76</v>
      </c>
      <c r="J3319" t="s">
        <v>82</v>
      </c>
      <c r="K3319">
        <v>186.44276579999999</v>
      </c>
    </row>
    <row r="3320" spans="1:11" x14ac:dyDescent="0.3">
      <c r="A3320" t="s">
        <v>115</v>
      </c>
    </row>
    <row r="3321" spans="1:11" x14ac:dyDescent="0.3">
      <c r="A3321" t="s">
        <v>127</v>
      </c>
    </row>
    <row r="3322" spans="1:11" x14ac:dyDescent="0.3">
      <c r="A3322" t="s">
        <v>87</v>
      </c>
    </row>
    <row r="3323" spans="1:11" x14ac:dyDescent="0.3">
      <c r="A3323" t="s">
        <v>189</v>
      </c>
    </row>
    <row r="3324" spans="1:11" x14ac:dyDescent="0.3">
      <c r="A3324" t="s">
        <v>72</v>
      </c>
      <c r="B3324">
        <v>1</v>
      </c>
      <c r="C3324" t="s">
        <v>81</v>
      </c>
      <c r="D3324">
        <v>0.36690381</v>
      </c>
      <c r="E3324" t="s">
        <v>74</v>
      </c>
      <c r="F3324">
        <v>366.90381000000002</v>
      </c>
      <c r="G3324" t="s">
        <v>75</v>
      </c>
      <c r="H3324">
        <v>366903.81199999998</v>
      </c>
      <c r="I3324" t="s">
        <v>76</v>
      </c>
      <c r="J3324" t="s">
        <v>82</v>
      </c>
      <c r="K3324">
        <v>2.7255099999999999</v>
      </c>
    </row>
    <row r="3325" spans="1:11" x14ac:dyDescent="0.3">
      <c r="A3325" t="s">
        <v>83</v>
      </c>
      <c r="B3325">
        <v>1000</v>
      </c>
      <c r="C3325" t="s">
        <v>81</v>
      </c>
      <c r="D3325">
        <v>5.3046500000000002E-3</v>
      </c>
      <c r="E3325" t="s">
        <v>74</v>
      </c>
      <c r="F3325">
        <v>5.3046499999999996</v>
      </c>
      <c r="G3325" t="s">
        <v>75</v>
      </c>
      <c r="H3325">
        <v>5304.6490000000003</v>
      </c>
      <c r="I3325" t="s">
        <v>76</v>
      </c>
      <c r="J3325" t="s">
        <v>82</v>
      </c>
      <c r="K3325">
        <v>188.513891</v>
      </c>
    </row>
    <row r="3326" spans="1:11" x14ac:dyDescent="0.3">
      <c r="A3326" t="s">
        <v>85</v>
      </c>
      <c r="B3326">
        <v>1001</v>
      </c>
      <c r="C3326" t="s">
        <v>86</v>
      </c>
      <c r="D3326">
        <v>5.6660900000000004E-3</v>
      </c>
      <c r="E3326" t="s">
        <v>74</v>
      </c>
      <c r="F3326">
        <v>5.6660899999999996</v>
      </c>
      <c r="G3326" t="s">
        <v>75</v>
      </c>
      <c r="H3326">
        <v>5666.0870000000004</v>
      </c>
      <c r="I3326" t="s">
        <v>76</v>
      </c>
      <c r="J3326" t="s">
        <v>82</v>
      </c>
      <c r="K3326">
        <v>176.488632</v>
      </c>
    </row>
    <row r="3328" spans="1:11" x14ac:dyDescent="0.3">
      <c r="A3328" t="s">
        <v>190</v>
      </c>
    </row>
    <row r="3329" spans="1:11" x14ac:dyDescent="0.3">
      <c r="A3329" t="s">
        <v>72</v>
      </c>
      <c r="B3329">
        <v>1</v>
      </c>
      <c r="C3329" t="s">
        <v>81</v>
      </c>
      <c r="D3329">
        <v>9.1149999999999998E-3</v>
      </c>
      <c r="E3329" t="s">
        <v>74</v>
      </c>
      <c r="F3329">
        <v>9.1150000000000002</v>
      </c>
      <c r="G3329" t="s">
        <v>75</v>
      </c>
      <c r="H3329">
        <v>9115</v>
      </c>
      <c r="I3329" t="s">
        <v>76</v>
      </c>
      <c r="J3329" t="s">
        <v>82</v>
      </c>
      <c r="K3329">
        <v>109.7092674</v>
      </c>
    </row>
    <row r="3330" spans="1:11" x14ac:dyDescent="0.3">
      <c r="A3330" t="s">
        <v>83</v>
      </c>
      <c r="B3330">
        <v>1000</v>
      </c>
      <c r="C3330" t="s">
        <v>81</v>
      </c>
      <c r="D3330">
        <v>5.3596299999999998E-3</v>
      </c>
      <c r="E3330" t="s">
        <v>74</v>
      </c>
      <c r="F3330">
        <v>5.3596300000000001</v>
      </c>
      <c r="G3330" t="s">
        <v>75</v>
      </c>
      <c r="H3330">
        <v>5359.6329999999998</v>
      </c>
      <c r="I3330" t="s">
        <v>76</v>
      </c>
      <c r="J3330" t="s">
        <v>82</v>
      </c>
      <c r="K3330">
        <v>186.57992379999999</v>
      </c>
    </row>
    <row r="3331" spans="1:11" x14ac:dyDescent="0.3">
      <c r="A3331" t="s">
        <v>85</v>
      </c>
      <c r="B3331">
        <v>1001</v>
      </c>
      <c r="C3331" t="s">
        <v>86</v>
      </c>
      <c r="D3331">
        <v>5.3635799999999997E-3</v>
      </c>
      <c r="E3331" t="s">
        <v>74</v>
      </c>
      <c r="F3331">
        <v>5.3635799999999998</v>
      </c>
      <c r="G3331" t="s">
        <v>75</v>
      </c>
      <c r="H3331">
        <v>5363.576</v>
      </c>
      <c r="I3331" t="s">
        <v>76</v>
      </c>
      <c r="J3331" t="s">
        <v>82</v>
      </c>
      <c r="K3331">
        <v>186.44276579999999</v>
      </c>
    </row>
    <row r="3333" spans="1:11" x14ac:dyDescent="0.3">
      <c r="A3333" t="s">
        <v>66</v>
      </c>
    </row>
    <row r="3335" spans="1:11" x14ac:dyDescent="0.3">
      <c r="A3335" t="s">
        <v>255</v>
      </c>
    </row>
    <row r="3336" spans="1:11" x14ac:dyDescent="0.3">
      <c r="A3336" t="s">
        <v>68</v>
      </c>
    </row>
    <row r="3337" spans="1:11" x14ac:dyDescent="0.3">
      <c r="A3337" t="s">
        <v>69</v>
      </c>
    </row>
    <row r="3338" spans="1:11" x14ac:dyDescent="0.3">
      <c r="A3338" t="s">
        <v>70</v>
      </c>
    </row>
    <row r="3339" spans="1:11" x14ac:dyDescent="0.3">
      <c r="A3339" t="s">
        <v>115</v>
      </c>
    </row>
    <row r="3340" spans="1:11" x14ac:dyDescent="0.3">
      <c r="A3340" t="s">
        <v>116</v>
      </c>
    </row>
    <row r="3341" spans="1:11" x14ac:dyDescent="0.3">
      <c r="A3341" t="s">
        <v>117</v>
      </c>
    </row>
    <row r="3342" spans="1:11" x14ac:dyDescent="0.3">
      <c r="A3342" t="s">
        <v>118</v>
      </c>
    </row>
    <row r="3343" spans="1:11" x14ac:dyDescent="0.3">
      <c r="A3343" t="s">
        <v>119</v>
      </c>
    </row>
    <row r="3344" spans="1:11" x14ac:dyDescent="0.3">
      <c r="A3344" t="s">
        <v>120</v>
      </c>
    </row>
    <row r="3345" spans="1:11" x14ac:dyDescent="0.3">
      <c r="A3345" t="s">
        <v>121</v>
      </c>
    </row>
    <row r="3346" spans="1:11" x14ac:dyDescent="0.3">
      <c r="A3346" t="s">
        <v>122</v>
      </c>
    </row>
    <row r="3347" spans="1:11" x14ac:dyDescent="0.3">
      <c r="A3347" t="s">
        <v>123</v>
      </c>
    </row>
    <row r="3348" spans="1:11" x14ac:dyDescent="0.3">
      <c r="A3348" t="s">
        <v>124</v>
      </c>
    </row>
    <row r="3349" spans="1:11" x14ac:dyDescent="0.3">
      <c r="A3349" t="s">
        <v>125</v>
      </c>
    </row>
    <row r="3350" spans="1:11" x14ac:dyDescent="0.3">
      <c r="A3350" t="s">
        <v>126</v>
      </c>
    </row>
    <row r="3351" spans="1:11" x14ac:dyDescent="0.3">
      <c r="A3351" t="s">
        <v>127</v>
      </c>
    </row>
    <row r="3352" spans="1:11" x14ac:dyDescent="0.3">
      <c r="A3352" t="s">
        <v>192</v>
      </c>
    </row>
    <row r="3353" spans="1:11" x14ac:dyDescent="0.3">
      <c r="A3353" t="s">
        <v>193</v>
      </c>
    </row>
    <row r="3354" spans="1:11" x14ac:dyDescent="0.3">
      <c r="A3354" t="s">
        <v>72</v>
      </c>
      <c r="B3354">
        <v>1</v>
      </c>
      <c r="C3354" t="s">
        <v>73</v>
      </c>
      <c r="D3354">
        <v>3.4000000000000001E-6</v>
      </c>
      <c r="E3354" t="s">
        <v>74</v>
      </c>
      <c r="F3354">
        <v>3.3999999999999998E-3</v>
      </c>
      <c r="G3354" t="s">
        <v>75</v>
      </c>
      <c r="H3354">
        <v>3.4</v>
      </c>
      <c r="I3354" t="s">
        <v>76</v>
      </c>
      <c r="J3354" t="s">
        <v>77</v>
      </c>
    </row>
    <row r="3355" spans="1:11" x14ac:dyDescent="0.3">
      <c r="A3355" t="s">
        <v>72</v>
      </c>
      <c r="B3355">
        <v>1</v>
      </c>
      <c r="C3355" t="s">
        <v>78</v>
      </c>
      <c r="D3355">
        <v>0.13570309999999999</v>
      </c>
      <c r="E3355" t="s">
        <v>74</v>
      </c>
      <c r="F3355">
        <v>135.70310000000001</v>
      </c>
      <c r="G3355" t="s">
        <v>75</v>
      </c>
      <c r="H3355">
        <v>135703.10200000001</v>
      </c>
      <c r="I3355" t="s">
        <v>76</v>
      </c>
      <c r="J3355" t="s">
        <v>77</v>
      </c>
    </row>
    <row r="3356" spans="1:11" x14ac:dyDescent="0.3">
      <c r="A3356" t="s">
        <v>72</v>
      </c>
      <c r="B3356">
        <v>1</v>
      </c>
      <c r="C3356" t="s">
        <v>79</v>
      </c>
      <c r="D3356">
        <v>0.28691959</v>
      </c>
      <c r="E3356" t="s">
        <v>74</v>
      </c>
      <c r="F3356">
        <v>286.91959000000003</v>
      </c>
      <c r="G3356" t="s">
        <v>75</v>
      </c>
      <c r="H3356">
        <v>286919.59399999998</v>
      </c>
      <c r="I3356" t="s">
        <v>76</v>
      </c>
      <c r="J3356" t="s">
        <v>77</v>
      </c>
    </row>
    <row r="3357" spans="1:11" x14ac:dyDescent="0.3">
      <c r="A3357" t="s">
        <v>72</v>
      </c>
      <c r="B3357">
        <v>1</v>
      </c>
      <c r="C3357" t="s">
        <v>94</v>
      </c>
      <c r="D3357">
        <v>9.5294000000000004E-3</v>
      </c>
      <c r="E3357" t="s">
        <v>74</v>
      </c>
      <c r="F3357">
        <v>9.5294000000000008</v>
      </c>
      <c r="G3357" t="s">
        <v>75</v>
      </c>
      <c r="H3357">
        <v>9529.4</v>
      </c>
      <c r="I3357" t="s">
        <v>76</v>
      </c>
      <c r="J3357" t="s">
        <v>77</v>
      </c>
    </row>
    <row r="3358" spans="1:11" x14ac:dyDescent="0.3">
      <c r="A3358" t="s">
        <v>72</v>
      </c>
      <c r="B3358">
        <v>1</v>
      </c>
      <c r="C3358" t="s">
        <v>80</v>
      </c>
      <c r="D3358">
        <v>9.5300000000000003E-3</v>
      </c>
      <c r="E3358" t="s">
        <v>74</v>
      </c>
      <c r="F3358">
        <v>9.5299999999999994</v>
      </c>
      <c r="G3358" t="s">
        <v>75</v>
      </c>
      <c r="H3358">
        <v>9530</v>
      </c>
      <c r="I3358" t="s">
        <v>76</v>
      </c>
      <c r="J3358" t="s">
        <v>77</v>
      </c>
    </row>
    <row r="3359" spans="1:11" x14ac:dyDescent="0.3">
      <c r="A3359" t="s">
        <v>72</v>
      </c>
      <c r="B3359">
        <v>1</v>
      </c>
      <c r="C3359" t="s">
        <v>81</v>
      </c>
      <c r="D3359">
        <v>0.29645210999999999</v>
      </c>
      <c r="E3359" t="s">
        <v>74</v>
      </c>
      <c r="F3359">
        <v>296.45211</v>
      </c>
      <c r="G3359" t="s">
        <v>75</v>
      </c>
      <c r="H3359">
        <v>296452.10499999998</v>
      </c>
      <c r="I3359" t="s">
        <v>76</v>
      </c>
      <c r="J3359" t="s">
        <v>82</v>
      </c>
      <c r="K3359">
        <v>3.3732262</v>
      </c>
    </row>
    <row r="3360" spans="1:11" x14ac:dyDescent="0.3">
      <c r="A3360" t="s">
        <v>83</v>
      </c>
      <c r="B3360">
        <v>1000</v>
      </c>
      <c r="C3360" t="s">
        <v>79</v>
      </c>
      <c r="D3360">
        <v>3.4894100000000001E-3</v>
      </c>
      <c r="E3360" t="s">
        <v>74</v>
      </c>
      <c r="F3360">
        <v>3.4894099999999999</v>
      </c>
      <c r="G3360" t="s">
        <v>75</v>
      </c>
      <c r="H3360">
        <v>3489.4119999999998</v>
      </c>
      <c r="I3360" t="s">
        <v>76</v>
      </c>
      <c r="J3360" t="s">
        <v>77</v>
      </c>
    </row>
    <row r="3361" spans="1:11" x14ac:dyDescent="0.3">
      <c r="A3361" t="s">
        <v>83</v>
      </c>
      <c r="B3361">
        <v>1000</v>
      </c>
      <c r="C3361" t="s">
        <v>94</v>
      </c>
      <c r="D3361">
        <v>2.5914100000000002E-3</v>
      </c>
      <c r="E3361" t="s">
        <v>74</v>
      </c>
      <c r="F3361">
        <v>2.5914100000000002</v>
      </c>
      <c r="G3361" t="s">
        <v>75</v>
      </c>
      <c r="H3361">
        <v>2591.4079999999999</v>
      </c>
      <c r="I3361" t="s">
        <v>76</v>
      </c>
      <c r="J3361" t="s">
        <v>77</v>
      </c>
    </row>
    <row r="3362" spans="1:11" x14ac:dyDescent="0.3">
      <c r="A3362" t="s">
        <v>83</v>
      </c>
      <c r="B3362">
        <v>1000</v>
      </c>
      <c r="C3362" t="s">
        <v>80</v>
      </c>
      <c r="D3362">
        <v>2.7677999999999999E-3</v>
      </c>
      <c r="E3362" t="s">
        <v>74</v>
      </c>
      <c r="F3362">
        <v>2.7677999999999998</v>
      </c>
      <c r="G3362" t="s">
        <v>75</v>
      </c>
      <c r="H3362">
        <v>2767.8009999999999</v>
      </c>
      <c r="I3362" t="s">
        <v>76</v>
      </c>
      <c r="J3362" t="s">
        <v>77</v>
      </c>
    </row>
    <row r="3363" spans="1:11" x14ac:dyDescent="0.3">
      <c r="A3363" t="s">
        <v>83</v>
      </c>
      <c r="B3363">
        <v>1000</v>
      </c>
      <c r="C3363" t="s">
        <v>81</v>
      </c>
      <c r="D3363">
        <v>6.2581800000000003E-3</v>
      </c>
      <c r="E3363" t="s">
        <v>74</v>
      </c>
      <c r="F3363">
        <v>6.2581800000000003</v>
      </c>
      <c r="G3363" t="s">
        <v>75</v>
      </c>
      <c r="H3363">
        <v>6258.18</v>
      </c>
      <c r="I3363" t="s">
        <v>76</v>
      </c>
      <c r="J3363" t="s">
        <v>82</v>
      </c>
      <c r="K3363">
        <v>159.79087430000001</v>
      </c>
    </row>
    <row r="3364" spans="1:11" x14ac:dyDescent="0.3">
      <c r="A3364" t="s">
        <v>84</v>
      </c>
      <c r="B3364">
        <v>1001</v>
      </c>
      <c r="C3364" t="s">
        <v>79</v>
      </c>
      <c r="D3364">
        <v>3.7725599999999999E-3</v>
      </c>
      <c r="E3364" t="s">
        <v>74</v>
      </c>
      <c r="F3364">
        <v>3.7725599999999999</v>
      </c>
      <c r="G3364" t="s">
        <v>75</v>
      </c>
      <c r="H3364">
        <v>3772.5569999999998</v>
      </c>
      <c r="I3364" t="s">
        <v>76</v>
      </c>
      <c r="J3364" t="s">
        <v>77</v>
      </c>
    </row>
    <row r="3365" spans="1:11" x14ac:dyDescent="0.3">
      <c r="A3365" t="s">
        <v>84</v>
      </c>
      <c r="B3365">
        <v>1001</v>
      </c>
      <c r="C3365" t="s">
        <v>94</v>
      </c>
      <c r="D3365">
        <v>2.5983400000000002E-3</v>
      </c>
      <c r="E3365" t="s">
        <v>74</v>
      </c>
      <c r="F3365">
        <v>2.5983399999999999</v>
      </c>
      <c r="G3365" t="s">
        <v>75</v>
      </c>
      <c r="H3365">
        <v>2598.3389999999999</v>
      </c>
      <c r="I3365" t="s">
        <v>76</v>
      </c>
      <c r="J3365" t="s">
        <v>77</v>
      </c>
    </row>
    <row r="3366" spans="1:11" x14ac:dyDescent="0.3">
      <c r="A3366" t="s">
        <v>84</v>
      </c>
      <c r="B3366">
        <v>1001</v>
      </c>
      <c r="C3366" t="s">
        <v>80</v>
      </c>
      <c r="D3366">
        <v>2.7745600000000001E-3</v>
      </c>
      <c r="E3366" t="s">
        <v>74</v>
      </c>
      <c r="F3366">
        <v>2.7745600000000001</v>
      </c>
      <c r="G3366" t="s">
        <v>75</v>
      </c>
      <c r="H3366">
        <v>2774.556</v>
      </c>
      <c r="I3366" t="s">
        <v>76</v>
      </c>
      <c r="J3366" t="s">
        <v>77</v>
      </c>
    </row>
    <row r="3367" spans="1:11" x14ac:dyDescent="0.3">
      <c r="A3367" t="s">
        <v>84</v>
      </c>
      <c r="B3367">
        <v>1001</v>
      </c>
      <c r="C3367" t="s">
        <v>81</v>
      </c>
      <c r="D3367">
        <v>6.5480900000000003E-3</v>
      </c>
      <c r="E3367" t="s">
        <v>74</v>
      </c>
      <c r="F3367">
        <v>6.5480900000000002</v>
      </c>
      <c r="G3367" t="s">
        <v>75</v>
      </c>
      <c r="H3367">
        <v>6548.085</v>
      </c>
      <c r="I3367" t="s">
        <v>76</v>
      </c>
      <c r="J3367" t="s">
        <v>82</v>
      </c>
      <c r="K3367">
        <v>152.71640360000001</v>
      </c>
    </row>
    <row r="3368" spans="1:11" x14ac:dyDescent="0.3">
      <c r="A3368" t="s">
        <v>85</v>
      </c>
      <c r="B3368">
        <v>1001</v>
      </c>
      <c r="C3368" t="s">
        <v>86</v>
      </c>
      <c r="D3368">
        <v>6.5482800000000001E-3</v>
      </c>
      <c r="E3368" t="s">
        <v>74</v>
      </c>
      <c r="F3368">
        <v>6.5482800000000001</v>
      </c>
      <c r="G3368" t="s">
        <v>75</v>
      </c>
      <c r="H3368">
        <v>6548.2809999999999</v>
      </c>
      <c r="I3368" t="s">
        <v>76</v>
      </c>
      <c r="J3368" t="s">
        <v>82</v>
      </c>
      <c r="K3368">
        <v>152.7118265</v>
      </c>
    </row>
    <row r="3369" spans="1:11" x14ac:dyDescent="0.3">
      <c r="A3369" t="s">
        <v>194</v>
      </c>
    </row>
    <row r="3370" spans="1:11" x14ac:dyDescent="0.3">
      <c r="A3370" t="s">
        <v>195</v>
      </c>
    </row>
    <row r="3371" spans="1:11" x14ac:dyDescent="0.3">
      <c r="A3371" t="s">
        <v>72</v>
      </c>
      <c r="B3371">
        <v>1</v>
      </c>
      <c r="C3371" t="s">
        <v>73</v>
      </c>
      <c r="D3371">
        <v>3.4000000000000001E-6</v>
      </c>
      <c r="E3371" t="s">
        <v>74</v>
      </c>
      <c r="F3371">
        <v>3.3999999999999998E-3</v>
      </c>
      <c r="G3371" t="s">
        <v>75</v>
      </c>
      <c r="H3371">
        <v>3.4</v>
      </c>
      <c r="I3371" t="s">
        <v>76</v>
      </c>
      <c r="J3371" t="s">
        <v>77</v>
      </c>
    </row>
    <row r="3372" spans="1:11" x14ac:dyDescent="0.3">
      <c r="A3372" t="s">
        <v>72</v>
      </c>
      <c r="B3372">
        <v>1</v>
      </c>
      <c r="C3372" t="s">
        <v>78</v>
      </c>
      <c r="D3372">
        <v>3.8399999999999998E-5</v>
      </c>
      <c r="E3372" t="s">
        <v>74</v>
      </c>
      <c r="F3372">
        <v>3.8399999999999997E-2</v>
      </c>
      <c r="G3372" t="s">
        <v>75</v>
      </c>
      <c r="H3372">
        <v>38.4</v>
      </c>
      <c r="I3372" t="s">
        <v>76</v>
      </c>
      <c r="J3372" t="s">
        <v>77</v>
      </c>
    </row>
    <row r="3373" spans="1:11" x14ac:dyDescent="0.3">
      <c r="A3373" t="s">
        <v>72</v>
      </c>
      <c r="B3373">
        <v>1</v>
      </c>
      <c r="C3373" t="s">
        <v>79</v>
      </c>
      <c r="D3373">
        <v>6.8310999999999997E-3</v>
      </c>
      <c r="E3373" t="s">
        <v>74</v>
      </c>
      <c r="F3373">
        <v>6.8311000000000002</v>
      </c>
      <c r="G3373" t="s">
        <v>75</v>
      </c>
      <c r="H3373">
        <v>6831.1</v>
      </c>
      <c r="I3373" t="s">
        <v>76</v>
      </c>
      <c r="J3373" t="s">
        <v>77</v>
      </c>
    </row>
    <row r="3374" spans="1:11" x14ac:dyDescent="0.3">
      <c r="A3374" t="s">
        <v>72</v>
      </c>
      <c r="B3374">
        <v>1</v>
      </c>
      <c r="C3374" t="s">
        <v>94</v>
      </c>
      <c r="D3374">
        <v>2.6099999999999999E-3</v>
      </c>
      <c r="E3374" t="s">
        <v>74</v>
      </c>
      <c r="F3374">
        <v>2.61</v>
      </c>
      <c r="G3374" t="s">
        <v>75</v>
      </c>
      <c r="H3374">
        <v>2610</v>
      </c>
      <c r="I3374" t="s">
        <v>76</v>
      </c>
      <c r="J3374" t="s">
        <v>77</v>
      </c>
    </row>
    <row r="3375" spans="1:11" x14ac:dyDescent="0.3">
      <c r="A3375" t="s">
        <v>72</v>
      </c>
      <c r="B3375">
        <v>1</v>
      </c>
      <c r="C3375" t="s">
        <v>80</v>
      </c>
      <c r="D3375">
        <v>2.7461E-3</v>
      </c>
      <c r="E3375" t="s">
        <v>74</v>
      </c>
      <c r="F3375">
        <v>2.7461000000000002</v>
      </c>
      <c r="G3375" t="s">
        <v>75</v>
      </c>
      <c r="H3375">
        <v>2746.1</v>
      </c>
      <c r="I3375" t="s">
        <v>76</v>
      </c>
      <c r="J3375" t="s">
        <v>77</v>
      </c>
    </row>
    <row r="3376" spans="1:11" x14ac:dyDescent="0.3">
      <c r="A3376" t="s">
        <v>72</v>
      </c>
      <c r="B3376">
        <v>1</v>
      </c>
      <c r="C3376" t="s">
        <v>81</v>
      </c>
      <c r="D3376">
        <v>9.5782000000000003E-3</v>
      </c>
      <c r="E3376" t="s">
        <v>74</v>
      </c>
      <c r="F3376">
        <v>9.5782000000000007</v>
      </c>
      <c r="G3376" t="s">
        <v>75</v>
      </c>
      <c r="H3376">
        <v>9578.2000000000007</v>
      </c>
      <c r="I3376" t="s">
        <v>76</v>
      </c>
      <c r="J3376" t="s">
        <v>82</v>
      </c>
      <c r="K3376">
        <v>104.4037496</v>
      </c>
    </row>
    <row r="3377" spans="1:11" x14ac:dyDescent="0.3">
      <c r="A3377" t="s">
        <v>83</v>
      </c>
      <c r="B3377">
        <v>1000</v>
      </c>
      <c r="C3377" t="s">
        <v>79</v>
      </c>
      <c r="D3377">
        <v>3.7434899999999999E-3</v>
      </c>
      <c r="E3377" t="s">
        <v>74</v>
      </c>
      <c r="F3377">
        <v>3.74349</v>
      </c>
      <c r="G3377" t="s">
        <v>75</v>
      </c>
      <c r="H3377">
        <v>3743.4949999999999</v>
      </c>
      <c r="I3377" t="s">
        <v>76</v>
      </c>
      <c r="J3377" t="s">
        <v>77</v>
      </c>
    </row>
    <row r="3378" spans="1:11" x14ac:dyDescent="0.3">
      <c r="A3378" t="s">
        <v>83</v>
      </c>
      <c r="B3378">
        <v>1000</v>
      </c>
      <c r="C3378" t="s">
        <v>94</v>
      </c>
      <c r="D3378">
        <v>2.60911E-3</v>
      </c>
      <c r="E3378" t="s">
        <v>74</v>
      </c>
      <c r="F3378">
        <v>2.6091099999999998</v>
      </c>
      <c r="G3378" t="s">
        <v>75</v>
      </c>
      <c r="H3378">
        <v>2609.1089999999999</v>
      </c>
      <c r="I3378" t="s">
        <v>76</v>
      </c>
      <c r="J3378" t="s">
        <v>77</v>
      </c>
    </row>
    <row r="3379" spans="1:11" x14ac:dyDescent="0.3">
      <c r="A3379" t="s">
        <v>83</v>
      </c>
      <c r="B3379">
        <v>1000</v>
      </c>
      <c r="C3379" t="s">
        <v>80</v>
      </c>
      <c r="D3379">
        <v>2.79562E-3</v>
      </c>
      <c r="E3379" t="s">
        <v>74</v>
      </c>
      <c r="F3379">
        <v>2.79562</v>
      </c>
      <c r="G3379" t="s">
        <v>75</v>
      </c>
      <c r="H3379">
        <v>2795.62</v>
      </c>
      <c r="I3379" t="s">
        <v>76</v>
      </c>
      <c r="J3379" t="s">
        <v>77</v>
      </c>
    </row>
    <row r="3380" spans="1:11" x14ac:dyDescent="0.3">
      <c r="A3380" t="s">
        <v>83</v>
      </c>
      <c r="B3380">
        <v>1000</v>
      </c>
      <c r="C3380" t="s">
        <v>81</v>
      </c>
      <c r="D3380">
        <v>6.5401900000000004E-3</v>
      </c>
      <c r="E3380" t="s">
        <v>74</v>
      </c>
      <c r="F3380">
        <v>6.5401899999999999</v>
      </c>
      <c r="G3380" t="s">
        <v>75</v>
      </c>
      <c r="H3380">
        <v>6540.1930000000002</v>
      </c>
      <c r="I3380" t="s">
        <v>76</v>
      </c>
      <c r="J3380" t="s">
        <v>82</v>
      </c>
      <c r="K3380">
        <v>152.9006847</v>
      </c>
    </row>
    <row r="3381" spans="1:11" x14ac:dyDescent="0.3">
      <c r="A3381" t="s">
        <v>84</v>
      </c>
      <c r="B3381">
        <v>1001</v>
      </c>
      <c r="C3381" t="s">
        <v>79</v>
      </c>
      <c r="D3381">
        <v>3.7465799999999998E-3</v>
      </c>
      <c r="E3381" t="s">
        <v>74</v>
      </c>
      <c r="F3381">
        <v>3.7465799999999998</v>
      </c>
      <c r="G3381" t="s">
        <v>75</v>
      </c>
      <c r="H3381">
        <v>3746.5790000000002</v>
      </c>
      <c r="I3381" t="s">
        <v>76</v>
      </c>
      <c r="J3381" t="s">
        <v>77</v>
      </c>
    </row>
    <row r="3382" spans="1:11" x14ac:dyDescent="0.3">
      <c r="A3382" t="s">
        <v>84</v>
      </c>
      <c r="B3382">
        <v>1001</v>
      </c>
      <c r="C3382" t="s">
        <v>94</v>
      </c>
      <c r="D3382">
        <v>2.60911E-3</v>
      </c>
      <c r="E3382" t="s">
        <v>74</v>
      </c>
      <c r="F3382">
        <v>2.6091099999999998</v>
      </c>
      <c r="G3382" t="s">
        <v>75</v>
      </c>
      <c r="H3382">
        <v>2609.11</v>
      </c>
      <c r="I3382" t="s">
        <v>76</v>
      </c>
      <c r="J3382" t="s">
        <v>77</v>
      </c>
    </row>
    <row r="3383" spans="1:11" x14ac:dyDescent="0.3">
      <c r="A3383" t="s">
        <v>84</v>
      </c>
      <c r="B3383">
        <v>1001</v>
      </c>
      <c r="C3383" t="s">
        <v>80</v>
      </c>
      <c r="D3383">
        <v>2.7955699999999998E-3</v>
      </c>
      <c r="E3383" t="s">
        <v>74</v>
      </c>
      <c r="F3383">
        <v>2.7955700000000001</v>
      </c>
      <c r="G3383" t="s">
        <v>75</v>
      </c>
      <c r="H3383">
        <v>2795.5709999999999</v>
      </c>
      <c r="I3383" t="s">
        <v>76</v>
      </c>
      <c r="J3383" t="s">
        <v>77</v>
      </c>
    </row>
    <row r="3384" spans="1:11" x14ac:dyDescent="0.3">
      <c r="A3384" t="s">
        <v>84</v>
      </c>
      <c r="B3384">
        <v>1001</v>
      </c>
      <c r="C3384" t="s">
        <v>81</v>
      </c>
      <c r="D3384">
        <v>6.5432299999999997E-3</v>
      </c>
      <c r="E3384" t="s">
        <v>74</v>
      </c>
      <c r="F3384">
        <v>6.5432300000000003</v>
      </c>
      <c r="G3384" t="s">
        <v>75</v>
      </c>
      <c r="H3384">
        <v>6543.2280000000001</v>
      </c>
      <c r="I3384" t="s">
        <v>76</v>
      </c>
      <c r="J3384" t="s">
        <v>82</v>
      </c>
      <c r="K3384">
        <v>152.82976350000001</v>
      </c>
    </row>
    <row r="3385" spans="1:11" x14ac:dyDescent="0.3">
      <c r="A3385" t="s">
        <v>85</v>
      </c>
      <c r="B3385">
        <v>1001</v>
      </c>
      <c r="C3385" t="s">
        <v>86</v>
      </c>
      <c r="D3385">
        <v>6.5434100000000004E-3</v>
      </c>
      <c r="E3385" t="s">
        <v>74</v>
      </c>
      <c r="F3385">
        <v>6.5434099999999997</v>
      </c>
      <c r="G3385" t="s">
        <v>75</v>
      </c>
      <c r="H3385">
        <v>6543.4089999999997</v>
      </c>
      <c r="I3385" t="s">
        <v>76</v>
      </c>
      <c r="J3385" t="s">
        <v>82</v>
      </c>
      <c r="K3385">
        <v>152.82554669999999</v>
      </c>
    </row>
    <row r="3386" spans="1:11" x14ac:dyDescent="0.3">
      <c r="A3386" t="s">
        <v>115</v>
      </c>
    </row>
    <row r="3387" spans="1:11" x14ac:dyDescent="0.3">
      <c r="A3387" t="s">
        <v>127</v>
      </c>
    </row>
    <row r="3388" spans="1:11" x14ac:dyDescent="0.3">
      <c r="A3388" t="s">
        <v>87</v>
      </c>
    </row>
    <row r="3389" spans="1:11" x14ac:dyDescent="0.3">
      <c r="A3389" t="s">
        <v>196</v>
      </c>
    </row>
    <row r="3390" spans="1:11" x14ac:dyDescent="0.3">
      <c r="A3390" t="s">
        <v>72</v>
      </c>
      <c r="B3390">
        <v>1</v>
      </c>
      <c r="C3390" t="s">
        <v>81</v>
      </c>
      <c r="D3390">
        <v>0.29645210999999999</v>
      </c>
      <c r="E3390" t="s">
        <v>74</v>
      </c>
      <c r="F3390">
        <v>296.45211</v>
      </c>
      <c r="G3390" t="s">
        <v>75</v>
      </c>
      <c r="H3390">
        <v>296452.10499999998</v>
      </c>
      <c r="I3390" t="s">
        <v>76</v>
      </c>
      <c r="J3390" t="s">
        <v>82</v>
      </c>
      <c r="K3390">
        <v>3.3732262</v>
      </c>
    </row>
    <row r="3391" spans="1:11" x14ac:dyDescent="0.3">
      <c r="A3391" t="s">
        <v>83</v>
      </c>
      <c r="B3391">
        <v>1000</v>
      </c>
      <c r="C3391" t="s">
        <v>81</v>
      </c>
      <c r="D3391">
        <v>6.2581800000000003E-3</v>
      </c>
      <c r="E3391" t="s">
        <v>74</v>
      </c>
      <c r="F3391">
        <v>6.2581800000000003</v>
      </c>
      <c r="G3391" t="s">
        <v>75</v>
      </c>
      <c r="H3391">
        <v>6258.18</v>
      </c>
      <c r="I3391" t="s">
        <v>76</v>
      </c>
      <c r="J3391" t="s">
        <v>82</v>
      </c>
      <c r="K3391">
        <v>159.79087430000001</v>
      </c>
    </row>
    <row r="3392" spans="1:11" x14ac:dyDescent="0.3">
      <c r="A3392" t="s">
        <v>85</v>
      </c>
      <c r="B3392">
        <v>1001</v>
      </c>
      <c r="C3392" t="s">
        <v>86</v>
      </c>
      <c r="D3392">
        <v>6.5482800000000001E-3</v>
      </c>
      <c r="E3392" t="s">
        <v>74</v>
      </c>
      <c r="F3392">
        <v>6.5482800000000001</v>
      </c>
      <c r="G3392" t="s">
        <v>75</v>
      </c>
      <c r="H3392">
        <v>6548.2809999999999</v>
      </c>
      <c r="I3392" t="s">
        <v>76</v>
      </c>
      <c r="J3392" t="s">
        <v>82</v>
      </c>
      <c r="K3392">
        <v>152.7118265</v>
      </c>
    </row>
    <row r="3394" spans="1:11" x14ac:dyDescent="0.3">
      <c r="A3394" t="s">
        <v>197</v>
      </c>
    </row>
    <row r="3395" spans="1:11" x14ac:dyDescent="0.3">
      <c r="A3395" t="s">
        <v>72</v>
      </c>
      <c r="B3395">
        <v>1</v>
      </c>
      <c r="C3395" t="s">
        <v>81</v>
      </c>
      <c r="D3395">
        <v>9.5782000000000003E-3</v>
      </c>
      <c r="E3395" t="s">
        <v>74</v>
      </c>
      <c r="F3395">
        <v>9.5782000000000007</v>
      </c>
      <c r="G3395" t="s">
        <v>75</v>
      </c>
      <c r="H3395">
        <v>9578.2000000000007</v>
      </c>
      <c r="I3395" t="s">
        <v>76</v>
      </c>
      <c r="J3395" t="s">
        <v>82</v>
      </c>
      <c r="K3395">
        <v>104.4037496</v>
      </c>
    </row>
    <row r="3396" spans="1:11" x14ac:dyDescent="0.3">
      <c r="A3396" t="s">
        <v>83</v>
      </c>
      <c r="B3396">
        <v>1000</v>
      </c>
      <c r="C3396" t="s">
        <v>81</v>
      </c>
      <c r="D3396">
        <v>6.5401900000000004E-3</v>
      </c>
      <c r="E3396" t="s">
        <v>74</v>
      </c>
      <c r="F3396">
        <v>6.5401899999999999</v>
      </c>
      <c r="G3396" t="s">
        <v>75</v>
      </c>
      <c r="H3396">
        <v>6540.1930000000002</v>
      </c>
      <c r="I3396" t="s">
        <v>76</v>
      </c>
      <c r="J3396" t="s">
        <v>82</v>
      </c>
      <c r="K3396">
        <v>152.9006847</v>
      </c>
    </row>
    <row r="3397" spans="1:11" x14ac:dyDescent="0.3">
      <c r="A3397" t="s">
        <v>85</v>
      </c>
      <c r="B3397">
        <v>1001</v>
      </c>
      <c r="C3397" t="s">
        <v>86</v>
      </c>
      <c r="D3397">
        <v>6.5434100000000004E-3</v>
      </c>
      <c r="E3397" t="s">
        <v>74</v>
      </c>
      <c r="F3397">
        <v>6.5434099999999997</v>
      </c>
      <c r="G3397" t="s">
        <v>75</v>
      </c>
      <c r="H3397">
        <v>6543.4089999999997</v>
      </c>
      <c r="I3397" t="s">
        <v>76</v>
      </c>
      <c r="J3397" t="s">
        <v>82</v>
      </c>
      <c r="K3397">
        <v>152.82554669999999</v>
      </c>
    </row>
    <row r="3399" spans="1:11" x14ac:dyDescent="0.3">
      <c r="A3399" t="s">
        <v>66</v>
      </c>
    </row>
    <row r="3401" spans="1:11" x14ac:dyDescent="0.3">
      <c r="A3401" t="s">
        <v>256</v>
      </c>
    </row>
    <row r="3402" spans="1:11" x14ac:dyDescent="0.3">
      <c r="A3402" t="s">
        <v>68</v>
      </c>
    </row>
    <row r="3403" spans="1:11" x14ac:dyDescent="0.3">
      <c r="A3403" t="s">
        <v>69</v>
      </c>
    </row>
    <row r="3404" spans="1:11" x14ac:dyDescent="0.3">
      <c r="A3404" t="s">
        <v>70</v>
      </c>
    </row>
    <row r="3405" spans="1:11" x14ac:dyDescent="0.3">
      <c r="A3405" t="s">
        <v>115</v>
      </c>
    </row>
    <row r="3406" spans="1:11" x14ac:dyDescent="0.3">
      <c r="A3406" t="s">
        <v>116</v>
      </c>
    </row>
    <row r="3407" spans="1:11" x14ac:dyDescent="0.3">
      <c r="A3407" t="s">
        <v>117</v>
      </c>
    </row>
    <row r="3408" spans="1:11" x14ac:dyDescent="0.3">
      <c r="A3408" t="s">
        <v>118</v>
      </c>
    </row>
    <row r="3409" spans="1:10" x14ac:dyDescent="0.3">
      <c r="A3409" t="s">
        <v>119</v>
      </c>
    </row>
    <row r="3410" spans="1:10" x14ac:dyDescent="0.3">
      <c r="A3410" t="s">
        <v>120</v>
      </c>
    </row>
    <row r="3411" spans="1:10" x14ac:dyDescent="0.3">
      <c r="A3411" t="s">
        <v>121</v>
      </c>
    </row>
    <row r="3412" spans="1:10" x14ac:dyDescent="0.3">
      <c r="A3412" t="s">
        <v>122</v>
      </c>
    </row>
    <row r="3413" spans="1:10" x14ac:dyDescent="0.3">
      <c r="A3413" t="s">
        <v>123</v>
      </c>
    </row>
    <row r="3414" spans="1:10" x14ac:dyDescent="0.3">
      <c r="A3414" t="s">
        <v>124</v>
      </c>
    </row>
    <row r="3415" spans="1:10" x14ac:dyDescent="0.3">
      <c r="A3415" t="s">
        <v>125</v>
      </c>
    </row>
    <row r="3416" spans="1:10" x14ac:dyDescent="0.3">
      <c r="A3416" t="s">
        <v>126</v>
      </c>
    </row>
    <row r="3417" spans="1:10" x14ac:dyDescent="0.3">
      <c r="A3417" t="s">
        <v>127</v>
      </c>
    </row>
    <row r="3418" spans="1:10" x14ac:dyDescent="0.3">
      <c r="A3418" t="s">
        <v>199</v>
      </c>
    </row>
    <row r="3419" spans="1:10" x14ac:dyDescent="0.3">
      <c r="A3419" t="s">
        <v>200</v>
      </c>
    </row>
    <row r="3420" spans="1:10" x14ac:dyDescent="0.3">
      <c r="A3420" t="s">
        <v>72</v>
      </c>
      <c r="B3420">
        <v>1</v>
      </c>
      <c r="C3420" t="s">
        <v>73</v>
      </c>
      <c r="D3420">
        <v>4.1999999999999996E-6</v>
      </c>
      <c r="E3420" t="s">
        <v>74</v>
      </c>
      <c r="F3420">
        <v>4.1999999999999997E-3</v>
      </c>
      <c r="G3420" t="s">
        <v>75</v>
      </c>
      <c r="H3420">
        <v>4.2</v>
      </c>
      <c r="I3420" t="s">
        <v>76</v>
      </c>
      <c r="J3420" t="s">
        <v>77</v>
      </c>
    </row>
    <row r="3421" spans="1:10" x14ac:dyDescent="0.3">
      <c r="A3421" t="s">
        <v>72</v>
      </c>
      <c r="B3421">
        <v>1</v>
      </c>
      <c r="C3421" t="s">
        <v>78</v>
      </c>
      <c r="D3421">
        <v>0.13411970000000001</v>
      </c>
      <c r="E3421" t="s">
        <v>74</v>
      </c>
      <c r="F3421">
        <v>134.11969999999999</v>
      </c>
      <c r="G3421" t="s">
        <v>75</v>
      </c>
      <c r="H3421">
        <v>134119.704</v>
      </c>
      <c r="I3421" t="s">
        <v>76</v>
      </c>
      <c r="J3421" t="s">
        <v>77</v>
      </c>
    </row>
    <row r="3422" spans="1:10" x14ac:dyDescent="0.3">
      <c r="A3422" t="s">
        <v>72</v>
      </c>
      <c r="B3422">
        <v>1</v>
      </c>
      <c r="C3422" t="s">
        <v>79</v>
      </c>
      <c r="D3422">
        <v>0.35213569</v>
      </c>
      <c r="E3422" t="s">
        <v>74</v>
      </c>
      <c r="F3422">
        <v>352.13569000000001</v>
      </c>
      <c r="G3422" t="s">
        <v>75</v>
      </c>
      <c r="H3422">
        <v>352135.68800000002</v>
      </c>
      <c r="I3422" t="s">
        <v>76</v>
      </c>
      <c r="J3422" t="s">
        <v>77</v>
      </c>
    </row>
    <row r="3423" spans="1:10" x14ac:dyDescent="0.3">
      <c r="A3423" t="s">
        <v>72</v>
      </c>
      <c r="B3423">
        <v>1</v>
      </c>
      <c r="C3423" t="s">
        <v>94</v>
      </c>
      <c r="D3423">
        <v>3.4599699999999997E-2</v>
      </c>
      <c r="E3423" t="s">
        <v>74</v>
      </c>
      <c r="F3423">
        <v>34.599699999999999</v>
      </c>
      <c r="G3423" t="s">
        <v>75</v>
      </c>
      <c r="H3423">
        <v>34599.699000000001</v>
      </c>
      <c r="I3423" t="s">
        <v>76</v>
      </c>
      <c r="J3423" t="s">
        <v>77</v>
      </c>
    </row>
    <row r="3424" spans="1:10" x14ac:dyDescent="0.3">
      <c r="A3424" t="s">
        <v>72</v>
      </c>
      <c r="B3424">
        <v>1</v>
      </c>
      <c r="C3424" t="s">
        <v>80</v>
      </c>
      <c r="D3424">
        <v>3.4602800000000003E-2</v>
      </c>
      <c r="E3424" t="s">
        <v>74</v>
      </c>
      <c r="F3424">
        <v>34.602800000000002</v>
      </c>
      <c r="G3424" t="s">
        <v>75</v>
      </c>
      <c r="H3424">
        <v>34602.798999999999</v>
      </c>
      <c r="I3424" t="s">
        <v>76</v>
      </c>
      <c r="J3424" t="s">
        <v>77</v>
      </c>
    </row>
    <row r="3425" spans="1:11" x14ac:dyDescent="0.3">
      <c r="A3425" t="s">
        <v>72</v>
      </c>
      <c r="B3425">
        <v>1</v>
      </c>
      <c r="C3425" t="s">
        <v>81</v>
      </c>
      <c r="D3425">
        <v>0.3867411</v>
      </c>
      <c r="E3425" t="s">
        <v>74</v>
      </c>
      <c r="F3425">
        <v>386.74110000000002</v>
      </c>
      <c r="G3425" t="s">
        <v>75</v>
      </c>
      <c r="H3425">
        <v>386741.10200000001</v>
      </c>
      <c r="I3425" t="s">
        <v>76</v>
      </c>
      <c r="J3425" t="s">
        <v>82</v>
      </c>
      <c r="K3425">
        <v>2.5857090999999999</v>
      </c>
    </row>
    <row r="3426" spans="1:11" x14ac:dyDescent="0.3">
      <c r="A3426" t="s">
        <v>83</v>
      </c>
      <c r="B3426">
        <v>1000</v>
      </c>
      <c r="C3426" t="s">
        <v>79</v>
      </c>
      <c r="D3426">
        <v>5.0396000000000002E-4</v>
      </c>
      <c r="E3426" t="s">
        <v>74</v>
      </c>
      <c r="F3426">
        <v>0.50395999999999996</v>
      </c>
      <c r="G3426" t="s">
        <v>75</v>
      </c>
      <c r="H3426">
        <v>503.96100000000001</v>
      </c>
      <c r="I3426" t="s">
        <v>76</v>
      </c>
      <c r="J3426" t="s">
        <v>77</v>
      </c>
    </row>
    <row r="3427" spans="1:11" x14ac:dyDescent="0.3">
      <c r="A3427" t="s">
        <v>83</v>
      </c>
      <c r="B3427">
        <v>1000</v>
      </c>
      <c r="C3427" t="s">
        <v>94</v>
      </c>
      <c r="D3427">
        <v>1.668801E-2</v>
      </c>
      <c r="E3427" t="s">
        <v>74</v>
      </c>
      <c r="F3427">
        <v>16.688009999999998</v>
      </c>
      <c r="G3427" t="s">
        <v>75</v>
      </c>
      <c r="H3427">
        <v>16688.005000000001</v>
      </c>
      <c r="I3427" t="s">
        <v>76</v>
      </c>
      <c r="J3427" t="s">
        <v>77</v>
      </c>
    </row>
    <row r="3428" spans="1:11" x14ac:dyDescent="0.3">
      <c r="A3428" t="s">
        <v>83</v>
      </c>
      <c r="B3428">
        <v>1000</v>
      </c>
      <c r="C3428" t="s">
        <v>80</v>
      </c>
      <c r="D3428">
        <v>1.668828E-2</v>
      </c>
      <c r="E3428" t="s">
        <v>74</v>
      </c>
      <c r="F3428">
        <v>16.688279999999999</v>
      </c>
      <c r="G3428" t="s">
        <v>75</v>
      </c>
      <c r="H3428">
        <v>16688.276000000002</v>
      </c>
      <c r="I3428" t="s">
        <v>76</v>
      </c>
      <c r="J3428" t="s">
        <v>77</v>
      </c>
    </row>
    <row r="3429" spans="1:11" x14ac:dyDescent="0.3">
      <c r="A3429" t="s">
        <v>83</v>
      </c>
      <c r="B3429">
        <v>1000</v>
      </c>
      <c r="C3429" t="s">
        <v>81</v>
      </c>
      <c r="D3429">
        <v>1.719321E-2</v>
      </c>
      <c r="E3429" t="s">
        <v>74</v>
      </c>
      <c r="F3429">
        <v>17.193210000000001</v>
      </c>
      <c r="G3429" t="s">
        <v>75</v>
      </c>
      <c r="H3429">
        <v>17193.206999999999</v>
      </c>
      <c r="I3429" t="s">
        <v>76</v>
      </c>
      <c r="J3429" t="s">
        <v>82</v>
      </c>
      <c r="K3429">
        <v>58.162506399999998</v>
      </c>
    </row>
    <row r="3430" spans="1:11" x14ac:dyDescent="0.3">
      <c r="A3430" t="s">
        <v>84</v>
      </c>
      <c r="B3430">
        <v>1001</v>
      </c>
      <c r="C3430" t="s">
        <v>79</v>
      </c>
      <c r="D3430">
        <v>8.5523999999999995E-4</v>
      </c>
      <c r="E3430" t="s">
        <v>74</v>
      </c>
      <c r="F3430">
        <v>0.85524</v>
      </c>
      <c r="G3430" t="s">
        <v>75</v>
      </c>
      <c r="H3430">
        <v>855.24199999999996</v>
      </c>
      <c r="I3430" t="s">
        <v>76</v>
      </c>
      <c r="J3430" t="s">
        <v>77</v>
      </c>
    </row>
    <row r="3431" spans="1:11" x14ac:dyDescent="0.3">
      <c r="A3431" t="s">
        <v>84</v>
      </c>
      <c r="B3431">
        <v>1001</v>
      </c>
      <c r="C3431" t="s">
        <v>94</v>
      </c>
      <c r="D3431">
        <v>1.6705899999999999E-2</v>
      </c>
      <c r="E3431" t="s">
        <v>74</v>
      </c>
      <c r="F3431">
        <v>16.7059</v>
      </c>
      <c r="G3431" t="s">
        <v>75</v>
      </c>
      <c r="H3431">
        <v>16705.897000000001</v>
      </c>
      <c r="I3431" t="s">
        <v>76</v>
      </c>
      <c r="J3431" t="s">
        <v>77</v>
      </c>
    </row>
    <row r="3432" spans="1:11" x14ac:dyDescent="0.3">
      <c r="A3432" t="s">
        <v>84</v>
      </c>
      <c r="B3432">
        <v>1001</v>
      </c>
      <c r="C3432" t="s">
        <v>80</v>
      </c>
      <c r="D3432">
        <v>1.6706169999999999E-2</v>
      </c>
      <c r="E3432" t="s">
        <v>74</v>
      </c>
      <c r="F3432">
        <v>16.70617</v>
      </c>
      <c r="G3432" t="s">
        <v>75</v>
      </c>
      <c r="H3432">
        <v>16706.172999999999</v>
      </c>
      <c r="I3432" t="s">
        <v>76</v>
      </c>
      <c r="J3432" t="s">
        <v>77</v>
      </c>
    </row>
    <row r="3433" spans="1:11" x14ac:dyDescent="0.3">
      <c r="A3433" t="s">
        <v>84</v>
      </c>
      <c r="B3433">
        <v>1001</v>
      </c>
      <c r="C3433" t="s">
        <v>81</v>
      </c>
      <c r="D3433">
        <v>1.7562390000000001E-2</v>
      </c>
      <c r="E3433" t="s">
        <v>74</v>
      </c>
      <c r="F3433">
        <v>17.562390000000001</v>
      </c>
      <c r="G3433" t="s">
        <v>75</v>
      </c>
      <c r="H3433">
        <v>17562.387999999999</v>
      </c>
      <c r="I3433" t="s">
        <v>76</v>
      </c>
      <c r="J3433" t="s">
        <v>82</v>
      </c>
      <c r="K3433">
        <v>56.939865099999999</v>
      </c>
    </row>
    <row r="3434" spans="1:11" x14ac:dyDescent="0.3">
      <c r="A3434" t="s">
        <v>85</v>
      </c>
      <c r="B3434">
        <v>1001</v>
      </c>
      <c r="C3434" t="s">
        <v>86</v>
      </c>
      <c r="D3434">
        <v>1.7562580000000001E-2</v>
      </c>
      <c r="E3434" t="s">
        <v>74</v>
      </c>
      <c r="F3434">
        <v>17.562580000000001</v>
      </c>
      <c r="G3434" t="s">
        <v>75</v>
      </c>
      <c r="H3434">
        <v>17562.577000000001</v>
      </c>
      <c r="I3434" t="s">
        <v>76</v>
      </c>
      <c r="J3434" t="s">
        <v>82</v>
      </c>
      <c r="K3434">
        <v>56.9392535</v>
      </c>
    </row>
    <row r="3435" spans="1:11" x14ac:dyDescent="0.3">
      <c r="A3435" t="s">
        <v>201</v>
      </c>
    </row>
    <row r="3436" spans="1:11" x14ac:dyDescent="0.3">
      <c r="A3436" t="s">
        <v>202</v>
      </c>
    </row>
    <row r="3437" spans="1:11" x14ac:dyDescent="0.3">
      <c r="A3437" t="s">
        <v>72</v>
      </c>
      <c r="B3437">
        <v>1</v>
      </c>
      <c r="C3437" t="s">
        <v>73</v>
      </c>
      <c r="D3437">
        <v>4.1999999999999996E-6</v>
      </c>
      <c r="E3437" t="s">
        <v>74</v>
      </c>
      <c r="F3437">
        <v>4.1999999999999997E-3</v>
      </c>
      <c r="G3437" t="s">
        <v>75</v>
      </c>
      <c r="H3437">
        <v>4.2</v>
      </c>
      <c r="I3437" t="s">
        <v>76</v>
      </c>
      <c r="J3437" t="s">
        <v>77</v>
      </c>
    </row>
    <row r="3438" spans="1:11" x14ac:dyDescent="0.3">
      <c r="A3438" t="s">
        <v>72</v>
      </c>
      <c r="B3438">
        <v>1</v>
      </c>
      <c r="C3438" t="s">
        <v>78</v>
      </c>
      <c r="D3438">
        <v>3.7499999999999997E-5</v>
      </c>
      <c r="E3438" t="s">
        <v>74</v>
      </c>
      <c r="F3438">
        <v>3.7499999999999999E-2</v>
      </c>
      <c r="G3438" t="s">
        <v>75</v>
      </c>
      <c r="H3438">
        <v>37.5</v>
      </c>
      <c r="I3438" t="s">
        <v>76</v>
      </c>
      <c r="J3438" t="s">
        <v>77</v>
      </c>
    </row>
    <row r="3439" spans="1:11" x14ac:dyDescent="0.3">
      <c r="A3439" t="s">
        <v>72</v>
      </c>
      <c r="B3439">
        <v>1</v>
      </c>
      <c r="C3439" t="s">
        <v>79</v>
      </c>
      <c r="D3439">
        <v>3.7938E-3</v>
      </c>
      <c r="E3439" t="s">
        <v>74</v>
      </c>
      <c r="F3439">
        <v>3.7938000000000001</v>
      </c>
      <c r="G3439" t="s">
        <v>75</v>
      </c>
      <c r="H3439">
        <v>3793.8</v>
      </c>
      <c r="I3439" t="s">
        <v>76</v>
      </c>
      <c r="J3439" t="s">
        <v>77</v>
      </c>
    </row>
    <row r="3440" spans="1:11" x14ac:dyDescent="0.3">
      <c r="A3440" t="s">
        <v>72</v>
      </c>
      <c r="B3440">
        <v>1</v>
      </c>
      <c r="C3440" t="s">
        <v>94</v>
      </c>
      <c r="D3440">
        <v>0.14973900000000001</v>
      </c>
      <c r="E3440" t="s">
        <v>74</v>
      </c>
      <c r="F3440">
        <v>149.739</v>
      </c>
      <c r="G3440" t="s">
        <v>75</v>
      </c>
      <c r="H3440">
        <v>149738.997</v>
      </c>
      <c r="I3440" t="s">
        <v>76</v>
      </c>
      <c r="J3440" t="s">
        <v>77</v>
      </c>
    </row>
    <row r="3441" spans="1:11" x14ac:dyDescent="0.3">
      <c r="A3441" t="s">
        <v>72</v>
      </c>
      <c r="B3441">
        <v>1</v>
      </c>
      <c r="C3441" t="s">
        <v>80</v>
      </c>
      <c r="D3441">
        <v>0.1497395</v>
      </c>
      <c r="E3441" t="s">
        <v>74</v>
      </c>
      <c r="F3441">
        <v>149.73949999999999</v>
      </c>
      <c r="G3441" t="s">
        <v>75</v>
      </c>
      <c r="H3441">
        <v>149739.50399999999</v>
      </c>
      <c r="I3441" t="s">
        <v>76</v>
      </c>
      <c r="J3441" t="s">
        <v>77</v>
      </c>
    </row>
    <row r="3442" spans="1:11" x14ac:dyDescent="0.3">
      <c r="A3442" t="s">
        <v>72</v>
      </c>
      <c r="B3442">
        <v>1</v>
      </c>
      <c r="C3442" t="s">
        <v>81</v>
      </c>
      <c r="D3442">
        <v>0.15353439999999999</v>
      </c>
      <c r="E3442" t="s">
        <v>74</v>
      </c>
      <c r="F3442">
        <v>153.53440000000001</v>
      </c>
      <c r="G3442" t="s">
        <v>75</v>
      </c>
      <c r="H3442">
        <v>153534.397</v>
      </c>
      <c r="I3442" t="s">
        <v>76</v>
      </c>
      <c r="J3442" t="s">
        <v>82</v>
      </c>
      <c r="K3442">
        <v>6.5131984999999997</v>
      </c>
    </row>
    <row r="3443" spans="1:11" x14ac:dyDescent="0.3">
      <c r="A3443" t="s">
        <v>83</v>
      </c>
      <c r="B3443">
        <v>1000</v>
      </c>
      <c r="C3443" t="s">
        <v>79</v>
      </c>
      <c r="D3443">
        <v>5.1652999999999996E-4</v>
      </c>
      <c r="E3443" t="s">
        <v>74</v>
      </c>
      <c r="F3443">
        <v>0.51653000000000004</v>
      </c>
      <c r="G3443" t="s">
        <v>75</v>
      </c>
      <c r="H3443">
        <v>516.53399999999999</v>
      </c>
      <c r="I3443" t="s">
        <v>76</v>
      </c>
      <c r="J3443" t="s">
        <v>77</v>
      </c>
    </row>
    <row r="3444" spans="1:11" x14ac:dyDescent="0.3">
      <c r="A3444" t="s">
        <v>83</v>
      </c>
      <c r="B3444">
        <v>1000</v>
      </c>
      <c r="C3444" t="s">
        <v>94</v>
      </c>
      <c r="D3444">
        <v>2.4506750000000001E-2</v>
      </c>
      <c r="E3444" t="s">
        <v>74</v>
      </c>
      <c r="F3444">
        <v>24.50675</v>
      </c>
      <c r="G3444" t="s">
        <v>75</v>
      </c>
      <c r="H3444">
        <v>24506.752</v>
      </c>
      <c r="I3444" t="s">
        <v>76</v>
      </c>
      <c r="J3444" t="s">
        <v>77</v>
      </c>
    </row>
    <row r="3445" spans="1:11" x14ac:dyDescent="0.3">
      <c r="A3445" t="s">
        <v>83</v>
      </c>
      <c r="B3445">
        <v>1000</v>
      </c>
      <c r="C3445" t="s">
        <v>80</v>
      </c>
      <c r="D3445">
        <v>2.4691899999999999E-2</v>
      </c>
      <c r="E3445" t="s">
        <v>74</v>
      </c>
      <c r="F3445">
        <v>24.6919</v>
      </c>
      <c r="G3445" t="s">
        <v>75</v>
      </c>
      <c r="H3445">
        <v>24691.9</v>
      </c>
      <c r="I3445" t="s">
        <v>76</v>
      </c>
      <c r="J3445" t="s">
        <v>77</v>
      </c>
    </row>
    <row r="3446" spans="1:11" x14ac:dyDescent="0.3">
      <c r="A3446" t="s">
        <v>83</v>
      </c>
      <c r="B3446">
        <v>1000</v>
      </c>
      <c r="C3446" t="s">
        <v>81</v>
      </c>
      <c r="D3446">
        <v>2.5209789999999999E-2</v>
      </c>
      <c r="E3446" t="s">
        <v>74</v>
      </c>
      <c r="F3446">
        <v>25.209790000000002</v>
      </c>
      <c r="G3446" t="s">
        <v>75</v>
      </c>
      <c r="H3446">
        <v>25209.794999999998</v>
      </c>
      <c r="I3446" t="s">
        <v>76</v>
      </c>
      <c r="J3446" t="s">
        <v>82</v>
      </c>
      <c r="K3446">
        <v>39.6671215</v>
      </c>
    </row>
    <row r="3447" spans="1:11" x14ac:dyDescent="0.3">
      <c r="A3447" t="s">
        <v>84</v>
      </c>
      <c r="B3447">
        <v>1001</v>
      </c>
      <c r="C3447" t="s">
        <v>79</v>
      </c>
      <c r="D3447">
        <v>5.1981E-4</v>
      </c>
      <c r="E3447" t="s">
        <v>74</v>
      </c>
      <c r="F3447">
        <v>0.51980999999999999</v>
      </c>
      <c r="G3447" t="s">
        <v>75</v>
      </c>
      <c r="H3447">
        <v>519.80799999999999</v>
      </c>
      <c r="I3447" t="s">
        <v>76</v>
      </c>
      <c r="J3447" t="s">
        <v>77</v>
      </c>
    </row>
    <row r="3448" spans="1:11" x14ac:dyDescent="0.3">
      <c r="A3448" t="s">
        <v>84</v>
      </c>
      <c r="B3448">
        <v>1001</v>
      </c>
      <c r="C3448" t="s">
        <v>94</v>
      </c>
      <c r="D3448">
        <v>2.4631859999999998E-2</v>
      </c>
      <c r="E3448" t="s">
        <v>74</v>
      </c>
      <c r="F3448">
        <v>24.63186</v>
      </c>
      <c r="G3448" t="s">
        <v>75</v>
      </c>
      <c r="H3448">
        <v>24631.858</v>
      </c>
      <c r="I3448" t="s">
        <v>76</v>
      </c>
      <c r="J3448" t="s">
        <v>77</v>
      </c>
    </row>
    <row r="3449" spans="1:11" x14ac:dyDescent="0.3">
      <c r="A3449" t="s">
        <v>84</v>
      </c>
      <c r="B3449">
        <v>1001</v>
      </c>
      <c r="C3449" t="s">
        <v>80</v>
      </c>
      <c r="D3449">
        <v>2.4816830000000002E-2</v>
      </c>
      <c r="E3449" t="s">
        <v>74</v>
      </c>
      <c r="F3449">
        <v>24.81683</v>
      </c>
      <c r="G3449" t="s">
        <v>75</v>
      </c>
      <c r="H3449">
        <v>24816.826000000001</v>
      </c>
      <c r="I3449" t="s">
        <v>76</v>
      </c>
      <c r="J3449" t="s">
        <v>77</v>
      </c>
    </row>
    <row r="3450" spans="1:11" x14ac:dyDescent="0.3">
      <c r="A3450" t="s">
        <v>84</v>
      </c>
      <c r="B3450">
        <v>1001</v>
      </c>
      <c r="C3450" t="s">
        <v>81</v>
      </c>
      <c r="D3450">
        <v>2.5337990000000001E-2</v>
      </c>
      <c r="E3450" t="s">
        <v>74</v>
      </c>
      <c r="F3450">
        <v>25.337990000000001</v>
      </c>
      <c r="G3450" t="s">
        <v>75</v>
      </c>
      <c r="H3450">
        <v>25337.991000000002</v>
      </c>
      <c r="I3450" t="s">
        <v>76</v>
      </c>
      <c r="J3450" t="s">
        <v>82</v>
      </c>
      <c r="K3450">
        <v>39.466428200000003</v>
      </c>
    </row>
    <row r="3451" spans="1:11" x14ac:dyDescent="0.3">
      <c r="A3451" t="s">
        <v>85</v>
      </c>
      <c r="B3451">
        <v>1001</v>
      </c>
      <c r="C3451" t="s">
        <v>86</v>
      </c>
      <c r="D3451">
        <v>2.533823E-2</v>
      </c>
      <c r="E3451" t="s">
        <v>74</v>
      </c>
      <c r="F3451">
        <v>25.338229999999999</v>
      </c>
      <c r="G3451" t="s">
        <v>75</v>
      </c>
      <c r="H3451">
        <v>25338.231</v>
      </c>
      <c r="I3451" t="s">
        <v>76</v>
      </c>
      <c r="J3451" t="s">
        <v>82</v>
      </c>
      <c r="K3451">
        <v>39.466054200000002</v>
      </c>
    </row>
    <row r="3452" spans="1:11" x14ac:dyDescent="0.3">
      <c r="A3452" t="s">
        <v>115</v>
      </c>
    </row>
    <row r="3453" spans="1:11" x14ac:dyDescent="0.3">
      <c r="A3453" t="s">
        <v>127</v>
      </c>
    </row>
    <row r="3454" spans="1:11" x14ac:dyDescent="0.3">
      <c r="A3454" t="s">
        <v>87</v>
      </c>
    </row>
    <row r="3455" spans="1:11" x14ac:dyDescent="0.3">
      <c r="A3455" t="s">
        <v>203</v>
      </c>
    </row>
    <row r="3456" spans="1:11" x14ac:dyDescent="0.3">
      <c r="A3456" t="s">
        <v>72</v>
      </c>
      <c r="B3456">
        <v>1</v>
      </c>
      <c r="C3456" t="s">
        <v>81</v>
      </c>
      <c r="D3456">
        <v>0.3867411</v>
      </c>
      <c r="E3456" t="s">
        <v>74</v>
      </c>
      <c r="F3456">
        <v>386.74110000000002</v>
      </c>
      <c r="G3456" t="s">
        <v>75</v>
      </c>
      <c r="H3456">
        <v>386741.10200000001</v>
      </c>
      <c r="I3456" t="s">
        <v>76</v>
      </c>
      <c r="J3456" t="s">
        <v>82</v>
      </c>
      <c r="K3456">
        <v>2.5857090999999999</v>
      </c>
    </row>
    <row r="3457" spans="1:11" x14ac:dyDescent="0.3">
      <c r="A3457" t="s">
        <v>83</v>
      </c>
      <c r="B3457">
        <v>1000</v>
      </c>
      <c r="C3457" t="s">
        <v>81</v>
      </c>
      <c r="D3457">
        <v>1.719321E-2</v>
      </c>
      <c r="E3457" t="s">
        <v>74</v>
      </c>
      <c r="F3457">
        <v>17.193210000000001</v>
      </c>
      <c r="G3457" t="s">
        <v>75</v>
      </c>
      <c r="H3457">
        <v>17193.206999999999</v>
      </c>
      <c r="I3457" t="s">
        <v>76</v>
      </c>
      <c r="J3457" t="s">
        <v>82</v>
      </c>
      <c r="K3457">
        <v>58.162506399999998</v>
      </c>
    </row>
    <row r="3458" spans="1:11" x14ac:dyDescent="0.3">
      <c r="A3458" t="s">
        <v>85</v>
      </c>
      <c r="B3458">
        <v>1001</v>
      </c>
      <c r="C3458" t="s">
        <v>86</v>
      </c>
      <c r="D3458">
        <v>1.7562580000000001E-2</v>
      </c>
      <c r="E3458" t="s">
        <v>74</v>
      </c>
      <c r="F3458">
        <v>17.562580000000001</v>
      </c>
      <c r="G3458" t="s">
        <v>75</v>
      </c>
      <c r="H3458">
        <v>17562.577000000001</v>
      </c>
      <c r="I3458" t="s">
        <v>76</v>
      </c>
      <c r="J3458" t="s">
        <v>82</v>
      </c>
      <c r="K3458">
        <v>56.9392535</v>
      </c>
    </row>
    <row r="3460" spans="1:11" x14ac:dyDescent="0.3">
      <c r="A3460" t="s">
        <v>204</v>
      </c>
    </row>
    <row r="3461" spans="1:11" x14ac:dyDescent="0.3">
      <c r="A3461" t="s">
        <v>72</v>
      </c>
      <c r="B3461">
        <v>1</v>
      </c>
      <c r="C3461" t="s">
        <v>81</v>
      </c>
      <c r="D3461">
        <v>0.15353439999999999</v>
      </c>
      <c r="E3461" t="s">
        <v>74</v>
      </c>
      <c r="F3461">
        <v>153.53440000000001</v>
      </c>
      <c r="G3461" t="s">
        <v>75</v>
      </c>
      <c r="H3461">
        <v>153534.397</v>
      </c>
      <c r="I3461" t="s">
        <v>76</v>
      </c>
      <c r="J3461" t="s">
        <v>82</v>
      </c>
      <c r="K3461">
        <v>6.5131984999999997</v>
      </c>
    </row>
    <row r="3462" spans="1:11" x14ac:dyDescent="0.3">
      <c r="A3462" t="s">
        <v>83</v>
      </c>
      <c r="B3462">
        <v>1000</v>
      </c>
      <c r="C3462" t="s">
        <v>81</v>
      </c>
      <c r="D3462">
        <v>2.5209789999999999E-2</v>
      </c>
      <c r="E3462" t="s">
        <v>74</v>
      </c>
      <c r="F3462">
        <v>25.209790000000002</v>
      </c>
      <c r="G3462" t="s">
        <v>75</v>
      </c>
      <c r="H3462">
        <v>25209.794999999998</v>
      </c>
      <c r="I3462" t="s">
        <v>76</v>
      </c>
      <c r="J3462" t="s">
        <v>82</v>
      </c>
      <c r="K3462">
        <v>39.6671215</v>
      </c>
    </row>
    <row r="3463" spans="1:11" x14ac:dyDescent="0.3">
      <c r="A3463" t="s">
        <v>85</v>
      </c>
      <c r="B3463">
        <v>1001</v>
      </c>
      <c r="C3463" t="s">
        <v>86</v>
      </c>
      <c r="D3463">
        <v>2.533823E-2</v>
      </c>
      <c r="E3463" t="s">
        <v>74</v>
      </c>
      <c r="F3463">
        <v>25.338229999999999</v>
      </c>
      <c r="G3463" t="s">
        <v>75</v>
      </c>
      <c r="H3463">
        <v>25338.231</v>
      </c>
      <c r="I3463" t="s">
        <v>76</v>
      </c>
      <c r="J3463" t="s">
        <v>82</v>
      </c>
      <c r="K3463">
        <v>39.466054200000002</v>
      </c>
    </row>
    <row r="3465" spans="1:11" x14ac:dyDescent="0.3">
      <c r="A3465" t="s">
        <v>66</v>
      </c>
    </row>
    <row r="3467" spans="1:11" x14ac:dyDescent="0.3">
      <c r="A3467" t="s">
        <v>257</v>
      </c>
    </row>
    <row r="3468" spans="1:11" x14ac:dyDescent="0.3">
      <c r="A3468" t="s">
        <v>68</v>
      </c>
    </row>
    <row r="3469" spans="1:11" x14ac:dyDescent="0.3">
      <c r="A3469" t="s">
        <v>69</v>
      </c>
    </row>
    <row r="3470" spans="1:11" x14ac:dyDescent="0.3">
      <c r="A3470" t="s">
        <v>70</v>
      </c>
    </row>
    <row r="3471" spans="1:11" x14ac:dyDescent="0.3">
      <c r="A3471" t="s">
        <v>115</v>
      </c>
    </row>
    <row r="3472" spans="1:11" x14ac:dyDescent="0.3">
      <c r="A3472" t="s">
        <v>116</v>
      </c>
    </row>
    <row r="3473" spans="1:10" x14ac:dyDescent="0.3">
      <c r="A3473" t="s">
        <v>117</v>
      </c>
    </row>
    <row r="3474" spans="1:10" x14ac:dyDescent="0.3">
      <c r="A3474" t="s">
        <v>118</v>
      </c>
    </row>
    <row r="3475" spans="1:10" x14ac:dyDescent="0.3">
      <c r="A3475" t="s">
        <v>119</v>
      </c>
    </row>
    <row r="3476" spans="1:10" x14ac:dyDescent="0.3">
      <c r="A3476" t="s">
        <v>120</v>
      </c>
    </row>
    <row r="3477" spans="1:10" x14ac:dyDescent="0.3">
      <c r="A3477" t="s">
        <v>121</v>
      </c>
    </row>
    <row r="3478" spans="1:10" x14ac:dyDescent="0.3">
      <c r="A3478" t="s">
        <v>122</v>
      </c>
    </row>
    <row r="3479" spans="1:10" x14ac:dyDescent="0.3">
      <c r="A3479" t="s">
        <v>123</v>
      </c>
    </row>
    <row r="3480" spans="1:10" x14ac:dyDescent="0.3">
      <c r="A3480" t="s">
        <v>124</v>
      </c>
    </row>
    <row r="3481" spans="1:10" x14ac:dyDescent="0.3">
      <c r="A3481" t="s">
        <v>125</v>
      </c>
    </row>
    <row r="3482" spans="1:10" x14ac:dyDescent="0.3">
      <c r="A3482" t="s">
        <v>126</v>
      </c>
    </row>
    <row r="3483" spans="1:10" x14ac:dyDescent="0.3">
      <c r="A3483" t="s">
        <v>127</v>
      </c>
    </row>
    <row r="3484" spans="1:10" x14ac:dyDescent="0.3">
      <c r="A3484" t="s">
        <v>206</v>
      </c>
    </row>
    <row r="3485" spans="1:10" x14ac:dyDescent="0.3">
      <c r="A3485" t="s">
        <v>207</v>
      </c>
    </row>
    <row r="3486" spans="1:10" x14ac:dyDescent="0.3">
      <c r="A3486" t="s">
        <v>72</v>
      </c>
      <c r="B3486">
        <v>1</v>
      </c>
      <c r="C3486" t="s">
        <v>73</v>
      </c>
      <c r="D3486">
        <v>3.9999999999999998E-6</v>
      </c>
      <c r="E3486" t="s">
        <v>74</v>
      </c>
      <c r="F3486">
        <v>4.0000000000000001E-3</v>
      </c>
      <c r="G3486" t="s">
        <v>75</v>
      </c>
      <c r="H3486">
        <v>4</v>
      </c>
      <c r="I3486" t="s">
        <v>76</v>
      </c>
      <c r="J3486" t="s">
        <v>77</v>
      </c>
    </row>
    <row r="3487" spans="1:10" x14ac:dyDescent="0.3">
      <c r="A3487" t="s">
        <v>72</v>
      </c>
      <c r="B3487">
        <v>1</v>
      </c>
      <c r="C3487" t="s">
        <v>78</v>
      </c>
      <c r="D3487">
        <v>0.141929</v>
      </c>
      <c r="E3487" t="s">
        <v>74</v>
      </c>
      <c r="F3487">
        <v>141.929</v>
      </c>
      <c r="G3487" t="s">
        <v>75</v>
      </c>
      <c r="H3487">
        <v>141929.00099999999</v>
      </c>
      <c r="I3487" t="s">
        <v>76</v>
      </c>
      <c r="J3487" t="s">
        <v>77</v>
      </c>
    </row>
    <row r="3488" spans="1:10" x14ac:dyDescent="0.3">
      <c r="A3488" t="s">
        <v>72</v>
      </c>
      <c r="B3488">
        <v>1</v>
      </c>
      <c r="C3488" t="s">
        <v>79</v>
      </c>
      <c r="D3488">
        <v>0.37262099999999998</v>
      </c>
      <c r="E3488" t="s">
        <v>74</v>
      </c>
      <c r="F3488">
        <v>372.62099999999998</v>
      </c>
      <c r="G3488" t="s">
        <v>75</v>
      </c>
      <c r="H3488">
        <v>372621</v>
      </c>
      <c r="I3488" t="s">
        <v>76</v>
      </c>
      <c r="J3488" t="s">
        <v>77</v>
      </c>
    </row>
    <row r="3489" spans="1:11" x14ac:dyDescent="0.3">
      <c r="A3489" t="s">
        <v>72</v>
      </c>
      <c r="B3489">
        <v>1</v>
      </c>
      <c r="C3489" t="s">
        <v>94</v>
      </c>
      <c r="D3489">
        <v>3.5242200000000001E-2</v>
      </c>
      <c r="E3489" t="s">
        <v>74</v>
      </c>
      <c r="F3489">
        <v>35.242199999999997</v>
      </c>
      <c r="G3489" t="s">
        <v>75</v>
      </c>
      <c r="H3489">
        <v>35242.199999999997</v>
      </c>
      <c r="I3489" t="s">
        <v>76</v>
      </c>
      <c r="J3489" t="s">
        <v>77</v>
      </c>
    </row>
    <row r="3490" spans="1:11" x14ac:dyDescent="0.3">
      <c r="A3490" t="s">
        <v>72</v>
      </c>
      <c r="B3490">
        <v>1</v>
      </c>
      <c r="C3490" t="s">
        <v>80</v>
      </c>
      <c r="D3490">
        <v>3.5242700000000002E-2</v>
      </c>
      <c r="E3490" t="s">
        <v>74</v>
      </c>
      <c r="F3490">
        <v>35.242699999999999</v>
      </c>
      <c r="G3490" t="s">
        <v>75</v>
      </c>
      <c r="H3490">
        <v>35242.699000000001</v>
      </c>
      <c r="I3490" t="s">
        <v>76</v>
      </c>
      <c r="J3490" t="s">
        <v>77</v>
      </c>
    </row>
    <row r="3491" spans="1:11" x14ac:dyDescent="0.3">
      <c r="A3491" t="s">
        <v>72</v>
      </c>
      <c r="B3491">
        <v>1</v>
      </c>
      <c r="C3491" t="s">
        <v>81</v>
      </c>
      <c r="D3491">
        <v>0.40786591</v>
      </c>
      <c r="E3491" t="s">
        <v>74</v>
      </c>
      <c r="F3491">
        <v>407.86590999999999</v>
      </c>
      <c r="G3491" t="s">
        <v>75</v>
      </c>
      <c r="H3491">
        <v>407865.91200000001</v>
      </c>
      <c r="I3491" t="s">
        <v>76</v>
      </c>
      <c r="J3491" t="s">
        <v>82</v>
      </c>
      <c r="K3491">
        <v>2.4517861999999999</v>
      </c>
    </row>
    <row r="3492" spans="1:11" x14ac:dyDescent="0.3">
      <c r="A3492" t="s">
        <v>83</v>
      </c>
      <c r="B3492">
        <v>1000</v>
      </c>
      <c r="C3492" t="s">
        <v>79</v>
      </c>
      <c r="D3492">
        <v>4.8607000000000001E-4</v>
      </c>
      <c r="E3492" t="s">
        <v>74</v>
      </c>
      <c r="F3492">
        <v>0.48607</v>
      </c>
      <c r="G3492" t="s">
        <v>75</v>
      </c>
      <c r="H3492">
        <v>486.072</v>
      </c>
      <c r="I3492" t="s">
        <v>76</v>
      </c>
      <c r="J3492" t="s">
        <v>77</v>
      </c>
    </row>
    <row r="3493" spans="1:11" x14ac:dyDescent="0.3">
      <c r="A3493" t="s">
        <v>83</v>
      </c>
      <c r="B3493">
        <v>1000</v>
      </c>
      <c r="C3493" t="s">
        <v>94</v>
      </c>
      <c r="D3493">
        <v>1.6310439999999999E-2</v>
      </c>
      <c r="E3493" t="s">
        <v>74</v>
      </c>
      <c r="F3493">
        <v>16.31044</v>
      </c>
      <c r="G3493" t="s">
        <v>75</v>
      </c>
      <c r="H3493">
        <v>16310.438</v>
      </c>
      <c r="I3493" t="s">
        <v>76</v>
      </c>
      <c r="J3493" t="s">
        <v>77</v>
      </c>
    </row>
    <row r="3494" spans="1:11" x14ac:dyDescent="0.3">
      <c r="A3494" t="s">
        <v>83</v>
      </c>
      <c r="B3494">
        <v>1000</v>
      </c>
      <c r="C3494" t="s">
        <v>80</v>
      </c>
      <c r="D3494">
        <v>1.6310749999999999E-2</v>
      </c>
      <c r="E3494" t="s">
        <v>74</v>
      </c>
      <c r="F3494">
        <v>16.310749999999999</v>
      </c>
      <c r="G3494" t="s">
        <v>75</v>
      </c>
      <c r="H3494">
        <v>16310.749</v>
      </c>
      <c r="I3494" t="s">
        <v>76</v>
      </c>
      <c r="J3494" t="s">
        <v>77</v>
      </c>
    </row>
    <row r="3495" spans="1:11" x14ac:dyDescent="0.3">
      <c r="A3495" t="s">
        <v>83</v>
      </c>
      <c r="B3495">
        <v>1000</v>
      </c>
      <c r="C3495" t="s">
        <v>81</v>
      </c>
      <c r="D3495">
        <v>1.6797739999999999E-2</v>
      </c>
      <c r="E3495" t="s">
        <v>74</v>
      </c>
      <c r="F3495">
        <v>16.797740000000001</v>
      </c>
      <c r="G3495" t="s">
        <v>75</v>
      </c>
      <c r="H3495">
        <v>16797.735000000001</v>
      </c>
      <c r="I3495" t="s">
        <v>76</v>
      </c>
      <c r="J3495" t="s">
        <v>82</v>
      </c>
      <c r="K3495">
        <v>59.5318349</v>
      </c>
    </row>
    <row r="3496" spans="1:11" x14ac:dyDescent="0.3">
      <c r="A3496" t="s">
        <v>84</v>
      </c>
      <c r="B3496">
        <v>1001</v>
      </c>
      <c r="C3496" t="s">
        <v>79</v>
      </c>
      <c r="D3496">
        <v>8.5782999999999996E-4</v>
      </c>
      <c r="E3496" t="s">
        <v>74</v>
      </c>
      <c r="F3496">
        <v>0.85782999999999998</v>
      </c>
      <c r="G3496" t="s">
        <v>75</v>
      </c>
      <c r="H3496">
        <v>857.83500000000004</v>
      </c>
      <c r="I3496" t="s">
        <v>76</v>
      </c>
      <c r="J3496" t="s">
        <v>77</v>
      </c>
    </row>
    <row r="3497" spans="1:11" x14ac:dyDescent="0.3">
      <c r="A3497" t="s">
        <v>84</v>
      </c>
      <c r="B3497">
        <v>1001</v>
      </c>
      <c r="C3497" t="s">
        <v>94</v>
      </c>
      <c r="D3497">
        <v>1.6329349999999999E-2</v>
      </c>
      <c r="E3497" t="s">
        <v>74</v>
      </c>
      <c r="F3497">
        <v>16.329350000000002</v>
      </c>
      <c r="G3497" t="s">
        <v>75</v>
      </c>
      <c r="H3497">
        <v>16329.351000000001</v>
      </c>
      <c r="I3497" t="s">
        <v>76</v>
      </c>
      <c r="J3497" t="s">
        <v>77</v>
      </c>
    </row>
    <row r="3498" spans="1:11" x14ac:dyDescent="0.3">
      <c r="A3498" t="s">
        <v>84</v>
      </c>
      <c r="B3498">
        <v>1001</v>
      </c>
      <c r="C3498" t="s">
        <v>80</v>
      </c>
      <c r="D3498">
        <v>1.6329659999999999E-2</v>
      </c>
      <c r="E3498" t="s">
        <v>74</v>
      </c>
      <c r="F3498">
        <v>16.329660000000001</v>
      </c>
      <c r="G3498" t="s">
        <v>75</v>
      </c>
      <c r="H3498">
        <v>16329.663</v>
      </c>
      <c r="I3498" t="s">
        <v>76</v>
      </c>
      <c r="J3498" t="s">
        <v>77</v>
      </c>
    </row>
    <row r="3499" spans="1:11" x14ac:dyDescent="0.3">
      <c r="A3499" t="s">
        <v>84</v>
      </c>
      <c r="B3499">
        <v>1001</v>
      </c>
      <c r="C3499" t="s">
        <v>81</v>
      </c>
      <c r="D3499">
        <v>1.7188410000000001E-2</v>
      </c>
      <c r="E3499" t="s">
        <v>74</v>
      </c>
      <c r="F3499">
        <v>17.188410000000001</v>
      </c>
      <c r="G3499" t="s">
        <v>75</v>
      </c>
      <c r="H3499">
        <v>17188.406999999999</v>
      </c>
      <c r="I3499" t="s">
        <v>76</v>
      </c>
      <c r="J3499" t="s">
        <v>82</v>
      </c>
      <c r="K3499">
        <v>58.178749400000001</v>
      </c>
    </row>
    <row r="3500" spans="1:11" x14ac:dyDescent="0.3">
      <c r="A3500" t="s">
        <v>85</v>
      </c>
      <c r="B3500">
        <v>1001</v>
      </c>
      <c r="C3500" t="s">
        <v>86</v>
      </c>
      <c r="D3500">
        <v>1.7188559999999999E-2</v>
      </c>
      <c r="E3500" t="s">
        <v>74</v>
      </c>
      <c r="F3500">
        <v>17.188559999999999</v>
      </c>
      <c r="G3500" t="s">
        <v>75</v>
      </c>
      <c r="H3500">
        <v>17188.555</v>
      </c>
      <c r="I3500" t="s">
        <v>76</v>
      </c>
      <c r="J3500" t="s">
        <v>82</v>
      </c>
      <c r="K3500">
        <v>58.178246299999998</v>
      </c>
    </row>
    <row r="3501" spans="1:11" x14ac:dyDescent="0.3">
      <c r="A3501" t="s">
        <v>208</v>
      </c>
    </row>
    <row r="3502" spans="1:11" x14ac:dyDescent="0.3">
      <c r="A3502" t="s">
        <v>209</v>
      </c>
    </row>
    <row r="3503" spans="1:11" x14ac:dyDescent="0.3">
      <c r="A3503" t="s">
        <v>72</v>
      </c>
      <c r="B3503">
        <v>1</v>
      </c>
      <c r="C3503" t="s">
        <v>73</v>
      </c>
      <c r="D3503">
        <v>3.9999999999999998E-6</v>
      </c>
      <c r="E3503" t="s">
        <v>74</v>
      </c>
      <c r="F3503">
        <v>4.0000000000000001E-3</v>
      </c>
      <c r="G3503" t="s">
        <v>75</v>
      </c>
      <c r="H3503">
        <v>4</v>
      </c>
      <c r="I3503" t="s">
        <v>76</v>
      </c>
      <c r="J3503" t="s">
        <v>77</v>
      </c>
    </row>
    <row r="3504" spans="1:11" x14ac:dyDescent="0.3">
      <c r="A3504" t="s">
        <v>72</v>
      </c>
      <c r="B3504">
        <v>1</v>
      </c>
      <c r="C3504" t="s">
        <v>78</v>
      </c>
      <c r="D3504">
        <v>5.2099999999999999E-5</v>
      </c>
      <c r="E3504" t="s">
        <v>74</v>
      </c>
      <c r="F3504">
        <v>5.21E-2</v>
      </c>
      <c r="G3504" t="s">
        <v>75</v>
      </c>
      <c r="H3504">
        <v>52.1</v>
      </c>
      <c r="I3504" t="s">
        <v>76</v>
      </c>
      <c r="J3504" t="s">
        <v>77</v>
      </c>
    </row>
    <row r="3505" spans="1:11" x14ac:dyDescent="0.3">
      <c r="A3505" t="s">
        <v>72</v>
      </c>
      <c r="B3505">
        <v>1</v>
      </c>
      <c r="C3505" t="s">
        <v>79</v>
      </c>
      <c r="D3505">
        <v>4.0882000000000002E-3</v>
      </c>
      <c r="E3505" t="s">
        <v>74</v>
      </c>
      <c r="F3505">
        <v>4.0881999999999996</v>
      </c>
      <c r="G3505" t="s">
        <v>75</v>
      </c>
      <c r="H3505">
        <v>4088.2</v>
      </c>
      <c r="I3505" t="s">
        <v>76</v>
      </c>
      <c r="J3505" t="s">
        <v>77</v>
      </c>
    </row>
    <row r="3506" spans="1:11" x14ac:dyDescent="0.3">
      <c r="A3506" t="s">
        <v>72</v>
      </c>
      <c r="B3506">
        <v>1</v>
      </c>
      <c r="C3506" t="s">
        <v>94</v>
      </c>
      <c r="D3506">
        <v>2.7550700000000001E-2</v>
      </c>
      <c r="E3506" t="s">
        <v>74</v>
      </c>
      <c r="F3506">
        <v>27.550699999999999</v>
      </c>
      <c r="G3506" t="s">
        <v>75</v>
      </c>
      <c r="H3506">
        <v>27550.699000000001</v>
      </c>
      <c r="I3506" t="s">
        <v>76</v>
      </c>
      <c r="J3506" t="s">
        <v>77</v>
      </c>
    </row>
    <row r="3507" spans="1:11" x14ac:dyDescent="0.3">
      <c r="A3507" t="s">
        <v>72</v>
      </c>
      <c r="B3507">
        <v>1</v>
      </c>
      <c r="C3507" t="s">
        <v>80</v>
      </c>
      <c r="D3507">
        <v>2.75515E-2</v>
      </c>
      <c r="E3507" t="s">
        <v>74</v>
      </c>
      <c r="F3507">
        <v>27.551500000000001</v>
      </c>
      <c r="G3507" t="s">
        <v>75</v>
      </c>
      <c r="H3507">
        <v>27551.5</v>
      </c>
      <c r="I3507" t="s">
        <v>76</v>
      </c>
      <c r="J3507" t="s">
        <v>77</v>
      </c>
    </row>
    <row r="3508" spans="1:11" x14ac:dyDescent="0.3">
      <c r="A3508" t="s">
        <v>72</v>
      </c>
      <c r="B3508">
        <v>1</v>
      </c>
      <c r="C3508" t="s">
        <v>81</v>
      </c>
      <c r="D3508">
        <v>3.1641000000000002E-2</v>
      </c>
      <c r="E3508" t="s">
        <v>74</v>
      </c>
      <c r="F3508">
        <v>31.640999999999998</v>
      </c>
      <c r="G3508" t="s">
        <v>75</v>
      </c>
      <c r="H3508">
        <v>31640.999</v>
      </c>
      <c r="I3508" t="s">
        <v>76</v>
      </c>
      <c r="J3508" t="s">
        <v>82</v>
      </c>
      <c r="K3508">
        <v>31.604564700000001</v>
      </c>
    </row>
    <row r="3509" spans="1:11" x14ac:dyDescent="0.3">
      <c r="A3509" t="s">
        <v>83</v>
      </c>
      <c r="B3509">
        <v>1000</v>
      </c>
      <c r="C3509" t="s">
        <v>79</v>
      </c>
      <c r="D3509">
        <v>5.0774000000000001E-4</v>
      </c>
      <c r="E3509" t="s">
        <v>74</v>
      </c>
      <c r="F3509">
        <v>0.50773999999999997</v>
      </c>
      <c r="G3509" t="s">
        <v>75</v>
      </c>
      <c r="H3509">
        <v>507.73599999999999</v>
      </c>
      <c r="I3509" t="s">
        <v>76</v>
      </c>
      <c r="J3509" t="s">
        <v>77</v>
      </c>
    </row>
    <row r="3510" spans="1:11" x14ac:dyDescent="0.3">
      <c r="A3510" t="s">
        <v>83</v>
      </c>
      <c r="B3510">
        <v>1000</v>
      </c>
      <c r="C3510" t="s">
        <v>94</v>
      </c>
      <c r="D3510">
        <v>2.4169599999999999E-2</v>
      </c>
      <c r="E3510" t="s">
        <v>74</v>
      </c>
      <c r="F3510">
        <v>24.169599999999999</v>
      </c>
      <c r="G3510" t="s">
        <v>75</v>
      </c>
      <c r="H3510">
        <v>24169.602999999999</v>
      </c>
      <c r="I3510" t="s">
        <v>76</v>
      </c>
      <c r="J3510" t="s">
        <v>77</v>
      </c>
    </row>
    <row r="3511" spans="1:11" x14ac:dyDescent="0.3">
      <c r="A3511" t="s">
        <v>83</v>
      </c>
      <c r="B3511">
        <v>1000</v>
      </c>
      <c r="C3511" t="s">
        <v>80</v>
      </c>
      <c r="D3511">
        <v>2.4349599999999999E-2</v>
      </c>
      <c r="E3511" t="s">
        <v>74</v>
      </c>
      <c r="F3511">
        <v>24.349599999999999</v>
      </c>
      <c r="G3511" t="s">
        <v>75</v>
      </c>
      <c r="H3511">
        <v>24349.603999999999</v>
      </c>
      <c r="I3511" t="s">
        <v>76</v>
      </c>
      <c r="J3511" t="s">
        <v>77</v>
      </c>
    </row>
    <row r="3512" spans="1:11" x14ac:dyDescent="0.3">
      <c r="A3512" t="s">
        <v>83</v>
      </c>
      <c r="B3512">
        <v>1000</v>
      </c>
      <c r="C3512" t="s">
        <v>81</v>
      </c>
      <c r="D3512">
        <v>2.4858689999999999E-2</v>
      </c>
      <c r="E3512" t="s">
        <v>74</v>
      </c>
      <c r="F3512">
        <v>24.858689999999999</v>
      </c>
      <c r="G3512" t="s">
        <v>75</v>
      </c>
      <c r="H3512">
        <v>24858.694</v>
      </c>
      <c r="I3512" t="s">
        <v>76</v>
      </c>
      <c r="J3512" t="s">
        <v>82</v>
      </c>
      <c r="K3512">
        <v>40.227374699999999</v>
      </c>
    </row>
    <row r="3513" spans="1:11" x14ac:dyDescent="0.3">
      <c r="A3513" t="s">
        <v>84</v>
      </c>
      <c r="B3513">
        <v>1001</v>
      </c>
      <c r="C3513" t="s">
        <v>79</v>
      </c>
      <c r="D3513">
        <v>5.1130999999999995E-4</v>
      </c>
      <c r="E3513" t="s">
        <v>74</v>
      </c>
      <c r="F3513">
        <v>0.51131000000000004</v>
      </c>
      <c r="G3513" t="s">
        <v>75</v>
      </c>
      <c r="H3513">
        <v>511.31299999999999</v>
      </c>
      <c r="I3513" t="s">
        <v>76</v>
      </c>
      <c r="J3513" t="s">
        <v>77</v>
      </c>
    </row>
    <row r="3514" spans="1:11" x14ac:dyDescent="0.3">
      <c r="A3514" t="s">
        <v>84</v>
      </c>
      <c r="B3514">
        <v>1001</v>
      </c>
      <c r="C3514" t="s">
        <v>94</v>
      </c>
      <c r="D3514">
        <v>2.417298E-2</v>
      </c>
      <c r="E3514" t="s">
        <v>74</v>
      </c>
      <c r="F3514">
        <v>24.172979999999999</v>
      </c>
      <c r="G3514" t="s">
        <v>75</v>
      </c>
      <c r="H3514">
        <v>24172.98</v>
      </c>
      <c r="I3514" t="s">
        <v>76</v>
      </c>
      <c r="J3514" t="s">
        <v>77</v>
      </c>
    </row>
    <row r="3515" spans="1:11" x14ac:dyDescent="0.3">
      <c r="A3515" t="s">
        <v>84</v>
      </c>
      <c r="B3515">
        <v>1001</v>
      </c>
      <c r="C3515" t="s">
        <v>80</v>
      </c>
      <c r="D3515">
        <v>2.4352800000000001E-2</v>
      </c>
      <c r="E3515" t="s">
        <v>74</v>
      </c>
      <c r="F3515">
        <v>24.352799999999998</v>
      </c>
      <c r="G3515" t="s">
        <v>75</v>
      </c>
      <c r="H3515">
        <v>24352.803</v>
      </c>
      <c r="I3515" t="s">
        <v>76</v>
      </c>
      <c r="J3515" t="s">
        <v>77</v>
      </c>
    </row>
    <row r="3516" spans="1:11" x14ac:dyDescent="0.3">
      <c r="A3516" t="s">
        <v>84</v>
      </c>
      <c r="B3516">
        <v>1001</v>
      </c>
      <c r="C3516" t="s">
        <v>81</v>
      </c>
      <c r="D3516">
        <v>2.4865470000000001E-2</v>
      </c>
      <c r="E3516" t="s">
        <v>74</v>
      </c>
      <c r="F3516">
        <v>24.865469999999998</v>
      </c>
      <c r="G3516" t="s">
        <v>75</v>
      </c>
      <c r="H3516">
        <v>24865.47</v>
      </c>
      <c r="I3516" t="s">
        <v>76</v>
      </c>
      <c r="J3516" t="s">
        <v>82</v>
      </c>
      <c r="K3516">
        <v>40.216413199999998</v>
      </c>
    </row>
    <row r="3517" spans="1:11" x14ac:dyDescent="0.3">
      <c r="A3517" t="s">
        <v>85</v>
      </c>
      <c r="B3517">
        <v>1001</v>
      </c>
      <c r="C3517" t="s">
        <v>86</v>
      </c>
      <c r="D3517">
        <v>2.4865720000000001E-2</v>
      </c>
      <c r="E3517" t="s">
        <v>74</v>
      </c>
      <c r="F3517">
        <v>24.86572</v>
      </c>
      <c r="G3517" t="s">
        <v>75</v>
      </c>
      <c r="H3517">
        <v>24865.719000000001</v>
      </c>
      <c r="I3517" t="s">
        <v>76</v>
      </c>
      <c r="J3517" t="s">
        <v>82</v>
      </c>
      <c r="K3517">
        <v>40.216009499999998</v>
      </c>
    </row>
    <row r="3518" spans="1:11" x14ac:dyDescent="0.3">
      <c r="A3518" t="s">
        <v>115</v>
      </c>
    </row>
    <row r="3519" spans="1:11" x14ac:dyDescent="0.3">
      <c r="A3519" t="s">
        <v>127</v>
      </c>
    </row>
    <row r="3520" spans="1:11" x14ac:dyDescent="0.3">
      <c r="A3520" t="s">
        <v>87</v>
      </c>
    </row>
    <row r="3521" spans="1:11" x14ac:dyDescent="0.3">
      <c r="A3521" t="s">
        <v>210</v>
      </c>
    </row>
    <row r="3522" spans="1:11" x14ac:dyDescent="0.3">
      <c r="A3522" t="s">
        <v>72</v>
      </c>
      <c r="B3522">
        <v>1</v>
      </c>
      <c r="C3522" t="s">
        <v>81</v>
      </c>
      <c r="D3522">
        <v>0.40786591</v>
      </c>
      <c r="E3522" t="s">
        <v>74</v>
      </c>
      <c r="F3522">
        <v>407.86590999999999</v>
      </c>
      <c r="G3522" t="s">
        <v>75</v>
      </c>
      <c r="H3522">
        <v>407865.91200000001</v>
      </c>
      <c r="I3522" t="s">
        <v>76</v>
      </c>
      <c r="J3522" t="s">
        <v>82</v>
      </c>
      <c r="K3522">
        <v>2.4517861999999999</v>
      </c>
    </row>
    <row r="3523" spans="1:11" x14ac:dyDescent="0.3">
      <c r="A3523" t="s">
        <v>83</v>
      </c>
      <c r="B3523">
        <v>1000</v>
      </c>
      <c r="C3523" t="s">
        <v>81</v>
      </c>
      <c r="D3523">
        <v>1.6797739999999999E-2</v>
      </c>
      <c r="E3523" t="s">
        <v>74</v>
      </c>
      <c r="F3523">
        <v>16.797740000000001</v>
      </c>
      <c r="G3523" t="s">
        <v>75</v>
      </c>
      <c r="H3523">
        <v>16797.735000000001</v>
      </c>
      <c r="I3523" t="s">
        <v>76</v>
      </c>
      <c r="J3523" t="s">
        <v>82</v>
      </c>
      <c r="K3523">
        <v>59.5318349</v>
      </c>
    </row>
    <row r="3524" spans="1:11" x14ac:dyDescent="0.3">
      <c r="A3524" t="s">
        <v>85</v>
      </c>
      <c r="B3524">
        <v>1001</v>
      </c>
      <c r="C3524" t="s">
        <v>86</v>
      </c>
      <c r="D3524">
        <v>1.7188559999999999E-2</v>
      </c>
      <c r="E3524" t="s">
        <v>74</v>
      </c>
      <c r="F3524">
        <v>17.188559999999999</v>
      </c>
      <c r="G3524" t="s">
        <v>75</v>
      </c>
      <c r="H3524">
        <v>17188.555</v>
      </c>
      <c r="I3524" t="s">
        <v>76</v>
      </c>
      <c r="J3524" t="s">
        <v>82</v>
      </c>
      <c r="K3524">
        <v>58.178246299999998</v>
      </c>
    </row>
    <row r="3526" spans="1:11" x14ac:dyDescent="0.3">
      <c r="A3526" t="s">
        <v>211</v>
      </c>
    </row>
    <row r="3527" spans="1:11" x14ac:dyDescent="0.3">
      <c r="A3527" t="s">
        <v>72</v>
      </c>
      <c r="B3527">
        <v>1</v>
      </c>
      <c r="C3527" t="s">
        <v>81</v>
      </c>
      <c r="D3527">
        <v>3.1641000000000002E-2</v>
      </c>
      <c r="E3527" t="s">
        <v>74</v>
      </c>
      <c r="F3527">
        <v>31.640999999999998</v>
      </c>
      <c r="G3527" t="s">
        <v>75</v>
      </c>
      <c r="H3527">
        <v>31640.999</v>
      </c>
      <c r="I3527" t="s">
        <v>76</v>
      </c>
      <c r="J3527" t="s">
        <v>82</v>
      </c>
      <c r="K3527">
        <v>31.604564700000001</v>
      </c>
    </row>
    <row r="3528" spans="1:11" x14ac:dyDescent="0.3">
      <c r="A3528" t="s">
        <v>83</v>
      </c>
      <c r="B3528">
        <v>1000</v>
      </c>
      <c r="C3528" t="s">
        <v>81</v>
      </c>
      <c r="D3528">
        <v>2.4858689999999999E-2</v>
      </c>
      <c r="E3528" t="s">
        <v>74</v>
      </c>
      <c r="F3528">
        <v>24.858689999999999</v>
      </c>
      <c r="G3528" t="s">
        <v>75</v>
      </c>
      <c r="H3528">
        <v>24858.694</v>
      </c>
      <c r="I3528" t="s">
        <v>76</v>
      </c>
      <c r="J3528" t="s">
        <v>82</v>
      </c>
      <c r="K3528">
        <v>40.227374699999999</v>
      </c>
    </row>
    <row r="3529" spans="1:11" x14ac:dyDescent="0.3">
      <c r="A3529" t="s">
        <v>85</v>
      </c>
      <c r="B3529">
        <v>1001</v>
      </c>
      <c r="C3529" t="s">
        <v>86</v>
      </c>
      <c r="D3529">
        <v>2.4865720000000001E-2</v>
      </c>
      <c r="E3529" t="s">
        <v>74</v>
      </c>
      <c r="F3529">
        <v>24.86572</v>
      </c>
      <c r="G3529" t="s">
        <v>75</v>
      </c>
      <c r="H3529">
        <v>24865.719000000001</v>
      </c>
      <c r="I3529" t="s">
        <v>76</v>
      </c>
      <c r="J3529" t="s">
        <v>82</v>
      </c>
      <c r="K3529">
        <v>40.216009499999998</v>
      </c>
    </row>
    <row r="3531" spans="1:11" x14ac:dyDescent="0.3">
      <c r="A3531" t="s">
        <v>66</v>
      </c>
    </row>
    <row r="3533" spans="1:11" x14ac:dyDescent="0.3">
      <c r="A3533" t="s">
        <v>258</v>
      </c>
    </row>
    <row r="3534" spans="1:11" x14ac:dyDescent="0.3">
      <c r="A3534" t="s">
        <v>68</v>
      </c>
    </row>
    <row r="3535" spans="1:11" x14ac:dyDescent="0.3">
      <c r="A3535" t="s">
        <v>69</v>
      </c>
    </row>
    <row r="3536" spans="1:11" x14ac:dyDescent="0.3">
      <c r="A3536" t="s">
        <v>70</v>
      </c>
    </row>
    <row r="3537" spans="1:10" x14ac:dyDescent="0.3">
      <c r="A3537" t="s">
        <v>115</v>
      </c>
    </row>
    <row r="3538" spans="1:10" x14ac:dyDescent="0.3">
      <c r="A3538" t="s">
        <v>116</v>
      </c>
    </row>
    <row r="3539" spans="1:10" x14ac:dyDescent="0.3">
      <c r="A3539" t="s">
        <v>117</v>
      </c>
    </row>
    <row r="3540" spans="1:10" x14ac:dyDescent="0.3">
      <c r="A3540" t="s">
        <v>118</v>
      </c>
    </row>
    <row r="3541" spans="1:10" x14ac:dyDescent="0.3">
      <c r="A3541" t="s">
        <v>119</v>
      </c>
    </row>
    <row r="3542" spans="1:10" x14ac:dyDescent="0.3">
      <c r="A3542" t="s">
        <v>120</v>
      </c>
    </row>
    <row r="3543" spans="1:10" x14ac:dyDescent="0.3">
      <c r="A3543" t="s">
        <v>121</v>
      </c>
    </row>
    <row r="3544" spans="1:10" x14ac:dyDescent="0.3">
      <c r="A3544" t="s">
        <v>122</v>
      </c>
    </row>
    <row r="3545" spans="1:10" x14ac:dyDescent="0.3">
      <c r="A3545" t="s">
        <v>123</v>
      </c>
    </row>
    <row r="3546" spans="1:10" x14ac:dyDescent="0.3">
      <c r="A3546" t="s">
        <v>124</v>
      </c>
    </row>
    <row r="3547" spans="1:10" x14ac:dyDescent="0.3">
      <c r="A3547" t="s">
        <v>125</v>
      </c>
    </row>
    <row r="3548" spans="1:10" x14ac:dyDescent="0.3">
      <c r="A3548" t="s">
        <v>126</v>
      </c>
    </row>
    <row r="3549" spans="1:10" x14ac:dyDescent="0.3">
      <c r="A3549" t="s">
        <v>127</v>
      </c>
    </row>
    <row r="3550" spans="1:10" x14ac:dyDescent="0.3">
      <c r="A3550" t="s">
        <v>213</v>
      </c>
    </row>
    <row r="3551" spans="1:10" x14ac:dyDescent="0.3">
      <c r="A3551" t="s">
        <v>214</v>
      </c>
    </row>
    <row r="3552" spans="1:10" x14ac:dyDescent="0.3">
      <c r="A3552" t="s">
        <v>72</v>
      </c>
      <c r="B3552">
        <v>1</v>
      </c>
      <c r="C3552" t="s">
        <v>73</v>
      </c>
      <c r="D3552">
        <v>4.5000000000000001E-6</v>
      </c>
      <c r="E3552" t="s">
        <v>74</v>
      </c>
      <c r="F3552">
        <v>4.4999999999999997E-3</v>
      </c>
      <c r="G3552" t="s">
        <v>75</v>
      </c>
      <c r="H3552">
        <v>4.5</v>
      </c>
      <c r="I3552" t="s">
        <v>76</v>
      </c>
      <c r="J3552" t="s">
        <v>77</v>
      </c>
    </row>
    <row r="3553" spans="1:11" x14ac:dyDescent="0.3">
      <c r="A3553" t="s">
        <v>72</v>
      </c>
      <c r="B3553">
        <v>1</v>
      </c>
      <c r="C3553" t="s">
        <v>78</v>
      </c>
      <c r="D3553">
        <v>0.13478680000000001</v>
      </c>
      <c r="E3553" t="s">
        <v>74</v>
      </c>
      <c r="F3553">
        <v>134.7868</v>
      </c>
      <c r="G3553" t="s">
        <v>75</v>
      </c>
      <c r="H3553">
        <v>134786.79999999999</v>
      </c>
      <c r="I3553" t="s">
        <v>76</v>
      </c>
      <c r="J3553" t="s">
        <v>77</v>
      </c>
    </row>
    <row r="3554" spans="1:11" x14ac:dyDescent="0.3">
      <c r="A3554" t="s">
        <v>72</v>
      </c>
      <c r="B3554">
        <v>1</v>
      </c>
      <c r="C3554" t="s">
        <v>79</v>
      </c>
      <c r="D3554">
        <v>0.36980598999999997</v>
      </c>
      <c r="E3554" t="s">
        <v>74</v>
      </c>
      <c r="F3554">
        <v>369.80599000000001</v>
      </c>
      <c r="G3554" t="s">
        <v>75</v>
      </c>
      <c r="H3554">
        <v>369805.99200000003</v>
      </c>
      <c r="I3554" t="s">
        <v>76</v>
      </c>
      <c r="J3554" t="s">
        <v>77</v>
      </c>
    </row>
    <row r="3555" spans="1:11" x14ac:dyDescent="0.3">
      <c r="A3555" t="s">
        <v>72</v>
      </c>
      <c r="B3555">
        <v>1</v>
      </c>
      <c r="C3555" t="s">
        <v>94</v>
      </c>
      <c r="D3555">
        <v>4.3071000000000003E-3</v>
      </c>
      <c r="E3555" t="s">
        <v>74</v>
      </c>
      <c r="F3555">
        <v>4.3071000000000002</v>
      </c>
      <c r="G3555" t="s">
        <v>75</v>
      </c>
      <c r="H3555">
        <v>4307.1000000000004</v>
      </c>
      <c r="I3555" t="s">
        <v>76</v>
      </c>
      <c r="J3555" t="s">
        <v>77</v>
      </c>
    </row>
    <row r="3556" spans="1:11" x14ac:dyDescent="0.3">
      <c r="A3556" t="s">
        <v>72</v>
      </c>
      <c r="B3556">
        <v>1</v>
      </c>
      <c r="C3556" t="s">
        <v>80</v>
      </c>
      <c r="D3556">
        <v>4.3081999999999999E-3</v>
      </c>
      <c r="E3556" t="s">
        <v>74</v>
      </c>
      <c r="F3556">
        <v>4.3082000000000003</v>
      </c>
      <c r="G3556" t="s">
        <v>75</v>
      </c>
      <c r="H3556">
        <v>4308.2</v>
      </c>
      <c r="I3556" t="s">
        <v>76</v>
      </c>
      <c r="J3556" t="s">
        <v>77</v>
      </c>
    </row>
    <row r="3557" spans="1:11" x14ac:dyDescent="0.3">
      <c r="A3557" t="s">
        <v>72</v>
      </c>
      <c r="B3557">
        <v>1</v>
      </c>
      <c r="C3557" t="s">
        <v>81</v>
      </c>
      <c r="D3557">
        <v>0.37411730999999998</v>
      </c>
      <c r="E3557" t="s">
        <v>74</v>
      </c>
      <c r="F3557">
        <v>374.11730999999997</v>
      </c>
      <c r="G3557" t="s">
        <v>75</v>
      </c>
      <c r="H3557">
        <v>374117.315</v>
      </c>
      <c r="I3557" t="s">
        <v>76</v>
      </c>
      <c r="J3557" t="s">
        <v>82</v>
      </c>
      <c r="K3557">
        <v>2.6729582999999999</v>
      </c>
    </row>
    <row r="3558" spans="1:11" x14ac:dyDescent="0.3">
      <c r="A3558" t="s">
        <v>83</v>
      </c>
      <c r="B3558">
        <v>1000</v>
      </c>
      <c r="C3558" t="s">
        <v>79</v>
      </c>
      <c r="D3558">
        <v>4.8879999999999996E-4</v>
      </c>
      <c r="E3558" t="s">
        <v>74</v>
      </c>
      <c r="F3558">
        <v>0.48880000000000001</v>
      </c>
      <c r="G3558" t="s">
        <v>75</v>
      </c>
      <c r="H3558">
        <v>488.798</v>
      </c>
      <c r="I3558" t="s">
        <v>76</v>
      </c>
      <c r="J3558" t="s">
        <v>77</v>
      </c>
    </row>
    <row r="3559" spans="1:11" x14ac:dyDescent="0.3">
      <c r="A3559" t="s">
        <v>83</v>
      </c>
      <c r="B3559">
        <v>1000</v>
      </c>
      <c r="C3559" t="s">
        <v>94</v>
      </c>
      <c r="D3559">
        <v>7.8036000000000002E-4</v>
      </c>
      <c r="E3559" t="s">
        <v>74</v>
      </c>
      <c r="F3559">
        <v>0.78036000000000005</v>
      </c>
      <c r="G3559" t="s">
        <v>75</v>
      </c>
      <c r="H3559">
        <v>780.35599999999999</v>
      </c>
      <c r="I3559" t="s">
        <v>76</v>
      </c>
      <c r="J3559" t="s">
        <v>77</v>
      </c>
    </row>
    <row r="3560" spans="1:11" x14ac:dyDescent="0.3">
      <c r="A3560" t="s">
        <v>83</v>
      </c>
      <c r="B3560">
        <v>1000</v>
      </c>
      <c r="C3560" t="s">
        <v>80</v>
      </c>
      <c r="D3560">
        <v>7.8076000000000003E-4</v>
      </c>
      <c r="E3560" t="s">
        <v>74</v>
      </c>
      <c r="F3560">
        <v>0.78076000000000001</v>
      </c>
      <c r="G3560" t="s">
        <v>75</v>
      </c>
      <c r="H3560">
        <v>780.75900000000001</v>
      </c>
      <c r="I3560" t="s">
        <v>76</v>
      </c>
      <c r="J3560" t="s">
        <v>77</v>
      </c>
    </row>
    <row r="3561" spans="1:11" x14ac:dyDescent="0.3">
      <c r="A3561" t="s">
        <v>83</v>
      </c>
      <c r="B3561">
        <v>1000</v>
      </c>
      <c r="C3561" t="s">
        <v>81</v>
      </c>
      <c r="D3561">
        <v>1.27052E-3</v>
      </c>
      <c r="E3561" t="s">
        <v>74</v>
      </c>
      <c r="F3561">
        <v>1.2705200000000001</v>
      </c>
      <c r="G3561" t="s">
        <v>75</v>
      </c>
      <c r="H3561">
        <v>1270.5219999999999</v>
      </c>
      <c r="I3561" t="s">
        <v>76</v>
      </c>
      <c r="J3561" t="s">
        <v>82</v>
      </c>
      <c r="K3561">
        <v>787.07792040000004</v>
      </c>
    </row>
    <row r="3562" spans="1:11" x14ac:dyDescent="0.3">
      <c r="A3562" t="s">
        <v>84</v>
      </c>
      <c r="B3562">
        <v>1001</v>
      </c>
      <c r="C3562" t="s">
        <v>79</v>
      </c>
      <c r="D3562">
        <v>8.5775000000000001E-4</v>
      </c>
      <c r="E3562" t="s">
        <v>74</v>
      </c>
      <c r="F3562">
        <v>0.85775000000000001</v>
      </c>
      <c r="G3562" t="s">
        <v>75</v>
      </c>
      <c r="H3562">
        <v>857.74699999999996</v>
      </c>
      <c r="I3562" t="s">
        <v>76</v>
      </c>
      <c r="J3562" t="s">
        <v>77</v>
      </c>
    </row>
    <row r="3563" spans="1:11" x14ac:dyDescent="0.3">
      <c r="A3563" t="s">
        <v>84</v>
      </c>
      <c r="B3563">
        <v>1001</v>
      </c>
      <c r="C3563" t="s">
        <v>94</v>
      </c>
      <c r="D3563">
        <v>7.8388000000000004E-4</v>
      </c>
      <c r="E3563" t="s">
        <v>74</v>
      </c>
      <c r="F3563">
        <v>0.78388000000000002</v>
      </c>
      <c r="G3563" t="s">
        <v>75</v>
      </c>
      <c r="H3563">
        <v>783.87900000000002</v>
      </c>
      <c r="I3563" t="s">
        <v>76</v>
      </c>
      <c r="J3563" t="s">
        <v>77</v>
      </c>
    </row>
    <row r="3564" spans="1:11" x14ac:dyDescent="0.3">
      <c r="A3564" t="s">
        <v>84</v>
      </c>
      <c r="B3564">
        <v>1001</v>
      </c>
      <c r="C3564" t="s">
        <v>80</v>
      </c>
      <c r="D3564">
        <v>7.8428000000000005E-4</v>
      </c>
      <c r="E3564" t="s">
        <v>74</v>
      </c>
      <c r="F3564">
        <v>0.78427999999999998</v>
      </c>
      <c r="G3564" t="s">
        <v>75</v>
      </c>
      <c r="H3564">
        <v>784.28300000000002</v>
      </c>
      <c r="I3564" t="s">
        <v>76</v>
      </c>
      <c r="J3564" t="s">
        <v>77</v>
      </c>
    </row>
    <row r="3565" spans="1:11" x14ac:dyDescent="0.3">
      <c r="A3565" t="s">
        <v>84</v>
      </c>
      <c r="B3565">
        <v>1001</v>
      </c>
      <c r="C3565" t="s">
        <v>81</v>
      </c>
      <c r="D3565">
        <v>1.6429999999999999E-3</v>
      </c>
      <c r="E3565" t="s">
        <v>74</v>
      </c>
      <c r="F3565">
        <v>1.643</v>
      </c>
      <c r="G3565" t="s">
        <v>75</v>
      </c>
      <c r="H3565">
        <v>1642.9970000000001</v>
      </c>
      <c r="I3565" t="s">
        <v>76</v>
      </c>
      <c r="J3565" t="s">
        <v>82</v>
      </c>
      <c r="K3565">
        <v>608.64393670000004</v>
      </c>
    </row>
    <row r="3566" spans="1:11" x14ac:dyDescent="0.3">
      <c r="A3566" t="s">
        <v>85</v>
      </c>
      <c r="B3566">
        <v>1001</v>
      </c>
      <c r="C3566" t="s">
        <v>86</v>
      </c>
      <c r="D3566">
        <v>1.6431900000000001E-3</v>
      </c>
      <c r="E3566" t="s">
        <v>74</v>
      </c>
      <c r="F3566">
        <v>1.6431899999999999</v>
      </c>
      <c r="G3566" t="s">
        <v>75</v>
      </c>
      <c r="H3566">
        <v>1643.1869999999999</v>
      </c>
      <c r="I3566" t="s">
        <v>76</v>
      </c>
      <c r="J3566" t="s">
        <v>82</v>
      </c>
      <c r="K3566">
        <v>608.5734023</v>
      </c>
    </row>
    <row r="3567" spans="1:11" x14ac:dyDescent="0.3">
      <c r="A3567" t="s">
        <v>215</v>
      </c>
    </row>
    <row r="3568" spans="1:11" x14ac:dyDescent="0.3">
      <c r="A3568" t="s">
        <v>216</v>
      </c>
    </row>
    <row r="3569" spans="1:11" x14ac:dyDescent="0.3">
      <c r="A3569" t="s">
        <v>72</v>
      </c>
      <c r="B3569">
        <v>1</v>
      </c>
      <c r="C3569" t="s">
        <v>73</v>
      </c>
      <c r="D3569">
        <v>4.5000000000000001E-6</v>
      </c>
      <c r="E3569" t="s">
        <v>74</v>
      </c>
      <c r="F3569">
        <v>4.4999999999999997E-3</v>
      </c>
      <c r="G3569" t="s">
        <v>75</v>
      </c>
      <c r="H3569">
        <v>4.5</v>
      </c>
      <c r="I3569" t="s">
        <v>76</v>
      </c>
      <c r="J3569" t="s">
        <v>77</v>
      </c>
    </row>
    <row r="3570" spans="1:11" x14ac:dyDescent="0.3">
      <c r="A3570" t="s">
        <v>72</v>
      </c>
      <c r="B3570">
        <v>1</v>
      </c>
      <c r="C3570" t="s">
        <v>78</v>
      </c>
      <c r="D3570">
        <v>3.5899999999999998E-5</v>
      </c>
      <c r="E3570" t="s">
        <v>74</v>
      </c>
      <c r="F3570">
        <v>3.5900000000000001E-2</v>
      </c>
      <c r="G3570" t="s">
        <v>75</v>
      </c>
      <c r="H3570">
        <v>35.9</v>
      </c>
      <c r="I3570" t="s">
        <v>76</v>
      </c>
      <c r="J3570" t="s">
        <v>77</v>
      </c>
    </row>
    <row r="3571" spans="1:11" x14ac:dyDescent="0.3">
      <c r="A3571" t="s">
        <v>72</v>
      </c>
      <c r="B3571">
        <v>1</v>
      </c>
      <c r="C3571" t="s">
        <v>79</v>
      </c>
      <c r="D3571">
        <v>4.1987999999999999E-3</v>
      </c>
      <c r="E3571" t="s">
        <v>74</v>
      </c>
      <c r="F3571">
        <v>4.1988000000000003</v>
      </c>
      <c r="G3571" t="s">
        <v>75</v>
      </c>
      <c r="H3571">
        <v>4198.8</v>
      </c>
      <c r="I3571" t="s">
        <v>76</v>
      </c>
      <c r="J3571" t="s">
        <v>77</v>
      </c>
    </row>
    <row r="3572" spans="1:11" x14ac:dyDescent="0.3">
      <c r="A3572" t="s">
        <v>72</v>
      </c>
      <c r="B3572">
        <v>1</v>
      </c>
      <c r="C3572" t="s">
        <v>94</v>
      </c>
      <c r="D3572">
        <v>4.7165000000000002E-3</v>
      </c>
      <c r="E3572" t="s">
        <v>74</v>
      </c>
      <c r="F3572">
        <v>4.7164999999999999</v>
      </c>
      <c r="G3572" t="s">
        <v>75</v>
      </c>
      <c r="H3572">
        <v>4716.5</v>
      </c>
      <c r="I3572" t="s">
        <v>76</v>
      </c>
      <c r="J3572" t="s">
        <v>77</v>
      </c>
    </row>
    <row r="3573" spans="1:11" x14ac:dyDescent="0.3">
      <c r="A3573" t="s">
        <v>72</v>
      </c>
      <c r="B3573">
        <v>1</v>
      </c>
      <c r="C3573" t="s">
        <v>80</v>
      </c>
      <c r="D3573">
        <v>4.7169000000000004E-3</v>
      </c>
      <c r="E3573" t="s">
        <v>74</v>
      </c>
      <c r="F3573">
        <v>4.7168999999999999</v>
      </c>
      <c r="G3573" t="s">
        <v>75</v>
      </c>
      <c r="H3573">
        <v>4716.8999999999996</v>
      </c>
      <c r="I3573" t="s">
        <v>76</v>
      </c>
      <c r="J3573" t="s">
        <v>77</v>
      </c>
    </row>
    <row r="3574" spans="1:11" x14ac:dyDescent="0.3">
      <c r="A3574" t="s">
        <v>72</v>
      </c>
      <c r="B3574">
        <v>1</v>
      </c>
      <c r="C3574" t="s">
        <v>81</v>
      </c>
      <c r="D3574">
        <v>8.9172999999999995E-3</v>
      </c>
      <c r="E3574" t="s">
        <v>74</v>
      </c>
      <c r="F3574">
        <v>8.9172999999999991</v>
      </c>
      <c r="G3574" t="s">
        <v>75</v>
      </c>
      <c r="H3574">
        <v>8917.2999999999993</v>
      </c>
      <c r="I3574" t="s">
        <v>76</v>
      </c>
      <c r="J3574" t="s">
        <v>82</v>
      </c>
      <c r="K3574">
        <v>112.1415671</v>
      </c>
    </row>
    <row r="3575" spans="1:11" x14ac:dyDescent="0.3">
      <c r="A3575" t="s">
        <v>83</v>
      </c>
      <c r="B3575">
        <v>1000</v>
      </c>
      <c r="C3575" t="s">
        <v>79</v>
      </c>
      <c r="D3575">
        <v>5.0783000000000002E-4</v>
      </c>
      <c r="E3575" t="s">
        <v>74</v>
      </c>
      <c r="F3575">
        <v>0.50783</v>
      </c>
      <c r="G3575" t="s">
        <v>75</v>
      </c>
      <c r="H3575">
        <v>507.83300000000003</v>
      </c>
      <c r="I3575" t="s">
        <v>76</v>
      </c>
      <c r="J3575" t="s">
        <v>77</v>
      </c>
    </row>
    <row r="3576" spans="1:11" x14ac:dyDescent="0.3">
      <c r="A3576" t="s">
        <v>83</v>
      </c>
      <c r="B3576">
        <v>1000</v>
      </c>
      <c r="C3576" t="s">
        <v>94</v>
      </c>
      <c r="D3576">
        <v>1.1348300000000001E-3</v>
      </c>
      <c r="E3576" t="s">
        <v>74</v>
      </c>
      <c r="F3576">
        <v>1.13483</v>
      </c>
      <c r="G3576" t="s">
        <v>75</v>
      </c>
      <c r="H3576">
        <v>1134.83</v>
      </c>
      <c r="I3576" t="s">
        <v>76</v>
      </c>
      <c r="J3576" t="s">
        <v>77</v>
      </c>
    </row>
    <row r="3577" spans="1:11" x14ac:dyDescent="0.3">
      <c r="A3577" t="s">
        <v>83</v>
      </c>
      <c r="B3577">
        <v>1000</v>
      </c>
      <c r="C3577" t="s">
        <v>80</v>
      </c>
      <c r="D3577">
        <v>1.30754E-3</v>
      </c>
      <c r="E3577" t="s">
        <v>74</v>
      </c>
      <c r="F3577">
        <v>1.3075399999999999</v>
      </c>
      <c r="G3577" t="s">
        <v>75</v>
      </c>
      <c r="H3577">
        <v>1307.5409999999999</v>
      </c>
      <c r="I3577" t="s">
        <v>76</v>
      </c>
      <c r="J3577" t="s">
        <v>77</v>
      </c>
    </row>
    <row r="3578" spans="1:11" x14ac:dyDescent="0.3">
      <c r="A3578" t="s">
        <v>83</v>
      </c>
      <c r="B3578">
        <v>1000</v>
      </c>
      <c r="C3578" t="s">
        <v>81</v>
      </c>
      <c r="D3578">
        <v>1.8166499999999999E-3</v>
      </c>
      <c r="E3578" t="s">
        <v>74</v>
      </c>
      <c r="F3578">
        <v>1.8166500000000001</v>
      </c>
      <c r="G3578" t="s">
        <v>75</v>
      </c>
      <c r="H3578">
        <v>1816.653</v>
      </c>
      <c r="I3578" t="s">
        <v>76</v>
      </c>
      <c r="J3578" t="s">
        <v>82</v>
      </c>
      <c r="K3578">
        <v>550.46299720000002</v>
      </c>
    </row>
    <row r="3579" spans="1:11" x14ac:dyDescent="0.3">
      <c r="A3579" t="s">
        <v>84</v>
      </c>
      <c r="B3579">
        <v>1001</v>
      </c>
      <c r="C3579" t="s">
        <v>79</v>
      </c>
      <c r="D3579">
        <v>5.1152000000000001E-4</v>
      </c>
      <c r="E3579" t="s">
        <v>74</v>
      </c>
      <c r="F3579">
        <v>0.51151999999999997</v>
      </c>
      <c r="G3579" t="s">
        <v>75</v>
      </c>
      <c r="H3579">
        <v>511.52</v>
      </c>
      <c r="I3579" t="s">
        <v>76</v>
      </c>
      <c r="J3579" t="s">
        <v>77</v>
      </c>
    </row>
    <row r="3580" spans="1:11" x14ac:dyDescent="0.3">
      <c r="A3580" t="s">
        <v>84</v>
      </c>
      <c r="B3580">
        <v>1001</v>
      </c>
      <c r="C3580" t="s">
        <v>94</v>
      </c>
      <c r="D3580">
        <v>1.1384100000000001E-3</v>
      </c>
      <c r="E3580" t="s">
        <v>74</v>
      </c>
      <c r="F3580">
        <v>1.1384099999999999</v>
      </c>
      <c r="G3580" t="s">
        <v>75</v>
      </c>
      <c r="H3580">
        <v>1138.4079999999999</v>
      </c>
      <c r="I3580" t="s">
        <v>76</v>
      </c>
      <c r="J3580" t="s">
        <v>77</v>
      </c>
    </row>
    <row r="3581" spans="1:11" x14ac:dyDescent="0.3">
      <c r="A3581" t="s">
        <v>84</v>
      </c>
      <c r="B3581">
        <v>1001</v>
      </c>
      <c r="C3581" t="s">
        <v>80</v>
      </c>
      <c r="D3581">
        <v>1.31095E-3</v>
      </c>
      <c r="E3581" t="s">
        <v>74</v>
      </c>
      <c r="F3581">
        <v>1.3109500000000001</v>
      </c>
      <c r="G3581" t="s">
        <v>75</v>
      </c>
      <c r="H3581">
        <v>1310.9469999999999</v>
      </c>
      <c r="I3581" t="s">
        <v>76</v>
      </c>
      <c r="J3581" t="s">
        <v>77</v>
      </c>
    </row>
    <row r="3582" spans="1:11" x14ac:dyDescent="0.3">
      <c r="A3582" t="s">
        <v>84</v>
      </c>
      <c r="B3582">
        <v>1001</v>
      </c>
      <c r="C3582" t="s">
        <v>81</v>
      </c>
      <c r="D3582">
        <v>1.8237500000000001E-3</v>
      </c>
      <c r="E3582" t="s">
        <v>74</v>
      </c>
      <c r="F3582">
        <v>1.82375</v>
      </c>
      <c r="G3582" t="s">
        <v>75</v>
      </c>
      <c r="H3582">
        <v>1823.7460000000001</v>
      </c>
      <c r="I3582" t="s">
        <v>76</v>
      </c>
      <c r="J3582" t="s">
        <v>82</v>
      </c>
      <c r="K3582">
        <v>548.32196939999994</v>
      </c>
    </row>
    <row r="3583" spans="1:11" x14ac:dyDescent="0.3">
      <c r="A3583" t="s">
        <v>85</v>
      </c>
      <c r="B3583">
        <v>1001</v>
      </c>
      <c r="C3583" t="s">
        <v>86</v>
      </c>
      <c r="D3583">
        <v>1.82398E-3</v>
      </c>
      <c r="E3583" t="s">
        <v>74</v>
      </c>
      <c r="F3583">
        <v>1.8239799999999999</v>
      </c>
      <c r="G3583" t="s">
        <v>75</v>
      </c>
      <c r="H3583">
        <v>1823.9749999999999</v>
      </c>
      <c r="I3583" t="s">
        <v>76</v>
      </c>
      <c r="J3583" t="s">
        <v>82</v>
      </c>
      <c r="K3583">
        <v>548.25301709999997</v>
      </c>
    </row>
    <row r="3584" spans="1:11" x14ac:dyDescent="0.3">
      <c r="A3584" t="s">
        <v>115</v>
      </c>
    </row>
    <row r="3585" spans="1:11" x14ac:dyDescent="0.3">
      <c r="A3585" t="s">
        <v>127</v>
      </c>
    </row>
    <row r="3586" spans="1:11" x14ac:dyDescent="0.3">
      <c r="A3586" t="s">
        <v>87</v>
      </c>
    </row>
    <row r="3587" spans="1:11" x14ac:dyDescent="0.3">
      <c r="A3587" t="s">
        <v>217</v>
      </c>
    </row>
    <row r="3588" spans="1:11" x14ac:dyDescent="0.3">
      <c r="A3588" t="s">
        <v>72</v>
      </c>
      <c r="B3588">
        <v>1</v>
      </c>
      <c r="C3588" t="s">
        <v>81</v>
      </c>
      <c r="D3588">
        <v>0.37411730999999998</v>
      </c>
      <c r="E3588" t="s">
        <v>74</v>
      </c>
      <c r="F3588">
        <v>374.11730999999997</v>
      </c>
      <c r="G3588" t="s">
        <v>75</v>
      </c>
      <c r="H3588">
        <v>374117.315</v>
      </c>
      <c r="I3588" t="s">
        <v>76</v>
      </c>
      <c r="J3588" t="s">
        <v>82</v>
      </c>
      <c r="K3588">
        <v>2.6729582999999999</v>
      </c>
    </row>
    <row r="3589" spans="1:11" x14ac:dyDescent="0.3">
      <c r="A3589" t="s">
        <v>83</v>
      </c>
      <c r="B3589">
        <v>1000</v>
      </c>
      <c r="C3589" t="s">
        <v>81</v>
      </c>
      <c r="D3589">
        <v>1.27052E-3</v>
      </c>
      <c r="E3589" t="s">
        <v>74</v>
      </c>
      <c r="F3589">
        <v>1.2705200000000001</v>
      </c>
      <c r="G3589" t="s">
        <v>75</v>
      </c>
      <c r="H3589">
        <v>1270.5219999999999</v>
      </c>
      <c r="I3589" t="s">
        <v>76</v>
      </c>
      <c r="J3589" t="s">
        <v>82</v>
      </c>
      <c r="K3589">
        <v>787.07792040000004</v>
      </c>
    </row>
    <row r="3590" spans="1:11" x14ac:dyDescent="0.3">
      <c r="A3590" t="s">
        <v>85</v>
      </c>
      <c r="B3590">
        <v>1001</v>
      </c>
      <c r="C3590" t="s">
        <v>86</v>
      </c>
      <c r="D3590">
        <v>1.6431900000000001E-3</v>
      </c>
      <c r="E3590" t="s">
        <v>74</v>
      </c>
      <c r="F3590">
        <v>1.6431899999999999</v>
      </c>
      <c r="G3590" t="s">
        <v>75</v>
      </c>
      <c r="H3590">
        <v>1643.1869999999999</v>
      </c>
      <c r="I3590" t="s">
        <v>76</v>
      </c>
      <c r="J3590" t="s">
        <v>82</v>
      </c>
      <c r="K3590">
        <v>608.5734023</v>
      </c>
    </row>
    <row r="3592" spans="1:11" x14ac:dyDescent="0.3">
      <c r="A3592" t="s">
        <v>218</v>
      </c>
    </row>
    <row r="3593" spans="1:11" x14ac:dyDescent="0.3">
      <c r="A3593" t="s">
        <v>72</v>
      </c>
      <c r="B3593">
        <v>1</v>
      </c>
      <c r="C3593" t="s">
        <v>81</v>
      </c>
      <c r="D3593">
        <v>8.9172999999999995E-3</v>
      </c>
      <c r="E3593" t="s">
        <v>74</v>
      </c>
      <c r="F3593">
        <v>8.9172999999999991</v>
      </c>
      <c r="G3593" t="s">
        <v>75</v>
      </c>
      <c r="H3593">
        <v>8917.2999999999993</v>
      </c>
      <c r="I3593" t="s">
        <v>76</v>
      </c>
      <c r="J3593" t="s">
        <v>82</v>
      </c>
      <c r="K3593">
        <v>112.1415671</v>
      </c>
    </row>
    <row r="3594" spans="1:11" x14ac:dyDescent="0.3">
      <c r="A3594" t="s">
        <v>83</v>
      </c>
      <c r="B3594">
        <v>1000</v>
      </c>
      <c r="C3594" t="s">
        <v>81</v>
      </c>
      <c r="D3594">
        <v>1.8166499999999999E-3</v>
      </c>
      <c r="E3594" t="s">
        <v>74</v>
      </c>
      <c r="F3594">
        <v>1.8166500000000001</v>
      </c>
      <c r="G3594" t="s">
        <v>75</v>
      </c>
      <c r="H3594">
        <v>1816.653</v>
      </c>
      <c r="I3594" t="s">
        <v>76</v>
      </c>
      <c r="J3594" t="s">
        <v>82</v>
      </c>
      <c r="K3594">
        <v>550.46299720000002</v>
      </c>
    </row>
    <row r="3595" spans="1:11" x14ac:dyDescent="0.3">
      <c r="A3595" t="s">
        <v>85</v>
      </c>
      <c r="B3595">
        <v>1001</v>
      </c>
      <c r="C3595" t="s">
        <v>86</v>
      </c>
      <c r="D3595">
        <v>1.82398E-3</v>
      </c>
      <c r="E3595" t="s">
        <v>74</v>
      </c>
      <c r="F3595">
        <v>1.8239799999999999</v>
      </c>
      <c r="G3595" t="s">
        <v>75</v>
      </c>
      <c r="H3595">
        <v>1823.9749999999999</v>
      </c>
      <c r="I3595" t="s">
        <v>76</v>
      </c>
      <c r="J3595" t="s">
        <v>82</v>
      </c>
      <c r="K3595">
        <v>548.25301709999997</v>
      </c>
    </row>
    <row r="3597" spans="1:11" x14ac:dyDescent="0.3">
      <c r="A3597" t="s">
        <v>64</v>
      </c>
    </row>
    <row r="3598" spans="1:11" x14ac:dyDescent="0.3">
      <c r="A3598" t="s">
        <v>259</v>
      </c>
    </row>
    <row r="3600" spans="1:11" x14ac:dyDescent="0.3">
      <c r="A3600" t="s">
        <v>260</v>
      </c>
    </row>
    <row r="3601" spans="1:11" x14ac:dyDescent="0.3">
      <c r="A3601" t="s">
        <v>68</v>
      </c>
    </row>
    <row r="3602" spans="1:11" x14ac:dyDescent="0.3">
      <c r="A3602" t="s">
        <v>69</v>
      </c>
    </row>
    <row r="3603" spans="1:11" x14ac:dyDescent="0.3">
      <c r="A3603" t="s">
        <v>70</v>
      </c>
    </row>
    <row r="3604" spans="1:11" x14ac:dyDescent="0.3">
      <c r="A3604" t="s">
        <v>71</v>
      </c>
    </row>
    <row r="3605" spans="1:11" x14ac:dyDescent="0.3">
      <c r="A3605" t="s">
        <v>72</v>
      </c>
      <c r="B3605">
        <v>1</v>
      </c>
      <c r="C3605" t="s">
        <v>73</v>
      </c>
      <c r="D3605">
        <v>5.5630000000000002E-4</v>
      </c>
      <c r="E3605" t="s">
        <v>74</v>
      </c>
      <c r="F3605">
        <v>0.55630000000000002</v>
      </c>
      <c r="G3605" t="s">
        <v>75</v>
      </c>
      <c r="H3605">
        <v>556.29999999999995</v>
      </c>
      <c r="I3605" t="s">
        <v>76</v>
      </c>
      <c r="J3605" t="s">
        <v>77</v>
      </c>
    </row>
    <row r="3606" spans="1:11" x14ac:dyDescent="0.3">
      <c r="A3606" t="s">
        <v>72</v>
      </c>
      <c r="B3606">
        <v>1</v>
      </c>
      <c r="C3606" t="s">
        <v>78</v>
      </c>
      <c r="D3606">
        <v>2.6000000000000001E-6</v>
      </c>
      <c r="E3606" t="s">
        <v>74</v>
      </c>
      <c r="F3606">
        <v>2.5999999999999999E-3</v>
      </c>
      <c r="G3606" t="s">
        <v>75</v>
      </c>
      <c r="H3606">
        <v>2.6</v>
      </c>
      <c r="I3606" t="s">
        <v>76</v>
      </c>
      <c r="J3606" t="s">
        <v>77</v>
      </c>
    </row>
    <row r="3607" spans="1:11" x14ac:dyDescent="0.3">
      <c r="A3607" t="s">
        <v>72</v>
      </c>
      <c r="B3607">
        <v>1</v>
      </c>
      <c r="C3607" t="s">
        <v>79</v>
      </c>
      <c r="D3607">
        <v>6.8499999999999998E-5</v>
      </c>
      <c r="E3607" t="s">
        <v>74</v>
      </c>
      <c r="F3607">
        <v>6.8500000000000005E-2</v>
      </c>
      <c r="G3607" t="s">
        <v>75</v>
      </c>
      <c r="H3607">
        <v>68.5</v>
      </c>
      <c r="I3607" t="s">
        <v>76</v>
      </c>
      <c r="J3607" t="s">
        <v>77</v>
      </c>
    </row>
    <row r="3608" spans="1:11" x14ac:dyDescent="0.3">
      <c r="A3608" t="s">
        <v>72</v>
      </c>
      <c r="B3608">
        <v>1</v>
      </c>
      <c r="C3608" t="s">
        <v>80</v>
      </c>
      <c r="D3608">
        <v>1.06899714</v>
      </c>
      <c r="E3608" t="s">
        <v>74</v>
      </c>
      <c r="F3608">
        <v>1068.9971399999999</v>
      </c>
      <c r="G3608" t="s">
        <v>75</v>
      </c>
      <c r="H3608">
        <v>1068997.145</v>
      </c>
      <c r="I3608" t="s">
        <v>76</v>
      </c>
      <c r="J3608" t="s">
        <v>77</v>
      </c>
    </row>
    <row r="3609" spans="1:11" x14ac:dyDescent="0.3">
      <c r="A3609" t="s">
        <v>72</v>
      </c>
      <c r="B3609">
        <v>1</v>
      </c>
      <c r="C3609" t="s">
        <v>81</v>
      </c>
      <c r="D3609">
        <v>1.0690679599999999</v>
      </c>
      <c r="E3609" t="s">
        <v>74</v>
      </c>
      <c r="F3609">
        <v>1069.0679600000001</v>
      </c>
      <c r="G3609" t="s">
        <v>75</v>
      </c>
      <c r="H3609">
        <v>1069067.9550000001</v>
      </c>
      <c r="I3609" t="s">
        <v>76</v>
      </c>
      <c r="J3609" t="s">
        <v>82</v>
      </c>
      <c r="K3609">
        <v>0.93539419999999995</v>
      </c>
    </row>
    <row r="3610" spans="1:11" x14ac:dyDescent="0.3">
      <c r="A3610" t="s">
        <v>83</v>
      </c>
      <c r="B3610">
        <v>1000</v>
      </c>
      <c r="C3610" t="s">
        <v>79</v>
      </c>
      <c r="D3610">
        <v>4.4900000000000002E-6</v>
      </c>
      <c r="E3610" t="s">
        <v>74</v>
      </c>
      <c r="F3610">
        <v>4.4900000000000001E-3</v>
      </c>
      <c r="G3610" t="s">
        <v>75</v>
      </c>
      <c r="H3610">
        <v>4.4950000000000001</v>
      </c>
      <c r="I3610" t="s">
        <v>76</v>
      </c>
      <c r="J3610" t="s">
        <v>77</v>
      </c>
    </row>
    <row r="3611" spans="1:11" x14ac:dyDescent="0.3">
      <c r="A3611" t="s">
        <v>83</v>
      </c>
      <c r="B3611">
        <v>1000</v>
      </c>
      <c r="C3611" t="s">
        <v>80</v>
      </c>
      <c r="D3611">
        <v>1.06754138</v>
      </c>
      <c r="E3611" t="s">
        <v>74</v>
      </c>
      <c r="F3611">
        <v>1067.5413799999999</v>
      </c>
      <c r="G3611" t="s">
        <v>75</v>
      </c>
      <c r="H3611">
        <v>1067541.382</v>
      </c>
      <c r="I3611" t="s">
        <v>76</v>
      </c>
      <c r="J3611" t="s">
        <v>77</v>
      </c>
    </row>
    <row r="3612" spans="1:11" x14ac:dyDescent="0.3">
      <c r="A3612" t="s">
        <v>83</v>
      </c>
      <c r="B3612">
        <v>1000</v>
      </c>
      <c r="C3612" t="s">
        <v>81</v>
      </c>
      <c r="D3612">
        <v>1.0675468699999999</v>
      </c>
      <c r="E3612" t="s">
        <v>74</v>
      </c>
      <c r="F3612">
        <v>1067.5468800000001</v>
      </c>
      <c r="G3612" t="s">
        <v>75</v>
      </c>
      <c r="H3612">
        <v>1067546.875</v>
      </c>
      <c r="I3612" t="s">
        <v>76</v>
      </c>
      <c r="J3612" t="s">
        <v>82</v>
      </c>
      <c r="K3612">
        <v>0.93672699999999998</v>
      </c>
    </row>
    <row r="3613" spans="1:11" x14ac:dyDescent="0.3">
      <c r="A3613" t="s">
        <v>84</v>
      </c>
      <c r="B3613">
        <v>1001</v>
      </c>
      <c r="C3613" t="s">
        <v>79</v>
      </c>
      <c r="D3613">
        <v>4.5600000000000004E-6</v>
      </c>
      <c r="E3613" t="s">
        <v>74</v>
      </c>
      <c r="F3613">
        <v>4.5599999999999998E-3</v>
      </c>
      <c r="G3613" t="s">
        <v>75</v>
      </c>
      <c r="H3613">
        <v>4.5590000000000002</v>
      </c>
      <c r="I3613" t="s">
        <v>76</v>
      </c>
      <c r="J3613" t="s">
        <v>77</v>
      </c>
    </row>
    <row r="3614" spans="1:11" x14ac:dyDescent="0.3">
      <c r="A3614" t="s">
        <v>84</v>
      </c>
      <c r="B3614">
        <v>1001</v>
      </c>
      <c r="C3614" t="s">
        <v>80</v>
      </c>
      <c r="D3614">
        <v>1.06754281</v>
      </c>
      <c r="E3614" t="s">
        <v>74</v>
      </c>
      <c r="F3614">
        <v>1067.5428099999999</v>
      </c>
      <c r="G3614" t="s">
        <v>75</v>
      </c>
      <c r="H3614">
        <v>1067542.8089999999</v>
      </c>
      <c r="I3614" t="s">
        <v>76</v>
      </c>
      <c r="J3614" t="s">
        <v>77</v>
      </c>
    </row>
    <row r="3615" spans="1:11" x14ac:dyDescent="0.3">
      <c r="A3615" t="s">
        <v>84</v>
      </c>
      <c r="B3615">
        <v>1001</v>
      </c>
      <c r="C3615" t="s">
        <v>81</v>
      </c>
      <c r="D3615">
        <v>1.0675484200000001</v>
      </c>
      <c r="E3615" t="s">
        <v>74</v>
      </c>
      <c r="F3615">
        <v>1067.5484200000001</v>
      </c>
      <c r="G3615" t="s">
        <v>75</v>
      </c>
      <c r="H3615">
        <v>1067548.4180000001</v>
      </c>
      <c r="I3615" t="s">
        <v>76</v>
      </c>
      <c r="J3615" t="s">
        <v>82</v>
      </c>
      <c r="K3615">
        <v>0.93672569999999999</v>
      </c>
    </row>
    <row r="3616" spans="1:11" x14ac:dyDescent="0.3">
      <c r="A3616" t="s">
        <v>85</v>
      </c>
      <c r="B3616">
        <v>1001</v>
      </c>
      <c r="C3616" t="s">
        <v>86</v>
      </c>
      <c r="D3616">
        <v>1.0675491500000001</v>
      </c>
      <c r="E3616" t="s">
        <v>74</v>
      </c>
      <c r="F3616">
        <v>1067.5491500000001</v>
      </c>
      <c r="G3616" t="s">
        <v>75</v>
      </c>
      <c r="H3616">
        <v>1067549.1499999999</v>
      </c>
      <c r="I3616" t="s">
        <v>76</v>
      </c>
      <c r="J3616" t="s">
        <v>82</v>
      </c>
      <c r="K3616">
        <v>0.93672500000000003</v>
      </c>
    </row>
    <row r="3617" spans="1:11" x14ac:dyDescent="0.3">
      <c r="A3617" t="s">
        <v>87</v>
      </c>
    </row>
    <row r="3618" spans="1:11" x14ac:dyDescent="0.3">
      <c r="A3618" t="s">
        <v>88</v>
      </c>
    </row>
    <row r="3619" spans="1:11" x14ac:dyDescent="0.3">
      <c r="A3619" t="s">
        <v>72</v>
      </c>
      <c r="B3619">
        <v>1</v>
      </c>
      <c r="C3619" t="s">
        <v>81</v>
      </c>
      <c r="D3619">
        <v>1.0690679599999999</v>
      </c>
      <c r="E3619" t="s">
        <v>74</v>
      </c>
      <c r="F3619">
        <v>1069.0679600000001</v>
      </c>
      <c r="G3619" t="s">
        <v>75</v>
      </c>
      <c r="H3619">
        <v>1069067.9550000001</v>
      </c>
      <c r="I3619" t="s">
        <v>76</v>
      </c>
      <c r="J3619" t="s">
        <v>82</v>
      </c>
      <c r="K3619">
        <v>0.93539419999999995</v>
      </c>
    </row>
    <row r="3620" spans="1:11" x14ac:dyDescent="0.3">
      <c r="A3620" t="s">
        <v>83</v>
      </c>
      <c r="B3620">
        <v>1000</v>
      </c>
      <c r="C3620" t="s">
        <v>81</v>
      </c>
      <c r="D3620">
        <v>1.0675468699999999</v>
      </c>
      <c r="E3620" t="s">
        <v>74</v>
      </c>
      <c r="F3620">
        <v>1067.5468800000001</v>
      </c>
      <c r="G3620" t="s">
        <v>75</v>
      </c>
      <c r="H3620">
        <v>1067546.875</v>
      </c>
      <c r="I3620" t="s">
        <v>76</v>
      </c>
      <c r="J3620" t="s">
        <v>82</v>
      </c>
      <c r="K3620">
        <v>0.93672699999999998</v>
      </c>
    </row>
    <row r="3621" spans="1:11" x14ac:dyDescent="0.3">
      <c r="A3621" t="s">
        <v>85</v>
      </c>
      <c r="B3621">
        <v>1001</v>
      </c>
      <c r="C3621" t="s">
        <v>86</v>
      </c>
      <c r="D3621">
        <v>1.0675491500000001</v>
      </c>
      <c r="E3621" t="s">
        <v>74</v>
      </c>
      <c r="F3621">
        <v>1067.5491500000001</v>
      </c>
      <c r="G3621" t="s">
        <v>75</v>
      </c>
      <c r="H3621">
        <v>1067549.1499999999</v>
      </c>
      <c r="I3621" t="s">
        <v>76</v>
      </c>
      <c r="J3621" t="s">
        <v>82</v>
      </c>
      <c r="K3621">
        <v>0.93672500000000003</v>
      </c>
    </row>
    <row r="3623" spans="1:11" x14ac:dyDescent="0.3">
      <c r="A3623" t="s">
        <v>66</v>
      </c>
    </row>
    <row r="3625" spans="1:11" x14ac:dyDescent="0.3">
      <c r="A3625" t="s">
        <v>261</v>
      </c>
    </row>
    <row r="3626" spans="1:11" x14ac:dyDescent="0.3">
      <c r="A3626" t="s">
        <v>68</v>
      </c>
    </row>
    <row r="3627" spans="1:11" x14ac:dyDescent="0.3">
      <c r="A3627" t="s">
        <v>69</v>
      </c>
    </row>
    <row r="3628" spans="1:11" x14ac:dyDescent="0.3">
      <c r="A3628" t="s">
        <v>70</v>
      </c>
    </row>
    <row r="3629" spans="1:11" x14ac:dyDescent="0.3">
      <c r="A3629" t="s">
        <v>90</v>
      </c>
    </row>
    <row r="3630" spans="1:11" x14ac:dyDescent="0.3">
      <c r="A3630" t="s">
        <v>72</v>
      </c>
      <c r="B3630">
        <v>1</v>
      </c>
      <c r="C3630" t="s">
        <v>73</v>
      </c>
      <c r="D3630">
        <v>4.0999999999999997E-6</v>
      </c>
      <c r="E3630" t="s">
        <v>74</v>
      </c>
      <c r="F3630">
        <v>4.1000000000000003E-3</v>
      </c>
      <c r="G3630" t="s">
        <v>75</v>
      </c>
      <c r="H3630">
        <v>4.0999999999999996</v>
      </c>
      <c r="I3630" t="s">
        <v>76</v>
      </c>
      <c r="J3630" t="s">
        <v>77</v>
      </c>
    </row>
    <row r="3631" spans="1:11" x14ac:dyDescent="0.3">
      <c r="A3631" t="s">
        <v>72</v>
      </c>
      <c r="B3631">
        <v>1</v>
      </c>
      <c r="C3631" t="s">
        <v>78</v>
      </c>
      <c r="D3631">
        <v>4.32E-5</v>
      </c>
      <c r="E3631" t="s">
        <v>74</v>
      </c>
      <c r="F3631">
        <v>4.3200000000000002E-2</v>
      </c>
      <c r="G3631" t="s">
        <v>75</v>
      </c>
      <c r="H3631">
        <v>43.2</v>
      </c>
      <c r="I3631" t="s">
        <v>76</v>
      </c>
      <c r="J3631" t="s">
        <v>77</v>
      </c>
    </row>
    <row r="3632" spans="1:11" x14ac:dyDescent="0.3">
      <c r="A3632" t="s">
        <v>72</v>
      </c>
      <c r="B3632">
        <v>1</v>
      </c>
      <c r="C3632" t="s">
        <v>91</v>
      </c>
      <c r="D3632">
        <v>2.3086999999999999E-3</v>
      </c>
      <c r="E3632" t="s">
        <v>74</v>
      </c>
      <c r="F3632">
        <v>2.3087</v>
      </c>
      <c r="G3632" t="s">
        <v>75</v>
      </c>
      <c r="H3632">
        <v>2308.6999999999998</v>
      </c>
      <c r="I3632" t="s">
        <v>76</v>
      </c>
      <c r="J3632" t="s">
        <v>77</v>
      </c>
    </row>
    <row r="3633" spans="1:11" x14ac:dyDescent="0.3">
      <c r="A3633" t="s">
        <v>72</v>
      </c>
      <c r="B3633">
        <v>1</v>
      </c>
      <c r="C3633" t="s">
        <v>92</v>
      </c>
      <c r="D3633">
        <v>1.1854200000000001E-2</v>
      </c>
      <c r="E3633" t="s">
        <v>74</v>
      </c>
      <c r="F3633">
        <v>11.854200000000001</v>
      </c>
      <c r="G3633" t="s">
        <v>75</v>
      </c>
      <c r="H3633">
        <v>11854.2</v>
      </c>
      <c r="I3633" t="s">
        <v>76</v>
      </c>
      <c r="J3633" t="s">
        <v>77</v>
      </c>
    </row>
    <row r="3634" spans="1:11" x14ac:dyDescent="0.3">
      <c r="A3634" t="s">
        <v>72</v>
      </c>
      <c r="B3634">
        <v>1</v>
      </c>
      <c r="C3634" t="s">
        <v>93</v>
      </c>
      <c r="D3634">
        <v>1.6789000000000001E-3</v>
      </c>
      <c r="E3634" t="s">
        <v>74</v>
      </c>
      <c r="F3634">
        <v>1.6789000000000001</v>
      </c>
      <c r="G3634" t="s">
        <v>75</v>
      </c>
      <c r="H3634">
        <v>1678.9</v>
      </c>
      <c r="I3634" t="s">
        <v>76</v>
      </c>
      <c r="J3634" t="s">
        <v>77</v>
      </c>
    </row>
    <row r="3635" spans="1:11" x14ac:dyDescent="0.3">
      <c r="A3635" t="s">
        <v>72</v>
      </c>
      <c r="B3635">
        <v>1</v>
      </c>
      <c r="C3635" t="s">
        <v>79</v>
      </c>
      <c r="D3635">
        <v>1.5843800000000002E-2</v>
      </c>
      <c r="E3635" t="s">
        <v>74</v>
      </c>
      <c r="F3635">
        <v>15.8438</v>
      </c>
      <c r="G3635" t="s">
        <v>75</v>
      </c>
      <c r="H3635">
        <v>15843.799000000001</v>
      </c>
      <c r="I3635" t="s">
        <v>76</v>
      </c>
      <c r="J3635" t="s">
        <v>77</v>
      </c>
    </row>
    <row r="3636" spans="1:11" x14ac:dyDescent="0.3">
      <c r="A3636" t="s">
        <v>72</v>
      </c>
      <c r="B3636">
        <v>1</v>
      </c>
      <c r="C3636" t="s">
        <v>94</v>
      </c>
      <c r="D3636">
        <v>9.2951000000000006E-3</v>
      </c>
      <c r="E3636" t="s">
        <v>74</v>
      </c>
      <c r="F3636">
        <v>9.2950999999999997</v>
      </c>
      <c r="G3636" t="s">
        <v>75</v>
      </c>
      <c r="H3636">
        <v>9295.1</v>
      </c>
      <c r="I3636" t="s">
        <v>76</v>
      </c>
      <c r="J3636" t="s">
        <v>77</v>
      </c>
    </row>
    <row r="3637" spans="1:11" x14ac:dyDescent="0.3">
      <c r="A3637" t="s">
        <v>72</v>
      </c>
      <c r="B3637">
        <v>1</v>
      </c>
      <c r="C3637" t="s">
        <v>80</v>
      </c>
      <c r="D3637">
        <v>9.2967999999999992E-3</v>
      </c>
      <c r="E3637" t="s">
        <v>74</v>
      </c>
      <c r="F3637">
        <v>9.2967999999999993</v>
      </c>
      <c r="G3637" t="s">
        <v>75</v>
      </c>
      <c r="H3637">
        <v>9296.7999999999993</v>
      </c>
      <c r="I3637" t="s">
        <v>76</v>
      </c>
      <c r="J3637" t="s">
        <v>77</v>
      </c>
    </row>
    <row r="3638" spans="1:11" x14ac:dyDescent="0.3">
      <c r="A3638" t="s">
        <v>72</v>
      </c>
      <c r="B3638">
        <v>1</v>
      </c>
      <c r="C3638" t="s">
        <v>81</v>
      </c>
      <c r="D3638">
        <v>2.5143599999999999E-2</v>
      </c>
      <c r="E3638" t="s">
        <v>74</v>
      </c>
      <c r="F3638">
        <v>25.143599999999999</v>
      </c>
      <c r="G3638" t="s">
        <v>75</v>
      </c>
      <c r="H3638">
        <v>25143.598999999998</v>
      </c>
      <c r="I3638" t="s">
        <v>76</v>
      </c>
      <c r="J3638" t="s">
        <v>82</v>
      </c>
      <c r="K3638">
        <v>39.771553599999997</v>
      </c>
    </row>
    <row r="3639" spans="1:11" x14ac:dyDescent="0.3">
      <c r="A3639" t="s">
        <v>83</v>
      </c>
      <c r="B3639">
        <v>1000</v>
      </c>
      <c r="C3639" t="s">
        <v>91</v>
      </c>
      <c r="D3639">
        <v>5.3927999999999995E-4</v>
      </c>
      <c r="E3639" t="s">
        <v>74</v>
      </c>
      <c r="F3639">
        <v>0.53927999999999998</v>
      </c>
      <c r="G3639" t="s">
        <v>75</v>
      </c>
      <c r="H3639">
        <v>539.28300000000002</v>
      </c>
      <c r="I3639" t="s">
        <v>76</v>
      </c>
      <c r="J3639" t="s">
        <v>77</v>
      </c>
    </row>
    <row r="3640" spans="1:11" x14ac:dyDescent="0.3">
      <c r="A3640" t="s">
        <v>83</v>
      </c>
      <c r="B3640">
        <v>1000</v>
      </c>
      <c r="C3640" t="s">
        <v>92</v>
      </c>
      <c r="D3640">
        <v>1.0745960000000001E-2</v>
      </c>
      <c r="E3640" t="s">
        <v>74</v>
      </c>
      <c r="F3640">
        <v>10.74596</v>
      </c>
      <c r="G3640" t="s">
        <v>75</v>
      </c>
      <c r="H3640">
        <v>10745.956</v>
      </c>
      <c r="I3640" t="s">
        <v>76</v>
      </c>
      <c r="J3640" t="s">
        <v>77</v>
      </c>
    </row>
    <row r="3641" spans="1:11" x14ac:dyDescent="0.3">
      <c r="A3641" t="s">
        <v>83</v>
      </c>
      <c r="B3641">
        <v>1000</v>
      </c>
      <c r="C3641" t="s">
        <v>93</v>
      </c>
      <c r="D3641">
        <v>5.0076000000000005E-4</v>
      </c>
      <c r="E3641" t="s">
        <v>74</v>
      </c>
      <c r="F3641">
        <v>0.50075999999999998</v>
      </c>
      <c r="G3641" t="s">
        <v>75</v>
      </c>
      <c r="H3641">
        <v>500.76400000000001</v>
      </c>
      <c r="I3641" t="s">
        <v>76</v>
      </c>
      <c r="J3641" t="s">
        <v>77</v>
      </c>
    </row>
    <row r="3642" spans="1:11" x14ac:dyDescent="0.3">
      <c r="A3642" t="s">
        <v>83</v>
      </c>
      <c r="B3642">
        <v>1000</v>
      </c>
      <c r="C3642" t="s">
        <v>79</v>
      </c>
      <c r="D3642">
        <v>1.178645E-2</v>
      </c>
      <c r="E3642" t="s">
        <v>74</v>
      </c>
      <c r="F3642">
        <v>11.78645</v>
      </c>
      <c r="G3642" t="s">
        <v>75</v>
      </c>
      <c r="H3642">
        <v>11786.449000000001</v>
      </c>
      <c r="I3642" t="s">
        <v>76</v>
      </c>
      <c r="J3642" t="s">
        <v>77</v>
      </c>
    </row>
    <row r="3643" spans="1:11" x14ac:dyDescent="0.3">
      <c r="A3643" t="s">
        <v>83</v>
      </c>
      <c r="B3643">
        <v>1000</v>
      </c>
      <c r="C3643" t="s">
        <v>94</v>
      </c>
      <c r="D3643">
        <v>2.6900299999999999E-3</v>
      </c>
      <c r="E3643" t="s">
        <v>74</v>
      </c>
      <c r="F3643">
        <v>2.6900300000000001</v>
      </c>
      <c r="G3643" t="s">
        <v>75</v>
      </c>
      <c r="H3643">
        <v>2690.0279999999998</v>
      </c>
      <c r="I3643" t="s">
        <v>76</v>
      </c>
      <c r="J3643" t="s">
        <v>77</v>
      </c>
    </row>
    <row r="3644" spans="1:11" x14ac:dyDescent="0.3">
      <c r="A3644" t="s">
        <v>83</v>
      </c>
      <c r="B3644">
        <v>1000</v>
      </c>
      <c r="C3644" t="s">
        <v>80</v>
      </c>
      <c r="D3644">
        <v>2.8705699999999998E-3</v>
      </c>
      <c r="E3644" t="s">
        <v>74</v>
      </c>
      <c r="F3644">
        <v>2.8705699999999998</v>
      </c>
      <c r="G3644" t="s">
        <v>75</v>
      </c>
      <c r="H3644">
        <v>2870.5720000000001</v>
      </c>
      <c r="I3644" t="s">
        <v>76</v>
      </c>
      <c r="J3644" t="s">
        <v>77</v>
      </c>
    </row>
    <row r="3645" spans="1:11" x14ac:dyDescent="0.3">
      <c r="A3645" t="s">
        <v>83</v>
      </c>
      <c r="B3645">
        <v>1000</v>
      </c>
      <c r="C3645" t="s">
        <v>81</v>
      </c>
      <c r="D3645">
        <v>1.465845E-2</v>
      </c>
      <c r="E3645" t="s">
        <v>74</v>
      </c>
      <c r="F3645">
        <v>14.65845</v>
      </c>
      <c r="G3645" t="s">
        <v>75</v>
      </c>
      <c r="H3645">
        <v>14658.455</v>
      </c>
      <c r="I3645" t="s">
        <v>76</v>
      </c>
      <c r="J3645" t="s">
        <v>82</v>
      </c>
      <c r="K3645">
        <v>68.2200141</v>
      </c>
    </row>
    <row r="3646" spans="1:11" x14ac:dyDescent="0.3">
      <c r="A3646" t="s">
        <v>84</v>
      </c>
      <c r="B3646">
        <v>1001</v>
      </c>
      <c r="C3646" t="s">
        <v>91</v>
      </c>
      <c r="D3646">
        <v>5.4104999999999995E-4</v>
      </c>
      <c r="E3646" t="s">
        <v>74</v>
      </c>
      <c r="F3646">
        <v>0.54105000000000003</v>
      </c>
      <c r="G3646" t="s">
        <v>75</v>
      </c>
      <c r="H3646">
        <v>541.05100000000004</v>
      </c>
      <c r="I3646" t="s">
        <v>76</v>
      </c>
      <c r="J3646" t="s">
        <v>77</v>
      </c>
    </row>
    <row r="3647" spans="1:11" x14ac:dyDescent="0.3">
      <c r="A3647" t="s">
        <v>84</v>
      </c>
      <c r="B3647">
        <v>1001</v>
      </c>
      <c r="C3647" t="s">
        <v>92</v>
      </c>
      <c r="D3647">
        <v>1.0747059999999999E-2</v>
      </c>
      <c r="E3647" t="s">
        <v>74</v>
      </c>
      <c r="F3647">
        <v>10.747059999999999</v>
      </c>
      <c r="G3647" t="s">
        <v>75</v>
      </c>
      <c r="H3647">
        <v>10747.063</v>
      </c>
      <c r="I3647" t="s">
        <v>76</v>
      </c>
      <c r="J3647" t="s">
        <v>77</v>
      </c>
    </row>
    <row r="3648" spans="1:11" x14ac:dyDescent="0.3">
      <c r="A3648" t="s">
        <v>84</v>
      </c>
      <c r="B3648">
        <v>1001</v>
      </c>
      <c r="C3648" t="s">
        <v>93</v>
      </c>
      <c r="D3648">
        <v>5.0193999999999998E-4</v>
      </c>
      <c r="E3648" t="s">
        <v>74</v>
      </c>
      <c r="F3648">
        <v>0.50194000000000005</v>
      </c>
      <c r="G3648" t="s">
        <v>75</v>
      </c>
      <c r="H3648">
        <v>501.94099999999997</v>
      </c>
      <c r="I3648" t="s">
        <v>76</v>
      </c>
      <c r="J3648" t="s">
        <v>77</v>
      </c>
    </row>
    <row r="3649" spans="1:11" x14ac:dyDescent="0.3">
      <c r="A3649" t="s">
        <v>84</v>
      </c>
      <c r="B3649">
        <v>1001</v>
      </c>
      <c r="C3649" t="s">
        <v>79</v>
      </c>
      <c r="D3649">
        <v>1.1790500000000001E-2</v>
      </c>
      <c r="E3649" t="s">
        <v>74</v>
      </c>
      <c r="F3649">
        <v>11.7905</v>
      </c>
      <c r="G3649" t="s">
        <v>75</v>
      </c>
      <c r="H3649">
        <v>11790.501</v>
      </c>
      <c r="I3649" t="s">
        <v>76</v>
      </c>
      <c r="J3649" t="s">
        <v>77</v>
      </c>
    </row>
    <row r="3650" spans="1:11" x14ac:dyDescent="0.3">
      <c r="A3650" t="s">
        <v>84</v>
      </c>
      <c r="B3650">
        <v>1001</v>
      </c>
      <c r="C3650" t="s">
        <v>94</v>
      </c>
      <c r="D3650">
        <v>2.6966300000000002E-3</v>
      </c>
      <c r="E3650" t="s">
        <v>74</v>
      </c>
      <c r="F3650">
        <v>2.6966299999999999</v>
      </c>
      <c r="G3650" t="s">
        <v>75</v>
      </c>
      <c r="H3650">
        <v>2696.627</v>
      </c>
      <c r="I3650" t="s">
        <v>76</v>
      </c>
      <c r="J3650" t="s">
        <v>77</v>
      </c>
    </row>
    <row r="3651" spans="1:11" x14ac:dyDescent="0.3">
      <c r="A3651" t="s">
        <v>84</v>
      </c>
      <c r="B3651">
        <v>1001</v>
      </c>
      <c r="C3651" t="s">
        <v>80</v>
      </c>
      <c r="D3651">
        <v>2.8769899999999998E-3</v>
      </c>
      <c r="E3651" t="s">
        <v>74</v>
      </c>
      <c r="F3651">
        <v>2.8769900000000002</v>
      </c>
      <c r="G3651" t="s">
        <v>75</v>
      </c>
      <c r="H3651">
        <v>2876.9920000000002</v>
      </c>
      <c r="I3651" t="s">
        <v>76</v>
      </c>
      <c r="J3651" t="s">
        <v>77</v>
      </c>
    </row>
    <row r="3652" spans="1:11" x14ac:dyDescent="0.3">
      <c r="A3652" t="s">
        <v>84</v>
      </c>
      <c r="B3652">
        <v>1001</v>
      </c>
      <c r="C3652" t="s">
        <v>81</v>
      </c>
      <c r="D3652">
        <v>1.466893E-2</v>
      </c>
      <c r="E3652" t="s">
        <v>74</v>
      </c>
      <c r="F3652">
        <v>14.66893</v>
      </c>
      <c r="G3652" t="s">
        <v>75</v>
      </c>
      <c r="H3652">
        <v>14668.929</v>
      </c>
      <c r="I3652" t="s">
        <v>76</v>
      </c>
      <c r="J3652" t="s">
        <v>82</v>
      </c>
      <c r="K3652">
        <v>68.171304399999997</v>
      </c>
    </row>
    <row r="3653" spans="1:11" x14ac:dyDescent="0.3">
      <c r="A3653" t="s">
        <v>85</v>
      </c>
      <c r="B3653">
        <v>1001</v>
      </c>
      <c r="C3653" t="s">
        <v>86</v>
      </c>
      <c r="D3653">
        <v>1.4669130000000001E-2</v>
      </c>
      <c r="E3653" t="s">
        <v>74</v>
      </c>
      <c r="F3653">
        <v>14.669129999999999</v>
      </c>
      <c r="G3653" t="s">
        <v>75</v>
      </c>
      <c r="H3653">
        <v>14669.130999999999</v>
      </c>
      <c r="I3653" t="s">
        <v>76</v>
      </c>
      <c r="J3653" t="s">
        <v>82</v>
      </c>
      <c r="K3653">
        <v>68.170365799999999</v>
      </c>
    </row>
    <row r="3654" spans="1:11" x14ac:dyDescent="0.3">
      <c r="A3654" t="s">
        <v>95</v>
      </c>
    </row>
    <row r="3655" spans="1:11" x14ac:dyDescent="0.3">
      <c r="A3655" t="s">
        <v>72</v>
      </c>
      <c r="B3655">
        <v>1</v>
      </c>
      <c r="C3655" t="s">
        <v>73</v>
      </c>
      <c r="D3655">
        <v>4.0999999999999997E-6</v>
      </c>
      <c r="E3655" t="s">
        <v>74</v>
      </c>
      <c r="F3655">
        <v>4.1000000000000003E-3</v>
      </c>
      <c r="G3655" t="s">
        <v>75</v>
      </c>
      <c r="H3655">
        <v>4.0999999999999996</v>
      </c>
      <c r="I3655" t="s">
        <v>76</v>
      </c>
      <c r="J3655" t="s">
        <v>77</v>
      </c>
    </row>
    <row r="3656" spans="1:11" x14ac:dyDescent="0.3">
      <c r="A3656" t="s">
        <v>72</v>
      </c>
      <c r="B3656">
        <v>1</v>
      </c>
      <c r="C3656" t="s">
        <v>78</v>
      </c>
      <c r="D3656">
        <v>4.0800000000000002E-5</v>
      </c>
      <c r="E3656" t="s">
        <v>74</v>
      </c>
      <c r="F3656">
        <v>4.0800000000000003E-2</v>
      </c>
      <c r="G3656" t="s">
        <v>75</v>
      </c>
      <c r="H3656">
        <v>40.799999999999997</v>
      </c>
      <c r="I3656" t="s">
        <v>76</v>
      </c>
      <c r="J3656" t="s">
        <v>77</v>
      </c>
    </row>
    <row r="3657" spans="1:11" x14ac:dyDescent="0.3">
      <c r="A3657" t="s">
        <v>72</v>
      </c>
      <c r="B3657">
        <v>1</v>
      </c>
      <c r="C3657" t="s">
        <v>91</v>
      </c>
      <c r="D3657">
        <v>2.1911999999999999E-3</v>
      </c>
      <c r="E3657" t="s">
        <v>74</v>
      </c>
      <c r="F3657">
        <v>2.1911999999999998</v>
      </c>
      <c r="G3657" t="s">
        <v>75</v>
      </c>
      <c r="H3657">
        <v>2191.1999999999998</v>
      </c>
      <c r="I3657" t="s">
        <v>76</v>
      </c>
      <c r="J3657" t="s">
        <v>77</v>
      </c>
    </row>
    <row r="3658" spans="1:11" x14ac:dyDescent="0.3">
      <c r="A3658" t="s">
        <v>72</v>
      </c>
      <c r="B3658">
        <v>1</v>
      </c>
      <c r="C3658" t="s">
        <v>92</v>
      </c>
      <c r="D3658">
        <v>1.17558E-2</v>
      </c>
      <c r="E3658" t="s">
        <v>74</v>
      </c>
      <c r="F3658">
        <v>11.755800000000001</v>
      </c>
      <c r="G3658" t="s">
        <v>75</v>
      </c>
      <c r="H3658">
        <v>11755.8</v>
      </c>
      <c r="I3658" t="s">
        <v>76</v>
      </c>
      <c r="J3658" t="s">
        <v>77</v>
      </c>
    </row>
    <row r="3659" spans="1:11" x14ac:dyDescent="0.3">
      <c r="A3659" t="s">
        <v>72</v>
      </c>
      <c r="B3659">
        <v>1</v>
      </c>
      <c r="C3659" t="s">
        <v>93</v>
      </c>
      <c r="D3659">
        <v>1.6965000000000001E-3</v>
      </c>
      <c r="E3659" t="s">
        <v>74</v>
      </c>
      <c r="F3659">
        <v>1.6964999999999999</v>
      </c>
      <c r="G3659" t="s">
        <v>75</v>
      </c>
      <c r="H3659">
        <v>1696.5</v>
      </c>
      <c r="I3659" t="s">
        <v>76</v>
      </c>
      <c r="J3659" t="s">
        <v>77</v>
      </c>
    </row>
    <row r="3660" spans="1:11" x14ac:dyDescent="0.3">
      <c r="A3660" t="s">
        <v>72</v>
      </c>
      <c r="B3660">
        <v>1</v>
      </c>
      <c r="C3660" t="s">
        <v>79</v>
      </c>
      <c r="D3660">
        <v>1.5643799999999999E-2</v>
      </c>
      <c r="E3660" t="s">
        <v>74</v>
      </c>
      <c r="F3660">
        <v>15.643800000000001</v>
      </c>
      <c r="G3660" t="s">
        <v>75</v>
      </c>
      <c r="H3660">
        <v>15643.8</v>
      </c>
      <c r="I3660" t="s">
        <v>76</v>
      </c>
      <c r="J3660" t="s">
        <v>77</v>
      </c>
    </row>
    <row r="3661" spans="1:11" x14ac:dyDescent="0.3">
      <c r="A3661" t="s">
        <v>72</v>
      </c>
      <c r="B3661">
        <v>1</v>
      </c>
      <c r="C3661" t="s">
        <v>96</v>
      </c>
      <c r="D3661">
        <v>2.0349000000000001E-3</v>
      </c>
      <c r="E3661" t="s">
        <v>74</v>
      </c>
      <c r="F3661">
        <v>2.0348999999999999</v>
      </c>
      <c r="G3661" t="s">
        <v>75</v>
      </c>
      <c r="H3661">
        <v>2034.9</v>
      </c>
      <c r="I3661" t="s">
        <v>76</v>
      </c>
      <c r="J3661" t="s">
        <v>77</v>
      </c>
    </row>
    <row r="3662" spans="1:11" x14ac:dyDescent="0.3">
      <c r="A3662" t="s">
        <v>72</v>
      </c>
      <c r="B3662">
        <v>1</v>
      </c>
      <c r="C3662" t="s">
        <v>94</v>
      </c>
      <c r="D3662">
        <v>3.117E-3</v>
      </c>
      <c r="E3662" t="s">
        <v>74</v>
      </c>
      <c r="F3662">
        <v>3.117</v>
      </c>
      <c r="G3662" t="s">
        <v>75</v>
      </c>
      <c r="H3662">
        <v>3117</v>
      </c>
      <c r="I3662" t="s">
        <v>76</v>
      </c>
      <c r="J3662" t="s">
        <v>77</v>
      </c>
    </row>
    <row r="3663" spans="1:11" x14ac:dyDescent="0.3">
      <c r="A3663" t="s">
        <v>72</v>
      </c>
      <c r="B3663">
        <v>1</v>
      </c>
      <c r="C3663" t="s">
        <v>80</v>
      </c>
      <c r="D3663">
        <v>5.2782999999999997E-3</v>
      </c>
      <c r="E3663" t="s">
        <v>74</v>
      </c>
      <c r="F3663">
        <v>5.2782999999999998</v>
      </c>
      <c r="G3663" t="s">
        <v>75</v>
      </c>
      <c r="H3663">
        <v>5278.3</v>
      </c>
      <c r="I3663" t="s">
        <v>76</v>
      </c>
      <c r="J3663" t="s">
        <v>77</v>
      </c>
    </row>
    <row r="3664" spans="1:11" x14ac:dyDescent="0.3">
      <c r="A3664" t="s">
        <v>72</v>
      </c>
      <c r="B3664">
        <v>1</v>
      </c>
      <c r="C3664" t="s">
        <v>81</v>
      </c>
      <c r="D3664">
        <v>2.0923000000000001E-2</v>
      </c>
      <c r="E3664" t="s">
        <v>74</v>
      </c>
      <c r="F3664">
        <v>20.922999999999998</v>
      </c>
      <c r="G3664" t="s">
        <v>75</v>
      </c>
      <c r="H3664">
        <v>20923</v>
      </c>
      <c r="I3664" t="s">
        <v>76</v>
      </c>
      <c r="J3664" t="s">
        <v>82</v>
      </c>
      <c r="K3664">
        <v>47.794293799999998</v>
      </c>
    </row>
    <row r="3665" spans="1:11" x14ac:dyDescent="0.3">
      <c r="A3665" t="s">
        <v>83</v>
      </c>
      <c r="B3665">
        <v>1000</v>
      </c>
      <c r="C3665" t="s">
        <v>91</v>
      </c>
      <c r="D3665">
        <v>5.3837999999999998E-4</v>
      </c>
      <c r="E3665" t="s">
        <v>74</v>
      </c>
      <c r="F3665">
        <v>0.53837999999999997</v>
      </c>
      <c r="G3665" t="s">
        <v>75</v>
      </c>
      <c r="H3665">
        <v>538.38099999999997</v>
      </c>
      <c r="I3665" t="s">
        <v>76</v>
      </c>
      <c r="J3665" t="s">
        <v>77</v>
      </c>
    </row>
    <row r="3666" spans="1:11" x14ac:dyDescent="0.3">
      <c r="A3666" t="s">
        <v>83</v>
      </c>
      <c r="B3666">
        <v>1000</v>
      </c>
      <c r="C3666" t="s">
        <v>92</v>
      </c>
      <c r="D3666">
        <v>1.067421E-2</v>
      </c>
      <c r="E3666" t="s">
        <v>74</v>
      </c>
      <c r="F3666">
        <v>10.67421</v>
      </c>
      <c r="G3666" t="s">
        <v>75</v>
      </c>
      <c r="H3666">
        <v>10674.214</v>
      </c>
      <c r="I3666" t="s">
        <v>76</v>
      </c>
      <c r="J3666" t="s">
        <v>77</v>
      </c>
    </row>
    <row r="3667" spans="1:11" x14ac:dyDescent="0.3">
      <c r="A3667" t="s">
        <v>83</v>
      </c>
      <c r="B3667">
        <v>1000</v>
      </c>
      <c r="C3667" t="s">
        <v>93</v>
      </c>
      <c r="D3667">
        <v>5.0536000000000005E-4</v>
      </c>
      <c r="E3667" t="s">
        <v>74</v>
      </c>
      <c r="F3667">
        <v>0.50536000000000003</v>
      </c>
      <c r="G3667" t="s">
        <v>75</v>
      </c>
      <c r="H3667">
        <v>505.36399999999998</v>
      </c>
      <c r="I3667" t="s">
        <v>76</v>
      </c>
      <c r="J3667" t="s">
        <v>77</v>
      </c>
    </row>
    <row r="3668" spans="1:11" x14ac:dyDescent="0.3">
      <c r="A3668" t="s">
        <v>83</v>
      </c>
      <c r="B3668">
        <v>1000</v>
      </c>
      <c r="C3668" t="s">
        <v>79</v>
      </c>
      <c r="D3668">
        <v>1.171843E-2</v>
      </c>
      <c r="E3668" t="s">
        <v>74</v>
      </c>
      <c r="F3668">
        <v>11.71843</v>
      </c>
      <c r="G3668" t="s">
        <v>75</v>
      </c>
      <c r="H3668">
        <v>11718.431</v>
      </c>
      <c r="I3668" t="s">
        <v>76</v>
      </c>
      <c r="J3668" t="s">
        <v>77</v>
      </c>
    </row>
    <row r="3669" spans="1:11" x14ac:dyDescent="0.3">
      <c r="A3669" t="s">
        <v>83</v>
      </c>
      <c r="B3669">
        <v>1000</v>
      </c>
      <c r="C3669" t="s">
        <v>96</v>
      </c>
      <c r="D3669">
        <v>1.78633E-3</v>
      </c>
      <c r="E3669" t="s">
        <v>74</v>
      </c>
      <c r="F3669">
        <v>1.78633</v>
      </c>
      <c r="G3669" t="s">
        <v>75</v>
      </c>
      <c r="H3669">
        <v>1786.325</v>
      </c>
      <c r="I3669" t="s">
        <v>76</v>
      </c>
      <c r="J3669" t="s">
        <v>77</v>
      </c>
    </row>
    <row r="3670" spans="1:11" x14ac:dyDescent="0.3">
      <c r="A3670" t="s">
        <v>83</v>
      </c>
      <c r="B3670">
        <v>1000</v>
      </c>
      <c r="C3670" t="s">
        <v>94</v>
      </c>
      <c r="D3670">
        <v>3.0149399999999998E-3</v>
      </c>
      <c r="E3670" t="s">
        <v>74</v>
      </c>
      <c r="F3670">
        <v>3.0149400000000002</v>
      </c>
      <c r="G3670" t="s">
        <v>75</v>
      </c>
      <c r="H3670">
        <v>3014.9389999999999</v>
      </c>
      <c r="I3670" t="s">
        <v>76</v>
      </c>
      <c r="J3670" t="s">
        <v>77</v>
      </c>
    </row>
    <row r="3671" spans="1:11" x14ac:dyDescent="0.3">
      <c r="A3671" t="s">
        <v>83</v>
      </c>
      <c r="B3671">
        <v>1000</v>
      </c>
      <c r="C3671" t="s">
        <v>80</v>
      </c>
      <c r="D3671">
        <v>4.9331000000000002E-3</v>
      </c>
      <c r="E3671" t="s">
        <v>74</v>
      </c>
      <c r="F3671">
        <v>4.9330999999999996</v>
      </c>
      <c r="G3671" t="s">
        <v>75</v>
      </c>
      <c r="H3671">
        <v>4933.0969999999998</v>
      </c>
      <c r="I3671" t="s">
        <v>76</v>
      </c>
      <c r="J3671" t="s">
        <v>77</v>
      </c>
    </row>
    <row r="3672" spans="1:11" x14ac:dyDescent="0.3">
      <c r="A3672" t="s">
        <v>83</v>
      </c>
      <c r="B3672">
        <v>1000</v>
      </c>
      <c r="C3672" t="s">
        <v>81</v>
      </c>
      <c r="D3672">
        <v>1.6653149999999999E-2</v>
      </c>
      <c r="E3672" t="s">
        <v>74</v>
      </c>
      <c r="F3672">
        <v>16.65315</v>
      </c>
      <c r="G3672" t="s">
        <v>75</v>
      </c>
      <c r="H3672">
        <v>16653.151999999998</v>
      </c>
      <c r="I3672" t="s">
        <v>76</v>
      </c>
      <c r="J3672" t="s">
        <v>82</v>
      </c>
      <c r="K3672">
        <v>60.0486906</v>
      </c>
    </row>
    <row r="3673" spans="1:11" x14ac:dyDescent="0.3">
      <c r="A3673" t="s">
        <v>84</v>
      </c>
      <c r="B3673">
        <v>1001</v>
      </c>
      <c r="C3673" t="s">
        <v>91</v>
      </c>
      <c r="D3673">
        <v>5.4003000000000005E-4</v>
      </c>
      <c r="E3673" t="s">
        <v>74</v>
      </c>
      <c r="F3673">
        <v>0.54003000000000001</v>
      </c>
      <c r="G3673" t="s">
        <v>75</v>
      </c>
      <c r="H3673">
        <v>540.03200000000004</v>
      </c>
      <c r="I3673" t="s">
        <v>76</v>
      </c>
      <c r="J3673" t="s">
        <v>77</v>
      </c>
    </row>
    <row r="3674" spans="1:11" x14ac:dyDescent="0.3">
      <c r="A3674" t="s">
        <v>84</v>
      </c>
      <c r="B3674">
        <v>1001</v>
      </c>
      <c r="C3674" t="s">
        <v>92</v>
      </c>
      <c r="D3674">
        <v>1.06753E-2</v>
      </c>
      <c r="E3674" t="s">
        <v>74</v>
      </c>
      <c r="F3674">
        <v>10.6753</v>
      </c>
      <c r="G3674" t="s">
        <v>75</v>
      </c>
      <c r="H3674">
        <v>10675.296</v>
      </c>
      <c r="I3674" t="s">
        <v>76</v>
      </c>
      <c r="J3674" t="s">
        <v>77</v>
      </c>
    </row>
    <row r="3675" spans="1:11" x14ac:dyDescent="0.3">
      <c r="A3675" t="s">
        <v>84</v>
      </c>
      <c r="B3675">
        <v>1001</v>
      </c>
      <c r="C3675" t="s">
        <v>93</v>
      </c>
      <c r="D3675">
        <v>5.0655000000000003E-4</v>
      </c>
      <c r="E3675" t="s">
        <v>74</v>
      </c>
      <c r="F3675">
        <v>0.50654999999999994</v>
      </c>
      <c r="G3675" t="s">
        <v>75</v>
      </c>
      <c r="H3675">
        <v>506.55399999999997</v>
      </c>
      <c r="I3675" t="s">
        <v>76</v>
      </c>
      <c r="J3675" t="s">
        <v>77</v>
      </c>
    </row>
    <row r="3676" spans="1:11" x14ac:dyDescent="0.3">
      <c r="A3676" t="s">
        <v>84</v>
      </c>
      <c r="B3676">
        <v>1001</v>
      </c>
      <c r="C3676" t="s">
        <v>79</v>
      </c>
      <c r="D3676">
        <v>1.1722349999999999E-2</v>
      </c>
      <c r="E3676" t="s">
        <v>74</v>
      </c>
      <c r="F3676">
        <v>11.72235</v>
      </c>
      <c r="G3676" t="s">
        <v>75</v>
      </c>
      <c r="H3676">
        <v>11722.352999999999</v>
      </c>
      <c r="I3676" t="s">
        <v>76</v>
      </c>
      <c r="J3676" t="s">
        <v>77</v>
      </c>
    </row>
    <row r="3677" spans="1:11" x14ac:dyDescent="0.3">
      <c r="A3677" t="s">
        <v>84</v>
      </c>
      <c r="B3677">
        <v>1001</v>
      </c>
      <c r="C3677" t="s">
        <v>96</v>
      </c>
      <c r="D3677">
        <v>1.7865699999999999E-3</v>
      </c>
      <c r="E3677" t="s">
        <v>74</v>
      </c>
      <c r="F3677">
        <v>1.78657</v>
      </c>
      <c r="G3677" t="s">
        <v>75</v>
      </c>
      <c r="H3677">
        <v>1786.5730000000001</v>
      </c>
      <c r="I3677" t="s">
        <v>76</v>
      </c>
      <c r="J3677" t="s">
        <v>77</v>
      </c>
    </row>
    <row r="3678" spans="1:11" x14ac:dyDescent="0.3">
      <c r="A3678" t="s">
        <v>84</v>
      </c>
      <c r="B3678">
        <v>1001</v>
      </c>
      <c r="C3678" t="s">
        <v>94</v>
      </c>
      <c r="D3678">
        <v>3.0150400000000001E-3</v>
      </c>
      <c r="E3678" t="s">
        <v>74</v>
      </c>
      <c r="F3678">
        <v>3.0150399999999999</v>
      </c>
      <c r="G3678" t="s">
        <v>75</v>
      </c>
      <c r="H3678">
        <v>3015.0410000000002</v>
      </c>
      <c r="I3678" t="s">
        <v>76</v>
      </c>
      <c r="J3678" t="s">
        <v>77</v>
      </c>
    </row>
    <row r="3679" spans="1:11" x14ac:dyDescent="0.3">
      <c r="A3679" t="s">
        <v>84</v>
      </c>
      <c r="B3679">
        <v>1001</v>
      </c>
      <c r="C3679" t="s">
        <v>80</v>
      </c>
      <c r="D3679">
        <v>4.9334399999999999E-3</v>
      </c>
      <c r="E3679" t="s">
        <v>74</v>
      </c>
      <c r="F3679">
        <v>4.93344</v>
      </c>
      <c r="G3679" t="s">
        <v>75</v>
      </c>
      <c r="H3679">
        <v>4933.442</v>
      </c>
      <c r="I3679" t="s">
        <v>76</v>
      </c>
      <c r="J3679" t="s">
        <v>77</v>
      </c>
    </row>
    <row r="3680" spans="1:11" x14ac:dyDescent="0.3">
      <c r="A3680" t="s">
        <v>84</v>
      </c>
      <c r="B3680">
        <v>1001</v>
      </c>
      <c r="C3680" t="s">
        <v>81</v>
      </c>
      <c r="D3680">
        <v>1.6657419999999999E-2</v>
      </c>
      <c r="E3680" t="s">
        <v>74</v>
      </c>
      <c r="F3680">
        <v>16.657419999999998</v>
      </c>
      <c r="G3680" t="s">
        <v>75</v>
      </c>
      <c r="H3680">
        <v>16657.420999999998</v>
      </c>
      <c r="I3680" t="s">
        <v>76</v>
      </c>
      <c r="J3680" t="s">
        <v>82</v>
      </c>
      <c r="K3680">
        <v>60.033304399999999</v>
      </c>
    </row>
    <row r="3681" spans="1:11" x14ac:dyDescent="0.3">
      <c r="A3681" t="s">
        <v>85</v>
      </c>
      <c r="B3681">
        <v>1001</v>
      </c>
      <c r="C3681" t="s">
        <v>86</v>
      </c>
      <c r="D3681">
        <v>1.665763E-2</v>
      </c>
      <c r="E3681" t="s">
        <v>74</v>
      </c>
      <c r="F3681">
        <v>16.657630000000001</v>
      </c>
      <c r="G3681" t="s">
        <v>75</v>
      </c>
      <c r="H3681">
        <v>16657.626</v>
      </c>
      <c r="I3681" t="s">
        <v>76</v>
      </c>
      <c r="J3681" t="s">
        <v>82</v>
      </c>
      <c r="K3681">
        <v>60.032562800000001</v>
      </c>
    </row>
    <row r="3682" spans="1:11" x14ac:dyDescent="0.3">
      <c r="A3682" t="s">
        <v>87</v>
      </c>
    </row>
    <row r="3683" spans="1:11" x14ac:dyDescent="0.3">
      <c r="A3683" t="s">
        <v>97</v>
      </c>
    </row>
    <row r="3684" spans="1:11" x14ac:dyDescent="0.3">
      <c r="A3684" t="s">
        <v>72</v>
      </c>
      <c r="B3684">
        <v>1</v>
      </c>
      <c r="C3684" t="s">
        <v>81</v>
      </c>
      <c r="D3684">
        <v>2.5143599999999999E-2</v>
      </c>
      <c r="E3684" t="s">
        <v>74</v>
      </c>
      <c r="F3684">
        <v>25.143599999999999</v>
      </c>
      <c r="G3684" t="s">
        <v>75</v>
      </c>
      <c r="H3684">
        <v>25143.598999999998</v>
      </c>
      <c r="I3684" t="s">
        <v>76</v>
      </c>
      <c r="J3684" t="s">
        <v>82</v>
      </c>
      <c r="K3684">
        <v>39.771553599999997</v>
      </c>
    </row>
    <row r="3685" spans="1:11" x14ac:dyDescent="0.3">
      <c r="A3685" t="s">
        <v>83</v>
      </c>
      <c r="B3685">
        <v>1000</v>
      </c>
      <c r="C3685" t="s">
        <v>81</v>
      </c>
      <c r="D3685">
        <v>1.465845E-2</v>
      </c>
      <c r="E3685" t="s">
        <v>74</v>
      </c>
      <c r="F3685">
        <v>14.65845</v>
      </c>
      <c r="G3685" t="s">
        <v>75</v>
      </c>
      <c r="H3685">
        <v>14658.455</v>
      </c>
      <c r="I3685" t="s">
        <v>76</v>
      </c>
      <c r="J3685" t="s">
        <v>82</v>
      </c>
      <c r="K3685">
        <v>68.2200141</v>
      </c>
    </row>
    <row r="3686" spans="1:11" x14ac:dyDescent="0.3">
      <c r="A3686" t="s">
        <v>85</v>
      </c>
      <c r="B3686">
        <v>1001</v>
      </c>
      <c r="C3686" t="s">
        <v>86</v>
      </c>
      <c r="D3686">
        <v>1.4669130000000001E-2</v>
      </c>
      <c r="E3686" t="s">
        <v>74</v>
      </c>
      <c r="F3686">
        <v>14.669129999999999</v>
      </c>
      <c r="G3686" t="s">
        <v>75</v>
      </c>
      <c r="H3686">
        <v>14669.130999999999</v>
      </c>
      <c r="I3686" t="s">
        <v>76</v>
      </c>
      <c r="J3686" t="s">
        <v>82</v>
      </c>
      <c r="K3686">
        <v>68.170365799999999</v>
      </c>
    </row>
    <row r="3688" spans="1:11" x14ac:dyDescent="0.3">
      <c r="A3688" t="s">
        <v>98</v>
      </c>
    </row>
    <row r="3689" spans="1:11" x14ac:dyDescent="0.3">
      <c r="A3689" t="s">
        <v>72</v>
      </c>
      <c r="B3689">
        <v>1</v>
      </c>
      <c r="C3689" t="s">
        <v>81</v>
      </c>
      <c r="D3689">
        <v>2.0923000000000001E-2</v>
      </c>
      <c r="E3689" t="s">
        <v>74</v>
      </c>
      <c r="F3689">
        <v>20.922999999999998</v>
      </c>
      <c r="G3689" t="s">
        <v>75</v>
      </c>
      <c r="H3689">
        <v>20923</v>
      </c>
      <c r="I3689" t="s">
        <v>76</v>
      </c>
      <c r="J3689" t="s">
        <v>82</v>
      </c>
      <c r="K3689">
        <v>47.794293799999998</v>
      </c>
    </row>
    <row r="3690" spans="1:11" x14ac:dyDescent="0.3">
      <c r="A3690" t="s">
        <v>83</v>
      </c>
      <c r="B3690">
        <v>1000</v>
      </c>
      <c r="C3690" t="s">
        <v>81</v>
      </c>
      <c r="D3690">
        <v>1.6653149999999999E-2</v>
      </c>
      <c r="E3690" t="s">
        <v>74</v>
      </c>
      <c r="F3690">
        <v>16.65315</v>
      </c>
      <c r="G3690" t="s">
        <v>75</v>
      </c>
      <c r="H3690">
        <v>16653.151999999998</v>
      </c>
      <c r="I3690" t="s">
        <v>76</v>
      </c>
      <c r="J3690" t="s">
        <v>82</v>
      </c>
      <c r="K3690">
        <v>60.0486906</v>
      </c>
    </row>
    <row r="3691" spans="1:11" x14ac:dyDescent="0.3">
      <c r="A3691" t="s">
        <v>85</v>
      </c>
      <c r="B3691">
        <v>1001</v>
      </c>
      <c r="C3691" t="s">
        <v>86</v>
      </c>
      <c r="D3691">
        <v>1.665763E-2</v>
      </c>
      <c r="E3691" t="s">
        <v>74</v>
      </c>
      <c r="F3691">
        <v>16.657630000000001</v>
      </c>
      <c r="G3691" t="s">
        <v>75</v>
      </c>
      <c r="H3691">
        <v>16657.626</v>
      </c>
      <c r="I3691" t="s">
        <v>76</v>
      </c>
      <c r="J3691" t="s">
        <v>82</v>
      </c>
      <c r="K3691">
        <v>60.032562800000001</v>
      </c>
    </row>
    <row r="3693" spans="1:11" x14ac:dyDescent="0.3">
      <c r="A3693" t="s">
        <v>66</v>
      </c>
    </row>
    <row r="3695" spans="1:11" x14ac:dyDescent="0.3">
      <c r="A3695" t="s">
        <v>262</v>
      </c>
    </row>
    <row r="3696" spans="1:11" x14ac:dyDescent="0.3">
      <c r="A3696" t="s">
        <v>68</v>
      </c>
    </row>
    <row r="3697" spans="1:11" x14ac:dyDescent="0.3">
      <c r="A3697" t="s">
        <v>69</v>
      </c>
    </row>
    <row r="3698" spans="1:11" x14ac:dyDescent="0.3">
      <c r="A3698" t="s">
        <v>70</v>
      </c>
    </row>
    <row r="3699" spans="1:11" x14ac:dyDescent="0.3">
      <c r="A3699" t="s">
        <v>100</v>
      </c>
    </row>
    <row r="3700" spans="1:11" x14ac:dyDescent="0.3">
      <c r="A3700" t="s">
        <v>72</v>
      </c>
      <c r="B3700">
        <v>1</v>
      </c>
      <c r="C3700" t="s">
        <v>73</v>
      </c>
      <c r="D3700">
        <v>3.8E-6</v>
      </c>
      <c r="E3700" t="s">
        <v>74</v>
      </c>
      <c r="F3700">
        <v>3.8E-3</v>
      </c>
      <c r="G3700" t="s">
        <v>75</v>
      </c>
      <c r="H3700">
        <v>3.8</v>
      </c>
      <c r="I3700" t="s">
        <v>76</v>
      </c>
      <c r="J3700" t="s">
        <v>77</v>
      </c>
    </row>
    <row r="3701" spans="1:11" x14ac:dyDescent="0.3">
      <c r="A3701" t="s">
        <v>72</v>
      </c>
      <c r="B3701">
        <v>1</v>
      </c>
      <c r="C3701" t="s">
        <v>78</v>
      </c>
      <c r="D3701">
        <v>4.3300000000000002E-5</v>
      </c>
      <c r="E3701" t="s">
        <v>74</v>
      </c>
      <c r="F3701">
        <v>4.3299999999999998E-2</v>
      </c>
      <c r="G3701" t="s">
        <v>75</v>
      </c>
      <c r="H3701">
        <v>43.3</v>
      </c>
      <c r="I3701" t="s">
        <v>76</v>
      </c>
      <c r="J3701" t="s">
        <v>77</v>
      </c>
    </row>
    <row r="3702" spans="1:11" x14ac:dyDescent="0.3">
      <c r="A3702" t="s">
        <v>72</v>
      </c>
      <c r="B3702">
        <v>1</v>
      </c>
      <c r="C3702" t="s">
        <v>91</v>
      </c>
      <c r="D3702">
        <v>2.2528000000000001E-3</v>
      </c>
      <c r="E3702" t="s">
        <v>74</v>
      </c>
      <c r="F3702">
        <v>2.2528000000000001</v>
      </c>
      <c r="G3702" t="s">
        <v>75</v>
      </c>
      <c r="H3702">
        <v>2252.8000000000002</v>
      </c>
      <c r="I3702" t="s">
        <v>76</v>
      </c>
      <c r="J3702" t="s">
        <v>77</v>
      </c>
    </row>
    <row r="3703" spans="1:11" x14ac:dyDescent="0.3">
      <c r="A3703" t="s">
        <v>72</v>
      </c>
      <c r="B3703">
        <v>1</v>
      </c>
      <c r="C3703" t="s">
        <v>92</v>
      </c>
      <c r="D3703">
        <v>1.19173E-2</v>
      </c>
      <c r="E3703" t="s">
        <v>74</v>
      </c>
      <c r="F3703">
        <v>11.917299999999999</v>
      </c>
      <c r="G3703" t="s">
        <v>75</v>
      </c>
      <c r="H3703">
        <v>11917.3</v>
      </c>
      <c r="I3703" t="s">
        <v>76</v>
      </c>
      <c r="J3703" t="s">
        <v>77</v>
      </c>
    </row>
    <row r="3704" spans="1:11" x14ac:dyDescent="0.3">
      <c r="A3704" t="s">
        <v>72</v>
      </c>
      <c r="B3704">
        <v>1</v>
      </c>
      <c r="C3704" t="s">
        <v>93</v>
      </c>
      <c r="D3704">
        <v>1.7856E-3</v>
      </c>
      <c r="E3704" t="s">
        <v>74</v>
      </c>
      <c r="F3704">
        <v>1.7856000000000001</v>
      </c>
      <c r="G3704" t="s">
        <v>75</v>
      </c>
      <c r="H3704">
        <v>1785.6</v>
      </c>
      <c r="I3704" t="s">
        <v>76</v>
      </c>
      <c r="J3704" t="s">
        <v>77</v>
      </c>
    </row>
    <row r="3705" spans="1:11" x14ac:dyDescent="0.3">
      <c r="A3705" t="s">
        <v>72</v>
      </c>
      <c r="B3705">
        <v>1</v>
      </c>
      <c r="C3705" t="s">
        <v>79</v>
      </c>
      <c r="D3705">
        <v>1.59591E-2</v>
      </c>
      <c r="E3705" t="s">
        <v>74</v>
      </c>
      <c r="F3705">
        <v>15.959099999999999</v>
      </c>
      <c r="G3705" t="s">
        <v>75</v>
      </c>
      <c r="H3705">
        <v>15959.101000000001</v>
      </c>
      <c r="I3705" t="s">
        <v>76</v>
      </c>
      <c r="J3705" t="s">
        <v>77</v>
      </c>
    </row>
    <row r="3706" spans="1:11" x14ac:dyDescent="0.3">
      <c r="A3706" t="s">
        <v>72</v>
      </c>
      <c r="B3706">
        <v>1</v>
      </c>
      <c r="C3706" t="s">
        <v>94</v>
      </c>
      <c r="D3706">
        <v>9.5218999999999998E-3</v>
      </c>
      <c r="E3706" t="s">
        <v>74</v>
      </c>
      <c r="F3706">
        <v>9.5219000000000005</v>
      </c>
      <c r="G3706" t="s">
        <v>75</v>
      </c>
      <c r="H3706">
        <v>9521.9</v>
      </c>
      <c r="I3706" t="s">
        <v>76</v>
      </c>
      <c r="J3706" t="s">
        <v>77</v>
      </c>
    </row>
    <row r="3707" spans="1:11" x14ac:dyDescent="0.3">
      <c r="A3707" t="s">
        <v>72</v>
      </c>
      <c r="B3707">
        <v>1</v>
      </c>
      <c r="C3707" t="s">
        <v>80</v>
      </c>
      <c r="D3707">
        <v>9.5224000000000003E-3</v>
      </c>
      <c r="E3707" t="s">
        <v>74</v>
      </c>
      <c r="F3707">
        <v>9.5223999999999993</v>
      </c>
      <c r="G3707" t="s">
        <v>75</v>
      </c>
      <c r="H3707">
        <v>9522.4</v>
      </c>
      <c r="I3707" t="s">
        <v>76</v>
      </c>
      <c r="J3707" t="s">
        <v>77</v>
      </c>
    </row>
    <row r="3708" spans="1:11" x14ac:dyDescent="0.3">
      <c r="A3708" t="s">
        <v>72</v>
      </c>
      <c r="B3708">
        <v>1</v>
      </c>
      <c r="C3708" t="s">
        <v>81</v>
      </c>
      <c r="D3708">
        <v>2.5484300000000001E-2</v>
      </c>
      <c r="E3708" t="s">
        <v>74</v>
      </c>
      <c r="F3708">
        <v>25.484300000000001</v>
      </c>
      <c r="G3708" t="s">
        <v>75</v>
      </c>
      <c r="H3708">
        <v>25484.298999999999</v>
      </c>
      <c r="I3708" t="s">
        <v>76</v>
      </c>
      <c r="J3708" t="s">
        <v>82</v>
      </c>
      <c r="K3708">
        <v>39.239846800000002</v>
      </c>
    </row>
    <row r="3709" spans="1:11" x14ac:dyDescent="0.3">
      <c r="A3709" t="s">
        <v>83</v>
      </c>
      <c r="B3709">
        <v>1000</v>
      </c>
      <c r="C3709" t="s">
        <v>91</v>
      </c>
      <c r="D3709">
        <v>5.3496000000000001E-4</v>
      </c>
      <c r="E3709" t="s">
        <v>74</v>
      </c>
      <c r="F3709">
        <v>0.53495999999999999</v>
      </c>
      <c r="G3709" t="s">
        <v>75</v>
      </c>
      <c r="H3709">
        <v>534.96199999999999</v>
      </c>
      <c r="I3709" t="s">
        <v>76</v>
      </c>
      <c r="J3709" t="s">
        <v>77</v>
      </c>
    </row>
    <row r="3710" spans="1:11" x14ac:dyDescent="0.3">
      <c r="A3710" t="s">
        <v>83</v>
      </c>
      <c r="B3710">
        <v>1000</v>
      </c>
      <c r="C3710" t="s">
        <v>92</v>
      </c>
      <c r="D3710">
        <v>1.073091E-2</v>
      </c>
      <c r="E3710" t="s">
        <v>74</v>
      </c>
      <c r="F3710">
        <v>10.73091</v>
      </c>
      <c r="G3710" t="s">
        <v>75</v>
      </c>
      <c r="H3710">
        <v>10730.911</v>
      </c>
      <c r="I3710" t="s">
        <v>76</v>
      </c>
      <c r="J3710" t="s">
        <v>77</v>
      </c>
    </row>
    <row r="3711" spans="1:11" x14ac:dyDescent="0.3">
      <c r="A3711" t="s">
        <v>83</v>
      </c>
      <c r="B3711">
        <v>1000</v>
      </c>
      <c r="C3711" t="s">
        <v>93</v>
      </c>
      <c r="D3711">
        <v>5.0208999999999996E-4</v>
      </c>
      <c r="E3711" t="s">
        <v>74</v>
      </c>
      <c r="F3711">
        <v>0.50209000000000004</v>
      </c>
      <c r="G3711" t="s">
        <v>75</v>
      </c>
      <c r="H3711">
        <v>502.09</v>
      </c>
      <c r="I3711" t="s">
        <v>76</v>
      </c>
      <c r="J3711" t="s">
        <v>77</v>
      </c>
    </row>
    <row r="3712" spans="1:11" x14ac:dyDescent="0.3">
      <c r="A3712" t="s">
        <v>83</v>
      </c>
      <c r="B3712">
        <v>1000</v>
      </c>
      <c r="C3712" t="s">
        <v>79</v>
      </c>
      <c r="D3712">
        <v>1.176836E-2</v>
      </c>
      <c r="E3712" t="s">
        <v>74</v>
      </c>
      <c r="F3712">
        <v>11.768359999999999</v>
      </c>
      <c r="G3712" t="s">
        <v>75</v>
      </c>
      <c r="H3712">
        <v>11768.357</v>
      </c>
      <c r="I3712" t="s">
        <v>76</v>
      </c>
      <c r="J3712" t="s">
        <v>77</v>
      </c>
    </row>
    <row r="3713" spans="1:11" x14ac:dyDescent="0.3">
      <c r="A3713" t="s">
        <v>83</v>
      </c>
      <c r="B3713">
        <v>1000</v>
      </c>
      <c r="C3713" t="s">
        <v>94</v>
      </c>
      <c r="D3713">
        <v>2.69952E-3</v>
      </c>
      <c r="E3713" t="s">
        <v>74</v>
      </c>
      <c r="F3713">
        <v>2.6995200000000001</v>
      </c>
      <c r="G3713" t="s">
        <v>75</v>
      </c>
      <c r="H3713">
        <v>2699.5189999999998</v>
      </c>
      <c r="I3713" t="s">
        <v>76</v>
      </c>
      <c r="J3713" t="s">
        <v>77</v>
      </c>
    </row>
    <row r="3714" spans="1:11" x14ac:dyDescent="0.3">
      <c r="A3714" t="s">
        <v>83</v>
      </c>
      <c r="B3714">
        <v>1000</v>
      </c>
      <c r="C3714" t="s">
        <v>80</v>
      </c>
      <c r="D3714">
        <v>2.87046E-3</v>
      </c>
      <c r="E3714" t="s">
        <v>74</v>
      </c>
      <c r="F3714">
        <v>2.87046</v>
      </c>
      <c r="G3714" t="s">
        <v>75</v>
      </c>
      <c r="H3714">
        <v>2870.4569999999999</v>
      </c>
      <c r="I3714" t="s">
        <v>76</v>
      </c>
      <c r="J3714" t="s">
        <v>77</v>
      </c>
    </row>
    <row r="3715" spans="1:11" x14ac:dyDescent="0.3">
      <c r="A3715" t="s">
        <v>83</v>
      </c>
      <c r="B3715">
        <v>1000</v>
      </c>
      <c r="C3715" t="s">
        <v>81</v>
      </c>
      <c r="D3715">
        <v>1.464008E-2</v>
      </c>
      <c r="E3715" t="s">
        <v>74</v>
      </c>
      <c r="F3715">
        <v>14.640079999999999</v>
      </c>
      <c r="G3715" t="s">
        <v>75</v>
      </c>
      <c r="H3715">
        <v>14640.084000000001</v>
      </c>
      <c r="I3715" t="s">
        <v>76</v>
      </c>
      <c r="J3715" t="s">
        <v>82</v>
      </c>
      <c r="K3715">
        <v>68.305617799999993</v>
      </c>
    </row>
    <row r="3716" spans="1:11" x14ac:dyDescent="0.3">
      <c r="A3716" t="s">
        <v>84</v>
      </c>
      <c r="B3716">
        <v>1001</v>
      </c>
      <c r="C3716" t="s">
        <v>91</v>
      </c>
      <c r="D3716">
        <v>5.3667999999999999E-4</v>
      </c>
      <c r="E3716" t="s">
        <v>74</v>
      </c>
      <c r="F3716">
        <v>0.53668000000000005</v>
      </c>
      <c r="G3716" t="s">
        <v>75</v>
      </c>
      <c r="H3716">
        <v>536.678</v>
      </c>
      <c r="I3716" t="s">
        <v>76</v>
      </c>
      <c r="J3716" t="s">
        <v>77</v>
      </c>
    </row>
    <row r="3717" spans="1:11" x14ac:dyDescent="0.3">
      <c r="A3717" t="s">
        <v>84</v>
      </c>
      <c r="B3717">
        <v>1001</v>
      </c>
      <c r="C3717" t="s">
        <v>92</v>
      </c>
      <c r="D3717">
        <v>1.07321E-2</v>
      </c>
      <c r="E3717" t="s">
        <v>74</v>
      </c>
      <c r="F3717">
        <v>10.732100000000001</v>
      </c>
      <c r="G3717" t="s">
        <v>75</v>
      </c>
      <c r="H3717">
        <v>10732.094999999999</v>
      </c>
      <c r="I3717" t="s">
        <v>76</v>
      </c>
      <c r="J3717" t="s">
        <v>77</v>
      </c>
    </row>
    <row r="3718" spans="1:11" x14ac:dyDescent="0.3">
      <c r="A3718" t="s">
        <v>84</v>
      </c>
      <c r="B3718">
        <v>1001</v>
      </c>
      <c r="C3718" t="s">
        <v>93</v>
      </c>
      <c r="D3718">
        <v>5.0336999999999995E-4</v>
      </c>
      <c r="E3718" t="s">
        <v>74</v>
      </c>
      <c r="F3718">
        <v>0.50336999999999998</v>
      </c>
      <c r="G3718" t="s">
        <v>75</v>
      </c>
      <c r="H3718">
        <v>503.37200000000001</v>
      </c>
      <c r="I3718" t="s">
        <v>76</v>
      </c>
      <c r="J3718" t="s">
        <v>77</v>
      </c>
    </row>
    <row r="3719" spans="1:11" x14ac:dyDescent="0.3">
      <c r="A3719" t="s">
        <v>84</v>
      </c>
      <c r="B3719">
        <v>1001</v>
      </c>
      <c r="C3719" t="s">
        <v>79</v>
      </c>
      <c r="D3719">
        <v>1.177254E-2</v>
      </c>
      <c r="E3719" t="s">
        <v>74</v>
      </c>
      <c r="F3719">
        <v>11.772539999999999</v>
      </c>
      <c r="G3719" t="s">
        <v>75</v>
      </c>
      <c r="H3719">
        <v>11772.543</v>
      </c>
      <c r="I3719" t="s">
        <v>76</v>
      </c>
      <c r="J3719" t="s">
        <v>77</v>
      </c>
    </row>
    <row r="3720" spans="1:11" x14ac:dyDescent="0.3">
      <c r="A3720" t="s">
        <v>84</v>
      </c>
      <c r="B3720">
        <v>1001</v>
      </c>
      <c r="C3720" t="s">
        <v>94</v>
      </c>
      <c r="D3720">
        <v>2.7063299999999998E-3</v>
      </c>
      <c r="E3720" t="s">
        <v>74</v>
      </c>
      <c r="F3720">
        <v>2.7063299999999999</v>
      </c>
      <c r="G3720" t="s">
        <v>75</v>
      </c>
      <c r="H3720">
        <v>2706.335</v>
      </c>
      <c r="I3720" t="s">
        <v>76</v>
      </c>
      <c r="J3720" t="s">
        <v>77</v>
      </c>
    </row>
    <row r="3721" spans="1:11" x14ac:dyDescent="0.3">
      <c r="A3721" t="s">
        <v>84</v>
      </c>
      <c r="B3721">
        <v>1001</v>
      </c>
      <c r="C3721" t="s">
        <v>80</v>
      </c>
      <c r="D3721">
        <v>2.8771000000000001E-3</v>
      </c>
      <c r="E3721" t="s">
        <v>74</v>
      </c>
      <c r="F3721">
        <v>2.8771</v>
      </c>
      <c r="G3721" t="s">
        <v>75</v>
      </c>
      <c r="H3721">
        <v>2877.1019999999999</v>
      </c>
      <c r="I3721" t="s">
        <v>76</v>
      </c>
      <c r="J3721" t="s">
        <v>77</v>
      </c>
    </row>
    <row r="3722" spans="1:11" x14ac:dyDescent="0.3">
      <c r="A3722" t="s">
        <v>84</v>
      </c>
      <c r="B3722">
        <v>1001</v>
      </c>
      <c r="C3722" t="s">
        <v>81</v>
      </c>
      <c r="D3722">
        <v>1.465092E-2</v>
      </c>
      <c r="E3722" t="s">
        <v>74</v>
      </c>
      <c r="F3722">
        <v>14.650919999999999</v>
      </c>
      <c r="G3722" t="s">
        <v>75</v>
      </c>
      <c r="H3722">
        <v>14650.916999999999</v>
      </c>
      <c r="I3722" t="s">
        <v>76</v>
      </c>
      <c r="J3722" t="s">
        <v>82</v>
      </c>
      <c r="K3722">
        <v>68.255111299999996</v>
      </c>
    </row>
    <row r="3723" spans="1:11" x14ac:dyDescent="0.3">
      <c r="A3723" t="s">
        <v>85</v>
      </c>
      <c r="B3723">
        <v>1001</v>
      </c>
      <c r="C3723" t="s">
        <v>86</v>
      </c>
      <c r="D3723">
        <v>1.465112E-2</v>
      </c>
      <c r="E3723" t="s">
        <v>74</v>
      </c>
      <c r="F3723">
        <v>14.651120000000001</v>
      </c>
      <c r="G3723" t="s">
        <v>75</v>
      </c>
      <c r="H3723">
        <v>14651.12</v>
      </c>
      <c r="I3723" t="s">
        <v>76</v>
      </c>
      <c r="J3723" t="s">
        <v>82</v>
      </c>
      <c r="K3723">
        <v>68.254165900000004</v>
      </c>
    </row>
    <row r="3724" spans="1:11" x14ac:dyDescent="0.3">
      <c r="A3724" t="s">
        <v>101</v>
      </c>
    </row>
    <row r="3725" spans="1:11" x14ac:dyDescent="0.3">
      <c r="A3725" t="s">
        <v>72</v>
      </c>
      <c r="B3725">
        <v>1</v>
      </c>
      <c r="C3725" t="s">
        <v>73</v>
      </c>
      <c r="D3725">
        <v>3.8E-6</v>
      </c>
      <c r="E3725" t="s">
        <v>74</v>
      </c>
      <c r="F3725">
        <v>3.8E-3</v>
      </c>
      <c r="G3725" t="s">
        <v>75</v>
      </c>
      <c r="H3725">
        <v>3.8</v>
      </c>
      <c r="I3725" t="s">
        <v>76</v>
      </c>
      <c r="J3725" t="s">
        <v>77</v>
      </c>
    </row>
    <row r="3726" spans="1:11" x14ac:dyDescent="0.3">
      <c r="A3726" t="s">
        <v>72</v>
      </c>
      <c r="B3726">
        <v>1</v>
      </c>
      <c r="C3726" t="s">
        <v>78</v>
      </c>
      <c r="D3726">
        <v>3.93E-5</v>
      </c>
      <c r="E3726" t="s">
        <v>74</v>
      </c>
      <c r="F3726">
        <v>3.9300000000000002E-2</v>
      </c>
      <c r="G3726" t="s">
        <v>75</v>
      </c>
      <c r="H3726">
        <v>39.299999999999997</v>
      </c>
      <c r="I3726" t="s">
        <v>76</v>
      </c>
      <c r="J3726" t="s">
        <v>77</v>
      </c>
    </row>
    <row r="3727" spans="1:11" x14ac:dyDescent="0.3">
      <c r="A3727" t="s">
        <v>72</v>
      </c>
      <c r="B3727">
        <v>1</v>
      </c>
      <c r="C3727" t="s">
        <v>91</v>
      </c>
      <c r="D3727">
        <v>2.0828000000000001E-3</v>
      </c>
      <c r="E3727" t="s">
        <v>74</v>
      </c>
      <c r="F3727">
        <v>2.0828000000000002</v>
      </c>
      <c r="G3727" t="s">
        <v>75</v>
      </c>
      <c r="H3727">
        <v>2082.8000000000002</v>
      </c>
      <c r="I3727" t="s">
        <v>76</v>
      </c>
      <c r="J3727" t="s">
        <v>77</v>
      </c>
    </row>
    <row r="3728" spans="1:11" x14ac:dyDescent="0.3">
      <c r="A3728" t="s">
        <v>72</v>
      </c>
      <c r="B3728">
        <v>1</v>
      </c>
      <c r="C3728" t="s">
        <v>92</v>
      </c>
      <c r="D3728">
        <v>1.1657300000000001E-2</v>
      </c>
      <c r="E3728" t="s">
        <v>74</v>
      </c>
      <c r="F3728">
        <v>11.657299999999999</v>
      </c>
      <c r="G3728" t="s">
        <v>75</v>
      </c>
      <c r="H3728">
        <v>11657.3</v>
      </c>
      <c r="I3728" t="s">
        <v>76</v>
      </c>
      <c r="J3728" t="s">
        <v>77</v>
      </c>
    </row>
    <row r="3729" spans="1:11" x14ac:dyDescent="0.3">
      <c r="A3729" t="s">
        <v>72</v>
      </c>
      <c r="B3729">
        <v>1</v>
      </c>
      <c r="C3729" t="s">
        <v>93</v>
      </c>
      <c r="D3729">
        <v>1.5977000000000001E-3</v>
      </c>
      <c r="E3729" t="s">
        <v>74</v>
      </c>
      <c r="F3729">
        <v>1.5976999999999999</v>
      </c>
      <c r="G3729" t="s">
        <v>75</v>
      </c>
      <c r="H3729">
        <v>1597.7</v>
      </c>
      <c r="I3729" t="s">
        <v>76</v>
      </c>
      <c r="J3729" t="s">
        <v>77</v>
      </c>
    </row>
    <row r="3730" spans="1:11" x14ac:dyDescent="0.3">
      <c r="A3730" t="s">
        <v>72</v>
      </c>
      <c r="B3730">
        <v>1</v>
      </c>
      <c r="C3730" t="s">
        <v>79</v>
      </c>
      <c r="D3730">
        <v>1.53382E-2</v>
      </c>
      <c r="E3730" t="s">
        <v>74</v>
      </c>
      <c r="F3730">
        <v>15.338200000000001</v>
      </c>
      <c r="G3730" t="s">
        <v>75</v>
      </c>
      <c r="H3730">
        <v>15338.2</v>
      </c>
      <c r="I3730" t="s">
        <v>76</v>
      </c>
      <c r="J3730" t="s">
        <v>77</v>
      </c>
    </row>
    <row r="3731" spans="1:11" x14ac:dyDescent="0.3">
      <c r="A3731" t="s">
        <v>72</v>
      </c>
      <c r="B3731">
        <v>1</v>
      </c>
      <c r="C3731" t="s">
        <v>96</v>
      </c>
      <c r="D3731">
        <v>2.0214999999999999E-3</v>
      </c>
      <c r="E3731" t="s">
        <v>74</v>
      </c>
      <c r="F3731">
        <v>2.0215000000000001</v>
      </c>
      <c r="G3731" t="s">
        <v>75</v>
      </c>
      <c r="H3731">
        <v>2021.5</v>
      </c>
      <c r="I3731" t="s">
        <v>76</v>
      </c>
      <c r="J3731" t="s">
        <v>77</v>
      </c>
    </row>
    <row r="3732" spans="1:11" x14ac:dyDescent="0.3">
      <c r="A3732" t="s">
        <v>72</v>
      </c>
      <c r="B3732">
        <v>1</v>
      </c>
      <c r="C3732" t="s">
        <v>94</v>
      </c>
      <c r="D3732">
        <v>2.8398999999999998E-3</v>
      </c>
      <c r="E3732" t="s">
        <v>74</v>
      </c>
      <c r="F3732">
        <v>2.8399000000000001</v>
      </c>
      <c r="G3732" t="s">
        <v>75</v>
      </c>
      <c r="H3732">
        <v>2839.9</v>
      </c>
      <c r="I3732" t="s">
        <v>76</v>
      </c>
      <c r="J3732" t="s">
        <v>77</v>
      </c>
    </row>
    <row r="3733" spans="1:11" x14ac:dyDescent="0.3">
      <c r="A3733" t="s">
        <v>72</v>
      </c>
      <c r="B3733">
        <v>1</v>
      </c>
      <c r="C3733" t="s">
        <v>80</v>
      </c>
      <c r="D3733">
        <v>5.0004999999999997E-3</v>
      </c>
      <c r="E3733" t="s">
        <v>74</v>
      </c>
      <c r="F3733">
        <v>5.0004999999999997</v>
      </c>
      <c r="G3733" t="s">
        <v>75</v>
      </c>
      <c r="H3733">
        <v>5000.5</v>
      </c>
      <c r="I3733" t="s">
        <v>76</v>
      </c>
      <c r="J3733" t="s">
        <v>77</v>
      </c>
    </row>
    <row r="3734" spans="1:11" x14ac:dyDescent="0.3">
      <c r="A3734" t="s">
        <v>72</v>
      </c>
      <c r="B3734">
        <v>1</v>
      </c>
      <c r="C3734" t="s">
        <v>81</v>
      </c>
      <c r="D3734">
        <v>2.03395E-2</v>
      </c>
      <c r="E3734" t="s">
        <v>74</v>
      </c>
      <c r="F3734">
        <v>20.339500000000001</v>
      </c>
      <c r="G3734" t="s">
        <v>75</v>
      </c>
      <c r="H3734">
        <v>20339.5</v>
      </c>
      <c r="I3734" t="s">
        <v>76</v>
      </c>
      <c r="J3734" t="s">
        <v>82</v>
      </c>
      <c r="K3734">
        <v>49.165416700000002</v>
      </c>
    </row>
    <row r="3735" spans="1:11" x14ac:dyDescent="0.3">
      <c r="A3735" t="s">
        <v>83</v>
      </c>
      <c r="B3735">
        <v>1000</v>
      </c>
      <c r="C3735" t="s">
        <v>91</v>
      </c>
      <c r="D3735">
        <v>5.3761E-4</v>
      </c>
      <c r="E3735" t="s">
        <v>74</v>
      </c>
      <c r="F3735">
        <v>0.53761000000000003</v>
      </c>
      <c r="G3735" t="s">
        <v>75</v>
      </c>
      <c r="H3735">
        <v>537.60699999999997</v>
      </c>
      <c r="I3735" t="s">
        <v>76</v>
      </c>
      <c r="J3735" t="s">
        <v>77</v>
      </c>
    </row>
    <row r="3736" spans="1:11" x14ac:dyDescent="0.3">
      <c r="A3736" t="s">
        <v>83</v>
      </c>
      <c r="B3736">
        <v>1000</v>
      </c>
      <c r="C3736" t="s">
        <v>92</v>
      </c>
      <c r="D3736">
        <v>1.066919E-2</v>
      </c>
      <c r="E3736" t="s">
        <v>74</v>
      </c>
      <c r="F3736">
        <v>10.66919</v>
      </c>
      <c r="G3736" t="s">
        <v>75</v>
      </c>
      <c r="H3736">
        <v>10669.186</v>
      </c>
      <c r="I3736" t="s">
        <v>76</v>
      </c>
      <c r="J3736" t="s">
        <v>77</v>
      </c>
    </row>
    <row r="3737" spans="1:11" x14ac:dyDescent="0.3">
      <c r="A3737" t="s">
        <v>83</v>
      </c>
      <c r="B3737">
        <v>1000</v>
      </c>
      <c r="C3737" t="s">
        <v>93</v>
      </c>
      <c r="D3737">
        <v>5.0471000000000001E-4</v>
      </c>
      <c r="E3737" t="s">
        <v>74</v>
      </c>
      <c r="F3737">
        <v>0.50470999999999999</v>
      </c>
      <c r="G3737" t="s">
        <v>75</v>
      </c>
      <c r="H3737">
        <v>504.71100000000001</v>
      </c>
      <c r="I3737" t="s">
        <v>76</v>
      </c>
      <c r="J3737" t="s">
        <v>77</v>
      </c>
    </row>
    <row r="3738" spans="1:11" x14ac:dyDescent="0.3">
      <c r="A3738" t="s">
        <v>83</v>
      </c>
      <c r="B3738">
        <v>1000</v>
      </c>
      <c r="C3738" t="s">
        <v>79</v>
      </c>
      <c r="D3738">
        <v>1.1711859999999999E-2</v>
      </c>
      <c r="E3738" t="s">
        <v>74</v>
      </c>
      <c r="F3738">
        <v>11.71186</v>
      </c>
      <c r="G3738" t="s">
        <v>75</v>
      </c>
      <c r="H3738">
        <v>11711.86</v>
      </c>
      <c r="I3738" t="s">
        <v>76</v>
      </c>
      <c r="J3738" t="s">
        <v>77</v>
      </c>
    </row>
    <row r="3739" spans="1:11" x14ac:dyDescent="0.3">
      <c r="A3739" t="s">
        <v>83</v>
      </c>
      <c r="B3739">
        <v>1000</v>
      </c>
      <c r="C3739" t="s">
        <v>96</v>
      </c>
      <c r="D3739">
        <v>1.7884999999999999E-3</v>
      </c>
      <c r="E3739" t="s">
        <v>74</v>
      </c>
      <c r="F3739">
        <v>1.7885</v>
      </c>
      <c r="G3739" t="s">
        <v>75</v>
      </c>
      <c r="H3739">
        <v>1788.5039999999999</v>
      </c>
      <c r="I3739" t="s">
        <v>76</v>
      </c>
      <c r="J3739" t="s">
        <v>77</v>
      </c>
    </row>
    <row r="3740" spans="1:11" x14ac:dyDescent="0.3">
      <c r="A3740" t="s">
        <v>83</v>
      </c>
      <c r="B3740">
        <v>1000</v>
      </c>
      <c r="C3740" t="s">
        <v>94</v>
      </c>
      <c r="D3740">
        <v>3.00345E-3</v>
      </c>
      <c r="E3740" t="s">
        <v>74</v>
      </c>
      <c r="F3740">
        <v>3.00345</v>
      </c>
      <c r="G3740" t="s">
        <v>75</v>
      </c>
      <c r="H3740">
        <v>3003.4490000000001</v>
      </c>
      <c r="I3740" t="s">
        <v>76</v>
      </c>
      <c r="J3740" t="s">
        <v>77</v>
      </c>
    </row>
    <row r="3741" spans="1:11" x14ac:dyDescent="0.3">
      <c r="A3741" t="s">
        <v>83</v>
      </c>
      <c r="B3741">
        <v>1000</v>
      </c>
      <c r="C3741" t="s">
        <v>80</v>
      </c>
      <c r="D3741">
        <v>4.9298800000000002E-3</v>
      </c>
      <c r="E3741" t="s">
        <v>74</v>
      </c>
      <c r="F3741">
        <v>4.9298799999999998</v>
      </c>
      <c r="G3741" t="s">
        <v>75</v>
      </c>
      <c r="H3741">
        <v>4929.8829999999998</v>
      </c>
      <c r="I3741" t="s">
        <v>76</v>
      </c>
      <c r="J3741" t="s">
        <v>77</v>
      </c>
    </row>
    <row r="3742" spans="1:11" x14ac:dyDescent="0.3">
      <c r="A3742" t="s">
        <v>83</v>
      </c>
      <c r="B3742">
        <v>1000</v>
      </c>
      <c r="C3742" t="s">
        <v>81</v>
      </c>
      <c r="D3742">
        <v>1.664322E-2</v>
      </c>
      <c r="E3742" t="s">
        <v>74</v>
      </c>
      <c r="F3742">
        <v>16.643219999999999</v>
      </c>
      <c r="G3742" t="s">
        <v>75</v>
      </c>
      <c r="H3742">
        <v>16643.223000000002</v>
      </c>
      <c r="I3742" t="s">
        <v>76</v>
      </c>
      <c r="J3742" t="s">
        <v>82</v>
      </c>
      <c r="K3742">
        <v>60.084516800000003</v>
      </c>
    </row>
    <row r="3743" spans="1:11" x14ac:dyDescent="0.3">
      <c r="A3743" t="s">
        <v>84</v>
      </c>
      <c r="B3743">
        <v>1001</v>
      </c>
      <c r="C3743" t="s">
        <v>91</v>
      </c>
      <c r="D3743">
        <v>5.3914999999999996E-4</v>
      </c>
      <c r="E3743" t="s">
        <v>74</v>
      </c>
      <c r="F3743">
        <v>0.53915000000000002</v>
      </c>
      <c r="G3743" t="s">
        <v>75</v>
      </c>
      <c r="H3743">
        <v>539.15099999999995</v>
      </c>
      <c r="I3743" t="s">
        <v>76</v>
      </c>
      <c r="J3743" t="s">
        <v>77</v>
      </c>
    </row>
    <row r="3744" spans="1:11" x14ac:dyDescent="0.3">
      <c r="A3744" t="s">
        <v>84</v>
      </c>
      <c r="B3744">
        <v>1001</v>
      </c>
      <c r="C3744" t="s">
        <v>92</v>
      </c>
      <c r="D3744">
        <v>1.067017E-2</v>
      </c>
      <c r="E3744" t="s">
        <v>74</v>
      </c>
      <c r="F3744">
        <v>10.670170000000001</v>
      </c>
      <c r="G3744" t="s">
        <v>75</v>
      </c>
      <c r="H3744">
        <v>10670.172</v>
      </c>
      <c r="I3744" t="s">
        <v>76</v>
      </c>
      <c r="J3744" t="s">
        <v>77</v>
      </c>
    </row>
    <row r="3745" spans="1:11" x14ac:dyDescent="0.3">
      <c r="A3745" t="s">
        <v>84</v>
      </c>
      <c r="B3745">
        <v>1001</v>
      </c>
      <c r="C3745" t="s">
        <v>93</v>
      </c>
      <c r="D3745">
        <v>5.0580000000000004E-4</v>
      </c>
      <c r="E3745" t="s">
        <v>74</v>
      </c>
      <c r="F3745">
        <v>0.50580000000000003</v>
      </c>
      <c r="G3745" t="s">
        <v>75</v>
      </c>
      <c r="H3745">
        <v>505.803</v>
      </c>
      <c r="I3745" t="s">
        <v>76</v>
      </c>
      <c r="J3745" t="s">
        <v>77</v>
      </c>
    </row>
    <row r="3746" spans="1:11" x14ac:dyDescent="0.3">
      <c r="A3746" t="s">
        <v>84</v>
      </c>
      <c r="B3746">
        <v>1001</v>
      </c>
      <c r="C3746" t="s">
        <v>79</v>
      </c>
      <c r="D3746">
        <v>1.171548E-2</v>
      </c>
      <c r="E3746" t="s">
        <v>74</v>
      </c>
      <c r="F3746">
        <v>11.715479999999999</v>
      </c>
      <c r="G3746" t="s">
        <v>75</v>
      </c>
      <c r="H3746">
        <v>11715.483</v>
      </c>
      <c r="I3746" t="s">
        <v>76</v>
      </c>
      <c r="J3746" t="s">
        <v>77</v>
      </c>
    </row>
    <row r="3747" spans="1:11" x14ac:dyDescent="0.3">
      <c r="A3747" t="s">
        <v>84</v>
      </c>
      <c r="B3747">
        <v>1001</v>
      </c>
      <c r="C3747" t="s">
        <v>96</v>
      </c>
      <c r="D3747">
        <v>1.78874E-3</v>
      </c>
      <c r="E3747" t="s">
        <v>74</v>
      </c>
      <c r="F3747">
        <v>1.78874</v>
      </c>
      <c r="G3747" t="s">
        <v>75</v>
      </c>
      <c r="H3747">
        <v>1788.7360000000001</v>
      </c>
      <c r="I3747" t="s">
        <v>76</v>
      </c>
      <c r="J3747" t="s">
        <v>77</v>
      </c>
    </row>
    <row r="3748" spans="1:11" x14ac:dyDescent="0.3">
      <c r="A3748" t="s">
        <v>84</v>
      </c>
      <c r="B3748">
        <v>1001</v>
      </c>
      <c r="C3748" t="s">
        <v>94</v>
      </c>
      <c r="D3748">
        <v>3.00329E-3</v>
      </c>
      <c r="E3748" t="s">
        <v>74</v>
      </c>
      <c r="F3748">
        <v>3.0032899999999998</v>
      </c>
      <c r="G3748" t="s">
        <v>75</v>
      </c>
      <c r="H3748">
        <v>3003.2860000000001</v>
      </c>
      <c r="I3748" t="s">
        <v>76</v>
      </c>
      <c r="J3748" t="s">
        <v>77</v>
      </c>
    </row>
    <row r="3749" spans="1:11" x14ac:dyDescent="0.3">
      <c r="A3749" t="s">
        <v>84</v>
      </c>
      <c r="B3749">
        <v>1001</v>
      </c>
      <c r="C3749" t="s">
        <v>80</v>
      </c>
      <c r="D3749">
        <v>4.9299499999999998E-3</v>
      </c>
      <c r="E3749" t="s">
        <v>74</v>
      </c>
      <c r="F3749">
        <v>4.9299499999999998</v>
      </c>
      <c r="G3749" t="s">
        <v>75</v>
      </c>
      <c r="H3749">
        <v>4929.9530000000004</v>
      </c>
      <c r="I3749" t="s">
        <v>76</v>
      </c>
      <c r="J3749" t="s">
        <v>77</v>
      </c>
    </row>
    <row r="3750" spans="1:11" x14ac:dyDescent="0.3">
      <c r="A3750" t="s">
        <v>84</v>
      </c>
      <c r="B3750">
        <v>1001</v>
      </c>
      <c r="C3750" t="s">
        <v>81</v>
      </c>
      <c r="D3750">
        <v>1.6646919999999999E-2</v>
      </c>
      <c r="E3750" t="s">
        <v>74</v>
      </c>
      <c r="F3750">
        <v>16.646920000000001</v>
      </c>
      <c r="G3750" t="s">
        <v>75</v>
      </c>
      <c r="H3750">
        <v>16646.916000000001</v>
      </c>
      <c r="I3750" t="s">
        <v>76</v>
      </c>
      <c r="J3750" t="s">
        <v>82</v>
      </c>
      <c r="K3750">
        <v>60.071187299999998</v>
      </c>
    </row>
    <row r="3751" spans="1:11" x14ac:dyDescent="0.3">
      <c r="A3751" t="s">
        <v>85</v>
      </c>
      <c r="B3751">
        <v>1001</v>
      </c>
      <c r="C3751" t="s">
        <v>86</v>
      </c>
      <c r="D3751">
        <v>1.6647140000000001E-2</v>
      </c>
      <c r="E3751" t="s">
        <v>74</v>
      </c>
      <c r="F3751">
        <v>16.64714</v>
      </c>
      <c r="G3751" t="s">
        <v>75</v>
      </c>
      <c r="H3751">
        <v>16647.138999999999</v>
      </c>
      <c r="I3751" t="s">
        <v>76</v>
      </c>
      <c r="J3751" t="s">
        <v>82</v>
      </c>
      <c r="K3751">
        <v>60.070382799999997</v>
      </c>
    </row>
    <row r="3752" spans="1:11" x14ac:dyDescent="0.3">
      <c r="A3752" t="s">
        <v>87</v>
      </c>
    </row>
    <row r="3753" spans="1:11" x14ac:dyDescent="0.3">
      <c r="A3753" t="s">
        <v>102</v>
      </c>
    </row>
    <row r="3754" spans="1:11" x14ac:dyDescent="0.3">
      <c r="A3754" t="s">
        <v>72</v>
      </c>
      <c r="B3754">
        <v>1</v>
      </c>
      <c r="C3754" t="s">
        <v>81</v>
      </c>
      <c r="D3754">
        <v>2.5484300000000001E-2</v>
      </c>
      <c r="E3754" t="s">
        <v>74</v>
      </c>
      <c r="F3754">
        <v>25.484300000000001</v>
      </c>
      <c r="G3754" t="s">
        <v>75</v>
      </c>
      <c r="H3754">
        <v>25484.298999999999</v>
      </c>
      <c r="I3754" t="s">
        <v>76</v>
      </c>
      <c r="J3754" t="s">
        <v>82</v>
      </c>
      <c r="K3754">
        <v>39.239846800000002</v>
      </c>
    </row>
    <row r="3755" spans="1:11" x14ac:dyDescent="0.3">
      <c r="A3755" t="s">
        <v>83</v>
      </c>
      <c r="B3755">
        <v>1000</v>
      </c>
      <c r="C3755" t="s">
        <v>81</v>
      </c>
      <c r="D3755">
        <v>1.464008E-2</v>
      </c>
      <c r="E3755" t="s">
        <v>74</v>
      </c>
      <c r="F3755">
        <v>14.640079999999999</v>
      </c>
      <c r="G3755" t="s">
        <v>75</v>
      </c>
      <c r="H3755">
        <v>14640.084000000001</v>
      </c>
      <c r="I3755" t="s">
        <v>76</v>
      </c>
      <c r="J3755" t="s">
        <v>82</v>
      </c>
      <c r="K3755">
        <v>68.305617799999993</v>
      </c>
    </row>
    <row r="3756" spans="1:11" x14ac:dyDescent="0.3">
      <c r="A3756" t="s">
        <v>85</v>
      </c>
      <c r="B3756">
        <v>1001</v>
      </c>
      <c r="C3756" t="s">
        <v>86</v>
      </c>
      <c r="D3756">
        <v>1.465112E-2</v>
      </c>
      <c r="E3756" t="s">
        <v>74</v>
      </c>
      <c r="F3756">
        <v>14.651120000000001</v>
      </c>
      <c r="G3756" t="s">
        <v>75</v>
      </c>
      <c r="H3756">
        <v>14651.12</v>
      </c>
      <c r="I3756" t="s">
        <v>76</v>
      </c>
      <c r="J3756" t="s">
        <v>82</v>
      </c>
      <c r="K3756">
        <v>68.254165900000004</v>
      </c>
    </row>
    <row r="3758" spans="1:11" x14ac:dyDescent="0.3">
      <c r="A3758" t="s">
        <v>103</v>
      </c>
    </row>
    <row r="3759" spans="1:11" x14ac:dyDescent="0.3">
      <c r="A3759" t="s">
        <v>72</v>
      </c>
      <c r="B3759">
        <v>1</v>
      </c>
      <c r="C3759" t="s">
        <v>81</v>
      </c>
      <c r="D3759">
        <v>2.03395E-2</v>
      </c>
      <c r="E3759" t="s">
        <v>74</v>
      </c>
      <c r="F3759">
        <v>20.339500000000001</v>
      </c>
      <c r="G3759" t="s">
        <v>75</v>
      </c>
      <c r="H3759">
        <v>20339.5</v>
      </c>
      <c r="I3759" t="s">
        <v>76</v>
      </c>
      <c r="J3759" t="s">
        <v>82</v>
      </c>
      <c r="K3759">
        <v>49.165416700000002</v>
      </c>
    </row>
    <row r="3760" spans="1:11" x14ac:dyDescent="0.3">
      <c r="A3760" t="s">
        <v>83</v>
      </c>
      <c r="B3760">
        <v>1000</v>
      </c>
      <c r="C3760" t="s">
        <v>81</v>
      </c>
      <c r="D3760">
        <v>1.664322E-2</v>
      </c>
      <c r="E3760" t="s">
        <v>74</v>
      </c>
      <c r="F3760">
        <v>16.643219999999999</v>
      </c>
      <c r="G3760" t="s">
        <v>75</v>
      </c>
      <c r="H3760">
        <v>16643.223000000002</v>
      </c>
      <c r="I3760" t="s">
        <v>76</v>
      </c>
      <c r="J3760" t="s">
        <v>82</v>
      </c>
      <c r="K3760">
        <v>60.084516800000003</v>
      </c>
    </row>
    <row r="3761" spans="1:11" x14ac:dyDescent="0.3">
      <c r="A3761" t="s">
        <v>85</v>
      </c>
      <c r="B3761">
        <v>1001</v>
      </c>
      <c r="C3761" t="s">
        <v>86</v>
      </c>
      <c r="D3761">
        <v>1.6647140000000001E-2</v>
      </c>
      <c r="E3761" t="s">
        <v>74</v>
      </c>
      <c r="F3761">
        <v>16.64714</v>
      </c>
      <c r="G3761" t="s">
        <v>75</v>
      </c>
      <c r="H3761">
        <v>16647.138999999999</v>
      </c>
      <c r="I3761" t="s">
        <v>76</v>
      </c>
      <c r="J3761" t="s">
        <v>82</v>
      </c>
      <c r="K3761">
        <v>60.070382799999997</v>
      </c>
    </row>
    <row r="3763" spans="1:11" x14ac:dyDescent="0.3">
      <c r="A3763" t="s">
        <v>66</v>
      </c>
    </row>
    <row r="3765" spans="1:11" x14ac:dyDescent="0.3">
      <c r="A3765" t="s">
        <v>263</v>
      </c>
    </row>
    <row r="3766" spans="1:11" x14ac:dyDescent="0.3">
      <c r="A3766" t="s">
        <v>68</v>
      </c>
    </row>
    <row r="3767" spans="1:11" x14ac:dyDescent="0.3">
      <c r="A3767" t="s">
        <v>69</v>
      </c>
    </row>
    <row r="3768" spans="1:11" x14ac:dyDescent="0.3">
      <c r="A3768" t="s">
        <v>70</v>
      </c>
    </row>
    <row r="3769" spans="1:11" x14ac:dyDescent="0.3">
      <c r="A3769" t="s">
        <v>105</v>
      </c>
    </row>
    <row r="3770" spans="1:11" x14ac:dyDescent="0.3">
      <c r="A3770" t="s">
        <v>72</v>
      </c>
      <c r="B3770">
        <v>1</v>
      </c>
      <c r="C3770" t="s">
        <v>73</v>
      </c>
      <c r="D3770">
        <v>7.9999999999999996E-7</v>
      </c>
      <c r="E3770" t="s">
        <v>74</v>
      </c>
      <c r="F3770">
        <v>8.0000000000000004E-4</v>
      </c>
      <c r="G3770" t="s">
        <v>75</v>
      </c>
      <c r="H3770">
        <v>0.8</v>
      </c>
      <c r="I3770" t="s">
        <v>76</v>
      </c>
      <c r="J3770" t="s">
        <v>77</v>
      </c>
    </row>
    <row r="3771" spans="1:11" x14ac:dyDescent="0.3">
      <c r="A3771" t="s">
        <v>72</v>
      </c>
      <c r="B3771">
        <v>1</v>
      </c>
      <c r="C3771" t="s">
        <v>78</v>
      </c>
      <c r="D3771">
        <v>4.46E-5</v>
      </c>
      <c r="E3771" t="s">
        <v>74</v>
      </c>
      <c r="F3771">
        <v>4.4600000000000001E-2</v>
      </c>
      <c r="G3771" t="s">
        <v>75</v>
      </c>
      <c r="H3771">
        <v>44.6</v>
      </c>
      <c r="I3771" t="s">
        <v>76</v>
      </c>
      <c r="J3771" t="s">
        <v>77</v>
      </c>
    </row>
    <row r="3772" spans="1:11" x14ac:dyDescent="0.3">
      <c r="A3772" t="s">
        <v>72</v>
      </c>
      <c r="B3772">
        <v>1</v>
      </c>
      <c r="C3772" t="s">
        <v>91</v>
      </c>
      <c r="D3772">
        <v>2.5780999999999998E-3</v>
      </c>
      <c r="E3772" t="s">
        <v>74</v>
      </c>
      <c r="F3772">
        <v>2.5781000000000001</v>
      </c>
      <c r="G3772" t="s">
        <v>75</v>
      </c>
      <c r="H3772">
        <v>2578.1</v>
      </c>
      <c r="I3772" t="s">
        <v>76</v>
      </c>
      <c r="J3772" t="s">
        <v>77</v>
      </c>
    </row>
    <row r="3773" spans="1:11" x14ac:dyDescent="0.3">
      <c r="A3773" t="s">
        <v>72</v>
      </c>
      <c r="B3773">
        <v>1</v>
      </c>
      <c r="C3773" t="s">
        <v>92</v>
      </c>
      <c r="D3773">
        <v>4.065E-3</v>
      </c>
      <c r="E3773" t="s">
        <v>74</v>
      </c>
      <c r="F3773">
        <v>4.0650000000000004</v>
      </c>
      <c r="G3773" t="s">
        <v>75</v>
      </c>
      <c r="H3773">
        <v>4065</v>
      </c>
      <c r="I3773" t="s">
        <v>76</v>
      </c>
      <c r="J3773" t="s">
        <v>77</v>
      </c>
    </row>
    <row r="3774" spans="1:11" x14ac:dyDescent="0.3">
      <c r="A3774" t="s">
        <v>72</v>
      </c>
      <c r="B3774">
        <v>1</v>
      </c>
      <c r="C3774" t="s">
        <v>93</v>
      </c>
      <c r="D3774">
        <v>1.6747000000000001E-3</v>
      </c>
      <c r="E3774" t="s">
        <v>74</v>
      </c>
      <c r="F3774">
        <v>1.6747000000000001</v>
      </c>
      <c r="G3774" t="s">
        <v>75</v>
      </c>
      <c r="H3774">
        <v>1674.7</v>
      </c>
      <c r="I3774" t="s">
        <v>76</v>
      </c>
      <c r="J3774" t="s">
        <v>77</v>
      </c>
    </row>
    <row r="3775" spans="1:11" x14ac:dyDescent="0.3">
      <c r="A3775" t="s">
        <v>72</v>
      </c>
      <c r="B3775">
        <v>1</v>
      </c>
      <c r="C3775" t="s">
        <v>79</v>
      </c>
      <c r="D3775">
        <v>8.3193999999999994E-3</v>
      </c>
      <c r="E3775" t="s">
        <v>74</v>
      </c>
      <c r="F3775">
        <v>8.3193999999999999</v>
      </c>
      <c r="G3775" t="s">
        <v>75</v>
      </c>
      <c r="H3775">
        <v>8319.4</v>
      </c>
      <c r="I3775" t="s">
        <v>76</v>
      </c>
      <c r="J3775" t="s">
        <v>77</v>
      </c>
    </row>
    <row r="3776" spans="1:11" x14ac:dyDescent="0.3">
      <c r="A3776" t="s">
        <v>72</v>
      </c>
      <c r="B3776">
        <v>1</v>
      </c>
      <c r="C3776" t="s">
        <v>94</v>
      </c>
      <c r="D3776">
        <v>9.4569000000000007E-3</v>
      </c>
      <c r="E3776" t="s">
        <v>74</v>
      </c>
      <c r="F3776">
        <v>9.4568999999999992</v>
      </c>
      <c r="G3776" t="s">
        <v>75</v>
      </c>
      <c r="H3776">
        <v>9456.9</v>
      </c>
      <c r="I3776" t="s">
        <v>76</v>
      </c>
      <c r="J3776" t="s">
        <v>77</v>
      </c>
    </row>
    <row r="3777" spans="1:11" x14ac:dyDescent="0.3">
      <c r="A3777" t="s">
        <v>72</v>
      </c>
      <c r="B3777">
        <v>1</v>
      </c>
      <c r="C3777" t="s">
        <v>80</v>
      </c>
      <c r="D3777">
        <v>9.4587999999999998E-3</v>
      </c>
      <c r="E3777" t="s">
        <v>74</v>
      </c>
      <c r="F3777">
        <v>9.4588000000000001</v>
      </c>
      <c r="G3777" t="s">
        <v>75</v>
      </c>
      <c r="H3777">
        <v>9458.7999999999993</v>
      </c>
      <c r="I3777" t="s">
        <v>76</v>
      </c>
      <c r="J3777" t="s">
        <v>77</v>
      </c>
    </row>
    <row r="3778" spans="1:11" x14ac:dyDescent="0.3">
      <c r="A3778" t="s">
        <v>72</v>
      </c>
      <c r="B3778">
        <v>1</v>
      </c>
      <c r="C3778" t="s">
        <v>81</v>
      </c>
      <c r="D3778">
        <v>1.7781100000000001E-2</v>
      </c>
      <c r="E3778" t="s">
        <v>74</v>
      </c>
      <c r="F3778">
        <v>17.781099999999999</v>
      </c>
      <c r="G3778" t="s">
        <v>75</v>
      </c>
      <c r="H3778">
        <v>17781.098999999998</v>
      </c>
      <c r="I3778" t="s">
        <v>76</v>
      </c>
      <c r="J3778" t="s">
        <v>82</v>
      </c>
      <c r="K3778">
        <v>56.239492400000003</v>
      </c>
    </row>
    <row r="3779" spans="1:11" x14ac:dyDescent="0.3">
      <c r="A3779" t="s">
        <v>83</v>
      </c>
      <c r="B3779">
        <v>1000</v>
      </c>
      <c r="C3779" t="s">
        <v>91</v>
      </c>
      <c r="D3779">
        <v>5.5431999999999996E-4</v>
      </c>
      <c r="E3779" t="s">
        <v>74</v>
      </c>
      <c r="F3779">
        <v>0.55432000000000003</v>
      </c>
      <c r="G3779" t="s">
        <v>75</v>
      </c>
      <c r="H3779">
        <v>554.322</v>
      </c>
      <c r="I3779" t="s">
        <v>76</v>
      </c>
      <c r="J3779" t="s">
        <v>77</v>
      </c>
    </row>
    <row r="3780" spans="1:11" x14ac:dyDescent="0.3">
      <c r="A3780" t="s">
        <v>83</v>
      </c>
      <c r="B3780">
        <v>1000</v>
      </c>
      <c r="C3780" t="s">
        <v>92</v>
      </c>
      <c r="D3780">
        <v>2.95693E-3</v>
      </c>
      <c r="E3780" t="s">
        <v>74</v>
      </c>
      <c r="F3780">
        <v>2.9569299999999998</v>
      </c>
      <c r="G3780" t="s">
        <v>75</v>
      </c>
      <c r="H3780">
        <v>2956.9270000000001</v>
      </c>
      <c r="I3780" t="s">
        <v>76</v>
      </c>
      <c r="J3780" t="s">
        <v>77</v>
      </c>
    </row>
    <row r="3781" spans="1:11" x14ac:dyDescent="0.3">
      <c r="A3781" t="s">
        <v>83</v>
      </c>
      <c r="B3781">
        <v>1000</v>
      </c>
      <c r="C3781" t="s">
        <v>93</v>
      </c>
      <c r="D3781">
        <v>5.1544000000000004E-4</v>
      </c>
      <c r="E3781" t="s">
        <v>74</v>
      </c>
      <c r="F3781">
        <v>0.51544000000000001</v>
      </c>
      <c r="G3781" t="s">
        <v>75</v>
      </c>
      <c r="H3781">
        <v>515.44000000000005</v>
      </c>
      <c r="I3781" t="s">
        <v>76</v>
      </c>
      <c r="J3781" t="s">
        <v>77</v>
      </c>
    </row>
    <row r="3782" spans="1:11" x14ac:dyDescent="0.3">
      <c r="A3782" t="s">
        <v>83</v>
      </c>
      <c r="B3782">
        <v>1000</v>
      </c>
      <c r="C3782" t="s">
        <v>79</v>
      </c>
      <c r="D3782">
        <v>4.0271700000000001E-3</v>
      </c>
      <c r="E3782" t="s">
        <v>74</v>
      </c>
      <c r="F3782">
        <v>4.0271699999999999</v>
      </c>
      <c r="G3782" t="s">
        <v>75</v>
      </c>
      <c r="H3782">
        <v>4027.165</v>
      </c>
      <c r="I3782" t="s">
        <v>76</v>
      </c>
      <c r="J3782" t="s">
        <v>77</v>
      </c>
    </row>
    <row r="3783" spans="1:11" x14ac:dyDescent="0.3">
      <c r="A3783" t="s">
        <v>83</v>
      </c>
      <c r="B3783">
        <v>1000</v>
      </c>
      <c r="C3783" t="s">
        <v>94</v>
      </c>
      <c r="D3783">
        <v>2.6470500000000002E-3</v>
      </c>
      <c r="E3783" t="s">
        <v>74</v>
      </c>
      <c r="F3783">
        <v>2.6470500000000001</v>
      </c>
      <c r="G3783" t="s">
        <v>75</v>
      </c>
      <c r="H3783">
        <v>2647.0540000000001</v>
      </c>
      <c r="I3783" t="s">
        <v>76</v>
      </c>
      <c r="J3783" t="s">
        <v>77</v>
      </c>
    </row>
    <row r="3784" spans="1:11" x14ac:dyDescent="0.3">
      <c r="A3784" t="s">
        <v>83</v>
      </c>
      <c r="B3784">
        <v>1000</v>
      </c>
      <c r="C3784" t="s">
        <v>80</v>
      </c>
      <c r="D3784">
        <v>2.84176E-3</v>
      </c>
      <c r="E3784" t="s">
        <v>74</v>
      </c>
      <c r="F3784">
        <v>2.8417599999999998</v>
      </c>
      <c r="G3784" t="s">
        <v>75</v>
      </c>
      <c r="H3784">
        <v>2841.7550000000001</v>
      </c>
      <c r="I3784" t="s">
        <v>76</v>
      </c>
      <c r="J3784" t="s">
        <v>77</v>
      </c>
    </row>
    <row r="3785" spans="1:11" x14ac:dyDescent="0.3">
      <c r="A3785" t="s">
        <v>83</v>
      </c>
      <c r="B3785">
        <v>1000</v>
      </c>
      <c r="C3785" t="s">
        <v>81</v>
      </c>
      <c r="D3785">
        <v>6.8700100000000002E-3</v>
      </c>
      <c r="E3785" t="s">
        <v>74</v>
      </c>
      <c r="F3785">
        <v>6.8700099999999997</v>
      </c>
      <c r="G3785" t="s">
        <v>75</v>
      </c>
      <c r="H3785">
        <v>6870.0060000000003</v>
      </c>
      <c r="I3785" t="s">
        <v>76</v>
      </c>
      <c r="J3785" t="s">
        <v>82</v>
      </c>
      <c r="K3785">
        <v>145.5602787</v>
      </c>
    </row>
    <row r="3786" spans="1:11" x14ac:dyDescent="0.3">
      <c r="A3786" t="s">
        <v>84</v>
      </c>
      <c r="B3786">
        <v>1001</v>
      </c>
      <c r="C3786" t="s">
        <v>91</v>
      </c>
      <c r="D3786">
        <v>5.5634E-4</v>
      </c>
      <c r="E3786" t="s">
        <v>74</v>
      </c>
      <c r="F3786">
        <v>0.55633999999999995</v>
      </c>
      <c r="G3786" t="s">
        <v>75</v>
      </c>
      <c r="H3786">
        <v>556.34400000000005</v>
      </c>
      <c r="I3786" t="s">
        <v>76</v>
      </c>
      <c r="J3786" t="s">
        <v>77</v>
      </c>
    </row>
    <row r="3787" spans="1:11" x14ac:dyDescent="0.3">
      <c r="A3787" t="s">
        <v>84</v>
      </c>
      <c r="B3787">
        <v>1001</v>
      </c>
      <c r="C3787" t="s">
        <v>92</v>
      </c>
      <c r="D3787">
        <v>2.9580299999999999E-3</v>
      </c>
      <c r="E3787" t="s">
        <v>74</v>
      </c>
      <c r="F3787">
        <v>2.9580299999999999</v>
      </c>
      <c r="G3787" t="s">
        <v>75</v>
      </c>
      <c r="H3787">
        <v>2958.0340000000001</v>
      </c>
      <c r="I3787" t="s">
        <v>76</v>
      </c>
      <c r="J3787" t="s">
        <v>77</v>
      </c>
    </row>
    <row r="3788" spans="1:11" x14ac:dyDescent="0.3">
      <c r="A3788" t="s">
        <v>84</v>
      </c>
      <c r="B3788">
        <v>1001</v>
      </c>
      <c r="C3788" t="s">
        <v>93</v>
      </c>
      <c r="D3788">
        <v>5.1659999999999998E-4</v>
      </c>
      <c r="E3788" t="s">
        <v>74</v>
      </c>
      <c r="F3788">
        <v>0.51659999999999995</v>
      </c>
      <c r="G3788" t="s">
        <v>75</v>
      </c>
      <c r="H3788">
        <v>516.59799999999996</v>
      </c>
      <c r="I3788" t="s">
        <v>76</v>
      </c>
      <c r="J3788" t="s">
        <v>77</v>
      </c>
    </row>
    <row r="3789" spans="1:11" x14ac:dyDescent="0.3">
      <c r="A3789" t="s">
        <v>84</v>
      </c>
      <c r="B3789">
        <v>1001</v>
      </c>
      <c r="C3789" t="s">
        <v>79</v>
      </c>
      <c r="D3789">
        <v>4.0314499999999998E-3</v>
      </c>
      <c r="E3789" t="s">
        <v>74</v>
      </c>
      <c r="F3789">
        <v>4.0314500000000004</v>
      </c>
      <c r="G3789" t="s">
        <v>75</v>
      </c>
      <c r="H3789">
        <v>4031.4540000000002</v>
      </c>
      <c r="I3789" t="s">
        <v>76</v>
      </c>
      <c r="J3789" t="s">
        <v>77</v>
      </c>
    </row>
    <row r="3790" spans="1:11" x14ac:dyDescent="0.3">
      <c r="A3790" t="s">
        <v>84</v>
      </c>
      <c r="B3790">
        <v>1001</v>
      </c>
      <c r="C3790" t="s">
        <v>94</v>
      </c>
      <c r="D3790">
        <v>2.6538600000000001E-3</v>
      </c>
      <c r="E3790" t="s">
        <v>74</v>
      </c>
      <c r="F3790">
        <v>2.6538599999999999</v>
      </c>
      <c r="G3790" t="s">
        <v>75</v>
      </c>
      <c r="H3790">
        <v>2653.857</v>
      </c>
      <c r="I3790" t="s">
        <v>76</v>
      </c>
      <c r="J3790" t="s">
        <v>77</v>
      </c>
    </row>
    <row r="3791" spans="1:11" x14ac:dyDescent="0.3">
      <c r="A3791" t="s">
        <v>84</v>
      </c>
      <c r="B3791">
        <v>1001</v>
      </c>
      <c r="C3791" t="s">
        <v>80</v>
      </c>
      <c r="D3791">
        <v>2.8483699999999998E-3</v>
      </c>
      <c r="E3791" t="s">
        <v>74</v>
      </c>
      <c r="F3791">
        <v>2.8483700000000001</v>
      </c>
      <c r="G3791" t="s">
        <v>75</v>
      </c>
      <c r="H3791">
        <v>2848.3649999999998</v>
      </c>
      <c r="I3791" t="s">
        <v>76</v>
      </c>
      <c r="J3791" t="s">
        <v>77</v>
      </c>
    </row>
    <row r="3792" spans="1:11" x14ac:dyDescent="0.3">
      <c r="A3792" t="s">
        <v>84</v>
      </c>
      <c r="B3792">
        <v>1001</v>
      </c>
      <c r="C3792" t="s">
        <v>81</v>
      </c>
      <c r="D3792">
        <v>6.8809099999999996E-3</v>
      </c>
      <c r="E3792" t="s">
        <v>74</v>
      </c>
      <c r="F3792">
        <v>6.8809100000000001</v>
      </c>
      <c r="G3792" t="s">
        <v>75</v>
      </c>
      <c r="H3792">
        <v>6880.9070000000002</v>
      </c>
      <c r="I3792" t="s">
        <v>76</v>
      </c>
      <c r="J3792" t="s">
        <v>82</v>
      </c>
      <c r="K3792">
        <v>145.32968009999999</v>
      </c>
    </row>
    <row r="3793" spans="1:11" x14ac:dyDescent="0.3">
      <c r="A3793" t="s">
        <v>85</v>
      </c>
      <c r="B3793">
        <v>1001</v>
      </c>
      <c r="C3793" t="s">
        <v>86</v>
      </c>
      <c r="D3793">
        <v>6.8811100000000002E-3</v>
      </c>
      <c r="E3793" t="s">
        <v>74</v>
      </c>
      <c r="F3793">
        <v>6.8811099999999996</v>
      </c>
      <c r="G3793" t="s">
        <v>75</v>
      </c>
      <c r="H3793">
        <v>6881.1149999999998</v>
      </c>
      <c r="I3793" t="s">
        <v>76</v>
      </c>
      <c r="J3793" t="s">
        <v>82</v>
      </c>
      <c r="K3793">
        <v>145.32529360000001</v>
      </c>
    </row>
    <row r="3794" spans="1:11" x14ac:dyDescent="0.3">
      <c r="A3794" t="s">
        <v>106</v>
      </c>
    </row>
    <row r="3795" spans="1:11" x14ac:dyDescent="0.3">
      <c r="A3795" t="s">
        <v>72</v>
      </c>
      <c r="B3795">
        <v>1</v>
      </c>
      <c r="C3795" t="s">
        <v>73</v>
      </c>
      <c r="D3795">
        <v>7.9999999999999996E-7</v>
      </c>
      <c r="E3795" t="s">
        <v>74</v>
      </c>
      <c r="F3795">
        <v>8.0000000000000004E-4</v>
      </c>
      <c r="G3795" t="s">
        <v>75</v>
      </c>
      <c r="H3795">
        <v>0.8</v>
      </c>
      <c r="I3795" t="s">
        <v>76</v>
      </c>
      <c r="J3795" t="s">
        <v>77</v>
      </c>
    </row>
    <row r="3796" spans="1:11" x14ac:dyDescent="0.3">
      <c r="A3796" t="s">
        <v>72</v>
      </c>
      <c r="B3796">
        <v>1</v>
      </c>
      <c r="C3796" t="s">
        <v>78</v>
      </c>
      <c r="D3796">
        <v>4.1499999999999999E-5</v>
      </c>
      <c r="E3796" t="s">
        <v>74</v>
      </c>
      <c r="F3796">
        <v>4.1500000000000002E-2</v>
      </c>
      <c r="G3796" t="s">
        <v>75</v>
      </c>
      <c r="H3796">
        <v>41.5</v>
      </c>
      <c r="I3796" t="s">
        <v>76</v>
      </c>
      <c r="J3796" t="s">
        <v>77</v>
      </c>
    </row>
    <row r="3797" spans="1:11" x14ac:dyDescent="0.3">
      <c r="A3797" t="s">
        <v>72</v>
      </c>
      <c r="B3797">
        <v>1</v>
      </c>
      <c r="C3797" t="s">
        <v>91</v>
      </c>
      <c r="D3797">
        <v>2.1808999999999999E-3</v>
      </c>
      <c r="E3797" t="s">
        <v>74</v>
      </c>
      <c r="F3797">
        <v>2.1808999999999998</v>
      </c>
      <c r="G3797" t="s">
        <v>75</v>
      </c>
      <c r="H3797">
        <v>2180.9</v>
      </c>
      <c r="I3797" t="s">
        <v>76</v>
      </c>
      <c r="J3797" t="s">
        <v>77</v>
      </c>
    </row>
    <row r="3798" spans="1:11" x14ac:dyDescent="0.3">
      <c r="A3798" t="s">
        <v>72</v>
      </c>
      <c r="B3798">
        <v>1</v>
      </c>
      <c r="C3798" t="s">
        <v>92</v>
      </c>
      <c r="D3798">
        <v>4.0102000000000002E-3</v>
      </c>
      <c r="E3798" t="s">
        <v>74</v>
      </c>
      <c r="F3798">
        <v>4.0102000000000002</v>
      </c>
      <c r="G3798" t="s">
        <v>75</v>
      </c>
      <c r="H3798">
        <v>4010.2</v>
      </c>
      <c r="I3798" t="s">
        <v>76</v>
      </c>
      <c r="J3798" t="s">
        <v>77</v>
      </c>
    </row>
    <row r="3799" spans="1:11" x14ac:dyDescent="0.3">
      <c r="A3799" t="s">
        <v>72</v>
      </c>
      <c r="B3799">
        <v>1</v>
      </c>
      <c r="C3799" t="s">
        <v>93</v>
      </c>
      <c r="D3799">
        <v>1.635E-3</v>
      </c>
      <c r="E3799" t="s">
        <v>74</v>
      </c>
      <c r="F3799">
        <v>1.635</v>
      </c>
      <c r="G3799" t="s">
        <v>75</v>
      </c>
      <c r="H3799">
        <v>1635</v>
      </c>
      <c r="I3799" t="s">
        <v>76</v>
      </c>
      <c r="J3799" t="s">
        <v>77</v>
      </c>
    </row>
    <row r="3800" spans="1:11" x14ac:dyDescent="0.3">
      <c r="A3800" t="s">
        <v>72</v>
      </c>
      <c r="B3800">
        <v>1</v>
      </c>
      <c r="C3800" t="s">
        <v>79</v>
      </c>
      <c r="D3800">
        <v>7.8264000000000007E-3</v>
      </c>
      <c r="E3800" t="s">
        <v>74</v>
      </c>
      <c r="F3800">
        <v>7.8263999999999996</v>
      </c>
      <c r="G3800" t="s">
        <v>75</v>
      </c>
      <c r="H3800">
        <v>7826.4</v>
      </c>
      <c r="I3800" t="s">
        <v>76</v>
      </c>
      <c r="J3800" t="s">
        <v>77</v>
      </c>
    </row>
    <row r="3801" spans="1:11" x14ac:dyDescent="0.3">
      <c r="A3801" t="s">
        <v>72</v>
      </c>
      <c r="B3801">
        <v>1</v>
      </c>
      <c r="C3801" t="s">
        <v>96</v>
      </c>
      <c r="D3801">
        <v>2.0303000000000001E-3</v>
      </c>
      <c r="E3801" t="s">
        <v>74</v>
      </c>
      <c r="F3801">
        <v>2.0303</v>
      </c>
      <c r="G3801" t="s">
        <v>75</v>
      </c>
      <c r="H3801">
        <v>2030.3</v>
      </c>
      <c r="I3801" t="s">
        <v>76</v>
      </c>
      <c r="J3801" t="s">
        <v>77</v>
      </c>
    </row>
    <row r="3802" spans="1:11" x14ac:dyDescent="0.3">
      <c r="A3802" t="s">
        <v>72</v>
      </c>
      <c r="B3802">
        <v>1</v>
      </c>
      <c r="C3802" t="s">
        <v>94</v>
      </c>
      <c r="D3802">
        <v>3.1159999999999998E-3</v>
      </c>
      <c r="E3802" t="s">
        <v>74</v>
      </c>
      <c r="F3802">
        <v>3.1160000000000001</v>
      </c>
      <c r="G3802" t="s">
        <v>75</v>
      </c>
      <c r="H3802">
        <v>3116</v>
      </c>
      <c r="I3802" t="s">
        <v>76</v>
      </c>
      <c r="J3802" t="s">
        <v>77</v>
      </c>
    </row>
    <row r="3803" spans="1:11" x14ac:dyDescent="0.3">
      <c r="A3803" t="s">
        <v>72</v>
      </c>
      <c r="B3803">
        <v>1</v>
      </c>
      <c r="C3803" t="s">
        <v>80</v>
      </c>
      <c r="D3803">
        <v>5.2842999999999996E-3</v>
      </c>
      <c r="E3803" t="s">
        <v>74</v>
      </c>
      <c r="F3803">
        <v>5.2843</v>
      </c>
      <c r="G3803" t="s">
        <v>75</v>
      </c>
      <c r="H3803">
        <v>5284.3</v>
      </c>
      <c r="I3803" t="s">
        <v>76</v>
      </c>
      <c r="J3803" t="s">
        <v>77</v>
      </c>
    </row>
    <row r="3804" spans="1:11" x14ac:dyDescent="0.3">
      <c r="A3804" t="s">
        <v>72</v>
      </c>
      <c r="B3804">
        <v>1</v>
      </c>
      <c r="C3804" t="s">
        <v>81</v>
      </c>
      <c r="D3804">
        <v>1.31115E-2</v>
      </c>
      <c r="E3804" t="s">
        <v>74</v>
      </c>
      <c r="F3804">
        <v>13.111499999999999</v>
      </c>
      <c r="G3804" t="s">
        <v>75</v>
      </c>
      <c r="H3804">
        <v>13111.5</v>
      </c>
      <c r="I3804" t="s">
        <v>76</v>
      </c>
      <c r="J3804" t="s">
        <v>82</v>
      </c>
      <c r="K3804">
        <v>76.268923799999996</v>
      </c>
    </row>
    <row r="3805" spans="1:11" x14ac:dyDescent="0.3">
      <c r="A3805" t="s">
        <v>83</v>
      </c>
      <c r="B3805">
        <v>1000</v>
      </c>
      <c r="C3805" t="s">
        <v>91</v>
      </c>
      <c r="D3805">
        <v>5.3983000000000004E-4</v>
      </c>
      <c r="E3805" t="s">
        <v>74</v>
      </c>
      <c r="F3805">
        <v>0.53983000000000003</v>
      </c>
      <c r="G3805" t="s">
        <v>75</v>
      </c>
      <c r="H3805">
        <v>539.82600000000002</v>
      </c>
      <c r="I3805" t="s">
        <v>76</v>
      </c>
      <c r="J3805" t="s">
        <v>77</v>
      </c>
    </row>
    <row r="3806" spans="1:11" x14ac:dyDescent="0.3">
      <c r="A3806" t="s">
        <v>83</v>
      </c>
      <c r="B3806">
        <v>1000</v>
      </c>
      <c r="C3806" t="s">
        <v>92</v>
      </c>
      <c r="D3806">
        <v>2.8636400000000002E-3</v>
      </c>
      <c r="E3806" t="s">
        <v>74</v>
      </c>
      <c r="F3806">
        <v>2.8636400000000002</v>
      </c>
      <c r="G3806" t="s">
        <v>75</v>
      </c>
      <c r="H3806">
        <v>2863.6390000000001</v>
      </c>
      <c r="I3806" t="s">
        <v>76</v>
      </c>
      <c r="J3806" t="s">
        <v>77</v>
      </c>
    </row>
    <row r="3807" spans="1:11" x14ac:dyDescent="0.3">
      <c r="A3807" t="s">
        <v>83</v>
      </c>
      <c r="B3807">
        <v>1000</v>
      </c>
      <c r="C3807" t="s">
        <v>93</v>
      </c>
      <c r="D3807">
        <v>5.0976000000000005E-4</v>
      </c>
      <c r="E3807" t="s">
        <v>74</v>
      </c>
      <c r="F3807">
        <v>0.50975999999999999</v>
      </c>
      <c r="G3807" t="s">
        <v>75</v>
      </c>
      <c r="H3807">
        <v>509.76299999999998</v>
      </c>
      <c r="I3807" t="s">
        <v>76</v>
      </c>
      <c r="J3807" t="s">
        <v>77</v>
      </c>
    </row>
    <row r="3808" spans="1:11" x14ac:dyDescent="0.3">
      <c r="A3808" t="s">
        <v>83</v>
      </c>
      <c r="B3808">
        <v>1000</v>
      </c>
      <c r="C3808" t="s">
        <v>79</v>
      </c>
      <c r="D3808">
        <v>3.9136900000000001E-3</v>
      </c>
      <c r="E3808" t="s">
        <v>74</v>
      </c>
      <c r="F3808">
        <v>3.9136899999999999</v>
      </c>
      <c r="G3808" t="s">
        <v>75</v>
      </c>
      <c r="H3808">
        <v>3913.6860000000001</v>
      </c>
      <c r="I3808" t="s">
        <v>76</v>
      </c>
      <c r="J3808" t="s">
        <v>77</v>
      </c>
    </row>
    <row r="3809" spans="1:11" x14ac:dyDescent="0.3">
      <c r="A3809" t="s">
        <v>83</v>
      </c>
      <c r="B3809">
        <v>1000</v>
      </c>
      <c r="C3809" t="s">
        <v>96</v>
      </c>
      <c r="D3809">
        <v>1.7985900000000001E-3</v>
      </c>
      <c r="E3809" t="s">
        <v>74</v>
      </c>
      <c r="F3809">
        <v>1.7985899999999999</v>
      </c>
      <c r="G3809" t="s">
        <v>75</v>
      </c>
      <c r="H3809">
        <v>1798.5930000000001</v>
      </c>
      <c r="I3809" t="s">
        <v>76</v>
      </c>
      <c r="J3809" t="s">
        <v>77</v>
      </c>
    </row>
    <row r="3810" spans="1:11" x14ac:dyDescent="0.3">
      <c r="A3810" t="s">
        <v>83</v>
      </c>
      <c r="B3810">
        <v>1000</v>
      </c>
      <c r="C3810" t="s">
        <v>94</v>
      </c>
      <c r="D3810">
        <v>3.0399400000000001E-3</v>
      </c>
      <c r="E3810" t="s">
        <v>74</v>
      </c>
      <c r="F3810">
        <v>3.0399400000000001</v>
      </c>
      <c r="G3810" t="s">
        <v>75</v>
      </c>
      <c r="H3810">
        <v>3039.944</v>
      </c>
      <c r="I3810" t="s">
        <v>76</v>
      </c>
      <c r="J3810" t="s">
        <v>77</v>
      </c>
    </row>
    <row r="3811" spans="1:11" x14ac:dyDescent="0.3">
      <c r="A3811" t="s">
        <v>83</v>
      </c>
      <c r="B3811">
        <v>1000</v>
      </c>
      <c r="C3811" t="s">
        <v>80</v>
      </c>
      <c r="D3811">
        <v>4.9682900000000002E-3</v>
      </c>
      <c r="E3811" t="s">
        <v>74</v>
      </c>
      <c r="F3811">
        <v>4.9682899999999997</v>
      </c>
      <c r="G3811" t="s">
        <v>75</v>
      </c>
      <c r="H3811">
        <v>4968.2870000000003</v>
      </c>
      <c r="I3811" t="s">
        <v>76</v>
      </c>
      <c r="J3811" t="s">
        <v>77</v>
      </c>
    </row>
    <row r="3812" spans="1:11" x14ac:dyDescent="0.3">
      <c r="A3812" t="s">
        <v>83</v>
      </c>
      <c r="B3812">
        <v>1000</v>
      </c>
      <c r="C3812" t="s">
        <v>81</v>
      </c>
      <c r="D3812">
        <v>8.8833499999999999E-3</v>
      </c>
      <c r="E3812" t="s">
        <v>74</v>
      </c>
      <c r="F3812">
        <v>8.8833500000000001</v>
      </c>
      <c r="G3812" t="s">
        <v>75</v>
      </c>
      <c r="H3812">
        <v>8883.3520000000008</v>
      </c>
      <c r="I3812" t="s">
        <v>76</v>
      </c>
      <c r="J3812" t="s">
        <v>82</v>
      </c>
      <c r="K3812">
        <v>112.5701164</v>
      </c>
    </row>
    <row r="3813" spans="1:11" x14ac:dyDescent="0.3">
      <c r="A3813" t="s">
        <v>84</v>
      </c>
      <c r="B3813">
        <v>1001</v>
      </c>
      <c r="C3813" t="s">
        <v>91</v>
      </c>
      <c r="D3813">
        <v>5.4146999999999995E-4</v>
      </c>
      <c r="E3813" t="s">
        <v>74</v>
      </c>
      <c r="F3813">
        <v>0.54147000000000001</v>
      </c>
      <c r="G3813" t="s">
        <v>75</v>
      </c>
      <c r="H3813">
        <v>541.46500000000003</v>
      </c>
      <c r="I3813" t="s">
        <v>76</v>
      </c>
      <c r="J3813" t="s">
        <v>77</v>
      </c>
    </row>
    <row r="3814" spans="1:11" x14ac:dyDescent="0.3">
      <c r="A3814" t="s">
        <v>84</v>
      </c>
      <c r="B3814">
        <v>1001</v>
      </c>
      <c r="C3814" t="s">
        <v>92</v>
      </c>
      <c r="D3814">
        <v>2.8647799999999999E-3</v>
      </c>
      <c r="E3814" t="s">
        <v>74</v>
      </c>
      <c r="F3814">
        <v>2.8647800000000001</v>
      </c>
      <c r="G3814" t="s">
        <v>75</v>
      </c>
      <c r="H3814">
        <v>2864.7840000000001</v>
      </c>
      <c r="I3814" t="s">
        <v>76</v>
      </c>
      <c r="J3814" t="s">
        <v>77</v>
      </c>
    </row>
    <row r="3815" spans="1:11" x14ac:dyDescent="0.3">
      <c r="A3815" t="s">
        <v>84</v>
      </c>
      <c r="B3815">
        <v>1001</v>
      </c>
      <c r="C3815" t="s">
        <v>93</v>
      </c>
      <c r="D3815">
        <v>5.1088999999999996E-4</v>
      </c>
      <c r="E3815" t="s">
        <v>74</v>
      </c>
      <c r="F3815">
        <v>0.51088999999999996</v>
      </c>
      <c r="G3815" t="s">
        <v>75</v>
      </c>
      <c r="H3815">
        <v>510.887</v>
      </c>
      <c r="I3815" t="s">
        <v>76</v>
      </c>
      <c r="J3815" t="s">
        <v>77</v>
      </c>
    </row>
    <row r="3816" spans="1:11" x14ac:dyDescent="0.3">
      <c r="A3816" t="s">
        <v>84</v>
      </c>
      <c r="B3816">
        <v>1001</v>
      </c>
      <c r="C3816" t="s">
        <v>79</v>
      </c>
      <c r="D3816">
        <v>3.9175900000000003E-3</v>
      </c>
      <c r="E3816" t="s">
        <v>74</v>
      </c>
      <c r="F3816">
        <v>3.9175900000000001</v>
      </c>
      <c r="G3816" t="s">
        <v>75</v>
      </c>
      <c r="H3816">
        <v>3917.5949999999998</v>
      </c>
      <c r="I3816" t="s">
        <v>76</v>
      </c>
      <c r="J3816" t="s">
        <v>77</v>
      </c>
    </row>
    <row r="3817" spans="1:11" x14ac:dyDescent="0.3">
      <c r="A3817" t="s">
        <v>84</v>
      </c>
      <c r="B3817">
        <v>1001</v>
      </c>
      <c r="C3817" t="s">
        <v>96</v>
      </c>
      <c r="D3817">
        <v>1.79882E-3</v>
      </c>
      <c r="E3817" t="s">
        <v>74</v>
      </c>
      <c r="F3817">
        <v>1.7988200000000001</v>
      </c>
      <c r="G3817" t="s">
        <v>75</v>
      </c>
      <c r="H3817">
        <v>1798.8240000000001</v>
      </c>
      <c r="I3817" t="s">
        <v>76</v>
      </c>
      <c r="J3817" t="s">
        <v>77</v>
      </c>
    </row>
    <row r="3818" spans="1:11" x14ac:dyDescent="0.3">
      <c r="A3818" t="s">
        <v>84</v>
      </c>
      <c r="B3818">
        <v>1001</v>
      </c>
      <c r="C3818" t="s">
        <v>94</v>
      </c>
      <c r="D3818">
        <v>3.04002E-3</v>
      </c>
      <c r="E3818" t="s">
        <v>74</v>
      </c>
      <c r="F3818">
        <v>3.0400200000000002</v>
      </c>
      <c r="G3818" t="s">
        <v>75</v>
      </c>
      <c r="H3818">
        <v>3040.02</v>
      </c>
      <c r="I3818" t="s">
        <v>76</v>
      </c>
      <c r="J3818" t="s">
        <v>77</v>
      </c>
    </row>
    <row r="3819" spans="1:11" x14ac:dyDescent="0.3">
      <c r="A3819" t="s">
        <v>84</v>
      </c>
      <c r="B3819">
        <v>1001</v>
      </c>
      <c r="C3819" t="s">
        <v>80</v>
      </c>
      <c r="D3819">
        <v>4.9686000000000001E-3</v>
      </c>
      <c r="E3819" t="s">
        <v>74</v>
      </c>
      <c r="F3819">
        <v>4.9686000000000003</v>
      </c>
      <c r="G3819" t="s">
        <v>75</v>
      </c>
      <c r="H3819">
        <v>4968.6030000000001</v>
      </c>
      <c r="I3819" t="s">
        <v>76</v>
      </c>
      <c r="J3819" t="s">
        <v>77</v>
      </c>
    </row>
    <row r="3820" spans="1:11" x14ac:dyDescent="0.3">
      <c r="A3820" t="s">
        <v>84</v>
      </c>
      <c r="B3820">
        <v>1001</v>
      </c>
      <c r="C3820" t="s">
        <v>81</v>
      </c>
      <c r="D3820">
        <v>8.8875699999999992E-3</v>
      </c>
      <c r="E3820" t="s">
        <v>74</v>
      </c>
      <c r="F3820">
        <v>8.8875700000000002</v>
      </c>
      <c r="G3820" t="s">
        <v>75</v>
      </c>
      <c r="H3820">
        <v>8887.5750000000007</v>
      </c>
      <c r="I3820" t="s">
        <v>76</v>
      </c>
      <c r="J3820" t="s">
        <v>82</v>
      </c>
      <c r="K3820">
        <v>112.51663310000001</v>
      </c>
    </row>
    <row r="3821" spans="1:11" x14ac:dyDescent="0.3">
      <c r="A3821" t="s">
        <v>85</v>
      </c>
      <c r="B3821">
        <v>1001</v>
      </c>
      <c r="C3821" t="s">
        <v>86</v>
      </c>
      <c r="D3821">
        <v>8.88772E-3</v>
      </c>
      <c r="E3821" t="s">
        <v>74</v>
      </c>
      <c r="F3821">
        <v>8.8877199999999998</v>
      </c>
      <c r="G3821" t="s">
        <v>75</v>
      </c>
      <c r="H3821">
        <v>8887.7180000000008</v>
      </c>
      <c r="I3821" t="s">
        <v>76</v>
      </c>
      <c r="J3821" t="s">
        <v>82</v>
      </c>
      <c r="K3821">
        <v>112.5148239</v>
      </c>
    </row>
    <row r="3822" spans="1:11" x14ac:dyDescent="0.3">
      <c r="A3822" t="s">
        <v>87</v>
      </c>
    </row>
    <row r="3823" spans="1:11" x14ac:dyDescent="0.3">
      <c r="A3823" t="s">
        <v>107</v>
      </c>
    </row>
    <row r="3824" spans="1:11" x14ac:dyDescent="0.3">
      <c r="A3824" t="s">
        <v>72</v>
      </c>
      <c r="B3824">
        <v>1</v>
      </c>
      <c r="C3824" t="s">
        <v>81</v>
      </c>
      <c r="D3824">
        <v>1.7781100000000001E-2</v>
      </c>
      <c r="E3824" t="s">
        <v>74</v>
      </c>
      <c r="F3824">
        <v>17.781099999999999</v>
      </c>
      <c r="G3824" t="s">
        <v>75</v>
      </c>
      <c r="H3824">
        <v>17781.098999999998</v>
      </c>
      <c r="I3824" t="s">
        <v>76</v>
      </c>
      <c r="J3824" t="s">
        <v>82</v>
      </c>
      <c r="K3824">
        <v>56.239492400000003</v>
      </c>
    </row>
    <row r="3825" spans="1:11" x14ac:dyDescent="0.3">
      <c r="A3825" t="s">
        <v>83</v>
      </c>
      <c r="B3825">
        <v>1000</v>
      </c>
      <c r="C3825" t="s">
        <v>81</v>
      </c>
      <c r="D3825">
        <v>6.8700100000000002E-3</v>
      </c>
      <c r="E3825" t="s">
        <v>74</v>
      </c>
      <c r="F3825">
        <v>6.8700099999999997</v>
      </c>
      <c r="G3825" t="s">
        <v>75</v>
      </c>
      <c r="H3825">
        <v>6870.0060000000003</v>
      </c>
      <c r="I3825" t="s">
        <v>76</v>
      </c>
      <c r="J3825" t="s">
        <v>82</v>
      </c>
      <c r="K3825">
        <v>145.5602787</v>
      </c>
    </row>
    <row r="3826" spans="1:11" x14ac:dyDescent="0.3">
      <c r="A3826" t="s">
        <v>85</v>
      </c>
      <c r="B3826">
        <v>1001</v>
      </c>
      <c r="C3826" t="s">
        <v>86</v>
      </c>
      <c r="D3826">
        <v>6.8811100000000002E-3</v>
      </c>
      <c r="E3826" t="s">
        <v>74</v>
      </c>
      <c r="F3826">
        <v>6.8811099999999996</v>
      </c>
      <c r="G3826" t="s">
        <v>75</v>
      </c>
      <c r="H3826">
        <v>6881.1149999999998</v>
      </c>
      <c r="I3826" t="s">
        <v>76</v>
      </c>
      <c r="J3826" t="s">
        <v>82</v>
      </c>
      <c r="K3826">
        <v>145.32529360000001</v>
      </c>
    </row>
    <row r="3828" spans="1:11" x14ac:dyDescent="0.3">
      <c r="A3828" t="s">
        <v>108</v>
      </c>
    </row>
    <row r="3829" spans="1:11" x14ac:dyDescent="0.3">
      <c r="A3829" t="s">
        <v>72</v>
      </c>
      <c r="B3829">
        <v>1</v>
      </c>
      <c r="C3829" t="s">
        <v>81</v>
      </c>
      <c r="D3829">
        <v>1.31115E-2</v>
      </c>
      <c r="E3829" t="s">
        <v>74</v>
      </c>
      <c r="F3829">
        <v>13.111499999999999</v>
      </c>
      <c r="G3829" t="s">
        <v>75</v>
      </c>
      <c r="H3829">
        <v>13111.5</v>
      </c>
      <c r="I3829" t="s">
        <v>76</v>
      </c>
      <c r="J3829" t="s">
        <v>82</v>
      </c>
      <c r="K3829">
        <v>76.268923799999996</v>
      </c>
    </row>
    <row r="3830" spans="1:11" x14ac:dyDescent="0.3">
      <c r="A3830" t="s">
        <v>83</v>
      </c>
      <c r="B3830">
        <v>1000</v>
      </c>
      <c r="C3830" t="s">
        <v>81</v>
      </c>
      <c r="D3830">
        <v>8.8833499999999999E-3</v>
      </c>
      <c r="E3830" t="s">
        <v>74</v>
      </c>
      <c r="F3830">
        <v>8.8833500000000001</v>
      </c>
      <c r="G3830" t="s">
        <v>75</v>
      </c>
      <c r="H3830">
        <v>8883.3520000000008</v>
      </c>
      <c r="I3830" t="s">
        <v>76</v>
      </c>
      <c r="J3830" t="s">
        <v>82</v>
      </c>
      <c r="K3830">
        <v>112.5701164</v>
      </c>
    </row>
    <row r="3831" spans="1:11" x14ac:dyDescent="0.3">
      <c r="A3831" t="s">
        <v>85</v>
      </c>
      <c r="B3831">
        <v>1001</v>
      </c>
      <c r="C3831" t="s">
        <v>86</v>
      </c>
      <c r="D3831">
        <v>8.88772E-3</v>
      </c>
      <c r="E3831" t="s">
        <v>74</v>
      </c>
      <c r="F3831">
        <v>8.8877199999999998</v>
      </c>
      <c r="G3831" t="s">
        <v>75</v>
      </c>
      <c r="H3831">
        <v>8887.7180000000008</v>
      </c>
      <c r="I3831" t="s">
        <v>76</v>
      </c>
      <c r="J3831" t="s">
        <v>82</v>
      </c>
      <c r="K3831">
        <v>112.5148239</v>
      </c>
    </row>
    <row r="3833" spans="1:11" x14ac:dyDescent="0.3">
      <c r="A3833" t="s">
        <v>66</v>
      </c>
    </row>
    <row r="3835" spans="1:11" x14ac:dyDescent="0.3">
      <c r="A3835" t="s">
        <v>264</v>
      </c>
    </row>
    <row r="3836" spans="1:11" x14ac:dyDescent="0.3">
      <c r="A3836" t="s">
        <v>68</v>
      </c>
    </row>
    <row r="3837" spans="1:11" x14ac:dyDescent="0.3">
      <c r="A3837" t="s">
        <v>69</v>
      </c>
    </row>
    <row r="3838" spans="1:11" x14ac:dyDescent="0.3">
      <c r="A3838" t="s">
        <v>70</v>
      </c>
    </row>
    <row r="3839" spans="1:11" x14ac:dyDescent="0.3">
      <c r="A3839" t="s">
        <v>110</v>
      </c>
    </row>
    <row r="3840" spans="1:11" x14ac:dyDescent="0.3">
      <c r="A3840" t="s">
        <v>72</v>
      </c>
      <c r="B3840">
        <v>1</v>
      </c>
      <c r="C3840" t="s">
        <v>73</v>
      </c>
      <c r="D3840">
        <v>7.9999999999999996E-7</v>
      </c>
      <c r="E3840" t="s">
        <v>74</v>
      </c>
      <c r="F3840">
        <v>8.0000000000000004E-4</v>
      </c>
      <c r="G3840" t="s">
        <v>75</v>
      </c>
      <c r="H3840">
        <v>0.8</v>
      </c>
      <c r="I3840" t="s">
        <v>76</v>
      </c>
      <c r="J3840" t="s">
        <v>77</v>
      </c>
    </row>
    <row r="3841" spans="1:11" x14ac:dyDescent="0.3">
      <c r="A3841" t="s">
        <v>72</v>
      </c>
      <c r="B3841">
        <v>1</v>
      </c>
      <c r="C3841" t="s">
        <v>78</v>
      </c>
      <c r="D3841">
        <v>1.8899999999999999E-5</v>
      </c>
      <c r="E3841" t="s">
        <v>74</v>
      </c>
      <c r="F3841">
        <v>1.89E-2</v>
      </c>
      <c r="G3841" t="s">
        <v>75</v>
      </c>
      <c r="H3841">
        <v>18.899999999999999</v>
      </c>
      <c r="I3841" t="s">
        <v>76</v>
      </c>
      <c r="J3841" t="s">
        <v>77</v>
      </c>
    </row>
    <row r="3842" spans="1:11" x14ac:dyDescent="0.3">
      <c r="A3842" t="s">
        <v>72</v>
      </c>
      <c r="B3842">
        <v>1</v>
      </c>
      <c r="C3842" t="s">
        <v>79</v>
      </c>
      <c r="D3842">
        <v>4.5586999999999997E-3</v>
      </c>
      <c r="E3842" t="s">
        <v>74</v>
      </c>
      <c r="F3842">
        <v>4.5587</v>
      </c>
      <c r="G3842" t="s">
        <v>75</v>
      </c>
      <c r="H3842">
        <v>4558.7</v>
      </c>
      <c r="I3842" t="s">
        <v>76</v>
      </c>
      <c r="J3842" t="s">
        <v>77</v>
      </c>
    </row>
    <row r="3843" spans="1:11" x14ac:dyDescent="0.3">
      <c r="A3843" t="s">
        <v>72</v>
      </c>
      <c r="B3843">
        <v>1</v>
      </c>
      <c r="C3843" t="s">
        <v>94</v>
      </c>
      <c r="D3843">
        <v>9.1991999999999994E-3</v>
      </c>
      <c r="E3843" t="s">
        <v>74</v>
      </c>
      <c r="F3843">
        <v>9.1991999999999994</v>
      </c>
      <c r="G3843" t="s">
        <v>75</v>
      </c>
      <c r="H3843">
        <v>9199.2000000000007</v>
      </c>
      <c r="I3843" t="s">
        <v>76</v>
      </c>
      <c r="J3843" t="s">
        <v>77</v>
      </c>
    </row>
    <row r="3844" spans="1:11" x14ac:dyDescent="0.3">
      <c r="A3844" t="s">
        <v>72</v>
      </c>
      <c r="B3844">
        <v>1</v>
      </c>
      <c r="C3844" t="s">
        <v>80</v>
      </c>
      <c r="D3844">
        <v>9.1996999999999999E-3</v>
      </c>
      <c r="E3844" t="s">
        <v>74</v>
      </c>
      <c r="F3844">
        <v>9.1997</v>
      </c>
      <c r="G3844" t="s">
        <v>75</v>
      </c>
      <c r="H3844">
        <v>9199.7000000000007</v>
      </c>
      <c r="I3844" t="s">
        <v>76</v>
      </c>
      <c r="J3844" t="s">
        <v>77</v>
      </c>
    </row>
    <row r="3845" spans="1:11" x14ac:dyDescent="0.3">
      <c r="A3845" t="s">
        <v>72</v>
      </c>
      <c r="B3845">
        <v>1</v>
      </c>
      <c r="C3845" t="s">
        <v>81</v>
      </c>
      <c r="D3845">
        <v>1.3761199999999999E-2</v>
      </c>
      <c r="E3845" t="s">
        <v>74</v>
      </c>
      <c r="F3845">
        <v>13.761200000000001</v>
      </c>
      <c r="G3845" t="s">
        <v>75</v>
      </c>
      <c r="H3845">
        <v>13761.2</v>
      </c>
      <c r="I3845" t="s">
        <v>76</v>
      </c>
      <c r="J3845" t="s">
        <v>82</v>
      </c>
      <c r="K3845">
        <v>72.668081200000003</v>
      </c>
    </row>
    <row r="3846" spans="1:11" x14ac:dyDescent="0.3">
      <c r="A3846" t="s">
        <v>83</v>
      </c>
      <c r="B3846">
        <v>1000</v>
      </c>
      <c r="C3846" t="s">
        <v>79</v>
      </c>
      <c r="D3846">
        <v>3.1923300000000002E-3</v>
      </c>
      <c r="E3846" t="s">
        <v>74</v>
      </c>
      <c r="F3846">
        <v>3.1923300000000001</v>
      </c>
      <c r="G3846" t="s">
        <v>75</v>
      </c>
      <c r="H3846">
        <v>3192.33</v>
      </c>
      <c r="I3846" t="s">
        <v>76</v>
      </c>
      <c r="J3846" t="s">
        <v>77</v>
      </c>
    </row>
    <row r="3847" spans="1:11" x14ac:dyDescent="0.3">
      <c r="A3847" t="s">
        <v>83</v>
      </c>
      <c r="B3847">
        <v>1000</v>
      </c>
      <c r="C3847" t="s">
        <v>94</v>
      </c>
      <c r="D3847">
        <v>2.5734899999999999E-3</v>
      </c>
      <c r="E3847" t="s">
        <v>74</v>
      </c>
      <c r="F3847">
        <v>2.5734900000000001</v>
      </c>
      <c r="G3847" t="s">
        <v>75</v>
      </c>
      <c r="H3847">
        <v>2573.4940000000001</v>
      </c>
      <c r="I3847" t="s">
        <v>76</v>
      </c>
      <c r="J3847" t="s">
        <v>77</v>
      </c>
    </row>
    <row r="3848" spans="1:11" x14ac:dyDescent="0.3">
      <c r="A3848" t="s">
        <v>83</v>
      </c>
      <c r="B3848">
        <v>1000</v>
      </c>
      <c r="C3848" t="s">
        <v>80</v>
      </c>
      <c r="D3848">
        <v>2.7167900000000002E-3</v>
      </c>
      <c r="E3848" t="s">
        <v>74</v>
      </c>
      <c r="F3848">
        <v>2.71679</v>
      </c>
      <c r="G3848" t="s">
        <v>75</v>
      </c>
      <c r="H3848">
        <v>2716.7930000000001</v>
      </c>
      <c r="I3848" t="s">
        <v>76</v>
      </c>
      <c r="J3848" t="s">
        <v>77</v>
      </c>
    </row>
    <row r="3849" spans="1:11" x14ac:dyDescent="0.3">
      <c r="A3849" t="s">
        <v>83</v>
      </c>
      <c r="B3849">
        <v>1000</v>
      </c>
      <c r="C3849" t="s">
        <v>81</v>
      </c>
      <c r="D3849">
        <v>5.9098500000000003E-3</v>
      </c>
      <c r="E3849" t="s">
        <v>74</v>
      </c>
      <c r="F3849">
        <v>5.9098499999999996</v>
      </c>
      <c r="G3849" t="s">
        <v>75</v>
      </c>
      <c r="H3849">
        <v>5909.8549999999996</v>
      </c>
      <c r="I3849" t="s">
        <v>76</v>
      </c>
      <c r="J3849" t="s">
        <v>82</v>
      </c>
      <c r="K3849">
        <v>169.2088924</v>
      </c>
    </row>
    <row r="3850" spans="1:11" x14ac:dyDescent="0.3">
      <c r="A3850" t="s">
        <v>84</v>
      </c>
      <c r="B3850">
        <v>1001</v>
      </c>
      <c r="C3850" t="s">
        <v>79</v>
      </c>
      <c r="D3850">
        <v>3.1936899999999999E-3</v>
      </c>
      <c r="E3850" t="s">
        <v>74</v>
      </c>
      <c r="F3850">
        <v>3.1936900000000001</v>
      </c>
      <c r="G3850" t="s">
        <v>75</v>
      </c>
      <c r="H3850">
        <v>3193.6950000000002</v>
      </c>
      <c r="I3850" t="s">
        <v>76</v>
      </c>
      <c r="J3850" t="s">
        <v>77</v>
      </c>
    </row>
    <row r="3851" spans="1:11" x14ac:dyDescent="0.3">
      <c r="A3851" t="s">
        <v>84</v>
      </c>
      <c r="B3851">
        <v>1001</v>
      </c>
      <c r="C3851" t="s">
        <v>94</v>
      </c>
      <c r="D3851">
        <v>2.58011E-3</v>
      </c>
      <c r="E3851" t="s">
        <v>74</v>
      </c>
      <c r="F3851">
        <v>2.5801099999999999</v>
      </c>
      <c r="G3851" t="s">
        <v>75</v>
      </c>
      <c r="H3851">
        <v>2580.1129999999998</v>
      </c>
      <c r="I3851" t="s">
        <v>76</v>
      </c>
      <c r="J3851" t="s">
        <v>77</v>
      </c>
    </row>
    <row r="3852" spans="1:11" x14ac:dyDescent="0.3">
      <c r="A3852" t="s">
        <v>84</v>
      </c>
      <c r="B3852">
        <v>1001</v>
      </c>
      <c r="C3852" t="s">
        <v>80</v>
      </c>
      <c r="D3852">
        <v>2.7232699999999999E-3</v>
      </c>
      <c r="E3852" t="s">
        <v>74</v>
      </c>
      <c r="F3852">
        <v>2.7232699999999999</v>
      </c>
      <c r="G3852" t="s">
        <v>75</v>
      </c>
      <c r="H3852">
        <v>2723.27</v>
      </c>
      <c r="I3852" t="s">
        <v>76</v>
      </c>
      <c r="J3852" t="s">
        <v>77</v>
      </c>
    </row>
    <row r="3853" spans="1:11" x14ac:dyDescent="0.3">
      <c r="A3853" t="s">
        <v>84</v>
      </c>
      <c r="B3853">
        <v>1001</v>
      </c>
      <c r="C3853" t="s">
        <v>81</v>
      </c>
      <c r="D3853">
        <v>5.9176999999999997E-3</v>
      </c>
      <c r="E3853" t="s">
        <v>74</v>
      </c>
      <c r="F3853">
        <v>5.9177</v>
      </c>
      <c r="G3853" t="s">
        <v>75</v>
      </c>
      <c r="H3853">
        <v>5917.6989999999996</v>
      </c>
      <c r="I3853" t="s">
        <v>76</v>
      </c>
      <c r="J3853" t="s">
        <v>82</v>
      </c>
      <c r="K3853">
        <v>168.98460850000001</v>
      </c>
    </row>
    <row r="3854" spans="1:11" x14ac:dyDescent="0.3">
      <c r="A3854" t="s">
        <v>85</v>
      </c>
      <c r="B3854">
        <v>1001</v>
      </c>
      <c r="C3854" t="s">
        <v>86</v>
      </c>
      <c r="D3854">
        <v>5.9178700000000004E-3</v>
      </c>
      <c r="E3854" t="s">
        <v>74</v>
      </c>
      <c r="F3854">
        <v>5.9178699999999997</v>
      </c>
      <c r="G3854" t="s">
        <v>75</v>
      </c>
      <c r="H3854">
        <v>5917.8729999999996</v>
      </c>
      <c r="I3854" t="s">
        <v>76</v>
      </c>
      <c r="J3854" t="s">
        <v>82</v>
      </c>
      <c r="K3854">
        <v>168.9796436</v>
      </c>
    </row>
    <row r="3855" spans="1:11" x14ac:dyDescent="0.3">
      <c r="A3855" t="s">
        <v>111</v>
      </c>
    </row>
    <row r="3856" spans="1:11" x14ac:dyDescent="0.3">
      <c r="A3856" t="s">
        <v>72</v>
      </c>
      <c r="B3856">
        <v>1</v>
      </c>
      <c r="C3856" t="s">
        <v>73</v>
      </c>
      <c r="D3856">
        <v>7.9999999999999996E-7</v>
      </c>
      <c r="E3856" t="s">
        <v>74</v>
      </c>
      <c r="F3856">
        <v>8.0000000000000004E-4</v>
      </c>
      <c r="G3856" t="s">
        <v>75</v>
      </c>
      <c r="H3856">
        <v>0.8</v>
      </c>
      <c r="I3856" t="s">
        <v>76</v>
      </c>
      <c r="J3856" t="s">
        <v>77</v>
      </c>
    </row>
    <row r="3857" spans="1:11" x14ac:dyDescent="0.3">
      <c r="A3857" t="s">
        <v>72</v>
      </c>
      <c r="B3857">
        <v>1</v>
      </c>
      <c r="C3857" t="s">
        <v>78</v>
      </c>
      <c r="D3857">
        <v>1.88E-5</v>
      </c>
      <c r="E3857" t="s">
        <v>74</v>
      </c>
      <c r="F3857">
        <v>1.8800000000000001E-2</v>
      </c>
      <c r="G3857" t="s">
        <v>75</v>
      </c>
      <c r="H3857">
        <v>18.8</v>
      </c>
      <c r="I3857" t="s">
        <v>76</v>
      </c>
      <c r="J3857" t="s">
        <v>77</v>
      </c>
    </row>
    <row r="3858" spans="1:11" x14ac:dyDescent="0.3">
      <c r="A3858" t="s">
        <v>72</v>
      </c>
      <c r="B3858">
        <v>1</v>
      </c>
      <c r="C3858" t="s">
        <v>79</v>
      </c>
      <c r="D3858">
        <v>4.1868000000000001E-3</v>
      </c>
      <c r="E3858" t="s">
        <v>74</v>
      </c>
      <c r="F3858">
        <v>4.1867999999999999</v>
      </c>
      <c r="G3858" t="s">
        <v>75</v>
      </c>
      <c r="H3858">
        <v>4186.8</v>
      </c>
      <c r="I3858" t="s">
        <v>76</v>
      </c>
      <c r="J3858" t="s">
        <v>77</v>
      </c>
    </row>
    <row r="3859" spans="1:11" x14ac:dyDescent="0.3">
      <c r="A3859" t="s">
        <v>72</v>
      </c>
      <c r="B3859">
        <v>1</v>
      </c>
      <c r="C3859" t="s">
        <v>94</v>
      </c>
      <c r="D3859">
        <v>2.6139000000000002E-3</v>
      </c>
      <c r="E3859" t="s">
        <v>74</v>
      </c>
      <c r="F3859">
        <v>2.6139000000000001</v>
      </c>
      <c r="G3859" t="s">
        <v>75</v>
      </c>
      <c r="H3859">
        <v>2613.9</v>
      </c>
      <c r="I3859" t="s">
        <v>76</v>
      </c>
      <c r="J3859" t="s">
        <v>77</v>
      </c>
    </row>
    <row r="3860" spans="1:11" x14ac:dyDescent="0.3">
      <c r="A3860" t="s">
        <v>72</v>
      </c>
      <c r="B3860">
        <v>1</v>
      </c>
      <c r="C3860" t="s">
        <v>80</v>
      </c>
      <c r="D3860">
        <v>2.7932999999999999E-3</v>
      </c>
      <c r="E3860" t="s">
        <v>74</v>
      </c>
      <c r="F3860">
        <v>2.7932999999999999</v>
      </c>
      <c r="G3860" t="s">
        <v>75</v>
      </c>
      <c r="H3860">
        <v>2793.3</v>
      </c>
      <c r="I3860" t="s">
        <v>76</v>
      </c>
      <c r="J3860" t="s">
        <v>77</v>
      </c>
    </row>
    <row r="3861" spans="1:11" x14ac:dyDescent="0.3">
      <c r="A3861" t="s">
        <v>72</v>
      </c>
      <c r="B3861">
        <v>1</v>
      </c>
      <c r="C3861" t="s">
        <v>81</v>
      </c>
      <c r="D3861">
        <v>6.9807000000000003E-3</v>
      </c>
      <c r="E3861" t="s">
        <v>74</v>
      </c>
      <c r="F3861">
        <v>6.9806999999999997</v>
      </c>
      <c r="G3861" t="s">
        <v>75</v>
      </c>
      <c r="H3861">
        <v>6980.7</v>
      </c>
      <c r="I3861" t="s">
        <v>76</v>
      </c>
      <c r="J3861" t="s">
        <v>82</v>
      </c>
      <c r="K3861">
        <v>143.25211039999999</v>
      </c>
    </row>
    <row r="3862" spans="1:11" x14ac:dyDescent="0.3">
      <c r="A3862" t="s">
        <v>83</v>
      </c>
      <c r="B3862">
        <v>1000</v>
      </c>
      <c r="C3862" t="s">
        <v>79</v>
      </c>
      <c r="D3862">
        <v>3.1706999999999998E-3</v>
      </c>
      <c r="E3862" t="s">
        <v>74</v>
      </c>
      <c r="F3862">
        <v>3.1707000000000001</v>
      </c>
      <c r="G3862" t="s">
        <v>75</v>
      </c>
      <c r="H3862">
        <v>3170.7</v>
      </c>
      <c r="I3862" t="s">
        <v>76</v>
      </c>
      <c r="J3862" t="s">
        <v>77</v>
      </c>
    </row>
    <row r="3863" spans="1:11" x14ac:dyDescent="0.3">
      <c r="A3863" t="s">
        <v>83</v>
      </c>
      <c r="B3863">
        <v>1000</v>
      </c>
      <c r="C3863" t="s">
        <v>94</v>
      </c>
      <c r="D3863">
        <v>2.50074E-3</v>
      </c>
      <c r="E3863" t="s">
        <v>74</v>
      </c>
      <c r="F3863">
        <v>2.50074</v>
      </c>
      <c r="G3863" t="s">
        <v>75</v>
      </c>
      <c r="H3863">
        <v>2500.7359999999999</v>
      </c>
      <c r="I3863" t="s">
        <v>76</v>
      </c>
      <c r="J3863" t="s">
        <v>77</v>
      </c>
    </row>
    <row r="3864" spans="1:11" x14ac:dyDescent="0.3">
      <c r="A3864" t="s">
        <v>83</v>
      </c>
      <c r="B3864">
        <v>1000</v>
      </c>
      <c r="C3864" t="s">
        <v>80</v>
      </c>
      <c r="D3864">
        <v>2.6319400000000001E-3</v>
      </c>
      <c r="E3864" t="s">
        <v>74</v>
      </c>
      <c r="F3864">
        <v>2.6319400000000002</v>
      </c>
      <c r="G3864" t="s">
        <v>75</v>
      </c>
      <c r="H3864">
        <v>2631.9360000000001</v>
      </c>
      <c r="I3864" t="s">
        <v>76</v>
      </c>
      <c r="J3864" t="s">
        <v>77</v>
      </c>
    </row>
    <row r="3865" spans="1:11" x14ac:dyDescent="0.3">
      <c r="A3865" t="s">
        <v>83</v>
      </c>
      <c r="B3865">
        <v>1000</v>
      </c>
      <c r="C3865" t="s">
        <v>81</v>
      </c>
      <c r="D3865">
        <v>5.8034100000000002E-3</v>
      </c>
      <c r="E3865" t="s">
        <v>74</v>
      </c>
      <c r="F3865">
        <v>5.8034100000000004</v>
      </c>
      <c r="G3865" t="s">
        <v>75</v>
      </c>
      <c r="H3865">
        <v>5803.4089999999997</v>
      </c>
      <c r="I3865" t="s">
        <v>76</v>
      </c>
      <c r="J3865" t="s">
        <v>82</v>
      </c>
      <c r="K3865">
        <v>172.31252610000001</v>
      </c>
    </row>
    <row r="3866" spans="1:11" x14ac:dyDescent="0.3">
      <c r="A3866" t="s">
        <v>84</v>
      </c>
      <c r="B3866">
        <v>1001</v>
      </c>
      <c r="C3866" t="s">
        <v>79</v>
      </c>
      <c r="D3866">
        <v>3.1717199999999998E-3</v>
      </c>
      <c r="E3866" t="s">
        <v>74</v>
      </c>
      <c r="F3866">
        <v>3.1717200000000001</v>
      </c>
      <c r="G3866" t="s">
        <v>75</v>
      </c>
      <c r="H3866">
        <v>3171.7150000000001</v>
      </c>
      <c r="I3866" t="s">
        <v>76</v>
      </c>
      <c r="J3866" t="s">
        <v>77</v>
      </c>
    </row>
    <row r="3867" spans="1:11" x14ac:dyDescent="0.3">
      <c r="A3867" t="s">
        <v>84</v>
      </c>
      <c r="B3867">
        <v>1001</v>
      </c>
      <c r="C3867" t="s">
        <v>94</v>
      </c>
      <c r="D3867">
        <v>2.5008500000000002E-3</v>
      </c>
      <c r="E3867" t="s">
        <v>74</v>
      </c>
      <c r="F3867">
        <v>2.5008499999999998</v>
      </c>
      <c r="G3867" t="s">
        <v>75</v>
      </c>
      <c r="H3867">
        <v>2500.8490000000002</v>
      </c>
      <c r="I3867" t="s">
        <v>76</v>
      </c>
      <c r="J3867" t="s">
        <v>77</v>
      </c>
    </row>
    <row r="3868" spans="1:11" x14ac:dyDescent="0.3">
      <c r="A3868" t="s">
        <v>84</v>
      </c>
      <c r="B3868">
        <v>1001</v>
      </c>
      <c r="C3868" t="s">
        <v>80</v>
      </c>
      <c r="D3868">
        <v>2.6321000000000001E-3</v>
      </c>
      <c r="E3868" t="s">
        <v>74</v>
      </c>
      <c r="F3868">
        <v>2.6320999999999999</v>
      </c>
      <c r="G3868" t="s">
        <v>75</v>
      </c>
      <c r="H3868">
        <v>2632.0970000000002</v>
      </c>
      <c r="I3868" t="s">
        <v>76</v>
      </c>
      <c r="J3868" t="s">
        <v>77</v>
      </c>
    </row>
    <row r="3869" spans="1:11" x14ac:dyDescent="0.3">
      <c r="A3869" t="s">
        <v>84</v>
      </c>
      <c r="B3869">
        <v>1001</v>
      </c>
      <c r="C3869" t="s">
        <v>81</v>
      </c>
      <c r="D3869">
        <v>5.8045800000000002E-3</v>
      </c>
      <c r="E3869" t="s">
        <v>74</v>
      </c>
      <c r="F3869">
        <v>5.8045799999999996</v>
      </c>
      <c r="G3869" t="s">
        <v>75</v>
      </c>
      <c r="H3869">
        <v>5804.5839999999998</v>
      </c>
      <c r="I3869" t="s">
        <v>76</v>
      </c>
      <c r="J3869" t="s">
        <v>82</v>
      </c>
      <c r="K3869">
        <v>172.27762079999999</v>
      </c>
    </row>
    <row r="3870" spans="1:11" x14ac:dyDescent="0.3">
      <c r="A3870" t="s">
        <v>85</v>
      </c>
      <c r="B3870">
        <v>1001</v>
      </c>
      <c r="C3870" t="s">
        <v>86</v>
      </c>
      <c r="D3870">
        <v>5.8047000000000003E-3</v>
      </c>
      <c r="E3870" t="s">
        <v>74</v>
      </c>
      <c r="F3870">
        <v>5.8047000000000004</v>
      </c>
      <c r="G3870" t="s">
        <v>75</v>
      </c>
      <c r="H3870">
        <v>5804.7049999999999</v>
      </c>
      <c r="I3870" t="s">
        <v>76</v>
      </c>
      <c r="J3870" t="s">
        <v>82</v>
      </c>
      <c r="K3870">
        <v>172.27404390000001</v>
      </c>
    </row>
    <row r="3871" spans="1:11" x14ac:dyDescent="0.3">
      <c r="A3871" t="s">
        <v>87</v>
      </c>
    </row>
    <row r="3872" spans="1:11" x14ac:dyDescent="0.3">
      <c r="A3872" t="s">
        <v>112</v>
      </c>
    </row>
    <row r="3873" spans="1:11" x14ac:dyDescent="0.3">
      <c r="A3873" t="s">
        <v>72</v>
      </c>
      <c r="B3873">
        <v>1</v>
      </c>
      <c r="C3873" t="s">
        <v>81</v>
      </c>
      <c r="D3873">
        <v>1.3761199999999999E-2</v>
      </c>
      <c r="E3873" t="s">
        <v>74</v>
      </c>
      <c r="F3873">
        <v>13.761200000000001</v>
      </c>
      <c r="G3873" t="s">
        <v>75</v>
      </c>
      <c r="H3873">
        <v>13761.2</v>
      </c>
      <c r="I3873" t="s">
        <v>76</v>
      </c>
      <c r="J3873" t="s">
        <v>82</v>
      </c>
      <c r="K3873">
        <v>72.668081200000003</v>
      </c>
    </row>
    <row r="3874" spans="1:11" x14ac:dyDescent="0.3">
      <c r="A3874" t="s">
        <v>83</v>
      </c>
      <c r="B3874">
        <v>1000</v>
      </c>
      <c r="C3874" t="s">
        <v>81</v>
      </c>
      <c r="D3874">
        <v>5.9098500000000003E-3</v>
      </c>
      <c r="E3874" t="s">
        <v>74</v>
      </c>
      <c r="F3874">
        <v>5.9098499999999996</v>
      </c>
      <c r="G3874" t="s">
        <v>75</v>
      </c>
      <c r="H3874">
        <v>5909.8549999999996</v>
      </c>
      <c r="I3874" t="s">
        <v>76</v>
      </c>
      <c r="J3874" t="s">
        <v>82</v>
      </c>
      <c r="K3874">
        <v>169.2088924</v>
      </c>
    </row>
    <row r="3875" spans="1:11" x14ac:dyDescent="0.3">
      <c r="A3875" t="s">
        <v>85</v>
      </c>
      <c r="B3875">
        <v>1001</v>
      </c>
      <c r="C3875" t="s">
        <v>86</v>
      </c>
      <c r="D3875">
        <v>5.9178700000000004E-3</v>
      </c>
      <c r="E3875" t="s">
        <v>74</v>
      </c>
      <c r="F3875">
        <v>5.9178699999999997</v>
      </c>
      <c r="G3875" t="s">
        <v>75</v>
      </c>
      <c r="H3875">
        <v>5917.8729999999996</v>
      </c>
      <c r="I3875" t="s">
        <v>76</v>
      </c>
      <c r="J3875" t="s">
        <v>82</v>
      </c>
      <c r="K3875">
        <v>168.9796436</v>
      </c>
    </row>
    <row r="3877" spans="1:11" x14ac:dyDescent="0.3">
      <c r="A3877" t="s">
        <v>113</v>
      </c>
    </row>
    <row r="3878" spans="1:11" x14ac:dyDescent="0.3">
      <c r="A3878" t="s">
        <v>72</v>
      </c>
      <c r="B3878">
        <v>1</v>
      </c>
      <c r="C3878" t="s">
        <v>81</v>
      </c>
      <c r="D3878">
        <v>6.9807000000000003E-3</v>
      </c>
      <c r="E3878" t="s">
        <v>74</v>
      </c>
      <c r="F3878">
        <v>6.9806999999999997</v>
      </c>
      <c r="G3878" t="s">
        <v>75</v>
      </c>
      <c r="H3878">
        <v>6980.7</v>
      </c>
      <c r="I3878" t="s">
        <v>76</v>
      </c>
      <c r="J3878" t="s">
        <v>82</v>
      </c>
      <c r="K3878">
        <v>143.25211039999999</v>
      </c>
    </row>
    <row r="3879" spans="1:11" x14ac:dyDescent="0.3">
      <c r="A3879" t="s">
        <v>83</v>
      </c>
      <c r="B3879">
        <v>1000</v>
      </c>
      <c r="C3879" t="s">
        <v>81</v>
      </c>
      <c r="D3879">
        <v>5.8034100000000002E-3</v>
      </c>
      <c r="E3879" t="s">
        <v>74</v>
      </c>
      <c r="F3879">
        <v>5.8034100000000004</v>
      </c>
      <c r="G3879" t="s">
        <v>75</v>
      </c>
      <c r="H3879">
        <v>5803.4089999999997</v>
      </c>
      <c r="I3879" t="s">
        <v>76</v>
      </c>
      <c r="J3879" t="s">
        <v>82</v>
      </c>
      <c r="K3879">
        <v>172.31252610000001</v>
      </c>
    </row>
    <row r="3880" spans="1:11" x14ac:dyDescent="0.3">
      <c r="A3880" t="s">
        <v>85</v>
      </c>
      <c r="B3880">
        <v>1001</v>
      </c>
      <c r="C3880" t="s">
        <v>86</v>
      </c>
      <c r="D3880">
        <v>5.8047000000000003E-3</v>
      </c>
      <c r="E3880" t="s">
        <v>74</v>
      </c>
      <c r="F3880">
        <v>5.8047000000000004</v>
      </c>
      <c r="G3880" t="s">
        <v>75</v>
      </c>
      <c r="H3880">
        <v>5804.7049999999999</v>
      </c>
      <c r="I3880" t="s">
        <v>76</v>
      </c>
      <c r="J3880" t="s">
        <v>82</v>
      </c>
      <c r="K3880">
        <v>172.27404390000001</v>
      </c>
    </row>
    <row r="3882" spans="1:11" x14ac:dyDescent="0.3">
      <c r="A3882" t="s">
        <v>66</v>
      </c>
    </row>
    <row r="3884" spans="1:11" x14ac:dyDescent="0.3">
      <c r="A3884" t="s">
        <v>265</v>
      </c>
    </row>
    <row r="3885" spans="1:11" x14ac:dyDescent="0.3">
      <c r="A3885" t="s">
        <v>68</v>
      </c>
    </row>
    <row r="3886" spans="1:11" x14ac:dyDescent="0.3">
      <c r="A3886" t="s">
        <v>69</v>
      </c>
    </row>
    <row r="3887" spans="1:11" x14ac:dyDescent="0.3">
      <c r="A3887" t="s">
        <v>70</v>
      </c>
    </row>
    <row r="3888" spans="1:11" x14ac:dyDescent="0.3">
      <c r="A3888" t="s">
        <v>115</v>
      </c>
    </row>
    <row r="3889" spans="1:10" x14ac:dyDescent="0.3">
      <c r="A3889" t="s">
        <v>266</v>
      </c>
    </row>
    <row r="3890" spans="1:10" x14ac:dyDescent="0.3">
      <c r="A3890" t="s">
        <v>267</v>
      </c>
    </row>
    <row r="3891" spans="1:10" x14ac:dyDescent="0.3">
      <c r="A3891" t="s">
        <v>118</v>
      </c>
    </row>
    <row r="3892" spans="1:10" x14ac:dyDescent="0.3">
      <c r="A3892" t="s">
        <v>119</v>
      </c>
    </row>
    <row r="3893" spans="1:10" x14ac:dyDescent="0.3">
      <c r="A3893" t="s">
        <v>268</v>
      </c>
    </row>
    <row r="3894" spans="1:10" x14ac:dyDescent="0.3">
      <c r="A3894" t="s">
        <v>269</v>
      </c>
    </row>
    <row r="3895" spans="1:10" x14ac:dyDescent="0.3">
      <c r="A3895" t="s">
        <v>122</v>
      </c>
    </row>
    <row r="3896" spans="1:10" x14ac:dyDescent="0.3">
      <c r="A3896" t="s">
        <v>270</v>
      </c>
    </row>
    <row r="3897" spans="1:10" x14ac:dyDescent="0.3">
      <c r="A3897" t="s">
        <v>271</v>
      </c>
    </row>
    <row r="3898" spans="1:10" x14ac:dyDescent="0.3">
      <c r="A3898" t="s">
        <v>125</v>
      </c>
    </row>
    <row r="3899" spans="1:10" x14ac:dyDescent="0.3">
      <c r="A3899" t="s">
        <v>126</v>
      </c>
    </row>
    <row r="3900" spans="1:10" x14ac:dyDescent="0.3">
      <c r="A3900" t="s">
        <v>127</v>
      </c>
    </row>
    <row r="3901" spans="1:10" x14ac:dyDescent="0.3">
      <c r="A3901" t="s">
        <v>128</v>
      </c>
    </row>
    <row r="3902" spans="1:10" x14ac:dyDescent="0.3">
      <c r="A3902" t="s">
        <v>272</v>
      </c>
    </row>
    <row r="3903" spans="1:10" x14ac:dyDescent="0.3">
      <c r="A3903" t="s">
        <v>72</v>
      </c>
      <c r="B3903">
        <v>1</v>
      </c>
      <c r="C3903" t="s">
        <v>73</v>
      </c>
      <c r="D3903">
        <v>3.8999999999999999E-6</v>
      </c>
      <c r="E3903" t="s">
        <v>74</v>
      </c>
      <c r="F3903">
        <v>3.8999999999999998E-3</v>
      </c>
      <c r="G3903" t="s">
        <v>75</v>
      </c>
      <c r="H3903">
        <v>3.9</v>
      </c>
      <c r="I3903" t="s">
        <v>76</v>
      </c>
      <c r="J3903" t="s">
        <v>77</v>
      </c>
    </row>
    <row r="3904" spans="1:10" x14ac:dyDescent="0.3">
      <c r="A3904" t="s">
        <v>72</v>
      </c>
      <c r="B3904">
        <v>1</v>
      </c>
      <c r="C3904" t="s">
        <v>78</v>
      </c>
      <c r="D3904">
        <v>0.15987319999999999</v>
      </c>
      <c r="E3904" t="s">
        <v>74</v>
      </c>
      <c r="F3904">
        <v>159.8732</v>
      </c>
      <c r="G3904" t="s">
        <v>75</v>
      </c>
      <c r="H3904">
        <v>159873.20199999999</v>
      </c>
      <c r="I3904" t="s">
        <v>76</v>
      </c>
      <c r="J3904" t="s">
        <v>77</v>
      </c>
    </row>
    <row r="3905" spans="1:11" x14ac:dyDescent="0.3">
      <c r="A3905" t="s">
        <v>72</v>
      </c>
      <c r="B3905">
        <v>1</v>
      </c>
      <c r="C3905" t="s">
        <v>91</v>
      </c>
      <c r="D3905">
        <v>0.1024934</v>
      </c>
      <c r="E3905" t="s">
        <v>74</v>
      </c>
      <c r="F3905">
        <v>102.49339999999999</v>
      </c>
      <c r="G3905" t="s">
        <v>75</v>
      </c>
      <c r="H3905">
        <v>102493.398</v>
      </c>
      <c r="I3905" t="s">
        <v>76</v>
      </c>
      <c r="J3905" t="s">
        <v>77</v>
      </c>
    </row>
    <row r="3906" spans="1:11" x14ac:dyDescent="0.3">
      <c r="A3906" t="s">
        <v>72</v>
      </c>
      <c r="B3906">
        <v>1</v>
      </c>
      <c r="C3906" t="s">
        <v>92</v>
      </c>
      <c r="D3906">
        <v>5.9869999999999997E-4</v>
      </c>
      <c r="E3906" t="s">
        <v>74</v>
      </c>
      <c r="F3906">
        <v>0.59870000000000001</v>
      </c>
      <c r="G3906" t="s">
        <v>75</v>
      </c>
      <c r="H3906">
        <v>598.70000000000005</v>
      </c>
      <c r="I3906" t="s">
        <v>76</v>
      </c>
      <c r="J3906" t="s">
        <v>77</v>
      </c>
    </row>
    <row r="3907" spans="1:11" x14ac:dyDescent="0.3">
      <c r="A3907" t="s">
        <v>72</v>
      </c>
      <c r="B3907">
        <v>1</v>
      </c>
      <c r="C3907" t="s">
        <v>93</v>
      </c>
      <c r="D3907">
        <v>7.7103599999999994E-2</v>
      </c>
      <c r="E3907" t="s">
        <v>74</v>
      </c>
      <c r="F3907">
        <v>77.1036</v>
      </c>
      <c r="G3907" t="s">
        <v>75</v>
      </c>
      <c r="H3907">
        <v>77103.600000000006</v>
      </c>
      <c r="I3907" t="s">
        <v>76</v>
      </c>
      <c r="J3907" t="s">
        <v>77</v>
      </c>
    </row>
    <row r="3908" spans="1:11" x14ac:dyDescent="0.3">
      <c r="A3908" t="s">
        <v>72</v>
      </c>
      <c r="B3908">
        <v>1</v>
      </c>
      <c r="C3908" t="s">
        <v>79</v>
      </c>
      <c r="D3908">
        <v>0.18019669999999999</v>
      </c>
      <c r="E3908" t="s">
        <v>74</v>
      </c>
      <c r="F3908">
        <v>180.19669999999999</v>
      </c>
      <c r="G3908" t="s">
        <v>75</v>
      </c>
      <c r="H3908">
        <v>180196.70199999999</v>
      </c>
      <c r="I3908" t="s">
        <v>76</v>
      </c>
      <c r="J3908" t="s">
        <v>77</v>
      </c>
    </row>
    <row r="3909" spans="1:11" x14ac:dyDescent="0.3">
      <c r="A3909" t="s">
        <v>72</v>
      </c>
      <c r="B3909">
        <v>1</v>
      </c>
      <c r="C3909" t="s">
        <v>94</v>
      </c>
      <c r="D3909">
        <v>9.4050000000000002E-3</v>
      </c>
      <c r="E3909" t="s">
        <v>74</v>
      </c>
      <c r="F3909">
        <v>9.4049999999999994</v>
      </c>
      <c r="G3909" t="s">
        <v>75</v>
      </c>
      <c r="H3909">
        <v>9405</v>
      </c>
      <c r="I3909" t="s">
        <v>76</v>
      </c>
      <c r="J3909" t="s">
        <v>77</v>
      </c>
    </row>
    <row r="3910" spans="1:11" x14ac:dyDescent="0.3">
      <c r="A3910" t="s">
        <v>72</v>
      </c>
      <c r="B3910">
        <v>1</v>
      </c>
      <c r="C3910" t="s">
        <v>80</v>
      </c>
      <c r="D3910">
        <v>9.4055000000000007E-3</v>
      </c>
      <c r="E3910" t="s">
        <v>74</v>
      </c>
      <c r="F3910">
        <v>9.4055</v>
      </c>
      <c r="G3910" t="s">
        <v>75</v>
      </c>
      <c r="H3910">
        <v>9405.5</v>
      </c>
      <c r="I3910" t="s">
        <v>76</v>
      </c>
      <c r="J3910" t="s">
        <v>77</v>
      </c>
    </row>
    <row r="3911" spans="1:11" x14ac:dyDescent="0.3">
      <c r="A3911" t="s">
        <v>72</v>
      </c>
      <c r="B3911">
        <v>1</v>
      </c>
      <c r="C3911" t="s">
        <v>81</v>
      </c>
      <c r="D3911">
        <v>0.18960469999999999</v>
      </c>
      <c r="E3911" t="s">
        <v>74</v>
      </c>
      <c r="F3911">
        <v>189.60470000000001</v>
      </c>
      <c r="G3911" t="s">
        <v>75</v>
      </c>
      <c r="H3911">
        <v>189604.7</v>
      </c>
      <c r="I3911" t="s">
        <v>76</v>
      </c>
      <c r="J3911" t="s">
        <v>82</v>
      </c>
      <c r="K3911">
        <v>5.2741309000000003</v>
      </c>
    </row>
    <row r="3912" spans="1:11" x14ac:dyDescent="0.3">
      <c r="A3912" t="s">
        <v>83</v>
      </c>
      <c r="B3912">
        <v>1000</v>
      </c>
      <c r="C3912" t="s">
        <v>91</v>
      </c>
      <c r="D3912">
        <v>7.2267000000000002E-4</v>
      </c>
      <c r="E3912" t="s">
        <v>74</v>
      </c>
      <c r="F3912">
        <v>0.72267000000000003</v>
      </c>
      <c r="G3912" t="s">
        <v>75</v>
      </c>
      <c r="H3912">
        <v>722.673</v>
      </c>
      <c r="I3912" t="s">
        <v>76</v>
      </c>
      <c r="J3912" t="s">
        <v>77</v>
      </c>
    </row>
    <row r="3913" spans="1:11" x14ac:dyDescent="0.3">
      <c r="A3913" t="s">
        <v>83</v>
      </c>
      <c r="B3913">
        <v>1000</v>
      </c>
      <c r="C3913" t="s">
        <v>92</v>
      </c>
      <c r="D3913">
        <v>4.8552000000000003E-4</v>
      </c>
      <c r="E3913" t="s">
        <v>74</v>
      </c>
      <c r="F3913">
        <v>0.48552000000000001</v>
      </c>
      <c r="G3913" t="s">
        <v>75</v>
      </c>
      <c r="H3913">
        <v>485.52300000000002</v>
      </c>
      <c r="I3913" t="s">
        <v>76</v>
      </c>
      <c r="J3913" t="s">
        <v>77</v>
      </c>
    </row>
    <row r="3914" spans="1:11" x14ac:dyDescent="0.3">
      <c r="A3914" t="s">
        <v>83</v>
      </c>
      <c r="B3914">
        <v>1000</v>
      </c>
      <c r="C3914" t="s">
        <v>93</v>
      </c>
      <c r="D3914">
        <v>4.0467999999999998E-4</v>
      </c>
      <c r="E3914" t="s">
        <v>74</v>
      </c>
      <c r="F3914">
        <v>0.40467999999999998</v>
      </c>
      <c r="G3914" t="s">
        <v>75</v>
      </c>
      <c r="H3914">
        <v>404.68</v>
      </c>
      <c r="I3914" t="s">
        <v>76</v>
      </c>
      <c r="J3914" t="s">
        <v>77</v>
      </c>
    </row>
    <row r="3915" spans="1:11" x14ac:dyDescent="0.3">
      <c r="A3915" t="s">
        <v>83</v>
      </c>
      <c r="B3915">
        <v>1000</v>
      </c>
      <c r="C3915" t="s">
        <v>79</v>
      </c>
      <c r="D3915">
        <v>1.6135100000000001E-3</v>
      </c>
      <c r="E3915" t="s">
        <v>74</v>
      </c>
      <c r="F3915">
        <v>1.61351</v>
      </c>
      <c r="G3915" t="s">
        <v>75</v>
      </c>
      <c r="H3915">
        <v>1613.5139999999999</v>
      </c>
      <c r="I3915" t="s">
        <v>76</v>
      </c>
      <c r="J3915" t="s">
        <v>77</v>
      </c>
    </row>
    <row r="3916" spans="1:11" x14ac:dyDescent="0.3">
      <c r="A3916" t="s">
        <v>83</v>
      </c>
      <c r="B3916">
        <v>1000</v>
      </c>
      <c r="C3916" t="s">
        <v>94</v>
      </c>
      <c r="D3916">
        <v>2.7095499999999998E-3</v>
      </c>
      <c r="E3916" t="s">
        <v>74</v>
      </c>
      <c r="F3916">
        <v>2.7095500000000001</v>
      </c>
      <c r="G3916" t="s">
        <v>75</v>
      </c>
      <c r="H3916">
        <v>2709.5540000000001</v>
      </c>
      <c r="I3916" t="s">
        <v>76</v>
      </c>
      <c r="J3916" t="s">
        <v>77</v>
      </c>
    </row>
    <row r="3917" spans="1:11" x14ac:dyDescent="0.3">
      <c r="A3917" t="s">
        <v>83</v>
      </c>
      <c r="B3917">
        <v>1000</v>
      </c>
      <c r="C3917" t="s">
        <v>80</v>
      </c>
      <c r="D3917">
        <v>2.8679E-3</v>
      </c>
      <c r="E3917" t="s">
        <v>74</v>
      </c>
      <c r="F3917">
        <v>2.8679000000000001</v>
      </c>
      <c r="G3917" t="s">
        <v>75</v>
      </c>
      <c r="H3917">
        <v>2867.895</v>
      </c>
      <c r="I3917" t="s">
        <v>76</v>
      </c>
      <c r="J3917" t="s">
        <v>77</v>
      </c>
    </row>
    <row r="3918" spans="1:11" x14ac:dyDescent="0.3">
      <c r="A3918" t="s">
        <v>83</v>
      </c>
      <c r="B3918">
        <v>1000</v>
      </c>
      <c r="C3918" t="s">
        <v>81</v>
      </c>
      <c r="D3918">
        <v>4.4829099999999997E-3</v>
      </c>
      <c r="E3918" t="s">
        <v>74</v>
      </c>
      <c r="F3918">
        <v>4.4829100000000004</v>
      </c>
      <c r="G3918" t="s">
        <v>75</v>
      </c>
      <c r="H3918">
        <v>4482.9089999999997</v>
      </c>
      <c r="I3918" t="s">
        <v>76</v>
      </c>
      <c r="J3918" t="s">
        <v>82</v>
      </c>
      <c r="K3918">
        <v>223.0694536</v>
      </c>
    </row>
    <row r="3919" spans="1:11" x14ac:dyDescent="0.3">
      <c r="A3919" t="s">
        <v>84</v>
      </c>
      <c r="B3919">
        <v>1001</v>
      </c>
      <c r="C3919" t="s">
        <v>91</v>
      </c>
      <c r="D3919">
        <v>8.2434000000000001E-4</v>
      </c>
      <c r="E3919" t="s">
        <v>74</v>
      </c>
      <c r="F3919">
        <v>0.82433999999999996</v>
      </c>
      <c r="G3919" t="s">
        <v>75</v>
      </c>
      <c r="H3919">
        <v>824.34199999999998</v>
      </c>
      <c r="I3919" t="s">
        <v>76</v>
      </c>
      <c r="J3919" t="s">
        <v>77</v>
      </c>
    </row>
    <row r="3920" spans="1:11" x14ac:dyDescent="0.3">
      <c r="A3920" t="s">
        <v>84</v>
      </c>
      <c r="B3920">
        <v>1001</v>
      </c>
      <c r="C3920" t="s">
        <v>92</v>
      </c>
      <c r="D3920">
        <v>4.8564000000000002E-4</v>
      </c>
      <c r="E3920" t="s">
        <v>74</v>
      </c>
      <c r="F3920">
        <v>0.48564000000000002</v>
      </c>
      <c r="G3920" t="s">
        <v>75</v>
      </c>
      <c r="H3920">
        <v>485.63600000000002</v>
      </c>
      <c r="I3920" t="s">
        <v>76</v>
      </c>
      <c r="J3920" t="s">
        <v>77</v>
      </c>
    </row>
    <row r="3921" spans="1:11" x14ac:dyDescent="0.3">
      <c r="A3921" t="s">
        <v>84</v>
      </c>
      <c r="B3921">
        <v>1001</v>
      </c>
      <c r="C3921" t="s">
        <v>93</v>
      </c>
      <c r="D3921">
        <v>4.8129999999999999E-4</v>
      </c>
      <c r="E3921" t="s">
        <v>74</v>
      </c>
      <c r="F3921">
        <v>0.48130000000000001</v>
      </c>
      <c r="G3921" t="s">
        <v>75</v>
      </c>
      <c r="H3921">
        <v>481.30200000000002</v>
      </c>
      <c r="I3921" t="s">
        <v>76</v>
      </c>
      <c r="J3921" t="s">
        <v>77</v>
      </c>
    </row>
    <row r="3922" spans="1:11" x14ac:dyDescent="0.3">
      <c r="A3922" t="s">
        <v>84</v>
      </c>
      <c r="B3922">
        <v>1001</v>
      </c>
      <c r="C3922" t="s">
        <v>79</v>
      </c>
      <c r="D3922">
        <v>1.79192E-3</v>
      </c>
      <c r="E3922" t="s">
        <v>74</v>
      </c>
      <c r="F3922">
        <v>1.79192</v>
      </c>
      <c r="G3922" t="s">
        <v>75</v>
      </c>
      <c r="H3922">
        <v>1791.9190000000001</v>
      </c>
      <c r="I3922" t="s">
        <v>76</v>
      </c>
      <c r="J3922" t="s">
        <v>77</v>
      </c>
    </row>
    <row r="3923" spans="1:11" x14ac:dyDescent="0.3">
      <c r="A3923" t="s">
        <v>84</v>
      </c>
      <c r="B3923">
        <v>1001</v>
      </c>
      <c r="C3923" t="s">
        <v>94</v>
      </c>
      <c r="D3923">
        <v>2.71624E-3</v>
      </c>
      <c r="E3923" t="s">
        <v>74</v>
      </c>
      <c r="F3923">
        <v>2.71624</v>
      </c>
      <c r="G3923" t="s">
        <v>75</v>
      </c>
      <c r="H3923">
        <v>2716.2429999999999</v>
      </c>
      <c r="I3923" t="s">
        <v>76</v>
      </c>
      <c r="J3923" t="s">
        <v>77</v>
      </c>
    </row>
    <row r="3924" spans="1:11" x14ac:dyDescent="0.3">
      <c r="A3924" t="s">
        <v>84</v>
      </c>
      <c r="B3924">
        <v>1001</v>
      </c>
      <c r="C3924" t="s">
        <v>80</v>
      </c>
      <c r="D3924">
        <v>2.8744299999999999E-3</v>
      </c>
      <c r="E3924" t="s">
        <v>74</v>
      </c>
      <c r="F3924">
        <v>2.8744299999999998</v>
      </c>
      <c r="G3924" t="s">
        <v>75</v>
      </c>
      <c r="H3924">
        <v>2874.4259999999999</v>
      </c>
      <c r="I3924" t="s">
        <v>76</v>
      </c>
      <c r="J3924" t="s">
        <v>77</v>
      </c>
    </row>
    <row r="3925" spans="1:11" x14ac:dyDescent="0.3">
      <c r="A3925" t="s">
        <v>84</v>
      </c>
      <c r="B3925">
        <v>1001</v>
      </c>
      <c r="C3925" t="s">
        <v>81</v>
      </c>
      <c r="D3925">
        <v>4.6678500000000003E-3</v>
      </c>
      <c r="E3925" t="s">
        <v>74</v>
      </c>
      <c r="F3925">
        <v>4.6678499999999996</v>
      </c>
      <c r="G3925" t="s">
        <v>75</v>
      </c>
      <c r="H3925">
        <v>4667.8450000000003</v>
      </c>
      <c r="I3925" t="s">
        <v>76</v>
      </c>
      <c r="J3925" t="s">
        <v>82</v>
      </c>
      <c r="K3925">
        <v>214.23161329999999</v>
      </c>
    </row>
    <row r="3926" spans="1:11" x14ac:dyDescent="0.3">
      <c r="A3926" t="s">
        <v>85</v>
      </c>
      <c r="B3926">
        <v>1001</v>
      </c>
      <c r="C3926" t="s">
        <v>86</v>
      </c>
      <c r="D3926">
        <v>4.6681700000000001E-3</v>
      </c>
      <c r="E3926" t="s">
        <v>74</v>
      </c>
      <c r="F3926">
        <v>4.6681699999999999</v>
      </c>
      <c r="G3926" t="s">
        <v>75</v>
      </c>
      <c r="H3926">
        <v>4668.1710000000003</v>
      </c>
      <c r="I3926" t="s">
        <v>76</v>
      </c>
      <c r="J3926" t="s">
        <v>82</v>
      </c>
      <c r="K3926">
        <v>214.21663839999999</v>
      </c>
    </row>
    <row r="3927" spans="1:11" x14ac:dyDescent="0.3">
      <c r="A3927" t="s">
        <v>115</v>
      </c>
    </row>
    <row r="3928" spans="1:11" x14ac:dyDescent="0.3">
      <c r="A3928" t="s">
        <v>127</v>
      </c>
    </row>
    <row r="3929" spans="1:11" x14ac:dyDescent="0.3">
      <c r="A3929" t="s">
        <v>87</v>
      </c>
    </row>
    <row r="3930" spans="1:11" x14ac:dyDescent="0.3">
      <c r="A3930" t="s">
        <v>273</v>
      </c>
    </row>
    <row r="3931" spans="1:11" x14ac:dyDescent="0.3">
      <c r="A3931" t="s">
        <v>72</v>
      </c>
      <c r="B3931">
        <v>1</v>
      </c>
      <c r="C3931" t="s">
        <v>81</v>
      </c>
      <c r="D3931">
        <v>0.18960469999999999</v>
      </c>
      <c r="E3931" t="s">
        <v>74</v>
      </c>
      <c r="F3931">
        <v>189.60470000000001</v>
      </c>
      <c r="G3931" t="s">
        <v>75</v>
      </c>
      <c r="H3931">
        <v>189604.7</v>
      </c>
      <c r="I3931" t="s">
        <v>76</v>
      </c>
      <c r="J3931" t="s">
        <v>82</v>
      </c>
      <c r="K3931">
        <v>5.2741309000000003</v>
      </c>
    </row>
    <row r="3932" spans="1:11" x14ac:dyDescent="0.3">
      <c r="A3932" t="s">
        <v>83</v>
      </c>
      <c r="B3932">
        <v>1000</v>
      </c>
      <c r="C3932" t="s">
        <v>81</v>
      </c>
      <c r="D3932">
        <v>4.4829099999999997E-3</v>
      </c>
      <c r="E3932" t="s">
        <v>74</v>
      </c>
      <c r="F3932">
        <v>4.4829100000000004</v>
      </c>
      <c r="G3932" t="s">
        <v>75</v>
      </c>
      <c r="H3932">
        <v>4482.9089999999997</v>
      </c>
      <c r="I3932" t="s">
        <v>76</v>
      </c>
      <c r="J3932" t="s">
        <v>82</v>
      </c>
      <c r="K3932">
        <v>223.0694536</v>
      </c>
    </row>
    <row r="3933" spans="1:11" x14ac:dyDescent="0.3">
      <c r="A3933" t="s">
        <v>85</v>
      </c>
      <c r="B3933">
        <v>1001</v>
      </c>
      <c r="C3933" t="s">
        <v>86</v>
      </c>
      <c r="D3933">
        <v>4.6681700000000001E-3</v>
      </c>
      <c r="E3933" t="s">
        <v>74</v>
      </c>
      <c r="F3933">
        <v>4.6681699999999999</v>
      </c>
      <c r="G3933" t="s">
        <v>75</v>
      </c>
      <c r="H3933">
        <v>4668.1710000000003</v>
      </c>
      <c r="I3933" t="s">
        <v>76</v>
      </c>
      <c r="J3933" t="s">
        <v>82</v>
      </c>
      <c r="K3933">
        <v>214.21663839999999</v>
      </c>
    </row>
    <row r="3935" spans="1:11" x14ac:dyDescent="0.3">
      <c r="A3935" t="s">
        <v>66</v>
      </c>
    </row>
    <row r="3937" spans="1:1" x14ac:dyDescent="0.3">
      <c r="A3937" t="s">
        <v>274</v>
      </c>
    </row>
    <row r="3938" spans="1:1" x14ac:dyDescent="0.3">
      <c r="A3938" t="s">
        <v>68</v>
      </c>
    </row>
    <row r="3939" spans="1:1" x14ac:dyDescent="0.3">
      <c r="A3939" t="s">
        <v>69</v>
      </c>
    </row>
    <row r="3940" spans="1:1" x14ac:dyDescent="0.3">
      <c r="A3940" t="s">
        <v>70</v>
      </c>
    </row>
    <row r="3941" spans="1:1" x14ac:dyDescent="0.3">
      <c r="A3941" t="s">
        <v>115</v>
      </c>
    </row>
    <row r="3942" spans="1:1" x14ac:dyDescent="0.3">
      <c r="A3942" t="s">
        <v>266</v>
      </c>
    </row>
    <row r="3943" spans="1:1" x14ac:dyDescent="0.3">
      <c r="A3943" t="s">
        <v>267</v>
      </c>
    </row>
    <row r="3944" spans="1:1" x14ac:dyDescent="0.3">
      <c r="A3944" t="s">
        <v>118</v>
      </c>
    </row>
    <row r="3945" spans="1:1" x14ac:dyDescent="0.3">
      <c r="A3945" t="s">
        <v>119</v>
      </c>
    </row>
    <row r="3946" spans="1:1" x14ac:dyDescent="0.3">
      <c r="A3946" t="s">
        <v>268</v>
      </c>
    </row>
    <row r="3947" spans="1:1" x14ac:dyDescent="0.3">
      <c r="A3947" t="s">
        <v>269</v>
      </c>
    </row>
    <row r="3948" spans="1:1" x14ac:dyDescent="0.3">
      <c r="A3948" t="s">
        <v>122</v>
      </c>
    </row>
    <row r="3949" spans="1:1" x14ac:dyDescent="0.3">
      <c r="A3949" t="s">
        <v>270</v>
      </c>
    </row>
    <row r="3950" spans="1:1" x14ac:dyDescent="0.3">
      <c r="A3950" t="s">
        <v>271</v>
      </c>
    </row>
    <row r="3951" spans="1:1" x14ac:dyDescent="0.3">
      <c r="A3951" t="s">
        <v>125</v>
      </c>
    </row>
    <row r="3952" spans="1:1" x14ac:dyDescent="0.3">
      <c r="A3952" t="s">
        <v>126</v>
      </c>
    </row>
    <row r="3953" spans="1:11" x14ac:dyDescent="0.3">
      <c r="A3953" t="s">
        <v>127</v>
      </c>
    </row>
    <row r="3954" spans="1:11" x14ac:dyDescent="0.3">
      <c r="A3954" t="s">
        <v>132</v>
      </c>
    </row>
    <row r="3955" spans="1:11" x14ac:dyDescent="0.3">
      <c r="A3955" t="s">
        <v>275</v>
      </c>
    </row>
    <row r="3956" spans="1:11" x14ac:dyDescent="0.3">
      <c r="A3956" t="s">
        <v>72</v>
      </c>
      <c r="B3956">
        <v>1</v>
      </c>
      <c r="C3956" t="s">
        <v>73</v>
      </c>
      <c r="D3956">
        <v>3.8999999999999999E-6</v>
      </c>
      <c r="E3956" t="s">
        <v>74</v>
      </c>
      <c r="F3956">
        <v>3.8999999999999998E-3</v>
      </c>
      <c r="G3956" t="s">
        <v>75</v>
      </c>
      <c r="H3956">
        <v>3.9</v>
      </c>
      <c r="I3956" t="s">
        <v>76</v>
      </c>
      <c r="J3956" t="s">
        <v>77</v>
      </c>
    </row>
    <row r="3957" spans="1:11" x14ac:dyDescent="0.3">
      <c r="A3957" t="s">
        <v>72</v>
      </c>
      <c r="B3957">
        <v>1</v>
      </c>
      <c r="C3957" t="s">
        <v>78</v>
      </c>
      <c r="D3957">
        <v>0.1174714</v>
      </c>
      <c r="E3957" t="s">
        <v>74</v>
      </c>
      <c r="F3957">
        <v>117.4714</v>
      </c>
      <c r="G3957" t="s">
        <v>75</v>
      </c>
      <c r="H3957">
        <v>117471.397</v>
      </c>
      <c r="I3957" t="s">
        <v>76</v>
      </c>
      <c r="J3957" t="s">
        <v>77</v>
      </c>
    </row>
    <row r="3958" spans="1:11" x14ac:dyDescent="0.3">
      <c r="A3958" t="s">
        <v>72</v>
      </c>
      <c r="B3958">
        <v>1</v>
      </c>
      <c r="C3958" t="s">
        <v>79</v>
      </c>
      <c r="D3958">
        <v>0.11326600000000001</v>
      </c>
      <c r="E3958" t="s">
        <v>74</v>
      </c>
      <c r="F3958">
        <v>113.26600000000001</v>
      </c>
      <c r="G3958" t="s">
        <v>75</v>
      </c>
      <c r="H3958">
        <v>113265.999</v>
      </c>
      <c r="I3958" t="s">
        <v>76</v>
      </c>
      <c r="J3958" t="s">
        <v>77</v>
      </c>
    </row>
    <row r="3959" spans="1:11" x14ac:dyDescent="0.3">
      <c r="A3959" t="s">
        <v>72</v>
      </c>
      <c r="B3959">
        <v>1</v>
      </c>
      <c r="C3959" t="s">
        <v>94</v>
      </c>
      <c r="D3959">
        <v>9.4380000000000002E-3</v>
      </c>
      <c r="E3959" t="s">
        <v>74</v>
      </c>
      <c r="F3959">
        <v>9.4380000000000006</v>
      </c>
      <c r="G3959" t="s">
        <v>75</v>
      </c>
      <c r="H3959">
        <v>9438</v>
      </c>
      <c r="I3959" t="s">
        <v>76</v>
      </c>
      <c r="J3959" t="s">
        <v>77</v>
      </c>
    </row>
    <row r="3960" spans="1:11" x14ac:dyDescent="0.3">
      <c r="A3960" t="s">
        <v>72</v>
      </c>
      <c r="B3960">
        <v>1</v>
      </c>
      <c r="C3960" t="s">
        <v>80</v>
      </c>
      <c r="D3960">
        <v>9.4386000000000001E-3</v>
      </c>
      <c r="E3960" t="s">
        <v>74</v>
      </c>
      <c r="F3960">
        <v>9.4385999999999992</v>
      </c>
      <c r="G3960" t="s">
        <v>75</v>
      </c>
      <c r="H3960">
        <v>9438.6</v>
      </c>
      <c r="I3960" t="s">
        <v>76</v>
      </c>
      <c r="J3960" t="s">
        <v>77</v>
      </c>
    </row>
    <row r="3961" spans="1:11" x14ac:dyDescent="0.3">
      <c r="A3961" t="s">
        <v>72</v>
      </c>
      <c r="B3961">
        <v>1</v>
      </c>
      <c r="C3961" t="s">
        <v>81</v>
      </c>
      <c r="D3961">
        <v>0.1227071</v>
      </c>
      <c r="E3961" t="s">
        <v>74</v>
      </c>
      <c r="F3961">
        <v>122.7071</v>
      </c>
      <c r="G3961" t="s">
        <v>75</v>
      </c>
      <c r="H3961">
        <v>122707.099</v>
      </c>
      <c r="I3961" t="s">
        <v>76</v>
      </c>
      <c r="J3961" t="s">
        <v>82</v>
      </c>
      <c r="K3961">
        <v>8.1494877999999993</v>
      </c>
    </row>
    <row r="3962" spans="1:11" x14ac:dyDescent="0.3">
      <c r="A3962" t="s">
        <v>83</v>
      </c>
      <c r="B3962">
        <v>1000</v>
      </c>
      <c r="C3962" t="s">
        <v>79</v>
      </c>
      <c r="D3962">
        <v>6.9214999999999999E-4</v>
      </c>
      <c r="E3962" t="s">
        <v>74</v>
      </c>
      <c r="F3962">
        <v>0.69215000000000004</v>
      </c>
      <c r="G3962" t="s">
        <v>75</v>
      </c>
      <c r="H3962">
        <v>692.14499999999998</v>
      </c>
      <c r="I3962" t="s">
        <v>76</v>
      </c>
      <c r="J3962" t="s">
        <v>77</v>
      </c>
    </row>
    <row r="3963" spans="1:11" x14ac:dyDescent="0.3">
      <c r="A3963" t="s">
        <v>83</v>
      </c>
      <c r="B3963">
        <v>1000</v>
      </c>
      <c r="C3963" t="s">
        <v>94</v>
      </c>
      <c r="D3963">
        <v>2.5273000000000001E-3</v>
      </c>
      <c r="E3963" t="s">
        <v>74</v>
      </c>
      <c r="F3963">
        <v>2.5272999999999999</v>
      </c>
      <c r="G3963" t="s">
        <v>75</v>
      </c>
      <c r="H3963">
        <v>2527.3029999999999</v>
      </c>
      <c r="I3963" t="s">
        <v>76</v>
      </c>
      <c r="J3963" t="s">
        <v>77</v>
      </c>
    </row>
    <row r="3964" spans="1:11" x14ac:dyDescent="0.3">
      <c r="A3964" t="s">
        <v>83</v>
      </c>
      <c r="B3964">
        <v>1000</v>
      </c>
      <c r="C3964" t="s">
        <v>80</v>
      </c>
      <c r="D3964">
        <v>2.6579400000000001E-3</v>
      </c>
      <c r="E3964" t="s">
        <v>74</v>
      </c>
      <c r="F3964">
        <v>2.65794</v>
      </c>
      <c r="G3964" t="s">
        <v>75</v>
      </c>
      <c r="H3964">
        <v>2657.94</v>
      </c>
      <c r="I3964" t="s">
        <v>76</v>
      </c>
      <c r="J3964" t="s">
        <v>77</v>
      </c>
    </row>
    <row r="3965" spans="1:11" x14ac:dyDescent="0.3">
      <c r="A3965" t="s">
        <v>83</v>
      </c>
      <c r="B3965">
        <v>1000</v>
      </c>
      <c r="C3965" t="s">
        <v>81</v>
      </c>
      <c r="D3965">
        <v>3.3508100000000001E-3</v>
      </c>
      <c r="E3965" t="s">
        <v>74</v>
      </c>
      <c r="F3965">
        <v>3.3508100000000001</v>
      </c>
      <c r="G3965" t="s">
        <v>75</v>
      </c>
      <c r="H3965">
        <v>3350.806</v>
      </c>
      <c r="I3965" t="s">
        <v>76</v>
      </c>
      <c r="J3965" t="s">
        <v>82</v>
      </c>
      <c r="K3965">
        <v>298.43566010000001</v>
      </c>
    </row>
    <row r="3966" spans="1:11" x14ac:dyDescent="0.3">
      <c r="A3966" t="s">
        <v>84</v>
      </c>
      <c r="B3966">
        <v>1001</v>
      </c>
      <c r="C3966" t="s">
        <v>79</v>
      </c>
      <c r="D3966">
        <v>8.0460999999999998E-4</v>
      </c>
      <c r="E3966" t="s">
        <v>74</v>
      </c>
      <c r="F3966">
        <v>0.80461000000000005</v>
      </c>
      <c r="G3966" t="s">
        <v>75</v>
      </c>
      <c r="H3966">
        <v>804.60699999999997</v>
      </c>
      <c r="I3966" t="s">
        <v>76</v>
      </c>
      <c r="J3966" t="s">
        <v>77</v>
      </c>
    </row>
    <row r="3967" spans="1:11" x14ac:dyDescent="0.3">
      <c r="A3967" t="s">
        <v>84</v>
      </c>
      <c r="B3967">
        <v>1001</v>
      </c>
      <c r="C3967" t="s">
        <v>94</v>
      </c>
      <c r="D3967">
        <v>2.5342099999999998E-3</v>
      </c>
      <c r="E3967" t="s">
        <v>74</v>
      </c>
      <c r="F3967">
        <v>2.5342099999999999</v>
      </c>
      <c r="G3967" t="s">
        <v>75</v>
      </c>
      <c r="H3967">
        <v>2534.2069999999999</v>
      </c>
      <c r="I3967" t="s">
        <v>76</v>
      </c>
      <c r="J3967" t="s">
        <v>77</v>
      </c>
    </row>
    <row r="3968" spans="1:11" x14ac:dyDescent="0.3">
      <c r="A3968" t="s">
        <v>84</v>
      </c>
      <c r="B3968">
        <v>1001</v>
      </c>
      <c r="C3968" t="s">
        <v>80</v>
      </c>
      <c r="D3968">
        <v>2.6647099999999998E-3</v>
      </c>
      <c r="E3968" t="s">
        <v>74</v>
      </c>
      <c r="F3968">
        <v>2.6647099999999999</v>
      </c>
      <c r="G3968" t="s">
        <v>75</v>
      </c>
      <c r="H3968">
        <v>2664.7139999999999</v>
      </c>
      <c r="I3968" t="s">
        <v>76</v>
      </c>
      <c r="J3968" t="s">
        <v>77</v>
      </c>
    </row>
    <row r="3969" spans="1:11" x14ac:dyDescent="0.3">
      <c r="A3969" t="s">
        <v>84</v>
      </c>
      <c r="B3969">
        <v>1001</v>
      </c>
      <c r="C3969" t="s">
        <v>81</v>
      </c>
      <c r="D3969">
        <v>3.4700400000000002E-3</v>
      </c>
      <c r="E3969" t="s">
        <v>74</v>
      </c>
      <c r="F3969">
        <v>3.47004</v>
      </c>
      <c r="G3969" t="s">
        <v>75</v>
      </c>
      <c r="H3969">
        <v>3470.0430000000001</v>
      </c>
      <c r="I3969" t="s">
        <v>76</v>
      </c>
      <c r="J3969" t="s">
        <v>82</v>
      </c>
      <c r="K3969">
        <v>288.18089959999998</v>
      </c>
    </row>
    <row r="3970" spans="1:11" x14ac:dyDescent="0.3">
      <c r="A3970" t="s">
        <v>85</v>
      </c>
      <c r="B3970">
        <v>1001</v>
      </c>
      <c r="C3970" t="s">
        <v>86</v>
      </c>
      <c r="D3970">
        <v>3.4702499999999998E-3</v>
      </c>
      <c r="E3970" t="s">
        <v>74</v>
      </c>
      <c r="F3970">
        <v>3.4702500000000001</v>
      </c>
      <c r="G3970" t="s">
        <v>75</v>
      </c>
      <c r="H3970">
        <v>3470.2469999999998</v>
      </c>
      <c r="I3970" t="s">
        <v>76</v>
      </c>
      <c r="J3970" t="s">
        <v>82</v>
      </c>
      <c r="K3970">
        <v>288.16392889999997</v>
      </c>
    </row>
    <row r="3971" spans="1:11" x14ac:dyDescent="0.3">
      <c r="A3971" t="s">
        <v>134</v>
      </c>
    </row>
    <row r="3972" spans="1:11" x14ac:dyDescent="0.3">
      <c r="A3972" t="s">
        <v>276</v>
      </c>
    </row>
    <row r="3973" spans="1:11" x14ac:dyDescent="0.3">
      <c r="A3973" t="s">
        <v>72</v>
      </c>
      <c r="B3973">
        <v>1</v>
      </c>
      <c r="C3973" t="s">
        <v>73</v>
      </c>
      <c r="D3973">
        <v>3.8999999999999999E-6</v>
      </c>
      <c r="E3973" t="s">
        <v>74</v>
      </c>
      <c r="F3973">
        <v>3.8999999999999998E-3</v>
      </c>
      <c r="G3973" t="s">
        <v>75</v>
      </c>
      <c r="H3973">
        <v>3.9</v>
      </c>
      <c r="I3973" t="s">
        <v>76</v>
      </c>
      <c r="J3973" t="s">
        <v>77</v>
      </c>
    </row>
    <row r="3974" spans="1:11" x14ac:dyDescent="0.3">
      <c r="A3974" t="s">
        <v>72</v>
      </c>
      <c r="B3974">
        <v>1</v>
      </c>
      <c r="C3974" t="s">
        <v>78</v>
      </c>
      <c r="D3974">
        <v>1.094E-4</v>
      </c>
      <c r="E3974" t="s">
        <v>74</v>
      </c>
      <c r="F3974">
        <v>0.1094</v>
      </c>
      <c r="G3974" t="s">
        <v>75</v>
      </c>
      <c r="H3974">
        <v>109.4</v>
      </c>
      <c r="I3974" t="s">
        <v>76</v>
      </c>
      <c r="J3974" t="s">
        <v>77</v>
      </c>
    </row>
    <row r="3975" spans="1:11" x14ac:dyDescent="0.3">
      <c r="A3975" t="s">
        <v>72</v>
      </c>
      <c r="B3975">
        <v>1</v>
      </c>
      <c r="C3975" t="s">
        <v>79</v>
      </c>
      <c r="D3975">
        <v>2.9464000000000001E-3</v>
      </c>
      <c r="E3975" t="s">
        <v>74</v>
      </c>
      <c r="F3975">
        <v>2.9464000000000001</v>
      </c>
      <c r="G3975" t="s">
        <v>75</v>
      </c>
      <c r="H3975">
        <v>2946.4</v>
      </c>
      <c r="I3975" t="s">
        <v>76</v>
      </c>
      <c r="J3975" t="s">
        <v>77</v>
      </c>
    </row>
    <row r="3976" spans="1:11" x14ac:dyDescent="0.3">
      <c r="A3976" t="s">
        <v>72</v>
      </c>
      <c r="B3976">
        <v>1</v>
      </c>
      <c r="C3976" t="s">
        <v>94</v>
      </c>
      <c r="D3976">
        <v>2.6700000000000001E-3</v>
      </c>
      <c r="E3976" t="s">
        <v>74</v>
      </c>
      <c r="F3976">
        <v>2.67</v>
      </c>
      <c r="G3976" t="s">
        <v>75</v>
      </c>
      <c r="H3976">
        <v>2670</v>
      </c>
      <c r="I3976" t="s">
        <v>76</v>
      </c>
      <c r="J3976" t="s">
        <v>77</v>
      </c>
    </row>
    <row r="3977" spans="1:11" x14ac:dyDescent="0.3">
      <c r="A3977" t="s">
        <v>72</v>
      </c>
      <c r="B3977">
        <v>1</v>
      </c>
      <c r="C3977" t="s">
        <v>80</v>
      </c>
      <c r="D3977">
        <v>2.8728E-3</v>
      </c>
      <c r="E3977" t="s">
        <v>74</v>
      </c>
      <c r="F3977">
        <v>2.8727999999999998</v>
      </c>
      <c r="G3977" t="s">
        <v>75</v>
      </c>
      <c r="H3977">
        <v>2872.8</v>
      </c>
      <c r="I3977" t="s">
        <v>76</v>
      </c>
      <c r="J3977" t="s">
        <v>77</v>
      </c>
    </row>
    <row r="3978" spans="1:11" x14ac:dyDescent="0.3">
      <c r="A3978" t="s">
        <v>72</v>
      </c>
      <c r="B3978">
        <v>1</v>
      </c>
      <c r="C3978" t="s">
        <v>81</v>
      </c>
      <c r="D3978">
        <v>5.8206000000000004E-3</v>
      </c>
      <c r="E3978" t="s">
        <v>74</v>
      </c>
      <c r="F3978">
        <v>5.8205999999999998</v>
      </c>
      <c r="G3978" t="s">
        <v>75</v>
      </c>
      <c r="H3978">
        <v>5820.6</v>
      </c>
      <c r="I3978" t="s">
        <v>76</v>
      </c>
      <c r="J3978" t="s">
        <v>82</v>
      </c>
      <c r="K3978">
        <v>171.80359859999999</v>
      </c>
    </row>
    <row r="3979" spans="1:11" x14ac:dyDescent="0.3">
      <c r="A3979" t="s">
        <v>83</v>
      </c>
      <c r="B3979">
        <v>1000</v>
      </c>
      <c r="C3979" t="s">
        <v>79</v>
      </c>
      <c r="D3979">
        <v>1.1647700000000001E-3</v>
      </c>
      <c r="E3979" t="s">
        <v>74</v>
      </c>
      <c r="F3979">
        <v>1.1647700000000001</v>
      </c>
      <c r="G3979" t="s">
        <v>75</v>
      </c>
      <c r="H3979">
        <v>1164.768</v>
      </c>
      <c r="I3979" t="s">
        <v>76</v>
      </c>
      <c r="J3979" t="s">
        <v>77</v>
      </c>
    </row>
    <row r="3980" spans="1:11" x14ac:dyDescent="0.3">
      <c r="A3980" t="s">
        <v>83</v>
      </c>
      <c r="B3980">
        <v>1000</v>
      </c>
      <c r="C3980" t="s">
        <v>94</v>
      </c>
      <c r="D3980">
        <v>2.6272999999999999E-3</v>
      </c>
      <c r="E3980" t="s">
        <v>74</v>
      </c>
      <c r="F3980">
        <v>2.6273</v>
      </c>
      <c r="G3980" t="s">
        <v>75</v>
      </c>
      <c r="H3980">
        <v>2627.3029999999999</v>
      </c>
      <c r="I3980" t="s">
        <v>76</v>
      </c>
      <c r="J3980" t="s">
        <v>77</v>
      </c>
    </row>
    <row r="3981" spans="1:11" x14ac:dyDescent="0.3">
      <c r="A3981" t="s">
        <v>83</v>
      </c>
      <c r="B3981">
        <v>1000</v>
      </c>
      <c r="C3981" t="s">
        <v>80</v>
      </c>
      <c r="D3981">
        <v>2.7765699999999999E-3</v>
      </c>
      <c r="E3981" t="s">
        <v>74</v>
      </c>
      <c r="F3981">
        <v>2.77657</v>
      </c>
      <c r="G3981" t="s">
        <v>75</v>
      </c>
      <c r="H3981">
        <v>2776.57</v>
      </c>
      <c r="I3981" t="s">
        <v>76</v>
      </c>
      <c r="J3981" t="s">
        <v>77</v>
      </c>
    </row>
    <row r="3982" spans="1:11" x14ac:dyDescent="0.3">
      <c r="A3982" t="s">
        <v>83</v>
      </c>
      <c r="B3982">
        <v>1000</v>
      </c>
      <c r="C3982" t="s">
        <v>81</v>
      </c>
      <c r="D3982">
        <v>3.9426599999999997E-3</v>
      </c>
      <c r="E3982" t="s">
        <v>74</v>
      </c>
      <c r="F3982">
        <v>3.9426600000000001</v>
      </c>
      <c r="G3982" t="s">
        <v>75</v>
      </c>
      <c r="H3982">
        <v>3942.6579999999999</v>
      </c>
      <c r="I3982" t="s">
        <v>76</v>
      </c>
      <c r="J3982" t="s">
        <v>82</v>
      </c>
      <c r="K3982">
        <v>253.6359716</v>
      </c>
    </row>
    <row r="3983" spans="1:11" x14ac:dyDescent="0.3">
      <c r="A3983" t="s">
        <v>84</v>
      </c>
      <c r="B3983">
        <v>1001</v>
      </c>
      <c r="C3983" t="s">
        <v>79</v>
      </c>
      <c r="D3983">
        <v>1.1665499999999999E-3</v>
      </c>
      <c r="E3983" t="s">
        <v>74</v>
      </c>
      <c r="F3983">
        <v>1.16655</v>
      </c>
      <c r="G3983" t="s">
        <v>75</v>
      </c>
      <c r="H3983">
        <v>1166.548</v>
      </c>
      <c r="I3983" t="s">
        <v>76</v>
      </c>
      <c r="J3983" t="s">
        <v>77</v>
      </c>
    </row>
    <row r="3984" spans="1:11" x14ac:dyDescent="0.3">
      <c r="A3984" t="s">
        <v>84</v>
      </c>
      <c r="B3984">
        <v>1001</v>
      </c>
      <c r="C3984" t="s">
        <v>94</v>
      </c>
      <c r="D3984">
        <v>2.6273500000000001E-3</v>
      </c>
      <c r="E3984" t="s">
        <v>74</v>
      </c>
      <c r="F3984">
        <v>2.6273499999999999</v>
      </c>
      <c r="G3984" t="s">
        <v>75</v>
      </c>
      <c r="H3984">
        <v>2627.3449999999998</v>
      </c>
      <c r="I3984" t="s">
        <v>76</v>
      </c>
      <c r="J3984" t="s">
        <v>77</v>
      </c>
    </row>
    <row r="3985" spans="1:11" x14ac:dyDescent="0.3">
      <c r="A3985" t="s">
        <v>84</v>
      </c>
      <c r="B3985">
        <v>1001</v>
      </c>
      <c r="C3985" t="s">
        <v>80</v>
      </c>
      <c r="D3985">
        <v>2.7766700000000002E-3</v>
      </c>
      <c r="E3985" t="s">
        <v>74</v>
      </c>
      <c r="F3985">
        <v>2.7766700000000002</v>
      </c>
      <c r="G3985" t="s">
        <v>75</v>
      </c>
      <c r="H3985">
        <v>2776.6660000000002</v>
      </c>
      <c r="I3985" t="s">
        <v>76</v>
      </c>
      <c r="J3985" t="s">
        <v>77</v>
      </c>
    </row>
    <row r="3986" spans="1:11" x14ac:dyDescent="0.3">
      <c r="A3986" t="s">
        <v>84</v>
      </c>
      <c r="B3986">
        <v>1001</v>
      </c>
      <c r="C3986" t="s">
        <v>81</v>
      </c>
      <c r="D3986">
        <v>3.9445299999999999E-3</v>
      </c>
      <c r="E3986" t="s">
        <v>74</v>
      </c>
      <c r="F3986">
        <v>3.9445299999999999</v>
      </c>
      <c r="G3986" t="s">
        <v>75</v>
      </c>
      <c r="H3986">
        <v>3944.5349999999999</v>
      </c>
      <c r="I3986" t="s">
        <v>76</v>
      </c>
      <c r="J3986" t="s">
        <v>82</v>
      </c>
      <c r="K3986">
        <v>253.5153297</v>
      </c>
    </row>
    <row r="3987" spans="1:11" x14ac:dyDescent="0.3">
      <c r="A3987" t="s">
        <v>85</v>
      </c>
      <c r="B3987">
        <v>1001</v>
      </c>
      <c r="C3987" t="s">
        <v>86</v>
      </c>
      <c r="D3987">
        <v>3.9447900000000001E-3</v>
      </c>
      <c r="E3987" t="s">
        <v>74</v>
      </c>
      <c r="F3987">
        <v>3.9447899999999998</v>
      </c>
      <c r="G3987" t="s">
        <v>75</v>
      </c>
      <c r="H3987">
        <v>3944.79</v>
      </c>
      <c r="I3987" t="s">
        <v>76</v>
      </c>
      <c r="J3987" t="s">
        <v>82</v>
      </c>
      <c r="K3987">
        <v>253.49892070000001</v>
      </c>
    </row>
    <row r="3988" spans="1:11" x14ac:dyDescent="0.3">
      <c r="A3988" t="s">
        <v>115</v>
      </c>
    </row>
    <row r="3989" spans="1:11" x14ac:dyDescent="0.3">
      <c r="A3989" t="s">
        <v>127</v>
      </c>
    </row>
    <row r="3990" spans="1:11" x14ac:dyDescent="0.3">
      <c r="A3990" t="s">
        <v>87</v>
      </c>
    </row>
    <row r="3991" spans="1:11" x14ac:dyDescent="0.3">
      <c r="A3991" t="s">
        <v>277</v>
      </c>
    </row>
    <row r="3992" spans="1:11" x14ac:dyDescent="0.3">
      <c r="A3992" t="s">
        <v>72</v>
      </c>
      <c r="B3992">
        <v>1</v>
      </c>
      <c r="C3992" t="s">
        <v>81</v>
      </c>
      <c r="D3992">
        <v>0.1227071</v>
      </c>
      <c r="E3992" t="s">
        <v>74</v>
      </c>
      <c r="F3992">
        <v>122.7071</v>
      </c>
      <c r="G3992" t="s">
        <v>75</v>
      </c>
      <c r="H3992">
        <v>122707.099</v>
      </c>
      <c r="I3992" t="s">
        <v>76</v>
      </c>
      <c r="J3992" t="s">
        <v>82</v>
      </c>
      <c r="K3992">
        <v>8.1494877999999993</v>
      </c>
    </row>
    <row r="3993" spans="1:11" x14ac:dyDescent="0.3">
      <c r="A3993" t="s">
        <v>83</v>
      </c>
      <c r="B3993">
        <v>1000</v>
      </c>
      <c r="C3993" t="s">
        <v>81</v>
      </c>
      <c r="D3993">
        <v>3.3508100000000001E-3</v>
      </c>
      <c r="E3993" t="s">
        <v>74</v>
      </c>
      <c r="F3993">
        <v>3.3508100000000001</v>
      </c>
      <c r="G3993" t="s">
        <v>75</v>
      </c>
      <c r="H3993">
        <v>3350.806</v>
      </c>
      <c r="I3993" t="s">
        <v>76</v>
      </c>
      <c r="J3993" t="s">
        <v>82</v>
      </c>
      <c r="K3993">
        <v>298.43566010000001</v>
      </c>
    </row>
    <row r="3994" spans="1:11" x14ac:dyDescent="0.3">
      <c r="A3994" t="s">
        <v>85</v>
      </c>
      <c r="B3994">
        <v>1001</v>
      </c>
      <c r="C3994" t="s">
        <v>86</v>
      </c>
      <c r="D3994">
        <v>3.4702499999999998E-3</v>
      </c>
      <c r="E3994" t="s">
        <v>74</v>
      </c>
      <c r="F3994">
        <v>3.4702500000000001</v>
      </c>
      <c r="G3994" t="s">
        <v>75</v>
      </c>
      <c r="H3994">
        <v>3470.2469999999998</v>
      </c>
      <c r="I3994" t="s">
        <v>76</v>
      </c>
      <c r="J3994" t="s">
        <v>82</v>
      </c>
      <c r="K3994">
        <v>288.16392889999997</v>
      </c>
    </row>
    <row r="3996" spans="1:11" x14ac:dyDescent="0.3">
      <c r="A3996" t="s">
        <v>278</v>
      </c>
    </row>
    <row r="3997" spans="1:11" x14ac:dyDescent="0.3">
      <c r="A3997" t="s">
        <v>72</v>
      </c>
      <c r="B3997">
        <v>1</v>
      </c>
      <c r="C3997" t="s">
        <v>81</v>
      </c>
      <c r="D3997">
        <v>5.8206000000000004E-3</v>
      </c>
      <c r="E3997" t="s">
        <v>74</v>
      </c>
      <c r="F3997">
        <v>5.8205999999999998</v>
      </c>
      <c r="G3997" t="s">
        <v>75</v>
      </c>
      <c r="H3997">
        <v>5820.6</v>
      </c>
      <c r="I3997" t="s">
        <v>76</v>
      </c>
      <c r="J3997" t="s">
        <v>82</v>
      </c>
      <c r="K3997">
        <v>171.80359859999999</v>
      </c>
    </row>
    <row r="3998" spans="1:11" x14ac:dyDescent="0.3">
      <c r="A3998" t="s">
        <v>83</v>
      </c>
      <c r="B3998">
        <v>1000</v>
      </c>
      <c r="C3998" t="s">
        <v>81</v>
      </c>
      <c r="D3998">
        <v>3.9426599999999997E-3</v>
      </c>
      <c r="E3998" t="s">
        <v>74</v>
      </c>
      <c r="F3998">
        <v>3.9426600000000001</v>
      </c>
      <c r="G3998" t="s">
        <v>75</v>
      </c>
      <c r="H3998">
        <v>3942.6579999999999</v>
      </c>
      <c r="I3998" t="s">
        <v>76</v>
      </c>
      <c r="J3998" t="s">
        <v>82</v>
      </c>
      <c r="K3998">
        <v>253.6359716</v>
      </c>
    </row>
    <row r="3999" spans="1:11" x14ac:dyDescent="0.3">
      <c r="A3999" t="s">
        <v>85</v>
      </c>
      <c r="B3999">
        <v>1001</v>
      </c>
      <c r="C3999" t="s">
        <v>86</v>
      </c>
      <c r="D3999">
        <v>3.9447900000000001E-3</v>
      </c>
      <c r="E3999" t="s">
        <v>74</v>
      </c>
      <c r="F3999">
        <v>3.9447899999999998</v>
      </c>
      <c r="G3999" t="s">
        <v>75</v>
      </c>
      <c r="H3999">
        <v>3944.79</v>
      </c>
      <c r="I3999" t="s">
        <v>76</v>
      </c>
      <c r="J3999" t="s">
        <v>82</v>
      </c>
      <c r="K3999">
        <v>253.49892070000001</v>
      </c>
    </row>
    <row r="4001" spans="1:1" x14ac:dyDescent="0.3">
      <c r="A4001" t="s">
        <v>66</v>
      </c>
    </row>
    <row r="4003" spans="1:1" x14ac:dyDescent="0.3">
      <c r="A4003" t="s">
        <v>279</v>
      </c>
    </row>
    <row r="4004" spans="1:1" x14ac:dyDescent="0.3">
      <c r="A4004" t="s">
        <v>68</v>
      </c>
    </row>
    <row r="4005" spans="1:1" x14ac:dyDescent="0.3">
      <c r="A4005" t="s">
        <v>69</v>
      </c>
    </row>
    <row r="4006" spans="1:1" x14ac:dyDescent="0.3">
      <c r="A4006" t="s">
        <v>70</v>
      </c>
    </row>
    <row r="4007" spans="1:1" x14ac:dyDescent="0.3">
      <c r="A4007" t="s">
        <v>115</v>
      </c>
    </row>
    <row r="4008" spans="1:1" x14ac:dyDescent="0.3">
      <c r="A4008" t="s">
        <v>266</v>
      </c>
    </row>
    <row r="4009" spans="1:1" x14ac:dyDescent="0.3">
      <c r="A4009" t="s">
        <v>267</v>
      </c>
    </row>
    <row r="4010" spans="1:1" x14ac:dyDescent="0.3">
      <c r="A4010" t="s">
        <v>118</v>
      </c>
    </row>
    <row r="4011" spans="1:1" x14ac:dyDescent="0.3">
      <c r="A4011" t="s">
        <v>119</v>
      </c>
    </row>
    <row r="4012" spans="1:1" x14ac:dyDescent="0.3">
      <c r="A4012" t="s">
        <v>268</v>
      </c>
    </row>
    <row r="4013" spans="1:1" x14ac:dyDescent="0.3">
      <c r="A4013" t="s">
        <v>269</v>
      </c>
    </row>
    <row r="4014" spans="1:1" x14ac:dyDescent="0.3">
      <c r="A4014" t="s">
        <v>122</v>
      </c>
    </row>
    <row r="4015" spans="1:1" x14ac:dyDescent="0.3">
      <c r="A4015" t="s">
        <v>270</v>
      </c>
    </row>
    <row r="4016" spans="1:1" x14ac:dyDescent="0.3">
      <c r="A4016" t="s">
        <v>271</v>
      </c>
    </row>
    <row r="4017" spans="1:11" x14ac:dyDescent="0.3">
      <c r="A4017" t="s">
        <v>125</v>
      </c>
    </row>
    <row r="4018" spans="1:11" x14ac:dyDescent="0.3">
      <c r="A4018" t="s">
        <v>126</v>
      </c>
    </row>
    <row r="4019" spans="1:11" x14ac:dyDescent="0.3">
      <c r="A4019" t="s">
        <v>127</v>
      </c>
    </row>
    <row r="4020" spans="1:11" x14ac:dyDescent="0.3">
      <c r="A4020" t="s">
        <v>139</v>
      </c>
    </row>
    <row r="4021" spans="1:11" x14ac:dyDescent="0.3">
      <c r="A4021" t="s">
        <v>280</v>
      </c>
    </row>
    <row r="4022" spans="1:11" x14ac:dyDescent="0.3">
      <c r="A4022" t="s">
        <v>72</v>
      </c>
      <c r="B4022">
        <v>1</v>
      </c>
      <c r="C4022" t="s">
        <v>73</v>
      </c>
      <c r="D4022">
        <v>3.4000000000000001E-6</v>
      </c>
      <c r="E4022" t="s">
        <v>74</v>
      </c>
      <c r="F4022">
        <v>3.3999999999999998E-3</v>
      </c>
      <c r="G4022" t="s">
        <v>75</v>
      </c>
      <c r="H4022">
        <v>3.4</v>
      </c>
      <c r="I4022" t="s">
        <v>76</v>
      </c>
      <c r="J4022" t="s">
        <v>77</v>
      </c>
    </row>
    <row r="4023" spans="1:11" x14ac:dyDescent="0.3">
      <c r="A4023" t="s">
        <v>72</v>
      </c>
      <c r="B4023">
        <v>1</v>
      </c>
      <c r="C4023" t="s">
        <v>78</v>
      </c>
      <c r="D4023">
        <v>0.1095192</v>
      </c>
      <c r="E4023" t="s">
        <v>74</v>
      </c>
      <c r="F4023">
        <v>109.5192</v>
      </c>
      <c r="G4023" t="s">
        <v>75</v>
      </c>
      <c r="H4023">
        <v>109519.19899999999</v>
      </c>
      <c r="I4023" t="s">
        <v>76</v>
      </c>
      <c r="J4023" t="s">
        <v>77</v>
      </c>
    </row>
    <row r="4024" spans="1:11" x14ac:dyDescent="0.3">
      <c r="A4024" t="s">
        <v>72</v>
      </c>
      <c r="B4024">
        <v>1</v>
      </c>
      <c r="C4024" t="s">
        <v>79</v>
      </c>
      <c r="D4024">
        <v>0.13392309999999999</v>
      </c>
      <c r="E4024" t="s">
        <v>74</v>
      </c>
      <c r="F4024">
        <v>133.92310000000001</v>
      </c>
      <c r="G4024" t="s">
        <v>75</v>
      </c>
      <c r="H4024">
        <v>133923.098</v>
      </c>
      <c r="I4024" t="s">
        <v>76</v>
      </c>
      <c r="J4024" t="s">
        <v>77</v>
      </c>
    </row>
    <row r="4025" spans="1:11" x14ac:dyDescent="0.3">
      <c r="A4025" t="s">
        <v>72</v>
      </c>
      <c r="B4025">
        <v>1</v>
      </c>
      <c r="C4025" t="s">
        <v>94</v>
      </c>
      <c r="D4025">
        <v>9.4043000000000009E-3</v>
      </c>
      <c r="E4025" t="s">
        <v>74</v>
      </c>
      <c r="F4025">
        <v>9.4042999999999992</v>
      </c>
      <c r="G4025" t="s">
        <v>75</v>
      </c>
      <c r="H4025">
        <v>9404.2999999999993</v>
      </c>
      <c r="I4025" t="s">
        <v>76</v>
      </c>
      <c r="J4025" t="s">
        <v>77</v>
      </c>
    </row>
    <row r="4026" spans="1:11" x14ac:dyDescent="0.3">
      <c r="A4026" t="s">
        <v>72</v>
      </c>
      <c r="B4026">
        <v>1</v>
      </c>
      <c r="C4026" t="s">
        <v>80</v>
      </c>
      <c r="D4026">
        <v>9.4050999999999996E-3</v>
      </c>
      <c r="E4026" t="s">
        <v>74</v>
      </c>
      <c r="F4026">
        <v>9.4050999999999991</v>
      </c>
      <c r="G4026" t="s">
        <v>75</v>
      </c>
      <c r="H4026">
        <v>9405.1</v>
      </c>
      <c r="I4026" t="s">
        <v>76</v>
      </c>
      <c r="J4026" t="s">
        <v>77</v>
      </c>
    </row>
    <row r="4027" spans="1:11" x14ac:dyDescent="0.3">
      <c r="A4027" t="s">
        <v>72</v>
      </c>
      <c r="B4027">
        <v>1</v>
      </c>
      <c r="C4027" t="s">
        <v>81</v>
      </c>
      <c r="D4027">
        <v>0.14333069000000001</v>
      </c>
      <c r="E4027" t="s">
        <v>74</v>
      </c>
      <c r="F4027">
        <v>143.33069</v>
      </c>
      <c r="G4027" t="s">
        <v>75</v>
      </c>
      <c r="H4027">
        <v>143330.693</v>
      </c>
      <c r="I4027" t="s">
        <v>76</v>
      </c>
      <c r="J4027" t="s">
        <v>82</v>
      </c>
      <c r="K4027">
        <v>6.9768727000000004</v>
      </c>
    </row>
    <row r="4028" spans="1:11" x14ac:dyDescent="0.3">
      <c r="A4028" t="s">
        <v>83</v>
      </c>
      <c r="B4028">
        <v>1000</v>
      </c>
      <c r="C4028" t="s">
        <v>79</v>
      </c>
      <c r="D4028">
        <v>2.2362800000000002E-3</v>
      </c>
      <c r="E4028" t="s">
        <v>74</v>
      </c>
      <c r="F4028">
        <v>2.2362799999999998</v>
      </c>
      <c r="G4028" t="s">
        <v>75</v>
      </c>
      <c r="H4028">
        <v>2236.277</v>
      </c>
      <c r="I4028" t="s">
        <v>76</v>
      </c>
      <c r="J4028" t="s">
        <v>77</v>
      </c>
    </row>
    <row r="4029" spans="1:11" x14ac:dyDescent="0.3">
      <c r="A4029" t="s">
        <v>83</v>
      </c>
      <c r="B4029">
        <v>1000</v>
      </c>
      <c r="C4029" t="s">
        <v>94</v>
      </c>
      <c r="D4029">
        <v>2.5136999999999998E-3</v>
      </c>
      <c r="E4029" t="s">
        <v>74</v>
      </c>
      <c r="F4029">
        <v>2.5137</v>
      </c>
      <c r="G4029" t="s">
        <v>75</v>
      </c>
      <c r="H4029">
        <v>2513.703</v>
      </c>
      <c r="I4029" t="s">
        <v>76</v>
      </c>
      <c r="J4029" t="s">
        <v>77</v>
      </c>
    </row>
    <row r="4030" spans="1:11" x14ac:dyDescent="0.3">
      <c r="A4030" t="s">
        <v>83</v>
      </c>
      <c r="B4030">
        <v>1000</v>
      </c>
      <c r="C4030" t="s">
        <v>80</v>
      </c>
      <c r="D4030">
        <v>2.6684600000000001E-3</v>
      </c>
      <c r="E4030" t="s">
        <v>74</v>
      </c>
      <c r="F4030">
        <v>2.6684600000000001</v>
      </c>
      <c r="G4030" t="s">
        <v>75</v>
      </c>
      <c r="H4030">
        <v>2668.4580000000001</v>
      </c>
      <c r="I4030" t="s">
        <v>76</v>
      </c>
      <c r="J4030" t="s">
        <v>77</v>
      </c>
    </row>
    <row r="4031" spans="1:11" x14ac:dyDescent="0.3">
      <c r="A4031" t="s">
        <v>83</v>
      </c>
      <c r="B4031">
        <v>1000</v>
      </c>
      <c r="C4031" t="s">
        <v>81</v>
      </c>
      <c r="D4031">
        <v>4.9059300000000002E-3</v>
      </c>
      <c r="E4031" t="s">
        <v>74</v>
      </c>
      <c r="F4031">
        <v>4.9059299999999997</v>
      </c>
      <c r="G4031" t="s">
        <v>75</v>
      </c>
      <c r="H4031">
        <v>4905.933</v>
      </c>
      <c r="I4031" t="s">
        <v>76</v>
      </c>
      <c r="J4031" t="s">
        <v>82</v>
      </c>
      <c r="K4031">
        <v>203.8348301</v>
      </c>
    </row>
    <row r="4032" spans="1:11" x14ac:dyDescent="0.3">
      <c r="A4032" t="s">
        <v>84</v>
      </c>
      <c r="B4032">
        <v>1001</v>
      </c>
      <c r="C4032" t="s">
        <v>79</v>
      </c>
      <c r="D4032">
        <v>2.36783E-3</v>
      </c>
      <c r="E4032" t="s">
        <v>74</v>
      </c>
      <c r="F4032">
        <v>2.3678300000000001</v>
      </c>
      <c r="G4032" t="s">
        <v>75</v>
      </c>
      <c r="H4032">
        <v>2367.8330000000001</v>
      </c>
      <c r="I4032" t="s">
        <v>76</v>
      </c>
      <c r="J4032" t="s">
        <v>77</v>
      </c>
    </row>
    <row r="4033" spans="1:11" x14ac:dyDescent="0.3">
      <c r="A4033" t="s">
        <v>84</v>
      </c>
      <c r="B4033">
        <v>1001</v>
      </c>
      <c r="C4033" t="s">
        <v>94</v>
      </c>
      <c r="D4033">
        <v>2.5205900000000001E-3</v>
      </c>
      <c r="E4033" t="s">
        <v>74</v>
      </c>
      <c r="F4033">
        <v>2.5205899999999999</v>
      </c>
      <c r="G4033" t="s">
        <v>75</v>
      </c>
      <c r="H4033">
        <v>2520.587</v>
      </c>
      <c r="I4033" t="s">
        <v>76</v>
      </c>
      <c r="J4033" t="s">
        <v>77</v>
      </c>
    </row>
    <row r="4034" spans="1:11" x14ac:dyDescent="0.3">
      <c r="A4034" t="s">
        <v>84</v>
      </c>
      <c r="B4034">
        <v>1001</v>
      </c>
      <c r="C4034" t="s">
        <v>80</v>
      </c>
      <c r="D4034">
        <v>2.67519E-3</v>
      </c>
      <c r="E4034" t="s">
        <v>74</v>
      </c>
      <c r="F4034">
        <v>2.6751900000000002</v>
      </c>
      <c r="G4034" t="s">
        <v>75</v>
      </c>
      <c r="H4034">
        <v>2675.1880000000001</v>
      </c>
      <c r="I4034" t="s">
        <v>76</v>
      </c>
      <c r="J4034" t="s">
        <v>77</v>
      </c>
    </row>
    <row r="4035" spans="1:11" x14ac:dyDescent="0.3">
      <c r="A4035" t="s">
        <v>84</v>
      </c>
      <c r="B4035">
        <v>1001</v>
      </c>
      <c r="C4035" t="s">
        <v>81</v>
      </c>
      <c r="D4035">
        <v>5.0442200000000003E-3</v>
      </c>
      <c r="E4035" t="s">
        <v>74</v>
      </c>
      <c r="F4035">
        <v>5.0442200000000001</v>
      </c>
      <c r="G4035" t="s">
        <v>75</v>
      </c>
      <c r="H4035">
        <v>5044.22</v>
      </c>
      <c r="I4035" t="s">
        <v>76</v>
      </c>
      <c r="J4035" t="s">
        <v>82</v>
      </c>
      <c r="K4035">
        <v>198.24671660000001</v>
      </c>
    </row>
    <row r="4036" spans="1:11" x14ac:dyDescent="0.3">
      <c r="A4036" t="s">
        <v>85</v>
      </c>
      <c r="B4036">
        <v>1001</v>
      </c>
      <c r="C4036" t="s">
        <v>86</v>
      </c>
      <c r="D4036">
        <v>5.0444299999999999E-3</v>
      </c>
      <c r="E4036" t="s">
        <v>74</v>
      </c>
      <c r="F4036">
        <v>5.0444300000000002</v>
      </c>
      <c r="G4036" t="s">
        <v>75</v>
      </c>
      <c r="H4036">
        <v>5044.4340000000002</v>
      </c>
      <c r="I4036" t="s">
        <v>76</v>
      </c>
      <c r="J4036" t="s">
        <v>82</v>
      </c>
      <c r="K4036">
        <v>198.2382921</v>
      </c>
    </row>
    <row r="4037" spans="1:11" x14ac:dyDescent="0.3">
      <c r="A4037" t="s">
        <v>141</v>
      </c>
    </row>
    <row r="4038" spans="1:11" x14ac:dyDescent="0.3">
      <c r="A4038" t="s">
        <v>281</v>
      </c>
    </row>
    <row r="4039" spans="1:11" x14ac:dyDescent="0.3">
      <c r="A4039" t="s">
        <v>72</v>
      </c>
      <c r="B4039">
        <v>1</v>
      </c>
      <c r="C4039" t="s">
        <v>73</v>
      </c>
      <c r="D4039">
        <v>3.4000000000000001E-6</v>
      </c>
      <c r="E4039" t="s">
        <v>74</v>
      </c>
      <c r="F4039">
        <v>3.3999999999999998E-3</v>
      </c>
      <c r="G4039" t="s">
        <v>75</v>
      </c>
      <c r="H4039">
        <v>3.4</v>
      </c>
      <c r="I4039" t="s">
        <v>76</v>
      </c>
      <c r="J4039" t="s">
        <v>77</v>
      </c>
    </row>
    <row r="4040" spans="1:11" x14ac:dyDescent="0.3">
      <c r="A4040" t="s">
        <v>72</v>
      </c>
      <c r="B4040">
        <v>1</v>
      </c>
      <c r="C4040" t="s">
        <v>78</v>
      </c>
      <c r="D4040">
        <v>1.025E-4</v>
      </c>
      <c r="E4040" t="s">
        <v>74</v>
      </c>
      <c r="F4040">
        <v>0.10249999999999999</v>
      </c>
      <c r="G4040" t="s">
        <v>75</v>
      </c>
      <c r="H4040">
        <v>102.5</v>
      </c>
      <c r="I4040" t="s">
        <v>76</v>
      </c>
      <c r="J4040" t="s">
        <v>77</v>
      </c>
    </row>
    <row r="4041" spans="1:11" x14ac:dyDescent="0.3">
      <c r="A4041" t="s">
        <v>72</v>
      </c>
      <c r="B4041">
        <v>1</v>
      </c>
      <c r="C4041" t="s">
        <v>79</v>
      </c>
      <c r="D4041">
        <v>4.4447000000000002E-3</v>
      </c>
      <c r="E4041" t="s">
        <v>74</v>
      </c>
      <c r="F4041">
        <v>4.4447000000000001</v>
      </c>
      <c r="G4041" t="s">
        <v>75</v>
      </c>
      <c r="H4041">
        <v>4444.7</v>
      </c>
      <c r="I4041" t="s">
        <v>76</v>
      </c>
      <c r="J4041" t="s">
        <v>77</v>
      </c>
    </row>
    <row r="4042" spans="1:11" x14ac:dyDescent="0.3">
      <c r="A4042" t="s">
        <v>72</v>
      </c>
      <c r="B4042">
        <v>1</v>
      </c>
      <c r="C4042" t="s">
        <v>94</v>
      </c>
      <c r="D4042">
        <v>2.6484999999999998E-3</v>
      </c>
      <c r="E4042" t="s">
        <v>74</v>
      </c>
      <c r="F4042">
        <v>2.6484999999999999</v>
      </c>
      <c r="G4042" t="s">
        <v>75</v>
      </c>
      <c r="H4042">
        <v>2648.5</v>
      </c>
      <c r="I4042" t="s">
        <v>76</v>
      </c>
      <c r="J4042" t="s">
        <v>77</v>
      </c>
    </row>
    <row r="4043" spans="1:11" x14ac:dyDescent="0.3">
      <c r="A4043" t="s">
        <v>72</v>
      </c>
      <c r="B4043">
        <v>1</v>
      </c>
      <c r="C4043" t="s">
        <v>80</v>
      </c>
      <c r="D4043">
        <v>2.8620999999999998E-3</v>
      </c>
      <c r="E4043" t="s">
        <v>74</v>
      </c>
      <c r="F4043">
        <v>2.8620999999999999</v>
      </c>
      <c r="G4043" t="s">
        <v>75</v>
      </c>
      <c r="H4043">
        <v>2862.1</v>
      </c>
      <c r="I4043" t="s">
        <v>76</v>
      </c>
      <c r="J4043" t="s">
        <v>77</v>
      </c>
    </row>
    <row r="4044" spans="1:11" x14ac:dyDescent="0.3">
      <c r="A4044" t="s">
        <v>72</v>
      </c>
      <c r="B4044">
        <v>1</v>
      </c>
      <c r="C4044" t="s">
        <v>81</v>
      </c>
      <c r="D4044">
        <v>7.3081999999999999E-3</v>
      </c>
      <c r="E4044" t="s">
        <v>74</v>
      </c>
      <c r="F4044">
        <v>7.3082000000000003</v>
      </c>
      <c r="G4044" t="s">
        <v>75</v>
      </c>
      <c r="H4044">
        <v>7308.2</v>
      </c>
      <c r="I4044" t="s">
        <v>76</v>
      </c>
      <c r="J4044" t="s">
        <v>82</v>
      </c>
      <c r="K4044">
        <v>136.83259899999999</v>
      </c>
    </row>
    <row r="4045" spans="1:11" x14ac:dyDescent="0.3">
      <c r="A4045" t="s">
        <v>83</v>
      </c>
      <c r="B4045">
        <v>1000</v>
      </c>
      <c r="C4045" t="s">
        <v>79</v>
      </c>
      <c r="D4045">
        <v>2.6492999999999998E-3</v>
      </c>
      <c r="E4045" t="s">
        <v>74</v>
      </c>
      <c r="F4045">
        <v>2.6493000000000002</v>
      </c>
      <c r="G4045" t="s">
        <v>75</v>
      </c>
      <c r="H4045">
        <v>2649.3</v>
      </c>
      <c r="I4045" t="s">
        <v>76</v>
      </c>
      <c r="J4045" t="s">
        <v>77</v>
      </c>
    </row>
    <row r="4046" spans="1:11" x14ac:dyDescent="0.3">
      <c r="A4046" t="s">
        <v>83</v>
      </c>
      <c r="B4046">
        <v>1000</v>
      </c>
      <c r="C4046" t="s">
        <v>94</v>
      </c>
      <c r="D4046">
        <v>2.6293000000000002E-3</v>
      </c>
      <c r="E4046" t="s">
        <v>74</v>
      </c>
      <c r="F4046">
        <v>2.6293000000000002</v>
      </c>
      <c r="G4046" t="s">
        <v>75</v>
      </c>
      <c r="H4046">
        <v>2629.3009999999999</v>
      </c>
      <c r="I4046" t="s">
        <v>76</v>
      </c>
      <c r="J4046" t="s">
        <v>77</v>
      </c>
    </row>
    <row r="4047" spans="1:11" x14ac:dyDescent="0.3">
      <c r="A4047" t="s">
        <v>83</v>
      </c>
      <c r="B4047">
        <v>1000</v>
      </c>
      <c r="C4047" t="s">
        <v>80</v>
      </c>
      <c r="D4047">
        <v>2.77947E-3</v>
      </c>
      <c r="E4047" t="s">
        <v>74</v>
      </c>
      <c r="F4047">
        <v>2.7794699999999999</v>
      </c>
      <c r="G4047" t="s">
        <v>75</v>
      </c>
      <c r="H4047">
        <v>2779.4720000000002</v>
      </c>
      <c r="I4047" t="s">
        <v>76</v>
      </c>
      <c r="J4047" t="s">
        <v>77</v>
      </c>
    </row>
    <row r="4048" spans="1:11" x14ac:dyDescent="0.3">
      <c r="A4048" t="s">
        <v>83</v>
      </c>
      <c r="B4048">
        <v>1000</v>
      </c>
      <c r="C4048" t="s">
        <v>81</v>
      </c>
      <c r="D4048">
        <v>5.4301200000000001E-3</v>
      </c>
      <c r="E4048" t="s">
        <v>74</v>
      </c>
      <c r="F4048">
        <v>5.4301199999999996</v>
      </c>
      <c r="G4048" t="s">
        <v>75</v>
      </c>
      <c r="H4048">
        <v>5430.1239999999998</v>
      </c>
      <c r="I4048" t="s">
        <v>76</v>
      </c>
      <c r="J4048" t="s">
        <v>82</v>
      </c>
      <c r="K4048">
        <v>184.15786370000001</v>
      </c>
    </row>
    <row r="4049" spans="1:11" x14ac:dyDescent="0.3">
      <c r="A4049" t="s">
        <v>84</v>
      </c>
      <c r="B4049">
        <v>1001</v>
      </c>
      <c r="C4049" t="s">
        <v>79</v>
      </c>
      <c r="D4049">
        <v>2.65109E-3</v>
      </c>
      <c r="E4049" t="s">
        <v>74</v>
      </c>
      <c r="F4049">
        <v>2.6510899999999999</v>
      </c>
      <c r="G4049" t="s">
        <v>75</v>
      </c>
      <c r="H4049">
        <v>2651.0940000000001</v>
      </c>
      <c r="I4049" t="s">
        <v>76</v>
      </c>
      <c r="J4049" t="s">
        <v>77</v>
      </c>
    </row>
    <row r="4050" spans="1:11" x14ac:dyDescent="0.3">
      <c r="A4050" t="s">
        <v>84</v>
      </c>
      <c r="B4050">
        <v>1001</v>
      </c>
      <c r="C4050" t="s">
        <v>94</v>
      </c>
      <c r="D4050">
        <v>2.6293200000000001E-3</v>
      </c>
      <c r="E4050" t="s">
        <v>74</v>
      </c>
      <c r="F4050">
        <v>2.6293199999999999</v>
      </c>
      <c r="G4050" t="s">
        <v>75</v>
      </c>
      <c r="H4050">
        <v>2629.3209999999999</v>
      </c>
      <c r="I4050" t="s">
        <v>76</v>
      </c>
      <c r="J4050" t="s">
        <v>77</v>
      </c>
    </row>
    <row r="4051" spans="1:11" x14ac:dyDescent="0.3">
      <c r="A4051" t="s">
        <v>84</v>
      </c>
      <c r="B4051">
        <v>1001</v>
      </c>
      <c r="C4051" t="s">
        <v>80</v>
      </c>
      <c r="D4051">
        <v>2.7795599999999999E-3</v>
      </c>
      <c r="E4051" t="s">
        <v>74</v>
      </c>
      <c r="F4051">
        <v>2.77956</v>
      </c>
      <c r="G4051" t="s">
        <v>75</v>
      </c>
      <c r="H4051">
        <v>2779.5549999999998</v>
      </c>
      <c r="I4051" t="s">
        <v>76</v>
      </c>
      <c r="J4051" t="s">
        <v>77</v>
      </c>
    </row>
    <row r="4052" spans="1:11" x14ac:dyDescent="0.3">
      <c r="A4052" t="s">
        <v>84</v>
      </c>
      <c r="B4052">
        <v>1001</v>
      </c>
      <c r="C4052" t="s">
        <v>81</v>
      </c>
      <c r="D4052">
        <v>5.4320000000000002E-3</v>
      </c>
      <c r="E4052" t="s">
        <v>74</v>
      </c>
      <c r="F4052">
        <v>5.4320000000000004</v>
      </c>
      <c r="G4052" t="s">
        <v>75</v>
      </c>
      <c r="H4052">
        <v>5432</v>
      </c>
      <c r="I4052" t="s">
        <v>76</v>
      </c>
      <c r="J4052" t="s">
        <v>82</v>
      </c>
      <c r="K4052">
        <v>184.09426260000001</v>
      </c>
    </row>
    <row r="4053" spans="1:11" x14ac:dyDescent="0.3">
      <c r="A4053" t="s">
        <v>85</v>
      </c>
      <c r="B4053">
        <v>1001</v>
      </c>
      <c r="C4053" t="s">
        <v>86</v>
      </c>
      <c r="D4053">
        <v>5.4322800000000003E-3</v>
      </c>
      <c r="E4053" t="s">
        <v>74</v>
      </c>
      <c r="F4053">
        <v>5.4322800000000004</v>
      </c>
      <c r="G4053" t="s">
        <v>75</v>
      </c>
      <c r="H4053">
        <v>5432.277</v>
      </c>
      <c r="I4053" t="s">
        <v>76</v>
      </c>
      <c r="J4053" t="s">
        <v>82</v>
      </c>
      <c r="K4053">
        <v>184.0848833</v>
      </c>
    </row>
    <row r="4054" spans="1:11" x14ac:dyDescent="0.3">
      <c r="A4054" t="s">
        <v>115</v>
      </c>
    </row>
    <row r="4055" spans="1:11" x14ac:dyDescent="0.3">
      <c r="A4055" t="s">
        <v>127</v>
      </c>
    </row>
    <row r="4056" spans="1:11" x14ac:dyDescent="0.3">
      <c r="A4056" t="s">
        <v>87</v>
      </c>
    </row>
    <row r="4057" spans="1:11" x14ac:dyDescent="0.3">
      <c r="A4057" t="s">
        <v>282</v>
      </c>
    </row>
    <row r="4058" spans="1:11" x14ac:dyDescent="0.3">
      <c r="A4058" t="s">
        <v>72</v>
      </c>
      <c r="B4058">
        <v>1</v>
      </c>
      <c r="C4058" t="s">
        <v>81</v>
      </c>
      <c r="D4058">
        <v>0.14333069000000001</v>
      </c>
      <c r="E4058" t="s">
        <v>74</v>
      </c>
      <c r="F4058">
        <v>143.33069</v>
      </c>
      <c r="G4058" t="s">
        <v>75</v>
      </c>
      <c r="H4058">
        <v>143330.693</v>
      </c>
      <c r="I4058" t="s">
        <v>76</v>
      </c>
      <c r="J4058" t="s">
        <v>82</v>
      </c>
      <c r="K4058">
        <v>6.9768727000000004</v>
      </c>
    </row>
    <row r="4059" spans="1:11" x14ac:dyDescent="0.3">
      <c r="A4059" t="s">
        <v>83</v>
      </c>
      <c r="B4059">
        <v>1000</v>
      </c>
      <c r="C4059" t="s">
        <v>81</v>
      </c>
      <c r="D4059">
        <v>4.9059300000000002E-3</v>
      </c>
      <c r="E4059" t="s">
        <v>74</v>
      </c>
      <c r="F4059">
        <v>4.9059299999999997</v>
      </c>
      <c r="G4059" t="s">
        <v>75</v>
      </c>
      <c r="H4059">
        <v>4905.933</v>
      </c>
      <c r="I4059" t="s">
        <v>76</v>
      </c>
      <c r="J4059" t="s">
        <v>82</v>
      </c>
      <c r="K4059">
        <v>203.8348301</v>
      </c>
    </row>
    <row r="4060" spans="1:11" x14ac:dyDescent="0.3">
      <c r="A4060" t="s">
        <v>85</v>
      </c>
      <c r="B4060">
        <v>1001</v>
      </c>
      <c r="C4060" t="s">
        <v>86</v>
      </c>
      <c r="D4060">
        <v>5.0444299999999999E-3</v>
      </c>
      <c r="E4060" t="s">
        <v>74</v>
      </c>
      <c r="F4060">
        <v>5.0444300000000002</v>
      </c>
      <c r="G4060" t="s">
        <v>75</v>
      </c>
      <c r="H4060">
        <v>5044.4340000000002</v>
      </c>
      <c r="I4060" t="s">
        <v>76</v>
      </c>
      <c r="J4060" t="s">
        <v>82</v>
      </c>
      <c r="K4060">
        <v>198.2382921</v>
      </c>
    </row>
    <row r="4062" spans="1:11" x14ac:dyDescent="0.3">
      <c r="A4062" t="s">
        <v>283</v>
      </c>
    </row>
    <row r="4063" spans="1:11" x14ac:dyDescent="0.3">
      <c r="A4063" t="s">
        <v>72</v>
      </c>
      <c r="B4063">
        <v>1</v>
      </c>
      <c r="C4063" t="s">
        <v>81</v>
      </c>
      <c r="D4063">
        <v>7.3081999999999999E-3</v>
      </c>
      <c r="E4063" t="s">
        <v>74</v>
      </c>
      <c r="F4063">
        <v>7.3082000000000003</v>
      </c>
      <c r="G4063" t="s">
        <v>75</v>
      </c>
      <c r="H4063">
        <v>7308.2</v>
      </c>
      <c r="I4063" t="s">
        <v>76</v>
      </c>
      <c r="J4063" t="s">
        <v>82</v>
      </c>
      <c r="K4063">
        <v>136.83259899999999</v>
      </c>
    </row>
    <row r="4064" spans="1:11" x14ac:dyDescent="0.3">
      <c r="A4064" t="s">
        <v>83</v>
      </c>
      <c r="B4064">
        <v>1000</v>
      </c>
      <c r="C4064" t="s">
        <v>81</v>
      </c>
      <c r="D4064">
        <v>5.4301200000000001E-3</v>
      </c>
      <c r="E4064" t="s">
        <v>74</v>
      </c>
      <c r="F4064">
        <v>5.4301199999999996</v>
      </c>
      <c r="G4064" t="s">
        <v>75</v>
      </c>
      <c r="H4064">
        <v>5430.1239999999998</v>
      </c>
      <c r="I4064" t="s">
        <v>76</v>
      </c>
      <c r="J4064" t="s">
        <v>82</v>
      </c>
      <c r="K4064">
        <v>184.15786370000001</v>
      </c>
    </row>
    <row r="4065" spans="1:11" x14ac:dyDescent="0.3">
      <c r="A4065" t="s">
        <v>85</v>
      </c>
      <c r="B4065">
        <v>1001</v>
      </c>
      <c r="C4065" t="s">
        <v>86</v>
      </c>
      <c r="D4065">
        <v>5.4322800000000003E-3</v>
      </c>
      <c r="E4065" t="s">
        <v>74</v>
      </c>
      <c r="F4065">
        <v>5.4322800000000004</v>
      </c>
      <c r="G4065" t="s">
        <v>75</v>
      </c>
      <c r="H4065">
        <v>5432.277</v>
      </c>
      <c r="I4065" t="s">
        <v>76</v>
      </c>
      <c r="J4065" t="s">
        <v>82</v>
      </c>
      <c r="K4065">
        <v>184.0848833</v>
      </c>
    </row>
    <row r="4067" spans="1:11" x14ac:dyDescent="0.3">
      <c r="A4067" t="s">
        <v>66</v>
      </c>
    </row>
    <row r="4069" spans="1:11" x14ac:dyDescent="0.3">
      <c r="A4069" t="s">
        <v>284</v>
      </c>
    </row>
    <row r="4070" spans="1:11" x14ac:dyDescent="0.3">
      <c r="A4070" t="s">
        <v>68</v>
      </c>
    </row>
    <row r="4071" spans="1:11" x14ac:dyDescent="0.3">
      <c r="A4071" t="s">
        <v>69</v>
      </c>
    </row>
    <row r="4072" spans="1:11" x14ac:dyDescent="0.3">
      <c r="A4072" t="s">
        <v>70</v>
      </c>
    </row>
    <row r="4073" spans="1:11" x14ac:dyDescent="0.3">
      <c r="A4073" t="s">
        <v>115</v>
      </c>
    </row>
    <row r="4074" spans="1:11" x14ac:dyDescent="0.3">
      <c r="A4074" t="s">
        <v>266</v>
      </c>
    </row>
    <row r="4075" spans="1:11" x14ac:dyDescent="0.3">
      <c r="A4075" t="s">
        <v>267</v>
      </c>
    </row>
    <row r="4076" spans="1:11" x14ac:dyDescent="0.3">
      <c r="A4076" t="s">
        <v>118</v>
      </c>
    </row>
    <row r="4077" spans="1:11" x14ac:dyDescent="0.3">
      <c r="A4077" t="s">
        <v>119</v>
      </c>
    </row>
    <row r="4078" spans="1:11" x14ac:dyDescent="0.3">
      <c r="A4078" t="s">
        <v>268</v>
      </c>
    </row>
    <row r="4079" spans="1:11" x14ac:dyDescent="0.3">
      <c r="A4079" t="s">
        <v>269</v>
      </c>
    </row>
    <row r="4080" spans="1:11" x14ac:dyDescent="0.3">
      <c r="A4080" t="s">
        <v>122</v>
      </c>
    </row>
    <row r="4081" spans="1:11" x14ac:dyDescent="0.3">
      <c r="A4081" t="s">
        <v>270</v>
      </c>
    </row>
    <row r="4082" spans="1:11" x14ac:dyDescent="0.3">
      <c r="A4082" t="s">
        <v>271</v>
      </c>
    </row>
    <row r="4083" spans="1:11" x14ac:dyDescent="0.3">
      <c r="A4083" t="s">
        <v>125</v>
      </c>
    </row>
    <row r="4084" spans="1:11" x14ac:dyDescent="0.3">
      <c r="A4084" t="s">
        <v>126</v>
      </c>
    </row>
    <row r="4085" spans="1:11" x14ac:dyDescent="0.3">
      <c r="A4085" t="s">
        <v>127</v>
      </c>
    </row>
    <row r="4086" spans="1:11" x14ac:dyDescent="0.3">
      <c r="A4086" t="s">
        <v>146</v>
      </c>
    </row>
    <row r="4087" spans="1:11" x14ac:dyDescent="0.3">
      <c r="A4087" t="s">
        <v>285</v>
      </c>
    </row>
    <row r="4088" spans="1:11" x14ac:dyDescent="0.3">
      <c r="A4088" t="s">
        <v>72</v>
      </c>
      <c r="B4088">
        <v>1</v>
      </c>
      <c r="C4088" t="s">
        <v>73</v>
      </c>
      <c r="D4088">
        <v>3.8999999999999999E-6</v>
      </c>
      <c r="E4088" t="s">
        <v>74</v>
      </c>
      <c r="F4088">
        <v>3.8999999999999998E-3</v>
      </c>
      <c r="G4088" t="s">
        <v>75</v>
      </c>
      <c r="H4088">
        <v>3.9</v>
      </c>
      <c r="I4088" t="s">
        <v>76</v>
      </c>
      <c r="J4088" t="s">
        <v>77</v>
      </c>
    </row>
    <row r="4089" spans="1:11" x14ac:dyDescent="0.3">
      <c r="A4089" t="s">
        <v>72</v>
      </c>
      <c r="B4089">
        <v>1</v>
      </c>
      <c r="C4089" t="s">
        <v>78</v>
      </c>
      <c r="D4089">
        <v>0.1085527</v>
      </c>
      <c r="E4089" t="s">
        <v>74</v>
      </c>
      <c r="F4089">
        <v>108.5527</v>
      </c>
      <c r="G4089" t="s">
        <v>75</v>
      </c>
      <c r="H4089">
        <v>108552.702</v>
      </c>
      <c r="I4089" t="s">
        <v>76</v>
      </c>
      <c r="J4089" t="s">
        <v>77</v>
      </c>
    </row>
    <row r="4090" spans="1:11" x14ac:dyDescent="0.3">
      <c r="A4090" t="s">
        <v>72</v>
      </c>
      <c r="B4090">
        <v>1</v>
      </c>
      <c r="C4090" t="s">
        <v>79</v>
      </c>
      <c r="D4090">
        <v>0.54618818000000002</v>
      </c>
      <c r="E4090" t="s">
        <v>74</v>
      </c>
      <c r="F4090">
        <v>546.18817999999999</v>
      </c>
      <c r="G4090" t="s">
        <v>75</v>
      </c>
      <c r="H4090">
        <v>546188.17599999998</v>
      </c>
      <c r="I4090" t="s">
        <v>76</v>
      </c>
      <c r="J4090" t="s">
        <v>77</v>
      </c>
    </row>
    <row r="4091" spans="1:11" x14ac:dyDescent="0.3">
      <c r="A4091" t="s">
        <v>72</v>
      </c>
      <c r="B4091">
        <v>1</v>
      </c>
      <c r="C4091" t="s">
        <v>94</v>
      </c>
      <c r="D4091">
        <v>9.3290999999999999E-3</v>
      </c>
      <c r="E4091" t="s">
        <v>74</v>
      </c>
      <c r="F4091">
        <v>9.3291000000000004</v>
      </c>
      <c r="G4091" t="s">
        <v>75</v>
      </c>
      <c r="H4091">
        <v>9329.1</v>
      </c>
      <c r="I4091" t="s">
        <v>76</v>
      </c>
      <c r="J4091" t="s">
        <v>77</v>
      </c>
    </row>
    <row r="4092" spans="1:11" x14ac:dyDescent="0.3">
      <c r="A4092" t="s">
        <v>72</v>
      </c>
      <c r="B4092">
        <v>1</v>
      </c>
      <c r="C4092" t="s">
        <v>80</v>
      </c>
      <c r="D4092">
        <v>9.3296999999999998E-3</v>
      </c>
      <c r="E4092" t="s">
        <v>74</v>
      </c>
      <c r="F4092">
        <v>9.3297000000000008</v>
      </c>
      <c r="G4092" t="s">
        <v>75</v>
      </c>
      <c r="H4092">
        <v>9329.7000000000007</v>
      </c>
      <c r="I4092" t="s">
        <v>76</v>
      </c>
      <c r="J4092" t="s">
        <v>77</v>
      </c>
    </row>
    <row r="4093" spans="1:11" x14ac:dyDescent="0.3">
      <c r="A4093" t="s">
        <v>72</v>
      </c>
      <c r="B4093">
        <v>1</v>
      </c>
      <c r="C4093" t="s">
        <v>81</v>
      </c>
      <c r="D4093">
        <v>0.55553722000000005</v>
      </c>
      <c r="E4093" t="s">
        <v>74</v>
      </c>
      <c r="F4093">
        <v>555.53722000000005</v>
      </c>
      <c r="G4093" t="s">
        <v>75</v>
      </c>
      <c r="H4093">
        <v>555537.22400000005</v>
      </c>
      <c r="I4093" t="s">
        <v>76</v>
      </c>
      <c r="J4093" t="s">
        <v>82</v>
      </c>
      <c r="K4093">
        <v>1.8000594000000001</v>
      </c>
    </row>
    <row r="4094" spans="1:11" x14ac:dyDescent="0.3">
      <c r="A4094" t="s">
        <v>83</v>
      </c>
      <c r="B4094">
        <v>1000</v>
      </c>
      <c r="C4094" t="s">
        <v>79</v>
      </c>
      <c r="D4094">
        <v>3.2970899999999999E-3</v>
      </c>
      <c r="E4094" t="s">
        <v>74</v>
      </c>
      <c r="F4094">
        <v>3.2970899999999999</v>
      </c>
      <c r="G4094" t="s">
        <v>75</v>
      </c>
      <c r="H4094">
        <v>3297.0949999999998</v>
      </c>
      <c r="I4094" t="s">
        <v>76</v>
      </c>
      <c r="J4094" t="s">
        <v>77</v>
      </c>
    </row>
    <row r="4095" spans="1:11" x14ac:dyDescent="0.3">
      <c r="A4095" t="s">
        <v>83</v>
      </c>
      <c r="B4095">
        <v>1000</v>
      </c>
      <c r="C4095" t="s">
        <v>94</v>
      </c>
      <c r="D4095">
        <v>2.54528E-3</v>
      </c>
      <c r="E4095" t="s">
        <v>74</v>
      </c>
      <c r="F4095">
        <v>2.54528</v>
      </c>
      <c r="G4095" t="s">
        <v>75</v>
      </c>
      <c r="H4095">
        <v>2545.2829999999999</v>
      </c>
      <c r="I4095" t="s">
        <v>76</v>
      </c>
      <c r="J4095" t="s">
        <v>77</v>
      </c>
    </row>
    <row r="4096" spans="1:11" x14ac:dyDescent="0.3">
      <c r="A4096" t="s">
        <v>83</v>
      </c>
      <c r="B4096">
        <v>1000</v>
      </c>
      <c r="C4096" t="s">
        <v>80</v>
      </c>
      <c r="D4096">
        <v>2.69032E-3</v>
      </c>
      <c r="E4096" t="s">
        <v>74</v>
      </c>
      <c r="F4096">
        <v>2.6903199999999998</v>
      </c>
      <c r="G4096" t="s">
        <v>75</v>
      </c>
      <c r="H4096">
        <v>2690.32</v>
      </c>
      <c r="I4096" t="s">
        <v>76</v>
      </c>
      <c r="J4096" t="s">
        <v>77</v>
      </c>
    </row>
    <row r="4097" spans="1:11" x14ac:dyDescent="0.3">
      <c r="A4097" t="s">
        <v>83</v>
      </c>
      <c r="B4097">
        <v>1000</v>
      </c>
      <c r="C4097" t="s">
        <v>81</v>
      </c>
      <c r="D4097">
        <v>5.9881700000000001E-3</v>
      </c>
      <c r="E4097" t="s">
        <v>74</v>
      </c>
      <c r="F4097">
        <v>5.9881700000000002</v>
      </c>
      <c r="G4097" t="s">
        <v>75</v>
      </c>
      <c r="H4097">
        <v>5988.1679999999997</v>
      </c>
      <c r="I4097" t="s">
        <v>76</v>
      </c>
      <c r="J4097" t="s">
        <v>82</v>
      </c>
      <c r="K4097">
        <v>166.99597610000001</v>
      </c>
    </row>
    <row r="4098" spans="1:11" x14ac:dyDescent="0.3">
      <c r="A4098" t="s">
        <v>84</v>
      </c>
      <c r="B4098">
        <v>1001</v>
      </c>
      <c r="C4098" t="s">
        <v>79</v>
      </c>
      <c r="D4098">
        <v>3.83944E-3</v>
      </c>
      <c r="E4098" t="s">
        <v>74</v>
      </c>
      <c r="F4098">
        <v>3.8394400000000002</v>
      </c>
      <c r="G4098" t="s">
        <v>75</v>
      </c>
      <c r="H4098">
        <v>3839.4450000000002</v>
      </c>
      <c r="I4098" t="s">
        <v>76</v>
      </c>
      <c r="J4098" t="s">
        <v>77</v>
      </c>
    </row>
    <row r="4099" spans="1:11" x14ac:dyDescent="0.3">
      <c r="A4099" t="s">
        <v>84</v>
      </c>
      <c r="B4099">
        <v>1001</v>
      </c>
      <c r="C4099" t="s">
        <v>94</v>
      </c>
      <c r="D4099">
        <v>2.5520600000000001E-3</v>
      </c>
      <c r="E4099" t="s">
        <v>74</v>
      </c>
      <c r="F4099">
        <v>2.55206</v>
      </c>
      <c r="G4099" t="s">
        <v>75</v>
      </c>
      <c r="H4099">
        <v>2552.06</v>
      </c>
      <c r="I4099" t="s">
        <v>76</v>
      </c>
      <c r="J4099" t="s">
        <v>77</v>
      </c>
    </row>
    <row r="4100" spans="1:11" x14ac:dyDescent="0.3">
      <c r="A4100" t="s">
        <v>84</v>
      </c>
      <c r="B4100">
        <v>1001</v>
      </c>
      <c r="C4100" t="s">
        <v>80</v>
      </c>
      <c r="D4100">
        <v>2.69695E-3</v>
      </c>
      <c r="E4100" t="s">
        <v>74</v>
      </c>
      <c r="F4100">
        <v>2.6969500000000002</v>
      </c>
      <c r="G4100" t="s">
        <v>75</v>
      </c>
      <c r="H4100">
        <v>2696.953</v>
      </c>
      <c r="I4100" t="s">
        <v>76</v>
      </c>
      <c r="J4100" t="s">
        <v>77</v>
      </c>
    </row>
    <row r="4101" spans="1:11" x14ac:dyDescent="0.3">
      <c r="A4101" t="s">
        <v>84</v>
      </c>
      <c r="B4101">
        <v>1001</v>
      </c>
      <c r="C4101" t="s">
        <v>81</v>
      </c>
      <c r="D4101">
        <v>6.5371700000000001E-3</v>
      </c>
      <c r="E4101" t="s">
        <v>74</v>
      </c>
      <c r="F4101">
        <v>6.5371699999999997</v>
      </c>
      <c r="G4101" t="s">
        <v>75</v>
      </c>
      <c r="H4101">
        <v>6537.1670000000004</v>
      </c>
      <c r="I4101" t="s">
        <v>76</v>
      </c>
      <c r="J4101" t="s">
        <v>82</v>
      </c>
      <c r="K4101">
        <v>152.97145499999999</v>
      </c>
    </row>
    <row r="4102" spans="1:11" x14ac:dyDescent="0.3">
      <c r="A4102" t="s">
        <v>85</v>
      </c>
      <c r="B4102">
        <v>1001</v>
      </c>
      <c r="C4102" t="s">
        <v>86</v>
      </c>
      <c r="D4102">
        <v>6.53734E-3</v>
      </c>
      <c r="E4102" t="s">
        <v>74</v>
      </c>
      <c r="F4102">
        <v>6.5373400000000004</v>
      </c>
      <c r="G4102" t="s">
        <v>75</v>
      </c>
      <c r="H4102">
        <v>6537.3419999999996</v>
      </c>
      <c r="I4102" t="s">
        <v>76</v>
      </c>
      <c r="J4102" t="s">
        <v>82</v>
      </c>
      <c r="K4102">
        <v>152.96737529999999</v>
      </c>
    </row>
    <row r="4103" spans="1:11" x14ac:dyDescent="0.3">
      <c r="A4103" t="s">
        <v>148</v>
      </c>
    </row>
    <row r="4104" spans="1:11" x14ac:dyDescent="0.3">
      <c r="A4104" t="s">
        <v>286</v>
      </c>
    </row>
    <row r="4105" spans="1:11" x14ac:dyDescent="0.3">
      <c r="A4105" t="s">
        <v>72</v>
      </c>
      <c r="B4105">
        <v>1</v>
      </c>
      <c r="C4105" t="s">
        <v>73</v>
      </c>
      <c r="D4105">
        <v>3.8999999999999999E-6</v>
      </c>
      <c r="E4105" t="s">
        <v>74</v>
      </c>
      <c r="F4105">
        <v>3.8999999999999998E-3</v>
      </c>
      <c r="G4105" t="s">
        <v>75</v>
      </c>
      <c r="H4105">
        <v>3.9</v>
      </c>
      <c r="I4105" t="s">
        <v>76</v>
      </c>
      <c r="J4105" t="s">
        <v>77</v>
      </c>
    </row>
    <row r="4106" spans="1:11" x14ac:dyDescent="0.3">
      <c r="A4106" t="s">
        <v>72</v>
      </c>
      <c r="B4106">
        <v>1</v>
      </c>
      <c r="C4106" t="s">
        <v>78</v>
      </c>
      <c r="D4106">
        <v>1.032E-4</v>
      </c>
      <c r="E4106" t="s">
        <v>74</v>
      </c>
      <c r="F4106">
        <v>0.1032</v>
      </c>
      <c r="G4106" t="s">
        <v>75</v>
      </c>
      <c r="H4106">
        <v>103.2</v>
      </c>
      <c r="I4106" t="s">
        <v>76</v>
      </c>
      <c r="J4106" t="s">
        <v>77</v>
      </c>
    </row>
    <row r="4107" spans="1:11" x14ac:dyDescent="0.3">
      <c r="A4107" t="s">
        <v>72</v>
      </c>
      <c r="B4107">
        <v>1</v>
      </c>
      <c r="C4107" t="s">
        <v>79</v>
      </c>
      <c r="D4107">
        <v>5.6565000000000001E-3</v>
      </c>
      <c r="E4107" t="s">
        <v>74</v>
      </c>
      <c r="F4107">
        <v>5.6565000000000003</v>
      </c>
      <c r="G4107" t="s">
        <v>75</v>
      </c>
      <c r="H4107">
        <v>5656.5</v>
      </c>
      <c r="I4107" t="s">
        <v>76</v>
      </c>
      <c r="J4107" t="s">
        <v>77</v>
      </c>
    </row>
    <row r="4108" spans="1:11" x14ac:dyDescent="0.3">
      <c r="A4108" t="s">
        <v>72</v>
      </c>
      <c r="B4108">
        <v>1</v>
      </c>
      <c r="C4108" t="s">
        <v>94</v>
      </c>
      <c r="D4108">
        <v>2.6626000000000002E-3</v>
      </c>
      <c r="E4108" t="s">
        <v>74</v>
      </c>
      <c r="F4108">
        <v>2.6625999999999999</v>
      </c>
      <c r="G4108" t="s">
        <v>75</v>
      </c>
      <c r="H4108">
        <v>2662.6</v>
      </c>
      <c r="I4108" t="s">
        <v>76</v>
      </c>
      <c r="J4108" t="s">
        <v>77</v>
      </c>
    </row>
    <row r="4109" spans="1:11" x14ac:dyDescent="0.3">
      <c r="A4109" t="s">
        <v>72</v>
      </c>
      <c r="B4109">
        <v>1</v>
      </c>
      <c r="C4109" t="s">
        <v>80</v>
      </c>
      <c r="D4109">
        <v>2.8804E-3</v>
      </c>
      <c r="E4109" t="s">
        <v>74</v>
      </c>
      <c r="F4109">
        <v>2.8803999999999998</v>
      </c>
      <c r="G4109" t="s">
        <v>75</v>
      </c>
      <c r="H4109">
        <v>2880.4</v>
      </c>
      <c r="I4109" t="s">
        <v>76</v>
      </c>
      <c r="J4109" t="s">
        <v>77</v>
      </c>
    </row>
    <row r="4110" spans="1:11" x14ac:dyDescent="0.3">
      <c r="A4110" t="s">
        <v>72</v>
      </c>
      <c r="B4110">
        <v>1</v>
      </c>
      <c r="C4110" t="s">
        <v>81</v>
      </c>
      <c r="D4110">
        <v>8.5381999999999993E-3</v>
      </c>
      <c r="E4110" t="s">
        <v>74</v>
      </c>
      <c r="F4110">
        <v>8.5381999999999998</v>
      </c>
      <c r="G4110" t="s">
        <v>75</v>
      </c>
      <c r="H4110">
        <v>8538.2000000000007</v>
      </c>
      <c r="I4110" t="s">
        <v>76</v>
      </c>
      <c r="J4110" t="s">
        <v>82</v>
      </c>
      <c r="K4110">
        <v>117.1207102</v>
      </c>
    </row>
    <row r="4111" spans="1:11" x14ac:dyDescent="0.3">
      <c r="A4111" t="s">
        <v>83</v>
      </c>
      <c r="B4111">
        <v>1000</v>
      </c>
      <c r="C4111" t="s">
        <v>79</v>
      </c>
      <c r="D4111">
        <v>3.7944200000000002E-3</v>
      </c>
      <c r="E4111" t="s">
        <v>74</v>
      </c>
      <c r="F4111">
        <v>3.7944200000000001</v>
      </c>
      <c r="G4111" t="s">
        <v>75</v>
      </c>
      <c r="H4111">
        <v>3794.4169999999999</v>
      </c>
      <c r="I4111" t="s">
        <v>76</v>
      </c>
      <c r="J4111" t="s">
        <v>77</v>
      </c>
    </row>
    <row r="4112" spans="1:11" x14ac:dyDescent="0.3">
      <c r="A4112" t="s">
        <v>83</v>
      </c>
      <c r="B4112">
        <v>1000</v>
      </c>
      <c r="C4112" t="s">
        <v>94</v>
      </c>
      <c r="D4112">
        <v>2.6526000000000002E-3</v>
      </c>
      <c r="E4112" t="s">
        <v>74</v>
      </c>
      <c r="F4112">
        <v>2.6526000000000001</v>
      </c>
      <c r="G4112" t="s">
        <v>75</v>
      </c>
      <c r="H4112">
        <v>2652.6039999999998</v>
      </c>
      <c r="I4112" t="s">
        <v>76</v>
      </c>
      <c r="J4112" t="s">
        <v>77</v>
      </c>
    </row>
    <row r="4113" spans="1:11" x14ac:dyDescent="0.3">
      <c r="A4113" t="s">
        <v>83</v>
      </c>
      <c r="B4113">
        <v>1000</v>
      </c>
      <c r="C4113" t="s">
        <v>80</v>
      </c>
      <c r="D4113">
        <v>2.8074799999999998E-3</v>
      </c>
      <c r="E4113" t="s">
        <v>74</v>
      </c>
      <c r="F4113">
        <v>2.80748</v>
      </c>
      <c r="G4113" t="s">
        <v>75</v>
      </c>
      <c r="H4113">
        <v>2807.482</v>
      </c>
      <c r="I4113" t="s">
        <v>76</v>
      </c>
      <c r="J4113" t="s">
        <v>77</v>
      </c>
    </row>
    <row r="4114" spans="1:11" x14ac:dyDescent="0.3">
      <c r="A4114" t="s">
        <v>83</v>
      </c>
      <c r="B4114">
        <v>1000</v>
      </c>
      <c r="C4114" t="s">
        <v>81</v>
      </c>
      <c r="D4114">
        <v>6.6031800000000002E-3</v>
      </c>
      <c r="E4114" t="s">
        <v>74</v>
      </c>
      <c r="F4114">
        <v>6.60318</v>
      </c>
      <c r="G4114" t="s">
        <v>75</v>
      </c>
      <c r="H4114">
        <v>6603.1790000000001</v>
      </c>
      <c r="I4114" t="s">
        <v>76</v>
      </c>
      <c r="J4114" t="s">
        <v>82</v>
      </c>
      <c r="K4114">
        <v>151.44221830000001</v>
      </c>
    </row>
    <row r="4115" spans="1:11" x14ac:dyDescent="0.3">
      <c r="A4115" t="s">
        <v>84</v>
      </c>
      <c r="B4115">
        <v>1001</v>
      </c>
      <c r="C4115" t="s">
        <v>79</v>
      </c>
      <c r="D4115">
        <v>3.79628E-3</v>
      </c>
      <c r="E4115" t="s">
        <v>74</v>
      </c>
      <c r="F4115">
        <v>3.7962799999999999</v>
      </c>
      <c r="G4115" t="s">
        <v>75</v>
      </c>
      <c r="H4115">
        <v>3796.2779999999998</v>
      </c>
      <c r="I4115" t="s">
        <v>76</v>
      </c>
      <c r="J4115" t="s">
        <v>77</v>
      </c>
    </row>
    <row r="4116" spans="1:11" x14ac:dyDescent="0.3">
      <c r="A4116" t="s">
        <v>84</v>
      </c>
      <c r="B4116">
        <v>1001</v>
      </c>
      <c r="C4116" t="s">
        <v>94</v>
      </c>
      <c r="D4116">
        <v>2.6526100000000001E-3</v>
      </c>
      <c r="E4116" t="s">
        <v>74</v>
      </c>
      <c r="F4116">
        <v>2.6526100000000001</v>
      </c>
      <c r="G4116" t="s">
        <v>75</v>
      </c>
      <c r="H4116">
        <v>2652.614</v>
      </c>
      <c r="I4116" t="s">
        <v>76</v>
      </c>
      <c r="J4116" t="s">
        <v>77</v>
      </c>
    </row>
    <row r="4117" spans="1:11" x14ac:dyDescent="0.3">
      <c r="A4117" t="s">
        <v>84</v>
      </c>
      <c r="B4117">
        <v>1001</v>
      </c>
      <c r="C4117" t="s">
        <v>80</v>
      </c>
      <c r="D4117">
        <v>2.8075499999999998E-3</v>
      </c>
      <c r="E4117" t="s">
        <v>74</v>
      </c>
      <c r="F4117">
        <v>2.80755</v>
      </c>
      <c r="G4117" t="s">
        <v>75</v>
      </c>
      <c r="H4117">
        <v>2807.5549999999998</v>
      </c>
      <c r="I4117" t="s">
        <v>76</v>
      </c>
      <c r="J4117" t="s">
        <v>77</v>
      </c>
    </row>
    <row r="4118" spans="1:11" x14ac:dyDescent="0.3">
      <c r="A4118" t="s">
        <v>84</v>
      </c>
      <c r="B4118">
        <v>1001</v>
      </c>
      <c r="C4118" t="s">
        <v>81</v>
      </c>
      <c r="D4118">
        <v>6.60511E-3</v>
      </c>
      <c r="E4118" t="s">
        <v>74</v>
      </c>
      <c r="F4118">
        <v>6.6051099999999998</v>
      </c>
      <c r="G4118" t="s">
        <v>75</v>
      </c>
      <c r="H4118">
        <v>6605.1120000000001</v>
      </c>
      <c r="I4118" t="s">
        <v>76</v>
      </c>
      <c r="J4118" t="s">
        <v>82</v>
      </c>
      <c r="K4118">
        <v>151.39789529999999</v>
      </c>
    </row>
    <row r="4119" spans="1:11" x14ac:dyDescent="0.3">
      <c r="A4119" t="s">
        <v>85</v>
      </c>
      <c r="B4119">
        <v>1001</v>
      </c>
      <c r="C4119" t="s">
        <v>86</v>
      </c>
      <c r="D4119">
        <v>6.6053700000000002E-3</v>
      </c>
      <c r="E4119" t="s">
        <v>74</v>
      </c>
      <c r="F4119">
        <v>6.6053699999999997</v>
      </c>
      <c r="G4119" t="s">
        <v>75</v>
      </c>
      <c r="H4119">
        <v>6605.3720000000003</v>
      </c>
      <c r="I4119" t="s">
        <v>76</v>
      </c>
      <c r="J4119" t="s">
        <v>82</v>
      </c>
      <c r="K4119">
        <v>151.3919339</v>
      </c>
    </row>
    <row r="4120" spans="1:11" x14ac:dyDescent="0.3">
      <c r="A4120" t="s">
        <v>115</v>
      </c>
    </row>
    <row r="4121" spans="1:11" x14ac:dyDescent="0.3">
      <c r="A4121" t="s">
        <v>127</v>
      </c>
    </row>
    <row r="4122" spans="1:11" x14ac:dyDescent="0.3">
      <c r="A4122" t="s">
        <v>87</v>
      </c>
    </row>
    <row r="4123" spans="1:11" x14ac:dyDescent="0.3">
      <c r="A4123" t="s">
        <v>287</v>
      </c>
    </row>
    <row r="4124" spans="1:11" x14ac:dyDescent="0.3">
      <c r="A4124" t="s">
        <v>72</v>
      </c>
      <c r="B4124">
        <v>1</v>
      </c>
      <c r="C4124" t="s">
        <v>81</v>
      </c>
      <c r="D4124">
        <v>0.55553722000000005</v>
      </c>
      <c r="E4124" t="s">
        <v>74</v>
      </c>
      <c r="F4124">
        <v>555.53722000000005</v>
      </c>
      <c r="G4124" t="s">
        <v>75</v>
      </c>
      <c r="H4124">
        <v>555537.22400000005</v>
      </c>
      <c r="I4124" t="s">
        <v>76</v>
      </c>
      <c r="J4124" t="s">
        <v>82</v>
      </c>
      <c r="K4124">
        <v>1.8000594000000001</v>
      </c>
    </row>
    <row r="4125" spans="1:11" x14ac:dyDescent="0.3">
      <c r="A4125" t="s">
        <v>83</v>
      </c>
      <c r="B4125">
        <v>1000</v>
      </c>
      <c r="C4125" t="s">
        <v>81</v>
      </c>
      <c r="D4125">
        <v>5.9881700000000001E-3</v>
      </c>
      <c r="E4125" t="s">
        <v>74</v>
      </c>
      <c r="F4125">
        <v>5.9881700000000002</v>
      </c>
      <c r="G4125" t="s">
        <v>75</v>
      </c>
      <c r="H4125">
        <v>5988.1679999999997</v>
      </c>
      <c r="I4125" t="s">
        <v>76</v>
      </c>
      <c r="J4125" t="s">
        <v>82</v>
      </c>
      <c r="K4125">
        <v>166.99597610000001</v>
      </c>
    </row>
    <row r="4126" spans="1:11" x14ac:dyDescent="0.3">
      <c r="A4126" t="s">
        <v>85</v>
      </c>
      <c r="B4126">
        <v>1001</v>
      </c>
      <c r="C4126" t="s">
        <v>86</v>
      </c>
      <c r="D4126">
        <v>6.53734E-3</v>
      </c>
      <c r="E4126" t="s">
        <v>74</v>
      </c>
      <c r="F4126">
        <v>6.5373400000000004</v>
      </c>
      <c r="G4126" t="s">
        <v>75</v>
      </c>
      <c r="H4126">
        <v>6537.3419999999996</v>
      </c>
      <c r="I4126" t="s">
        <v>76</v>
      </c>
      <c r="J4126" t="s">
        <v>82</v>
      </c>
      <c r="K4126">
        <v>152.96737529999999</v>
      </c>
    </row>
    <row r="4128" spans="1:11" x14ac:dyDescent="0.3">
      <c r="A4128" t="s">
        <v>288</v>
      </c>
    </row>
    <row r="4129" spans="1:11" x14ac:dyDescent="0.3">
      <c r="A4129" t="s">
        <v>72</v>
      </c>
      <c r="B4129">
        <v>1</v>
      </c>
      <c r="C4129" t="s">
        <v>81</v>
      </c>
      <c r="D4129">
        <v>8.5381999999999993E-3</v>
      </c>
      <c r="E4129" t="s">
        <v>74</v>
      </c>
      <c r="F4129">
        <v>8.5381999999999998</v>
      </c>
      <c r="G4129" t="s">
        <v>75</v>
      </c>
      <c r="H4129">
        <v>8538.2000000000007</v>
      </c>
      <c r="I4129" t="s">
        <v>76</v>
      </c>
      <c r="J4129" t="s">
        <v>82</v>
      </c>
      <c r="K4129">
        <v>117.1207102</v>
      </c>
    </row>
    <row r="4130" spans="1:11" x14ac:dyDescent="0.3">
      <c r="A4130" t="s">
        <v>83</v>
      </c>
      <c r="B4130">
        <v>1000</v>
      </c>
      <c r="C4130" t="s">
        <v>81</v>
      </c>
      <c r="D4130">
        <v>6.6031800000000002E-3</v>
      </c>
      <c r="E4130" t="s">
        <v>74</v>
      </c>
      <c r="F4130">
        <v>6.60318</v>
      </c>
      <c r="G4130" t="s">
        <v>75</v>
      </c>
      <c r="H4130">
        <v>6603.1790000000001</v>
      </c>
      <c r="I4130" t="s">
        <v>76</v>
      </c>
      <c r="J4130" t="s">
        <v>82</v>
      </c>
      <c r="K4130">
        <v>151.44221830000001</v>
      </c>
    </row>
    <row r="4131" spans="1:11" x14ac:dyDescent="0.3">
      <c r="A4131" t="s">
        <v>85</v>
      </c>
      <c r="B4131">
        <v>1001</v>
      </c>
      <c r="C4131" t="s">
        <v>86</v>
      </c>
      <c r="D4131">
        <v>6.6053700000000002E-3</v>
      </c>
      <c r="E4131" t="s">
        <v>74</v>
      </c>
      <c r="F4131">
        <v>6.6053699999999997</v>
      </c>
      <c r="G4131" t="s">
        <v>75</v>
      </c>
      <c r="H4131">
        <v>6605.3720000000003</v>
      </c>
      <c r="I4131" t="s">
        <v>76</v>
      </c>
      <c r="J4131" t="s">
        <v>82</v>
      </c>
      <c r="K4131">
        <v>151.3919339</v>
      </c>
    </row>
    <row r="4133" spans="1:11" x14ac:dyDescent="0.3">
      <c r="A4133" t="s">
        <v>66</v>
      </c>
    </row>
    <row r="4135" spans="1:11" x14ac:dyDescent="0.3">
      <c r="A4135" t="s">
        <v>289</v>
      </c>
    </row>
    <row r="4136" spans="1:11" x14ac:dyDescent="0.3">
      <c r="A4136" t="s">
        <v>68</v>
      </c>
    </row>
    <row r="4137" spans="1:11" x14ac:dyDescent="0.3">
      <c r="A4137" t="s">
        <v>69</v>
      </c>
    </row>
    <row r="4138" spans="1:11" x14ac:dyDescent="0.3">
      <c r="A4138" t="s">
        <v>70</v>
      </c>
    </row>
    <row r="4139" spans="1:11" x14ac:dyDescent="0.3">
      <c r="A4139" t="s">
        <v>115</v>
      </c>
    </row>
    <row r="4140" spans="1:11" x14ac:dyDescent="0.3">
      <c r="A4140" t="s">
        <v>266</v>
      </c>
    </row>
    <row r="4141" spans="1:11" x14ac:dyDescent="0.3">
      <c r="A4141" t="s">
        <v>267</v>
      </c>
    </row>
    <row r="4142" spans="1:11" x14ac:dyDescent="0.3">
      <c r="A4142" t="s">
        <v>118</v>
      </c>
    </row>
    <row r="4143" spans="1:11" x14ac:dyDescent="0.3">
      <c r="A4143" t="s">
        <v>119</v>
      </c>
    </row>
    <row r="4144" spans="1:11" x14ac:dyDescent="0.3">
      <c r="A4144" t="s">
        <v>268</v>
      </c>
    </row>
    <row r="4145" spans="1:11" x14ac:dyDescent="0.3">
      <c r="A4145" t="s">
        <v>269</v>
      </c>
    </row>
    <row r="4146" spans="1:11" x14ac:dyDescent="0.3">
      <c r="A4146" t="s">
        <v>122</v>
      </c>
    </row>
    <row r="4147" spans="1:11" x14ac:dyDescent="0.3">
      <c r="A4147" t="s">
        <v>270</v>
      </c>
    </row>
    <row r="4148" spans="1:11" x14ac:dyDescent="0.3">
      <c r="A4148" t="s">
        <v>271</v>
      </c>
    </row>
    <row r="4149" spans="1:11" x14ac:dyDescent="0.3">
      <c r="A4149" t="s">
        <v>125</v>
      </c>
    </row>
    <row r="4150" spans="1:11" x14ac:dyDescent="0.3">
      <c r="A4150" t="s">
        <v>126</v>
      </c>
    </row>
    <row r="4151" spans="1:11" x14ac:dyDescent="0.3">
      <c r="A4151" t="s">
        <v>127</v>
      </c>
    </row>
    <row r="4152" spans="1:11" x14ac:dyDescent="0.3">
      <c r="A4152" t="s">
        <v>153</v>
      </c>
    </row>
    <row r="4153" spans="1:11" x14ac:dyDescent="0.3">
      <c r="A4153" t="s">
        <v>290</v>
      </c>
    </row>
    <row r="4154" spans="1:11" x14ac:dyDescent="0.3">
      <c r="A4154" t="s">
        <v>72</v>
      </c>
      <c r="B4154">
        <v>1</v>
      </c>
      <c r="C4154" t="s">
        <v>73</v>
      </c>
      <c r="D4154">
        <v>4.1999999999999996E-6</v>
      </c>
      <c r="E4154" t="s">
        <v>74</v>
      </c>
      <c r="F4154">
        <v>4.1999999999999997E-3</v>
      </c>
      <c r="G4154" t="s">
        <v>75</v>
      </c>
      <c r="H4154">
        <v>4.2</v>
      </c>
      <c r="I4154" t="s">
        <v>76</v>
      </c>
      <c r="J4154" t="s">
        <v>77</v>
      </c>
    </row>
    <row r="4155" spans="1:11" x14ac:dyDescent="0.3">
      <c r="A4155" t="s">
        <v>72</v>
      </c>
      <c r="B4155">
        <v>1</v>
      </c>
      <c r="C4155" t="s">
        <v>78</v>
      </c>
      <c r="D4155">
        <v>0.1099473</v>
      </c>
      <c r="E4155" t="s">
        <v>74</v>
      </c>
      <c r="F4155">
        <v>109.9473</v>
      </c>
      <c r="G4155" t="s">
        <v>75</v>
      </c>
      <c r="H4155">
        <v>109947.30100000001</v>
      </c>
      <c r="I4155" t="s">
        <v>76</v>
      </c>
      <c r="J4155" t="s">
        <v>77</v>
      </c>
    </row>
    <row r="4156" spans="1:11" x14ac:dyDescent="0.3">
      <c r="A4156" t="s">
        <v>72</v>
      </c>
      <c r="B4156">
        <v>1</v>
      </c>
      <c r="C4156" t="s">
        <v>79</v>
      </c>
      <c r="D4156">
        <v>0.59184289000000001</v>
      </c>
      <c r="E4156" t="s">
        <v>74</v>
      </c>
      <c r="F4156">
        <v>591.84289000000001</v>
      </c>
      <c r="G4156" t="s">
        <v>75</v>
      </c>
      <c r="H4156">
        <v>591842.89</v>
      </c>
      <c r="I4156" t="s">
        <v>76</v>
      </c>
      <c r="J4156" t="s">
        <v>77</v>
      </c>
    </row>
    <row r="4157" spans="1:11" x14ac:dyDescent="0.3">
      <c r="A4157" t="s">
        <v>72</v>
      </c>
      <c r="B4157">
        <v>1</v>
      </c>
      <c r="C4157" t="s">
        <v>94</v>
      </c>
      <c r="D4157">
        <v>1.79302E-2</v>
      </c>
      <c r="E4157" t="s">
        <v>74</v>
      </c>
      <c r="F4157">
        <v>17.930199999999999</v>
      </c>
      <c r="G4157" t="s">
        <v>75</v>
      </c>
      <c r="H4157">
        <v>17930.2</v>
      </c>
      <c r="I4157" t="s">
        <v>76</v>
      </c>
      <c r="J4157" t="s">
        <v>77</v>
      </c>
    </row>
    <row r="4158" spans="1:11" x14ac:dyDescent="0.3">
      <c r="A4158" t="s">
        <v>72</v>
      </c>
      <c r="B4158">
        <v>1</v>
      </c>
      <c r="C4158" t="s">
        <v>80</v>
      </c>
      <c r="D4158">
        <v>1.79308E-2</v>
      </c>
      <c r="E4158" t="s">
        <v>74</v>
      </c>
      <c r="F4158">
        <v>17.930800000000001</v>
      </c>
      <c r="G4158" t="s">
        <v>75</v>
      </c>
      <c r="H4158">
        <v>17930.8</v>
      </c>
      <c r="I4158" t="s">
        <v>76</v>
      </c>
      <c r="J4158" t="s">
        <v>77</v>
      </c>
    </row>
    <row r="4159" spans="1:11" x14ac:dyDescent="0.3">
      <c r="A4159" t="s">
        <v>72</v>
      </c>
      <c r="B4159">
        <v>1</v>
      </c>
      <c r="C4159" t="s">
        <v>81</v>
      </c>
      <c r="D4159">
        <v>0.60977608000000005</v>
      </c>
      <c r="E4159" t="s">
        <v>74</v>
      </c>
      <c r="F4159">
        <v>609.77607999999998</v>
      </c>
      <c r="G4159" t="s">
        <v>75</v>
      </c>
      <c r="H4159">
        <v>609776.07999999996</v>
      </c>
      <c r="I4159" t="s">
        <v>76</v>
      </c>
      <c r="J4159" t="s">
        <v>82</v>
      </c>
      <c r="K4159">
        <v>1.6399463000000001</v>
      </c>
    </row>
    <row r="4160" spans="1:11" x14ac:dyDescent="0.3">
      <c r="A4160" t="s">
        <v>83</v>
      </c>
      <c r="B4160">
        <v>1000</v>
      </c>
      <c r="C4160" t="s">
        <v>79</v>
      </c>
      <c r="D4160">
        <v>4.9719E-4</v>
      </c>
      <c r="E4160" t="s">
        <v>74</v>
      </c>
      <c r="F4160">
        <v>0.49719000000000002</v>
      </c>
      <c r="G4160" t="s">
        <v>75</v>
      </c>
      <c r="H4160">
        <v>497.18900000000002</v>
      </c>
      <c r="I4160" t="s">
        <v>76</v>
      </c>
      <c r="J4160" t="s">
        <v>77</v>
      </c>
    </row>
    <row r="4161" spans="1:11" x14ac:dyDescent="0.3">
      <c r="A4161" t="s">
        <v>83</v>
      </c>
      <c r="B4161">
        <v>1000</v>
      </c>
      <c r="C4161" t="s">
        <v>94</v>
      </c>
      <c r="D4161">
        <v>1.8621899999999999E-3</v>
      </c>
      <c r="E4161" t="s">
        <v>74</v>
      </c>
      <c r="F4161">
        <v>1.86219</v>
      </c>
      <c r="G4161" t="s">
        <v>75</v>
      </c>
      <c r="H4161">
        <v>1862.193</v>
      </c>
      <c r="I4161" t="s">
        <v>76</v>
      </c>
      <c r="J4161" t="s">
        <v>77</v>
      </c>
    </row>
    <row r="4162" spans="1:11" x14ac:dyDescent="0.3">
      <c r="A4162" t="s">
        <v>83</v>
      </c>
      <c r="B4162">
        <v>1000</v>
      </c>
      <c r="C4162" t="s">
        <v>80</v>
      </c>
      <c r="D4162">
        <v>1.8624900000000001E-3</v>
      </c>
      <c r="E4162" t="s">
        <v>74</v>
      </c>
      <c r="F4162">
        <v>1.86249</v>
      </c>
      <c r="G4162" t="s">
        <v>75</v>
      </c>
      <c r="H4162">
        <v>1862.4860000000001</v>
      </c>
      <c r="I4162" t="s">
        <v>76</v>
      </c>
      <c r="J4162" t="s">
        <v>77</v>
      </c>
    </row>
    <row r="4163" spans="1:11" x14ac:dyDescent="0.3">
      <c r="A4163" t="s">
        <v>83</v>
      </c>
      <c r="B4163">
        <v>1000</v>
      </c>
      <c r="C4163" t="s">
        <v>81</v>
      </c>
      <c r="D4163">
        <v>2.3600800000000001E-3</v>
      </c>
      <c r="E4163" t="s">
        <v>74</v>
      </c>
      <c r="F4163">
        <v>2.36008</v>
      </c>
      <c r="G4163" t="s">
        <v>75</v>
      </c>
      <c r="H4163">
        <v>2360.0839999999998</v>
      </c>
      <c r="I4163" t="s">
        <v>76</v>
      </c>
      <c r="J4163" t="s">
        <v>82</v>
      </c>
      <c r="K4163">
        <v>423.7138076</v>
      </c>
    </row>
    <row r="4164" spans="1:11" x14ac:dyDescent="0.3">
      <c r="A4164" t="s">
        <v>84</v>
      </c>
      <c r="B4164">
        <v>1001</v>
      </c>
      <c r="C4164" t="s">
        <v>79</v>
      </c>
      <c r="D4164">
        <v>1.0879500000000001E-3</v>
      </c>
      <c r="E4164" t="s">
        <v>74</v>
      </c>
      <c r="F4164">
        <v>1.08795</v>
      </c>
      <c r="G4164" t="s">
        <v>75</v>
      </c>
      <c r="H4164">
        <v>1087.9459999999999</v>
      </c>
      <c r="I4164" t="s">
        <v>76</v>
      </c>
      <c r="J4164" t="s">
        <v>77</v>
      </c>
    </row>
    <row r="4165" spans="1:11" x14ac:dyDescent="0.3">
      <c r="A4165" t="s">
        <v>84</v>
      </c>
      <c r="B4165">
        <v>1001</v>
      </c>
      <c r="C4165" t="s">
        <v>94</v>
      </c>
      <c r="D4165">
        <v>1.87824E-3</v>
      </c>
      <c r="E4165" t="s">
        <v>74</v>
      </c>
      <c r="F4165">
        <v>1.8782399999999999</v>
      </c>
      <c r="G4165" t="s">
        <v>75</v>
      </c>
      <c r="H4165">
        <v>1878.2449999999999</v>
      </c>
      <c r="I4165" t="s">
        <v>76</v>
      </c>
      <c r="J4165" t="s">
        <v>77</v>
      </c>
    </row>
    <row r="4166" spans="1:11" x14ac:dyDescent="0.3">
      <c r="A4166" t="s">
        <v>84</v>
      </c>
      <c r="B4166">
        <v>1001</v>
      </c>
      <c r="C4166" t="s">
        <v>80</v>
      </c>
      <c r="D4166">
        <v>1.8785399999999999E-3</v>
      </c>
      <c r="E4166" t="s">
        <v>74</v>
      </c>
      <c r="F4166">
        <v>1.8785400000000001</v>
      </c>
      <c r="G4166" t="s">
        <v>75</v>
      </c>
      <c r="H4166">
        <v>1878.538</v>
      </c>
      <c r="I4166" t="s">
        <v>76</v>
      </c>
      <c r="J4166" t="s">
        <v>77</v>
      </c>
    </row>
    <row r="4167" spans="1:11" x14ac:dyDescent="0.3">
      <c r="A4167" t="s">
        <v>84</v>
      </c>
      <c r="B4167">
        <v>1001</v>
      </c>
      <c r="C4167" t="s">
        <v>81</v>
      </c>
      <c r="D4167">
        <v>2.9668899999999998E-3</v>
      </c>
      <c r="E4167" t="s">
        <v>74</v>
      </c>
      <c r="F4167">
        <v>2.9668899999999998</v>
      </c>
      <c r="G4167" t="s">
        <v>75</v>
      </c>
      <c r="H4167">
        <v>2966.8919999999998</v>
      </c>
      <c r="I4167" t="s">
        <v>76</v>
      </c>
      <c r="J4167" t="s">
        <v>82</v>
      </c>
      <c r="K4167">
        <v>337.0530516</v>
      </c>
    </row>
    <row r="4168" spans="1:11" x14ac:dyDescent="0.3">
      <c r="A4168" t="s">
        <v>85</v>
      </c>
      <c r="B4168">
        <v>1001</v>
      </c>
      <c r="C4168" t="s">
        <v>86</v>
      </c>
      <c r="D4168">
        <v>2.9671300000000001E-3</v>
      </c>
      <c r="E4168" t="s">
        <v>74</v>
      </c>
      <c r="F4168">
        <v>2.96713</v>
      </c>
      <c r="G4168" t="s">
        <v>75</v>
      </c>
      <c r="H4168">
        <v>2967.134</v>
      </c>
      <c r="I4168" t="s">
        <v>76</v>
      </c>
      <c r="J4168" t="s">
        <v>82</v>
      </c>
      <c r="K4168">
        <v>337.02550839999998</v>
      </c>
    </row>
    <row r="4169" spans="1:11" x14ac:dyDescent="0.3">
      <c r="A4169" t="s">
        <v>155</v>
      </c>
    </row>
    <row r="4170" spans="1:11" x14ac:dyDescent="0.3">
      <c r="A4170" t="s">
        <v>291</v>
      </c>
    </row>
    <row r="4171" spans="1:11" x14ac:dyDescent="0.3">
      <c r="A4171" t="s">
        <v>72</v>
      </c>
      <c r="B4171">
        <v>1</v>
      </c>
      <c r="C4171" t="s">
        <v>73</v>
      </c>
      <c r="D4171">
        <v>4.1999999999999996E-6</v>
      </c>
      <c r="E4171" t="s">
        <v>74</v>
      </c>
      <c r="F4171">
        <v>4.1999999999999997E-3</v>
      </c>
      <c r="G4171" t="s">
        <v>75</v>
      </c>
      <c r="H4171">
        <v>4.2</v>
      </c>
      <c r="I4171" t="s">
        <v>76</v>
      </c>
      <c r="J4171" t="s">
        <v>77</v>
      </c>
    </row>
    <row r="4172" spans="1:11" x14ac:dyDescent="0.3">
      <c r="A4172" t="s">
        <v>72</v>
      </c>
      <c r="B4172">
        <v>1</v>
      </c>
      <c r="C4172" t="s">
        <v>78</v>
      </c>
      <c r="D4172">
        <v>7.2009999999999999E-4</v>
      </c>
      <c r="E4172" t="s">
        <v>74</v>
      </c>
      <c r="F4172">
        <v>0.72009999999999996</v>
      </c>
      <c r="G4172" t="s">
        <v>75</v>
      </c>
      <c r="H4172">
        <v>720.1</v>
      </c>
      <c r="I4172" t="s">
        <v>76</v>
      </c>
      <c r="J4172" t="s">
        <v>77</v>
      </c>
    </row>
    <row r="4173" spans="1:11" x14ac:dyDescent="0.3">
      <c r="A4173" t="s">
        <v>72</v>
      </c>
      <c r="B4173">
        <v>1</v>
      </c>
      <c r="C4173" t="s">
        <v>79</v>
      </c>
      <c r="D4173">
        <v>7.2706000000000003E-3</v>
      </c>
      <c r="E4173" t="s">
        <v>74</v>
      </c>
      <c r="F4173">
        <v>7.2706</v>
      </c>
      <c r="G4173" t="s">
        <v>75</v>
      </c>
      <c r="H4173">
        <v>7270.6</v>
      </c>
      <c r="I4173" t="s">
        <v>76</v>
      </c>
      <c r="J4173" t="s">
        <v>77</v>
      </c>
    </row>
    <row r="4174" spans="1:11" x14ac:dyDescent="0.3">
      <c r="A4174" t="s">
        <v>72</v>
      </c>
      <c r="B4174">
        <v>1</v>
      </c>
      <c r="C4174" t="s">
        <v>94</v>
      </c>
      <c r="D4174">
        <v>2.93239E-2</v>
      </c>
      <c r="E4174" t="s">
        <v>74</v>
      </c>
      <c r="F4174">
        <v>29.323899999999998</v>
      </c>
      <c r="G4174" t="s">
        <v>75</v>
      </c>
      <c r="H4174">
        <v>29323.9</v>
      </c>
      <c r="I4174" t="s">
        <v>76</v>
      </c>
      <c r="J4174" t="s">
        <v>77</v>
      </c>
    </row>
    <row r="4175" spans="1:11" x14ac:dyDescent="0.3">
      <c r="A4175" t="s">
        <v>72</v>
      </c>
      <c r="B4175">
        <v>1</v>
      </c>
      <c r="C4175" t="s">
        <v>80</v>
      </c>
      <c r="D4175">
        <v>2.93245E-2</v>
      </c>
      <c r="E4175" t="s">
        <v>74</v>
      </c>
      <c r="F4175">
        <v>29.3245</v>
      </c>
      <c r="G4175" t="s">
        <v>75</v>
      </c>
      <c r="H4175">
        <v>29324.5</v>
      </c>
      <c r="I4175" t="s">
        <v>76</v>
      </c>
      <c r="J4175" t="s">
        <v>77</v>
      </c>
    </row>
    <row r="4176" spans="1:11" x14ac:dyDescent="0.3">
      <c r="A4176" t="s">
        <v>72</v>
      </c>
      <c r="B4176">
        <v>1</v>
      </c>
      <c r="C4176" t="s">
        <v>81</v>
      </c>
      <c r="D4176">
        <v>3.6595900000000001E-2</v>
      </c>
      <c r="E4176" t="s">
        <v>74</v>
      </c>
      <c r="F4176">
        <v>36.5959</v>
      </c>
      <c r="G4176" t="s">
        <v>75</v>
      </c>
      <c r="H4176">
        <v>36595.9</v>
      </c>
      <c r="I4176" t="s">
        <v>76</v>
      </c>
      <c r="J4176" t="s">
        <v>82</v>
      </c>
      <c r="K4176">
        <v>27.325465699999999</v>
      </c>
    </row>
    <row r="4177" spans="1:11" x14ac:dyDescent="0.3">
      <c r="A4177" t="s">
        <v>83</v>
      </c>
      <c r="B4177">
        <v>1000</v>
      </c>
      <c r="C4177" t="s">
        <v>79</v>
      </c>
      <c r="D4177">
        <v>4.8732000000000002E-4</v>
      </c>
      <c r="E4177" t="s">
        <v>74</v>
      </c>
      <c r="F4177">
        <v>0.48731999999999998</v>
      </c>
      <c r="G4177" t="s">
        <v>75</v>
      </c>
      <c r="H4177">
        <v>487.32100000000003</v>
      </c>
      <c r="I4177" t="s">
        <v>76</v>
      </c>
      <c r="J4177" t="s">
        <v>77</v>
      </c>
    </row>
    <row r="4178" spans="1:11" x14ac:dyDescent="0.3">
      <c r="A4178" t="s">
        <v>83</v>
      </c>
      <c r="B4178">
        <v>1000</v>
      </c>
      <c r="C4178" t="s">
        <v>94</v>
      </c>
      <c r="D4178">
        <v>2.4291099999999999E-3</v>
      </c>
      <c r="E4178" t="s">
        <v>74</v>
      </c>
      <c r="F4178">
        <v>2.4291100000000001</v>
      </c>
      <c r="G4178" t="s">
        <v>75</v>
      </c>
      <c r="H4178">
        <v>2429.1109999999999</v>
      </c>
      <c r="I4178" t="s">
        <v>76</v>
      </c>
      <c r="J4178" t="s">
        <v>77</v>
      </c>
    </row>
    <row r="4179" spans="1:11" x14ac:dyDescent="0.3">
      <c r="A4179" t="s">
        <v>83</v>
      </c>
      <c r="B4179">
        <v>1000</v>
      </c>
      <c r="C4179" t="s">
        <v>80</v>
      </c>
      <c r="D4179">
        <v>2.5465100000000001E-3</v>
      </c>
      <c r="E4179" t="s">
        <v>74</v>
      </c>
      <c r="F4179">
        <v>2.5465100000000001</v>
      </c>
      <c r="G4179" t="s">
        <v>75</v>
      </c>
      <c r="H4179">
        <v>2546.511</v>
      </c>
      <c r="I4179" t="s">
        <v>76</v>
      </c>
      <c r="J4179" t="s">
        <v>77</v>
      </c>
    </row>
    <row r="4180" spans="1:11" x14ac:dyDescent="0.3">
      <c r="A4180" t="s">
        <v>83</v>
      </c>
      <c r="B4180">
        <v>1000</v>
      </c>
      <c r="C4180" t="s">
        <v>81</v>
      </c>
      <c r="D4180">
        <v>3.0346399999999999E-3</v>
      </c>
      <c r="E4180" t="s">
        <v>74</v>
      </c>
      <c r="F4180">
        <v>3.03464</v>
      </c>
      <c r="G4180" t="s">
        <v>75</v>
      </c>
      <c r="H4180">
        <v>3034.64</v>
      </c>
      <c r="I4180" t="s">
        <v>76</v>
      </c>
      <c r="J4180" t="s">
        <v>82</v>
      </c>
      <c r="K4180">
        <v>329.52839690000002</v>
      </c>
    </row>
    <row r="4181" spans="1:11" x14ac:dyDescent="0.3">
      <c r="A4181" t="s">
        <v>84</v>
      </c>
      <c r="B4181">
        <v>1001</v>
      </c>
      <c r="C4181" t="s">
        <v>79</v>
      </c>
      <c r="D4181">
        <v>4.9410000000000003E-4</v>
      </c>
      <c r="E4181" t="s">
        <v>74</v>
      </c>
      <c r="F4181">
        <v>0.49409999999999998</v>
      </c>
      <c r="G4181" t="s">
        <v>75</v>
      </c>
      <c r="H4181">
        <v>494.09699999999998</v>
      </c>
      <c r="I4181" t="s">
        <v>76</v>
      </c>
      <c r="J4181" t="s">
        <v>77</v>
      </c>
    </row>
    <row r="4182" spans="1:11" x14ac:dyDescent="0.3">
      <c r="A4182" t="s">
        <v>84</v>
      </c>
      <c r="B4182">
        <v>1001</v>
      </c>
      <c r="C4182" t="s">
        <v>94</v>
      </c>
      <c r="D4182">
        <v>2.45598E-3</v>
      </c>
      <c r="E4182" t="s">
        <v>74</v>
      </c>
      <c r="F4182">
        <v>2.4559799999999998</v>
      </c>
      <c r="G4182" t="s">
        <v>75</v>
      </c>
      <c r="H4182">
        <v>2455.98</v>
      </c>
      <c r="I4182" t="s">
        <v>76</v>
      </c>
      <c r="J4182" t="s">
        <v>77</v>
      </c>
    </row>
    <row r="4183" spans="1:11" x14ac:dyDescent="0.3">
      <c r="A4183" t="s">
        <v>84</v>
      </c>
      <c r="B4183">
        <v>1001</v>
      </c>
      <c r="C4183" t="s">
        <v>80</v>
      </c>
      <c r="D4183">
        <v>2.57326E-3</v>
      </c>
      <c r="E4183" t="s">
        <v>74</v>
      </c>
      <c r="F4183">
        <v>2.5732599999999999</v>
      </c>
      <c r="G4183" t="s">
        <v>75</v>
      </c>
      <c r="H4183">
        <v>2573.2620000000002</v>
      </c>
      <c r="I4183" t="s">
        <v>76</v>
      </c>
      <c r="J4183" t="s">
        <v>77</v>
      </c>
    </row>
    <row r="4184" spans="1:11" x14ac:dyDescent="0.3">
      <c r="A4184" t="s">
        <v>84</v>
      </c>
      <c r="B4184">
        <v>1001</v>
      </c>
      <c r="C4184" t="s">
        <v>81</v>
      </c>
      <c r="D4184">
        <v>3.0681699999999998E-3</v>
      </c>
      <c r="E4184" t="s">
        <v>74</v>
      </c>
      <c r="F4184">
        <v>3.0681699999999998</v>
      </c>
      <c r="G4184" t="s">
        <v>75</v>
      </c>
      <c r="H4184">
        <v>3068.1680000000001</v>
      </c>
      <c r="I4184" t="s">
        <v>76</v>
      </c>
      <c r="J4184" t="s">
        <v>82</v>
      </c>
      <c r="K4184">
        <v>325.92737219999998</v>
      </c>
    </row>
    <row r="4185" spans="1:11" x14ac:dyDescent="0.3">
      <c r="A4185" t="s">
        <v>85</v>
      </c>
      <c r="B4185">
        <v>1001</v>
      </c>
      <c r="C4185" t="s">
        <v>86</v>
      </c>
      <c r="D4185">
        <v>3.0684200000000001E-3</v>
      </c>
      <c r="E4185" t="s">
        <v>74</v>
      </c>
      <c r="F4185">
        <v>3.0684200000000001</v>
      </c>
      <c r="G4185" t="s">
        <v>75</v>
      </c>
      <c r="H4185">
        <v>3068.4169999999999</v>
      </c>
      <c r="I4185" t="s">
        <v>76</v>
      </c>
      <c r="J4185" t="s">
        <v>82</v>
      </c>
      <c r="K4185">
        <v>325.90090889999999</v>
      </c>
    </row>
    <row r="4186" spans="1:11" x14ac:dyDescent="0.3">
      <c r="A4186" t="s">
        <v>115</v>
      </c>
    </row>
    <row r="4187" spans="1:11" x14ac:dyDescent="0.3">
      <c r="A4187" t="s">
        <v>127</v>
      </c>
    </row>
    <row r="4188" spans="1:11" x14ac:dyDescent="0.3">
      <c r="A4188" t="s">
        <v>87</v>
      </c>
    </row>
    <row r="4189" spans="1:11" x14ac:dyDescent="0.3">
      <c r="A4189" t="s">
        <v>292</v>
      </c>
    </row>
    <row r="4190" spans="1:11" x14ac:dyDescent="0.3">
      <c r="A4190" t="s">
        <v>72</v>
      </c>
      <c r="B4190">
        <v>1</v>
      </c>
      <c r="C4190" t="s">
        <v>81</v>
      </c>
      <c r="D4190">
        <v>0.60977608000000005</v>
      </c>
      <c r="E4190" t="s">
        <v>74</v>
      </c>
      <c r="F4190">
        <v>609.77607999999998</v>
      </c>
      <c r="G4190" t="s">
        <v>75</v>
      </c>
      <c r="H4190">
        <v>609776.07999999996</v>
      </c>
      <c r="I4190" t="s">
        <v>76</v>
      </c>
      <c r="J4190" t="s">
        <v>82</v>
      </c>
      <c r="K4190">
        <v>1.6399463000000001</v>
      </c>
    </row>
    <row r="4191" spans="1:11" x14ac:dyDescent="0.3">
      <c r="A4191" t="s">
        <v>83</v>
      </c>
      <c r="B4191">
        <v>1000</v>
      </c>
      <c r="C4191" t="s">
        <v>81</v>
      </c>
      <c r="D4191">
        <v>2.3600800000000001E-3</v>
      </c>
      <c r="E4191" t="s">
        <v>74</v>
      </c>
      <c r="F4191">
        <v>2.36008</v>
      </c>
      <c r="G4191" t="s">
        <v>75</v>
      </c>
      <c r="H4191">
        <v>2360.0839999999998</v>
      </c>
      <c r="I4191" t="s">
        <v>76</v>
      </c>
      <c r="J4191" t="s">
        <v>82</v>
      </c>
      <c r="K4191">
        <v>423.7138076</v>
      </c>
    </row>
    <row r="4192" spans="1:11" x14ac:dyDescent="0.3">
      <c r="A4192" t="s">
        <v>85</v>
      </c>
      <c r="B4192">
        <v>1001</v>
      </c>
      <c r="C4192" t="s">
        <v>86</v>
      </c>
      <c r="D4192">
        <v>2.9671300000000001E-3</v>
      </c>
      <c r="E4192" t="s">
        <v>74</v>
      </c>
      <c r="F4192">
        <v>2.96713</v>
      </c>
      <c r="G4192" t="s">
        <v>75</v>
      </c>
      <c r="H4192">
        <v>2967.134</v>
      </c>
      <c r="I4192" t="s">
        <v>76</v>
      </c>
      <c r="J4192" t="s">
        <v>82</v>
      </c>
      <c r="K4192">
        <v>337.02550839999998</v>
      </c>
    </row>
    <row r="4194" spans="1:11" x14ac:dyDescent="0.3">
      <c r="A4194" t="s">
        <v>293</v>
      </c>
    </row>
    <row r="4195" spans="1:11" x14ac:dyDescent="0.3">
      <c r="A4195" t="s">
        <v>72</v>
      </c>
      <c r="B4195">
        <v>1</v>
      </c>
      <c r="C4195" t="s">
        <v>81</v>
      </c>
      <c r="D4195">
        <v>3.6595900000000001E-2</v>
      </c>
      <c r="E4195" t="s">
        <v>74</v>
      </c>
      <c r="F4195">
        <v>36.5959</v>
      </c>
      <c r="G4195" t="s">
        <v>75</v>
      </c>
      <c r="H4195">
        <v>36595.9</v>
      </c>
      <c r="I4195" t="s">
        <v>76</v>
      </c>
      <c r="J4195" t="s">
        <v>82</v>
      </c>
      <c r="K4195">
        <v>27.325465699999999</v>
      </c>
    </row>
    <row r="4196" spans="1:11" x14ac:dyDescent="0.3">
      <c r="A4196" t="s">
        <v>83</v>
      </c>
      <c r="B4196">
        <v>1000</v>
      </c>
      <c r="C4196" t="s">
        <v>81</v>
      </c>
      <c r="D4196">
        <v>3.0346399999999999E-3</v>
      </c>
      <c r="E4196" t="s">
        <v>74</v>
      </c>
      <c r="F4196">
        <v>3.03464</v>
      </c>
      <c r="G4196" t="s">
        <v>75</v>
      </c>
      <c r="H4196">
        <v>3034.64</v>
      </c>
      <c r="I4196" t="s">
        <v>76</v>
      </c>
      <c r="J4196" t="s">
        <v>82</v>
      </c>
      <c r="K4196">
        <v>329.52839690000002</v>
      </c>
    </row>
    <row r="4197" spans="1:11" x14ac:dyDescent="0.3">
      <c r="A4197" t="s">
        <v>85</v>
      </c>
      <c r="B4197">
        <v>1001</v>
      </c>
      <c r="C4197" t="s">
        <v>86</v>
      </c>
      <c r="D4197">
        <v>3.0684200000000001E-3</v>
      </c>
      <c r="E4197" t="s">
        <v>74</v>
      </c>
      <c r="F4197">
        <v>3.0684200000000001</v>
      </c>
      <c r="G4197" t="s">
        <v>75</v>
      </c>
      <c r="H4197">
        <v>3068.4169999999999</v>
      </c>
      <c r="I4197" t="s">
        <v>76</v>
      </c>
      <c r="J4197" t="s">
        <v>82</v>
      </c>
      <c r="K4197">
        <v>325.90090889999999</v>
      </c>
    </row>
    <row r="4199" spans="1:11" x14ac:dyDescent="0.3">
      <c r="A4199" t="s">
        <v>66</v>
      </c>
    </row>
    <row r="4201" spans="1:11" x14ac:dyDescent="0.3">
      <c r="A4201" t="s">
        <v>294</v>
      </c>
    </row>
    <row r="4202" spans="1:11" x14ac:dyDescent="0.3">
      <c r="A4202" t="s">
        <v>68</v>
      </c>
    </row>
    <row r="4203" spans="1:11" x14ac:dyDescent="0.3">
      <c r="A4203" t="s">
        <v>69</v>
      </c>
    </row>
    <row r="4204" spans="1:11" x14ac:dyDescent="0.3">
      <c r="A4204" t="s">
        <v>70</v>
      </c>
    </row>
    <row r="4205" spans="1:11" x14ac:dyDescent="0.3">
      <c r="A4205" t="s">
        <v>115</v>
      </c>
    </row>
    <row r="4206" spans="1:11" x14ac:dyDescent="0.3">
      <c r="A4206" t="s">
        <v>266</v>
      </c>
    </row>
    <row r="4207" spans="1:11" x14ac:dyDescent="0.3">
      <c r="A4207" t="s">
        <v>267</v>
      </c>
    </row>
    <row r="4208" spans="1:11" x14ac:dyDescent="0.3">
      <c r="A4208" t="s">
        <v>118</v>
      </c>
    </row>
    <row r="4209" spans="1:10" x14ac:dyDescent="0.3">
      <c r="A4209" t="s">
        <v>119</v>
      </c>
    </row>
    <row r="4210" spans="1:10" x14ac:dyDescent="0.3">
      <c r="A4210" t="s">
        <v>268</v>
      </c>
    </row>
    <row r="4211" spans="1:10" x14ac:dyDescent="0.3">
      <c r="A4211" t="s">
        <v>269</v>
      </c>
    </row>
    <row r="4212" spans="1:10" x14ac:dyDescent="0.3">
      <c r="A4212" t="s">
        <v>122</v>
      </c>
    </row>
    <row r="4213" spans="1:10" x14ac:dyDescent="0.3">
      <c r="A4213" t="s">
        <v>270</v>
      </c>
    </row>
    <row r="4214" spans="1:10" x14ac:dyDescent="0.3">
      <c r="A4214" t="s">
        <v>271</v>
      </c>
    </row>
    <row r="4215" spans="1:10" x14ac:dyDescent="0.3">
      <c r="A4215" t="s">
        <v>125</v>
      </c>
    </row>
    <row r="4216" spans="1:10" x14ac:dyDescent="0.3">
      <c r="A4216" t="s">
        <v>126</v>
      </c>
    </row>
    <row r="4217" spans="1:10" x14ac:dyDescent="0.3">
      <c r="A4217" t="s">
        <v>127</v>
      </c>
    </row>
    <row r="4218" spans="1:10" x14ac:dyDescent="0.3">
      <c r="A4218" t="s">
        <v>160</v>
      </c>
    </row>
    <row r="4219" spans="1:10" x14ac:dyDescent="0.3">
      <c r="A4219" t="s">
        <v>295</v>
      </c>
    </row>
    <row r="4220" spans="1:10" x14ac:dyDescent="0.3">
      <c r="A4220" t="s">
        <v>72</v>
      </c>
      <c r="B4220">
        <v>1</v>
      </c>
      <c r="C4220" t="s">
        <v>73</v>
      </c>
      <c r="D4220">
        <v>3.8999999999999999E-6</v>
      </c>
      <c r="E4220" t="s">
        <v>74</v>
      </c>
      <c r="F4220">
        <v>3.8999999999999998E-3</v>
      </c>
      <c r="G4220" t="s">
        <v>75</v>
      </c>
      <c r="H4220">
        <v>3.9</v>
      </c>
      <c r="I4220" t="s">
        <v>76</v>
      </c>
      <c r="J4220" t="s">
        <v>77</v>
      </c>
    </row>
    <row r="4221" spans="1:10" x14ac:dyDescent="0.3">
      <c r="A4221" t="s">
        <v>72</v>
      </c>
      <c r="B4221">
        <v>1</v>
      </c>
      <c r="C4221" t="s">
        <v>78</v>
      </c>
      <c r="D4221">
        <v>0.1103635</v>
      </c>
      <c r="E4221" t="s">
        <v>74</v>
      </c>
      <c r="F4221">
        <v>110.3635</v>
      </c>
      <c r="G4221" t="s">
        <v>75</v>
      </c>
      <c r="H4221">
        <v>110363.49800000001</v>
      </c>
      <c r="I4221" t="s">
        <v>76</v>
      </c>
      <c r="J4221" t="s">
        <v>77</v>
      </c>
    </row>
    <row r="4222" spans="1:10" x14ac:dyDescent="0.3">
      <c r="A4222" t="s">
        <v>72</v>
      </c>
      <c r="B4222">
        <v>1</v>
      </c>
      <c r="C4222" t="s">
        <v>79</v>
      </c>
      <c r="D4222">
        <v>0.1216522</v>
      </c>
      <c r="E4222" t="s">
        <v>74</v>
      </c>
      <c r="F4222">
        <v>121.65219999999999</v>
      </c>
      <c r="G4222" t="s">
        <v>75</v>
      </c>
      <c r="H4222">
        <v>121652.201</v>
      </c>
      <c r="I4222" t="s">
        <v>76</v>
      </c>
      <c r="J4222" t="s">
        <v>77</v>
      </c>
    </row>
    <row r="4223" spans="1:10" x14ac:dyDescent="0.3">
      <c r="A4223" t="s">
        <v>72</v>
      </c>
      <c r="B4223">
        <v>1</v>
      </c>
      <c r="C4223" t="s">
        <v>94</v>
      </c>
      <c r="D4223">
        <v>0.1036953</v>
      </c>
      <c r="E4223" t="s">
        <v>74</v>
      </c>
      <c r="F4223">
        <v>103.6953</v>
      </c>
      <c r="G4223" t="s">
        <v>75</v>
      </c>
      <c r="H4223">
        <v>103695.303</v>
      </c>
      <c r="I4223" t="s">
        <v>76</v>
      </c>
      <c r="J4223" t="s">
        <v>77</v>
      </c>
    </row>
    <row r="4224" spans="1:10" x14ac:dyDescent="0.3">
      <c r="A4224" t="s">
        <v>72</v>
      </c>
      <c r="B4224">
        <v>1</v>
      </c>
      <c r="C4224" t="s">
        <v>80</v>
      </c>
      <c r="D4224">
        <v>0.1036961</v>
      </c>
      <c r="E4224" t="s">
        <v>74</v>
      </c>
      <c r="F4224">
        <v>103.6961</v>
      </c>
      <c r="G4224" t="s">
        <v>75</v>
      </c>
      <c r="H4224">
        <v>103696.1</v>
      </c>
      <c r="I4224" t="s">
        <v>76</v>
      </c>
      <c r="J4224" t="s">
        <v>77</v>
      </c>
    </row>
    <row r="4225" spans="1:11" x14ac:dyDescent="0.3">
      <c r="A4225" t="s">
        <v>72</v>
      </c>
      <c r="B4225">
        <v>1</v>
      </c>
      <c r="C4225" t="s">
        <v>81</v>
      </c>
      <c r="D4225">
        <v>0.22535089999999999</v>
      </c>
      <c r="E4225" t="s">
        <v>74</v>
      </c>
      <c r="F4225">
        <v>225.3509</v>
      </c>
      <c r="G4225" t="s">
        <v>75</v>
      </c>
      <c r="H4225">
        <v>225350.90100000001</v>
      </c>
      <c r="I4225" t="s">
        <v>76</v>
      </c>
      <c r="J4225" t="s">
        <v>82</v>
      </c>
      <c r="K4225">
        <v>4.4375239000000004</v>
      </c>
    </row>
    <row r="4226" spans="1:11" x14ac:dyDescent="0.3">
      <c r="A4226" t="s">
        <v>83</v>
      </c>
      <c r="B4226">
        <v>1000</v>
      </c>
      <c r="C4226" t="s">
        <v>79</v>
      </c>
      <c r="D4226">
        <v>4.9631999999999996E-4</v>
      </c>
      <c r="E4226" t="s">
        <v>74</v>
      </c>
      <c r="F4226">
        <v>0.49631999999999998</v>
      </c>
      <c r="G4226" t="s">
        <v>75</v>
      </c>
      <c r="H4226">
        <v>496.31799999999998</v>
      </c>
      <c r="I4226" t="s">
        <v>76</v>
      </c>
      <c r="J4226" t="s">
        <v>77</v>
      </c>
    </row>
    <row r="4227" spans="1:11" x14ac:dyDescent="0.3">
      <c r="A4227" t="s">
        <v>83</v>
      </c>
      <c r="B4227">
        <v>1000</v>
      </c>
      <c r="C4227" t="s">
        <v>94</v>
      </c>
      <c r="D4227">
        <v>7.3404000000000004E-4</v>
      </c>
      <c r="E4227" t="s">
        <v>74</v>
      </c>
      <c r="F4227">
        <v>0.73404000000000003</v>
      </c>
      <c r="G4227" t="s">
        <v>75</v>
      </c>
      <c r="H4227">
        <v>734.03800000000001</v>
      </c>
      <c r="I4227" t="s">
        <v>76</v>
      </c>
      <c r="J4227" t="s">
        <v>77</v>
      </c>
    </row>
    <row r="4228" spans="1:11" x14ac:dyDescent="0.3">
      <c r="A4228" t="s">
        <v>83</v>
      </c>
      <c r="B4228">
        <v>1000</v>
      </c>
      <c r="C4228" t="s">
        <v>80</v>
      </c>
      <c r="D4228">
        <v>7.3424999999999999E-4</v>
      </c>
      <c r="E4228" t="s">
        <v>74</v>
      </c>
      <c r="F4228">
        <v>0.73424999999999996</v>
      </c>
      <c r="G4228" t="s">
        <v>75</v>
      </c>
      <c r="H4228">
        <v>734.24699999999996</v>
      </c>
      <c r="I4228" t="s">
        <v>76</v>
      </c>
      <c r="J4228" t="s">
        <v>77</v>
      </c>
    </row>
    <row r="4229" spans="1:11" x14ac:dyDescent="0.3">
      <c r="A4229" t="s">
        <v>83</v>
      </c>
      <c r="B4229">
        <v>1000</v>
      </c>
      <c r="C4229" t="s">
        <v>81</v>
      </c>
      <c r="D4229">
        <v>1.23112E-3</v>
      </c>
      <c r="E4229" t="s">
        <v>74</v>
      </c>
      <c r="F4229">
        <v>1.23112</v>
      </c>
      <c r="G4229" t="s">
        <v>75</v>
      </c>
      <c r="H4229">
        <v>1231.116</v>
      </c>
      <c r="I4229" t="s">
        <v>76</v>
      </c>
      <c r="J4229" t="s">
        <v>82</v>
      </c>
      <c r="K4229">
        <v>812.27142000000003</v>
      </c>
    </row>
    <row r="4230" spans="1:11" x14ac:dyDescent="0.3">
      <c r="A4230" t="s">
        <v>84</v>
      </c>
      <c r="B4230">
        <v>1001</v>
      </c>
      <c r="C4230" t="s">
        <v>79</v>
      </c>
      <c r="D4230">
        <v>6.1735000000000002E-4</v>
      </c>
      <c r="E4230" t="s">
        <v>74</v>
      </c>
      <c r="F4230">
        <v>0.61734999999999995</v>
      </c>
      <c r="G4230" t="s">
        <v>75</v>
      </c>
      <c r="H4230">
        <v>617.35299999999995</v>
      </c>
      <c r="I4230" t="s">
        <v>76</v>
      </c>
      <c r="J4230" t="s">
        <v>77</v>
      </c>
    </row>
    <row r="4231" spans="1:11" x14ac:dyDescent="0.3">
      <c r="A4231" t="s">
        <v>84</v>
      </c>
      <c r="B4231">
        <v>1001</v>
      </c>
      <c r="C4231" t="s">
        <v>94</v>
      </c>
      <c r="D4231">
        <v>8.3690000000000001E-4</v>
      </c>
      <c r="E4231" t="s">
        <v>74</v>
      </c>
      <c r="F4231">
        <v>0.83689999999999998</v>
      </c>
      <c r="G4231" t="s">
        <v>75</v>
      </c>
      <c r="H4231">
        <v>836.89700000000005</v>
      </c>
      <c r="I4231" t="s">
        <v>76</v>
      </c>
      <c r="J4231" t="s">
        <v>77</v>
      </c>
    </row>
    <row r="4232" spans="1:11" x14ac:dyDescent="0.3">
      <c r="A4232" t="s">
        <v>84</v>
      </c>
      <c r="B4232">
        <v>1001</v>
      </c>
      <c r="C4232" t="s">
        <v>80</v>
      </c>
      <c r="D4232">
        <v>8.3710999999999996E-4</v>
      </c>
      <c r="E4232" t="s">
        <v>74</v>
      </c>
      <c r="F4232">
        <v>0.83711000000000002</v>
      </c>
      <c r="G4232" t="s">
        <v>75</v>
      </c>
      <c r="H4232">
        <v>837.10599999999999</v>
      </c>
      <c r="I4232" t="s">
        <v>76</v>
      </c>
      <c r="J4232" t="s">
        <v>77</v>
      </c>
    </row>
    <row r="4233" spans="1:11" x14ac:dyDescent="0.3">
      <c r="A4233" t="s">
        <v>84</v>
      </c>
      <c r="B4233">
        <v>1001</v>
      </c>
      <c r="C4233" t="s">
        <v>81</v>
      </c>
      <c r="D4233">
        <v>1.4550100000000001E-3</v>
      </c>
      <c r="E4233" t="s">
        <v>74</v>
      </c>
      <c r="F4233">
        <v>1.4550099999999999</v>
      </c>
      <c r="G4233" t="s">
        <v>75</v>
      </c>
      <c r="H4233">
        <v>1455.011</v>
      </c>
      <c r="I4233" t="s">
        <v>76</v>
      </c>
      <c r="J4233" t="s">
        <v>82</v>
      </c>
      <c r="K4233">
        <v>687.27993919999994</v>
      </c>
    </row>
    <row r="4234" spans="1:11" x14ac:dyDescent="0.3">
      <c r="A4234" t="s">
        <v>85</v>
      </c>
      <c r="B4234">
        <v>1001</v>
      </c>
      <c r="C4234" t="s">
        <v>86</v>
      </c>
      <c r="D4234">
        <v>1.4551500000000001E-3</v>
      </c>
      <c r="E4234" t="s">
        <v>74</v>
      </c>
      <c r="F4234">
        <v>1.4551499999999999</v>
      </c>
      <c r="G4234" t="s">
        <v>75</v>
      </c>
      <c r="H4234">
        <v>1455.1510000000001</v>
      </c>
      <c r="I4234" t="s">
        <v>76</v>
      </c>
      <c r="J4234" t="s">
        <v>82</v>
      </c>
      <c r="K4234">
        <v>687.21412989999999</v>
      </c>
    </row>
    <row r="4235" spans="1:11" x14ac:dyDescent="0.3">
      <c r="A4235" t="s">
        <v>162</v>
      </c>
    </row>
    <row r="4236" spans="1:11" x14ac:dyDescent="0.3">
      <c r="A4236" t="s">
        <v>296</v>
      </c>
    </row>
    <row r="4237" spans="1:11" x14ac:dyDescent="0.3">
      <c r="A4237" t="s">
        <v>72</v>
      </c>
      <c r="B4237">
        <v>1</v>
      </c>
      <c r="C4237" t="s">
        <v>73</v>
      </c>
      <c r="D4237">
        <v>3.8999999999999999E-6</v>
      </c>
      <c r="E4237" t="s">
        <v>74</v>
      </c>
      <c r="F4237">
        <v>3.8999999999999998E-3</v>
      </c>
      <c r="G4237" t="s">
        <v>75</v>
      </c>
      <c r="H4237">
        <v>3.9</v>
      </c>
      <c r="I4237" t="s">
        <v>76</v>
      </c>
      <c r="J4237" t="s">
        <v>77</v>
      </c>
    </row>
    <row r="4238" spans="1:11" x14ac:dyDescent="0.3">
      <c r="A4238" t="s">
        <v>72</v>
      </c>
      <c r="B4238">
        <v>1</v>
      </c>
      <c r="C4238" t="s">
        <v>78</v>
      </c>
      <c r="D4238">
        <v>7.1929999999999997E-4</v>
      </c>
      <c r="E4238" t="s">
        <v>74</v>
      </c>
      <c r="F4238">
        <v>0.71930000000000005</v>
      </c>
      <c r="G4238" t="s">
        <v>75</v>
      </c>
      <c r="H4238">
        <v>719.3</v>
      </c>
      <c r="I4238" t="s">
        <v>76</v>
      </c>
      <c r="J4238" t="s">
        <v>77</v>
      </c>
    </row>
    <row r="4239" spans="1:11" x14ac:dyDescent="0.3">
      <c r="A4239" t="s">
        <v>72</v>
      </c>
      <c r="B4239">
        <v>1</v>
      </c>
      <c r="C4239" t="s">
        <v>79</v>
      </c>
      <c r="D4239">
        <v>7.1945000000000004E-3</v>
      </c>
      <c r="E4239" t="s">
        <v>74</v>
      </c>
      <c r="F4239">
        <v>7.1944999999999997</v>
      </c>
      <c r="G4239" t="s">
        <v>75</v>
      </c>
      <c r="H4239">
        <v>7194.5</v>
      </c>
      <c r="I4239" t="s">
        <v>76</v>
      </c>
      <c r="J4239" t="s">
        <v>77</v>
      </c>
    </row>
    <row r="4240" spans="1:11" x14ac:dyDescent="0.3">
      <c r="A4240" t="s">
        <v>72</v>
      </c>
      <c r="B4240">
        <v>1</v>
      </c>
      <c r="C4240" t="s">
        <v>94</v>
      </c>
      <c r="D4240">
        <v>2.8844499999999999E-2</v>
      </c>
      <c r="E4240" t="s">
        <v>74</v>
      </c>
      <c r="F4240">
        <v>28.8445</v>
      </c>
      <c r="G4240" t="s">
        <v>75</v>
      </c>
      <c r="H4240">
        <v>28844.5</v>
      </c>
      <c r="I4240" t="s">
        <v>76</v>
      </c>
      <c r="J4240" t="s">
        <v>77</v>
      </c>
    </row>
    <row r="4241" spans="1:11" x14ac:dyDescent="0.3">
      <c r="A4241" t="s">
        <v>72</v>
      </c>
      <c r="B4241">
        <v>1</v>
      </c>
      <c r="C4241" t="s">
        <v>80</v>
      </c>
      <c r="D4241">
        <v>2.8845099999999999E-2</v>
      </c>
      <c r="E4241" t="s">
        <v>74</v>
      </c>
      <c r="F4241">
        <v>28.845099999999999</v>
      </c>
      <c r="G4241" t="s">
        <v>75</v>
      </c>
      <c r="H4241">
        <v>28845.1</v>
      </c>
      <c r="I4241" t="s">
        <v>76</v>
      </c>
      <c r="J4241" t="s">
        <v>77</v>
      </c>
    </row>
    <row r="4242" spans="1:11" x14ac:dyDescent="0.3">
      <c r="A4242" t="s">
        <v>72</v>
      </c>
      <c r="B4242">
        <v>1</v>
      </c>
      <c r="C4242" t="s">
        <v>81</v>
      </c>
      <c r="D4242">
        <v>3.60404E-2</v>
      </c>
      <c r="E4242" t="s">
        <v>74</v>
      </c>
      <c r="F4242">
        <v>36.040399999999998</v>
      </c>
      <c r="G4242" t="s">
        <v>75</v>
      </c>
      <c r="H4242">
        <v>36040.398999999998</v>
      </c>
      <c r="I4242" t="s">
        <v>76</v>
      </c>
      <c r="J4242" t="s">
        <v>82</v>
      </c>
      <c r="K4242">
        <v>27.746640500000002</v>
      </c>
    </row>
    <row r="4243" spans="1:11" x14ac:dyDescent="0.3">
      <c r="A4243" t="s">
        <v>83</v>
      </c>
      <c r="B4243">
        <v>1000</v>
      </c>
      <c r="C4243" t="s">
        <v>79</v>
      </c>
      <c r="D4243">
        <v>5.1409000000000003E-4</v>
      </c>
      <c r="E4243" t="s">
        <v>74</v>
      </c>
      <c r="F4243">
        <v>0.51409000000000005</v>
      </c>
      <c r="G4243" t="s">
        <v>75</v>
      </c>
      <c r="H4243">
        <v>514.08900000000006</v>
      </c>
      <c r="I4243" t="s">
        <v>76</v>
      </c>
      <c r="J4243" t="s">
        <v>77</v>
      </c>
    </row>
    <row r="4244" spans="1:11" x14ac:dyDescent="0.3">
      <c r="A4244" t="s">
        <v>83</v>
      </c>
      <c r="B4244">
        <v>1000</v>
      </c>
      <c r="C4244" t="s">
        <v>94</v>
      </c>
      <c r="D4244">
        <v>1.31284E-3</v>
      </c>
      <c r="E4244" t="s">
        <v>74</v>
      </c>
      <c r="F4244">
        <v>1.31284</v>
      </c>
      <c r="G4244" t="s">
        <v>75</v>
      </c>
      <c r="H4244">
        <v>1312.8420000000001</v>
      </c>
      <c r="I4244" t="s">
        <v>76</v>
      </c>
      <c r="J4244" t="s">
        <v>77</v>
      </c>
    </row>
    <row r="4245" spans="1:11" x14ac:dyDescent="0.3">
      <c r="A4245" t="s">
        <v>83</v>
      </c>
      <c r="B4245">
        <v>1000</v>
      </c>
      <c r="C4245" t="s">
        <v>80</v>
      </c>
      <c r="D4245">
        <v>1.43914E-3</v>
      </c>
      <c r="E4245" t="s">
        <v>74</v>
      </c>
      <c r="F4245">
        <v>1.4391400000000001</v>
      </c>
      <c r="G4245" t="s">
        <v>75</v>
      </c>
      <c r="H4245">
        <v>1439.1389999999999</v>
      </c>
      <c r="I4245" t="s">
        <v>76</v>
      </c>
      <c r="J4245" t="s">
        <v>77</v>
      </c>
    </row>
    <row r="4246" spans="1:11" x14ac:dyDescent="0.3">
      <c r="A4246" t="s">
        <v>83</v>
      </c>
      <c r="B4246">
        <v>1000</v>
      </c>
      <c r="C4246" t="s">
        <v>81</v>
      </c>
      <c r="D4246">
        <v>1.9540199999999999E-3</v>
      </c>
      <c r="E4246" t="s">
        <v>74</v>
      </c>
      <c r="F4246">
        <v>1.9540200000000001</v>
      </c>
      <c r="G4246" t="s">
        <v>75</v>
      </c>
      <c r="H4246">
        <v>1954.0229999999999</v>
      </c>
      <c r="I4246" t="s">
        <v>76</v>
      </c>
      <c r="J4246" t="s">
        <v>82</v>
      </c>
      <c r="K4246">
        <v>511.76470189999998</v>
      </c>
    </row>
    <row r="4247" spans="1:11" x14ac:dyDescent="0.3">
      <c r="A4247" t="s">
        <v>84</v>
      </c>
      <c r="B4247">
        <v>1001</v>
      </c>
      <c r="C4247" t="s">
        <v>79</v>
      </c>
      <c r="D4247">
        <v>5.2075999999999999E-4</v>
      </c>
      <c r="E4247" t="s">
        <v>74</v>
      </c>
      <c r="F4247">
        <v>0.52076</v>
      </c>
      <c r="G4247" t="s">
        <v>75</v>
      </c>
      <c r="H4247">
        <v>520.76300000000003</v>
      </c>
      <c r="I4247" t="s">
        <v>76</v>
      </c>
      <c r="J4247" t="s">
        <v>77</v>
      </c>
    </row>
    <row r="4248" spans="1:11" x14ac:dyDescent="0.3">
      <c r="A4248" t="s">
        <v>84</v>
      </c>
      <c r="B4248">
        <v>1001</v>
      </c>
      <c r="C4248" t="s">
        <v>94</v>
      </c>
      <c r="D4248">
        <v>1.3403499999999999E-3</v>
      </c>
      <c r="E4248" t="s">
        <v>74</v>
      </c>
      <c r="F4248">
        <v>1.3403499999999999</v>
      </c>
      <c r="G4248" t="s">
        <v>75</v>
      </c>
      <c r="H4248">
        <v>1340.346</v>
      </c>
      <c r="I4248" t="s">
        <v>76</v>
      </c>
      <c r="J4248" t="s">
        <v>77</v>
      </c>
    </row>
    <row r="4249" spans="1:11" x14ac:dyDescent="0.3">
      <c r="A4249" t="s">
        <v>84</v>
      </c>
      <c r="B4249">
        <v>1001</v>
      </c>
      <c r="C4249" t="s">
        <v>80</v>
      </c>
      <c r="D4249">
        <v>1.46652E-3</v>
      </c>
      <c r="E4249" t="s">
        <v>74</v>
      </c>
      <c r="F4249">
        <v>1.46652</v>
      </c>
      <c r="G4249" t="s">
        <v>75</v>
      </c>
      <c r="H4249">
        <v>1466.518</v>
      </c>
      <c r="I4249" t="s">
        <v>76</v>
      </c>
      <c r="J4249" t="s">
        <v>77</v>
      </c>
    </row>
    <row r="4250" spans="1:11" x14ac:dyDescent="0.3">
      <c r="A4250" t="s">
        <v>84</v>
      </c>
      <c r="B4250">
        <v>1001</v>
      </c>
      <c r="C4250" t="s">
        <v>81</v>
      </c>
      <c r="D4250">
        <v>1.9880800000000001E-3</v>
      </c>
      <c r="E4250" t="s">
        <v>74</v>
      </c>
      <c r="F4250">
        <v>1.9880800000000001</v>
      </c>
      <c r="G4250" t="s">
        <v>75</v>
      </c>
      <c r="H4250">
        <v>1988.076</v>
      </c>
      <c r="I4250" t="s">
        <v>76</v>
      </c>
      <c r="J4250" t="s">
        <v>82</v>
      </c>
      <c r="K4250">
        <v>502.99895249999997</v>
      </c>
    </row>
    <row r="4251" spans="1:11" x14ac:dyDescent="0.3">
      <c r="A4251" t="s">
        <v>85</v>
      </c>
      <c r="B4251">
        <v>1001</v>
      </c>
      <c r="C4251" t="s">
        <v>86</v>
      </c>
      <c r="D4251">
        <v>1.9882799999999998E-3</v>
      </c>
      <c r="E4251" t="s">
        <v>74</v>
      </c>
      <c r="F4251">
        <v>1.98828</v>
      </c>
      <c r="G4251" t="s">
        <v>75</v>
      </c>
      <c r="H4251">
        <v>1988.28</v>
      </c>
      <c r="I4251" t="s">
        <v>76</v>
      </c>
      <c r="J4251" t="s">
        <v>82</v>
      </c>
      <c r="K4251">
        <v>502.94716299999999</v>
      </c>
    </row>
    <row r="4252" spans="1:11" x14ac:dyDescent="0.3">
      <c r="A4252" t="s">
        <v>115</v>
      </c>
    </row>
    <row r="4253" spans="1:11" x14ac:dyDescent="0.3">
      <c r="A4253" t="s">
        <v>127</v>
      </c>
    </row>
    <row r="4254" spans="1:11" x14ac:dyDescent="0.3">
      <c r="A4254" t="s">
        <v>87</v>
      </c>
    </row>
    <row r="4255" spans="1:11" x14ac:dyDescent="0.3">
      <c r="A4255" t="s">
        <v>297</v>
      </c>
    </row>
    <row r="4256" spans="1:11" x14ac:dyDescent="0.3">
      <c r="A4256" t="s">
        <v>72</v>
      </c>
      <c r="B4256">
        <v>1</v>
      </c>
      <c r="C4256" t="s">
        <v>81</v>
      </c>
      <c r="D4256">
        <v>0.22535089999999999</v>
      </c>
      <c r="E4256" t="s">
        <v>74</v>
      </c>
      <c r="F4256">
        <v>225.3509</v>
      </c>
      <c r="G4256" t="s">
        <v>75</v>
      </c>
      <c r="H4256">
        <v>225350.90100000001</v>
      </c>
      <c r="I4256" t="s">
        <v>76</v>
      </c>
      <c r="J4256" t="s">
        <v>82</v>
      </c>
      <c r="K4256">
        <v>4.4375239000000004</v>
      </c>
    </row>
    <row r="4257" spans="1:11" x14ac:dyDescent="0.3">
      <c r="A4257" t="s">
        <v>83</v>
      </c>
      <c r="B4257">
        <v>1000</v>
      </c>
      <c r="C4257" t="s">
        <v>81</v>
      </c>
      <c r="D4257">
        <v>1.23112E-3</v>
      </c>
      <c r="E4257" t="s">
        <v>74</v>
      </c>
      <c r="F4257">
        <v>1.23112</v>
      </c>
      <c r="G4257" t="s">
        <v>75</v>
      </c>
      <c r="H4257">
        <v>1231.116</v>
      </c>
      <c r="I4257" t="s">
        <v>76</v>
      </c>
      <c r="J4257" t="s">
        <v>82</v>
      </c>
      <c r="K4257">
        <v>812.27142000000003</v>
      </c>
    </row>
    <row r="4258" spans="1:11" x14ac:dyDescent="0.3">
      <c r="A4258" t="s">
        <v>85</v>
      </c>
      <c r="B4258">
        <v>1001</v>
      </c>
      <c r="C4258" t="s">
        <v>86</v>
      </c>
      <c r="D4258">
        <v>1.4551500000000001E-3</v>
      </c>
      <c r="E4258" t="s">
        <v>74</v>
      </c>
      <c r="F4258">
        <v>1.4551499999999999</v>
      </c>
      <c r="G4258" t="s">
        <v>75</v>
      </c>
      <c r="H4258">
        <v>1455.1510000000001</v>
      </c>
      <c r="I4258" t="s">
        <v>76</v>
      </c>
      <c r="J4258" t="s">
        <v>82</v>
      </c>
      <c r="K4258">
        <v>687.21412989999999</v>
      </c>
    </row>
    <row r="4260" spans="1:11" x14ac:dyDescent="0.3">
      <c r="A4260" t="s">
        <v>298</v>
      </c>
    </row>
    <row r="4261" spans="1:11" x14ac:dyDescent="0.3">
      <c r="A4261" t="s">
        <v>72</v>
      </c>
      <c r="B4261">
        <v>1</v>
      </c>
      <c r="C4261" t="s">
        <v>81</v>
      </c>
      <c r="D4261">
        <v>3.60404E-2</v>
      </c>
      <c r="E4261" t="s">
        <v>74</v>
      </c>
      <c r="F4261">
        <v>36.040399999999998</v>
      </c>
      <c r="G4261" t="s">
        <v>75</v>
      </c>
      <c r="H4261">
        <v>36040.398999999998</v>
      </c>
      <c r="I4261" t="s">
        <v>76</v>
      </c>
      <c r="J4261" t="s">
        <v>82</v>
      </c>
      <c r="K4261">
        <v>27.746640500000002</v>
      </c>
    </row>
    <row r="4262" spans="1:11" x14ac:dyDescent="0.3">
      <c r="A4262" t="s">
        <v>83</v>
      </c>
      <c r="B4262">
        <v>1000</v>
      </c>
      <c r="C4262" t="s">
        <v>81</v>
      </c>
      <c r="D4262">
        <v>1.9540199999999999E-3</v>
      </c>
      <c r="E4262" t="s">
        <v>74</v>
      </c>
      <c r="F4262">
        <v>1.9540200000000001</v>
      </c>
      <c r="G4262" t="s">
        <v>75</v>
      </c>
      <c r="H4262">
        <v>1954.0229999999999</v>
      </c>
      <c r="I4262" t="s">
        <v>76</v>
      </c>
      <c r="J4262" t="s">
        <v>82</v>
      </c>
      <c r="K4262">
        <v>511.76470189999998</v>
      </c>
    </row>
    <row r="4263" spans="1:11" x14ac:dyDescent="0.3">
      <c r="A4263" t="s">
        <v>85</v>
      </c>
      <c r="B4263">
        <v>1001</v>
      </c>
      <c r="C4263" t="s">
        <v>86</v>
      </c>
      <c r="D4263">
        <v>1.9882799999999998E-3</v>
      </c>
      <c r="E4263" t="s">
        <v>74</v>
      </c>
      <c r="F4263">
        <v>1.98828</v>
      </c>
      <c r="G4263" t="s">
        <v>75</v>
      </c>
      <c r="H4263">
        <v>1988.28</v>
      </c>
      <c r="I4263" t="s">
        <v>76</v>
      </c>
      <c r="J4263" t="s">
        <v>82</v>
      </c>
      <c r="K4263">
        <v>502.94716299999999</v>
      </c>
    </row>
    <row r="4265" spans="1:11" x14ac:dyDescent="0.3">
      <c r="A4265" t="s">
        <v>66</v>
      </c>
    </row>
    <row r="4267" spans="1:11" x14ac:dyDescent="0.3">
      <c r="A4267" t="s">
        <v>299</v>
      </c>
    </row>
    <row r="4268" spans="1:11" x14ac:dyDescent="0.3">
      <c r="A4268" t="s">
        <v>68</v>
      </c>
    </row>
    <row r="4269" spans="1:11" x14ac:dyDescent="0.3">
      <c r="A4269" t="s">
        <v>69</v>
      </c>
    </row>
    <row r="4270" spans="1:11" x14ac:dyDescent="0.3">
      <c r="A4270" t="s">
        <v>70</v>
      </c>
    </row>
    <row r="4271" spans="1:11" x14ac:dyDescent="0.3">
      <c r="A4271" t="s">
        <v>115</v>
      </c>
    </row>
    <row r="4272" spans="1:11" x14ac:dyDescent="0.3">
      <c r="A4272" t="s">
        <v>266</v>
      </c>
    </row>
    <row r="4273" spans="1:10" x14ac:dyDescent="0.3">
      <c r="A4273" t="s">
        <v>267</v>
      </c>
    </row>
    <row r="4274" spans="1:10" x14ac:dyDescent="0.3">
      <c r="A4274" t="s">
        <v>118</v>
      </c>
    </row>
    <row r="4275" spans="1:10" x14ac:dyDescent="0.3">
      <c r="A4275" t="s">
        <v>119</v>
      </c>
    </row>
    <row r="4276" spans="1:10" x14ac:dyDescent="0.3">
      <c r="A4276" t="s">
        <v>268</v>
      </c>
    </row>
    <row r="4277" spans="1:10" x14ac:dyDescent="0.3">
      <c r="A4277" t="s">
        <v>269</v>
      </c>
    </row>
    <row r="4278" spans="1:10" x14ac:dyDescent="0.3">
      <c r="A4278" t="s">
        <v>122</v>
      </c>
    </row>
    <row r="4279" spans="1:10" x14ac:dyDescent="0.3">
      <c r="A4279" t="s">
        <v>270</v>
      </c>
    </row>
    <row r="4280" spans="1:10" x14ac:dyDescent="0.3">
      <c r="A4280" t="s">
        <v>271</v>
      </c>
    </row>
    <row r="4281" spans="1:10" x14ac:dyDescent="0.3">
      <c r="A4281" t="s">
        <v>125</v>
      </c>
    </row>
    <row r="4282" spans="1:10" x14ac:dyDescent="0.3">
      <c r="A4282" t="s">
        <v>126</v>
      </c>
    </row>
    <row r="4283" spans="1:10" x14ac:dyDescent="0.3">
      <c r="A4283" t="s">
        <v>127</v>
      </c>
    </row>
    <row r="4284" spans="1:10" x14ac:dyDescent="0.3">
      <c r="A4284" t="s">
        <v>167</v>
      </c>
    </row>
    <row r="4285" spans="1:10" x14ac:dyDescent="0.3">
      <c r="A4285" t="s">
        <v>300</v>
      </c>
    </row>
    <row r="4286" spans="1:10" x14ac:dyDescent="0.3">
      <c r="A4286" t="s">
        <v>72</v>
      </c>
      <c r="B4286">
        <v>1</v>
      </c>
      <c r="C4286" t="s">
        <v>73</v>
      </c>
      <c r="D4286">
        <v>4.1999999999999996E-6</v>
      </c>
      <c r="E4286" t="s">
        <v>74</v>
      </c>
      <c r="F4286">
        <v>4.1999999999999997E-3</v>
      </c>
      <c r="G4286" t="s">
        <v>75</v>
      </c>
      <c r="H4286">
        <v>4.2</v>
      </c>
      <c r="I4286" t="s">
        <v>76</v>
      </c>
      <c r="J4286" t="s">
        <v>77</v>
      </c>
    </row>
    <row r="4287" spans="1:10" x14ac:dyDescent="0.3">
      <c r="A4287" t="s">
        <v>72</v>
      </c>
      <c r="B4287">
        <v>1</v>
      </c>
      <c r="C4287" t="s">
        <v>78</v>
      </c>
      <c r="D4287">
        <v>0.13871849999999999</v>
      </c>
      <c r="E4287" t="s">
        <v>74</v>
      </c>
      <c r="F4287">
        <v>138.71850000000001</v>
      </c>
      <c r="G4287" t="s">
        <v>75</v>
      </c>
      <c r="H4287">
        <v>138718.50099999999</v>
      </c>
      <c r="I4287" t="s">
        <v>76</v>
      </c>
      <c r="J4287" t="s">
        <v>77</v>
      </c>
    </row>
    <row r="4288" spans="1:10" x14ac:dyDescent="0.3">
      <c r="A4288" t="s">
        <v>72</v>
      </c>
      <c r="B4288">
        <v>1</v>
      </c>
      <c r="C4288" t="s">
        <v>79</v>
      </c>
      <c r="D4288">
        <v>0.57852930000000002</v>
      </c>
      <c r="E4288" t="s">
        <v>74</v>
      </c>
      <c r="F4288">
        <v>578.52930000000003</v>
      </c>
      <c r="G4288" t="s">
        <v>75</v>
      </c>
      <c r="H4288">
        <v>578529.29799999995</v>
      </c>
      <c r="I4288" t="s">
        <v>76</v>
      </c>
      <c r="J4288" t="s">
        <v>77</v>
      </c>
    </row>
    <row r="4289" spans="1:11" x14ac:dyDescent="0.3">
      <c r="A4289" t="s">
        <v>72</v>
      </c>
      <c r="B4289">
        <v>1</v>
      </c>
      <c r="C4289" t="s">
        <v>94</v>
      </c>
      <c r="D4289">
        <v>0.1017198</v>
      </c>
      <c r="E4289" t="s">
        <v>74</v>
      </c>
      <c r="F4289">
        <v>101.71980000000001</v>
      </c>
      <c r="G4289" t="s">
        <v>75</v>
      </c>
      <c r="H4289">
        <v>101719.79700000001</v>
      </c>
      <c r="I4289" t="s">
        <v>76</v>
      </c>
      <c r="J4289" t="s">
        <v>77</v>
      </c>
    </row>
    <row r="4290" spans="1:11" x14ac:dyDescent="0.3">
      <c r="A4290" t="s">
        <v>72</v>
      </c>
      <c r="B4290">
        <v>1</v>
      </c>
      <c r="C4290" t="s">
        <v>80</v>
      </c>
      <c r="D4290">
        <v>0.10172059999999999</v>
      </c>
      <c r="E4290" t="s">
        <v>74</v>
      </c>
      <c r="F4290">
        <v>101.7206</v>
      </c>
      <c r="G4290" t="s">
        <v>75</v>
      </c>
      <c r="H4290">
        <v>101720.601</v>
      </c>
      <c r="I4290" t="s">
        <v>76</v>
      </c>
      <c r="J4290" t="s">
        <v>77</v>
      </c>
    </row>
    <row r="4291" spans="1:11" x14ac:dyDescent="0.3">
      <c r="A4291" t="s">
        <v>72</v>
      </c>
      <c r="B4291">
        <v>1</v>
      </c>
      <c r="C4291" t="s">
        <v>81</v>
      </c>
      <c r="D4291">
        <v>0.68025267</v>
      </c>
      <c r="E4291" t="s">
        <v>74</v>
      </c>
      <c r="F4291">
        <v>680.25266999999997</v>
      </c>
      <c r="G4291" t="s">
        <v>75</v>
      </c>
      <c r="H4291">
        <v>680252.67099999997</v>
      </c>
      <c r="I4291" t="s">
        <v>76</v>
      </c>
      <c r="J4291" t="s">
        <v>82</v>
      </c>
      <c r="K4291">
        <v>1.4700420000000001</v>
      </c>
    </row>
    <row r="4292" spans="1:11" x14ac:dyDescent="0.3">
      <c r="A4292" t="s">
        <v>83</v>
      </c>
      <c r="B4292">
        <v>1000</v>
      </c>
      <c r="C4292" t="s">
        <v>79</v>
      </c>
      <c r="D4292">
        <v>5.0653999999999999E-4</v>
      </c>
      <c r="E4292" t="s">
        <v>74</v>
      </c>
      <c r="F4292">
        <v>0.50653999999999999</v>
      </c>
      <c r="G4292" t="s">
        <v>75</v>
      </c>
      <c r="H4292">
        <v>506.53500000000003</v>
      </c>
      <c r="I4292" t="s">
        <v>76</v>
      </c>
      <c r="J4292" t="s">
        <v>77</v>
      </c>
    </row>
    <row r="4293" spans="1:11" x14ac:dyDescent="0.3">
      <c r="A4293" t="s">
        <v>83</v>
      </c>
      <c r="B4293">
        <v>1000</v>
      </c>
      <c r="C4293" t="s">
        <v>94</v>
      </c>
      <c r="D4293">
        <v>7.2077000000000003E-4</v>
      </c>
      <c r="E4293" t="s">
        <v>74</v>
      </c>
      <c r="F4293">
        <v>0.72077000000000002</v>
      </c>
      <c r="G4293" t="s">
        <v>75</v>
      </c>
      <c r="H4293">
        <v>720.76800000000003</v>
      </c>
      <c r="I4293" t="s">
        <v>76</v>
      </c>
      <c r="J4293" t="s">
        <v>77</v>
      </c>
    </row>
    <row r="4294" spans="1:11" x14ac:dyDescent="0.3">
      <c r="A4294" t="s">
        <v>83</v>
      </c>
      <c r="B4294">
        <v>1000</v>
      </c>
      <c r="C4294" t="s">
        <v>80</v>
      </c>
      <c r="D4294">
        <v>7.2097999999999997E-4</v>
      </c>
      <c r="E4294" t="s">
        <v>74</v>
      </c>
      <c r="F4294">
        <v>0.72097999999999995</v>
      </c>
      <c r="G4294" t="s">
        <v>75</v>
      </c>
      <c r="H4294">
        <v>720.97900000000004</v>
      </c>
      <c r="I4294" t="s">
        <v>76</v>
      </c>
      <c r="J4294" t="s">
        <v>77</v>
      </c>
    </row>
    <row r="4295" spans="1:11" x14ac:dyDescent="0.3">
      <c r="A4295" t="s">
        <v>83</v>
      </c>
      <c r="B4295">
        <v>1000</v>
      </c>
      <c r="C4295" t="s">
        <v>81</v>
      </c>
      <c r="D4295">
        <v>1.2279599999999999E-3</v>
      </c>
      <c r="E4295" t="s">
        <v>74</v>
      </c>
      <c r="F4295">
        <v>1.2279599999999999</v>
      </c>
      <c r="G4295" t="s">
        <v>75</v>
      </c>
      <c r="H4295">
        <v>1227.9649999999999</v>
      </c>
      <c r="I4295" t="s">
        <v>76</v>
      </c>
      <c r="J4295" t="s">
        <v>82</v>
      </c>
      <c r="K4295">
        <v>814.35577599999999</v>
      </c>
    </row>
    <row r="4296" spans="1:11" x14ac:dyDescent="0.3">
      <c r="A4296" t="s">
        <v>84</v>
      </c>
      <c r="B4296">
        <v>1001</v>
      </c>
      <c r="C4296" t="s">
        <v>79</v>
      </c>
      <c r="D4296">
        <v>1.08398E-3</v>
      </c>
      <c r="E4296" t="s">
        <v>74</v>
      </c>
      <c r="F4296">
        <v>1.0839799999999999</v>
      </c>
      <c r="G4296" t="s">
        <v>75</v>
      </c>
      <c r="H4296">
        <v>1083.98</v>
      </c>
      <c r="I4296" t="s">
        <v>76</v>
      </c>
      <c r="J4296" t="s">
        <v>77</v>
      </c>
    </row>
    <row r="4297" spans="1:11" x14ac:dyDescent="0.3">
      <c r="A4297" t="s">
        <v>84</v>
      </c>
      <c r="B4297">
        <v>1001</v>
      </c>
      <c r="C4297" t="s">
        <v>94</v>
      </c>
      <c r="D4297">
        <v>8.2167000000000004E-4</v>
      </c>
      <c r="E4297" t="s">
        <v>74</v>
      </c>
      <c r="F4297">
        <v>0.82167000000000001</v>
      </c>
      <c r="G4297" t="s">
        <v>75</v>
      </c>
      <c r="H4297">
        <v>821.66600000000005</v>
      </c>
      <c r="I4297" t="s">
        <v>76</v>
      </c>
      <c r="J4297" t="s">
        <v>77</v>
      </c>
    </row>
    <row r="4298" spans="1:11" x14ac:dyDescent="0.3">
      <c r="A4298" t="s">
        <v>84</v>
      </c>
      <c r="B4298">
        <v>1001</v>
      </c>
      <c r="C4298" t="s">
        <v>80</v>
      </c>
      <c r="D4298">
        <v>8.2187999999999998E-4</v>
      </c>
      <c r="E4298" t="s">
        <v>74</v>
      </c>
      <c r="F4298">
        <v>0.82188000000000005</v>
      </c>
      <c r="G4298" t="s">
        <v>75</v>
      </c>
      <c r="H4298">
        <v>821.87900000000002</v>
      </c>
      <c r="I4298" t="s">
        <v>76</v>
      </c>
      <c r="J4298" t="s">
        <v>77</v>
      </c>
    </row>
    <row r="4299" spans="1:11" x14ac:dyDescent="0.3">
      <c r="A4299" t="s">
        <v>84</v>
      </c>
      <c r="B4299">
        <v>1001</v>
      </c>
      <c r="C4299" t="s">
        <v>81</v>
      </c>
      <c r="D4299">
        <v>1.90631E-3</v>
      </c>
      <c r="E4299" t="s">
        <v>74</v>
      </c>
      <c r="F4299">
        <v>1.9063099999999999</v>
      </c>
      <c r="G4299" t="s">
        <v>75</v>
      </c>
      <c r="H4299">
        <v>1906.3109999999999</v>
      </c>
      <c r="I4299" t="s">
        <v>76</v>
      </c>
      <c r="J4299" t="s">
        <v>82</v>
      </c>
      <c r="K4299">
        <v>524.57350870000005</v>
      </c>
    </row>
    <row r="4300" spans="1:11" x14ac:dyDescent="0.3">
      <c r="A4300" t="s">
        <v>85</v>
      </c>
      <c r="B4300">
        <v>1001</v>
      </c>
      <c r="C4300" t="s">
        <v>86</v>
      </c>
      <c r="D4300">
        <v>1.9064500000000001E-3</v>
      </c>
      <c r="E4300" t="s">
        <v>74</v>
      </c>
      <c r="F4300">
        <v>1.90645</v>
      </c>
      <c r="G4300" t="s">
        <v>75</v>
      </c>
      <c r="H4300">
        <v>1906.451</v>
      </c>
      <c r="I4300" t="s">
        <v>76</v>
      </c>
      <c r="J4300" t="s">
        <v>82</v>
      </c>
      <c r="K4300">
        <v>524.53494020000005</v>
      </c>
    </row>
    <row r="4301" spans="1:11" x14ac:dyDescent="0.3">
      <c r="A4301" t="s">
        <v>169</v>
      </c>
    </row>
    <row r="4302" spans="1:11" x14ac:dyDescent="0.3">
      <c r="A4302" t="s">
        <v>301</v>
      </c>
    </row>
    <row r="4303" spans="1:11" x14ac:dyDescent="0.3">
      <c r="A4303" t="s">
        <v>72</v>
      </c>
      <c r="B4303">
        <v>1</v>
      </c>
      <c r="C4303" t="s">
        <v>73</v>
      </c>
      <c r="D4303">
        <v>4.1999999999999996E-6</v>
      </c>
      <c r="E4303" t="s">
        <v>74</v>
      </c>
      <c r="F4303">
        <v>4.1999999999999997E-3</v>
      </c>
      <c r="G4303" t="s">
        <v>75</v>
      </c>
      <c r="H4303">
        <v>4.2</v>
      </c>
      <c r="I4303" t="s">
        <v>76</v>
      </c>
      <c r="J4303" t="s">
        <v>77</v>
      </c>
    </row>
    <row r="4304" spans="1:11" x14ac:dyDescent="0.3">
      <c r="A4304" t="s">
        <v>72</v>
      </c>
      <c r="B4304">
        <v>1</v>
      </c>
      <c r="C4304" t="s">
        <v>78</v>
      </c>
      <c r="D4304">
        <v>5.1599999999999997E-4</v>
      </c>
      <c r="E4304" t="s">
        <v>74</v>
      </c>
      <c r="F4304">
        <v>0.51600000000000001</v>
      </c>
      <c r="G4304" t="s">
        <v>75</v>
      </c>
      <c r="H4304">
        <v>516</v>
      </c>
      <c r="I4304" t="s">
        <v>76</v>
      </c>
      <c r="J4304" t="s">
        <v>77</v>
      </c>
    </row>
    <row r="4305" spans="1:11" x14ac:dyDescent="0.3">
      <c r="A4305" t="s">
        <v>72</v>
      </c>
      <c r="B4305">
        <v>1</v>
      </c>
      <c r="C4305" t="s">
        <v>79</v>
      </c>
      <c r="D4305">
        <v>9.1532999999999996E-3</v>
      </c>
      <c r="E4305" t="s">
        <v>74</v>
      </c>
      <c r="F4305">
        <v>9.1532999999999998</v>
      </c>
      <c r="G4305" t="s">
        <v>75</v>
      </c>
      <c r="H4305">
        <v>9153.2999999999993</v>
      </c>
      <c r="I4305" t="s">
        <v>76</v>
      </c>
      <c r="J4305" t="s">
        <v>77</v>
      </c>
    </row>
    <row r="4306" spans="1:11" x14ac:dyDescent="0.3">
      <c r="A4306" t="s">
        <v>72</v>
      </c>
      <c r="B4306">
        <v>1</v>
      </c>
      <c r="C4306" t="s">
        <v>94</v>
      </c>
      <c r="D4306">
        <v>2.85715E-2</v>
      </c>
      <c r="E4306" t="s">
        <v>74</v>
      </c>
      <c r="F4306">
        <v>28.5715</v>
      </c>
      <c r="G4306" t="s">
        <v>75</v>
      </c>
      <c r="H4306">
        <v>28571.5</v>
      </c>
      <c r="I4306" t="s">
        <v>76</v>
      </c>
      <c r="J4306" t="s">
        <v>77</v>
      </c>
    </row>
    <row r="4307" spans="1:11" x14ac:dyDescent="0.3">
      <c r="A4307" t="s">
        <v>72</v>
      </c>
      <c r="B4307">
        <v>1</v>
      </c>
      <c r="C4307" t="s">
        <v>80</v>
      </c>
      <c r="D4307">
        <v>2.8572E-2</v>
      </c>
      <c r="E4307" t="s">
        <v>74</v>
      </c>
      <c r="F4307">
        <v>28.571999999999999</v>
      </c>
      <c r="G4307" t="s">
        <v>75</v>
      </c>
      <c r="H4307">
        <v>28572.001</v>
      </c>
      <c r="I4307" t="s">
        <v>76</v>
      </c>
      <c r="J4307" t="s">
        <v>77</v>
      </c>
    </row>
    <row r="4308" spans="1:11" x14ac:dyDescent="0.3">
      <c r="A4308" t="s">
        <v>72</v>
      </c>
      <c r="B4308">
        <v>1</v>
      </c>
      <c r="C4308" t="s">
        <v>81</v>
      </c>
      <c r="D4308">
        <v>3.7726200000000001E-2</v>
      </c>
      <c r="E4308" t="s">
        <v>74</v>
      </c>
      <c r="F4308">
        <v>37.726199999999999</v>
      </c>
      <c r="G4308" t="s">
        <v>75</v>
      </c>
      <c r="H4308">
        <v>37726.201000000001</v>
      </c>
      <c r="I4308" t="s">
        <v>76</v>
      </c>
      <c r="J4308" t="s">
        <v>82</v>
      </c>
      <c r="K4308">
        <v>26.506777</v>
      </c>
    </row>
    <row r="4309" spans="1:11" x14ac:dyDescent="0.3">
      <c r="A4309" t="s">
        <v>83</v>
      </c>
      <c r="B4309">
        <v>1000</v>
      </c>
      <c r="C4309" t="s">
        <v>79</v>
      </c>
      <c r="D4309">
        <v>5.0911000000000001E-4</v>
      </c>
      <c r="E4309" t="s">
        <v>74</v>
      </c>
      <c r="F4309">
        <v>0.50910999999999995</v>
      </c>
      <c r="G4309" t="s">
        <v>75</v>
      </c>
      <c r="H4309">
        <v>509.10899999999998</v>
      </c>
      <c r="I4309" t="s">
        <v>76</v>
      </c>
      <c r="J4309" t="s">
        <v>77</v>
      </c>
    </row>
    <row r="4310" spans="1:11" x14ac:dyDescent="0.3">
      <c r="A4310" t="s">
        <v>83</v>
      </c>
      <c r="B4310">
        <v>1000</v>
      </c>
      <c r="C4310" t="s">
        <v>94</v>
      </c>
      <c r="D4310">
        <v>1.3102700000000001E-3</v>
      </c>
      <c r="E4310" t="s">
        <v>74</v>
      </c>
      <c r="F4310">
        <v>1.31027</v>
      </c>
      <c r="G4310" t="s">
        <v>75</v>
      </c>
      <c r="H4310">
        <v>1310.27</v>
      </c>
      <c r="I4310" t="s">
        <v>76</v>
      </c>
      <c r="J4310" t="s">
        <v>77</v>
      </c>
    </row>
    <row r="4311" spans="1:11" x14ac:dyDescent="0.3">
      <c r="A4311" t="s">
        <v>83</v>
      </c>
      <c r="B4311">
        <v>1000</v>
      </c>
      <c r="C4311" t="s">
        <v>80</v>
      </c>
      <c r="D4311">
        <v>1.44418E-3</v>
      </c>
      <c r="E4311" t="s">
        <v>74</v>
      </c>
      <c r="F4311">
        <v>1.44418</v>
      </c>
      <c r="G4311" t="s">
        <v>75</v>
      </c>
      <c r="H4311">
        <v>1444.1780000000001</v>
      </c>
      <c r="I4311" t="s">
        <v>76</v>
      </c>
      <c r="J4311" t="s">
        <v>77</v>
      </c>
    </row>
    <row r="4312" spans="1:11" x14ac:dyDescent="0.3">
      <c r="A4312" t="s">
        <v>83</v>
      </c>
      <c r="B4312">
        <v>1000</v>
      </c>
      <c r="C4312" t="s">
        <v>81</v>
      </c>
      <c r="D4312">
        <v>1.9541799999999998E-3</v>
      </c>
      <c r="E4312" t="s">
        <v>74</v>
      </c>
      <c r="F4312">
        <v>1.95418</v>
      </c>
      <c r="G4312" t="s">
        <v>75</v>
      </c>
      <c r="H4312">
        <v>1954.1849999999999</v>
      </c>
      <c r="I4312" t="s">
        <v>76</v>
      </c>
      <c r="J4312" t="s">
        <v>82</v>
      </c>
      <c r="K4312">
        <v>511.72240060000001</v>
      </c>
    </row>
    <row r="4313" spans="1:11" x14ac:dyDescent="0.3">
      <c r="A4313" t="s">
        <v>84</v>
      </c>
      <c r="B4313">
        <v>1001</v>
      </c>
      <c r="C4313" t="s">
        <v>79</v>
      </c>
      <c r="D4313">
        <v>5.1774999999999998E-4</v>
      </c>
      <c r="E4313" t="s">
        <v>74</v>
      </c>
      <c r="F4313">
        <v>0.51775000000000004</v>
      </c>
      <c r="G4313" t="s">
        <v>75</v>
      </c>
      <c r="H4313">
        <v>517.745</v>
      </c>
      <c r="I4313" t="s">
        <v>76</v>
      </c>
      <c r="J4313" t="s">
        <v>77</v>
      </c>
    </row>
    <row r="4314" spans="1:11" x14ac:dyDescent="0.3">
      <c r="A4314" t="s">
        <v>84</v>
      </c>
      <c r="B4314">
        <v>1001</v>
      </c>
      <c r="C4314" t="s">
        <v>94</v>
      </c>
      <c r="D4314">
        <v>1.3374999999999999E-3</v>
      </c>
      <c r="E4314" t="s">
        <v>74</v>
      </c>
      <c r="F4314">
        <v>1.3374999999999999</v>
      </c>
      <c r="G4314" t="s">
        <v>75</v>
      </c>
      <c r="H4314">
        <v>1337.5039999999999</v>
      </c>
      <c r="I4314" t="s">
        <v>76</v>
      </c>
      <c r="J4314" t="s">
        <v>77</v>
      </c>
    </row>
    <row r="4315" spans="1:11" x14ac:dyDescent="0.3">
      <c r="A4315" t="s">
        <v>84</v>
      </c>
      <c r="B4315">
        <v>1001</v>
      </c>
      <c r="C4315" t="s">
        <v>80</v>
      </c>
      <c r="D4315">
        <v>1.4712799999999999E-3</v>
      </c>
      <c r="E4315" t="s">
        <v>74</v>
      </c>
      <c r="F4315">
        <v>1.4712799999999999</v>
      </c>
      <c r="G4315" t="s">
        <v>75</v>
      </c>
      <c r="H4315">
        <v>1471.279</v>
      </c>
      <c r="I4315" t="s">
        <v>76</v>
      </c>
      <c r="J4315" t="s">
        <v>77</v>
      </c>
    </row>
    <row r="4316" spans="1:11" x14ac:dyDescent="0.3">
      <c r="A4316" t="s">
        <v>84</v>
      </c>
      <c r="B4316">
        <v>1001</v>
      </c>
      <c r="C4316" t="s">
        <v>81</v>
      </c>
      <c r="D4316">
        <v>1.9899200000000001E-3</v>
      </c>
      <c r="E4316" t="s">
        <v>74</v>
      </c>
      <c r="F4316">
        <v>1.9899199999999999</v>
      </c>
      <c r="G4316" t="s">
        <v>75</v>
      </c>
      <c r="H4316">
        <v>1989.921</v>
      </c>
      <c r="I4316" t="s">
        <v>76</v>
      </c>
      <c r="J4316" t="s">
        <v>82</v>
      </c>
      <c r="K4316">
        <v>502.5325694</v>
      </c>
    </row>
    <row r="4317" spans="1:11" x14ac:dyDescent="0.3">
      <c r="A4317" t="s">
        <v>85</v>
      </c>
      <c r="B4317">
        <v>1001</v>
      </c>
      <c r="C4317" t="s">
        <v>86</v>
      </c>
      <c r="D4317">
        <v>1.9901799999999998E-3</v>
      </c>
      <c r="E4317" t="s">
        <v>74</v>
      </c>
      <c r="F4317">
        <v>1.9901800000000001</v>
      </c>
      <c r="G4317" t="s">
        <v>75</v>
      </c>
      <c r="H4317">
        <v>1990.183</v>
      </c>
      <c r="I4317" t="s">
        <v>76</v>
      </c>
      <c r="J4317" t="s">
        <v>82</v>
      </c>
      <c r="K4317">
        <v>502.4662629</v>
      </c>
    </row>
    <row r="4318" spans="1:11" x14ac:dyDescent="0.3">
      <c r="A4318" t="s">
        <v>115</v>
      </c>
    </row>
    <row r="4319" spans="1:11" x14ac:dyDescent="0.3">
      <c r="A4319" t="s">
        <v>127</v>
      </c>
    </row>
    <row r="4320" spans="1:11" x14ac:dyDescent="0.3">
      <c r="A4320" t="s">
        <v>87</v>
      </c>
    </row>
    <row r="4321" spans="1:11" x14ac:dyDescent="0.3">
      <c r="A4321" t="s">
        <v>302</v>
      </c>
    </row>
    <row r="4322" spans="1:11" x14ac:dyDescent="0.3">
      <c r="A4322" t="s">
        <v>72</v>
      </c>
      <c r="B4322">
        <v>1</v>
      </c>
      <c r="C4322" t="s">
        <v>81</v>
      </c>
      <c r="D4322">
        <v>0.68025267</v>
      </c>
      <c r="E4322" t="s">
        <v>74</v>
      </c>
      <c r="F4322">
        <v>680.25266999999997</v>
      </c>
      <c r="G4322" t="s">
        <v>75</v>
      </c>
      <c r="H4322">
        <v>680252.67099999997</v>
      </c>
      <c r="I4322" t="s">
        <v>76</v>
      </c>
      <c r="J4322" t="s">
        <v>82</v>
      </c>
      <c r="K4322">
        <v>1.4700420000000001</v>
      </c>
    </row>
    <row r="4323" spans="1:11" x14ac:dyDescent="0.3">
      <c r="A4323" t="s">
        <v>83</v>
      </c>
      <c r="B4323">
        <v>1000</v>
      </c>
      <c r="C4323" t="s">
        <v>81</v>
      </c>
      <c r="D4323">
        <v>1.2279599999999999E-3</v>
      </c>
      <c r="E4323" t="s">
        <v>74</v>
      </c>
      <c r="F4323">
        <v>1.2279599999999999</v>
      </c>
      <c r="G4323" t="s">
        <v>75</v>
      </c>
      <c r="H4323">
        <v>1227.9649999999999</v>
      </c>
      <c r="I4323" t="s">
        <v>76</v>
      </c>
      <c r="J4323" t="s">
        <v>82</v>
      </c>
      <c r="K4323">
        <v>814.35577599999999</v>
      </c>
    </row>
    <row r="4324" spans="1:11" x14ac:dyDescent="0.3">
      <c r="A4324" t="s">
        <v>85</v>
      </c>
      <c r="B4324">
        <v>1001</v>
      </c>
      <c r="C4324" t="s">
        <v>86</v>
      </c>
      <c r="D4324">
        <v>1.9064500000000001E-3</v>
      </c>
      <c r="E4324" t="s">
        <v>74</v>
      </c>
      <c r="F4324">
        <v>1.90645</v>
      </c>
      <c r="G4324" t="s">
        <v>75</v>
      </c>
      <c r="H4324">
        <v>1906.451</v>
      </c>
      <c r="I4324" t="s">
        <v>76</v>
      </c>
      <c r="J4324" t="s">
        <v>82</v>
      </c>
      <c r="K4324">
        <v>524.53494020000005</v>
      </c>
    </row>
    <row r="4326" spans="1:11" x14ac:dyDescent="0.3">
      <c r="A4326" t="s">
        <v>303</v>
      </c>
    </row>
    <row r="4327" spans="1:11" x14ac:dyDescent="0.3">
      <c r="A4327" t="s">
        <v>72</v>
      </c>
      <c r="B4327">
        <v>1</v>
      </c>
      <c r="C4327" t="s">
        <v>81</v>
      </c>
      <c r="D4327">
        <v>3.7726200000000001E-2</v>
      </c>
      <c r="E4327" t="s">
        <v>74</v>
      </c>
      <c r="F4327">
        <v>37.726199999999999</v>
      </c>
      <c r="G4327" t="s">
        <v>75</v>
      </c>
      <c r="H4327">
        <v>37726.201000000001</v>
      </c>
      <c r="I4327" t="s">
        <v>76</v>
      </c>
      <c r="J4327" t="s">
        <v>82</v>
      </c>
      <c r="K4327">
        <v>26.506777</v>
      </c>
    </row>
    <row r="4328" spans="1:11" x14ac:dyDescent="0.3">
      <c r="A4328" t="s">
        <v>83</v>
      </c>
      <c r="B4328">
        <v>1000</v>
      </c>
      <c r="C4328" t="s">
        <v>81</v>
      </c>
      <c r="D4328">
        <v>1.9541799999999998E-3</v>
      </c>
      <c r="E4328" t="s">
        <v>74</v>
      </c>
      <c r="F4328">
        <v>1.95418</v>
      </c>
      <c r="G4328" t="s">
        <v>75</v>
      </c>
      <c r="H4328">
        <v>1954.1849999999999</v>
      </c>
      <c r="I4328" t="s">
        <v>76</v>
      </c>
      <c r="J4328" t="s">
        <v>82</v>
      </c>
      <c r="K4328">
        <v>511.72240060000001</v>
      </c>
    </row>
    <row r="4329" spans="1:11" x14ac:dyDescent="0.3">
      <c r="A4329" t="s">
        <v>85</v>
      </c>
      <c r="B4329">
        <v>1001</v>
      </c>
      <c r="C4329" t="s">
        <v>86</v>
      </c>
      <c r="D4329">
        <v>1.9901799999999998E-3</v>
      </c>
      <c r="E4329" t="s">
        <v>74</v>
      </c>
      <c r="F4329">
        <v>1.9901800000000001</v>
      </c>
      <c r="G4329" t="s">
        <v>75</v>
      </c>
      <c r="H4329">
        <v>1990.183</v>
      </c>
      <c r="I4329" t="s">
        <v>76</v>
      </c>
      <c r="J4329" t="s">
        <v>82</v>
      </c>
      <c r="K4329">
        <v>502.4662629</v>
      </c>
    </row>
    <row r="4331" spans="1:11" x14ac:dyDescent="0.3">
      <c r="A4331" t="s">
        <v>66</v>
      </c>
    </row>
    <row r="4333" spans="1:11" x14ac:dyDescent="0.3">
      <c r="A4333" t="s">
        <v>304</v>
      </c>
    </row>
    <row r="4334" spans="1:11" x14ac:dyDescent="0.3">
      <c r="A4334" t="s">
        <v>68</v>
      </c>
    </row>
    <row r="4335" spans="1:11" x14ac:dyDescent="0.3">
      <c r="A4335" t="s">
        <v>69</v>
      </c>
    </row>
    <row r="4336" spans="1:11" x14ac:dyDescent="0.3">
      <c r="A4336" t="s">
        <v>70</v>
      </c>
    </row>
    <row r="4337" spans="1:10" x14ac:dyDescent="0.3">
      <c r="A4337" t="s">
        <v>115</v>
      </c>
    </row>
    <row r="4338" spans="1:10" x14ac:dyDescent="0.3">
      <c r="A4338" t="s">
        <v>266</v>
      </c>
    </row>
    <row r="4339" spans="1:10" x14ac:dyDescent="0.3">
      <c r="A4339" t="s">
        <v>267</v>
      </c>
    </row>
    <row r="4340" spans="1:10" x14ac:dyDescent="0.3">
      <c r="A4340" t="s">
        <v>118</v>
      </c>
    </row>
    <row r="4341" spans="1:10" x14ac:dyDescent="0.3">
      <c r="A4341" t="s">
        <v>119</v>
      </c>
    </row>
    <row r="4342" spans="1:10" x14ac:dyDescent="0.3">
      <c r="A4342" t="s">
        <v>268</v>
      </c>
    </row>
    <row r="4343" spans="1:10" x14ac:dyDescent="0.3">
      <c r="A4343" t="s">
        <v>269</v>
      </c>
    </row>
    <row r="4344" spans="1:10" x14ac:dyDescent="0.3">
      <c r="A4344" t="s">
        <v>122</v>
      </c>
    </row>
    <row r="4345" spans="1:10" x14ac:dyDescent="0.3">
      <c r="A4345" t="s">
        <v>270</v>
      </c>
    </row>
    <row r="4346" spans="1:10" x14ac:dyDescent="0.3">
      <c r="A4346" t="s">
        <v>271</v>
      </c>
    </row>
    <row r="4347" spans="1:10" x14ac:dyDescent="0.3">
      <c r="A4347" t="s">
        <v>125</v>
      </c>
    </row>
    <row r="4348" spans="1:10" x14ac:dyDescent="0.3">
      <c r="A4348" t="s">
        <v>126</v>
      </c>
    </row>
    <row r="4349" spans="1:10" x14ac:dyDescent="0.3">
      <c r="A4349" t="s">
        <v>127</v>
      </c>
    </row>
    <row r="4350" spans="1:10" x14ac:dyDescent="0.3">
      <c r="A4350" t="s">
        <v>174</v>
      </c>
    </row>
    <row r="4351" spans="1:10" x14ac:dyDescent="0.3">
      <c r="A4351" t="s">
        <v>305</v>
      </c>
    </row>
    <row r="4352" spans="1:10" x14ac:dyDescent="0.3">
      <c r="A4352" t="s">
        <v>72</v>
      </c>
      <c r="B4352">
        <v>1</v>
      </c>
      <c r="C4352" t="s">
        <v>73</v>
      </c>
      <c r="D4352">
        <v>3.5999999999999998E-6</v>
      </c>
      <c r="E4352" t="s">
        <v>74</v>
      </c>
      <c r="F4352">
        <v>3.5999999999999999E-3</v>
      </c>
      <c r="G4352" t="s">
        <v>75</v>
      </c>
      <c r="H4352">
        <v>3.6</v>
      </c>
      <c r="I4352" t="s">
        <v>76</v>
      </c>
      <c r="J4352" t="s">
        <v>77</v>
      </c>
    </row>
    <row r="4353" spans="1:11" x14ac:dyDescent="0.3">
      <c r="A4353" t="s">
        <v>72</v>
      </c>
      <c r="B4353">
        <v>1</v>
      </c>
      <c r="C4353" t="s">
        <v>78</v>
      </c>
      <c r="D4353">
        <v>0.13675219999999999</v>
      </c>
      <c r="E4353" t="s">
        <v>74</v>
      </c>
      <c r="F4353">
        <v>136.75219999999999</v>
      </c>
      <c r="G4353" t="s">
        <v>75</v>
      </c>
      <c r="H4353">
        <v>136752.20300000001</v>
      </c>
      <c r="I4353" t="s">
        <v>76</v>
      </c>
      <c r="J4353" t="s">
        <v>77</v>
      </c>
    </row>
    <row r="4354" spans="1:11" x14ac:dyDescent="0.3">
      <c r="A4354" t="s">
        <v>72</v>
      </c>
      <c r="B4354">
        <v>1</v>
      </c>
      <c r="C4354" t="s">
        <v>91</v>
      </c>
      <c r="D4354">
        <v>0.1092429</v>
      </c>
      <c r="E4354" t="s">
        <v>74</v>
      </c>
      <c r="F4354">
        <v>109.24290000000001</v>
      </c>
      <c r="G4354" t="s">
        <v>75</v>
      </c>
      <c r="H4354">
        <v>109242.901</v>
      </c>
      <c r="I4354" t="s">
        <v>76</v>
      </c>
      <c r="J4354" t="s">
        <v>77</v>
      </c>
    </row>
    <row r="4355" spans="1:11" x14ac:dyDescent="0.3">
      <c r="A4355" t="s">
        <v>72</v>
      </c>
      <c r="B4355">
        <v>1</v>
      </c>
      <c r="C4355" t="s">
        <v>92</v>
      </c>
      <c r="D4355">
        <v>6.2949999999999996E-4</v>
      </c>
      <c r="E4355" t="s">
        <v>74</v>
      </c>
      <c r="F4355">
        <v>0.62949999999999995</v>
      </c>
      <c r="G4355" t="s">
        <v>75</v>
      </c>
      <c r="H4355">
        <v>629.5</v>
      </c>
      <c r="I4355" t="s">
        <v>76</v>
      </c>
      <c r="J4355" t="s">
        <v>77</v>
      </c>
    </row>
    <row r="4356" spans="1:11" x14ac:dyDescent="0.3">
      <c r="A4356" t="s">
        <v>72</v>
      </c>
      <c r="B4356">
        <v>1</v>
      </c>
      <c r="C4356" t="s">
        <v>93</v>
      </c>
      <c r="D4356">
        <v>4.661E-4</v>
      </c>
      <c r="E4356" t="s">
        <v>74</v>
      </c>
      <c r="F4356">
        <v>0.46610000000000001</v>
      </c>
      <c r="G4356" t="s">
        <v>75</v>
      </c>
      <c r="H4356">
        <v>466.1</v>
      </c>
      <c r="I4356" t="s">
        <v>76</v>
      </c>
      <c r="J4356" t="s">
        <v>77</v>
      </c>
    </row>
    <row r="4357" spans="1:11" x14ac:dyDescent="0.3">
      <c r="A4357" t="s">
        <v>72</v>
      </c>
      <c r="B4357">
        <v>1</v>
      </c>
      <c r="C4357" t="s">
        <v>79</v>
      </c>
      <c r="D4357">
        <v>0.1103393</v>
      </c>
      <c r="E4357" t="s">
        <v>74</v>
      </c>
      <c r="F4357">
        <v>110.33929999999999</v>
      </c>
      <c r="G4357" t="s">
        <v>75</v>
      </c>
      <c r="H4357">
        <v>110339.299</v>
      </c>
      <c r="I4357" t="s">
        <v>76</v>
      </c>
      <c r="J4357" t="s">
        <v>77</v>
      </c>
    </row>
    <row r="4358" spans="1:11" x14ac:dyDescent="0.3">
      <c r="A4358" t="s">
        <v>72</v>
      </c>
      <c r="B4358">
        <v>1</v>
      </c>
      <c r="C4358" t="s">
        <v>94</v>
      </c>
      <c r="D4358">
        <v>9.5067999999999993E-3</v>
      </c>
      <c r="E4358" t="s">
        <v>74</v>
      </c>
      <c r="F4358">
        <v>9.5068000000000001</v>
      </c>
      <c r="G4358" t="s">
        <v>75</v>
      </c>
      <c r="H4358">
        <v>9506.7999999999993</v>
      </c>
      <c r="I4358" t="s">
        <v>76</v>
      </c>
      <c r="J4358" t="s">
        <v>77</v>
      </c>
    </row>
    <row r="4359" spans="1:11" x14ac:dyDescent="0.3">
      <c r="A4359" t="s">
        <v>72</v>
      </c>
      <c r="B4359">
        <v>1</v>
      </c>
      <c r="C4359" t="s">
        <v>80</v>
      </c>
      <c r="D4359">
        <v>9.5076999999999991E-3</v>
      </c>
      <c r="E4359" t="s">
        <v>74</v>
      </c>
      <c r="F4359">
        <v>9.5076999999999998</v>
      </c>
      <c r="G4359" t="s">
        <v>75</v>
      </c>
      <c r="H4359">
        <v>9507.7000000000007</v>
      </c>
      <c r="I4359" t="s">
        <v>76</v>
      </c>
      <c r="J4359" t="s">
        <v>77</v>
      </c>
    </row>
    <row r="4360" spans="1:11" x14ac:dyDescent="0.3">
      <c r="A4360" t="s">
        <v>72</v>
      </c>
      <c r="B4360">
        <v>1</v>
      </c>
      <c r="C4360" t="s">
        <v>81</v>
      </c>
      <c r="D4360">
        <v>0.1198486</v>
      </c>
      <c r="E4360" t="s">
        <v>74</v>
      </c>
      <c r="F4360">
        <v>119.8486</v>
      </c>
      <c r="G4360" t="s">
        <v>75</v>
      </c>
      <c r="H4360">
        <v>119848.602</v>
      </c>
      <c r="I4360" t="s">
        <v>76</v>
      </c>
      <c r="J4360" t="s">
        <v>82</v>
      </c>
      <c r="K4360">
        <v>8.3438604000000005</v>
      </c>
    </row>
    <row r="4361" spans="1:11" x14ac:dyDescent="0.3">
      <c r="A4361" t="s">
        <v>83</v>
      </c>
      <c r="B4361">
        <v>1000</v>
      </c>
      <c r="C4361" t="s">
        <v>91</v>
      </c>
      <c r="D4361">
        <v>7.2908000000000001E-4</v>
      </c>
      <c r="E4361" t="s">
        <v>74</v>
      </c>
      <c r="F4361">
        <v>0.72907999999999995</v>
      </c>
      <c r="G4361" t="s">
        <v>75</v>
      </c>
      <c r="H4361">
        <v>729.08299999999997</v>
      </c>
      <c r="I4361" t="s">
        <v>76</v>
      </c>
      <c r="J4361" t="s">
        <v>77</v>
      </c>
    </row>
    <row r="4362" spans="1:11" x14ac:dyDescent="0.3">
      <c r="A4362" t="s">
        <v>83</v>
      </c>
      <c r="B4362">
        <v>1000</v>
      </c>
      <c r="C4362" t="s">
        <v>92</v>
      </c>
      <c r="D4362">
        <v>5.1546999999999997E-4</v>
      </c>
      <c r="E4362" t="s">
        <v>74</v>
      </c>
      <c r="F4362">
        <v>0.51546999999999998</v>
      </c>
      <c r="G4362" t="s">
        <v>75</v>
      </c>
      <c r="H4362">
        <v>515.47299999999996</v>
      </c>
      <c r="I4362" t="s">
        <v>76</v>
      </c>
      <c r="J4362" t="s">
        <v>77</v>
      </c>
    </row>
    <row r="4363" spans="1:11" x14ac:dyDescent="0.3">
      <c r="A4363" t="s">
        <v>83</v>
      </c>
      <c r="B4363">
        <v>1000</v>
      </c>
      <c r="C4363" t="s">
        <v>93</v>
      </c>
      <c r="D4363">
        <v>4.0395999999999997E-4</v>
      </c>
      <c r="E4363" t="s">
        <v>74</v>
      </c>
      <c r="F4363">
        <v>0.40395999999999999</v>
      </c>
      <c r="G4363" t="s">
        <v>75</v>
      </c>
      <c r="H4363">
        <v>403.96100000000001</v>
      </c>
      <c r="I4363" t="s">
        <v>76</v>
      </c>
      <c r="J4363" t="s">
        <v>77</v>
      </c>
    </row>
    <row r="4364" spans="1:11" x14ac:dyDescent="0.3">
      <c r="A4364" t="s">
        <v>83</v>
      </c>
      <c r="B4364">
        <v>1000</v>
      </c>
      <c r="C4364" t="s">
        <v>79</v>
      </c>
      <c r="D4364">
        <v>1.6493899999999999E-3</v>
      </c>
      <c r="E4364" t="s">
        <v>74</v>
      </c>
      <c r="F4364">
        <v>1.6493899999999999</v>
      </c>
      <c r="G4364" t="s">
        <v>75</v>
      </c>
      <c r="H4364">
        <v>1649.393</v>
      </c>
      <c r="I4364" t="s">
        <v>76</v>
      </c>
      <c r="J4364" t="s">
        <v>77</v>
      </c>
    </row>
    <row r="4365" spans="1:11" x14ac:dyDescent="0.3">
      <c r="A4365" t="s">
        <v>83</v>
      </c>
      <c r="B4365">
        <v>1000</v>
      </c>
      <c r="C4365" t="s">
        <v>94</v>
      </c>
      <c r="D4365">
        <v>2.6917600000000001E-3</v>
      </c>
      <c r="E4365" t="s">
        <v>74</v>
      </c>
      <c r="F4365">
        <v>2.6917599999999999</v>
      </c>
      <c r="G4365" t="s">
        <v>75</v>
      </c>
      <c r="H4365">
        <v>2691.759</v>
      </c>
      <c r="I4365" t="s">
        <v>76</v>
      </c>
      <c r="J4365" t="s">
        <v>77</v>
      </c>
    </row>
    <row r="4366" spans="1:11" x14ac:dyDescent="0.3">
      <c r="A4366" t="s">
        <v>83</v>
      </c>
      <c r="B4366">
        <v>1000</v>
      </c>
      <c r="C4366" t="s">
        <v>80</v>
      </c>
      <c r="D4366">
        <v>2.8539099999999999E-3</v>
      </c>
      <c r="E4366" t="s">
        <v>74</v>
      </c>
      <c r="F4366">
        <v>2.8539099999999999</v>
      </c>
      <c r="G4366" t="s">
        <v>75</v>
      </c>
      <c r="H4366">
        <v>2853.9050000000002</v>
      </c>
      <c r="I4366" t="s">
        <v>76</v>
      </c>
      <c r="J4366" t="s">
        <v>77</v>
      </c>
    </row>
    <row r="4367" spans="1:11" x14ac:dyDescent="0.3">
      <c r="A4367" t="s">
        <v>83</v>
      </c>
      <c r="B4367">
        <v>1000</v>
      </c>
      <c r="C4367" t="s">
        <v>81</v>
      </c>
      <c r="D4367">
        <v>4.5047300000000002E-3</v>
      </c>
      <c r="E4367" t="s">
        <v>74</v>
      </c>
      <c r="F4367">
        <v>4.5047300000000003</v>
      </c>
      <c r="G4367" t="s">
        <v>75</v>
      </c>
      <c r="H4367">
        <v>4504.7349999999997</v>
      </c>
      <c r="I4367" t="s">
        <v>76</v>
      </c>
      <c r="J4367" t="s">
        <v>82</v>
      </c>
      <c r="K4367">
        <v>221.98866469999999</v>
      </c>
    </row>
    <row r="4368" spans="1:11" x14ac:dyDescent="0.3">
      <c r="A4368" t="s">
        <v>84</v>
      </c>
      <c r="B4368">
        <v>1001</v>
      </c>
      <c r="C4368" t="s">
        <v>91</v>
      </c>
      <c r="D4368">
        <v>8.3748999999999998E-4</v>
      </c>
      <c r="E4368" t="s">
        <v>74</v>
      </c>
      <c r="F4368">
        <v>0.83748999999999996</v>
      </c>
      <c r="G4368" t="s">
        <v>75</v>
      </c>
      <c r="H4368">
        <v>837.48900000000003</v>
      </c>
      <c r="I4368" t="s">
        <v>76</v>
      </c>
      <c r="J4368" t="s">
        <v>77</v>
      </c>
    </row>
    <row r="4369" spans="1:11" x14ac:dyDescent="0.3">
      <c r="A4369" t="s">
        <v>84</v>
      </c>
      <c r="B4369">
        <v>1001</v>
      </c>
      <c r="C4369" t="s">
        <v>92</v>
      </c>
      <c r="D4369">
        <v>5.1559000000000002E-4</v>
      </c>
      <c r="E4369" t="s">
        <v>74</v>
      </c>
      <c r="F4369">
        <v>0.51558999999999999</v>
      </c>
      <c r="G4369" t="s">
        <v>75</v>
      </c>
      <c r="H4369">
        <v>515.58699999999999</v>
      </c>
      <c r="I4369" t="s">
        <v>76</v>
      </c>
      <c r="J4369" t="s">
        <v>77</v>
      </c>
    </row>
    <row r="4370" spans="1:11" x14ac:dyDescent="0.3">
      <c r="A4370" t="s">
        <v>84</v>
      </c>
      <c r="B4370">
        <v>1001</v>
      </c>
      <c r="C4370" t="s">
        <v>93</v>
      </c>
      <c r="D4370">
        <v>4.0402E-4</v>
      </c>
      <c r="E4370" t="s">
        <v>74</v>
      </c>
      <c r="F4370">
        <v>0.40401999999999999</v>
      </c>
      <c r="G4370" t="s">
        <v>75</v>
      </c>
      <c r="H4370">
        <v>404.02300000000002</v>
      </c>
      <c r="I4370" t="s">
        <v>76</v>
      </c>
      <c r="J4370" t="s">
        <v>77</v>
      </c>
    </row>
    <row r="4371" spans="1:11" x14ac:dyDescent="0.3">
      <c r="A4371" t="s">
        <v>84</v>
      </c>
      <c r="B4371">
        <v>1001</v>
      </c>
      <c r="C4371" t="s">
        <v>79</v>
      </c>
      <c r="D4371">
        <v>1.75797E-3</v>
      </c>
      <c r="E4371" t="s">
        <v>74</v>
      </c>
      <c r="F4371">
        <v>1.75797</v>
      </c>
      <c r="G4371" t="s">
        <v>75</v>
      </c>
      <c r="H4371">
        <v>1757.9739999999999</v>
      </c>
      <c r="I4371" t="s">
        <v>76</v>
      </c>
      <c r="J4371" t="s">
        <v>77</v>
      </c>
    </row>
    <row r="4372" spans="1:11" x14ac:dyDescent="0.3">
      <c r="A4372" t="s">
        <v>84</v>
      </c>
      <c r="B4372">
        <v>1001</v>
      </c>
      <c r="C4372" t="s">
        <v>94</v>
      </c>
      <c r="D4372">
        <v>2.69857E-3</v>
      </c>
      <c r="E4372" t="s">
        <v>74</v>
      </c>
      <c r="F4372">
        <v>2.6985700000000001</v>
      </c>
      <c r="G4372" t="s">
        <v>75</v>
      </c>
      <c r="H4372">
        <v>2698.567</v>
      </c>
      <c r="I4372" t="s">
        <v>76</v>
      </c>
      <c r="J4372" t="s">
        <v>77</v>
      </c>
    </row>
    <row r="4373" spans="1:11" x14ac:dyDescent="0.3">
      <c r="A4373" t="s">
        <v>84</v>
      </c>
      <c r="B4373">
        <v>1001</v>
      </c>
      <c r="C4373" t="s">
        <v>80</v>
      </c>
      <c r="D4373">
        <v>2.8605499999999999E-3</v>
      </c>
      <c r="E4373" t="s">
        <v>74</v>
      </c>
      <c r="F4373">
        <v>2.8605499999999999</v>
      </c>
      <c r="G4373" t="s">
        <v>75</v>
      </c>
      <c r="H4373">
        <v>2860.5520000000001</v>
      </c>
      <c r="I4373" t="s">
        <v>76</v>
      </c>
      <c r="J4373" t="s">
        <v>77</v>
      </c>
    </row>
    <row r="4374" spans="1:11" x14ac:dyDescent="0.3">
      <c r="A4374" t="s">
        <v>84</v>
      </c>
      <c r="B4374">
        <v>1001</v>
      </c>
      <c r="C4374" t="s">
        <v>81</v>
      </c>
      <c r="D4374">
        <v>4.6199600000000002E-3</v>
      </c>
      <c r="E4374" t="s">
        <v>74</v>
      </c>
      <c r="F4374">
        <v>4.6199599999999998</v>
      </c>
      <c r="G4374" t="s">
        <v>75</v>
      </c>
      <c r="H4374">
        <v>4619.9620000000004</v>
      </c>
      <c r="I4374" t="s">
        <v>76</v>
      </c>
      <c r="J4374" t="s">
        <v>82</v>
      </c>
      <c r="K4374">
        <v>216.45198139999999</v>
      </c>
    </row>
    <row r="4375" spans="1:11" x14ac:dyDescent="0.3">
      <c r="A4375" t="s">
        <v>85</v>
      </c>
      <c r="B4375">
        <v>1001</v>
      </c>
      <c r="C4375" t="s">
        <v>86</v>
      </c>
      <c r="D4375">
        <v>4.62028E-3</v>
      </c>
      <c r="E4375" t="s">
        <v>74</v>
      </c>
      <c r="F4375">
        <v>4.6202800000000002</v>
      </c>
      <c r="G4375" t="s">
        <v>75</v>
      </c>
      <c r="H4375">
        <v>4620.2759999999998</v>
      </c>
      <c r="I4375" t="s">
        <v>76</v>
      </c>
      <c r="J4375" t="s">
        <v>82</v>
      </c>
      <c r="K4375">
        <v>216.437297</v>
      </c>
    </row>
    <row r="4376" spans="1:11" x14ac:dyDescent="0.3">
      <c r="A4376" t="s">
        <v>115</v>
      </c>
    </row>
    <row r="4377" spans="1:11" x14ac:dyDescent="0.3">
      <c r="A4377" t="s">
        <v>127</v>
      </c>
    </row>
    <row r="4378" spans="1:11" x14ac:dyDescent="0.3">
      <c r="A4378" t="s">
        <v>87</v>
      </c>
    </row>
    <row r="4379" spans="1:11" x14ac:dyDescent="0.3">
      <c r="A4379" t="s">
        <v>306</v>
      </c>
    </row>
    <row r="4380" spans="1:11" x14ac:dyDescent="0.3">
      <c r="A4380" t="s">
        <v>72</v>
      </c>
      <c r="B4380">
        <v>1</v>
      </c>
      <c r="C4380" t="s">
        <v>81</v>
      </c>
      <c r="D4380">
        <v>0.1198486</v>
      </c>
      <c r="E4380" t="s">
        <v>74</v>
      </c>
      <c r="F4380">
        <v>119.8486</v>
      </c>
      <c r="G4380" t="s">
        <v>75</v>
      </c>
      <c r="H4380">
        <v>119848.602</v>
      </c>
      <c r="I4380" t="s">
        <v>76</v>
      </c>
      <c r="J4380" t="s">
        <v>82</v>
      </c>
      <c r="K4380">
        <v>8.3438604000000005</v>
      </c>
    </row>
    <row r="4381" spans="1:11" x14ac:dyDescent="0.3">
      <c r="A4381" t="s">
        <v>83</v>
      </c>
      <c r="B4381">
        <v>1000</v>
      </c>
      <c r="C4381" t="s">
        <v>81</v>
      </c>
      <c r="D4381">
        <v>4.5047300000000002E-3</v>
      </c>
      <c r="E4381" t="s">
        <v>74</v>
      </c>
      <c r="F4381">
        <v>4.5047300000000003</v>
      </c>
      <c r="G4381" t="s">
        <v>75</v>
      </c>
      <c r="H4381">
        <v>4504.7349999999997</v>
      </c>
      <c r="I4381" t="s">
        <v>76</v>
      </c>
      <c r="J4381" t="s">
        <v>82</v>
      </c>
      <c r="K4381">
        <v>221.98866469999999</v>
      </c>
    </row>
    <row r="4382" spans="1:11" x14ac:dyDescent="0.3">
      <c r="A4382" t="s">
        <v>85</v>
      </c>
      <c r="B4382">
        <v>1001</v>
      </c>
      <c r="C4382" t="s">
        <v>86</v>
      </c>
      <c r="D4382">
        <v>4.62028E-3</v>
      </c>
      <c r="E4382" t="s">
        <v>74</v>
      </c>
      <c r="F4382">
        <v>4.6202800000000002</v>
      </c>
      <c r="G4382" t="s">
        <v>75</v>
      </c>
      <c r="H4382">
        <v>4620.2759999999998</v>
      </c>
      <c r="I4382" t="s">
        <v>76</v>
      </c>
      <c r="J4382" t="s">
        <v>82</v>
      </c>
      <c r="K4382">
        <v>216.437297</v>
      </c>
    </row>
    <row r="4384" spans="1:11" x14ac:dyDescent="0.3">
      <c r="A4384" t="s">
        <v>66</v>
      </c>
    </row>
    <row r="4386" spans="1:1" x14ac:dyDescent="0.3">
      <c r="A4386" t="s">
        <v>307</v>
      </c>
    </row>
    <row r="4387" spans="1:1" x14ac:dyDescent="0.3">
      <c r="A4387" t="s">
        <v>68</v>
      </c>
    </row>
    <row r="4388" spans="1:1" x14ac:dyDescent="0.3">
      <c r="A4388" t="s">
        <v>69</v>
      </c>
    </row>
    <row r="4389" spans="1:1" x14ac:dyDescent="0.3">
      <c r="A4389" t="s">
        <v>70</v>
      </c>
    </row>
    <row r="4390" spans="1:1" x14ac:dyDescent="0.3">
      <c r="A4390" t="s">
        <v>115</v>
      </c>
    </row>
    <row r="4391" spans="1:1" x14ac:dyDescent="0.3">
      <c r="A4391" t="s">
        <v>266</v>
      </c>
    </row>
    <row r="4392" spans="1:1" x14ac:dyDescent="0.3">
      <c r="A4392" t="s">
        <v>267</v>
      </c>
    </row>
    <row r="4393" spans="1:1" x14ac:dyDescent="0.3">
      <c r="A4393" t="s">
        <v>118</v>
      </c>
    </row>
    <row r="4394" spans="1:1" x14ac:dyDescent="0.3">
      <c r="A4394" t="s">
        <v>119</v>
      </c>
    </row>
    <row r="4395" spans="1:1" x14ac:dyDescent="0.3">
      <c r="A4395" t="s">
        <v>268</v>
      </c>
    </row>
    <row r="4396" spans="1:1" x14ac:dyDescent="0.3">
      <c r="A4396" t="s">
        <v>269</v>
      </c>
    </row>
    <row r="4397" spans="1:1" x14ac:dyDescent="0.3">
      <c r="A4397" t="s">
        <v>122</v>
      </c>
    </row>
    <row r="4398" spans="1:1" x14ac:dyDescent="0.3">
      <c r="A4398" t="s">
        <v>270</v>
      </c>
    </row>
    <row r="4399" spans="1:1" x14ac:dyDescent="0.3">
      <c r="A4399" t="s">
        <v>271</v>
      </c>
    </row>
    <row r="4400" spans="1:1" x14ac:dyDescent="0.3">
      <c r="A4400" t="s">
        <v>125</v>
      </c>
    </row>
    <row r="4401" spans="1:11" x14ac:dyDescent="0.3">
      <c r="A4401" t="s">
        <v>126</v>
      </c>
    </row>
    <row r="4402" spans="1:11" x14ac:dyDescent="0.3">
      <c r="A4402" t="s">
        <v>127</v>
      </c>
    </row>
    <row r="4403" spans="1:11" x14ac:dyDescent="0.3">
      <c r="A4403" t="s">
        <v>178</v>
      </c>
    </row>
    <row r="4404" spans="1:11" x14ac:dyDescent="0.3">
      <c r="A4404" t="s">
        <v>308</v>
      </c>
    </row>
    <row r="4405" spans="1:11" x14ac:dyDescent="0.3">
      <c r="A4405" t="s">
        <v>72</v>
      </c>
      <c r="B4405">
        <v>1</v>
      </c>
      <c r="C4405" t="s">
        <v>73</v>
      </c>
      <c r="D4405">
        <v>3.5999999999999998E-6</v>
      </c>
      <c r="E4405" t="s">
        <v>74</v>
      </c>
      <c r="F4405">
        <v>3.5999999999999999E-3</v>
      </c>
      <c r="G4405" t="s">
        <v>75</v>
      </c>
      <c r="H4405">
        <v>3.6</v>
      </c>
      <c r="I4405" t="s">
        <v>76</v>
      </c>
      <c r="J4405" t="s">
        <v>77</v>
      </c>
    </row>
    <row r="4406" spans="1:11" x14ac:dyDescent="0.3">
      <c r="A4406" t="s">
        <v>72</v>
      </c>
      <c r="B4406">
        <v>1</v>
      </c>
      <c r="C4406" t="s">
        <v>78</v>
      </c>
      <c r="D4406">
        <v>0.13985350999999999</v>
      </c>
      <c r="E4406" t="s">
        <v>74</v>
      </c>
      <c r="F4406">
        <v>139.85351</v>
      </c>
      <c r="G4406" t="s">
        <v>75</v>
      </c>
      <c r="H4406">
        <v>139853.50700000001</v>
      </c>
      <c r="I4406" t="s">
        <v>76</v>
      </c>
      <c r="J4406" t="s">
        <v>77</v>
      </c>
    </row>
    <row r="4407" spans="1:11" x14ac:dyDescent="0.3">
      <c r="A4407" t="s">
        <v>72</v>
      </c>
      <c r="B4407">
        <v>1</v>
      </c>
      <c r="C4407" t="s">
        <v>79</v>
      </c>
      <c r="D4407">
        <v>0.1094772</v>
      </c>
      <c r="E4407" t="s">
        <v>74</v>
      </c>
      <c r="F4407">
        <v>109.4772</v>
      </c>
      <c r="G4407" t="s">
        <v>75</v>
      </c>
      <c r="H4407">
        <v>109477.2</v>
      </c>
      <c r="I4407" t="s">
        <v>76</v>
      </c>
      <c r="J4407" t="s">
        <v>77</v>
      </c>
    </row>
    <row r="4408" spans="1:11" x14ac:dyDescent="0.3">
      <c r="A4408" t="s">
        <v>72</v>
      </c>
      <c r="B4408">
        <v>1</v>
      </c>
      <c r="C4408" t="s">
        <v>94</v>
      </c>
      <c r="D4408">
        <v>9.4158000000000002E-3</v>
      </c>
      <c r="E4408" t="s">
        <v>74</v>
      </c>
      <c r="F4408">
        <v>9.4158000000000008</v>
      </c>
      <c r="G4408" t="s">
        <v>75</v>
      </c>
      <c r="H4408">
        <v>9415.7999999999993</v>
      </c>
      <c r="I4408" t="s">
        <v>76</v>
      </c>
      <c r="J4408" t="s">
        <v>77</v>
      </c>
    </row>
    <row r="4409" spans="1:11" x14ac:dyDescent="0.3">
      <c r="A4409" t="s">
        <v>72</v>
      </c>
      <c r="B4409">
        <v>1</v>
      </c>
      <c r="C4409" t="s">
        <v>80</v>
      </c>
      <c r="D4409">
        <v>9.4164999999999995E-3</v>
      </c>
      <c r="E4409" t="s">
        <v>74</v>
      </c>
      <c r="F4409">
        <v>9.4164999999999992</v>
      </c>
      <c r="G4409" t="s">
        <v>75</v>
      </c>
      <c r="H4409">
        <v>9416.5</v>
      </c>
      <c r="I4409" t="s">
        <v>76</v>
      </c>
      <c r="J4409" t="s">
        <v>77</v>
      </c>
    </row>
    <row r="4410" spans="1:11" x14ac:dyDescent="0.3">
      <c r="A4410" t="s">
        <v>72</v>
      </c>
      <c r="B4410">
        <v>1</v>
      </c>
      <c r="C4410" t="s">
        <v>81</v>
      </c>
      <c r="D4410">
        <v>0.1188959</v>
      </c>
      <c r="E4410" t="s">
        <v>74</v>
      </c>
      <c r="F4410">
        <v>118.8959</v>
      </c>
      <c r="G4410" t="s">
        <v>75</v>
      </c>
      <c r="H4410">
        <v>118895.90300000001</v>
      </c>
      <c r="I4410" t="s">
        <v>76</v>
      </c>
      <c r="J4410" t="s">
        <v>82</v>
      </c>
      <c r="K4410">
        <v>8.4107187000000003</v>
      </c>
    </row>
    <row r="4411" spans="1:11" x14ac:dyDescent="0.3">
      <c r="A4411" t="s">
        <v>83</v>
      </c>
      <c r="B4411">
        <v>1000</v>
      </c>
      <c r="C4411" t="s">
        <v>79</v>
      </c>
      <c r="D4411">
        <v>5.9769000000000001E-4</v>
      </c>
      <c r="E4411" t="s">
        <v>74</v>
      </c>
      <c r="F4411">
        <v>0.59769000000000005</v>
      </c>
      <c r="G4411" t="s">
        <v>75</v>
      </c>
      <c r="H4411">
        <v>597.69399999999996</v>
      </c>
      <c r="I4411" t="s">
        <v>76</v>
      </c>
      <c r="J4411" t="s">
        <v>77</v>
      </c>
    </row>
    <row r="4412" spans="1:11" x14ac:dyDescent="0.3">
      <c r="A4412" t="s">
        <v>83</v>
      </c>
      <c r="B4412">
        <v>1000</v>
      </c>
      <c r="C4412" t="s">
        <v>94</v>
      </c>
      <c r="D4412">
        <v>2.51023E-3</v>
      </c>
      <c r="E4412" t="s">
        <v>74</v>
      </c>
      <c r="F4412">
        <v>2.51023</v>
      </c>
      <c r="G4412" t="s">
        <v>75</v>
      </c>
      <c r="H4412">
        <v>2510.2330000000002</v>
      </c>
      <c r="I4412" t="s">
        <v>76</v>
      </c>
      <c r="J4412" t="s">
        <v>77</v>
      </c>
    </row>
    <row r="4413" spans="1:11" x14ac:dyDescent="0.3">
      <c r="A4413" t="s">
        <v>83</v>
      </c>
      <c r="B4413">
        <v>1000</v>
      </c>
      <c r="C4413" t="s">
        <v>80</v>
      </c>
      <c r="D4413">
        <v>2.6480000000000002E-3</v>
      </c>
      <c r="E4413" t="s">
        <v>74</v>
      </c>
      <c r="F4413">
        <v>2.6480000000000001</v>
      </c>
      <c r="G4413" t="s">
        <v>75</v>
      </c>
      <c r="H4413">
        <v>2648.002</v>
      </c>
      <c r="I4413" t="s">
        <v>76</v>
      </c>
      <c r="J4413" t="s">
        <v>77</v>
      </c>
    </row>
    <row r="4414" spans="1:11" x14ac:dyDescent="0.3">
      <c r="A4414" t="s">
        <v>83</v>
      </c>
      <c r="B4414">
        <v>1000</v>
      </c>
      <c r="C4414" t="s">
        <v>81</v>
      </c>
      <c r="D4414">
        <v>3.2464600000000001E-3</v>
      </c>
      <c r="E4414" t="s">
        <v>74</v>
      </c>
      <c r="F4414">
        <v>3.2464599999999999</v>
      </c>
      <c r="G4414" t="s">
        <v>75</v>
      </c>
      <c r="H4414">
        <v>3246.462</v>
      </c>
      <c r="I4414" t="s">
        <v>76</v>
      </c>
      <c r="J4414" t="s">
        <v>82</v>
      </c>
      <c r="K4414">
        <v>308.0276212</v>
      </c>
    </row>
    <row r="4415" spans="1:11" x14ac:dyDescent="0.3">
      <c r="A4415" t="s">
        <v>84</v>
      </c>
      <c r="B4415">
        <v>1001</v>
      </c>
      <c r="C4415" t="s">
        <v>79</v>
      </c>
      <c r="D4415">
        <v>7.0646000000000001E-4</v>
      </c>
      <c r="E4415" t="s">
        <v>74</v>
      </c>
      <c r="F4415">
        <v>0.70645999999999998</v>
      </c>
      <c r="G4415" t="s">
        <v>75</v>
      </c>
      <c r="H4415">
        <v>706.46400000000006</v>
      </c>
      <c r="I4415" t="s">
        <v>76</v>
      </c>
      <c r="J4415" t="s">
        <v>77</v>
      </c>
    </row>
    <row r="4416" spans="1:11" x14ac:dyDescent="0.3">
      <c r="A4416" t="s">
        <v>84</v>
      </c>
      <c r="B4416">
        <v>1001</v>
      </c>
      <c r="C4416" t="s">
        <v>94</v>
      </c>
      <c r="D4416">
        <v>2.5171299999999998E-3</v>
      </c>
      <c r="E4416" t="s">
        <v>74</v>
      </c>
      <c r="F4416">
        <v>2.5171299999999999</v>
      </c>
      <c r="G4416" t="s">
        <v>75</v>
      </c>
      <c r="H4416">
        <v>2517.1320000000001</v>
      </c>
      <c r="I4416" t="s">
        <v>76</v>
      </c>
      <c r="J4416" t="s">
        <v>77</v>
      </c>
    </row>
    <row r="4417" spans="1:11" x14ac:dyDescent="0.3">
      <c r="A4417" t="s">
        <v>84</v>
      </c>
      <c r="B4417">
        <v>1001</v>
      </c>
      <c r="C4417" t="s">
        <v>80</v>
      </c>
      <c r="D4417">
        <v>2.6547599999999999E-3</v>
      </c>
      <c r="E4417" t="s">
        <v>74</v>
      </c>
      <c r="F4417">
        <v>2.65476</v>
      </c>
      <c r="G4417" t="s">
        <v>75</v>
      </c>
      <c r="H4417">
        <v>2654.7629999999999</v>
      </c>
      <c r="I4417" t="s">
        <v>76</v>
      </c>
      <c r="J4417" t="s">
        <v>77</v>
      </c>
    </row>
    <row r="4418" spans="1:11" x14ac:dyDescent="0.3">
      <c r="A4418" t="s">
        <v>84</v>
      </c>
      <c r="B4418">
        <v>1001</v>
      </c>
      <c r="C4418" t="s">
        <v>81</v>
      </c>
      <c r="D4418">
        <v>3.362E-3</v>
      </c>
      <c r="E4418" t="s">
        <v>74</v>
      </c>
      <c r="F4418">
        <v>3.3620000000000001</v>
      </c>
      <c r="G4418" t="s">
        <v>75</v>
      </c>
      <c r="H4418">
        <v>3361.9960000000001</v>
      </c>
      <c r="I4418" t="s">
        <v>76</v>
      </c>
      <c r="J4418" t="s">
        <v>82</v>
      </c>
      <c r="K4418">
        <v>297.44232119999998</v>
      </c>
    </row>
    <row r="4419" spans="1:11" x14ac:dyDescent="0.3">
      <c r="A4419" t="s">
        <v>85</v>
      </c>
      <c r="B4419">
        <v>1001</v>
      </c>
      <c r="C4419" t="s">
        <v>86</v>
      </c>
      <c r="D4419">
        <v>3.3621900000000001E-3</v>
      </c>
      <c r="E4419" t="s">
        <v>74</v>
      </c>
      <c r="F4419">
        <v>3.36219</v>
      </c>
      <c r="G4419" t="s">
        <v>75</v>
      </c>
      <c r="H4419">
        <v>3362.192</v>
      </c>
      <c r="I4419" t="s">
        <v>76</v>
      </c>
      <c r="J4419" t="s">
        <v>82</v>
      </c>
      <c r="K4419">
        <v>297.42502180000002</v>
      </c>
    </row>
    <row r="4420" spans="1:11" x14ac:dyDescent="0.3">
      <c r="A4420" t="s">
        <v>180</v>
      </c>
    </row>
    <row r="4421" spans="1:11" x14ac:dyDescent="0.3">
      <c r="A4421" t="s">
        <v>309</v>
      </c>
    </row>
    <row r="4422" spans="1:11" x14ac:dyDescent="0.3">
      <c r="A4422" t="s">
        <v>72</v>
      </c>
      <c r="B4422">
        <v>1</v>
      </c>
      <c r="C4422" t="s">
        <v>73</v>
      </c>
      <c r="D4422">
        <v>3.5999999999999998E-6</v>
      </c>
      <c r="E4422" t="s">
        <v>74</v>
      </c>
      <c r="F4422">
        <v>3.5999999999999999E-3</v>
      </c>
      <c r="G4422" t="s">
        <v>75</v>
      </c>
      <c r="H4422">
        <v>3.6</v>
      </c>
      <c r="I4422" t="s">
        <v>76</v>
      </c>
      <c r="J4422" t="s">
        <v>77</v>
      </c>
    </row>
    <row r="4423" spans="1:11" x14ac:dyDescent="0.3">
      <c r="A4423" t="s">
        <v>72</v>
      </c>
      <c r="B4423">
        <v>1</v>
      </c>
      <c r="C4423" t="s">
        <v>78</v>
      </c>
      <c r="D4423">
        <v>1.166E-4</v>
      </c>
      <c r="E4423" t="s">
        <v>74</v>
      </c>
      <c r="F4423">
        <v>0.1166</v>
      </c>
      <c r="G4423" t="s">
        <v>75</v>
      </c>
      <c r="H4423">
        <v>116.6</v>
      </c>
      <c r="I4423" t="s">
        <v>76</v>
      </c>
      <c r="J4423" t="s">
        <v>77</v>
      </c>
    </row>
    <row r="4424" spans="1:11" x14ac:dyDescent="0.3">
      <c r="A4424" t="s">
        <v>72</v>
      </c>
      <c r="B4424">
        <v>1</v>
      </c>
      <c r="C4424" t="s">
        <v>79</v>
      </c>
      <c r="D4424">
        <v>2.7580999999999999E-3</v>
      </c>
      <c r="E4424" t="s">
        <v>74</v>
      </c>
      <c r="F4424">
        <v>2.7581000000000002</v>
      </c>
      <c r="G4424" t="s">
        <v>75</v>
      </c>
      <c r="H4424">
        <v>2758.1</v>
      </c>
      <c r="I4424" t="s">
        <v>76</v>
      </c>
      <c r="J4424" t="s">
        <v>77</v>
      </c>
    </row>
    <row r="4425" spans="1:11" x14ac:dyDescent="0.3">
      <c r="A4425" t="s">
        <v>72</v>
      </c>
      <c r="B4425">
        <v>1</v>
      </c>
      <c r="C4425" t="s">
        <v>94</v>
      </c>
      <c r="D4425">
        <v>2.7090999999999999E-3</v>
      </c>
      <c r="E4425" t="s">
        <v>74</v>
      </c>
      <c r="F4425">
        <v>2.7090999999999998</v>
      </c>
      <c r="G4425" t="s">
        <v>75</v>
      </c>
      <c r="H4425">
        <v>2709.1</v>
      </c>
      <c r="I4425" t="s">
        <v>76</v>
      </c>
      <c r="J4425" t="s">
        <v>77</v>
      </c>
    </row>
    <row r="4426" spans="1:11" x14ac:dyDescent="0.3">
      <c r="A4426" t="s">
        <v>72</v>
      </c>
      <c r="B4426">
        <v>1</v>
      </c>
      <c r="C4426" t="s">
        <v>80</v>
      </c>
      <c r="D4426">
        <v>2.8953999999999998E-3</v>
      </c>
      <c r="E4426" t="s">
        <v>74</v>
      </c>
      <c r="F4426">
        <v>2.8954</v>
      </c>
      <c r="G4426" t="s">
        <v>75</v>
      </c>
      <c r="H4426">
        <v>2895.4</v>
      </c>
      <c r="I4426" t="s">
        <v>76</v>
      </c>
      <c r="J4426" t="s">
        <v>77</v>
      </c>
    </row>
    <row r="4427" spans="1:11" x14ac:dyDescent="0.3">
      <c r="A4427" t="s">
        <v>72</v>
      </c>
      <c r="B4427">
        <v>1</v>
      </c>
      <c r="C4427" t="s">
        <v>81</v>
      </c>
      <c r="D4427">
        <v>5.6552E-3</v>
      </c>
      <c r="E4427" t="s">
        <v>74</v>
      </c>
      <c r="F4427">
        <v>5.6551999999999998</v>
      </c>
      <c r="G4427" t="s">
        <v>75</v>
      </c>
      <c r="H4427">
        <v>5655.2</v>
      </c>
      <c r="I4427" t="s">
        <v>76</v>
      </c>
      <c r="J4427" t="s">
        <v>82</v>
      </c>
      <c r="K4427">
        <v>176.8283988</v>
      </c>
    </row>
    <row r="4428" spans="1:11" x14ac:dyDescent="0.3">
      <c r="A4428" t="s">
        <v>83</v>
      </c>
      <c r="B4428">
        <v>1000</v>
      </c>
      <c r="C4428" t="s">
        <v>79</v>
      </c>
      <c r="D4428">
        <v>1.0809400000000001E-3</v>
      </c>
      <c r="E4428" t="s">
        <v>74</v>
      </c>
      <c r="F4428">
        <v>1.08094</v>
      </c>
      <c r="G4428" t="s">
        <v>75</v>
      </c>
      <c r="H4428">
        <v>1080.9349999999999</v>
      </c>
      <c r="I4428" t="s">
        <v>76</v>
      </c>
      <c r="J4428" t="s">
        <v>77</v>
      </c>
    </row>
    <row r="4429" spans="1:11" x14ac:dyDescent="0.3">
      <c r="A4429" t="s">
        <v>83</v>
      </c>
      <c r="B4429">
        <v>1000</v>
      </c>
      <c r="C4429" t="s">
        <v>94</v>
      </c>
      <c r="D4429">
        <v>2.6146699999999999E-3</v>
      </c>
      <c r="E4429" t="s">
        <v>74</v>
      </c>
      <c r="F4429">
        <v>2.6146699999999998</v>
      </c>
      <c r="G4429" t="s">
        <v>75</v>
      </c>
      <c r="H4429">
        <v>2614.6729999999998</v>
      </c>
      <c r="I4429" t="s">
        <v>76</v>
      </c>
      <c r="J4429" t="s">
        <v>77</v>
      </c>
    </row>
    <row r="4430" spans="1:11" x14ac:dyDescent="0.3">
      <c r="A4430" t="s">
        <v>83</v>
      </c>
      <c r="B4430">
        <v>1000</v>
      </c>
      <c r="C4430" t="s">
        <v>80</v>
      </c>
      <c r="D4430">
        <v>2.7658100000000001E-3</v>
      </c>
      <c r="E4430" t="s">
        <v>74</v>
      </c>
      <c r="F4430">
        <v>2.7658100000000001</v>
      </c>
      <c r="G4430" t="s">
        <v>75</v>
      </c>
      <c r="H4430">
        <v>2765.8049999999998</v>
      </c>
      <c r="I4430" t="s">
        <v>76</v>
      </c>
      <c r="J4430" t="s">
        <v>77</v>
      </c>
    </row>
    <row r="4431" spans="1:11" x14ac:dyDescent="0.3">
      <c r="A4431" t="s">
        <v>83</v>
      </c>
      <c r="B4431">
        <v>1000</v>
      </c>
      <c r="C4431" t="s">
        <v>81</v>
      </c>
      <c r="D4431">
        <v>3.84805E-3</v>
      </c>
      <c r="E4431" t="s">
        <v>74</v>
      </c>
      <c r="F4431">
        <v>3.8480500000000002</v>
      </c>
      <c r="G4431" t="s">
        <v>75</v>
      </c>
      <c r="H4431">
        <v>3848.0450000000001</v>
      </c>
      <c r="I4431" t="s">
        <v>76</v>
      </c>
      <c r="J4431" t="s">
        <v>82</v>
      </c>
      <c r="K4431">
        <v>259.87221340000002</v>
      </c>
    </row>
    <row r="4432" spans="1:11" x14ac:dyDescent="0.3">
      <c r="A4432" t="s">
        <v>84</v>
      </c>
      <c r="B4432">
        <v>1001</v>
      </c>
      <c r="C4432" t="s">
        <v>79</v>
      </c>
      <c r="D4432">
        <v>1.0826099999999999E-3</v>
      </c>
      <c r="E4432" t="s">
        <v>74</v>
      </c>
      <c r="F4432">
        <v>1.0826100000000001</v>
      </c>
      <c r="G4432" t="s">
        <v>75</v>
      </c>
      <c r="H4432">
        <v>1082.6110000000001</v>
      </c>
      <c r="I4432" t="s">
        <v>76</v>
      </c>
      <c r="J4432" t="s">
        <v>77</v>
      </c>
    </row>
    <row r="4433" spans="1:11" x14ac:dyDescent="0.3">
      <c r="A4433" t="s">
        <v>84</v>
      </c>
      <c r="B4433">
        <v>1001</v>
      </c>
      <c r="C4433" t="s">
        <v>94</v>
      </c>
      <c r="D4433">
        <v>2.6147700000000002E-3</v>
      </c>
      <c r="E4433" t="s">
        <v>74</v>
      </c>
      <c r="F4433">
        <v>2.61477</v>
      </c>
      <c r="G4433" t="s">
        <v>75</v>
      </c>
      <c r="H4433">
        <v>2614.768</v>
      </c>
      <c r="I4433" t="s">
        <v>76</v>
      </c>
      <c r="J4433" t="s">
        <v>77</v>
      </c>
    </row>
    <row r="4434" spans="1:11" x14ac:dyDescent="0.3">
      <c r="A4434" t="s">
        <v>84</v>
      </c>
      <c r="B4434">
        <v>1001</v>
      </c>
      <c r="C4434" t="s">
        <v>80</v>
      </c>
      <c r="D4434">
        <v>2.7659300000000002E-3</v>
      </c>
      <c r="E4434" t="s">
        <v>74</v>
      </c>
      <c r="F4434">
        <v>2.76593</v>
      </c>
      <c r="G4434" t="s">
        <v>75</v>
      </c>
      <c r="H4434">
        <v>2765.9349999999999</v>
      </c>
      <c r="I4434" t="s">
        <v>76</v>
      </c>
      <c r="J4434" t="s">
        <v>77</v>
      </c>
    </row>
    <row r="4435" spans="1:11" x14ac:dyDescent="0.3">
      <c r="A4435" t="s">
        <v>84</v>
      </c>
      <c r="B4435">
        <v>1001</v>
      </c>
      <c r="C4435" t="s">
        <v>81</v>
      </c>
      <c r="D4435">
        <v>3.8498500000000001E-3</v>
      </c>
      <c r="E4435" t="s">
        <v>74</v>
      </c>
      <c r="F4435">
        <v>3.84985</v>
      </c>
      <c r="G4435" t="s">
        <v>75</v>
      </c>
      <c r="H4435">
        <v>3849.85</v>
      </c>
      <c r="I4435" t="s">
        <v>76</v>
      </c>
      <c r="J4435" t="s">
        <v>82</v>
      </c>
      <c r="K4435">
        <v>259.75035889999998</v>
      </c>
    </row>
    <row r="4436" spans="1:11" x14ac:dyDescent="0.3">
      <c r="A4436" t="s">
        <v>85</v>
      </c>
      <c r="B4436">
        <v>1001</v>
      </c>
      <c r="C4436" t="s">
        <v>86</v>
      </c>
      <c r="D4436">
        <v>3.8501E-3</v>
      </c>
      <c r="E4436" t="s">
        <v>74</v>
      </c>
      <c r="F4436">
        <v>3.8500999999999999</v>
      </c>
      <c r="G4436" t="s">
        <v>75</v>
      </c>
      <c r="H4436">
        <v>3850.098</v>
      </c>
      <c r="I4436" t="s">
        <v>76</v>
      </c>
      <c r="J4436" t="s">
        <v>82</v>
      </c>
      <c r="K4436">
        <v>259.73367919999998</v>
      </c>
    </row>
    <row r="4437" spans="1:11" x14ac:dyDescent="0.3">
      <c r="A4437" t="s">
        <v>115</v>
      </c>
    </row>
    <row r="4438" spans="1:11" x14ac:dyDescent="0.3">
      <c r="A4438" t="s">
        <v>127</v>
      </c>
    </row>
    <row r="4439" spans="1:11" x14ac:dyDescent="0.3">
      <c r="A4439" t="s">
        <v>87</v>
      </c>
    </row>
    <row r="4440" spans="1:11" x14ac:dyDescent="0.3">
      <c r="A4440" t="s">
        <v>310</v>
      </c>
    </row>
    <row r="4441" spans="1:11" x14ac:dyDescent="0.3">
      <c r="A4441" t="s">
        <v>72</v>
      </c>
      <c r="B4441">
        <v>1</v>
      </c>
      <c r="C4441" t="s">
        <v>81</v>
      </c>
      <c r="D4441">
        <v>0.1188959</v>
      </c>
      <c r="E4441" t="s">
        <v>74</v>
      </c>
      <c r="F4441">
        <v>118.8959</v>
      </c>
      <c r="G4441" t="s">
        <v>75</v>
      </c>
      <c r="H4441">
        <v>118895.90300000001</v>
      </c>
      <c r="I4441" t="s">
        <v>76</v>
      </c>
      <c r="J4441" t="s">
        <v>82</v>
      </c>
      <c r="K4441">
        <v>8.4107187000000003</v>
      </c>
    </row>
    <row r="4442" spans="1:11" x14ac:dyDescent="0.3">
      <c r="A4442" t="s">
        <v>83</v>
      </c>
      <c r="B4442">
        <v>1000</v>
      </c>
      <c r="C4442" t="s">
        <v>81</v>
      </c>
      <c r="D4442">
        <v>3.2464600000000001E-3</v>
      </c>
      <c r="E4442" t="s">
        <v>74</v>
      </c>
      <c r="F4442">
        <v>3.2464599999999999</v>
      </c>
      <c r="G4442" t="s">
        <v>75</v>
      </c>
      <c r="H4442">
        <v>3246.462</v>
      </c>
      <c r="I4442" t="s">
        <v>76</v>
      </c>
      <c r="J4442" t="s">
        <v>82</v>
      </c>
      <c r="K4442">
        <v>308.0276212</v>
      </c>
    </row>
    <row r="4443" spans="1:11" x14ac:dyDescent="0.3">
      <c r="A4443" t="s">
        <v>85</v>
      </c>
      <c r="B4443">
        <v>1001</v>
      </c>
      <c r="C4443" t="s">
        <v>86</v>
      </c>
      <c r="D4443">
        <v>3.3621900000000001E-3</v>
      </c>
      <c r="E4443" t="s">
        <v>74</v>
      </c>
      <c r="F4443">
        <v>3.36219</v>
      </c>
      <c r="G4443" t="s">
        <v>75</v>
      </c>
      <c r="H4443">
        <v>3362.192</v>
      </c>
      <c r="I4443" t="s">
        <v>76</v>
      </c>
      <c r="J4443" t="s">
        <v>82</v>
      </c>
      <c r="K4443">
        <v>297.42502180000002</v>
      </c>
    </row>
    <row r="4445" spans="1:11" x14ac:dyDescent="0.3">
      <c r="A4445" t="s">
        <v>311</v>
      </c>
    </row>
    <row r="4446" spans="1:11" x14ac:dyDescent="0.3">
      <c r="A4446" t="s">
        <v>72</v>
      </c>
      <c r="B4446">
        <v>1</v>
      </c>
      <c r="C4446" t="s">
        <v>81</v>
      </c>
      <c r="D4446">
        <v>5.6552E-3</v>
      </c>
      <c r="E4446" t="s">
        <v>74</v>
      </c>
      <c r="F4446">
        <v>5.6551999999999998</v>
      </c>
      <c r="G4446" t="s">
        <v>75</v>
      </c>
      <c r="H4446">
        <v>5655.2</v>
      </c>
      <c r="I4446" t="s">
        <v>76</v>
      </c>
      <c r="J4446" t="s">
        <v>82</v>
      </c>
      <c r="K4446">
        <v>176.8283988</v>
      </c>
    </row>
    <row r="4447" spans="1:11" x14ac:dyDescent="0.3">
      <c r="A4447" t="s">
        <v>83</v>
      </c>
      <c r="B4447">
        <v>1000</v>
      </c>
      <c r="C4447" t="s">
        <v>81</v>
      </c>
      <c r="D4447">
        <v>3.84805E-3</v>
      </c>
      <c r="E4447" t="s">
        <v>74</v>
      </c>
      <c r="F4447">
        <v>3.8480500000000002</v>
      </c>
      <c r="G4447" t="s">
        <v>75</v>
      </c>
      <c r="H4447">
        <v>3848.0450000000001</v>
      </c>
      <c r="I4447" t="s">
        <v>76</v>
      </c>
      <c r="J4447" t="s">
        <v>82</v>
      </c>
      <c r="K4447">
        <v>259.87221340000002</v>
      </c>
    </row>
    <row r="4448" spans="1:11" x14ac:dyDescent="0.3">
      <c r="A4448" t="s">
        <v>85</v>
      </c>
      <c r="B4448">
        <v>1001</v>
      </c>
      <c r="C4448" t="s">
        <v>86</v>
      </c>
      <c r="D4448">
        <v>3.8501E-3</v>
      </c>
      <c r="E4448" t="s">
        <v>74</v>
      </c>
      <c r="F4448">
        <v>3.8500999999999999</v>
      </c>
      <c r="G4448" t="s">
        <v>75</v>
      </c>
      <c r="H4448">
        <v>3850.098</v>
      </c>
      <c r="I4448" t="s">
        <v>76</v>
      </c>
      <c r="J4448" t="s">
        <v>82</v>
      </c>
      <c r="K4448">
        <v>259.73367919999998</v>
      </c>
    </row>
    <row r="4450" spans="1:1" x14ac:dyDescent="0.3">
      <c r="A4450" t="s">
        <v>66</v>
      </c>
    </row>
    <row r="4452" spans="1:1" x14ac:dyDescent="0.3">
      <c r="A4452" t="s">
        <v>312</v>
      </c>
    </row>
    <row r="4453" spans="1:1" x14ac:dyDescent="0.3">
      <c r="A4453" t="s">
        <v>68</v>
      </c>
    </row>
    <row r="4454" spans="1:1" x14ac:dyDescent="0.3">
      <c r="A4454" t="s">
        <v>69</v>
      </c>
    </row>
    <row r="4455" spans="1:1" x14ac:dyDescent="0.3">
      <c r="A4455" t="s">
        <v>70</v>
      </c>
    </row>
    <row r="4456" spans="1:1" x14ac:dyDescent="0.3">
      <c r="A4456" t="s">
        <v>115</v>
      </c>
    </row>
    <row r="4457" spans="1:1" x14ac:dyDescent="0.3">
      <c r="A4457" t="s">
        <v>266</v>
      </c>
    </row>
    <row r="4458" spans="1:1" x14ac:dyDescent="0.3">
      <c r="A4458" t="s">
        <v>267</v>
      </c>
    </row>
    <row r="4459" spans="1:1" x14ac:dyDescent="0.3">
      <c r="A4459" t="s">
        <v>118</v>
      </c>
    </row>
    <row r="4460" spans="1:1" x14ac:dyDescent="0.3">
      <c r="A4460" t="s">
        <v>119</v>
      </c>
    </row>
    <row r="4461" spans="1:1" x14ac:dyDescent="0.3">
      <c r="A4461" t="s">
        <v>268</v>
      </c>
    </row>
    <row r="4462" spans="1:1" x14ac:dyDescent="0.3">
      <c r="A4462" t="s">
        <v>269</v>
      </c>
    </row>
    <row r="4463" spans="1:1" x14ac:dyDescent="0.3">
      <c r="A4463" t="s">
        <v>122</v>
      </c>
    </row>
    <row r="4464" spans="1:1" x14ac:dyDescent="0.3">
      <c r="A4464" t="s">
        <v>270</v>
      </c>
    </row>
    <row r="4465" spans="1:11" x14ac:dyDescent="0.3">
      <c r="A4465" t="s">
        <v>271</v>
      </c>
    </row>
    <row r="4466" spans="1:11" x14ac:dyDescent="0.3">
      <c r="A4466" t="s">
        <v>125</v>
      </c>
    </row>
    <row r="4467" spans="1:11" x14ac:dyDescent="0.3">
      <c r="A4467" t="s">
        <v>126</v>
      </c>
    </row>
    <row r="4468" spans="1:11" x14ac:dyDescent="0.3">
      <c r="A4468" t="s">
        <v>127</v>
      </c>
    </row>
    <row r="4469" spans="1:11" x14ac:dyDescent="0.3">
      <c r="A4469" t="s">
        <v>185</v>
      </c>
    </row>
    <row r="4470" spans="1:11" x14ac:dyDescent="0.3">
      <c r="A4470" t="s">
        <v>313</v>
      </c>
    </row>
    <row r="4471" spans="1:11" x14ac:dyDescent="0.3">
      <c r="A4471" t="s">
        <v>72</v>
      </c>
      <c r="B4471">
        <v>1</v>
      </c>
      <c r="C4471" t="s">
        <v>73</v>
      </c>
      <c r="D4471">
        <v>5.5999999999999997E-6</v>
      </c>
      <c r="E4471" t="s">
        <v>74</v>
      </c>
      <c r="F4471">
        <v>5.5999999999999999E-3</v>
      </c>
      <c r="G4471" t="s">
        <v>75</v>
      </c>
      <c r="H4471">
        <v>5.6</v>
      </c>
      <c r="I4471" t="s">
        <v>76</v>
      </c>
      <c r="J4471" t="s">
        <v>77</v>
      </c>
    </row>
    <row r="4472" spans="1:11" x14ac:dyDescent="0.3">
      <c r="A4472" t="s">
        <v>72</v>
      </c>
      <c r="B4472">
        <v>1</v>
      </c>
      <c r="C4472" t="s">
        <v>78</v>
      </c>
      <c r="D4472">
        <v>0.11479839999999999</v>
      </c>
      <c r="E4472" t="s">
        <v>74</v>
      </c>
      <c r="F4472">
        <v>114.7984</v>
      </c>
      <c r="G4472" t="s">
        <v>75</v>
      </c>
      <c r="H4472">
        <v>114798.397</v>
      </c>
      <c r="I4472" t="s">
        <v>76</v>
      </c>
      <c r="J4472" t="s">
        <v>77</v>
      </c>
    </row>
    <row r="4473" spans="1:11" x14ac:dyDescent="0.3">
      <c r="A4473" t="s">
        <v>72</v>
      </c>
      <c r="B4473">
        <v>1</v>
      </c>
      <c r="C4473" t="s">
        <v>79</v>
      </c>
      <c r="D4473">
        <v>0.13038549999999999</v>
      </c>
      <c r="E4473" t="s">
        <v>74</v>
      </c>
      <c r="F4473">
        <v>130.38550000000001</v>
      </c>
      <c r="G4473" t="s">
        <v>75</v>
      </c>
      <c r="H4473">
        <v>130385.503</v>
      </c>
      <c r="I4473" t="s">
        <v>76</v>
      </c>
      <c r="J4473" t="s">
        <v>77</v>
      </c>
    </row>
    <row r="4474" spans="1:11" x14ac:dyDescent="0.3">
      <c r="A4474" t="s">
        <v>72</v>
      </c>
      <c r="B4474">
        <v>1</v>
      </c>
      <c r="C4474" t="s">
        <v>94</v>
      </c>
      <c r="D4474">
        <v>9.3415000000000008E-3</v>
      </c>
      <c r="E4474" t="s">
        <v>74</v>
      </c>
      <c r="F4474">
        <v>9.3414999999999999</v>
      </c>
      <c r="G4474" t="s">
        <v>75</v>
      </c>
      <c r="H4474">
        <v>9341.5</v>
      </c>
      <c r="I4474" t="s">
        <v>76</v>
      </c>
      <c r="J4474" t="s">
        <v>77</v>
      </c>
    </row>
    <row r="4475" spans="1:11" x14ac:dyDescent="0.3">
      <c r="A4475" t="s">
        <v>72</v>
      </c>
      <c r="B4475">
        <v>1</v>
      </c>
      <c r="C4475" t="s">
        <v>80</v>
      </c>
      <c r="D4475">
        <v>9.3422000000000002E-3</v>
      </c>
      <c r="E4475" t="s">
        <v>74</v>
      </c>
      <c r="F4475">
        <v>9.3422000000000001</v>
      </c>
      <c r="G4475" t="s">
        <v>75</v>
      </c>
      <c r="H4475">
        <v>9342.2000000000007</v>
      </c>
      <c r="I4475" t="s">
        <v>76</v>
      </c>
      <c r="J4475" t="s">
        <v>77</v>
      </c>
    </row>
    <row r="4476" spans="1:11" x14ac:dyDescent="0.3">
      <c r="A4476" t="s">
        <v>72</v>
      </c>
      <c r="B4476">
        <v>1</v>
      </c>
      <c r="C4476" t="s">
        <v>81</v>
      </c>
      <c r="D4476">
        <v>0.1397303</v>
      </c>
      <c r="E4476" t="s">
        <v>74</v>
      </c>
      <c r="F4476">
        <v>139.7303</v>
      </c>
      <c r="G4476" t="s">
        <v>75</v>
      </c>
      <c r="H4476">
        <v>139730.304</v>
      </c>
      <c r="I4476" t="s">
        <v>76</v>
      </c>
      <c r="J4476" t="s">
        <v>82</v>
      </c>
      <c r="K4476">
        <v>7.1566437000000001</v>
      </c>
    </row>
    <row r="4477" spans="1:11" x14ac:dyDescent="0.3">
      <c r="A4477" t="s">
        <v>83</v>
      </c>
      <c r="B4477">
        <v>1000</v>
      </c>
      <c r="C4477" t="s">
        <v>79</v>
      </c>
      <c r="D4477">
        <v>2.1563699999999999E-3</v>
      </c>
      <c r="E4477" t="s">
        <v>74</v>
      </c>
      <c r="F4477">
        <v>2.1563699999999999</v>
      </c>
      <c r="G4477" t="s">
        <v>75</v>
      </c>
      <c r="H4477">
        <v>2156.3710000000001</v>
      </c>
      <c r="I4477" t="s">
        <v>76</v>
      </c>
      <c r="J4477" t="s">
        <v>77</v>
      </c>
    </row>
    <row r="4478" spans="1:11" x14ac:dyDescent="0.3">
      <c r="A4478" t="s">
        <v>83</v>
      </c>
      <c r="B4478">
        <v>1000</v>
      </c>
      <c r="C4478" t="s">
        <v>94</v>
      </c>
      <c r="D4478">
        <v>2.5178599999999998E-3</v>
      </c>
      <c r="E4478" t="s">
        <v>74</v>
      </c>
      <c r="F4478">
        <v>2.5178600000000002</v>
      </c>
      <c r="G4478" t="s">
        <v>75</v>
      </c>
      <c r="H4478">
        <v>2517.855</v>
      </c>
      <c r="I4478" t="s">
        <v>76</v>
      </c>
      <c r="J4478" t="s">
        <v>77</v>
      </c>
    </row>
    <row r="4479" spans="1:11" x14ac:dyDescent="0.3">
      <c r="A4479" t="s">
        <v>83</v>
      </c>
      <c r="B4479">
        <v>1000</v>
      </c>
      <c r="C4479" t="s">
        <v>80</v>
      </c>
      <c r="D4479">
        <v>2.6716000000000001E-3</v>
      </c>
      <c r="E4479" t="s">
        <v>74</v>
      </c>
      <c r="F4479">
        <v>2.6716000000000002</v>
      </c>
      <c r="G4479" t="s">
        <v>75</v>
      </c>
      <c r="H4479">
        <v>2671.6</v>
      </c>
      <c r="I4479" t="s">
        <v>76</v>
      </c>
      <c r="J4479" t="s">
        <v>77</v>
      </c>
    </row>
    <row r="4480" spans="1:11" x14ac:dyDescent="0.3">
      <c r="A4480" t="s">
        <v>83</v>
      </c>
      <c r="B4480">
        <v>1000</v>
      </c>
      <c r="C4480" t="s">
        <v>81</v>
      </c>
      <c r="D4480">
        <v>4.8287199999999999E-3</v>
      </c>
      <c r="E4480" t="s">
        <v>74</v>
      </c>
      <c r="F4480">
        <v>4.8287199999999997</v>
      </c>
      <c r="G4480" t="s">
        <v>75</v>
      </c>
      <c r="H4480">
        <v>4828.72</v>
      </c>
      <c r="I4480" t="s">
        <v>76</v>
      </c>
      <c r="J4480" t="s">
        <v>82</v>
      </c>
      <c r="K4480">
        <v>207.09423609999999</v>
      </c>
    </row>
    <row r="4481" spans="1:11" x14ac:dyDescent="0.3">
      <c r="A4481" t="s">
        <v>84</v>
      </c>
      <c r="B4481">
        <v>1001</v>
      </c>
      <c r="C4481" t="s">
        <v>79</v>
      </c>
      <c r="D4481">
        <v>2.2844699999999998E-3</v>
      </c>
      <c r="E4481" t="s">
        <v>74</v>
      </c>
      <c r="F4481">
        <v>2.2844699999999998</v>
      </c>
      <c r="G4481" t="s">
        <v>75</v>
      </c>
      <c r="H4481">
        <v>2284.473</v>
      </c>
      <c r="I4481" t="s">
        <v>76</v>
      </c>
      <c r="J4481" t="s">
        <v>77</v>
      </c>
    </row>
    <row r="4482" spans="1:11" x14ac:dyDescent="0.3">
      <c r="A4482" t="s">
        <v>84</v>
      </c>
      <c r="B4482">
        <v>1001</v>
      </c>
      <c r="C4482" t="s">
        <v>94</v>
      </c>
      <c r="D4482">
        <v>2.5246700000000001E-3</v>
      </c>
      <c r="E4482" t="s">
        <v>74</v>
      </c>
      <c r="F4482">
        <v>2.52467</v>
      </c>
      <c r="G4482" t="s">
        <v>75</v>
      </c>
      <c r="H4482">
        <v>2524.672</v>
      </c>
      <c r="I4482" t="s">
        <v>76</v>
      </c>
      <c r="J4482" t="s">
        <v>77</v>
      </c>
    </row>
    <row r="4483" spans="1:11" x14ac:dyDescent="0.3">
      <c r="A4483" t="s">
        <v>84</v>
      </c>
      <c r="B4483">
        <v>1001</v>
      </c>
      <c r="C4483" t="s">
        <v>80</v>
      </c>
      <c r="D4483">
        <v>2.67826E-3</v>
      </c>
      <c r="E4483" t="s">
        <v>74</v>
      </c>
      <c r="F4483">
        <v>2.6782599999999999</v>
      </c>
      <c r="G4483" t="s">
        <v>75</v>
      </c>
      <c r="H4483">
        <v>2678.2640000000001</v>
      </c>
      <c r="I4483" t="s">
        <v>76</v>
      </c>
      <c r="J4483" t="s">
        <v>77</v>
      </c>
    </row>
    <row r="4484" spans="1:11" x14ac:dyDescent="0.3">
      <c r="A4484" t="s">
        <v>84</v>
      </c>
      <c r="B4484">
        <v>1001</v>
      </c>
      <c r="C4484" t="s">
        <v>81</v>
      </c>
      <c r="D4484">
        <v>4.9634900000000001E-3</v>
      </c>
      <c r="E4484" t="s">
        <v>74</v>
      </c>
      <c r="F4484">
        <v>4.9634900000000002</v>
      </c>
      <c r="G4484" t="s">
        <v>75</v>
      </c>
      <c r="H4484">
        <v>4963.4870000000001</v>
      </c>
      <c r="I4484" t="s">
        <v>76</v>
      </c>
      <c r="J4484" t="s">
        <v>82</v>
      </c>
      <c r="K4484">
        <v>201.471281</v>
      </c>
    </row>
    <row r="4485" spans="1:11" x14ac:dyDescent="0.3">
      <c r="A4485" t="s">
        <v>85</v>
      </c>
      <c r="B4485">
        <v>1001</v>
      </c>
      <c r="C4485" t="s">
        <v>86</v>
      </c>
      <c r="D4485">
        <v>4.9636899999999998E-3</v>
      </c>
      <c r="E4485" t="s">
        <v>74</v>
      </c>
      <c r="F4485">
        <v>4.9636899999999997</v>
      </c>
      <c r="G4485" t="s">
        <v>75</v>
      </c>
      <c r="H4485">
        <v>4963.6909999999998</v>
      </c>
      <c r="I4485" t="s">
        <v>76</v>
      </c>
      <c r="J4485" t="s">
        <v>82</v>
      </c>
      <c r="K4485">
        <v>201.46298630000001</v>
      </c>
    </row>
    <row r="4486" spans="1:11" x14ac:dyDescent="0.3">
      <c r="A4486" t="s">
        <v>187</v>
      </c>
    </row>
    <row r="4487" spans="1:11" x14ac:dyDescent="0.3">
      <c r="A4487" t="s">
        <v>314</v>
      </c>
    </row>
    <row r="4488" spans="1:11" x14ac:dyDescent="0.3">
      <c r="A4488" t="s">
        <v>72</v>
      </c>
      <c r="B4488">
        <v>1</v>
      </c>
      <c r="C4488" t="s">
        <v>73</v>
      </c>
      <c r="D4488">
        <v>5.5999999999999997E-6</v>
      </c>
      <c r="E4488" t="s">
        <v>74</v>
      </c>
      <c r="F4488">
        <v>5.5999999999999999E-3</v>
      </c>
      <c r="G4488" t="s">
        <v>75</v>
      </c>
      <c r="H4488">
        <v>5.6</v>
      </c>
      <c r="I4488" t="s">
        <v>76</v>
      </c>
      <c r="J4488" t="s">
        <v>77</v>
      </c>
    </row>
    <row r="4489" spans="1:11" x14ac:dyDescent="0.3">
      <c r="A4489" t="s">
        <v>72</v>
      </c>
      <c r="B4489">
        <v>1</v>
      </c>
      <c r="C4489" t="s">
        <v>78</v>
      </c>
      <c r="D4489">
        <v>9.8800000000000003E-5</v>
      </c>
      <c r="E4489" t="s">
        <v>74</v>
      </c>
      <c r="F4489">
        <v>9.8799999999999999E-2</v>
      </c>
      <c r="G4489" t="s">
        <v>75</v>
      </c>
      <c r="H4489">
        <v>98.8</v>
      </c>
      <c r="I4489" t="s">
        <v>76</v>
      </c>
      <c r="J4489" t="s">
        <v>77</v>
      </c>
    </row>
    <row r="4490" spans="1:11" x14ac:dyDescent="0.3">
      <c r="A4490" t="s">
        <v>72</v>
      </c>
      <c r="B4490">
        <v>1</v>
      </c>
      <c r="C4490" t="s">
        <v>79</v>
      </c>
      <c r="D4490">
        <v>4.4608E-3</v>
      </c>
      <c r="E4490" t="s">
        <v>74</v>
      </c>
      <c r="F4490">
        <v>4.4607999999999999</v>
      </c>
      <c r="G4490" t="s">
        <v>75</v>
      </c>
      <c r="H4490">
        <v>4460.8</v>
      </c>
      <c r="I4490" t="s">
        <v>76</v>
      </c>
      <c r="J4490" t="s">
        <v>77</v>
      </c>
    </row>
    <row r="4491" spans="1:11" x14ac:dyDescent="0.3">
      <c r="A4491" t="s">
        <v>72</v>
      </c>
      <c r="B4491">
        <v>1</v>
      </c>
      <c r="C4491" t="s">
        <v>94</v>
      </c>
      <c r="D4491">
        <v>2.6491000000000002E-3</v>
      </c>
      <c r="E4491" t="s">
        <v>74</v>
      </c>
      <c r="F4491">
        <v>2.6490999999999998</v>
      </c>
      <c r="G4491" t="s">
        <v>75</v>
      </c>
      <c r="H4491">
        <v>2649.1</v>
      </c>
      <c r="I4491" t="s">
        <v>76</v>
      </c>
      <c r="J4491" t="s">
        <v>77</v>
      </c>
    </row>
    <row r="4492" spans="1:11" x14ac:dyDescent="0.3">
      <c r="A4492" t="s">
        <v>72</v>
      </c>
      <c r="B4492">
        <v>1</v>
      </c>
      <c r="C4492" t="s">
        <v>80</v>
      </c>
      <c r="D4492">
        <v>2.8649999999999999E-3</v>
      </c>
      <c r="E4492" t="s">
        <v>74</v>
      </c>
      <c r="F4492">
        <v>2.8650000000000002</v>
      </c>
      <c r="G4492" t="s">
        <v>75</v>
      </c>
      <c r="H4492">
        <v>2865</v>
      </c>
      <c r="I4492" t="s">
        <v>76</v>
      </c>
      <c r="J4492" t="s">
        <v>77</v>
      </c>
    </row>
    <row r="4493" spans="1:11" x14ac:dyDescent="0.3">
      <c r="A4493" t="s">
        <v>72</v>
      </c>
      <c r="B4493">
        <v>1</v>
      </c>
      <c r="C4493" t="s">
        <v>81</v>
      </c>
      <c r="D4493">
        <v>7.3271999999999999E-3</v>
      </c>
      <c r="E4493" t="s">
        <v>74</v>
      </c>
      <c r="F4493">
        <v>7.3272000000000004</v>
      </c>
      <c r="G4493" t="s">
        <v>75</v>
      </c>
      <c r="H4493">
        <v>7327.2</v>
      </c>
      <c r="I4493" t="s">
        <v>76</v>
      </c>
      <c r="J4493" t="s">
        <v>82</v>
      </c>
      <c r="K4493">
        <v>136.47778299999999</v>
      </c>
    </row>
    <row r="4494" spans="1:11" x14ac:dyDescent="0.3">
      <c r="A4494" t="s">
        <v>83</v>
      </c>
      <c r="B4494">
        <v>1000</v>
      </c>
      <c r="C4494" t="s">
        <v>79</v>
      </c>
      <c r="D4494">
        <v>2.5266400000000001E-3</v>
      </c>
      <c r="E4494" t="s">
        <v>74</v>
      </c>
      <c r="F4494">
        <v>2.52664</v>
      </c>
      <c r="G4494" t="s">
        <v>75</v>
      </c>
      <c r="H4494">
        <v>2526.643</v>
      </c>
      <c r="I4494" t="s">
        <v>76</v>
      </c>
      <c r="J4494" t="s">
        <v>77</v>
      </c>
    </row>
    <row r="4495" spans="1:11" x14ac:dyDescent="0.3">
      <c r="A4495" t="s">
        <v>83</v>
      </c>
      <c r="B4495">
        <v>1000</v>
      </c>
      <c r="C4495" t="s">
        <v>94</v>
      </c>
      <c r="D4495">
        <v>2.6206200000000002E-3</v>
      </c>
      <c r="E4495" t="s">
        <v>74</v>
      </c>
      <c r="F4495">
        <v>2.6206200000000002</v>
      </c>
      <c r="G4495" t="s">
        <v>75</v>
      </c>
      <c r="H4495">
        <v>2620.623</v>
      </c>
      <c r="I4495" t="s">
        <v>76</v>
      </c>
      <c r="J4495" t="s">
        <v>77</v>
      </c>
    </row>
    <row r="4496" spans="1:11" x14ac:dyDescent="0.3">
      <c r="A4496" t="s">
        <v>83</v>
      </c>
      <c r="B4496">
        <v>1000</v>
      </c>
      <c r="C4496" t="s">
        <v>80</v>
      </c>
      <c r="D4496">
        <v>2.7685499999999998E-3</v>
      </c>
      <c r="E4496" t="s">
        <v>74</v>
      </c>
      <c r="F4496">
        <v>2.7685499999999998</v>
      </c>
      <c r="G4496" t="s">
        <v>75</v>
      </c>
      <c r="H4496">
        <v>2768.547</v>
      </c>
      <c r="I4496" t="s">
        <v>76</v>
      </c>
      <c r="J4496" t="s">
        <v>77</v>
      </c>
    </row>
    <row r="4497" spans="1:11" x14ac:dyDescent="0.3">
      <c r="A4497" t="s">
        <v>83</v>
      </c>
      <c r="B4497">
        <v>1000</v>
      </c>
      <c r="C4497" t="s">
        <v>81</v>
      </c>
      <c r="D4497">
        <v>5.2963999999999997E-3</v>
      </c>
      <c r="E4497" t="s">
        <v>74</v>
      </c>
      <c r="F4497">
        <v>5.2964000000000002</v>
      </c>
      <c r="G4497" t="s">
        <v>75</v>
      </c>
      <c r="H4497">
        <v>5296.3959999999997</v>
      </c>
      <c r="I4497" t="s">
        <v>76</v>
      </c>
      <c r="J4497" t="s">
        <v>82</v>
      </c>
      <c r="K4497">
        <v>188.80764239999999</v>
      </c>
    </row>
    <row r="4498" spans="1:11" x14ac:dyDescent="0.3">
      <c r="A4498" t="s">
        <v>84</v>
      </c>
      <c r="B4498">
        <v>1001</v>
      </c>
      <c r="C4498" t="s">
        <v>79</v>
      </c>
      <c r="D4498">
        <v>2.5285799999999999E-3</v>
      </c>
      <c r="E4498" t="s">
        <v>74</v>
      </c>
      <c r="F4498">
        <v>2.5285799999999998</v>
      </c>
      <c r="G4498" t="s">
        <v>75</v>
      </c>
      <c r="H4498">
        <v>2528.5749999999998</v>
      </c>
      <c r="I4498" t="s">
        <v>76</v>
      </c>
      <c r="J4498" t="s">
        <v>77</v>
      </c>
    </row>
    <row r="4499" spans="1:11" x14ac:dyDescent="0.3">
      <c r="A4499" t="s">
        <v>84</v>
      </c>
      <c r="B4499">
        <v>1001</v>
      </c>
      <c r="C4499" t="s">
        <v>94</v>
      </c>
      <c r="D4499">
        <v>2.62065E-3</v>
      </c>
      <c r="E4499" t="s">
        <v>74</v>
      </c>
      <c r="F4499">
        <v>2.6206499999999999</v>
      </c>
      <c r="G4499" t="s">
        <v>75</v>
      </c>
      <c r="H4499">
        <v>2620.6509999999998</v>
      </c>
      <c r="I4499" t="s">
        <v>76</v>
      </c>
      <c r="J4499" t="s">
        <v>77</v>
      </c>
    </row>
    <row r="4500" spans="1:11" x14ac:dyDescent="0.3">
      <c r="A4500" t="s">
        <v>84</v>
      </c>
      <c r="B4500">
        <v>1001</v>
      </c>
      <c r="C4500" t="s">
        <v>80</v>
      </c>
      <c r="D4500">
        <v>2.7686400000000002E-3</v>
      </c>
      <c r="E4500" t="s">
        <v>74</v>
      </c>
      <c r="F4500">
        <v>2.76864</v>
      </c>
      <c r="G4500" t="s">
        <v>75</v>
      </c>
      <c r="H4500">
        <v>2768.6439999999998</v>
      </c>
      <c r="I4500" t="s">
        <v>76</v>
      </c>
      <c r="J4500" t="s">
        <v>77</v>
      </c>
    </row>
    <row r="4501" spans="1:11" x14ac:dyDescent="0.3">
      <c r="A4501" t="s">
        <v>84</v>
      </c>
      <c r="B4501">
        <v>1001</v>
      </c>
      <c r="C4501" t="s">
        <v>81</v>
      </c>
      <c r="D4501">
        <v>5.2984199999999999E-3</v>
      </c>
      <c r="E4501" t="s">
        <v>74</v>
      </c>
      <c r="F4501">
        <v>5.2984200000000001</v>
      </c>
      <c r="G4501" t="s">
        <v>75</v>
      </c>
      <c r="H4501">
        <v>5298.424</v>
      </c>
      <c r="I4501" t="s">
        <v>76</v>
      </c>
      <c r="J4501" t="s">
        <v>82</v>
      </c>
      <c r="K4501">
        <v>188.73535190000001</v>
      </c>
    </row>
    <row r="4502" spans="1:11" x14ac:dyDescent="0.3">
      <c r="A4502" t="s">
        <v>85</v>
      </c>
      <c r="B4502">
        <v>1001</v>
      </c>
      <c r="C4502" t="s">
        <v>86</v>
      </c>
      <c r="D4502">
        <v>5.2986999999999999E-3</v>
      </c>
      <c r="E4502" t="s">
        <v>74</v>
      </c>
      <c r="F4502">
        <v>5.2987000000000002</v>
      </c>
      <c r="G4502" t="s">
        <v>75</v>
      </c>
      <c r="H4502">
        <v>5298.7039999999997</v>
      </c>
      <c r="I4502" t="s">
        <v>76</v>
      </c>
      <c r="J4502" t="s">
        <v>82</v>
      </c>
      <c r="K4502">
        <v>188.72540889999999</v>
      </c>
    </row>
    <row r="4503" spans="1:11" x14ac:dyDescent="0.3">
      <c r="A4503" t="s">
        <v>115</v>
      </c>
    </row>
    <row r="4504" spans="1:11" x14ac:dyDescent="0.3">
      <c r="A4504" t="s">
        <v>127</v>
      </c>
    </row>
    <row r="4505" spans="1:11" x14ac:dyDescent="0.3">
      <c r="A4505" t="s">
        <v>87</v>
      </c>
    </row>
    <row r="4506" spans="1:11" x14ac:dyDescent="0.3">
      <c r="A4506" t="s">
        <v>315</v>
      </c>
    </row>
    <row r="4507" spans="1:11" x14ac:dyDescent="0.3">
      <c r="A4507" t="s">
        <v>72</v>
      </c>
      <c r="B4507">
        <v>1</v>
      </c>
      <c r="C4507" t="s">
        <v>81</v>
      </c>
      <c r="D4507">
        <v>0.1397303</v>
      </c>
      <c r="E4507" t="s">
        <v>74</v>
      </c>
      <c r="F4507">
        <v>139.7303</v>
      </c>
      <c r="G4507" t="s">
        <v>75</v>
      </c>
      <c r="H4507">
        <v>139730.304</v>
      </c>
      <c r="I4507" t="s">
        <v>76</v>
      </c>
      <c r="J4507" t="s">
        <v>82</v>
      </c>
      <c r="K4507">
        <v>7.1566437000000001</v>
      </c>
    </row>
    <row r="4508" spans="1:11" x14ac:dyDescent="0.3">
      <c r="A4508" t="s">
        <v>83</v>
      </c>
      <c r="B4508">
        <v>1000</v>
      </c>
      <c r="C4508" t="s">
        <v>81</v>
      </c>
      <c r="D4508">
        <v>4.8287199999999999E-3</v>
      </c>
      <c r="E4508" t="s">
        <v>74</v>
      </c>
      <c r="F4508">
        <v>4.8287199999999997</v>
      </c>
      <c r="G4508" t="s">
        <v>75</v>
      </c>
      <c r="H4508">
        <v>4828.72</v>
      </c>
      <c r="I4508" t="s">
        <v>76</v>
      </c>
      <c r="J4508" t="s">
        <v>82</v>
      </c>
      <c r="K4508">
        <v>207.09423609999999</v>
      </c>
    </row>
    <row r="4509" spans="1:11" x14ac:dyDescent="0.3">
      <c r="A4509" t="s">
        <v>85</v>
      </c>
      <c r="B4509">
        <v>1001</v>
      </c>
      <c r="C4509" t="s">
        <v>86</v>
      </c>
      <c r="D4509">
        <v>4.9636899999999998E-3</v>
      </c>
      <c r="E4509" t="s">
        <v>74</v>
      </c>
      <c r="F4509">
        <v>4.9636899999999997</v>
      </c>
      <c r="G4509" t="s">
        <v>75</v>
      </c>
      <c r="H4509">
        <v>4963.6909999999998</v>
      </c>
      <c r="I4509" t="s">
        <v>76</v>
      </c>
      <c r="J4509" t="s">
        <v>82</v>
      </c>
      <c r="K4509">
        <v>201.46298630000001</v>
      </c>
    </row>
    <row r="4511" spans="1:11" x14ac:dyDescent="0.3">
      <c r="A4511" t="s">
        <v>316</v>
      </c>
    </row>
    <row r="4512" spans="1:11" x14ac:dyDescent="0.3">
      <c r="A4512" t="s">
        <v>72</v>
      </c>
      <c r="B4512">
        <v>1</v>
      </c>
      <c r="C4512" t="s">
        <v>81</v>
      </c>
      <c r="D4512">
        <v>7.3271999999999999E-3</v>
      </c>
      <c r="E4512" t="s">
        <v>74</v>
      </c>
      <c r="F4512">
        <v>7.3272000000000004</v>
      </c>
      <c r="G4512" t="s">
        <v>75</v>
      </c>
      <c r="H4512">
        <v>7327.2</v>
      </c>
      <c r="I4512" t="s">
        <v>76</v>
      </c>
      <c r="J4512" t="s">
        <v>82</v>
      </c>
      <c r="K4512">
        <v>136.47778299999999</v>
      </c>
    </row>
    <row r="4513" spans="1:11" x14ac:dyDescent="0.3">
      <c r="A4513" t="s">
        <v>83</v>
      </c>
      <c r="B4513">
        <v>1000</v>
      </c>
      <c r="C4513" t="s">
        <v>81</v>
      </c>
      <c r="D4513">
        <v>5.2963999999999997E-3</v>
      </c>
      <c r="E4513" t="s">
        <v>74</v>
      </c>
      <c r="F4513">
        <v>5.2964000000000002</v>
      </c>
      <c r="G4513" t="s">
        <v>75</v>
      </c>
      <c r="H4513">
        <v>5296.3959999999997</v>
      </c>
      <c r="I4513" t="s">
        <v>76</v>
      </c>
      <c r="J4513" t="s">
        <v>82</v>
      </c>
      <c r="K4513">
        <v>188.80764239999999</v>
      </c>
    </row>
    <row r="4514" spans="1:11" x14ac:dyDescent="0.3">
      <c r="A4514" t="s">
        <v>85</v>
      </c>
      <c r="B4514">
        <v>1001</v>
      </c>
      <c r="C4514" t="s">
        <v>86</v>
      </c>
      <c r="D4514">
        <v>5.2986999999999999E-3</v>
      </c>
      <c r="E4514" t="s">
        <v>74</v>
      </c>
      <c r="F4514">
        <v>5.2987000000000002</v>
      </c>
      <c r="G4514" t="s">
        <v>75</v>
      </c>
      <c r="H4514">
        <v>5298.7039999999997</v>
      </c>
      <c r="I4514" t="s">
        <v>76</v>
      </c>
      <c r="J4514" t="s">
        <v>82</v>
      </c>
      <c r="K4514">
        <v>188.72540889999999</v>
      </c>
    </row>
    <row r="4516" spans="1:11" x14ac:dyDescent="0.3">
      <c r="A4516" t="s">
        <v>66</v>
      </c>
    </row>
    <row r="4518" spans="1:11" x14ac:dyDescent="0.3">
      <c r="A4518" t="s">
        <v>317</v>
      </c>
    </row>
    <row r="4519" spans="1:11" x14ac:dyDescent="0.3">
      <c r="A4519" t="s">
        <v>68</v>
      </c>
    </row>
    <row r="4520" spans="1:11" x14ac:dyDescent="0.3">
      <c r="A4520" t="s">
        <v>69</v>
      </c>
    </row>
    <row r="4521" spans="1:11" x14ac:dyDescent="0.3">
      <c r="A4521" t="s">
        <v>70</v>
      </c>
    </row>
    <row r="4522" spans="1:11" x14ac:dyDescent="0.3">
      <c r="A4522" t="s">
        <v>115</v>
      </c>
    </row>
    <row r="4523" spans="1:11" x14ac:dyDescent="0.3">
      <c r="A4523" t="s">
        <v>266</v>
      </c>
    </row>
    <row r="4524" spans="1:11" x14ac:dyDescent="0.3">
      <c r="A4524" t="s">
        <v>267</v>
      </c>
    </row>
    <row r="4525" spans="1:11" x14ac:dyDescent="0.3">
      <c r="A4525" t="s">
        <v>118</v>
      </c>
    </row>
    <row r="4526" spans="1:11" x14ac:dyDescent="0.3">
      <c r="A4526" t="s">
        <v>119</v>
      </c>
    </row>
    <row r="4527" spans="1:11" x14ac:dyDescent="0.3">
      <c r="A4527" t="s">
        <v>268</v>
      </c>
    </row>
    <row r="4528" spans="1:11" x14ac:dyDescent="0.3">
      <c r="A4528" t="s">
        <v>269</v>
      </c>
    </row>
    <row r="4529" spans="1:11" x14ac:dyDescent="0.3">
      <c r="A4529" t="s">
        <v>122</v>
      </c>
    </row>
    <row r="4530" spans="1:11" x14ac:dyDescent="0.3">
      <c r="A4530" t="s">
        <v>270</v>
      </c>
    </row>
    <row r="4531" spans="1:11" x14ac:dyDescent="0.3">
      <c r="A4531" t="s">
        <v>271</v>
      </c>
    </row>
    <row r="4532" spans="1:11" x14ac:dyDescent="0.3">
      <c r="A4532" t="s">
        <v>125</v>
      </c>
    </row>
    <row r="4533" spans="1:11" x14ac:dyDescent="0.3">
      <c r="A4533" t="s">
        <v>126</v>
      </c>
    </row>
    <row r="4534" spans="1:11" x14ac:dyDescent="0.3">
      <c r="A4534" t="s">
        <v>127</v>
      </c>
    </row>
    <row r="4535" spans="1:11" x14ac:dyDescent="0.3">
      <c r="A4535" t="s">
        <v>192</v>
      </c>
    </row>
    <row r="4536" spans="1:11" x14ac:dyDescent="0.3">
      <c r="A4536" t="s">
        <v>318</v>
      </c>
    </row>
    <row r="4537" spans="1:11" x14ac:dyDescent="0.3">
      <c r="A4537" t="s">
        <v>72</v>
      </c>
      <c r="B4537">
        <v>1</v>
      </c>
      <c r="C4537" t="s">
        <v>73</v>
      </c>
      <c r="D4537">
        <v>4.1999999999999996E-6</v>
      </c>
      <c r="E4537" t="s">
        <v>74</v>
      </c>
      <c r="F4537">
        <v>4.1999999999999997E-3</v>
      </c>
      <c r="G4537" t="s">
        <v>75</v>
      </c>
      <c r="H4537">
        <v>4.2</v>
      </c>
      <c r="I4537" t="s">
        <v>76</v>
      </c>
      <c r="J4537" t="s">
        <v>77</v>
      </c>
    </row>
    <row r="4538" spans="1:11" x14ac:dyDescent="0.3">
      <c r="A4538" t="s">
        <v>72</v>
      </c>
      <c r="B4538">
        <v>1</v>
      </c>
      <c r="C4538" t="s">
        <v>78</v>
      </c>
      <c r="D4538">
        <v>0.1273078</v>
      </c>
      <c r="E4538" t="s">
        <v>74</v>
      </c>
      <c r="F4538">
        <v>127.3078</v>
      </c>
      <c r="G4538" t="s">
        <v>75</v>
      </c>
      <c r="H4538">
        <v>127307.802</v>
      </c>
      <c r="I4538" t="s">
        <v>76</v>
      </c>
      <c r="J4538" t="s">
        <v>77</v>
      </c>
    </row>
    <row r="4539" spans="1:11" x14ac:dyDescent="0.3">
      <c r="A4539" t="s">
        <v>72</v>
      </c>
      <c r="B4539">
        <v>1</v>
      </c>
      <c r="C4539" t="s">
        <v>79</v>
      </c>
      <c r="D4539">
        <v>0.47130149999999998</v>
      </c>
      <c r="E4539" t="s">
        <v>74</v>
      </c>
      <c r="F4539">
        <v>471.30149999999998</v>
      </c>
      <c r="G4539" t="s">
        <v>75</v>
      </c>
      <c r="H4539">
        <v>471301.49599999998</v>
      </c>
      <c r="I4539" t="s">
        <v>76</v>
      </c>
      <c r="J4539" t="s">
        <v>77</v>
      </c>
    </row>
    <row r="4540" spans="1:11" x14ac:dyDescent="0.3">
      <c r="A4540" t="s">
        <v>72</v>
      </c>
      <c r="B4540">
        <v>1</v>
      </c>
      <c r="C4540" t="s">
        <v>94</v>
      </c>
      <c r="D4540">
        <v>9.2493999999999996E-3</v>
      </c>
      <c r="E4540" t="s">
        <v>74</v>
      </c>
      <c r="F4540">
        <v>9.2493999999999996</v>
      </c>
      <c r="G4540" t="s">
        <v>75</v>
      </c>
      <c r="H4540">
        <v>9249.4</v>
      </c>
      <c r="I4540" t="s">
        <v>76</v>
      </c>
      <c r="J4540" t="s">
        <v>77</v>
      </c>
    </row>
    <row r="4541" spans="1:11" x14ac:dyDescent="0.3">
      <c r="A4541" t="s">
        <v>72</v>
      </c>
      <c r="B4541">
        <v>1</v>
      </c>
      <c r="C4541" t="s">
        <v>80</v>
      </c>
      <c r="D4541">
        <v>9.2499999999999995E-3</v>
      </c>
      <c r="E4541" t="s">
        <v>74</v>
      </c>
      <c r="F4541">
        <v>9.25</v>
      </c>
      <c r="G4541" t="s">
        <v>75</v>
      </c>
      <c r="H4541">
        <v>9250</v>
      </c>
      <c r="I4541" t="s">
        <v>76</v>
      </c>
      <c r="J4541" t="s">
        <v>77</v>
      </c>
    </row>
    <row r="4542" spans="1:11" x14ac:dyDescent="0.3">
      <c r="A4542" t="s">
        <v>72</v>
      </c>
      <c r="B4542">
        <v>1</v>
      </c>
      <c r="C4542" t="s">
        <v>81</v>
      </c>
      <c r="D4542">
        <v>0.48055368999999998</v>
      </c>
      <c r="E4542" t="s">
        <v>74</v>
      </c>
      <c r="F4542">
        <v>480.55369000000002</v>
      </c>
      <c r="G4542" t="s">
        <v>75</v>
      </c>
      <c r="H4542">
        <v>480553.68699999998</v>
      </c>
      <c r="I4542" t="s">
        <v>76</v>
      </c>
      <c r="J4542" t="s">
        <v>82</v>
      </c>
      <c r="K4542">
        <v>2.0809329000000001</v>
      </c>
    </row>
    <row r="4543" spans="1:11" x14ac:dyDescent="0.3">
      <c r="A4543" t="s">
        <v>83</v>
      </c>
      <c r="B4543">
        <v>1000</v>
      </c>
      <c r="C4543" t="s">
        <v>79</v>
      </c>
      <c r="D4543">
        <v>2.54814E-3</v>
      </c>
      <c r="E4543" t="s">
        <v>74</v>
      </c>
      <c r="F4543">
        <v>2.5481400000000001</v>
      </c>
      <c r="G4543" t="s">
        <v>75</v>
      </c>
      <c r="H4543">
        <v>2548.1379999999999</v>
      </c>
      <c r="I4543" t="s">
        <v>76</v>
      </c>
      <c r="J4543" t="s">
        <v>77</v>
      </c>
    </row>
    <row r="4544" spans="1:11" x14ac:dyDescent="0.3">
      <c r="A4544" t="s">
        <v>83</v>
      </c>
      <c r="B4544">
        <v>1000</v>
      </c>
      <c r="C4544" t="s">
        <v>94</v>
      </c>
      <c r="D4544">
        <v>2.5208299999999999E-3</v>
      </c>
      <c r="E4544" t="s">
        <v>74</v>
      </c>
      <c r="F4544">
        <v>2.5208300000000001</v>
      </c>
      <c r="G4544" t="s">
        <v>75</v>
      </c>
      <c r="H4544">
        <v>2520.8330000000001</v>
      </c>
      <c r="I4544" t="s">
        <v>76</v>
      </c>
      <c r="J4544" t="s">
        <v>77</v>
      </c>
    </row>
    <row r="4545" spans="1:11" x14ac:dyDescent="0.3">
      <c r="A4545" t="s">
        <v>83</v>
      </c>
      <c r="B4545">
        <v>1000</v>
      </c>
      <c r="C4545" t="s">
        <v>80</v>
      </c>
      <c r="D4545">
        <v>2.67351E-3</v>
      </c>
      <c r="E4545" t="s">
        <v>74</v>
      </c>
      <c r="F4545">
        <v>2.6735099999999998</v>
      </c>
      <c r="G4545" t="s">
        <v>75</v>
      </c>
      <c r="H4545">
        <v>2673.5140000000001</v>
      </c>
      <c r="I4545" t="s">
        <v>76</v>
      </c>
      <c r="J4545" t="s">
        <v>77</v>
      </c>
    </row>
    <row r="4546" spans="1:11" x14ac:dyDescent="0.3">
      <c r="A4546" t="s">
        <v>83</v>
      </c>
      <c r="B4546">
        <v>1000</v>
      </c>
      <c r="C4546" t="s">
        <v>81</v>
      </c>
      <c r="D4546">
        <v>5.2227000000000003E-3</v>
      </c>
      <c r="E4546" t="s">
        <v>74</v>
      </c>
      <c r="F4546">
        <v>5.2226999999999997</v>
      </c>
      <c r="G4546" t="s">
        <v>75</v>
      </c>
      <c r="H4546">
        <v>5222.7049999999999</v>
      </c>
      <c r="I4546" t="s">
        <v>76</v>
      </c>
      <c r="J4546" t="s">
        <v>82</v>
      </c>
      <c r="K4546">
        <v>191.47166490000001</v>
      </c>
    </row>
    <row r="4547" spans="1:11" x14ac:dyDescent="0.3">
      <c r="A4547" t="s">
        <v>84</v>
      </c>
      <c r="B4547">
        <v>1001</v>
      </c>
      <c r="C4547" t="s">
        <v>79</v>
      </c>
      <c r="D4547">
        <v>3.0164200000000001E-3</v>
      </c>
      <c r="E4547" t="s">
        <v>74</v>
      </c>
      <c r="F4547">
        <v>3.0164200000000001</v>
      </c>
      <c r="G4547" t="s">
        <v>75</v>
      </c>
      <c r="H4547">
        <v>3016.422</v>
      </c>
      <c r="I4547" t="s">
        <v>76</v>
      </c>
      <c r="J4547" t="s">
        <v>77</v>
      </c>
    </row>
    <row r="4548" spans="1:11" x14ac:dyDescent="0.3">
      <c r="A4548" t="s">
        <v>84</v>
      </c>
      <c r="B4548">
        <v>1001</v>
      </c>
      <c r="C4548" t="s">
        <v>94</v>
      </c>
      <c r="D4548">
        <v>2.5275599999999999E-3</v>
      </c>
      <c r="E4548" t="s">
        <v>74</v>
      </c>
      <c r="F4548">
        <v>2.5275599999999998</v>
      </c>
      <c r="G4548" t="s">
        <v>75</v>
      </c>
      <c r="H4548">
        <v>2527.5549999999998</v>
      </c>
      <c r="I4548" t="s">
        <v>76</v>
      </c>
      <c r="J4548" t="s">
        <v>77</v>
      </c>
    </row>
    <row r="4549" spans="1:11" x14ac:dyDescent="0.3">
      <c r="A4549" t="s">
        <v>84</v>
      </c>
      <c r="B4549">
        <v>1001</v>
      </c>
      <c r="C4549" t="s">
        <v>80</v>
      </c>
      <c r="D4549">
        <v>2.68008E-3</v>
      </c>
      <c r="E4549" t="s">
        <v>74</v>
      </c>
      <c r="F4549">
        <v>2.6800799999999998</v>
      </c>
      <c r="G4549" t="s">
        <v>75</v>
      </c>
      <c r="H4549">
        <v>2680.0839999999998</v>
      </c>
      <c r="I4549" t="s">
        <v>76</v>
      </c>
      <c r="J4549" t="s">
        <v>77</v>
      </c>
    </row>
    <row r="4550" spans="1:11" x14ac:dyDescent="0.3">
      <c r="A4550" t="s">
        <v>84</v>
      </c>
      <c r="B4550">
        <v>1001</v>
      </c>
      <c r="C4550" t="s">
        <v>81</v>
      </c>
      <c r="D4550">
        <v>5.69756E-3</v>
      </c>
      <c r="E4550" t="s">
        <v>74</v>
      </c>
      <c r="F4550">
        <v>5.6975600000000002</v>
      </c>
      <c r="G4550" t="s">
        <v>75</v>
      </c>
      <c r="H4550">
        <v>5697.5609999999997</v>
      </c>
      <c r="I4550" t="s">
        <v>76</v>
      </c>
      <c r="J4550" t="s">
        <v>82</v>
      </c>
      <c r="K4550">
        <v>175.5136846</v>
      </c>
    </row>
    <row r="4551" spans="1:11" x14ac:dyDescent="0.3">
      <c r="A4551" t="s">
        <v>85</v>
      </c>
      <c r="B4551">
        <v>1001</v>
      </c>
      <c r="C4551" t="s">
        <v>86</v>
      </c>
      <c r="D4551">
        <v>5.6977699999999996E-3</v>
      </c>
      <c r="E4551" t="s">
        <v>74</v>
      </c>
      <c r="F4551">
        <v>5.6977700000000002</v>
      </c>
      <c r="G4551" t="s">
        <v>75</v>
      </c>
      <c r="H4551">
        <v>5697.7730000000001</v>
      </c>
      <c r="I4551" t="s">
        <v>76</v>
      </c>
      <c r="J4551" t="s">
        <v>82</v>
      </c>
      <c r="K4551">
        <v>175.5071548</v>
      </c>
    </row>
    <row r="4552" spans="1:11" x14ac:dyDescent="0.3">
      <c r="A4552" t="s">
        <v>194</v>
      </c>
    </row>
    <row r="4553" spans="1:11" x14ac:dyDescent="0.3">
      <c r="A4553" t="s">
        <v>319</v>
      </c>
    </row>
    <row r="4554" spans="1:11" x14ac:dyDescent="0.3">
      <c r="A4554" t="s">
        <v>72</v>
      </c>
      <c r="B4554">
        <v>1</v>
      </c>
      <c r="C4554" t="s">
        <v>73</v>
      </c>
      <c r="D4554">
        <v>4.1999999999999996E-6</v>
      </c>
      <c r="E4554" t="s">
        <v>74</v>
      </c>
      <c r="F4554">
        <v>4.1999999999999997E-3</v>
      </c>
      <c r="G4554" t="s">
        <v>75</v>
      </c>
      <c r="H4554">
        <v>4.2</v>
      </c>
      <c r="I4554" t="s">
        <v>76</v>
      </c>
      <c r="J4554" t="s">
        <v>77</v>
      </c>
    </row>
    <row r="4555" spans="1:11" x14ac:dyDescent="0.3">
      <c r="A4555" t="s">
        <v>72</v>
      </c>
      <c r="B4555">
        <v>1</v>
      </c>
      <c r="C4555" t="s">
        <v>78</v>
      </c>
      <c r="D4555">
        <v>1.0789999999999999E-4</v>
      </c>
      <c r="E4555" t="s">
        <v>74</v>
      </c>
      <c r="F4555">
        <v>0.1079</v>
      </c>
      <c r="G4555" t="s">
        <v>75</v>
      </c>
      <c r="H4555">
        <v>107.9</v>
      </c>
      <c r="I4555" t="s">
        <v>76</v>
      </c>
      <c r="J4555" t="s">
        <v>77</v>
      </c>
    </row>
    <row r="4556" spans="1:11" x14ac:dyDescent="0.3">
      <c r="A4556" t="s">
        <v>72</v>
      </c>
      <c r="B4556">
        <v>1</v>
      </c>
      <c r="C4556" t="s">
        <v>79</v>
      </c>
      <c r="D4556">
        <v>4.8335000000000001E-3</v>
      </c>
      <c r="E4556" t="s">
        <v>74</v>
      </c>
      <c r="F4556">
        <v>4.8334999999999999</v>
      </c>
      <c r="G4556" t="s">
        <v>75</v>
      </c>
      <c r="H4556">
        <v>4833.5</v>
      </c>
      <c r="I4556" t="s">
        <v>76</v>
      </c>
      <c r="J4556" t="s">
        <v>77</v>
      </c>
    </row>
    <row r="4557" spans="1:11" x14ac:dyDescent="0.3">
      <c r="A4557" t="s">
        <v>72</v>
      </c>
      <c r="B4557">
        <v>1</v>
      </c>
      <c r="C4557" t="s">
        <v>94</v>
      </c>
      <c r="D4557">
        <v>2.6583000000000002E-3</v>
      </c>
      <c r="E4557" t="s">
        <v>74</v>
      </c>
      <c r="F4557">
        <v>2.6583000000000001</v>
      </c>
      <c r="G4557" t="s">
        <v>75</v>
      </c>
      <c r="H4557">
        <v>2658.3</v>
      </c>
      <c r="I4557" t="s">
        <v>76</v>
      </c>
      <c r="J4557" t="s">
        <v>77</v>
      </c>
    </row>
    <row r="4558" spans="1:11" x14ac:dyDescent="0.3">
      <c r="A4558" t="s">
        <v>72</v>
      </c>
      <c r="B4558">
        <v>1</v>
      </c>
      <c r="C4558" t="s">
        <v>80</v>
      </c>
      <c r="D4558">
        <v>2.8666999999999998E-3</v>
      </c>
      <c r="E4558" t="s">
        <v>74</v>
      </c>
      <c r="F4558">
        <v>2.8666999999999998</v>
      </c>
      <c r="G4558" t="s">
        <v>75</v>
      </c>
      <c r="H4558">
        <v>2866.7</v>
      </c>
      <c r="I4558" t="s">
        <v>76</v>
      </c>
      <c r="J4558" t="s">
        <v>77</v>
      </c>
    </row>
    <row r="4559" spans="1:11" x14ac:dyDescent="0.3">
      <c r="A4559" t="s">
        <v>72</v>
      </c>
      <c r="B4559">
        <v>1</v>
      </c>
      <c r="C4559" t="s">
        <v>81</v>
      </c>
      <c r="D4559">
        <v>7.7016000000000003E-3</v>
      </c>
      <c r="E4559" t="s">
        <v>74</v>
      </c>
      <c r="F4559">
        <v>7.7016</v>
      </c>
      <c r="G4559" t="s">
        <v>75</v>
      </c>
      <c r="H4559">
        <v>7701.6</v>
      </c>
      <c r="I4559" t="s">
        <v>76</v>
      </c>
      <c r="J4559" t="s">
        <v>82</v>
      </c>
      <c r="K4559">
        <v>129.84315000000001</v>
      </c>
    </row>
    <row r="4560" spans="1:11" x14ac:dyDescent="0.3">
      <c r="A4560" t="s">
        <v>83</v>
      </c>
      <c r="B4560">
        <v>1000</v>
      </c>
      <c r="C4560" t="s">
        <v>79</v>
      </c>
      <c r="D4560">
        <v>3.04842E-3</v>
      </c>
      <c r="E4560" t="s">
        <v>74</v>
      </c>
      <c r="F4560">
        <v>3.0484200000000001</v>
      </c>
      <c r="G4560" t="s">
        <v>75</v>
      </c>
      <c r="H4560">
        <v>3048.422</v>
      </c>
      <c r="I4560" t="s">
        <v>76</v>
      </c>
      <c r="J4560" t="s">
        <v>77</v>
      </c>
    </row>
    <row r="4561" spans="1:11" x14ac:dyDescent="0.3">
      <c r="A4561" t="s">
        <v>83</v>
      </c>
      <c r="B4561">
        <v>1000</v>
      </c>
      <c r="C4561" t="s">
        <v>94</v>
      </c>
      <c r="D4561">
        <v>2.64292E-3</v>
      </c>
      <c r="E4561" t="s">
        <v>74</v>
      </c>
      <c r="F4561">
        <v>2.6429200000000002</v>
      </c>
      <c r="G4561" t="s">
        <v>75</v>
      </c>
      <c r="H4561">
        <v>2642.915</v>
      </c>
      <c r="I4561" t="s">
        <v>76</v>
      </c>
      <c r="J4561" t="s">
        <v>77</v>
      </c>
    </row>
    <row r="4562" spans="1:11" x14ac:dyDescent="0.3">
      <c r="A4562" t="s">
        <v>83</v>
      </c>
      <c r="B4562">
        <v>1000</v>
      </c>
      <c r="C4562" t="s">
        <v>80</v>
      </c>
      <c r="D4562">
        <v>2.8053100000000001E-3</v>
      </c>
      <c r="E4562" t="s">
        <v>74</v>
      </c>
      <c r="F4562">
        <v>2.80531</v>
      </c>
      <c r="G4562" t="s">
        <v>75</v>
      </c>
      <c r="H4562">
        <v>2805.308</v>
      </c>
      <c r="I4562" t="s">
        <v>76</v>
      </c>
      <c r="J4562" t="s">
        <v>77</v>
      </c>
    </row>
    <row r="4563" spans="1:11" x14ac:dyDescent="0.3">
      <c r="A4563" t="s">
        <v>83</v>
      </c>
      <c r="B4563">
        <v>1000</v>
      </c>
      <c r="C4563" t="s">
        <v>81</v>
      </c>
      <c r="D4563">
        <v>5.8548100000000002E-3</v>
      </c>
      <c r="E4563" t="s">
        <v>74</v>
      </c>
      <c r="F4563">
        <v>5.8548099999999996</v>
      </c>
      <c r="G4563" t="s">
        <v>75</v>
      </c>
      <c r="H4563">
        <v>5854.8119999999999</v>
      </c>
      <c r="I4563" t="s">
        <v>76</v>
      </c>
      <c r="J4563" t="s">
        <v>82</v>
      </c>
      <c r="K4563">
        <v>170.79967300000001</v>
      </c>
    </row>
    <row r="4564" spans="1:11" x14ac:dyDescent="0.3">
      <c r="A4564" t="s">
        <v>84</v>
      </c>
      <c r="B4564">
        <v>1001</v>
      </c>
      <c r="C4564" t="s">
        <v>79</v>
      </c>
      <c r="D4564">
        <v>3.0501999999999999E-3</v>
      </c>
      <c r="E4564" t="s">
        <v>74</v>
      </c>
      <c r="F4564">
        <v>3.0501999999999998</v>
      </c>
      <c r="G4564" t="s">
        <v>75</v>
      </c>
      <c r="H4564">
        <v>3050.2049999999999</v>
      </c>
      <c r="I4564" t="s">
        <v>76</v>
      </c>
      <c r="J4564" t="s">
        <v>77</v>
      </c>
    </row>
    <row r="4565" spans="1:11" x14ac:dyDescent="0.3">
      <c r="A4565" t="s">
        <v>84</v>
      </c>
      <c r="B4565">
        <v>1001</v>
      </c>
      <c r="C4565" t="s">
        <v>94</v>
      </c>
      <c r="D4565">
        <v>2.6429299999999999E-3</v>
      </c>
      <c r="E4565" t="s">
        <v>74</v>
      </c>
      <c r="F4565">
        <v>2.6429299999999998</v>
      </c>
      <c r="G4565" t="s">
        <v>75</v>
      </c>
      <c r="H4565">
        <v>2642.931</v>
      </c>
      <c r="I4565" t="s">
        <v>76</v>
      </c>
      <c r="J4565" t="s">
        <v>77</v>
      </c>
    </row>
    <row r="4566" spans="1:11" x14ac:dyDescent="0.3">
      <c r="A4566" t="s">
        <v>84</v>
      </c>
      <c r="B4566">
        <v>1001</v>
      </c>
      <c r="C4566" t="s">
        <v>80</v>
      </c>
      <c r="D4566">
        <v>2.8053700000000002E-3</v>
      </c>
      <c r="E4566" t="s">
        <v>74</v>
      </c>
      <c r="F4566">
        <v>2.8053699999999999</v>
      </c>
      <c r="G4566" t="s">
        <v>75</v>
      </c>
      <c r="H4566">
        <v>2805.3690000000001</v>
      </c>
      <c r="I4566" t="s">
        <v>76</v>
      </c>
      <c r="J4566" t="s">
        <v>77</v>
      </c>
    </row>
    <row r="4567" spans="1:11" x14ac:dyDescent="0.3">
      <c r="A4567" t="s">
        <v>84</v>
      </c>
      <c r="B4567">
        <v>1001</v>
      </c>
      <c r="C4567" t="s">
        <v>81</v>
      </c>
      <c r="D4567">
        <v>5.8566599999999996E-3</v>
      </c>
      <c r="E4567" t="s">
        <v>74</v>
      </c>
      <c r="F4567">
        <v>5.8566599999999998</v>
      </c>
      <c r="G4567" t="s">
        <v>75</v>
      </c>
      <c r="H4567">
        <v>5856.6570000000002</v>
      </c>
      <c r="I4567" t="s">
        <v>76</v>
      </c>
      <c r="J4567" t="s">
        <v>82</v>
      </c>
      <c r="K4567">
        <v>170.7458604</v>
      </c>
    </row>
    <row r="4568" spans="1:11" x14ac:dyDescent="0.3">
      <c r="A4568" t="s">
        <v>85</v>
      </c>
      <c r="B4568">
        <v>1001</v>
      </c>
      <c r="C4568" t="s">
        <v>86</v>
      </c>
      <c r="D4568">
        <v>5.8569E-3</v>
      </c>
      <c r="E4568" t="s">
        <v>74</v>
      </c>
      <c r="F4568">
        <v>5.8569000000000004</v>
      </c>
      <c r="G4568" t="s">
        <v>75</v>
      </c>
      <c r="H4568">
        <v>5856.8990000000003</v>
      </c>
      <c r="I4568" t="s">
        <v>76</v>
      </c>
      <c r="J4568" t="s">
        <v>82</v>
      </c>
      <c r="K4568">
        <v>170.73880560000001</v>
      </c>
    </row>
    <row r="4569" spans="1:11" x14ac:dyDescent="0.3">
      <c r="A4569" t="s">
        <v>115</v>
      </c>
    </row>
    <row r="4570" spans="1:11" x14ac:dyDescent="0.3">
      <c r="A4570" t="s">
        <v>127</v>
      </c>
    </row>
    <row r="4571" spans="1:11" x14ac:dyDescent="0.3">
      <c r="A4571" t="s">
        <v>87</v>
      </c>
    </row>
    <row r="4572" spans="1:11" x14ac:dyDescent="0.3">
      <c r="A4572" t="s">
        <v>320</v>
      </c>
    </row>
    <row r="4573" spans="1:11" x14ac:dyDescent="0.3">
      <c r="A4573" t="s">
        <v>72</v>
      </c>
      <c r="B4573">
        <v>1</v>
      </c>
      <c r="C4573" t="s">
        <v>81</v>
      </c>
      <c r="D4573">
        <v>0.48055368999999998</v>
      </c>
      <c r="E4573" t="s">
        <v>74</v>
      </c>
      <c r="F4573">
        <v>480.55369000000002</v>
      </c>
      <c r="G4573" t="s">
        <v>75</v>
      </c>
      <c r="H4573">
        <v>480553.68699999998</v>
      </c>
      <c r="I4573" t="s">
        <v>76</v>
      </c>
      <c r="J4573" t="s">
        <v>82</v>
      </c>
      <c r="K4573">
        <v>2.0809329000000001</v>
      </c>
    </row>
    <row r="4574" spans="1:11" x14ac:dyDescent="0.3">
      <c r="A4574" t="s">
        <v>83</v>
      </c>
      <c r="B4574">
        <v>1000</v>
      </c>
      <c r="C4574" t="s">
        <v>81</v>
      </c>
      <c r="D4574">
        <v>5.2227000000000003E-3</v>
      </c>
      <c r="E4574" t="s">
        <v>74</v>
      </c>
      <c r="F4574">
        <v>5.2226999999999997</v>
      </c>
      <c r="G4574" t="s">
        <v>75</v>
      </c>
      <c r="H4574">
        <v>5222.7049999999999</v>
      </c>
      <c r="I4574" t="s">
        <v>76</v>
      </c>
      <c r="J4574" t="s">
        <v>82</v>
      </c>
      <c r="K4574">
        <v>191.47166490000001</v>
      </c>
    </row>
    <row r="4575" spans="1:11" x14ac:dyDescent="0.3">
      <c r="A4575" t="s">
        <v>85</v>
      </c>
      <c r="B4575">
        <v>1001</v>
      </c>
      <c r="C4575" t="s">
        <v>86</v>
      </c>
      <c r="D4575">
        <v>5.6977699999999996E-3</v>
      </c>
      <c r="E4575" t="s">
        <v>74</v>
      </c>
      <c r="F4575">
        <v>5.6977700000000002</v>
      </c>
      <c r="G4575" t="s">
        <v>75</v>
      </c>
      <c r="H4575">
        <v>5697.7730000000001</v>
      </c>
      <c r="I4575" t="s">
        <v>76</v>
      </c>
      <c r="J4575" t="s">
        <v>82</v>
      </c>
      <c r="K4575">
        <v>175.5071548</v>
      </c>
    </row>
    <row r="4577" spans="1:11" x14ac:dyDescent="0.3">
      <c r="A4577" t="s">
        <v>321</v>
      </c>
    </row>
    <row r="4578" spans="1:11" x14ac:dyDescent="0.3">
      <c r="A4578" t="s">
        <v>72</v>
      </c>
      <c r="B4578">
        <v>1</v>
      </c>
      <c r="C4578" t="s">
        <v>81</v>
      </c>
      <c r="D4578">
        <v>7.7016000000000003E-3</v>
      </c>
      <c r="E4578" t="s">
        <v>74</v>
      </c>
      <c r="F4578">
        <v>7.7016</v>
      </c>
      <c r="G4578" t="s">
        <v>75</v>
      </c>
      <c r="H4578">
        <v>7701.6</v>
      </c>
      <c r="I4578" t="s">
        <v>76</v>
      </c>
      <c r="J4578" t="s">
        <v>82</v>
      </c>
      <c r="K4578">
        <v>129.84315000000001</v>
      </c>
    </row>
    <row r="4579" spans="1:11" x14ac:dyDescent="0.3">
      <c r="A4579" t="s">
        <v>83</v>
      </c>
      <c r="B4579">
        <v>1000</v>
      </c>
      <c r="C4579" t="s">
        <v>81</v>
      </c>
      <c r="D4579">
        <v>5.8548100000000002E-3</v>
      </c>
      <c r="E4579" t="s">
        <v>74</v>
      </c>
      <c r="F4579">
        <v>5.8548099999999996</v>
      </c>
      <c r="G4579" t="s">
        <v>75</v>
      </c>
      <c r="H4579">
        <v>5854.8119999999999</v>
      </c>
      <c r="I4579" t="s">
        <v>76</v>
      </c>
      <c r="J4579" t="s">
        <v>82</v>
      </c>
      <c r="K4579">
        <v>170.79967300000001</v>
      </c>
    </row>
    <row r="4580" spans="1:11" x14ac:dyDescent="0.3">
      <c r="A4580" t="s">
        <v>85</v>
      </c>
      <c r="B4580">
        <v>1001</v>
      </c>
      <c r="C4580" t="s">
        <v>86</v>
      </c>
      <c r="D4580">
        <v>5.8569E-3</v>
      </c>
      <c r="E4580" t="s">
        <v>74</v>
      </c>
      <c r="F4580">
        <v>5.8569000000000004</v>
      </c>
      <c r="G4580" t="s">
        <v>75</v>
      </c>
      <c r="H4580">
        <v>5856.8990000000003</v>
      </c>
      <c r="I4580" t="s">
        <v>76</v>
      </c>
      <c r="J4580" t="s">
        <v>82</v>
      </c>
      <c r="K4580">
        <v>170.73880560000001</v>
      </c>
    </row>
    <row r="4582" spans="1:11" x14ac:dyDescent="0.3">
      <c r="A4582" t="s">
        <v>66</v>
      </c>
    </row>
    <row r="4584" spans="1:11" x14ac:dyDescent="0.3">
      <c r="A4584" t="s">
        <v>322</v>
      </c>
    </row>
    <row r="4585" spans="1:11" x14ac:dyDescent="0.3">
      <c r="A4585" t="s">
        <v>68</v>
      </c>
    </row>
    <row r="4586" spans="1:11" x14ac:dyDescent="0.3">
      <c r="A4586" t="s">
        <v>69</v>
      </c>
    </row>
    <row r="4587" spans="1:11" x14ac:dyDescent="0.3">
      <c r="A4587" t="s">
        <v>70</v>
      </c>
    </row>
    <row r="4588" spans="1:11" x14ac:dyDescent="0.3">
      <c r="A4588" t="s">
        <v>115</v>
      </c>
    </row>
    <row r="4589" spans="1:11" x14ac:dyDescent="0.3">
      <c r="A4589" t="s">
        <v>266</v>
      </c>
    </row>
    <row r="4590" spans="1:11" x14ac:dyDescent="0.3">
      <c r="A4590" t="s">
        <v>267</v>
      </c>
    </row>
    <row r="4591" spans="1:11" x14ac:dyDescent="0.3">
      <c r="A4591" t="s">
        <v>118</v>
      </c>
    </row>
    <row r="4592" spans="1:11" x14ac:dyDescent="0.3">
      <c r="A4592" t="s">
        <v>119</v>
      </c>
    </row>
    <row r="4593" spans="1:11" x14ac:dyDescent="0.3">
      <c r="A4593" t="s">
        <v>268</v>
      </c>
    </row>
    <row r="4594" spans="1:11" x14ac:dyDescent="0.3">
      <c r="A4594" t="s">
        <v>269</v>
      </c>
    </row>
    <row r="4595" spans="1:11" x14ac:dyDescent="0.3">
      <c r="A4595" t="s">
        <v>122</v>
      </c>
    </row>
    <row r="4596" spans="1:11" x14ac:dyDescent="0.3">
      <c r="A4596" t="s">
        <v>270</v>
      </c>
    </row>
    <row r="4597" spans="1:11" x14ac:dyDescent="0.3">
      <c r="A4597" t="s">
        <v>271</v>
      </c>
    </row>
    <row r="4598" spans="1:11" x14ac:dyDescent="0.3">
      <c r="A4598" t="s">
        <v>125</v>
      </c>
    </row>
    <row r="4599" spans="1:11" x14ac:dyDescent="0.3">
      <c r="A4599" t="s">
        <v>126</v>
      </c>
    </row>
    <row r="4600" spans="1:11" x14ac:dyDescent="0.3">
      <c r="A4600" t="s">
        <v>127</v>
      </c>
    </row>
    <row r="4601" spans="1:11" x14ac:dyDescent="0.3">
      <c r="A4601" t="s">
        <v>199</v>
      </c>
    </row>
    <row r="4602" spans="1:11" x14ac:dyDescent="0.3">
      <c r="A4602" t="s">
        <v>323</v>
      </c>
    </row>
    <row r="4603" spans="1:11" x14ac:dyDescent="0.3">
      <c r="A4603" t="s">
        <v>72</v>
      </c>
      <c r="B4603">
        <v>1</v>
      </c>
      <c r="C4603" t="s">
        <v>73</v>
      </c>
      <c r="D4603">
        <v>3.8999999999999999E-6</v>
      </c>
      <c r="E4603" t="s">
        <v>74</v>
      </c>
      <c r="F4603">
        <v>3.8999999999999998E-3</v>
      </c>
      <c r="G4603" t="s">
        <v>75</v>
      </c>
      <c r="H4603">
        <v>3.9</v>
      </c>
      <c r="I4603" t="s">
        <v>76</v>
      </c>
      <c r="J4603" t="s">
        <v>77</v>
      </c>
    </row>
    <row r="4604" spans="1:11" x14ac:dyDescent="0.3">
      <c r="A4604" t="s">
        <v>72</v>
      </c>
      <c r="B4604">
        <v>1</v>
      </c>
      <c r="C4604" t="s">
        <v>78</v>
      </c>
      <c r="D4604">
        <v>0.15286959999999999</v>
      </c>
      <c r="E4604" t="s">
        <v>74</v>
      </c>
      <c r="F4604">
        <v>152.86959999999999</v>
      </c>
      <c r="G4604" t="s">
        <v>75</v>
      </c>
      <c r="H4604">
        <v>152869.59700000001</v>
      </c>
      <c r="I4604" t="s">
        <v>76</v>
      </c>
      <c r="J4604" t="s">
        <v>77</v>
      </c>
    </row>
    <row r="4605" spans="1:11" x14ac:dyDescent="0.3">
      <c r="A4605" t="s">
        <v>72</v>
      </c>
      <c r="B4605">
        <v>1</v>
      </c>
      <c r="C4605" t="s">
        <v>79</v>
      </c>
      <c r="D4605">
        <v>0.47592381</v>
      </c>
      <c r="E4605" t="s">
        <v>74</v>
      </c>
      <c r="F4605">
        <v>475.92381</v>
      </c>
      <c r="G4605" t="s">
        <v>75</v>
      </c>
      <c r="H4605">
        <v>475923.80599999998</v>
      </c>
      <c r="I4605" t="s">
        <v>76</v>
      </c>
      <c r="J4605" t="s">
        <v>77</v>
      </c>
    </row>
    <row r="4606" spans="1:11" x14ac:dyDescent="0.3">
      <c r="A4606" t="s">
        <v>72</v>
      </c>
      <c r="B4606">
        <v>1</v>
      </c>
      <c r="C4606" t="s">
        <v>94</v>
      </c>
      <c r="D4606">
        <v>1.75885E-2</v>
      </c>
      <c r="E4606" t="s">
        <v>74</v>
      </c>
      <c r="F4606">
        <v>17.5885</v>
      </c>
      <c r="G4606" t="s">
        <v>75</v>
      </c>
      <c r="H4606">
        <v>17588.5</v>
      </c>
      <c r="I4606" t="s">
        <v>76</v>
      </c>
      <c r="J4606" t="s">
        <v>77</v>
      </c>
    </row>
    <row r="4607" spans="1:11" x14ac:dyDescent="0.3">
      <c r="A4607" t="s">
        <v>72</v>
      </c>
      <c r="B4607">
        <v>1</v>
      </c>
      <c r="C4607" t="s">
        <v>80</v>
      </c>
      <c r="D4607">
        <v>1.7590999999999999E-2</v>
      </c>
      <c r="E4607" t="s">
        <v>74</v>
      </c>
      <c r="F4607">
        <v>17.591000000000001</v>
      </c>
      <c r="G4607" t="s">
        <v>75</v>
      </c>
      <c r="H4607">
        <v>17591</v>
      </c>
      <c r="I4607" t="s">
        <v>76</v>
      </c>
      <c r="J4607" t="s">
        <v>77</v>
      </c>
    </row>
    <row r="4608" spans="1:11" x14ac:dyDescent="0.3">
      <c r="A4608" t="s">
        <v>72</v>
      </c>
      <c r="B4608">
        <v>1</v>
      </c>
      <c r="C4608" t="s">
        <v>81</v>
      </c>
      <c r="D4608">
        <v>0.49351709999999999</v>
      </c>
      <c r="E4608" t="s">
        <v>74</v>
      </c>
      <c r="F4608">
        <v>493.51710000000003</v>
      </c>
      <c r="G4608" t="s">
        <v>75</v>
      </c>
      <c r="H4608">
        <v>493517.10100000002</v>
      </c>
      <c r="I4608" t="s">
        <v>76</v>
      </c>
      <c r="J4608" t="s">
        <v>82</v>
      </c>
      <c r="K4608">
        <v>2.0262722000000002</v>
      </c>
    </row>
    <row r="4609" spans="1:11" x14ac:dyDescent="0.3">
      <c r="A4609" t="s">
        <v>83</v>
      </c>
      <c r="B4609">
        <v>1000</v>
      </c>
      <c r="C4609" t="s">
        <v>79</v>
      </c>
      <c r="D4609">
        <v>3.9860999999999998E-4</v>
      </c>
      <c r="E4609" t="s">
        <v>74</v>
      </c>
      <c r="F4609">
        <v>0.39861000000000002</v>
      </c>
      <c r="G4609" t="s">
        <v>75</v>
      </c>
      <c r="H4609">
        <v>398.60700000000003</v>
      </c>
      <c r="I4609" t="s">
        <v>76</v>
      </c>
      <c r="J4609" t="s">
        <v>77</v>
      </c>
    </row>
    <row r="4610" spans="1:11" x14ac:dyDescent="0.3">
      <c r="A4610" t="s">
        <v>83</v>
      </c>
      <c r="B4610">
        <v>1000</v>
      </c>
      <c r="C4610" t="s">
        <v>94</v>
      </c>
      <c r="D4610">
        <v>1.8387399999999999E-3</v>
      </c>
      <c r="E4610" t="s">
        <v>74</v>
      </c>
      <c r="F4610">
        <v>1.83874</v>
      </c>
      <c r="G4610" t="s">
        <v>75</v>
      </c>
      <c r="H4610">
        <v>1838.7370000000001</v>
      </c>
      <c r="I4610" t="s">
        <v>76</v>
      </c>
      <c r="J4610" t="s">
        <v>77</v>
      </c>
    </row>
    <row r="4611" spans="1:11" x14ac:dyDescent="0.3">
      <c r="A4611" t="s">
        <v>83</v>
      </c>
      <c r="B4611">
        <v>1000</v>
      </c>
      <c r="C4611" t="s">
        <v>80</v>
      </c>
      <c r="D4611">
        <v>1.8388899999999999E-3</v>
      </c>
      <c r="E4611" t="s">
        <v>74</v>
      </c>
      <c r="F4611">
        <v>1.8388899999999999</v>
      </c>
      <c r="G4611" t="s">
        <v>75</v>
      </c>
      <c r="H4611">
        <v>1838.886</v>
      </c>
      <c r="I4611" t="s">
        <v>76</v>
      </c>
      <c r="J4611" t="s">
        <v>77</v>
      </c>
    </row>
    <row r="4612" spans="1:11" x14ac:dyDescent="0.3">
      <c r="A4612" t="s">
        <v>83</v>
      </c>
      <c r="B4612">
        <v>1000</v>
      </c>
      <c r="C4612" t="s">
        <v>81</v>
      </c>
      <c r="D4612">
        <v>2.2380099999999999E-3</v>
      </c>
      <c r="E4612" t="s">
        <v>74</v>
      </c>
      <c r="F4612">
        <v>2.2380100000000001</v>
      </c>
      <c r="G4612" t="s">
        <v>75</v>
      </c>
      <c r="H4612">
        <v>2238.0100000000002</v>
      </c>
      <c r="I4612" t="s">
        <v>76</v>
      </c>
      <c r="J4612" t="s">
        <v>82</v>
      </c>
      <c r="K4612">
        <v>446.82554210000001</v>
      </c>
    </row>
    <row r="4613" spans="1:11" x14ac:dyDescent="0.3">
      <c r="A4613" t="s">
        <v>84</v>
      </c>
      <c r="B4613">
        <v>1001</v>
      </c>
      <c r="C4613" t="s">
        <v>79</v>
      </c>
      <c r="D4613">
        <v>8.7365999999999995E-4</v>
      </c>
      <c r="E4613" t="s">
        <v>74</v>
      </c>
      <c r="F4613">
        <v>0.87365999999999999</v>
      </c>
      <c r="G4613" t="s">
        <v>75</v>
      </c>
      <c r="H4613">
        <v>873.65700000000004</v>
      </c>
      <c r="I4613" t="s">
        <v>76</v>
      </c>
      <c r="J4613" t="s">
        <v>77</v>
      </c>
    </row>
    <row r="4614" spans="1:11" x14ac:dyDescent="0.3">
      <c r="A4614" t="s">
        <v>84</v>
      </c>
      <c r="B4614">
        <v>1001</v>
      </c>
      <c r="C4614" t="s">
        <v>94</v>
      </c>
      <c r="D4614">
        <v>1.85447E-3</v>
      </c>
      <c r="E4614" t="s">
        <v>74</v>
      </c>
      <c r="F4614">
        <v>1.8544700000000001</v>
      </c>
      <c r="G4614" t="s">
        <v>75</v>
      </c>
      <c r="H4614">
        <v>1854.471</v>
      </c>
      <c r="I4614" t="s">
        <v>76</v>
      </c>
      <c r="J4614" t="s">
        <v>77</v>
      </c>
    </row>
    <row r="4615" spans="1:11" x14ac:dyDescent="0.3">
      <c r="A4615" t="s">
        <v>84</v>
      </c>
      <c r="B4615">
        <v>1001</v>
      </c>
      <c r="C4615" t="s">
        <v>80</v>
      </c>
      <c r="D4615">
        <v>1.85462E-3</v>
      </c>
      <c r="E4615" t="s">
        <v>74</v>
      </c>
      <c r="F4615">
        <v>1.8546199999999999</v>
      </c>
      <c r="G4615" t="s">
        <v>75</v>
      </c>
      <c r="H4615">
        <v>1854.6220000000001</v>
      </c>
      <c r="I4615" t="s">
        <v>76</v>
      </c>
      <c r="J4615" t="s">
        <v>77</v>
      </c>
    </row>
    <row r="4616" spans="1:11" x14ac:dyDescent="0.3">
      <c r="A4616" t="s">
        <v>84</v>
      </c>
      <c r="B4616">
        <v>1001</v>
      </c>
      <c r="C4616" t="s">
        <v>81</v>
      </c>
      <c r="D4616">
        <v>2.7288E-3</v>
      </c>
      <c r="E4616" t="s">
        <v>74</v>
      </c>
      <c r="F4616">
        <v>2.7288000000000001</v>
      </c>
      <c r="G4616" t="s">
        <v>75</v>
      </c>
      <c r="H4616">
        <v>2728.8009999999999</v>
      </c>
      <c r="I4616" t="s">
        <v>76</v>
      </c>
      <c r="J4616" t="s">
        <v>82</v>
      </c>
      <c r="K4616">
        <v>366.46129380000002</v>
      </c>
    </row>
    <row r="4617" spans="1:11" x14ac:dyDescent="0.3">
      <c r="A4617" t="s">
        <v>85</v>
      </c>
      <c r="B4617">
        <v>1001</v>
      </c>
      <c r="C4617" t="s">
        <v>86</v>
      </c>
      <c r="D4617">
        <v>2.72901E-3</v>
      </c>
      <c r="E4617" t="s">
        <v>74</v>
      </c>
      <c r="F4617">
        <v>2.7290100000000002</v>
      </c>
      <c r="G4617" t="s">
        <v>75</v>
      </c>
      <c r="H4617">
        <v>2729.0070000000001</v>
      </c>
      <c r="I4617" t="s">
        <v>76</v>
      </c>
      <c r="J4617" t="s">
        <v>82</v>
      </c>
      <c r="K4617">
        <v>366.43369180000002</v>
      </c>
    </row>
    <row r="4618" spans="1:11" x14ac:dyDescent="0.3">
      <c r="A4618" t="s">
        <v>201</v>
      </c>
    </row>
    <row r="4619" spans="1:11" x14ac:dyDescent="0.3">
      <c r="A4619" t="s">
        <v>324</v>
      </c>
    </row>
    <row r="4620" spans="1:11" x14ac:dyDescent="0.3">
      <c r="A4620" t="s">
        <v>72</v>
      </c>
      <c r="B4620">
        <v>1</v>
      </c>
      <c r="C4620" t="s">
        <v>73</v>
      </c>
      <c r="D4620">
        <v>3.8999999999999999E-6</v>
      </c>
      <c r="E4620" t="s">
        <v>74</v>
      </c>
      <c r="F4620">
        <v>3.8999999999999998E-3</v>
      </c>
      <c r="G4620" t="s">
        <v>75</v>
      </c>
      <c r="H4620">
        <v>3.9</v>
      </c>
      <c r="I4620" t="s">
        <v>76</v>
      </c>
      <c r="J4620" t="s">
        <v>77</v>
      </c>
    </row>
    <row r="4621" spans="1:11" x14ac:dyDescent="0.3">
      <c r="A4621" t="s">
        <v>72</v>
      </c>
      <c r="B4621">
        <v>1</v>
      </c>
      <c r="C4621" t="s">
        <v>78</v>
      </c>
      <c r="D4621">
        <v>4.7629999999999998E-4</v>
      </c>
      <c r="E4621" t="s">
        <v>74</v>
      </c>
      <c r="F4621">
        <v>0.4763</v>
      </c>
      <c r="G4621" t="s">
        <v>75</v>
      </c>
      <c r="H4621">
        <v>476.3</v>
      </c>
      <c r="I4621" t="s">
        <v>76</v>
      </c>
      <c r="J4621" t="s">
        <v>77</v>
      </c>
    </row>
    <row r="4622" spans="1:11" x14ac:dyDescent="0.3">
      <c r="A4622" t="s">
        <v>72</v>
      </c>
      <c r="B4622">
        <v>1</v>
      </c>
      <c r="C4622" t="s">
        <v>79</v>
      </c>
      <c r="D4622">
        <v>9.0033999999999999E-3</v>
      </c>
      <c r="E4622" t="s">
        <v>74</v>
      </c>
      <c r="F4622">
        <v>9.0033999999999992</v>
      </c>
      <c r="G4622" t="s">
        <v>75</v>
      </c>
      <c r="H4622">
        <v>9003.4</v>
      </c>
      <c r="I4622" t="s">
        <v>76</v>
      </c>
      <c r="J4622" t="s">
        <v>77</v>
      </c>
    </row>
    <row r="4623" spans="1:11" x14ac:dyDescent="0.3">
      <c r="A4623" t="s">
        <v>72</v>
      </c>
      <c r="B4623">
        <v>1</v>
      </c>
      <c r="C4623" t="s">
        <v>94</v>
      </c>
      <c r="D4623">
        <v>0.1139085</v>
      </c>
      <c r="E4623" t="s">
        <v>74</v>
      </c>
      <c r="F4623">
        <v>113.9085</v>
      </c>
      <c r="G4623" t="s">
        <v>75</v>
      </c>
      <c r="H4623">
        <v>113908.499</v>
      </c>
      <c r="I4623" t="s">
        <v>76</v>
      </c>
      <c r="J4623" t="s">
        <v>77</v>
      </c>
    </row>
    <row r="4624" spans="1:11" x14ac:dyDescent="0.3">
      <c r="A4624" t="s">
        <v>72</v>
      </c>
      <c r="B4624">
        <v>1</v>
      </c>
      <c r="C4624" t="s">
        <v>80</v>
      </c>
      <c r="D4624">
        <v>0.1139091</v>
      </c>
      <c r="E4624" t="s">
        <v>74</v>
      </c>
      <c r="F4624">
        <v>113.9091</v>
      </c>
      <c r="G4624" t="s">
        <v>75</v>
      </c>
      <c r="H4624">
        <v>113909.103</v>
      </c>
      <c r="I4624" t="s">
        <v>76</v>
      </c>
      <c r="J4624" t="s">
        <v>77</v>
      </c>
    </row>
    <row r="4625" spans="1:11" x14ac:dyDescent="0.3">
      <c r="A4625" t="s">
        <v>72</v>
      </c>
      <c r="B4625">
        <v>1</v>
      </c>
      <c r="C4625" t="s">
        <v>81</v>
      </c>
      <c r="D4625">
        <v>0.1229137</v>
      </c>
      <c r="E4625" t="s">
        <v>74</v>
      </c>
      <c r="F4625">
        <v>122.91370000000001</v>
      </c>
      <c r="G4625" t="s">
        <v>75</v>
      </c>
      <c r="H4625">
        <v>122913.70299999999</v>
      </c>
      <c r="I4625" t="s">
        <v>76</v>
      </c>
      <c r="J4625" t="s">
        <v>82</v>
      </c>
      <c r="K4625">
        <v>8.1357894000000002</v>
      </c>
    </row>
    <row r="4626" spans="1:11" x14ac:dyDescent="0.3">
      <c r="A4626" t="s">
        <v>83</v>
      </c>
      <c r="B4626">
        <v>1000</v>
      </c>
      <c r="C4626" t="s">
        <v>79</v>
      </c>
      <c r="D4626">
        <v>4.1126999999999998E-4</v>
      </c>
      <c r="E4626" t="s">
        <v>74</v>
      </c>
      <c r="F4626">
        <v>0.41127000000000002</v>
      </c>
      <c r="G4626" t="s">
        <v>75</v>
      </c>
      <c r="H4626">
        <v>411.27300000000002</v>
      </c>
      <c r="I4626" t="s">
        <v>76</v>
      </c>
      <c r="J4626" t="s">
        <v>77</v>
      </c>
    </row>
    <row r="4627" spans="1:11" x14ac:dyDescent="0.3">
      <c r="A4627" t="s">
        <v>83</v>
      </c>
      <c r="B4627">
        <v>1000</v>
      </c>
      <c r="C4627" t="s">
        <v>94</v>
      </c>
      <c r="D4627">
        <v>2.4205300000000002E-3</v>
      </c>
      <c r="E4627" t="s">
        <v>74</v>
      </c>
      <c r="F4627">
        <v>2.4205299999999998</v>
      </c>
      <c r="G4627" t="s">
        <v>75</v>
      </c>
      <c r="H4627">
        <v>2420.5349999999999</v>
      </c>
      <c r="I4627" t="s">
        <v>76</v>
      </c>
      <c r="J4627" t="s">
        <v>77</v>
      </c>
    </row>
    <row r="4628" spans="1:11" x14ac:dyDescent="0.3">
      <c r="A4628" t="s">
        <v>83</v>
      </c>
      <c r="B4628">
        <v>1000</v>
      </c>
      <c r="C4628" t="s">
        <v>80</v>
      </c>
      <c r="D4628">
        <v>2.5480400000000001E-3</v>
      </c>
      <c r="E4628" t="s">
        <v>74</v>
      </c>
      <c r="F4628">
        <v>2.5480399999999999</v>
      </c>
      <c r="G4628" t="s">
        <v>75</v>
      </c>
      <c r="H4628">
        <v>2548.038</v>
      </c>
      <c r="I4628" t="s">
        <v>76</v>
      </c>
      <c r="J4628" t="s">
        <v>77</v>
      </c>
    </row>
    <row r="4629" spans="1:11" x14ac:dyDescent="0.3">
      <c r="A4629" t="s">
        <v>83</v>
      </c>
      <c r="B4629">
        <v>1000</v>
      </c>
      <c r="C4629" t="s">
        <v>81</v>
      </c>
      <c r="D4629">
        <v>2.9601900000000001E-3</v>
      </c>
      <c r="E4629" t="s">
        <v>74</v>
      </c>
      <c r="F4629">
        <v>2.9601899999999999</v>
      </c>
      <c r="G4629" t="s">
        <v>75</v>
      </c>
      <c r="H4629">
        <v>2960.192</v>
      </c>
      <c r="I4629" t="s">
        <v>76</v>
      </c>
      <c r="J4629" t="s">
        <v>82</v>
      </c>
      <c r="K4629">
        <v>337.81590219999998</v>
      </c>
    </row>
    <row r="4630" spans="1:11" x14ac:dyDescent="0.3">
      <c r="A4630" t="s">
        <v>84</v>
      </c>
      <c r="B4630">
        <v>1001</v>
      </c>
      <c r="C4630" t="s">
        <v>79</v>
      </c>
      <c r="D4630">
        <v>4.1985999999999998E-4</v>
      </c>
      <c r="E4630" t="s">
        <v>74</v>
      </c>
      <c r="F4630">
        <v>0.41986000000000001</v>
      </c>
      <c r="G4630" t="s">
        <v>75</v>
      </c>
      <c r="H4630">
        <v>419.85599999999999</v>
      </c>
      <c r="I4630" t="s">
        <v>76</v>
      </c>
      <c r="J4630" t="s">
        <v>77</v>
      </c>
    </row>
    <row r="4631" spans="1:11" x14ac:dyDescent="0.3">
      <c r="A4631" t="s">
        <v>84</v>
      </c>
      <c r="B4631">
        <v>1001</v>
      </c>
      <c r="C4631" t="s">
        <v>94</v>
      </c>
      <c r="D4631">
        <v>2.5319100000000001E-3</v>
      </c>
      <c r="E4631" t="s">
        <v>74</v>
      </c>
      <c r="F4631">
        <v>2.5319099999999999</v>
      </c>
      <c r="G4631" t="s">
        <v>75</v>
      </c>
      <c r="H4631">
        <v>2531.9110000000001</v>
      </c>
      <c r="I4631" t="s">
        <v>76</v>
      </c>
      <c r="J4631" t="s">
        <v>77</v>
      </c>
    </row>
    <row r="4632" spans="1:11" x14ac:dyDescent="0.3">
      <c r="A4632" t="s">
        <v>84</v>
      </c>
      <c r="B4632">
        <v>1001</v>
      </c>
      <c r="C4632" t="s">
        <v>80</v>
      </c>
      <c r="D4632">
        <v>2.6592899999999999E-3</v>
      </c>
      <c r="E4632" t="s">
        <v>74</v>
      </c>
      <c r="F4632">
        <v>2.6592899999999999</v>
      </c>
      <c r="G4632" t="s">
        <v>75</v>
      </c>
      <c r="H4632">
        <v>2659.2869999999998</v>
      </c>
      <c r="I4632" t="s">
        <v>76</v>
      </c>
      <c r="J4632" t="s">
        <v>77</v>
      </c>
    </row>
    <row r="4633" spans="1:11" x14ac:dyDescent="0.3">
      <c r="A4633" t="s">
        <v>84</v>
      </c>
      <c r="B4633">
        <v>1001</v>
      </c>
      <c r="C4633" t="s">
        <v>81</v>
      </c>
      <c r="D4633">
        <v>3.0800300000000001E-3</v>
      </c>
      <c r="E4633" t="s">
        <v>74</v>
      </c>
      <c r="F4633">
        <v>3.0800299999999998</v>
      </c>
      <c r="G4633" t="s">
        <v>75</v>
      </c>
      <c r="H4633">
        <v>3080.027</v>
      </c>
      <c r="I4633" t="s">
        <v>76</v>
      </c>
      <c r="J4633" t="s">
        <v>82</v>
      </c>
      <c r="K4633">
        <v>324.6724317</v>
      </c>
    </row>
    <row r="4634" spans="1:11" x14ac:dyDescent="0.3">
      <c r="A4634" t="s">
        <v>85</v>
      </c>
      <c r="B4634">
        <v>1001</v>
      </c>
      <c r="C4634" t="s">
        <v>86</v>
      </c>
      <c r="D4634">
        <v>3.0801800000000001E-3</v>
      </c>
      <c r="E4634" t="s">
        <v>74</v>
      </c>
      <c r="F4634">
        <v>3.0801799999999999</v>
      </c>
      <c r="G4634" t="s">
        <v>75</v>
      </c>
      <c r="H4634">
        <v>3080.1790000000001</v>
      </c>
      <c r="I4634" t="s">
        <v>76</v>
      </c>
      <c r="J4634" t="s">
        <v>82</v>
      </c>
      <c r="K4634">
        <v>324.6564644</v>
      </c>
    </row>
    <row r="4635" spans="1:11" x14ac:dyDescent="0.3">
      <c r="A4635" t="s">
        <v>115</v>
      </c>
    </row>
    <row r="4636" spans="1:11" x14ac:dyDescent="0.3">
      <c r="A4636" t="s">
        <v>127</v>
      </c>
    </row>
    <row r="4637" spans="1:11" x14ac:dyDescent="0.3">
      <c r="A4637" t="s">
        <v>87</v>
      </c>
    </row>
    <row r="4638" spans="1:11" x14ac:dyDescent="0.3">
      <c r="A4638" t="s">
        <v>325</v>
      </c>
    </row>
    <row r="4639" spans="1:11" x14ac:dyDescent="0.3">
      <c r="A4639" t="s">
        <v>72</v>
      </c>
      <c r="B4639">
        <v>1</v>
      </c>
      <c r="C4639" t="s">
        <v>81</v>
      </c>
      <c r="D4639">
        <v>0.49351709999999999</v>
      </c>
      <c r="E4639" t="s">
        <v>74</v>
      </c>
      <c r="F4639">
        <v>493.51710000000003</v>
      </c>
      <c r="G4639" t="s">
        <v>75</v>
      </c>
      <c r="H4639">
        <v>493517.10100000002</v>
      </c>
      <c r="I4639" t="s">
        <v>76</v>
      </c>
      <c r="J4639" t="s">
        <v>82</v>
      </c>
      <c r="K4639">
        <v>2.0262722000000002</v>
      </c>
    </row>
    <row r="4640" spans="1:11" x14ac:dyDescent="0.3">
      <c r="A4640" t="s">
        <v>83</v>
      </c>
      <c r="B4640">
        <v>1000</v>
      </c>
      <c r="C4640" t="s">
        <v>81</v>
      </c>
      <c r="D4640">
        <v>2.2380099999999999E-3</v>
      </c>
      <c r="E4640" t="s">
        <v>74</v>
      </c>
      <c r="F4640">
        <v>2.2380100000000001</v>
      </c>
      <c r="G4640" t="s">
        <v>75</v>
      </c>
      <c r="H4640">
        <v>2238.0100000000002</v>
      </c>
      <c r="I4640" t="s">
        <v>76</v>
      </c>
      <c r="J4640" t="s">
        <v>82</v>
      </c>
      <c r="K4640">
        <v>446.82554210000001</v>
      </c>
    </row>
    <row r="4641" spans="1:11" x14ac:dyDescent="0.3">
      <c r="A4641" t="s">
        <v>85</v>
      </c>
      <c r="B4641">
        <v>1001</v>
      </c>
      <c r="C4641" t="s">
        <v>86</v>
      </c>
      <c r="D4641">
        <v>2.72901E-3</v>
      </c>
      <c r="E4641" t="s">
        <v>74</v>
      </c>
      <c r="F4641">
        <v>2.7290100000000002</v>
      </c>
      <c r="G4641" t="s">
        <v>75</v>
      </c>
      <c r="H4641">
        <v>2729.0070000000001</v>
      </c>
      <c r="I4641" t="s">
        <v>76</v>
      </c>
      <c r="J4641" t="s">
        <v>82</v>
      </c>
      <c r="K4641">
        <v>366.43369180000002</v>
      </c>
    </row>
    <row r="4643" spans="1:11" x14ac:dyDescent="0.3">
      <c r="A4643" t="s">
        <v>326</v>
      </c>
    </row>
    <row r="4644" spans="1:11" x14ac:dyDescent="0.3">
      <c r="A4644" t="s">
        <v>72</v>
      </c>
      <c r="B4644">
        <v>1</v>
      </c>
      <c r="C4644" t="s">
        <v>81</v>
      </c>
      <c r="D4644">
        <v>0.1229137</v>
      </c>
      <c r="E4644" t="s">
        <v>74</v>
      </c>
      <c r="F4644">
        <v>122.91370000000001</v>
      </c>
      <c r="G4644" t="s">
        <v>75</v>
      </c>
      <c r="H4644">
        <v>122913.70299999999</v>
      </c>
      <c r="I4644" t="s">
        <v>76</v>
      </c>
      <c r="J4644" t="s">
        <v>82</v>
      </c>
      <c r="K4644">
        <v>8.1357894000000002</v>
      </c>
    </row>
    <row r="4645" spans="1:11" x14ac:dyDescent="0.3">
      <c r="A4645" t="s">
        <v>83</v>
      </c>
      <c r="B4645">
        <v>1000</v>
      </c>
      <c r="C4645" t="s">
        <v>81</v>
      </c>
      <c r="D4645">
        <v>2.9601900000000001E-3</v>
      </c>
      <c r="E4645" t="s">
        <v>74</v>
      </c>
      <c r="F4645">
        <v>2.9601899999999999</v>
      </c>
      <c r="G4645" t="s">
        <v>75</v>
      </c>
      <c r="H4645">
        <v>2960.192</v>
      </c>
      <c r="I4645" t="s">
        <v>76</v>
      </c>
      <c r="J4645" t="s">
        <v>82</v>
      </c>
      <c r="K4645">
        <v>337.81590219999998</v>
      </c>
    </row>
    <row r="4646" spans="1:11" x14ac:dyDescent="0.3">
      <c r="A4646" t="s">
        <v>85</v>
      </c>
      <c r="B4646">
        <v>1001</v>
      </c>
      <c r="C4646" t="s">
        <v>86</v>
      </c>
      <c r="D4646">
        <v>3.0801800000000001E-3</v>
      </c>
      <c r="E4646" t="s">
        <v>74</v>
      </c>
      <c r="F4646">
        <v>3.0801799999999999</v>
      </c>
      <c r="G4646" t="s">
        <v>75</v>
      </c>
      <c r="H4646">
        <v>3080.1790000000001</v>
      </c>
      <c r="I4646" t="s">
        <v>76</v>
      </c>
      <c r="J4646" t="s">
        <v>82</v>
      </c>
      <c r="K4646">
        <v>324.6564644</v>
      </c>
    </row>
    <row r="4648" spans="1:11" x14ac:dyDescent="0.3">
      <c r="A4648" t="s">
        <v>66</v>
      </c>
    </row>
    <row r="4650" spans="1:11" x14ac:dyDescent="0.3">
      <c r="A4650" t="s">
        <v>327</v>
      </c>
    </row>
    <row r="4651" spans="1:11" x14ac:dyDescent="0.3">
      <c r="A4651" t="s">
        <v>68</v>
      </c>
    </row>
    <row r="4652" spans="1:11" x14ac:dyDescent="0.3">
      <c r="A4652" t="s">
        <v>69</v>
      </c>
    </row>
    <row r="4653" spans="1:11" x14ac:dyDescent="0.3">
      <c r="A4653" t="s">
        <v>70</v>
      </c>
    </row>
    <row r="4654" spans="1:11" x14ac:dyDescent="0.3">
      <c r="A4654" t="s">
        <v>115</v>
      </c>
    </row>
    <row r="4655" spans="1:11" x14ac:dyDescent="0.3">
      <c r="A4655" t="s">
        <v>266</v>
      </c>
    </row>
    <row r="4656" spans="1:11" x14ac:dyDescent="0.3">
      <c r="A4656" t="s">
        <v>267</v>
      </c>
    </row>
    <row r="4657" spans="1:10" x14ac:dyDescent="0.3">
      <c r="A4657" t="s">
        <v>118</v>
      </c>
    </row>
    <row r="4658" spans="1:10" x14ac:dyDescent="0.3">
      <c r="A4658" t="s">
        <v>119</v>
      </c>
    </row>
    <row r="4659" spans="1:10" x14ac:dyDescent="0.3">
      <c r="A4659" t="s">
        <v>268</v>
      </c>
    </row>
    <row r="4660" spans="1:10" x14ac:dyDescent="0.3">
      <c r="A4660" t="s">
        <v>269</v>
      </c>
    </row>
    <row r="4661" spans="1:10" x14ac:dyDescent="0.3">
      <c r="A4661" t="s">
        <v>122</v>
      </c>
    </row>
    <row r="4662" spans="1:10" x14ac:dyDescent="0.3">
      <c r="A4662" t="s">
        <v>270</v>
      </c>
    </row>
    <row r="4663" spans="1:10" x14ac:dyDescent="0.3">
      <c r="A4663" t="s">
        <v>271</v>
      </c>
    </row>
    <row r="4664" spans="1:10" x14ac:dyDescent="0.3">
      <c r="A4664" t="s">
        <v>125</v>
      </c>
    </row>
    <row r="4665" spans="1:10" x14ac:dyDescent="0.3">
      <c r="A4665" t="s">
        <v>126</v>
      </c>
    </row>
    <row r="4666" spans="1:10" x14ac:dyDescent="0.3">
      <c r="A4666" t="s">
        <v>127</v>
      </c>
    </row>
    <row r="4667" spans="1:10" x14ac:dyDescent="0.3">
      <c r="A4667" t="s">
        <v>206</v>
      </c>
    </row>
    <row r="4668" spans="1:10" x14ac:dyDescent="0.3">
      <c r="A4668" t="s">
        <v>328</v>
      </c>
    </row>
    <row r="4669" spans="1:10" x14ac:dyDescent="0.3">
      <c r="A4669" t="s">
        <v>72</v>
      </c>
      <c r="B4669">
        <v>1</v>
      </c>
      <c r="C4669" t="s">
        <v>73</v>
      </c>
      <c r="D4669">
        <v>3.7000000000000002E-6</v>
      </c>
      <c r="E4669" t="s">
        <v>74</v>
      </c>
      <c r="F4669">
        <v>3.7000000000000002E-3</v>
      </c>
      <c r="G4669" t="s">
        <v>75</v>
      </c>
      <c r="H4669">
        <v>3.7</v>
      </c>
      <c r="I4669" t="s">
        <v>76</v>
      </c>
      <c r="J4669" t="s">
        <v>77</v>
      </c>
    </row>
    <row r="4670" spans="1:10" x14ac:dyDescent="0.3">
      <c r="A4670" t="s">
        <v>72</v>
      </c>
      <c r="B4670">
        <v>1</v>
      </c>
      <c r="C4670" t="s">
        <v>78</v>
      </c>
      <c r="D4670">
        <v>0.11364680000000001</v>
      </c>
      <c r="E4670" t="s">
        <v>74</v>
      </c>
      <c r="F4670">
        <v>113.6468</v>
      </c>
      <c r="G4670" t="s">
        <v>75</v>
      </c>
      <c r="H4670">
        <v>113646.798</v>
      </c>
      <c r="I4670" t="s">
        <v>76</v>
      </c>
      <c r="J4670" t="s">
        <v>77</v>
      </c>
    </row>
    <row r="4671" spans="1:10" x14ac:dyDescent="0.3">
      <c r="A4671" t="s">
        <v>72</v>
      </c>
      <c r="B4671">
        <v>1</v>
      </c>
      <c r="C4671" t="s">
        <v>79</v>
      </c>
      <c r="D4671">
        <v>0.13644581</v>
      </c>
      <c r="E4671" t="s">
        <v>74</v>
      </c>
      <c r="F4671">
        <v>136.44580999999999</v>
      </c>
      <c r="G4671" t="s">
        <v>75</v>
      </c>
      <c r="H4671">
        <v>136445.80499999999</v>
      </c>
      <c r="I4671" t="s">
        <v>76</v>
      </c>
      <c r="J4671" t="s">
        <v>77</v>
      </c>
    </row>
    <row r="4672" spans="1:10" x14ac:dyDescent="0.3">
      <c r="A4672" t="s">
        <v>72</v>
      </c>
      <c r="B4672">
        <v>1</v>
      </c>
      <c r="C4672" t="s">
        <v>94</v>
      </c>
      <c r="D4672">
        <v>1.6277799999999999E-2</v>
      </c>
      <c r="E4672" t="s">
        <v>74</v>
      </c>
      <c r="F4672">
        <v>16.277799999999999</v>
      </c>
      <c r="G4672" t="s">
        <v>75</v>
      </c>
      <c r="H4672">
        <v>16277.799000000001</v>
      </c>
      <c r="I4672" t="s">
        <v>76</v>
      </c>
      <c r="J4672" t="s">
        <v>77</v>
      </c>
    </row>
    <row r="4673" spans="1:11" x14ac:dyDescent="0.3">
      <c r="A4673" t="s">
        <v>72</v>
      </c>
      <c r="B4673">
        <v>1</v>
      </c>
      <c r="C4673" t="s">
        <v>80</v>
      </c>
      <c r="D4673">
        <v>1.6278500000000001E-2</v>
      </c>
      <c r="E4673" t="s">
        <v>74</v>
      </c>
      <c r="F4673">
        <v>16.278500000000001</v>
      </c>
      <c r="G4673" t="s">
        <v>75</v>
      </c>
      <c r="H4673">
        <v>16278.5</v>
      </c>
      <c r="I4673" t="s">
        <v>76</v>
      </c>
      <c r="J4673" t="s">
        <v>77</v>
      </c>
    </row>
    <row r="4674" spans="1:11" x14ac:dyDescent="0.3">
      <c r="A4674" t="s">
        <v>72</v>
      </c>
      <c r="B4674">
        <v>1</v>
      </c>
      <c r="C4674" t="s">
        <v>81</v>
      </c>
      <c r="D4674">
        <v>0.1527268</v>
      </c>
      <c r="E4674" t="s">
        <v>74</v>
      </c>
      <c r="F4674">
        <v>152.7268</v>
      </c>
      <c r="G4674" t="s">
        <v>75</v>
      </c>
      <c r="H4674">
        <v>152726.799</v>
      </c>
      <c r="I4674" t="s">
        <v>76</v>
      </c>
      <c r="J4674" t="s">
        <v>82</v>
      </c>
      <c r="K4674">
        <v>6.5476393000000002</v>
      </c>
    </row>
    <row r="4675" spans="1:11" x14ac:dyDescent="0.3">
      <c r="A4675" t="s">
        <v>83</v>
      </c>
      <c r="B4675">
        <v>1000</v>
      </c>
      <c r="C4675" t="s">
        <v>79</v>
      </c>
      <c r="D4675">
        <v>4.0534000000000002E-4</v>
      </c>
      <c r="E4675" t="s">
        <v>74</v>
      </c>
      <c r="F4675">
        <v>0.40533999999999998</v>
      </c>
      <c r="G4675" t="s">
        <v>75</v>
      </c>
      <c r="H4675">
        <v>405.34300000000002</v>
      </c>
      <c r="I4675" t="s">
        <v>76</v>
      </c>
      <c r="J4675" t="s">
        <v>77</v>
      </c>
    </row>
    <row r="4676" spans="1:11" x14ac:dyDescent="0.3">
      <c r="A4676" t="s">
        <v>83</v>
      </c>
      <c r="B4676">
        <v>1000</v>
      </c>
      <c r="C4676" t="s">
        <v>94</v>
      </c>
      <c r="D4676">
        <v>7.1602000000000005E-4</v>
      </c>
      <c r="E4676" t="s">
        <v>74</v>
      </c>
      <c r="F4676">
        <v>0.71601999999999999</v>
      </c>
      <c r="G4676" t="s">
        <v>75</v>
      </c>
      <c r="H4676">
        <v>716.02300000000002</v>
      </c>
      <c r="I4676" t="s">
        <v>76</v>
      </c>
      <c r="J4676" t="s">
        <v>77</v>
      </c>
    </row>
    <row r="4677" spans="1:11" x14ac:dyDescent="0.3">
      <c r="A4677" t="s">
        <v>83</v>
      </c>
      <c r="B4677">
        <v>1000</v>
      </c>
      <c r="C4677" t="s">
        <v>80</v>
      </c>
      <c r="D4677">
        <v>7.1626000000000003E-4</v>
      </c>
      <c r="E4677" t="s">
        <v>74</v>
      </c>
      <c r="F4677">
        <v>0.71626000000000001</v>
      </c>
      <c r="G4677" t="s">
        <v>75</v>
      </c>
      <c r="H4677">
        <v>716.25900000000001</v>
      </c>
      <c r="I4677" t="s">
        <v>76</v>
      </c>
      <c r="J4677" t="s">
        <v>77</v>
      </c>
    </row>
    <row r="4678" spans="1:11" x14ac:dyDescent="0.3">
      <c r="A4678" t="s">
        <v>83</v>
      </c>
      <c r="B4678">
        <v>1000</v>
      </c>
      <c r="C4678" t="s">
        <v>81</v>
      </c>
      <c r="D4678">
        <v>1.12203E-3</v>
      </c>
      <c r="E4678" t="s">
        <v>74</v>
      </c>
      <c r="F4678">
        <v>1.1220300000000001</v>
      </c>
      <c r="G4678" t="s">
        <v>75</v>
      </c>
      <c r="H4678">
        <v>1122.0329999999999</v>
      </c>
      <c r="I4678" t="s">
        <v>76</v>
      </c>
      <c r="J4678" t="s">
        <v>82</v>
      </c>
      <c r="K4678">
        <v>891.23938420000002</v>
      </c>
    </row>
    <row r="4679" spans="1:11" x14ac:dyDescent="0.3">
      <c r="A4679" t="s">
        <v>84</v>
      </c>
      <c r="B4679">
        <v>1001</v>
      </c>
      <c r="C4679" t="s">
        <v>79</v>
      </c>
      <c r="D4679">
        <v>5.4124999999999996E-4</v>
      </c>
      <c r="E4679" t="s">
        <v>74</v>
      </c>
      <c r="F4679">
        <v>0.54125000000000001</v>
      </c>
      <c r="G4679" t="s">
        <v>75</v>
      </c>
      <c r="H4679">
        <v>541.24800000000005</v>
      </c>
      <c r="I4679" t="s">
        <v>76</v>
      </c>
      <c r="J4679" t="s">
        <v>77</v>
      </c>
    </row>
    <row r="4680" spans="1:11" x14ac:dyDescent="0.3">
      <c r="A4680" t="s">
        <v>84</v>
      </c>
      <c r="B4680">
        <v>1001</v>
      </c>
      <c r="C4680" t="s">
        <v>94</v>
      </c>
      <c r="D4680">
        <v>7.3156999999999996E-4</v>
      </c>
      <c r="E4680" t="s">
        <v>74</v>
      </c>
      <c r="F4680">
        <v>0.73157000000000005</v>
      </c>
      <c r="G4680" t="s">
        <v>75</v>
      </c>
      <c r="H4680">
        <v>731.56899999999996</v>
      </c>
      <c r="I4680" t="s">
        <v>76</v>
      </c>
      <c r="J4680" t="s">
        <v>77</v>
      </c>
    </row>
    <row r="4681" spans="1:11" x14ac:dyDescent="0.3">
      <c r="A4681" t="s">
        <v>84</v>
      </c>
      <c r="B4681">
        <v>1001</v>
      </c>
      <c r="C4681" t="s">
        <v>80</v>
      </c>
      <c r="D4681">
        <v>7.3180999999999995E-4</v>
      </c>
      <c r="E4681" t="s">
        <v>74</v>
      </c>
      <c r="F4681">
        <v>0.73180999999999996</v>
      </c>
      <c r="G4681" t="s">
        <v>75</v>
      </c>
      <c r="H4681">
        <v>731.80600000000004</v>
      </c>
      <c r="I4681" t="s">
        <v>76</v>
      </c>
      <c r="J4681" t="s">
        <v>77</v>
      </c>
    </row>
    <row r="4682" spans="1:11" x14ac:dyDescent="0.3">
      <c r="A4682" t="s">
        <v>84</v>
      </c>
      <c r="B4682">
        <v>1001</v>
      </c>
      <c r="C4682" t="s">
        <v>81</v>
      </c>
      <c r="D4682">
        <v>1.27349E-3</v>
      </c>
      <c r="E4682" t="s">
        <v>74</v>
      </c>
      <c r="F4682">
        <v>1.27349</v>
      </c>
      <c r="G4682" t="s">
        <v>75</v>
      </c>
      <c r="H4682">
        <v>1273.4860000000001</v>
      </c>
      <c r="I4682" t="s">
        <v>76</v>
      </c>
      <c r="J4682" t="s">
        <v>82</v>
      </c>
      <c r="K4682">
        <v>785.24628600000005</v>
      </c>
    </row>
    <row r="4683" spans="1:11" x14ac:dyDescent="0.3">
      <c r="A4683" t="s">
        <v>85</v>
      </c>
      <c r="B4683">
        <v>1001</v>
      </c>
      <c r="C4683" t="s">
        <v>86</v>
      </c>
      <c r="D4683">
        <v>1.27362E-3</v>
      </c>
      <c r="E4683" t="s">
        <v>74</v>
      </c>
      <c r="F4683">
        <v>1.27362</v>
      </c>
      <c r="G4683" t="s">
        <v>75</v>
      </c>
      <c r="H4683">
        <v>1273.6210000000001</v>
      </c>
      <c r="I4683" t="s">
        <v>76</v>
      </c>
      <c r="J4683" t="s">
        <v>82</v>
      </c>
      <c r="K4683">
        <v>785.16309579999995</v>
      </c>
    </row>
    <row r="4684" spans="1:11" x14ac:dyDescent="0.3">
      <c r="A4684" t="s">
        <v>208</v>
      </c>
    </row>
    <row r="4685" spans="1:11" x14ac:dyDescent="0.3">
      <c r="A4685" t="s">
        <v>329</v>
      </c>
    </row>
    <row r="4686" spans="1:11" x14ac:dyDescent="0.3">
      <c r="A4686" t="s">
        <v>72</v>
      </c>
      <c r="B4686">
        <v>1</v>
      </c>
      <c r="C4686" t="s">
        <v>73</v>
      </c>
      <c r="D4686">
        <v>3.7000000000000002E-6</v>
      </c>
      <c r="E4686" t="s">
        <v>74</v>
      </c>
      <c r="F4686">
        <v>3.7000000000000002E-3</v>
      </c>
      <c r="G4686" t="s">
        <v>75</v>
      </c>
      <c r="H4686">
        <v>3.7</v>
      </c>
      <c r="I4686" t="s">
        <v>76</v>
      </c>
      <c r="J4686" t="s">
        <v>77</v>
      </c>
    </row>
    <row r="4687" spans="1:11" x14ac:dyDescent="0.3">
      <c r="A4687" t="s">
        <v>72</v>
      </c>
      <c r="B4687">
        <v>1</v>
      </c>
      <c r="C4687" t="s">
        <v>78</v>
      </c>
      <c r="D4687">
        <v>9.5649999999999999E-4</v>
      </c>
      <c r="E4687" t="s">
        <v>74</v>
      </c>
      <c r="F4687">
        <v>0.95650000000000002</v>
      </c>
      <c r="G4687" t="s">
        <v>75</v>
      </c>
      <c r="H4687">
        <v>956.5</v>
      </c>
      <c r="I4687" t="s">
        <v>76</v>
      </c>
      <c r="J4687" t="s">
        <v>77</v>
      </c>
    </row>
    <row r="4688" spans="1:11" x14ac:dyDescent="0.3">
      <c r="A4688" t="s">
        <v>72</v>
      </c>
      <c r="B4688">
        <v>1</v>
      </c>
      <c r="C4688" t="s">
        <v>79</v>
      </c>
      <c r="D4688">
        <v>8.5278999999999997E-3</v>
      </c>
      <c r="E4688" t="s">
        <v>74</v>
      </c>
      <c r="F4688">
        <v>8.5279000000000007</v>
      </c>
      <c r="G4688" t="s">
        <v>75</v>
      </c>
      <c r="H4688">
        <v>8527.9</v>
      </c>
      <c r="I4688" t="s">
        <v>76</v>
      </c>
      <c r="J4688" t="s">
        <v>77</v>
      </c>
    </row>
    <row r="4689" spans="1:11" x14ac:dyDescent="0.3">
      <c r="A4689" t="s">
        <v>72</v>
      </c>
      <c r="B4689">
        <v>1</v>
      </c>
      <c r="C4689" t="s">
        <v>94</v>
      </c>
      <c r="D4689">
        <v>2.8762900000000001E-2</v>
      </c>
      <c r="E4689" t="s">
        <v>74</v>
      </c>
      <c r="F4689">
        <v>28.762899999999998</v>
      </c>
      <c r="G4689" t="s">
        <v>75</v>
      </c>
      <c r="H4689">
        <v>28762.899000000001</v>
      </c>
      <c r="I4689" t="s">
        <v>76</v>
      </c>
      <c r="J4689" t="s">
        <v>77</v>
      </c>
    </row>
    <row r="4690" spans="1:11" x14ac:dyDescent="0.3">
      <c r="A4690" t="s">
        <v>72</v>
      </c>
      <c r="B4690">
        <v>1</v>
      </c>
      <c r="C4690" t="s">
        <v>80</v>
      </c>
      <c r="D4690">
        <v>2.8763500000000001E-2</v>
      </c>
      <c r="E4690" t="s">
        <v>74</v>
      </c>
      <c r="F4690">
        <v>28.763500000000001</v>
      </c>
      <c r="G4690" t="s">
        <v>75</v>
      </c>
      <c r="H4690">
        <v>28763.499</v>
      </c>
      <c r="I4690" t="s">
        <v>76</v>
      </c>
      <c r="J4690" t="s">
        <v>77</v>
      </c>
    </row>
    <row r="4691" spans="1:11" x14ac:dyDescent="0.3">
      <c r="A4691" t="s">
        <v>72</v>
      </c>
      <c r="B4691">
        <v>1</v>
      </c>
      <c r="C4691" t="s">
        <v>81</v>
      </c>
      <c r="D4691">
        <v>3.7292499999999999E-2</v>
      </c>
      <c r="E4691" t="s">
        <v>74</v>
      </c>
      <c r="F4691">
        <v>37.292499999999997</v>
      </c>
      <c r="G4691" t="s">
        <v>75</v>
      </c>
      <c r="H4691">
        <v>37292.499000000003</v>
      </c>
      <c r="I4691" t="s">
        <v>76</v>
      </c>
      <c r="J4691" t="s">
        <v>82</v>
      </c>
      <c r="K4691">
        <v>26.815043899999999</v>
      </c>
    </row>
    <row r="4692" spans="1:11" x14ac:dyDescent="0.3">
      <c r="A4692" t="s">
        <v>83</v>
      </c>
      <c r="B4692">
        <v>1000</v>
      </c>
      <c r="C4692" t="s">
        <v>79</v>
      </c>
      <c r="D4692">
        <v>4.0714000000000001E-4</v>
      </c>
      <c r="E4692" t="s">
        <v>74</v>
      </c>
      <c r="F4692">
        <v>0.40714</v>
      </c>
      <c r="G4692" t="s">
        <v>75</v>
      </c>
      <c r="H4692">
        <v>407.142</v>
      </c>
      <c r="I4692" t="s">
        <v>76</v>
      </c>
      <c r="J4692" t="s">
        <v>77</v>
      </c>
    </row>
    <row r="4693" spans="1:11" x14ac:dyDescent="0.3">
      <c r="A4693" t="s">
        <v>83</v>
      </c>
      <c r="B4693">
        <v>1000</v>
      </c>
      <c r="C4693" t="s">
        <v>94</v>
      </c>
      <c r="D4693">
        <v>1.2985799999999999E-3</v>
      </c>
      <c r="E4693" t="s">
        <v>74</v>
      </c>
      <c r="F4693">
        <v>1.2985800000000001</v>
      </c>
      <c r="G4693" t="s">
        <v>75</v>
      </c>
      <c r="H4693">
        <v>1298.579</v>
      </c>
      <c r="I4693" t="s">
        <v>76</v>
      </c>
      <c r="J4693" t="s">
        <v>77</v>
      </c>
    </row>
    <row r="4694" spans="1:11" x14ac:dyDescent="0.3">
      <c r="A4694" t="s">
        <v>83</v>
      </c>
      <c r="B4694">
        <v>1000</v>
      </c>
      <c r="C4694" t="s">
        <v>80</v>
      </c>
      <c r="D4694">
        <v>1.43614E-3</v>
      </c>
      <c r="E4694" t="s">
        <v>74</v>
      </c>
      <c r="F4694">
        <v>1.43614</v>
      </c>
      <c r="G4694" t="s">
        <v>75</v>
      </c>
      <c r="H4694">
        <v>1436.14</v>
      </c>
      <c r="I4694" t="s">
        <v>76</v>
      </c>
      <c r="J4694" t="s">
        <v>77</v>
      </c>
    </row>
    <row r="4695" spans="1:11" x14ac:dyDescent="0.3">
      <c r="A4695" t="s">
        <v>83</v>
      </c>
      <c r="B4695">
        <v>1000</v>
      </c>
      <c r="C4695" t="s">
        <v>81</v>
      </c>
      <c r="D4695">
        <v>1.84417E-3</v>
      </c>
      <c r="E4695" t="s">
        <v>74</v>
      </c>
      <c r="F4695">
        <v>1.8441700000000001</v>
      </c>
      <c r="G4695" t="s">
        <v>75</v>
      </c>
      <c r="H4695">
        <v>1844.1669999999999</v>
      </c>
      <c r="I4695" t="s">
        <v>76</v>
      </c>
      <c r="J4695" t="s">
        <v>82</v>
      </c>
      <c r="K4695">
        <v>542.25038280000001</v>
      </c>
    </row>
    <row r="4696" spans="1:11" x14ac:dyDescent="0.3">
      <c r="A4696" t="s">
        <v>84</v>
      </c>
      <c r="B4696">
        <v>1001</v>
      </c>
      <c r="C4696" t="s">
        <v>79</v>
      </c>
      <c r="D4696">
        <v>4.1524999999999998E-4</v>
      </c>
      <c r="E4696" t="s">
        <v>74</v>
      </c>
      <c r="F4696">
        <v>0.41525000000000001</v>
      </c>
      <c r="G4696" t="s">
        <v>75</v>
      </c>
      <c r="H4696">
        <v>415.25400000000002</v>
      </c>
      <c r="I4696" t="s">
        <v>76</v>
      </c>
      <c r="J4696" t="s">
        <v>77</v>
      </c>
    </row>
    <row r="4697" spans="1:11" x14ac:dyDescent="0.3">
      <c r="A4697" t="s">
        <v>84</v>
      </c>
      <c r="B4697">
        <v>1001</v>
      </c>
      <c r="C4697" t="s">
        <v>94</v>
      </c>
      <c r="D4697">
        <v>1.32602E-3</v>
      </c>
      <c r="E4697" t="s">
        <v>74</v>
      </c>
      <c r="F4697">
        <v>1.32602</v>
      </c>
      <c r="G4697" t="s">
        <v>75</v>
      </c>
      <c r="H4697">
        <v>1326.0160000000001</v>
      </c>
      <c r="I4697" t="s">
        <v>76</v>
      </c>
      <c r="J4697" t="s">
        <v>77</v>
      </c>
    </row>
    <row r="4698" spans="1:11" x14ac:dyDescent="0.3">
      <c r="A4698" t="s">
        <v>84</v>
      </c>
      <c r="B4698">
        <v>1001</v>
      </c>
      <c r="C4698" t="s">
        <v>80</v>
      </c>
      <c r="D4698">
        <v>1.4634400000000001E-3</v>
      </c>
      <c r="E4698" t="s">
        <v>74</v>
      </c>
      <c r="F4698">
        <v>1.4634400000000001</v>
      </c>
      <c r="G4698" t="s">
        <v>75</v>
      </c>
      <c r="H4698">
        <v>1463.44</v>
      </c>
      <c r="I4698" t="s">
        <v>76</v>
      </c>
      <c r="J4698" t="s">
        <v>77</v>
      </c>
    </row>
    <row r="4699" spans="1:11" x14ac:dyDescent="0.3">
      <c r="A4699" t="s">
        <v>84</v>
      </c>
      <c r="B4699">
        <v>1001</v>
      </c>
      <c r="C4699" t="s">
        <v>81</v>
      </c>
      <c r="D4699">
        <v>1.8795800000000001E-3</v>
      </c>
      <c r="E4699" t="s">
        <v>74</v>
      </c>
      <c r="F4699">
        <v>1.87958</v>
      </c>
      <c r="G4699" t="s">
        <v>75</v>
      </c>
      <c r="H4699">
        <v>1879.579</v>
      </c>
      <c r="I4699" t="s">
        <v>76</v>
      </c>
      <c r="J4699" t="s">
        <v>82</v>
      </c>
      <c r="K4699">
        <v>532.03401799999995</v>
      </c>
    </row>
    <row r="4700" spans="1:11" x14ac:dyDescent="0.3">
      <c r="A4700" t="s">
        <v>85</v>
      </c>
      <c r="B4700">
        <v>1001</v>
      </c>
      <c r="C4700" t="s">
        <v>86</v>
      </c>
      <c r="D4700">
        <v>1.8798599999999999E-3</v>
      </c>
      <c r="E4700" t="s">
        <v>74</v>
      </c>
      <c r="F4700">
        <v>1.8798600000000001</v>
      </c>
      <c r="G4700" t="s">
        <v>75</v>
      </c>
      <c r="H4700">
        <v>1879.857</v>
      </c>
      <c r="I4700" t="s">
        <v>76</v>
      </c>
      <c r="J4700" t="s">
        <v>82</v>
      </c>
      <c r="K4700">
        <v>531.95531749999998</v>
      </c>
    </row>
    <row r="4701" spans="1:11" x14ac:dyDescent="0.3">
      <c r="A4701" t="s">
        <v>115</v>
      </c>
    </row>
    <row r="4702" spans="1:11" x14ac:dyDescent="0.3">
      <c r="A4702" t="s">
        <v>127</v>
      </c>
    </row>
    <row r="4703" spans="1:11" x14ac:dyDescent="0.3">
      <c r="A4703" t="s">
        <v>87</v>
      </c>
    </row>
    <row r="4704" spans="1:11" x14ac:dyDescent="0.3">
      <c r="A4704" t="s">
        <v>330</v>
      </c>
    </row>
    <row r="4705" spans="1:11" x14ac:dyDescent="0.3">
      <c r="A4705" t="s">
        <v>72</v>
      </c>
      <c r="B4705">
        <v>1</v>
      </c>
      <c r="C4705" t="s">
        <v>81</v>
      </c>
      <c r="D4705">
        <v>0.1527268</v>
      </c>
      <c r="E4705" t="s">
        <v>74</v>
      </c>
      <c r="F4705">
        <v>152.7268</v>
      </c>
      <c r="G4705" t="s">
        <v>75</v>
      </c>
      <c r="H4705">
        <v>152726.799</v>
      </c>
      <c r="I4705" t="s">
        <v>76</v>
      </c>
      <c r="J4705" t="s">
        <v>82</v>
      </c>
      <c r="K4705">
        <v>6.5476393000000002</v>
      </c>
    </row>
    <row r="4706" spans="1:11" x14ac:dyDescent="0.3">
      <c r="A4706" t="s">
        <v>83</v>
      </c>
      <c r="B4706">
        <v>1000</v>
      </c>
      <c r="C4706" t="s">
        <v>81</v>
      </c>
      <c r="D4706">
        <v>1.12203E-3</v>
      </c>
      <c r="E4706" t="s">
        <v>74</v>
      </c>
      <c r="F4706">
        <v>1.1220300000000001</v>
      </c>
      <c r="G4706" t="s">
        <v>75</v>
      </c>
      <c r="H4706">
        <v>1122.0329999999999</v>
      </c>
      <c r="I4706" t="s">
        <v>76</v>
      </c>
      <c r="J4706" t="s">
        <v>82</v>
      </c>
      <c r="K4706">
        <v>891.23938420000002</v>
      </c>
    </row>
    <row r="4707" spans="1:11" x14ac:dyDescent="0.3">
      <c r="A4707" t="s">
        <v>85</v>
      </c>
      <c r="B4707">
        <v>1001</v>
      </c>
      <c r="C4707" t="s">
        <v>86</v>
      </c>
      <c r="D4707">
        <v>1.27362E-3</v>
      </c>
      <c r="E4707" t="s">
        <v>74</v>
      </c>
      <c r="F4707">
        <v>1.27362</v>
      </c>
      <c r="G4707" t="s">
        <v>75</v>
      </c>
      <c r="H4707">
        <v>1273.6210000000001</v>
      </c>
      <c r="I4707" t="s">
        <v>76</v>
      </c>
      <c r="J4707" t="s">
        <v>82</v>
      </c>
      <c r="K4707">
        <v>785.16309579999995</v>
      </c>
    </row>
    <row r="4709" spans="1:11" x14ac:dyDescent="0.3">
      <c r="A4709" t="s">
        <v>331</v>
      </c>
    </row>
    <row r="4710" spans="1:11" x14ac:dyDescent="0.3">
      <c r="A4710" t="s">
        <v>72</v>
      </c>
      <c r="B4710">
        <v>1</v>
      </c>
      <c r="C4710" t="s">
        <v>81</v>
      </c>
      <c r="D4710">
        <v>3.7292499999999999E-2</v>
      </c>
      <c r="E4710" t="s">
        <v>74</v>
      </c>
      <c r="F4710">
        <v>37.292499999999997</v>
      </c>
      <c r="G4710" t="s">
        <v>75</v>
      </c>
      <c r="H4710">
        <v>37292.499000000003</v>
      </c>
      <c r="I4710" t="s">
        <v>76</v>
      </c>
      <c r="J4710" t="s">
        <v>82</v>
      </c>
      <c r="K4710">
        <v>26.815043899999999</v>
      </c>
    </row>
    <row r="4711" spans="1:11" x14ac:dyDescent="0.3">
      <c r="A4711" t="s">
        <v>83</v>
      </c>
      <c r="B4711">
        <v>1000</v>
      </c>
      <c r="C4711" t="s">
        <v>81</v>
      </c>
      <c r="D4711">
        <v>1.84417E-3</v>
      </c>
      <c r="E4711" t="s">
        <v>74</v>
      </c>
      <c r="F4711">
        <v>1.8441700000000001</v>
      </c>
      <c r="G4711" t="s">
        <v>75</v>
      </c>
      <c r="H4711">
        <v>1844.1669999999999</v>
      </c>
      <c r="I4711" t="s">
        <v>76</v>
      </c>
      <c r="J4711" t="s">
        <v>82</v>
      </c>
      <c r="K4711">
        <v>542.25038280000001</v>
      </c>
    </row>
    <row r="4712" spans="1:11" x14ac:dyDescent="0.3">
      <c r="A4712" t="s">
        <v>85</v>
      </c>
      <c r="B4712">
        <v>1001</v>
      </c>
      <c r="C4712" t="s">
        <v>86</v>
      </c>
      <c r="D4712">
        <v>1.8798599999999999E-3</v>
      </c>
      <c r="E4712" t="s">
        <v>74</v>
      </c>
      <c r="F4712">
        <v>1.8798600000000001</v>
      </c>
      <c r="G4712" t="s">
        <v>75</v>
      </c>
      <c r="H4712">
        <v>1879.857</v>
      </c>
      <c r="I4712" t="s">
        <v>76</v>
      </c>
      <c r="J4712" t="s">
        <v>82</v>
      </c>
      <c r="K4712">
        <v>531.95531749999998</v>
      </c>
    </row>
    <row r="4714" spans="1:11" x14ac:dyDescent="0.3">
      <c r="A4714" t="s">
        <v>66</v>
      </c>
    </row>
    <row r="4716" spans="1:11" x14ac:dyDescent="0.3">
      <c r="A4716" t="s">
        <v>332</v>
      </c>
    </row>
    <row r="4717" spans="1:11" x14ac:dyDescent="0.3">
      <c r="A4717" t="s">
        <v>68</v>
      </c>
    </row>
    <row r="4718" spans="1:11" x14ac:dyDescent="0.3">
      <c r="A4718" t="s">
        <v>69</v>
      </c>
    </row>
    <row r="4719" spans="1:11" x14ac:dyDescent="0.3">
      <c r="A4719" t="s">
        <v>70</v>
      </c>
    </row>
    <row r="4720" spans="1:11" x14ac:dyDescent="0.3">
      <c r="A4720" t="s">
        <v>115</v>
      </c>
    </row>
    <row r="4721" spans="1:10" x14ac:dyDescent="0.3">
      <c r="A4721" t="s">
        <v>266</v>
      </c>
    </row>
    <row r="4722" spans="1:10" x14ac:dyDescent="0.3">
      <c r="A4722" t="s">
        <v>267</v>
      </c>
    </row>
    <row r="4723" spans="1:10" x14ac:dyDescent="0.3">
      <c r="A4723" t="s">
        <v>118</v>
      </c>
    </row>
    <row r="4724" spans="1:10" x14ac:dyDescent="0.3">
      <c r="A4724" t="s">
        <v>119</v>
      </c>
    </row>
    <row r="4725" spans="1:10" x14ac:dyDescent="0.3">
      <c r="A4725" t="s">
        <v>268</v>
      </c>
    </row>
    <row r="4726" spans="1:10" x14ac:dyDescent="0.3">
      <c r="A4726" t="s">
        <v>269</v>
      </c>
    </row>
    <row r="4727" spans="1:10" x14ac:dyDescent="0.3">
      <c r="A4727" t="s">
        <v>122</v>
      </c>
    </row>
    <row r="4728" spans="1:10" x14ac:dyDescent="0.3">
      <c r="A4728" t="s">
        <v>270</v>
      </c>
    </row>
    <row r="4729" spans="1:10" x14ac:dyDescent="0.3">
      <c r="A4729" t="s">
        <v>271</v>
      </c>
    </row>
    <row r="4730" spans="1:10" x14ac:dyDescent="0.3">
      <c r="A4730" t="s">
        <v>125</v>
      </c>
    </row>
    <row r="4731" spans="1:10" x14ac:dyDescent="0.3">
      <c r="A4731" t="s">
        <v>126</v>
      </c>
    </row>
    <row r="4732" spans="1:10" x14ac:dyDescent="0.3">
      <c r="A4732" t="s">
        <v>127</v>
      </c>
    </row>
    <row r="4733" spans="1:10" x14ac:dyDescent="0.3">
      <c r="A4733" t="s">
        <v>213</v>
      </c>
    </row>
    <row r="4734" spans="1:10" x14ac:dyDescent="0.3">
      <c r="A4734" t="s">
        <v>333</v>
      </c>
    </row>
    <row r="4735" spans="1:10" x14ac:dyDescent="0.3">
      <c r="A4735" t="s">
        <v>72</v>
      </c>
      <c r="B4735">
        <v>1</v>
      </c>
      <c r="C4735" t="s">
        <v>73</v>
      </c>
      <c r="D4735">
        <v>4.0999999999999997E-6</v>
      </c>
      <c r="E4735" t="s">
        <v>74</v>
      </c>
      <c r="F4735">
        <v>4.1000000000000003E-3</v>
      </c>
      <c r="G4735" t="s">
        <v>75</v>
      </c>
      <c r="H4735">
        <v>4.0999999999999996</v>
      </c>
      <c r="I4735" t="s">
        <v>76</v>
      </c>
      <c r="J4735" t="s">
        <v>77</v>
      </c>
    </row>
    <row r="4736" spans="1:10" x14ac:dyDescent="0.3">
      <c r="A4736" t="s">
        <v>72</v>
      </c>
      <c r="B4736">
        <v>1</v>
      </c>
      <c r="C4736" t="s">
        <v>78</v>
      </c>
      <c r="D4736">
        <v>0.15159211</v>
      </c>
      <c r="E4736" t="s">
        <v>74</v>
      </c>
      <c r="F4736">
        <v>151.59210999999999</v>
      </c>
      <c r="G4736" t="s">
        <v>75</v>
      </c>
      <c r="H4736">
        <v>151592.106</v>
      </c>
      <c r="I4736" t="s">
        <v>76</v>
      </c>
      <c r="J4736" t="s">
        <v>77</v>
      </c>
    </row>
    <row r="4737" spans="1:11" x14ac:dyDescent="0.3">
      <c r="A4737" t="s">
        <v>72</v>
      </c>
      <c r="B4737">
        <v>1</v>
      </c>
      <c r="C4737" t="s">
        <v>79</v>
      </c>
      <c r="D4737">
        <v>0.13713980000000001</v>
      </c>
      <c r="E4737" t="s">
        <v>74</v>
      </c>
      <c r="F4737">
        <v>137.13980000000001</v>
      </c>
      <c r="G4737" t="s">
        <v>75</v>
      </c>
      <c r="H4737">
        <v>137139.79699999999</v>
      </c>
      <c r="I4737" t="s">
        <v>76</v>
      </c>
      <c r="J4737" t="s">
        <v>77</v>
      </c>
    </row>
    <row r="4738" spans="1:11" x14ac:dyDescent="0.3">
      <c r="A4738" t="s">
        <v>72</v>
      </c>
      <c r="B4738">
        <v>1</v>
      </c>
      <c r="C4738" t="s">
        <v>94</v>
      </c>
      <c r="D4738">
        <v>1.68535E-2</v>
      </c>
      <c r="E4738" t="s">
        <v>74</v>
      </c>
      <c r="F4738">
        <v>16.8535</v>
      </c>
      <c r="G4738" t="s">
        <v>75</v>
      </c>
      <c r="H4738">
        <v>16853.5</v>
      </c>
      <c r="I4738" t="s">
        <v>76</v>
      </c>
      <c r="J4738" t="s">
        <v>77</v>
      </c>
    </row>
    <row r="4739" spans="1:11" x14ac:dyDescent="0.3">
      <c r="A4739" t="s">
        <v>72</v>
      </c>
      <c r="B4739">
        <v>1</v>
      </c>
      <c r="C4739" t="s">
        <v>80</v>
      </c>
      <c r="D4739">
        <v>1.68542E-2</v>
      </c>
      <c r="E4739" t="s">
        <v>74</v>
      </c>
      <c r="F4739">
        <v>16.854199999999999</v>
      </c>
      <c r="G4739" t="s">
        <v>75</v>
      </c>
      <c r="H4739">
        <v>16854.201000000001</v>
      </c>
      <c r="I4739" t="s">
        <v>76</v>
      </c>
      <c r="J4739" t="s">
        <v>77</v>
      </c>
    </row>
    <row r="4740" spans="1:11" x14ac:dyDescent="0.3">
      <c r="A4740" t="s">
        <v>72</v>
      </c>
      <c r="B4740">
        <v>1</v>
      </c>
      <c r="C4740" t="s">
        <v>81</v>
      </c>
      <c r="D4740">
        <v>0.1539963</v>
      </c>
      <c r="E4740" t="s">
        <v>74</v>
      </c>
      <c r="F4740">
        <v>153.99629999999999</v>
      </c>
      <c r="G4740" t="s">
        <v>75</v>
      </c>
      <c r="H4740">
        <v>153996.304</v>
      </c>
      <c r="I4740" t="s">
        <v>76</v>
      </c>
      <c r="J4740" t="s">
        <v>82</v>
      </c>
      <c r="K4740">
        <v>6.4936623999999998</v>
      </c>
    </row>
    <row r="4741" spans="1:11" x14ac:dyDescent="0.3">
      <c r="A4741" t="s">
        <v>83</v>
      </c>
      <c r="B4741">
        <v>1000</v>
      </c>
      <c r="C4741" t="s">
        <v>79</v>
      </c>
      <c r="D4741">
        <v>4.0646999999999998E-4</v>
      </c>
      <c r="E4741" t="s">
        <v>74</v>
      </c>
      <c r="F4741">
        <v>0.40647</v>
      </c>
      <c r="G4741" t="s">
        <v>75</v>
      </c>
      <c r="H4741">
        <v>406.47300000000001</v>
      </c>
      <c r="I4741" t="s">
        <v>76</v>
      </c>
      <c r="J4741" t="s">
        <v>77</v>
      </c>
    </row>
    <row r="4742" spans="1:11" x14ac:dyDescent="0.3">
      <c r="A4742" t="s">
        <v>83</v>
      </c>
      <c r="B4742">
        <v>1000</v>
      </c>
      <c r="C4742" t="s">
        <v>94</v>
      </c>
      <c r="D4742">
        <v>7.4666999999999995E-4</v>
      </c>
      <c r="E4742" t="s">
        <v>74</v>
      </c>
      <c r="F4742">
        <v>0.74666999999999994</v>
      </c>
      <c r="G4742" t="s">
        <v>75</v>
      </c>
      <c r="H4742">
        <v>746.67399999999998</v>
      </c>
      <c r="I4742" t="s">
        <v>76</v>
      </c>
      <c r="J4742" t="s">
        <v>77</v>
      </c>
    </row>
    <row r="4743" spans="1:11" x14ac:dyDescent="0.3">
      <c r="A4743" t="s">
        <v>83</v>
      </c>
      <c r="B4743">
        <v>1000</v>
      </c>
      <c r="C4743" t="s">
        <v>80</v>
      </c>
      <c r="D4743">
        <v>7.4693999999999997E-4</v>
      </c>
      <c r="E4743" t="s">
        <v>74</v>
      </c>
      <c r="F4743">
        <v>0.74694000000000005</v>
      </c>
      <c r="G4743" t="s">
        <v>75</v>
      </c>
      <c r="H4743">
        <v>746.93799999999999</v>
      </c>
      <c r="I4743" t="s">
        <v>76</v>
      </c>
      <c r="J4743" t="s">
        <v>77</v>
      </c>
    </row>
    <row r="4744" spans="1:11" x14ac:dyDescent="0.3">
      <c r="A4744" t="s">
        <v>83</v>
      </c>
      <c r="B4744">
        <v>1000</v>
      </c>
      <c r="C4744" t="s">
        <v>81</v>
      </c>
      <c r="D4744">
        <v>1.1540299999999999E-3</v>
      </c>
      <c r="E4744" t="s">
        <v>74</v>
      </c>
      <c r="F4744">
        <v>1.1540299999999999</v>
      </c>
      <c r="G4744" t="s">
        <v>75</v>
      </c>
      <c r="H4744">
        <v>1154.0319999999999</v>
      </c>
      <c r="I4744" t="s">
        <v>76</v>
      </c>
      <c r="J4744" t="s">
        <v>82</v>
      </c>
      <c r="K4744">
        <v>866.52683549999995</v>
      </c>
    </row>
    <row r="4745" spans="1:11" x14ac:dyDescent="0.3">
      <c r="A4745" t="s">
        <v>84</v>
      </c>
      <c r="B4745">
        <v>1001</v>
      </c>
      <c r="C4745" t="s">
        <v>79</v>
      </c>
      <c r="D4745">
        <v>5.4306999999999999E-4</v>
      </c>
      <c r="E4745" t="s">
        <v>74</v>
      </c>
      <c r="F4745">
        <v>0.54307000000000005</v>
      </c>
      <c r="G4745" t="s">
        <v>75</v>
      </c>
      <c r="H4745">
        <v>543.07000000000005</v>
      </c>
      <c r="I4745" t="s">
        <v>76</v>
      </c>
      <c r="J4745" t="s">
        <v>77</v>
      </c>
    </row>
    <row r="4746" spans="1:11" x14ac:dyDescent="0.3">
      <c r="A4746" t="s">
        <v>84</v>
      </c>
      <c r="B4746">
        <v>1001</v>
      </c>
      <c r="C4746" t="s">
        <v>94</v>
      </c>
      <c r="D4746">
        <v>7.6276999999999996E-4</v>
      </c>
      <c r="E4746" t="s">
        <v>74</v>
      </c>
      <c r="F4746">
        <v>0.76276999999999995</v>
      </c>
      <c r="G4746" t="s">
        <v>75</v>
      </c>
      <c r="H4746">
        <v>762.76499999999999</v>
      </c>
      <c r="I4746" t="s">
        <v>76</v>
      </c>
      <c r="J4746" t="s">
        <v>77</v>
      </c>
    </row>
    <row r="4747" spans="1:11" x14ac:dyDescent="0.3">
      <c r="A4747" t="s">
        <v>84</v>
      </c>
      <c r="B4747">
        <v>1001</v>
      </c>
      <c r="C4747" t="s">
        <v>80</v>
      </c>
      <c r="D4747">
        <v>7.6303000000000005E-4</v>
      </c>
      <c r="E4747" t="s">
        <v>74</v>
      </c>
      <c r="F4747">
        <v>0.76302999999999999</v>
      </c>
      <c r="G4747" t="s">
        <v>75</v>
      </c>
      <c r="H4747">
        <v>763.029</v>
      </c>
      <c r="I4747" t="s">
        <v>76</v>
      </c>
      <c r="J4747" t="s">
        <v>77</v>
      </c>
    </row>
    <row r="4748" spans="1:11" x14ac:dyDescent="0.3">
      <c r="A4748" t="s">
        <v>84</v>
      </c>
      <c r="B4748">
        <v>1001</v>
      </c>
      <c r="C4748" t="s">
        <v>81</v>
      </c>
      <c r="D4748">
        <v>1.3067199999999999E-3</v>
      </c>
      <c r="E4748" t="s">
        <v>74</v>
      </c>
      <c r="F4748">
        <v>1.3067200000000001</v>
      </c>
      <c r="G4748" t="s">
        <v>75</v>
      </c>
      <c r="H4748">
        <v>1306.722</v>
      </c>
      <c r="I4748" t="s">
        <v>76</v>
      </c>
      <c r="J4748" t="s">
        <v>82</v>
      </c>
      <c r="K4748">
        <v>765.27393870000003</v>
      </c>
    </row>
    <row r="4749" spans="1:11" x14ac:dyDescent="0.3">
      <c r="A4749" t="s">
        <v>85</v>
      </c>
      <c r="B4749">
        <v>1001</v>
      </c>
      <c r="C4749" t="s">
        <v>86</v>
      </c>
      <c r="D4749">
        <v>1.30685E-3</v>
      </c>
      <c r="E4749" t="s">
        <v>74</v>
      </c>
      <c r="F4749">
        <v>1.3068500000000001</v>
      </c>
      <c r="G4749" t="s">
        <v>75</v>
      </c>
      <c r="H4749">
        <v>1306.847</v>
      </c>
      <c r="I4749" t="s">
        <v>76</v>
      </c>
      <c r="J4749" t="s">
        <v>82</v>
      </c>
      <c r="K4749">
        <v>765.20078379999995</v>
      </c>
    </row>
    <row r="4750" spans="1:11" x14ac:dyDescent="0.3">
      <c r="A4750" t="s">
        <v>215</v>
      </c>
    </row>
    <row r="4751" spans="1:11" x14ac:dyDescent="0.3">
      <c r="A4751" t="s">
        <v>334</v>
      </c>
    </row>
    <row r="4752" spans="1:11" x14ac:dyDescent="0.3">
      <c r="A4752" t="s">
        <v>72</v>
      </c>
      <c r="B4752">
        <v>1</v>
      </c>
      <c r="C4752" t="s">
        <v>73</v>
      </c>
      <c r="D4752">
        <v>4.0999999999999997E-6</v>
      </c>
      <c r="E4752" t="s">
        <v>74</v>
      </c>
      <c r="F4752">
        <v>4.1000000000000003E-3</v>
      </c>
      <c r="G4752" t="s">
        <v>75</v>
      </c>
      <c r="H4752">
        <v>4.0999999999999996</v>
      </c>
      <c r="I4752" t="s">
        <v>76</v>
      </c>
      <c r="J4752" t="s">
        <v>77</v>
      </c>
    </row>
    <row r="4753" spans="1:11" x14ac:dyDescent="0.3">
      <c r="A4753" t="s">
        <v>72</v>
      </c>
      <c r="B4753">
        <v>1</v>
      </c>
      <c r="C4753" t="s">
        <v>78</v>
      </c>
      <c r="D4753">
        <v>1.0359E-3</v>
      </c>
      <c r="E4753" t="s">
        <v>74</v>
      </c>
      <c r="F4753">
        <v>1.0359</v>
      </c>
      <c r="G4753" t="s">
        <v>75</v>
      </c>
      <c r="H4753">
        <v>1035.9000000000001</v>
      </c>
      <c r="I4753" t="s">
        <v>76</v>
      </c>
      <c r="J4753" t="s">
        <v>77</v>
      </c>
    </row>
    <row r="4754" spans="1:11" x14ac:dyDescent="0.3">
      <c r="A4754" t="s">
        <v>72</v>
      </c>
      <c r="B4754">
        <v>1</v>
      </c>
      <c r="C4754" t="s">
        <v>79</v>
      </c>
      <c r="D4754">
        <v>8.6671999999999999E-3</v>
      </c>
      <c r="E4754" t="s">
        <v>74</v>
      </c>
      <c r="F4754">
        <v>8.6671999999999993</v>
      </c>
      <c r="G4754" t="s">
        <v>75</v>
      </c>
      <c r="H4754">
        <v>8667.2000000000007</v>
      </c>
      <c r="I4754" t="s">
        <v>76</v>
      </c>
      <c r="J4754" t="s">
        <v>77</v>
      </c>
    </row>
    <row r="4755" spans="1:11" x14ac:dyDescent="0.3">
      <c r="A4755" t="s">
        <v>72</v>
      </c>
      <c r="B4755">
        <v>1</v>
      </c>
      <c r="C4755" t="s">
        <v>94</v>
      </c>
      <c r="D4755">
        <v>2.9178300000000001E-2</v>
      </c>
      <c r="E4755" t="s">
        <v>74</v>
      </c>
      <c r="F4755">
        <v>29.1783</v>
      </c>
      <c r="G4755" t="s">
        <v>75</v>
      </c>
      <c r="H4755">
        <v>29178.300999999999</v>
      </c>
      <c r="I4755" t="s">
        <v>76</v>
      </c>
      <c r="J4755" t="s">
        <v>77</v>
      </c>
    </row>
    <row r="4756" spans="1:11" x14ac:dyDescent="0.3">
      <c r="A4756" t="s">
        <v>72</v>
      </c>
      <c r="B4756">
        <v>1</v>
      </c>
      <c r="C4756" t="s">
        <v>80</v>
      </c>
      <c r="D4756">
        <v>2.9179E-2</v>
      </c>
      <c r="E4756" t="s">
        <v>74</v>
      </c>
      <c r="F4756">
        <v>29.178999999999998</v>
      </c>
      <c r="G4756" t="s">
        <v>75</v>
      </c>
      <c r="H4756">
        <v>29178.999</v>
      </c>
      <c r="I4756" t="s">
        <v>76</v>
      </c>
      <c r="J4756" t="s">
        <v>77</v>
      </c>
    </row>
    <row r="4757" spans="1:11" x14ac:dyDescent="0.3">
      <c r="A4757" t="s">
        <v>72</v>
      </c>
      <c r="B4757">
        <v>1</v>
      </c>
      <c r="C4757" t="s">
        <v>81</v>
      </c>
      <c r="D4757">
        <v>3.78473E-2</v>
      </c>
      <c r="E4757" t="s">
        <v>74</v>
      </c>
      <c r="F4757">
        <v>37.847299999999997</v>
      </c>
      <c r="G4757" t="s">
        <v>75</v>
      </c>
      <c r="H4757">
        <v>37847.298999999999</v>
      </c>
      <c r="I4757" t="s">
        <v>76</v>
      </c>
      <c r="J4757" t="s">
        <v>82</v>
      </c>
      <c r="K4757">
        <v>26.4219647</v>
      </c>
    </row>
    <row r="4758" spans="1:11" x14ac:dyDescent="0.3">
      <c r="A4758" t="s">
        <v>83</v>
      </c>
      <c r="B4758">
        <v>1000</v>
      </c>
      <c r="C4758" t="s">
        <v>79</v>
      </c>
      <c r="D4758">
        <v>4.1983999999999999E-4</v>
      </c>
      <c r="E4758" t="s">
        <v>74</v>
      </c>
      <c r="F4758">
        <v>0.41983999999999999</v>
      </c>
      <c r="G4758" t="s">
        <v>75</v>
      </c>
      <c r="H4758">
        <v>419.83600000000001</v>
      </c>
      <c r="I4758" t="s">
        <v>76</v>
      </c>
      <c r="J4758" t="s">
        <v>77</v>
      </c>
    </row>
    <row r="4759" spans="1:11" x14ac:dyDescent="0.3">
      <c r="A4759" t="s">
        <v>83</v>
      </c>
      <c r="B4759">
        <v>1000</v>
      </c>
      <c r="C4759" t="s">
        <v>94</v>
      </c>
      <c r="D4759">
        <v>1.3159199999999999E-3</v>
      </c>
      <c r="E4759" t="s">
        <v>74</v>
      </c>
      <c r="F4759">
        <v>1.31592</v>
      </c>
      <c r="G4759" t="s">
        <v>75</v>
      </c>
      <c r="H4759">
        <v>1315.922</v>
      </c>
      <c r="I4759" t="s">
        <v>76</v>
      </c>
      <c r="J4759" t="s">
        <v>77</v>
      </c>
    </row>
    <row r="4760" spans="1:11" x14ac:dyDescent="0.3">
      <c r="A4760" t="s">
        <v>83</v>
      </c>
      <c r="B4760">
        <v>1000</v>
      </c>
      <c r="C4760" t="s">
        <v>80</v>
      </c>
      <c r="D4760">
        <v>1.44107E-3</v>
      </c>
      <c r="E4760" t="s">
        <v>74</v>
      </c>
      <c r="F4760">
        <v>1.4410700000000001</v>
      </c>
      <c r="G4760" t="s">
        <v>75</v>
      </c>
      <c r="H4760">
        <v>1441.07</v>
      </c>
      <c r="I4760" t="s">
        <v>76</v>
      </c>
      <c r="J4760" t="s">
        <v>77</v>
      </c>
    </row>
    <row r="4761" spans="1:11" x14ac:dyDescent="0.3">
      <c r="A4761" t="s">
        <v>83</v>
      </c>
      <c r="B4761">
        <v>1000</v>
      </c>
      <c r="C4761" t="s">
        <v>81</v>
      </c>
      <c r="D4761">
        <v>1.86174E-3</v>
      </c>
      <c r="E4761" t="s">
        <v>74</v>
      </c>
      <c r="F4761">
        <v>1.86174</v>
      </c>
      <c r="G4761" t="s">
        <v>75</v>
      </c>
      <c r="H4761">
        <v>1861.7439999999999</v>
      </c>
      <c r="I4761" t="s">
        <v>76</v>
      </c>
      <c r="J4761" t="s">
        <v>82</v>
      </c>
      <c r="K4761">
        <v>537.13069419999999</v>
      </c>
    </row>
    <row r="4762" spans="1:11" x14ac:dyDescent="0.3">
      <c r="A4762" t="s">
        <v>84</v>
      </c>
      <c r="B4762">
        <v>1001</v>
      </c>
      <c r="C4762" t="s">
        <v>79</v>
      </c>
      <c r="D4762">
        <v>4.2808000000000001E-4</v>
      </c>
      <c r="E4762" t="s">
        <v>74</v>
      </c>
      <c r="F4762">
        <v>0.42808000000000002</v>
      </c>
      <c r="G4762" t="s">
        <v>75</v>
      </c>
      <c r="H4762">
        <v>428.07499999999999</v>
      </c>
      <c r="I4762" t="s">
        <v>76</v>
      </c>
      <c r="J4762" t="s">
        <v>77</v>
      </c>
    </row>
    <row r="4763" spans="1:11" x14ac:dyDescent="0.3">
      <c r="A4763" t="s">
        <v>84</v>
      </c>
      <c r="B4763">
        <v>1001</v>
      </c>
      <c r="C4763" t="s">
        <v>94</v>
      </c>
      <c r="D4763">
        <v>1.34376E-3</v>
      </c>
      <c r="E4763" t="s">
        <v>74</v>
      </c>
      <c r="F4763">
        <v>1.3437600000000001</v>
      </c>
      <c r="G4763" t="s">
        <v>75</v>
      </c>
      <c r="H4763">
        <v>1343.7560000000001</v>
      </c>
      <c r="I4763" t="s">
        <v>76</v>
      </c>
      <c r="J4763" t="s">
        <v>77</v>
      </c>
    </row>
    <row r="4764" spans="1:11" x14ac:dyDescent="0.3">
      <c r="A4764" t="s">
        <v>84</v>
      </c>
      <c r="B4764">
        <v>1001</v>
      </c>
      <c r="C4764" t="s">
        <v>80</v>
      </c>
      <c r="D4764">
        <v>1.46878E-3</v>
      </c>
      <c r="E4764" t="s">
        <v>74</v>
      </c>
      <c r="F4764">
        <v>1.46878</v>
      </c>
      <c r="G4764" t="s">
        <v>75</v>
      </c>
      <c r="H4764">
        <v>1468.78</v>
      </c>
      <c r="I4764" t="s">
        <v>76</v>
      </c>
      <c r="J4764" t="s">
        <v>77</v>
      </c>
    </row>
    <row r="4765" spans="1:11" x14ac:dyDescent="0.3">
      <c r="A4765" t="s">
        <v>84</v>
      </c>
      <c r="B4765">
        <v>1001</v>
      </c>
      <c r="C4765" t="s">
        <v>81</v>
      </c>
      <c r="D4765">
        <v>1.8976900000000001E-3</v>
      </c>
      <c r="E4765" t="s">
        <v>74</v>
      </c>
      <c r="F4765">
        <v>1.8976900000000001</v>
      </c>
      <c r="G4765" t="s">
        <v>75</v>
      </c>
      <c r="H4765">
        <v>1897.694</v>
      </c>
      <c r="I4765" t="s">
        <v>76</v>
      </c>
      <c r="J4765" t="s">
        <v>82</v>
      </c>
      <c r="K4765">
        <v>526.95538260000001</v>
      </c>
    </row>
    <row r="4766" spans="1:11" x14ac:dyDescent="0.3">
      <c r="A4766" t="s">
        <v>85</v>
      </c>
      <c r="B4766">
        <v>1001</v>
      </c>
      <c r="C4766" t="s">
        <v>86</v>
      </c>
      <c r="D4766">
        <v>1.89795E-3</v>
      </c>
      <c r="E4766" t="s">
        <v>74</v>
      </c>
      <c r="F4766">
        <v>1.89795</v>
      </c>
      <c r="G4766" t="s">
        <v>75</v>
      </c>
      <c r="H4766">
        <v>1897.95</v>
      </c>
      <c r="I4766" t="s">
        <v>76</v>
      </c>
      <c r="J4766" t="s">
        <v>82</v>
      </c>
      <c r="K4766">
        <v>526.88422730000002</v>
      </c>
    </row>
    <row r="4767" spans="1:11" x14ac:dyDescent="0.3">
      <c r="A4767" t="s">
        <v>115</v>
      </c>
    </row>
    <row r="4768" spans="1:11" x14ac:dyDescent="0.3">
      <c r="A4768" t="s">
        <v>127</v>
      </c>
    </row>
    <row r="4769" spans="1:11" x14ac:dyDescent="0.3">
      <c r="A4769" t="s">
        <v>87</v>
      </c>
    </row>
    <row r="4770" spans="1:11" x14ac:dyDescent="0.3">
      <c r="A4770" t="s">
        <v>335</v>
      </c>
    </row>
    <row r="4771" spans="1:11" x14ac:dyDescent="0.3">
      <c r="A4771" t="s">
        <v>72</v>
      </c>
      <c r="B4771">
        <v>1</v>
      </c>
      <c r="C4771" t="s">
        <v>81</v>
      </c>
      <c r="D4771">
        <v>0.1539963</v>
      </c>
      <c r="E4771" t="s">
        <v>74</v>
      </c>
      <c r="F4771">
        <v>153.99629999999999</v>
      </c>
      <c r="G4771" t="s">
        <v>75</v>
      </c>
      <c r="H4771">
        <v>153996.304</v>
      </c>
      <c r="I4771" t="s">
        <v>76</v>
      </c>
      <c r="J4771" t="s">
        <v>82</v>
      </c>
      <c r="K4771">
        <v>6.4936623999999998</v>
      </c>
    </row>
    <row r="4772" spans="1:11" x14ac:dyDescent="0.3">
      <c r="A4772" t="s">
        <v>83</v>
      </c>
      <c r="B4772">
        <v>1000</v>
      </c>
      <c r="C4772" t="s">
        <v>81</v>
      </c>
      <c r="D4772">
        <v>1.1540299999999999E-3</v>
      </c>
      <c r="E4772" t="s">
        <v>74</v>
      </c>
      <c r="F4772">
        <v>1.1540299999999999</v>
      </c>
      <c r="G4772" t="s">
        <v>75</v>
      </c>
      <c r="H4772">
        <v>1154.0319999999999</v>
      </c>
      <c r="I4772" t="s">
        <v>76</v>
      </c>
      <c r="J4772" t="s">
        <v>82</v>
      </c>
      <c r="K4772">
        <v>866.52683549999995</v>
      </c>
    </row>
    <row r="4773" spans="1:11" x14ac:dyDescent="0.3">
      <c r="A4773" t="s">
        <v>85</v>
      </c>
      <c r="B4773">
        <v>1001</v>
      </c>
      <c r="C4773" t="s">
        <v>86</v>
      </c>
      <c r="D4773">
        <v>1.30685E-3</v>
      </c>
      <c r="E4773" t="s">
        <v>74</v>
      </c>
      <c r="F4773">
        <v>1.3068500000000001</v>
      </c>
      <c r="G4773" t="s">
        <v>75</v>
      </c>
      <c r="H4773">
        <v>1306.847</v>
      </c>
      <c r="I4773" t="s">
        <v>76</v>
      </c>
      <c r="J4773" t="s">
        <v>82</v>
      </c>
      <c r="K4773">
        <v>765.20078379999995</v>
      </c>
    </row>
    <row r="4775" spans="1:11" x14ac:dyDescent="0.3">
      <c r="A4775" t="s">
        <v>336</v>
      </c>
    </row>
    <row r="4776" spans="1:11" x14ac:dyDescent="0.3">
      <c r="A4776" t="s">
        <v>72</v>
      </c>
      <c r="B4776">
        <v>1</v>
      </c>
      <c r="C4776" t="s">
        <v>81</v>
      </c>
      <c r="D4776">
        <v>3.78473E-2</v>
      </c>
      <c r="E4776" t="s">
        <v>74</v>
      </c>
      <c r="F4776">
        <v>37.847299999999997</v>
      </c>
      <c r="G4776" t="s">
        <v>75</v>
      </c>
      <c r="H4776">
        <v>37847.298999999999</v>
      </c>
      <c r="I4776" t="s">
        <v>76</v>
      </c>
      <c r="J4776" t="s">
        <v>82</v>
      </c>
      <c r="K4776">
        <v>26.4219647</v>
      </c>
    </row>
    <row r="4777" spans="1:11" x14ac:dyDescent="0.3">
      <c r="A4777" t="s">
        <v>83</v>
      </c>
      <c r="B4777">
        <v>1000</v>
      </c>
      <c r="C4777" t="s">
        <v>81</v>
      </c>
      <c r="D4777">
        <v>1.86174E-3</v>
      </c>
      <c r="E4777" t="s">
        <v>74</v>
      </c>
      <c r="F4777">
        <v>1.86174</v>
      </c>
      <c r="G4777" t="s">
        <v>75</v>
      </c>
      <c r="H4777">
        <v>1861.7439999999999</v>
      </c>
      <c r="I4777" t="s">
        <v>76</v>
      </c>
      <c r="J4777" t="s">
        <v>82</v>
      </c>
      <c r="K4777">
        <v>537.13069419999999</v>
      </c>
    </row>
    <row r="4778" spans="1:11" x14ac:dyDescent="0.3">
      <c r="A4778" t="s">
        <v>85</v>
      </c>
      <c r="B4778">
        <v>1001</v>
      </c>
      <c r="C4778" t="s">
        <v>86</v>
      </c>
      <c r="D4778">
        <v>1.89795E-3</v>
      </c>
      <c r="E4778" t="s">
        <v>74</v>
      </c>
      <c r="F4778">
        <v>1.89795</v>
      </c>
      <c r="G4778" t="s">
        <v>75</v>
      </c>
      <c r="H4778">
        <v>1897.95</v>
      </c>
      <c r="I4778" t="s">
        <v>76</v>
      </c>
      <c r="J4778" t="s">
        <v>82</v>
      </c>
      <c r="K4778">
        <v>526.88422730000002</v>
      </c>
    </row>
    <row r="4780" spans="1:11" x14ac:dyDescent="0.3">
      <c r="A4780" t="s">
        <v>64</v>
      </c>
    </row>
    <row r="4781" spans="1:11" x14ac:dyDescent="0.3">
      <c r="A4781" t="s">
        <v>337</v>
      </c>
    </row>
    <row r="4783" spans="1:11" x14ac:dyDescent="0.3">
      <c r="A4783" t="s">
        <v>338</v>
      </c>
    </row>
    <row r="4784" spans="1:11" x14ac:dyDescent="0.3">
      <c r="A4784" t="s">
        <v>68</v>
      </c>
    </row>
    <row r="4785" spans="1:11" x14ac:dyDescent="0.3">
      <c r="A4785" t="s">
        <v>69</v>
      </c>
    </row>
    <row r="4786" spans="1:11" x14ac:dyDescent="0.3">
      <c r="A4786" t="s">
        <v>70</v>
      </c>
    </row>
    <row r="4787" spans="1:11" x14ac:dyDescent="0.3">
      <c r="A4787" t="s">
        <v>71</v>
      </c>
    </row>
    <row r="4788" spans="1:11" x14ac:dyDescent="0.3">
      <c r="A4788" t="s">
        <v>72</v>
      </c>
      <c r="B4788">
        <v>1</v>
      </c>
      <c r="C4788" t="s">
        <v>73</v>
      </c>
      <c r="D4788">
        <v>5.2450000000000001E-4</v>
      </c>
      <c r="E4788" t="s">
        <v>74</v>
      </c>
      <c r="F4788">
        <v>0.52449999999999997</v>
      </c>
      <c r="G4788" t="s">
        <v>75</v>
      </c>
      <c r="H4788">
        <v>524.5</v>
      </c>
      <c r="I4788" t="s">
        <v>76</v>
      </c>
      <c r="J4788" t="s">
        <v>77</v>
      </c>
    </row>
    <row r="4789" spans="1:11" x14ac:dyDescent="0.3">
      <c r="A4789" t="s">
        <v>72</v>
      </c>
      <c r="B4789">
        <v>1</v>
      </c>
      <c r="C4789" t="s">
        <v>78</v>
      </c>
      <c r="D4789">
        <v>2.3E-6</v>
      </c>
      <c r="E4789" t="s">
        <v>74</v>
      </c>
      <c r="F4789">
        <v>2.3E-3</v>
      </c>
      <c r="G4789" t="s">
        <v>75</v>
      </c>
      <c r="H4789">
        <v>2.2999999999999998</v>
      </c>
      <c r="I4789" t="s">
        <v>76</v>
      </c>
      <c r="J4789" t="s">
        <v>77</v>
      </c>
    </row>
    <row r="4790" spans="1:11" x14ac:dyDescent="0.3">
      <c r="A4790" t="s">
        <v>72</v>
      </c>
      <c r="B4790">
        <v>1</v>
      </c>
      <c r="C4790" t="s">
        <v>79</v>
      </c>
      <c r="D4790">
        <v>6.7399999999999998E-5</v>
      </c>
      <c r="E4790" t="s">
        <v>74</v>
      </c>
      <c r="F4790">
        <v>6.7400000000000002E-2</v>
      </c>
      <c r="G4790" t="s">
        <v>75</v>
      </c>
      <c r="H4790">
        <v>67.400000000000006</v>
      </c>
      <c r="I4790" t="s">
        <v>76</v>
      </c>
      <c r="J4790" t="s">
        <v>77</v>
      </c>
    </row>
    <row r="4791" spans="1:11" x14ac:dyDescent="0.3">
      <c r="A4791" t="s">
        <v>72</v>
      </c>
      <c r="B4791">
        <v>1</v>
      </c>
      <c r="C4791" t="s">
        <v>80</v>
      </c>
      <c r="D4791">
        <v>1.0660357499999999</v>
      </c>
      <c r="E4791" t="s">
        <v>74</v>
      </c>
      <c r="F4791">
        <v>1066.03575</v>
      </c>
      <c r="G4791" t="s">
        <v>75</v>
      </c>
      <c r="H4791">
        <v>1066035.7479999999</v>
      </c>
      <c r="I4791" t="s">
        <v>76</v>
      </c>
      <c r="J4791" t="s">
        <v>77</v>
      </c>
    </row>
    <row r="4792" spans="1:11" x14ac:dyDescent="0.3">
      <c r="A4792" t="s">
        <v>72</v>
      </c>
      <c r="B4792">
        <v>1</v>
      </c>
      <c r="C4792" t="s">
        <v>81</v>
      </c>
      <c r="D4792">
        <v>1.0661058400000001</v>
      </c>
      <c r="E4792" t="s">
        <v>74</v>
      </c>
      <c r="F4792">
        <v>1066.1058399999999</v>
      </c>
      <c r="G4792" t="s">
        <v>75</v>
      </c>
      <c r="H4792">
        <v>1066105.8430000001</v>
      </c>
      <c r="I4792" t="s">
        <v>76</v>
      </c>
      <c r="J4792" t="s">
        <v>82</v>
      </c>
      <c r="K4792">
        <v>0.93799319999999997</v>
      </c>
    </row>
    <row r="4793" spans="1:11" x14ac:dyDescent="0.3">
      <c r="A4793" t="s">
        <v>83</v>
      </c>
      <c r="B4793">
        <v>1000</v>
      </c>
      <c r="C4793" t="s">
        <v>79</v>
      </c>
      <c r="D4793">
        <v>1.9999999999999999E-7</v>
      </c>
      <c r="E4793" t="s">
        <v>74</v>
      </c>
      <c r="F4793">
        <v>2.0000000000000001E-4</v>
      </c>
      <c r="G4793" t="s">
        <v>75</v>
      </c>
      <c r="H4793">
        <v>0.20100000000000001</v>
      </c>
      <c r="I4793" t="s">
        <v>76</v>
      </c>
      <c r="J4793" t="s">
        <v>77</v>
      </c>
    </row>
    <row r="4794" spans="1:11" x14ac:dyDescent="0.3">
      <c r="A4794" t="s">
        <v>83</v>
      </c>
      <c r="B4794">
        <v>1000</v>
      </c>
      <c r="C4794" t="s">
        <v>80</v>
      </c>
      <c r="D4794">
        <v>1.0678857399999999</v>
      </c>
      <c r="E4794" t="s">
        <v>74</v>
      </c>
      <c r="F4794">
        <v>1067.8857399999999</v>
      </c>
      <c r="G4794" t="s">
        <v>75</v>
      </c>
      <c r="H4794">
        <v>1067885.7420000001</v>
      </c>
      <c r="I4794" t="s">
        <v>76</v>
      </c>
      <c r="J4794" t="s">
        <v>77</v>
      </c>
    </row>
    <row r="4795" spans="1:11" x14ac:dyDescent="0.3">
      <c r="A4795" t="s">
        <v>83</v>
      </c>
      <c r="B4795">
        <v>1000</v>
      </c>
      <c r="C4795" t="s">
        <v>81</v>
      </c>
      <c r="D4795">
        <v>1.0678872100000001</v>
      </c>
      <c r="E4795" t="s">
        <v>74</v>
      </c>
      <c r="F4795">
        <v>1067.8872100000001</v>
      </c>
      <c r="G4795" t="s">
        <v>75</v>
      </c>
      <c r="H4795">
        <v>1067887.2069999999</v>
      </c>
      <c r="I4795" t="s">
        <v>76</v>
      </c>
      <c r="J4795" t="s">
        <v>82</v>
      </c>
      <c r="K4795">
        <v>0.9364285</v>
      </c>
    </row>
    <row r="4796" spans="1:11" x14ac:dyDescent="0.3">
      <c r="A4796" t="s">
        <v>84</v>
      </c>
      <c r="B4796">
        <v>1001</v>
      </c>
      <c r="C4796" t="s">
        <v>79</v>
      </c>
      <c r="D4796">
        <v>2.7000000000000001E-7</v>
      </c>
      <c r="E4796" t="s">
        <v>74</v>
      </c>
      <c r="F4796">
        <v>2.7E-4</v>
      </c>
      <c r="G4796" t="s">
        <v>75</v>
      </c>
      <c r="H4796">
        <v>0.26800000000000002</v>
      </c>
      <c r="I4796" t="s">
        <v>76</v>
      </c>
      <c r="J4796" t="s">
        <v>77</v>
      </c>
    </row>
    <row r="4797" spans="1:11" x14ac:dyDescent="0.3">
      <c r="A4797" t="s">
        <v>84</v>
      </c>
      <c r="B4797">
        <v>1001</v>
      </c>
      <c r="C4797" t="s">
        <v>80</v>
      </c>
      <c r="D4797">
        <v>1.0678839</v>
      </c>
      <c r="E4797" t="s">
        <v>74</v>
      </c>
      <c r="F4797">
        <v>1067.8839</v>
      </c>
      <c r="G4797" t="s">
        <v>75</v>
      </c>
      <c r="H4797">
        <v>1067883.898</v>
      </c>
      <c r="I4797" t="s">
        <v>76</v>
      </c>
      <c r="J4797" t="s">
        <v>77</v>
      </c>
    </row>
    <row r="4798" spans="1:11" x14ac:dyDescent="0.3">
      <c r="A4798" t="s">
        <v>84</v>
      </c>
      <c r="B4798">
        <v>1001</v>
      </c>
      <c r="C4798" t="s">
        <v>81</v>
      </c>
      <c r="D4798">
        <v>1.06788561</v>
      </c>
      <c r="E4798" t="s">
        <v>74</v>
      </c>
      <c r="F4798">
        <v>1067.88561</v>
      </c>
      <c r="G4798" t="s">
        <v>75</v>
      </c>
      <c r="H4798">
        <v>1067885.6059999999</v>
      </c>
      <c r="I4798" t="s">
        <v>76</v>
      </c>
      <c r="J4798" t="s">
        <v>82</v>
      </c>
      <c r="K4798">
        <v>0.93642990000000004</v>
      </c>
    </row>
    <row r="4799" spans="1:11" x14ac:dyDescent="0.3">
      <c r="A4799" t="s">
        <v>85</v>
      </c>
      <c r="B4799">
        <v>1001</v>
      </c>
      <c r="C4799" t="s">
        <v>86</v>
      </c>
      <c r="D4799">
        <v>1.0678859700000001</v>
      </c>
      <c r="E4799" t="s">
        <v>74</v>
      </c>
      <c r="F4799">
        <v>1067.88597</v>
      </c>
      <c r="G4799" t="s">
        <v>75</v>
      </c>
      <c r="H4799">
        <v>1067885.9709999999</v>
      </c>
      <c r="I4799" t="s">
        <v>76</v>
      </c>
      <c r="J4799" t="s">
        <v>82</v>
      </c>
      <c r="K4799">
        <v>0.93642959999999997</v>
      </c>
    </row>
    <row r="4800" spans="1:11" x14ac:dyDescent="0.3">
      <c r="A4800" t="s">
        <v>87</v>
      </c>
    </row>
    <row r="4801" spans="1:11" x14ac:dyDescent="0.3">
      <c r="A4801" t="s">
        <v>88</v>
      </c>
    </row>
    <row r="4802" spans="1:11" x14ac:dyDescent="0.3">
      <c r="A4802" t="s">
        <v>72</v>
      </c>
      <c r="B4802">
        <v>1</v>
      </c>
      <c r="C4802" t="s">
        <v>81</v>
      </c>
      <c r="D4802">
        <v>1.0661058400000001</v>
      </c>
      <c r="E4802" t="s">
        <v>74</v>
      </c>
      <c r="F4802">
        <v>1066.1058399999999</v>
      </c>
      <c r="G4802" t="s">
        <v>75</v>
      </c>
      <c r="H4802">
        <v>1066105.8430000001</v>
      </c>
      <c r="I4802" t="s">
        <v>76</v>
      </c>
      <c r="J4802" t="s">
        <v>82</v>
      </c>
      <c r="K4802">
        <v>0.93799319999999997</v>
      </c>
    </row>
    <row r="4803" spans="1:11" x14ac:dyDescent="0.3">
      <c r="A4803" t="s">
        <v>83</v>
      </c>
      <c r="B4803">
        <v>1000</v>
      </c>
      <c r="C4803" t="s">
        <v>81</v>
      </c>
      <c r="D4803">
        <v>1.0678872100000001</v>
      </c>
      <c r="E4803" t="s">
        <v>74</v>
      </c>
      <c r="F4803">
        <v>1067.8872100000001</v>
      </c>
      <c r="G4803" t="s">
        <v>75</v>
      </c>
      <c r="H4803">
        <v>1067887.2069999999</v>
      </c>
      <c r="I4803" t="s">
        <v>76</v>
      </c>
      <c r="J4803" t="s">
        <v>82</v>
      </c>
      <c r="K4803">
        <v>0.9364285</v>
      </c>
    </row>
    <row r="4804" spans="1:11" x14ac:dyDescent="0.3">
      <c r="A4804" t="s">
        <v>85</v>
      </c>
      <c r="B4804">
        <v>1001</v>
      </c>
      <c r="C4804" t="s">
        <v>86</v>
      </c>
      <c r="D4804">
        <v>1.0678859700000001</v>
      </c>
      <c r="E4804" t="s">
        <v>74</v>
      </c>
      <c r="F4804">
        <v>1067.88597</v>
      </c>
      <c r="G4804" t="s">
        <v>75</v>
      </c>
      <c r="H4804">
        <v>1067885.9709999999</v>
      </c>
      <c r="I4804" t="s">
        <v>76</v>
      </c>
      <c r="J4804" t="s">
        <v>82</v>
      </c>
      <c r="K4804">
        <v>0.93642959999999997</v>
      </c>
    </row>
    <row r="4806" spans="1:11" x14ac:dyDescent="0.3">
      <c r="A4806" t="s">
        <v>66</v>
      </c>
    </row>
    <row r="4808" spans="1:11" x14ac:dyDescent="0.3">
      <c r="A4808" t="s">
        <v>339</v>
      </c>
    </row>
    <row r="4809" spans="1:11" x14ac:dyDescent="0.3">
      <c r="A4809" t="s">
        <v>68</v>
      </c>
    </row>
    <row r="4810" spans="1:11" x14ac:dyDescent="0.3">
      <c r="A4810" t="s">
        <v>69</v>
      </c>
    </row>
    <row r="4811" spans="1:11" x14ac:dyDescent="0.3">
      <c r="A4811" t="s">
        <v>70</v>
      </c>
    </row>
    <row r="4812" spans="1:11" x14ac:dyDescent="0.3">
      <c r="A4812" t="s">
        <v>90</v>
      </c>
    </row>
    <row r="4813" spans="1:11" x14ac:dyDescent="0.3">
      <c r="A4813" t="s">
        <v>72</v>
      </c>
      <c r="B4813">
        <v>1</v>
      </c>
      <c r="C4813" t="s">
        <v>73</v>
      </c>
      <c r="D4813">
        <v>4.3000000000000003E-6</v>
      </c>
      <c r="E4813" t="s">
        <v>74</v>
      </c>
      <c r="F4813">
        <v>4.3E-3</v>
      </c>
      <c r="G4813" t="s">
        <v>75</v>
      </c>
      <c r="H4813">
        <v>4.3</v>
      </c>
      <c r="I4813" t="s">
        <v>76</v>
      </c>
      <c r="J4813" t="s">
        <v>77</v>
      </c>
    </row>
    <row r="4814" spans="1:11" x14ac:dyDescent="0.3">
      <c r="A4814" t="s">
        <v>72</v>
      </c>
      <c r="B4814">
        <v>1</v>
      </c>
      <c r="C4814" t="s">
        <v>78</v>
      </c>
      <c r="D4814">
        <v>4.3399999999999998E-5</v>
      </c>
      <c r="E4814" t="s">
        <v>74</v>
      </c>
      <c r="F4814">
        <v>4.3400000000000001E-2</v>
      </c>
      <c r="G4814" t="s">
        <v>75</v>
      </c>
      <c r="H4814">
        <v>43.4</v>
      </c>
      <c r="I4814" t="s">
        <v>76</v>
      </c>
      <c r="J4814" t="s">
        <v>77</v>
      </c>
    </row>
    <row r="4815" spans="1:11" x14ac:dyDescent="0.3">
      <c r="A4815" t="s">
        <v>72</v>
      </c>
      <c r="B4815">
        <v>1</v>
      </c>
      <c r="C4815" t="s">
        <v>91</v>
      </c>
      <c r="D4815">
        <v>2.2633000000000002E-3</v>
      </c>
      <c r="E4815" t="s">
        <v>74</v>
      </c>
      <c r="F4815">
        <v>2.2633000000000001</v>
      </c>
      <c r="G4815" t="s">
        <v>75</v>
      </c>
      <c r="H4815">
        <v>2263.3000000000002</v>
      </c>
      <c r="I4815" t="s">
        <v>76</v>
      </c>
      <c r="J4815" t="s">
        <v>77</v>
      </c>
    </row>
    <row r="4816" spans="1:11" x14ac:dyDescent="0.3">
      <c r="A4816" t="s">
        <v>72</v>
      </c>
      <c r="B4816">
        <v>1</v>
      </c>
      <c r="C4816" t="s">
        <v>92</v>
      </c>
      <c r="D4816">
        <v>1.1945799999999999E-2</v>
      </c>
      <c r="E4816" t="s">
        <v>74</v>
      </c>
      <c r="F4816">
        <v>11.9458</v>
      </c>
      <c r="G4816" t="s">
        <v>75</v>
      </c>
      <c r="H4816">
        <v>11945.8</v>
      </c>
      <c r="I4816" t="s">
        <v>76</v>
      </c>
      <c r="J4816" t="s">
        <v>77</v>
      </c>
    </row>
    <row r="4817" spans="1:11" x14ac:dyDescent="0.3">
      <c r="A4817" t="s">
        <v>72</v>
      </c>
      <c r="B4817">
        <v>1</v>
      </c>
      <c r="C4817" t="s">
        <v>93</v>
      </c>
      <c r="D4817">
        <v>1.6907999999999999E-3</v>
      </c>
      <c r="E4817" t="s">
        <v>74</v>
      </c>
      <c r="F4817">
        <v>1.6908000000000001</v>
      </c>
      <c r="G4817" t="s">
        <v>75</v>
      </c>
      <c r="H4817">
        <v>1690.8</v>
      </c>
      <c r="I4817" t="s">
        <v>76</v>
      </c>
      <c r="J4817" t="s">
        <v>77</v>
      </c>
    </row>
    <row r="4818" spans="1:11" x14ac:dyDescent="0.3">
      <c r="A4818" t="s">
        <v>72</v>
      </c>
      <c r="B4818">
        <v>1</v>
      </c>
      <c r="C4818" t="s">
        <v>79</v>
      </c>
      <c r="D4818">
        <v>1.5901599999999998E-2</v>
      </c>
      <c r="E4818" t="s">
        <v>74</v>
      </c>
      <c r="F4818">
        <v>15.9016</v>
      </c>
      <c r="G4818" t="s">
        <v>75</v>
      </c>
      <c r="H4818">
        <v>15901.599</v>
      </c>
      <c r="I4818" t="s">
        <v>76</v>
      </c>
      <c r="J4818" t="s">
        <v>77</v>
      </c>
    </row>
    <row r="4819" spans="1:11" x14ac:dyDescent="0.3">
      <c r="A4819" t="s">
        <v>72</v>
      </c>
      <c r="B4819">
        <v>1</v>
      </c>
      <c r="C4819" t="s">
        <v>94</v>
      </c>
      <c r="D4819">
        <v>9.4561999999999997E-3</v>
      </c>
      <c r="E4819" t="s">
        <v>74</v>
      </c>
      <c r="F4819">
        <v>9.4562000000000008</v>
      </c>
      <c r="G4819" t="s">
        <v>75</v>
      </c>
      <c r="H4819">
        <v>9456.2000000000007</v>
      </c>
      <c r="I4819" t="s">
        <v>76</v>
      </c>
      <c r="J4819" t="s">
        <v>77</v>
      </c>
    </row>
    <row r="4820" spans="1:11" x14ac:dyDescent="0.3">
      <c r="A4820" t="s">
        <v>72</v>
      </c>
      <c r="B4820">
        <v>1</v>
      </c>
      <c r="C4820" t="s">
        <v>80</v>
      </c>
      <c r="D4820">
        <v>9.4579999999999994E-3</v>
      </c>
      <c r="E4820" t="s">
        <v>74</v>
      </c>
      <c r="F4820">
        <v>9.4580000000000002</v>
      </c>
      <c r="G4820" t="s">
        <v>75</v>
      </c>
      <c r="H4820">
        <v>9458</v>
      </c>
      <c r="I4820" t="s">
        <v>76</v>
      </c>
      <c r="J4820" t="s">
        <v>77</v>
      </c>
    </row>
    <row r="4821" spans="1:11" x14ac:dyDescent="0.3">
      <c r="A4821" t="s">
        <v>72</v>
      </c>
      <c r="B4821">
        <v>1</v>
      </c>
      <c r="C4821" t="s">
        <v>81</v>
      </c>
      <c r="D4821">
        <v>2.5362800000000001E-2</v>
      </c>
      <c r="E4821" t="s">
        <v>74</v>
      </c>
      <c r="F4821">
        <v>25.3628</v>
      </c>
      <c r="G4821" t="s">
        <v>75</v>
      </c>
      <c r="H4821">
        <v>25362.800999999999</v>
      </c>
      <c r="I4821" t="s">
        <v>76</v>
      </c>
      <c r="J4821" t="s">
        <v>82</v>
      </c>
      <c r="K4821">
        <v>39.427822200000001</v>
      </c>
    </row>
    <row r="4822" spans="1:11" x14ac:dyDescent="0.3">
      <c r="A4822" t="s">
        <v>83</v>
      </c>
      <c r="B4822">
        <v>1000</v>
      </c>
      <c r="C4822" t="s">
        <v>79</v>
      </c>
      <c r="D4822">
        <v>1.8E-7</v>
      </c>
      <c r="E4822" t="s">
        <v>74</v>
      </c>
      <c r="F4822">
        <v>1.8000000000000001E-4</v>
      </c>
      <c r="G4822" t="s">
        <v>75</v>
      </c>
      <c r="H4822">
        <v>0.185</v>
      </c>
      <c r="I4822" t="s">
        <v>76</v>
      </c>
      <c r="J4822" t="s">
        <v>77</v>
      </c>
    </row>
    <row r="4823" spans="1:11" x14ac:dyDescent="0.3">
      <c r="A4823" t="s">
        <v>83</v>
      </c>
      <c r="B4823">
        <v>1000</v>
      </c>
      <c r="C4823" t="s">
        <v>94</v>
      </c>
      <c r="D4823">
        <v>2.66417E-3</v>
      </c>
      <c r="E4823" t="s">
        <v>74</v>
      </c>
      <c r="F4823">
        <v>2.6641699999999999</v>
      </c>
      <c r="G4823" t="s">
        <v>75</v>
      </c>
      <c r="H4823">
        <v>2664.17</v>
      </c>
      <c r="I4823" t="s">
        <v>76</v>
      </c>
      <c r="J4823" t="s">
        <v>77</v>
      </c>
    </row>
    <row r="4824" spans="1:11" x14ac:dyDescent="0.3">
      <c r="A4824" t="s">
        <v>83</v>
      </c>
      <c r="B4824">
        <v>1000</v>
      </c>
      <c r="C4824" t="s">
        <v>80</v>
      </c>
      <c r="D4824">
        <v>2.8227E-3</v>
      </c>
      <c r="E4824" t="s">
        <v>74</v>
      </c>
      <c r="F4824">
        <v>2.8227000000000002</v>
      </c>
      <c r="G4824" t="s">
        <v>75</v>
      </c>
      <c r="H4824">
        <v>2822.703</v>
      </c>
      <c r="I4824" t="s">
        <v>76</v>
      </c>
      <c r="J4824" t="s">
        <v>77</v>
      </c>
    </row>
    <row r="4825" spans="1:11" x14ac:dyDescent="0.3">
      <c r="A4825" t="s">
        <v>83</v>
      </c>
      <c r="B4825">
        <v>1000</v>
      </c>
      <c r="C4825" t="s">
        <v>81</v>
      </c>
      <c r="D4825">
        <v>2.8238500000000001E-3</v>
      </c>
      <c r="E4825" t="s">
        <v>74</v>
      </c>
      <c r="F4825">
        <v>2.8238500000000002</v>
      </c>
      <c r="G4825" t="s">
        <v>75</v>
      </c>
      <c r="H4825">
        <v>2823.8530000000001</v>
      </c>
      <c r="I4825" t="s">
        <v>76</v>
      </c>
      <c r="J4825" t="s">
        <v>82</v>
      </c>
      <c r="K4825">
        <v>354.12608030000001</v>
      </c>
    </row>
    <row r="4826" spans="1:11" x14ac:dyDescent="0.3">
      <c r="A4826" t="s">
        <v>84</v>
      </c>
      <c r="B4826">
        <v>1</v>
      </c>
      <c r="C4826" t="s">
        <v>91</v>
      </c>
      <c r="D4826">
        <v>2.2633000000000002E-3</v>
      </c>
      <c r="E4826" t="s">
        <v>74</v>
      </c>
      <c r="F4826">
        <v>2.2633000000000001</v>
      </c>
      <c r="G4826" t="s">
        <v>75</v>
      </c>
      <c r="H4826">
        <v>2263.3000000000002</v>
      </c>
      <c r="I4826" t="s">
        <v>76</v>
      </c>
      <c r="J4826" t="s">
        <v>77</v>
      </c>
    </row>
    <row r="4827" spans="1:11" x14ac:dyDescent="0.3">
      <c r="A4827" t="s">
        <v>84</v>
      </c>
      <c r="B4827">
        <v>1</v>
      </c>
      <c r="C4827" t="s">
        <v>92</v>
      </c>
      <c r="D4827">
        <v>1.1945799999999999E-2</v>
      </c>
      <c r="E4827" t="s">
        <v>74</v>
      </c>
      <c r="F4827">
        <v>11.9458</v>
      </c>
      <c r="G4827" t="s">
        <v>75</v>
      </c>
      <c r="H4827">
        <v>11945.8</v>
      </c>
      <c r="I4827" t="s">
        <v>76</v>
      </c>
      <c r="J4827" t="s">
        <v>77</v>
      </c>
    </row>
    <row r="4828" spans="1:11" x14ac:dyDescent="0.3">
      <c r="A4828" t="s">
        <v>84</v>
      </c>
      <c r="B4828">
        <v>1</v>
      </c>
      <c r="C4828" t="s">
        <v>93</v>
      </c>
      <c r="D4828">
        <v>1.6907999999999999E-3</v>
      </c>
      <c r="E4828" t="s">
        <v>74</v>
      </c>
      <c r="F4828">
        <v>1.6908000000000001</v>
      </c>
      <c r="G4828" t="s">
        <v>75</v>
      </c>
      <c r="H4828">
        <v>1690.8</v>
      </c>
      <c r="I4828" t="s">
        <v>76</v>
      </c>
      <c r="J4828" t="s">
        <v>77</v>
      </c>
    </row>
    <row r="4829" spans="1:11" x14ac:dyDescent="0.3">
      <c r="A4829" t="s">
        <v>84</v>
      </c>
      <c r="B4829">
        <v>1001</v>
      </c>
      <c r="C4829" t="s">
        <v>79</v>
      </c>
      <c r="D4829">
        <v>1.607E-5</v>
      </c>
      <c r="E4829" t="s">
        <v>74</v>
      </c>
      <c r="F4829">
        <v>1.6070000000000001E-2</v>
      </c>
      <c r="G4829" t="s">
        <v>75</v>
      </c>
      <c r="H4829">
        <v>16.07</v>
      </c>
      <c r="I4829" t="s">
        <v>76</v>
      </c>
      <c r="J4829" t="s">
        <v>77</v>
      </c>
    </row>
    <row r="4830" spans="1:11" x14ac:dyDescent="0.3">
      <c r="A4830" t="s">
        <v>84</v>
      </c>
      <c r="B4830">
        <v>1001</v>
      </c>
      <c r="C4830" t="s">
        <v>94</v>
      </c>
      <c r="D4830">
        <v>2.6709500000000001E-3</v>
      </c>
      <c r="E4830" t="s">
        <v>74</v>
      </c>
      <c r="F4830">
        <v>2.6709499999999999</v>
      </c>
      <c r="G4830" t="s">
        <v>75</v>
      </c>
      <c r="H4830">
        <v>2670.9549999999999</v>
      </c>
      <c r="I4830" t="s">
        <v>76</v>
      </c>
      <c r="J4830" t="s">
        <v>77</v>
      </c>
    </row>
    <row r="4831" spans="1:11" x14ac:dyDescent="0.3">
      <c r="A4831" t="s">
        <v>84</v>
      </c>
      <c r="B4831">
        <v>1001</v>
      </c>
      <c r="C4831" t="s">
        <v>80</v>
      </c>
      <c r="D4831">
        <v>2.8293300000000001E-3</v>
      </c>
      <c r="E4831" t="s">
        <v>74</v>
      </c>
      <c r="F4831">
        <v>2.8293300000000001</v>
      </c>
      <c r="G4831" t="s">
        <v>75</v>
      </c>
      <c r="H4831">
        <v>2829.3310000000001</v>
      </c>
      <c r="I4831" t="s">
        <v>76</v>
      </c>
      <c r="J4831" t="s">
        <v>77</v>
      </c>
    </row>
    <row r="4832" spans="1:11" x14ac:dyDescent="0.3">
      <c r="A4832" t="s">
        <v>84</v>
      </c>
      <c r="B4832">
        <v>1001</v>
      </c>
      <c r="C4832" t="s">
        <v>81</v>
      </c>
      <c r="D4832">
        <v>2.84637E-3</v>
      </c>
      <c r="E4832" t="s">
        <v>74</v>
      </c>
      <c r="F4832">
        <v>2.8463699999999998</v>
      </c>
      <c r="G4832" t="s">
        <v>75</v>
      </c>
      <c r="H4832">
        <v>2846.37</v>
      </c>
      <c r="I4832" t="s">
        <v>76</v>
      </c>
      <c r="J4832" t="s">
        <v>82</v>
      </c>
      <c r="K4832">
        <v>351.32471720000001</v>
      </c>
    </row>
    <row r="4833" spans="1:11" x14ac:dyDescent="0.3">
      <c r="A4833" t="s">
        <v>85</v>
      </c>
      <c r="B4833">
        <v>1001</v>
      </c>
      <c r="C4833" t="s">
        <v>86</v>
      </c>
      <c r="D4833">
        <v>2.8466099999999999E-3</v>
      </c>
      <c r="E4833" t="s">
        <v>74</v>
      </c>
      <c r="F4833">
        <v>2.8466100000000001</v>
      </c>
      <c r="G4833" t="s">
        <v>75</v>
      </c>
      <c r="H4833">
        <v>2846.614</v>
      </c>
      <c r="I4833" t="s">
        <v>76</v>
      </c>
      <c r="J4833" t="s">
        <v>82</v>
      </c>
      <c r="K4833">
        <v>351.29449829999999</v>
      </c>
    </row>
    <row r="4834" spans="1:11" x14ac:dyDescent="0.3">
      <c r="A4834" t="s">
        <v>95</v>
      </c>
    </row>
    <row r="4835" spans="1:11" x14ac:dyDescent="0.3">
      <c r="A4835" t="s">
        <v>72</v>
      </c>
      <c r="B4835">
        <v>1</v>
      </c>
      <c r="C4835" t="s">
        <v>73</v>
      </c>
      <c r="D4835">
        <v>4.3000000000000003E-6</v>
      </c>
      <c r="E4835" t="s">
        <v>74</v>
      </c>
      <c r="F4835">
        <v>4.3E-3</v>
      </c>
      <c r="G4835" t="s">
        <v>75</v>
      </c>
      <c r="H4835">
        <v>4.3</v>
      </c>
      <c r="I4835" t="s">
        <v>76</v>
      </c>
      <c r="J4835" t="s">
        <v>77</v>
      </c>
    </row>
    <row r="4836" spans="1:11" x14ac:dyDescent="0.3">
      <c r="A4836" t="s">
        <v>72</v>
      </c>
      <c r="B4836">
        <v>1</v>
      </c>
      <c r="C4836" t="s">
        <v>78</v>
      </c>
      <c r="D4836">
        <v>4.2799999999999997E-5</v>
      </c>
      <c r="E4836" t="s">
        <v>74</v>
      </c>
      <c r="F4836">
        <v>4.2799999999999998E-2</v>
      </c>
      <c r="G4836" t="s">
        <v>75</v>
      </c>
      <c r="H4836">
        <v>42.8</v>
      </c>
      <c r="I4836" t="s">
        <v>76</v>
      </c>
      <c r="J4836" t="s">
        <v>77</v>
      </c>
    </row>
    <row r="4837" spans="1:11" x14ac:dyDescent="0.3">
      <c r="A4837" t="s">
        <v>72</v>
      </c>
      <c r="B4837">
        <v>1</v>
      </c>
      <c r="C4837" t="s">
        <v>91</v>
      </c>
      <c r="D4837">
        <v>2.2236000000000001E-3</v>
      </c>
      <c r="E4837" t="s">
        <v>74</v>
      </c>
      <c r="F4837">
        <v>2.2235999999999998</v>
      </c>
      <c r="G4837" t="s">
        <v>75</v>
      </c>
      <c r="H4837">
        <v>2223.6</v>
      </c>
      <c r="I4837" t="s">
        <v>76</v>
      </c>
      <c r="J4837" t="s">
        <v>77</v>
      </c>
    </row>
    <row r="4838" spans="1:11" x14ac:dyDescent="0.3">
      <c r="A4838" t="s">
        <v>72</v>
      </c>
      <c r="B4838">
        <v>1</v>
      </c>
      <c r="C4838" t="s">
        <v>92</v>
      </c>
      <c r="D4838">
        <v>1.2434000000000001E-2</v>
      </c>
      <c r="E4838" t="s">
        <v>74</v>
      </c>
      <c r="F4838">
        <v>12.433999999999999</v>
      </c>
      <c r="G4838" t="s">
        <v>75</v>
      </c>
      <c r="H4838">
        <v>12434</v>
      </c>
      <c r="I4838" t="s">
        <v>76</v>
      </c>
      <c r="J4838" t="s">
        <v>77</v>
      </c>
    </row>
    <row r="4839" spans="1:11" x14ac:dyDescent="0.3">
      <c r="A4839" t="s">
        <v>72</v>
      </c>
      <c r="B4839">
        <v>1</v>
      </c>
      <c r="C4839" t="s">
        <v>93</v>
      </c>
      <c r="D4839">
        <v>1.6723E-3</v>
      </c>
      <c r="E4839" t="s">
        <v>74</v>
      </c>
      <c r="F4839">
        <v>1.6722999999999999</v>
      </c>
      <c r="G4839" t="s">
        <v>75</v>
      </c>
      <c r="H4839">
        <v>1672.3</v>
      </c>
      <c r="I4839" t="s">
        <v>76</v>
      </c>
      <c r="J4839" t="s">
        <v>77</v>
      </c>
    </row>
    <row r="4840" spans="1:11" x14ac:dyDescent="0.3">
      <c r="A4840" t="s">
        <v>72</v>
      </c>
      <c r="B4840">
        <v>1</v>
      </c>
      <c r="C4840" t="s">
        <v>79</v>
      </c>
      <c r="D4840">
        <v>1.6330399999999998E-2</v>
      </c>
      <c r="E4840" t="s">
        <v>74</v>
      </c>
      <c r="F4840">
        <v>16.330400000000001</v>
      </c>
      <c r="G4840" t="s">
        <v>75</v>
      </c>
      <c r="H4840">
        <v>16330.4</v>
      </c>
      <c r="I4840" t="s">
        <v>76</v>
      </c>
      <c r="J4840" t="s">
        <v>77</v>
      </c>
    </row>
    <row r="4841" spans="1:11" x14ac:dyDescent="0.3">
      <c r="A4841" t="s">
        <v>72</v>
      </c>
      <c r="B4841">
        <v>1</v>
      </c>
      <c r="C4841" t="s">
        <v>96</v>
      </c>
      <c r="D4841">
        <v>2.0914000000000002E-3</v>
      </c>
      <c r="E4841" t="s">
        <v>74</v>
      </c>
      <c r="F4841">
        <v>2.0914000000000001</v>
      </c>
      <c r="G4841" t="s">
        <v>75</v>
      </c>
      <c r="H4841">
        <v>2091.4</v>
      </c>
      <c r="I4841" t="s">
        <v>76</v>
      </c>
      <c r="J4841" t="s">
        <v>77</v>
      </c>
    </row>
    <row r="4842" spans="1:11" x14ac:dyDescent="0.3">
      <c r="A4842" t="s">
        <v>72</v>
      </c>
      <c r="B4842">
        <v>1</v>
      </c>
      <c r="C4842" t="s">
        <v>94</v>
      </c>
      <c r="D4842">
        <v>3.0490000000000001E-3</v>
      </c>
      <c r="E4842" t="s">
        <v>74</v>
      </c>
      <c r="F4842">
        <v>3.0489999999999999</v>
      </c>
      <c r="G4842" t="s">
        <v>75</v>
      </c>
      <c r="H4842">
        <v>3049</v>
      </c>
      <c r="I4842" t="s">
        <v>76</v>
      </c>
      <c r="J4842" t="s">
        <v>77</v>
      </c>
    </row>
    <row r="4843" spans="1:11" x14ac:dyDescent="0.3">
      <c r="A4843" t="s">
        <v>72</v>
      </c>
      <c r="B4843">
        <v>1</v>
      </c>
      <c r="C4843" t="s">
        <v>80</v>
      </c>
      <c r="D4843">
        <v>5.2728000000000002E-3</v>
      </c>
      <c r="E4843" t="s">
        <v>74</v>
      </c>
      <c r="F4843">
        <v>5.2728000000000002</v>
      </c>
      <c r="G4843" t="s">
        <v>75</v>
      </c>
      <c r="H4843">
        <v>5272.8</v>
      </c>
      <c r="I4843" t="s">
        <v>76</v>
      </c>
      <c r="J4843" t="s">
        <v>77</v>
      </c>
    </row>
    <row r="4844" spans="1:11" x14ac:dyDescent="0.3">
      <c r="A4844" t="s">
        <v>72</v>
      </c>
      <c r="B4844">
        <v>1</v>
      </c>
      <c r="C4844" t="s">
        <v>81</v>
      </c>
      <c r="D4844">
        <v>2.1604000000000002E-2</v>
      </c>
      <c r="E4844" t="s">
        <v>74</v>
      </c>
      <c r="F4844">
        <v>21.603999999999999</v>
      </c>
      <c r="G4844" t="s">
        <v>75</v>
      </c>
      <c r="H4844">
        <v>21604</v>
      </c>
      <c r="I4844" t="s">
        <v>76</v>
      </c>
      <c r="J4844" t="s">
        <v>82</v>
      </c>
      <c r="K4844">
        <v>46.287725199999997</v>
      </c>
    </row>
    <row r="4845" spans="1:11" x14ac:dyDescent="0.3">
      <c r="A4845" t="s">
        <v>83</v>
      </c>
      <c r="B4845">
        <v>1000</v>
      </c>
      <c r="C4845" t="s">
        <v>79</v>
      </c>
      <c r="D4845">
        <v>2.1E-7</v>
      </c>
      <c r="E4845" t="s">
        <v>74</v>
      </c>
      <c r="F4845">
        <v>2.1000000000000001E-4</v>
      </c>
      <c r="G4845" t="s">
        <v>75</v>
      </c>
      <c r="H4845">
        <v>0.21299999999999999</v>
      </c>
      <c r="I4845" t="s">
        <v>76</v>
      </c>
      <c r="J4845" t="s">
        <v>77</v>
      </c>
    </row>
    <row r="4846" spans="1:11" x14ac:dyDescent="0.3">
      <c r="A4846" t="s">
        <v>83</v>
      </c>
      <c r="B4846">
        <v>1000</v>
      </c>
      <c r="C4846" t="s">
        <v>96</v>
      </c>
      <c r="D4846">
        <v>1.8798700000000001E-3</v>
      </c>
      <c r="E4846" t="s">
        <v>74</v>
      </c>
      <c r="F4846">
        <v>1.8798699999999999</v>
      </c>
      <c r="G4846" t="s">
        <v>75</v>
      </c>
      <c r="H4846">
        <v>1879.867</v>
      </c>
      <c r="I4846" t="s">
        <v>76</v>
      </c>
      <c r="J4846" t="s">
        <v>77</v>
      </c>
    </row>
    <row r="4847" spans="1:11" x14ac:dyDescent="0.3">
      <c r="A4847" t="s">
        <v>83</v>
      </c>
      <c r="B4847">
        <v>1000</v>
      </c>
      <c r="C4847" t="s">
        <v>94</v>
      </c>
      <c r="D4847">
        <v>3.0007300000000001E-3</v>
      </c>
      <c r="E4847" t="s">
        <v>74</v>
      </c>
      <c r="F4847">
        <v>3.0007299999999999</v>
      </c>
      <c r="G4847" t="s">
        <v>75</v>
      </c>
      <c r="H4847">
        <v>3000.7249999999999</v>
      </c>
      <c r="I4847" t="s">
        <v>76</v>
      </c>
      <c r="J4847" t="s">
        <v>77</v>
      </c>
    </row>
    <row r="4848" spans="1:11" x14ac:dyDescent="0.3">
      <c r="A4848" t="s">
        <v>83</v>
      </c>
      <c r="B4848">
        <v>1000</v>
      </c>
      <c r="C4848" t="s">
        <v>80</v>
      </c>
      <c r="D4848">
        <v>5.0015900000000002E-3</v>
      </c>
      <c r="E4848" t="s">
        <v>74</v>
      </c>
      <c r="F4848">
        <v>5.0015900000000002</v>
      </c>
      <c r="G4848" t="s">
        <v>75</v>
      </c>
      <c r="H4848">
        <v>5001.5919999999996</v>
      </c>
      <c r="I4848" t="s">
        <v>76</v>
      </c>
      <c r="J4848" t="s">
        <v>77</v>
      </c>
    </row>
    <row r="4849" spans="1:11" x14ac:dyDescent="0.3">
      <c r="A4849" t="s">
        <v>83</v>
      </c>
      <c r="B4849">
        <v>1000</v>
      </c>
      <c r="C4849" t="s">
        <v>81</v>
      </c>
      <c r="D4849">
        <v>5.0027800000000001E-3</v>
      </c>
      <c r="E4849" t="s">
        <v>74</v>
      </c>
      <c r="F4849">
        <v>5.0027799999999996</v>
      </c>
      <c r="G4849" t="s">
        <v>75</v>
      </c>
      <c r="H4849">
        <v>5002.7849999999999</v>
      </c>
      <c r="I4849" t="s">
        <v>76</v>
      </c>
      <c r="J4849" t="s">
        <v>82</v>
      </c>
      <c r="K4849">
        <v>199.88867279999999</v>
      </c>
    </row>
    <row r="4850" spans="1:11" x14ac:dyDescent="0.3">
      <c r="A4850" t="s">
        <v>84</v>
      </c>
      <c r="B4850">
        <v>1</v>
      </c>
      <c r="C4850" t="s">
        <v>91</v>
      </c>
      <c r="D4850">
        <v>2.2236000000000001E-3</v>
      </c>
      <c r="E4850" t="s">
        <v>74</v>
      </c>
      <c r="F4850">
        <v>2.2235999999999998</v>
      </c>
      <c r="G4850" t="s">
        <v>75</v>
      </c>
      <c r="H4850">
        <v>2223.6</v>
      </c>
      <c r="I4850" t="s">
        <v>76</v>
      </c>
      <c r="J4850" t="s">
        <v>77</v>
      </c>
    </row>
    <row r="4851" spans="1:11" x14ac:dyDescent="0.3">
      <c r="A4851" t="s">
        <v>84</v>
      </c>
      <c r="B4851">
        <v>1</v>
      </c>
      <c r="C4851" t="s">
        <v>92</v>
      </c>
      <c r="D4851">
        <v>1.2434000000000001E-2</v>
      </c>
      <c r="E4851" t="s">
        <v>74</v>
      </c>
      <c r="F4851">
        <v>12.433999999999999</v>
      </c>
      <c r="G4851" t="s">
        <v>75</v>
      </c>
      <c r="H4851">
        <v>12434</v>
      </c>
      <c r="I4851" t="s">
        <v>76</v>
      </c>
      <c r="J4851" t="s">
        <v>77</v>
      </c>
    </row>
    <row r="4852" spans="1:11" x14ac:dyDescent="0.3">
      <c r="A4852" t="s">
        <v>84</v>
      </c>
      <c r="B4852">
        <v>1</v>
      </c>
      <c r="C4852" t="s">
        <v>93</v>
      </c>
      <c r="D4852">
        <v>1.6723E-3</v>
      </c>
      <c r="E4852" t="s">
        <v>74</v>
      </c>
      <c r="F4852">
        <v>1.6722999999999999</v>
      </c>
      <c r="G4852" t="s">
        <v>75</v>
      </c>
      <c r="H4852">
        <v>1672.3</v>
      </c>
      <c r="I4852" t="s">
        <v>76</v>
      </c>
      <c r="J4852" t="s">
        <v>77</v>
      </c>
    </row>
    <row r="4853" spans="1:11" x14ac:dyDescent="0.3">
      <c r="A4853" t="s">
        <v>84</v>
      </c>
      <c r="B4853">
        <v>1001</v>
      </c>
      <c r="C4853" t="s">
        <v>79</v>
      </c>
      <c r="D4853">
        <v>1.6529999999999999E-5</v>
      </c>
      <c r="E4853" t="s">
        <v>74</v>
      </c>
      <c r="F4853">
        <v>1.653E-2</v>
      </c>
      <c r="G4853" t="s">
        <v>75</v>
      </c>
      <c r="H4853">
        <v>16.526</v>
      </c>
      <c r="I4853" t="s">
        <v>76</v>
      </c>
      <c r="J4853" t="s">
        <v>77</v>
      </c>
    </row>
    <row r="4854" spans="1:11" x14ac:dyDescent="0.3">
      <c r="A4854" t="s">
        <v>84</v>
      </c>
      <c r="B4854">
        <v>1001</v>
      </c>
      <c r="C4854" t="s">
        <v>96</v>
      </c>
      <c r="D4854">
        <v>1.8800799999999999E-3</v>
      </c>
      <c r="E4854" t="s">
        <v>74</v>
      </c>
      <c r="F4854">
        <v>1.88008</v>
      </c>
      <c r="G4854" t="s">
        <v>75</v>
      </c>
      <c r="H4854">
        <v>1880.079</v>
      </c>
      <c r="I4854" t="s">
        <v>76</v>
      </c>
      <c r="J4854" t="s">
        <v>77</v>
      </c>
    </row>
    <row r="4855" spans="1:11" x14ac:dyDescent="0.3">
      <c r="A4855" t="s">
        <v>84</v>
      </c>
      <c r="B4855">
        <v>1001</v>
      </c>
      <c r="C4855" t="s">
        <v>94</v>
      </c>
      <c r="D4855">
        <v>3.0007699999999998E-3</v>
      </c>
      <c r="E4855" t="s">
        <v>74</v>
      </c>
      <c r="F4855">
        <v>3.0007700000000002</v>
      </c>
      <c r="G4855" t="s">
        <v>75</v>
      </c>
      <c r="H4855">
        <v>3000.7730000000001</v>
      </c>
      <c r="I4855" t="s">
        <v>76</v>
      </c>
      <c r="J4855" t="s">
        <v>77</v>
      </c>
    </row>
    <row r="4856" spans="1:11" x14ac:dyDescent="0.3">
      <c r="A4856" t="s">
        <v>84</v>
      </c>
      <c r="B4856">
        <v>1001</v>
      </c>
      <c r="C4856" t="s">
        <v>80</v>
      </c>
      <c r="D4856">
        <v>5.0018600000000003E-3</v>
      </c>
      <c r="E4856" t="s">
        <v>74</v>
      </c>
      <c r="F4856">
        <v>5.0018599999999998</v>
      </c>
      <c r="G4856" t="s">
        <v>75</v>
      </c>
      <c r="H4856">
        <v>5001.8630000000003</v>
      </c>
      <c r="I4856" t="s">
        <v>76</v>
      </c>
      <c r="J4856" t="s">
        <v>77</v>
      </c>
    </row>
    <row r="4857" spans="1:11" x14ac:dyDescent="0.3">
      <c r="A4857" t="s">
        <v>84</v>
      </c>
      <c r="B4857">
        <v>1001</v>
      </c>
      <c r="C4857" t="s">
        <v>81</v>
      </c>
      <c r="D4857">
        <v>5.0193700000000004E-3</v>
      </c>
      <c r="E4857" t="s">
        <v>74</v>
      </c>
      <c r="F4857">
        <v>5.0193700000000003</v>
      </c>
      <c r="G4857" t="s">
        <v>75</v>
      </c>
      <c r="H4857">
        <v>5019.3689999999997</v>
      </c>
      <c r="I4857" t="s">
        <v>76</v>
      </c>
      <c r="J4857" t="s">
        <v>82</v>
      </c>
      <c r="K4857">
        <v>199.22821300000001</v>
      </c>
    </row>
    <row r="4858" spans="1:11" x14ac:dyDescent="0.3">
      <c r="A4858" t="s">
        <v>85</v>
      </c>
      <c r="B4858">
        <v>1001</v>
      </c>
      <c r="C4858" t="s">
        <v>86</v>
      </c>
      <c r="D4858">
        <v>5.0195600000000002E-3</v>
      </c>
      <c r="E4858" t="s">
        <v>74</v>
      </c>
      <c r="F4858">
        <v>5.0195600000000002</v>
      </c>
      <c r="G4858" t="s">
        <v>75</v>
      </c>
      <c r="H4858">
        <v>5019.5559999999996</v>
      </c>
      <c r="I4858" t="s">
        <v>76</v>
      </c>
      <c r="J4858" t="s">
        <v>82</v>
      </c>
      <c r="K4858">
        <v>199.22080149999999</v>
      </c>
    </row>
    <row r="4859" spans="1:11" x14ac:dyDescent="0.3">
      <c r="A4859" t="s">
        <v>87</v>
      </c>
    </row>
    <row r="4860" spans="1:11" x14ac:dyDescent="0.3">
      <c r="A4860" t="s">
        <v>97</v>
      </c>
    </row>
    <row r="4861" spans="1:11" x14ac:dyDescent="0.3">
      <c r="A4861" t="s">
        <v>72</v>
      </c>
      <c r="B4861">
        <v>1</v>
      </c>
      <c r="C4861" t="s">
        <v>81</v>
      </c>
      <c r="D4861">
        <v>2.5362800000000001E-2</v>
      </c>
      <c r="E4861" t="s">
        <v>74</v>
      </c>
      <c r="F4861">
        <v>25.3628</v>
      </c>
      <c r="G4861" t="s">
        <v>75</v>
      </c>
      <c r="H4861">
        <v>25362.800999999999</v>
      </c>
      <c r="I4861" t="s">
        <v>76</v>
      </c>
      <c r="J4861" t="s">
        <v>82</v>
      </c>
      <c r="K4861">
        <v>39.427822200000001</v>
      </c>
    </row>
    <row r="4862" spans="1:11" x14ac:dyDescent="0.3">
      <c r="A4862" t="s">
        <v>83</v>
      </c>
      <c r="B4862">
        <v>1000</v>
      </c>
      <c r="C4862" t="s">
        <v>81</v>
      </c>
      <c r="D4862">
        <v>2.8238500000000001E-3</v>
      </c>
      <c r="E4862" t="s">
        <v>74</v>
      </c>
      <c r="F4862">
        <v>2.8238500000000002</v>
      </c>
      <c r="G4862" t="s">
        <v>75</v>
      </c>
      <c r="H4862">
        <v>2823.8530000000001</v>
      </c>
      <c r="I4862" t="s">
        <v>76</v>
      </c>
      <c r="J4862" t="s">
        <v>82</v>
      </c>
      <c r="K4862">
        <v>354.12608030000001</v>
      </c>
    </row>
    <row r="4863" spans="1:11" x14ac:dyDescent="0.3">
      <c r="A4863" t="s">
        <v>85</v>
      </c>
      <c r="B4863">
        <v>1001</v>
      </c>
      <c r="C4863" t="s">
        <v>86</v>
      </c>
      <c r="D4863">
        <v>2.8466099999999999E-3</v>
      </c>
      <c r="E4863" t="s">
        <v>74</v>
      </c>
      <c r="F4863">
        <v>2.8466100000000001</v>
      </c>
      <c r="G4863" t="s">
        <v>75</v>
      </c>
      <c r="H4863">
        <v>2846.614</v>
      </c>
      <c r="I4863" t="s">
        <v>76</v>
      </c>
      <c r="J4863" t="s">
        <v>82</v>
      </c>
      <c r="K4863">
        <v>351.29449829999999</v>
      </c>
    </row>
    <row r="4865" spans="1:11" x14ac:dyDescent="0.3">
      <c r="A4865" t="s">
        <v>98</v>
      </c>
    </row>
    <row r="4866" spans="1:11" x14ac:dyDescent="0.3">
      <c r="A4866" t="s">
        <v>72</v>
      </c>
      <c r="B4866">
        <v>1</v>
      </c>
      <c r="C4866" t="s">
        <v>81</v>
      </c>
      <c r="D4866">
        <v>2.1604000000000002E-2</v>
      </c>
      <c r="E4866" t="s">
        <v>74</v>
      </c>
      <c r="F4866">
        <v>21.603999999999999</v>
      </c>
      <c r="G4866" t="s">
        <v>75</v>
      </c>
      <c r="H4866">
        <v>21604</v>
      </c>
      <c r="I4866" t="s">
        <v>76</v>
      </c>
      <c r="J4866" t="s">
        <v>82</v>
      </c>
      <c r="K4866">
        <v>46.287725199999997</v>
      </c>
    </row>
    <row r="4867" spans="1:11" x14ac:dyDescent="0.3">
      <c r="A4867" t="s">
        <v>83</v>
      </c>
      <c r="B4867">
        <v>1000</v>
      </c>
      <c r="C4867" t="s">
        <v>81</v>
      </c>
      <c r="D4867">
        <v>5.0027800000000001E-3</v>
      </c>
      <c r="E4867" t="s">
        <v>74</v>
      </c>
      <c r="F4867">
        <v>5.0027799999999996</v>
      </c>
      <c r="G4867" t="s">
        <v>75</v>
      </c>
      <c r="H4867">
        <v>5002.7849999999999</v>
      </c>
      <c r="I4867" t="s">
        <v>76</v>
      </c>
      <c r="J4867" t="s">
        <v>82</v>
      </c>
      <c r="K4867">
        <v>199.88867279999999</v>
      </c>
    </row>
    <row r="4868" spans="1:11" x14ac:dyDescent="0.3">
      <c r="A4868" t="s">
        <v>85</v>
      </c>
      <c r="B4868">
        <v>1001</v>
      </c>
      <c r="C4868" t="s">
        <v>86</v>
      </c>
      <c r="D4868">
        <v>5.0195600000000002E-3</v>
      </c>
      <c r="E4868" t="s">
        <v>74</v>
      </c>
      <c r="F4868">
        <v>5.0195600000000002</v>
      </c>
      <c r="G4868" t="s">
        <v>75</v>
      </c>
      <c r="H4868">
        <v>5019.5559999999996</v>
      </c>
      <c r="I4868" t="s">
        <v>76</v>
      </c>
      <c r="J4868" t="s">
        <v>82</v>
      </c>
      <c r="K4868">
        <v>199.22080149999999</v>
      </c>
    </row>
    <row r="4870" spans="1:11" x14ac:dyDescent="0.3">
      <c r="A4870" t="s">
        <v>66</v>
      </c>
    </row>
    <row r="4872" spans="1:11" x14ac:dyDescent="0.3">
      <c r="A4872" t="s">
        <v>340</v>
      </c>
    </row>
    <row r="4873" spans="1:11" x14ac:dyDescent="0.3">
      <c r="A4873" t="s">
        <v>68</v>
      </c>
    </row>
    <row r="4874" spans="1:11" x14ac:dyDescent="0.3">
      <c r="A4874" t="s">
        <v>69</v>
      </c>
    </row>
    <row r="4875" spans="1:11" x14ac:dyDescent="0.3">
      <c r="A4875" t="s">
        <v>70</v>
      </c>
    </row>
    <row r="4876" spans="1:11" x14ac:dyDescent="0.3">
      <c r="A4876" t="s">
        <v>100</v>
      </c>
    </row>
    <row r="4877" spans="1:11" x14ac:dyDescent="0.3">
      <c r="A4877" t="s">
        <v>72</v>
      </c>
      <c r="B4877">
        <v>1</v>
      </c>
      <c r="C4877" t="s">
        <v>73</v>
      </c>
      <c r="D4877">
        <v>3.8E-6</v>
      </c>
      <c r="E4877" t="s">
        <v>74</v>
      </c>
      <c r="F4877">
        <v>3.8E-3</v>
      </c>
      <c r="G4877" t="s">
        <v>75</v>
      </c>
      <c r="H4877">
        <v>3.8</v>
      </c>
      <c r="I4877" t="s">
        <v>76</v>
      </c>
      <c r="J4877" t="s">
        <v>77</v>
      </c>
    </row>
    <row r="4878" spans="1:11" x14ac:dyDescent="0.3">
      <c r="A4878" t="s">
        <v>72</v>
      </c>
      <c r="B4878">
        <v>1</v>
      </c>
      <c r="C4878" t="s">
        <v>78</v>
      </c>
      <c r="D4878">
        <v>4.3900000000000003E-5</v>
      </c>
      <c r="E4878" t="s">
        <v>74</v>
      </c>
      <c r="F4878">
        <v>4.3900000000000002E-2</v>
      </c>
      <c r="G4878" t="s">
        <v>75</v>
      </c>
      <c r="H4878">
        <v>43.9</v>
      </c>
      <c r="I4878" t="s">
        <v>76</v>
      </c>
      <c r="J4878" t="s">
        <v>77</v>
      </c>
    </row>
    <row r="4879" spans="1:11" x14ac:dyDescent="0.3">
      <c r="A4879" t="s">
        <v>72</v>
      </c>
      <c r="B4879">
        <v>1</v>
      </c>
      <c r="C4879" t="s">
        <v>91</v>
      </c>
      <c r="D4879">
        <v>2.2523E-3</v>
      </c>
      <c r="E4879" t="s">
        <v>74</v>
      </c>
      <c r="F4879">
        <v>2.2523</v>
      </c>
      <c r="G4879" t="s">
        <v>75</v>
      </c>
      <c r="H4879">
        <v>2252.3000000000002</v>
      </c>
      <c r="I4879" t="s">
        <v>76</v>
      </c>
      <c r="J4879" t="s">
        <v>77</v>
      </c>
    </row>
    <row r="4880" spans="1:11" x14ac:dyDescent="0.3">
      <c r="A4880" t="s">
        <v>72</v>
      </c>
      <c r="B4880">
        <v>1</v>
      </c>
      <c r="C4880" t="s">
        <v>92</v>
      </c>
      <c r="D4880">
        <v>1.18312E-2</v>
      </c>
      <c r="E4880" t="s">
        <v>74</v>
      </c>
      <c r="F4880">
        <v>11.831200000000001</v>
      </c>
      <c r="G4880" t="s">
        <v>75</v>
      </c>
      <c r="H4880">
        <v>11831.2</v>
      </c>
      <c r="I4880" t="s">
        <v>76</v>
      </c>
      <c r="J4880" t="s">
        <v>77</v>
      </c>
    </row>
    <row r="4881" spans="1:11" x14ac:dyDescent="0.3">
      <c r="A4881" t="s">
        <v>72</v>
      </c>
      <c r="B4881">
        <v>1</v>
      </c>
      <c r="C4881" t="s">
        <v>93</v>
      </c>
      <c r="D4881">
        <v>1.72E-3</v>
      </c>
      <c r="E4881" t="s">
        <v>74</v>
      </c>
      <c r="F4881">
        <v>1.72</v>
      </c>
      <c r="G4881" t="s">
        <v>75</v>
      </c>
      <c r="H4881">
        <v>1720</v>
      </c>
      <c r="I4881" t="s">
        <v>76</v>
      </c>
      <c r="J4881" t="s">
        <v>77</v>
      </c>
    </row>
    <row r="4882" spans="1:11" x14ac:dyDescent="0.3">
      <c r="A4882" t="s">
        <v>72</v>
      </c>
      <c r="B4882">
        <v>1</v>
      </c>
      <c r="C4882" t="s">
        <v>79</v>
      </c>
      <c r="D4882">
        <v>1.5806799999999999E-2</v>
      </c>
      <c r="E4882" t="s">
        <v>74</v>
      </c>
      <c r="F4882">
        <v>15.806800000000001</v>
      </c>
      <c r="G4882" t="s">
        <v>75</v>
      </c>
      <c r="H4882">
        <v>15806.8</v>
      </c>
      <c r="I4882" t="s">
        <v>76</v>
      </c>
      <c r="J4882" t="s">
        <v>77</v>
      </c>
    </row>
    <row r="4883" spans="1:11" x14ac:dyDescent="0.3">
      <c r="A4883" t="s">
        <v>72</v>
      </c>
      <c r="B4883">
        <v>1</v>
      </c>
      <c r="C4883" t="s">
        <v>94</v>
      </c>
      <c r="D4883">
        <v>9.2809999999999993E-3</v>
      </c>
      <c r="E4883" t="s">
        <v>74</v>
      </c>
      <c r="F4883">
        <v>9.2810000000000006</v>
      </c>
      <c r="G4883" t="s">
        <v>75</v>
      </c>
      <c r="H4883">
        <v>9281</v>
      </c>
      <c r="I4883" t="s">
        <v>76</v>
      </c>
      <c r="J4883" t="s">
        <v>77</v>
      </c>
    </row>
    <row r="4884" spans="1:11" x14ac:dyDescent="0.3">
      <c r="A4884" t="s">
        <v>72</v>
      </c>
      <c r="B4884">
        <v>1</v>
      </c>
      <c r="C4884" t="s">
        <v>80</v>
      </c>
      <c r="D4884">
        <v>9.2814999999999998E-3</v>
      </c>
      <c r="E4884" t="s">
        <v>74</v>
      </c>
      <c r="F4884">
        <v>9.2814999999999994</v>
      </c>
      <c r="G4884" t="s">
        <v>75</v>
      </c>
      <c r="H4884">
        <v>9281.5</v>
      </c>
      <c r="I4884" t="s">
        <v>76</v>
      </c>
      <c r="J4884" t="s">
        <v>77</v>
      </c>
    </row>
    <row r="4885" spans="1:11" x14ac:dyDescent="0.3">
      <c r="A4885" t="s">
        <v>72</v>
      </c>
      <c r="B4885">
        <v>1</v>
      </c>
      <c r="C4885" t="s">
        <v>81</v>
      </c>
      <c r="D4885">
        <v>2.5090899999999999E-2</v>
      </c>
      <c r="E4885" t="s">
        <v>74</v>
      </c>
      <c r="F4885">
        <v>25.090900000000001</v>
      </c>
      <c r="G4885" t="s">
        <v>75</v>
      </c>
      <c r="H4885">
        <v>25090.899000000001</v>
      </c>
      <c r="I4885" t="s">
        <v>76</v>
      </c>
      <c r="J4885" t="s">
        <v>82</v>
      </c>
      <c r="K4885">
        <v>39.855088000000002</v>
      </c>
    </row>
    <row r="4886" spans="1:11" x14ac:dyDescent="0.3">
      <c r="A4886" t="s">
        <v>83</v>
      </c>
      <c r="B4886">
        <v>1000</v>
      </c>
      <c r="C4886" t="s">
        <v>79</v>
      </c>
      <c r="D4886">
        <v>2.1E-7</v>
      </c>
      <c r="E4886" t="s">
        <v>74</v>
      </c>
      <c r="F4886">
        <v>2.1000000000000001E-4</v>
      </c>
      <c r="G4886" t="s">
        <v>75</v>
      </c>
      <c r="H4886">
        <v>0.214</v>
      </c>
      <c r="I4886" t="s">
        <v>76</v>
      </c>
      <c r="J4886" t="s">
        <v>77</v>
      </c>
    </row>
    <row r="4887" spans="1:11" x14ac:dyDescent="0.3">
      <c r="A4887" t="s">
        <v>83</v>
      </c>
      <c r="B4887">
        <v>1000</v>
      </c>
      <c r="C4887" t="s">
        <v>94</v>
      </c>
      <c r="D4887">
        <v>2.6575399999999999E-3</v>
      </c>
      <c r="E4887" t="s">
        <v>74</v>
      </c>
      <c r="F4887">
        <v>2.65754</v>
      </c>
      <c r="G4887" t="s">
        <v>75</v>
      </c>
      <c r="H4887">
        <v>2657.5430000000001</v>
      </c>
      <c r="I4887" t="s">
        <v>76</v>
      </c>
      <c r="J4887" t="s">
        <v>77</v>
      </c>
    </row>
    <row r="4888" spans="1:11" x14ac:dyDescent="0.3">
      <c r="A4888" t="s">
        <v>83</v>
      </c>
      <c r="B4888">
        <v>1000</v>
      </c>
      <c r="C4888" t="s">
        <v>80</v>
      </c>
      <c r="D4888">
        <v>2.8070899999999999E-3</v>
      </c>
      <c r="E4888" t="s">
        <v>74</v>
      </c>
      <c r="F4888">
        <v>2.8070900000000001</v>
      </c>
      <c r="G4888" t="s">
        <v>75</v>
      </c>
      <c r="H4888">
        <v>2807.0929999999998</v>
      </c>
      <c r="I4888" t="s">
        <v>76</v>
      </c>
      <c r="J4888" t="s">
        <v>77</v>
      </c>
    </row>
    <row r="4889" spans="1:11" x14ac:dyDescent="0.3">
      <c r="A4889" t="s">
        <v>83</v>
      </c>
      <c r="B4889">
        <v>1000</v>
      </c>
      <c r="C4889" t="s">
        <v>81</v>
      </c>
      <c r="D4889">
        <v>2.8084300000000002E-3</v>
      </c>
      <c r="E4889" t="s">
        <v>74</v>
      </c>
      <c r="F4889">
        <v>2.80843</v>
      </c>
      <c r="G4889" t="s">
        <v>75</v>
      </c>
      <c r="H4889">
        <v>2808.43</v>
      </c>
      <c r="I4889" t="s">
        <v>76</v>
      </c>
      <c r="J4889" t="s">
        <v>82</v>
      </c>
      <c r="K4889">
        <v>356.07083510000001</v>
      </c>
    </row>
    <row r="4890" spans="1:11" x14ac:dyDescent="0.3">
      <c r="A4890" t="s">
        <v>84</v>
      </c>
      <c r="B4890">
        <v>1</v>
      </c>
      <c r="C4890" t="s">
        <v>91</v>
      </c>
      <c r="D4890">
        <v>2.2523E-3</v>
      </c>
      <c r="E4890" t="s">
        <v>74</v>
      </c>
      <c r="F4890">
        <v>2.2523</v>
      </c>
      <c r="G4890" t="s">
        <v>75</v>
      </c>
      <c r="H4890">
        <v>2252.3000000000002</v>
      </c>
      <c r="I4890" t="s">
        <v>76</v>
      </c>
      <c r="J4890" t="s">
        <v>77</v>
      </c>
    </row>
    <row r="4891" spans="1:11" x14ac:dyDescent="0.3">
      <c r="A4891" t="s">
        <v>84</v>
      </c>
      <c r="B4891">
        <v>1</v>
      </c>
      <c r="C4891" t="s">
        <v>92</v>
      </c>
      <c r="D4891">
        <v>1.18312E-2</v>
      </c>
      <c r="E4891" t="s">
        <v>74</v>
      </c>
      <c r="F4891">
        <v>11.831200000000001</v>
      </c>
      <c r="G4891" t="s">
        <v>75</v>
      </c>
      <c r="H4891">
        <v>11831.2</v>
      </c>
      <c r="I4891" t="s">
        <v>76</v>
      </c>
      <c r="J4891" t="s">
        <v>77</v>
      </c>
    </row>
    <row r="4892" spans="1:11" x14ac:dyDescent="0.3">
      <c r="A4892" t="s">
        <v>84</v>
      </c>
      <c r="B4892">
        <v>1</v>
      </c>
      <c r="C4892" t="s">
        <v>93</v>
      </c>
      <c r="D4892">
        <v>1.72E-3</v>
      </c>
      <c r="E4892" t="s">
        <v>74</v>
      </c>
      <c r="F4892">
        <v>1.72</v>
      </c>
      <c r="G4892" t="s">
        <v>75</v>
      </c>
      <c r="H4892">
        <v>1720</v>
      </c>
      <c r="I4892" t="s">
        <v>76</v>
      </c>
      <c r="J4892" t="s">
        <v>77</v>
      </c>
    </row>
    <row r="4893" spans="1:11" x14ac:dyDescent="0.3">
      <c r="A4893" t="s">
        <v>84</v>
      </c>
      <c r="B4893">
        <v>1001</v>
      </c>
      <c r="C4893" t="s">
        <v>79</v>
      </c>
      <c r="D4893">
        <v>1.5999999999999999E-5</v>
      </c>
      <c r="E4893" t="s">
        <v>74</v>
      </c>
      <c r="F4893">
        <v>1.6E-2</v>
      </c>
      <c r="G4893" t="s">
        <v>75</v>
      </c>
      <c r="H4893">
        <v>16.004000000000001</v>
      </c>
      <c r="I4893" t="s">
        <v>76</v>
      </c>
      <c r="J4893" t="s">
        <v>77</v>
      </c>
    </row>
    <row r="4894" spans="1:11" x14ac:dyDescent="0.3">
      <c r="A4894" t="s">
        <v>84</v>
      </c>
      <c r="B4894">
        <v>1001</v>
      </c>
      <c r="C4894" t="s">
        <v>94</v>
      </c>
      <c r="D4894">
        <v>2.6641600000000001E-3</v>
      </c>
      <c r="E4894" t="s">
        <v>74</v>
      </c>
      <c r="F4894">
        <v>2.6641599999999999</v>
      </c>
      <c r="G4894" t="s">
        <v>75</v>
      </c>
      <c r="H4894">
        <v>2664.1590000000001</v>
      </c>
      <c r="I4894" t="s">
        <v>76</v>
      </c>
      <c r="J4894" t="s">
        <v>77</v>
      </c>
    </row>
    <row r="4895" spans="1:11" x14ac:dyDescent="0.3">
      <c r="A4895" t="s">
        <v>84</v>
      </c>
      <c r="B4895">
        <v>1001</v>
      </c>
      <c r="C4895" t="s">
        <v>80</v>
      </c>
      <c r="D4895">
        <v>2.8135600000000001E-3</v>
      </c>
      <c r="E4895" t="s">
        <v>74</v>
      </c>
      <c r="F4895">
        <v>2.8135599999999998</v>
      </c>
      <c r="G4895" t="s">
        <v>75</v>
      </c>
      <c r="H4895">
        <v>2813.5610000000001</v>
      </c>
      <c r="I4895" t="s">
        <v>76</v>
      </c>
      <c r="J4895" t="s">
        <v>77</v>
      </c>
    </row>
    <row r="4896" spans="1:11" x14ac:dyDescent="0.3">
      <c r="A4896" t="s">
        <v>84</v>
      </c>
      <c r="B4896">
        <v>1001</v>
      </c>
      <c r="C4896" t="s">
        <v>81</v>
      </c>
      <c r="D4896">
        <v>2.8306899999999999E-3</v>
      </c>
      <c r="E4896" t="s">
        <v>74</v>
      </c>
      <c r="F4896">
        <v>2.8306900000000002</v>
      </c>
      <c r="G4896" t="s">
        <v>75</v>
      </c>
      <c r="H4896">
        <v>2830.6909999999998</v>
      </c>
      <c r="I4896" t="s">
        <v>76</v>
      </c>
      <c r="J4896" t="s">
        <v>82</v>
      </c>
      <c r="K4896">
        <v>353.27064330000002</v>
      </c>
    </row>
    <row r="4897" spans="1:11" x14ac:dyDescent="0.3">
      <c r="A4897" t="s">
        <v>85</v>
      </c>
      <c r="B4897">
        <v>1001</v>
      </c>
      <c r="C4897" t="s">
        <v>86</v>
      </c>
      <c r="D4897">
        <v>2.8309199999999998E-3</v>
      </c>
      <c r="E4897" t="s">
        <v>74</v>
      </c>
      <c r="F4897">
        <v>2.8309199999999999</v>
      </c>
      <c r="G4897" t="s">
        <v>75</v>
      </c>
      <c r="H4897">
        <v>2830.9160000000002</v>
      </c>
      <c r="I4897" t="s">
        <v>76</v>
      </c>
      <c r="J4897" t="s">
        <v>82</v>
      </c>
      <c r="K4897">
        <v>353.24252569999999</v>
      </c>
    </row>
    <row r="4898" spans="1:11" x14ac:dyDescent="0.3">
      <c r="A4898" t="s">
        <v>101</v>
      </c>
    </row>
    <row r="4899" spans="1:11" x14ac:dyDescent="0.3">
      <c r="A4899" t="s">
        <v>72</v>
      </c>
      <c r="B4899">
        <v>1</v>
      </c>
      <c r="C4899" t="s">
        <v>73</v>
      </c>
      <c r="D4899">
        <v>3.8E-6</v>
      </c>
      <c r="E4899" t="s">
        <v>74</v>
      </c>
      <c r="F4899">
        <v>3.8E-3</v>
      </c>
      <c r="G4899" t="s">
        <v>75</v>
      </c>
      <c r="H4899">
        <v>3.8</v>
      </c>
      <c r="I4899" t="s">
        <v>76</v>
      </c>
      <c r="J4899" t="s">
        <v>77</v>
      </c>
    </row>
    <row r="4900" spans="1:11" x14ac:dyDescent="0.3">
      <c r="A4900" t="s">
        <v>72</v>
      </c>
      <c r="B4900">
        <v>1</v>
      </c>
      <c r="C4900" t="s">
        <v>78</v>
      </c>
      <c r="D4900">
        <v>4.2299999999999998E-5</v>
      </c>
      <c r="E4900" t="s">
        <v>74</v>
      </c>
      <c r="F4900">
        <v>4.2299999999999997E-2</v>
      </c>
      <c r="G4900" t="s">
        <v>75</v>
      </c>
      <c r="H4900">
        <v>42.3</v>
      </c>
      <c r="I4900" t="s">
        <v>76</v>
      </c>
      <c r="J4900" t="s">
        <v>77</v>
      </c>
    </row>
    <row r="4901" spans="1:11" x14ac:dyDescent="0.3">
      <c r="A4901" t="s">
        <v>72</v>
      </c>
      <c r="B4901">
        <v>1</v>
      </c>
      <c r="C4901" t="s">
        <v>91</v>
      </c>
      <c r="D4901">
        <v>2.2331999999999999E-3</v>
      </c>
      <c r="E4901" t="s">
        <v>74</v>
      </c>
      <c r="F4901">
        <v>2.2332000000000001</v>
      </c>
      <c r="G4901" t="s">
        <v>75</v>
      </c>
      <c r="H4901">
        <v>2233.1999999999998</v>
      </c>
      <c r="I4901" t="s">
        <v>76</v>
      </c>
      <c r="J4901" t="s">
        <v>77</v>
      </c>
    </row>
    <row r="4902" spans="1:11" x14ac:dyDescent="0.3">
      <c r="A4902" t="s">
        <v>72</v>
      </c>
      <c r="B4902">
        <v>1</v>
      </c>
      <c r="C4902" t="s">
        <v>92</v>
      </c>
      <c r="D4902">
        <v>1.2433700000000001E-2</v>
      </c>
      <c r="E4902" t="s">
        <v>74</v>
      </c>
      <c r="F4902">
        <v>12.4337</v>
      </c>
      <c r="G4902" t="s">
        <v>75</v>
      </c>
      <c r="H4902">
        <v>12433.7</v>
      </c>
      <c r="I4902" t="s">
        <v>76</v>
      </c>
      <c r="J4902" t="s">
        <v>77</v>
      </c>
    </row>
    <row r="4903" spans="1:11" x14ac:dyDescent="0.3">
      <c r="A4903" t="s">
        <v>72</v>
      </c>
      <c r="B4903">
        <v>1</v>
      </c>
      <c r="C4903" t="s">
        <v>93</v>
      </c>
      <c r="D4903">
        <v>1.6739999999999999E-3</v>
      </c>
      <c r="E4903" t="s">
        <v>74</v>
      </c>
      <c r="F4903">
        <v>1.6739999999999999</v>
      </c>
      <c r="G4903" t="s">
        <v>75</v>
      </c>
      <c r="H4903">
        <v>1674</v>
      </c>
      <c r="I4903" t="s">
        <v>76</v>
      </c>
      <c r="J4903" t="s">
        <v>77</v>
      </c>
    </row>
    <row r="4904" spans="1:11" x14ac:dyDescent="0.3">
      <c r="A4904" t="s">
        <v>72</v>
      </c>
      <c r="B4904">
        <v>1</v>
      </c>
      <c r="C4904" t="s">
        <v>79</v>
      </c>
      <c r="D4904">
        <v>1.63413E-2</v>
      </c>
      <c r="E4904" t="s">
        <v>74</v>
      </c>
      <c r="F4904">
        <v>16.3413</v>
      </c>
      <c r="G4904" t="s">
        <v>75</v>
      </c>
      <c r="H4904">
        <v>16341.300999999999</v>
      </c>
      <c r="I4904" t="s">
        <v>76</v>
      </c>
      <c r="J4904" t="s">
        <v>77</v>
      </c>
    </row>
    <row r="4905" spans="1:11" x14ac:dyDescent="0.3">
      <c r="A4905" t="s">
        <v>72</v>
      </c>
      <c r="B4905">
        <v>1</v>
      </c>
      <c r="C4905" t="s">
        <v>96</v>
      </c>
      <c r="D4905">
        <v>2.1216E-3</v>
      </c>
      <c r="E4905" t="s">
        <v>74</v>
      </c>
      <c r="F4905">
        <v>2.1215999999999999</v>
      </c>
      <c r="G4905" t="s">
        <v>75</v>
      </c>
      <c r="H4905">
        <v>2121.6</v>
      </c>
      <c r="I4905" t="s">
        <v>76</v>
      </c>
      <c r="J4905" t="s">
        <v>77</v>
      </c>
    </row>
    <row r="4906" spans="1:11" x14ac:dyDescent="0.3">
      <c r="A4906" t="s">
        <v>72</v>
      </c>
      <c r="B4906">
        <v>1</v>
      </c>
      <c r="C4906" t="s">
        <v>94</v>
      </c>
      <c r="D4906">
        <v>3.0704999999999999E-3</v>
      </c>
      <c r="E4906" t="s">
        <v>74</v>
      </c>
      <c r="F4906">
        <v>3.0705</v>
      </c>
      <c r="G4906" t="s">
        <v>75</v>
      </c>
      <c r="H4906">
        <v>3070.5</v>
      </c>
      <c r="I4906" t="s">
        <v>76</v>
      </c>
      <c r="J4906" t="s">
        <v>77</v>
      </c>
    </row>
    <row r="4907" spans="1:11" x14ac:dyDescent="0.3">
      <c r="A4907" t="s">
        <v>72</v>
      </c>
      <c r="B4907">
        <v>1</v>
      </c>
      <c r="C4907" t="s">
        <v>80</v>
      </c>
      <c r="D4907">
        <v>5.3242999999999997E-3</v>
      </c>
      <c r="E4907" t="s">
        <v>74</v>
      </c>
      <c r="F4907">
        <v>5.3243</v>
      </c>
      <c r="G4907" t="s">
        <v>75</v>
      </c>
      <c r="H4907">
        <v>5324.3</v>
      </c>
      <c r="I4907" t="s">
        <v>76</v>
      </c>
      <c r="J4907" t="s">
        <v>77</v>
      </c>
    </row>
    <row r="4908" spans="1:11" x14ac:dyDescent="0.3">
      <c r="A4908" t="s">
        <v>72</v>
      </c>
      <c r="B4908">
        <v>1</v>
      </c>
      <c r="C4908" t="s">
        <v>81</v>
      </c>
      <c r="D4908">
        <v>2.1666600000000001E-2</v>
      </c>
      <c r="E4908" t="s">
        <v>74</v>
      </c>
      <c r="F4908">
        <v>21.666599999999999</v>
      </c>
      <c r="G4908" t="s">
        <v>75</v>
      </c>
      <c r="H4908">
        <v>21666.598999999998</v>
      </c>
      <c r="I4908" t="s">
        <v>76</v>
      </c>
      <c r="J4908" t="s">
        <v>82</v>
      </c>
      <c r="K4908">
        <v>46.1539894</v>
      </c>
    </row>
    <row r="4909" spans="1:11" x14ac:dyDescent="0.3">
      <c r="A4909" t="s">
        <v>83</v>
      </c>
      <c r="B4909">
        <v>1000</v>
      </c>
      <c r="C4909" t="s">
        <v>79</v>
      </c>
      <c r="D4909">
        <v>1.6999999999999999E-7</v>
      </c>
      <c r="E4909" t="s">
        <v>74</v>
      </c>
      <c r="F4909">
        <v>1.7000000000000001E-4</v>
      </c>
      <c r="G4909" t="s">
        <v>75</v>
      </c>
      <c r="H4909">
        <v>0.17199999999999999</v>
      </c>
      <c r="I4909" t="s">
        <v>76</v>
      </c>
      <c r="J4909" t="s">
        <v>77</v>
      </c>
    </row>
    <row r="4910" spans="1:11" x14ac:dyDescent="0.3">
      <c r="A4910" t="s">
        <v>83</v>
      </c>
      <c r="B4910">
        <v>1000</v>
      </c>
      <c r="C4910" t="s">
        <v>96</v>
      </c>
      <c r="D4910">
        <v>1.86589E-3</v>
      </c>
      <c r="E4910" t="s">
        <v>74</v>
      </c>
      <c r="F4910">
        <v>1.86589</v>
      </c>
      <c r="G4910" t="s">
        <v>75</v>
      </c>
      <c r="H4910">
        <v>1865.886</v>
      </c>
      <c r="I4910" t="s">
        <v>76</v>
      </c>
      <c r="J4910" t="s">
        <v>77</v>
      </c>
    </row>
    <row r="4911" spans="1:11" x14ac:dyDescent="0.3">
      <c r="A4911" t="s">
        <v>83</v>
      </c>
      <c r="B4911">
        <v>1000</v>
      </c>
      <c r="C4911" t="s">
        <v>94</v>
      </c>
      <c r="D4911">
        <v>3.0010900000000001E-3</v>
      </c>
      <c r="E4911" t="s">
        <v>74</v>
      </c>
      <c r="F4911">
        <v>3.00109</v>
      </c>
      <c r="G4911" t="s">
        <v>75</v>
      </c>
      <c r="H4911">
        <v>3001.0880000000002</v>
      </c>
      <c r="I4911" t="s">
        <v>76</v>
      </c>
      <c r="J4911" t="s">
        <v>77</v>
      </c>
    </row>
    <row r="4912" spans="1:11" x14ac:dyDescent="0.3">
      <c r="A4912" t="s">
        <v>83</v>
      </c>
      <c r="B4912">
        <v>1000</v>
      </c>
      <c r="C4912" t="s">
        <v>80</v>
      </c>
      <c r="D4912">
        <v>4.9886000000000002E-3</v>
      </c>
      <c r="E4912" t="s">
        <v>74</v>
      </c>
      <c r="F4912">
        <v>4.9885999999999999</v>
      </c>
      <c r="G4912" t="s">
        <v>75</v>
      </c>
      <c r="H4912">
        <v>4988.5990000000002</v>
      </c>
      <c r="I4912" t="s">
        <v>76</v>
      </c>
      <c r="J4912" t="s">
        <v>77</v>
      </c>
    </row>
    <row r="4913" spans="1:11" x14ac:dyDescent="0.3">
      <c r="A4913" t="s">
        <v>83</v>
      </c>
      <c r="B4913">
        <v>1000</v>
      </c>
      <c r="C4913" t="s">
        <v>81</v>
      </c>
      <c r="D4913">
        <v>4.9899899999999997E-3</v>
      </c>
      <c r="E4913" t="s">
        <v>74</v>
      </c>
      <c r="F4913">
        <v>4.9899899999999997</v>
      </c>
      <c r="G4913" t="s">
        <v>75</v>
      </c>
      <c r="H4913">
        <v>4989.9859999999999</v>
      </c>
      <c r="I4913" t="s">
        <v>76</v>
      </c>
      <c r="J4913" t="s">
        <v>82</v>
      </c>
      <c r="K4913">
        <v>200.40136609999999</v>
      </c>
    </row>
    <row r="4914" spans="1:11" x14ac:dyDescent="0.3">
      <c r="A4914" t="s">
        <v>84</v>
      </c>
      <c r="B4914">
        <v>1</v>
      </c>
      <c r="C4914" t="s">
        <v>91</v>
      </c>
      <c r="D4914">
        <v>2.2331999999999999E-3</v>
      </c>
      <c r="E4914" t="s">
        <v>74</v>
      </c>
      <c r="F4914">
        <v>2.2332000000000001</v>
      </c>
      <c r="G4914" t="s">
        <v>75</v>
      </c>
      <c r="H4914">
        <v>2233.1999999999998</v>
      </c>
      <c r="I4914" t="s">
        <v>76</v>
      </c>
      <c r="J4914" t="s">
        <v>77</v>
      </c>
    </row>
    <row r="4915" spans="1:11" x14ac:dyDescent="0.3">
      <c r="A4915" t="s">
        <v>84</v>
      </c>
      <c r="B4915">
        <v>1</v>
      </c>
      <c r="C4915" t="s">
        <v>92</v>
      </c>
      <c r="D4915">
        <v>1.2433700000000001E-2</v>
      </c>
      <c r="E4915" t="s">
        <v>74</v>
      </c>
      <c r="F4915">
        <v>12.4337</v>
      </c>
      <c r="G4915" t="s">
        <v>75</v>
      </c>
      <c r="H4915">
        <v>12433.7</v>
      </c>
      <c r="I4915" t="s">
        <v>76</v>
      </c>
      <c r="J4915" t="s">
        <v>77</v>
      </c>
    </row>
    <row r="4916" spans="1:11" x14ac:dyDescent="0.3">
      <c r="A4916" t="s">
        <v>84</v>
      </c>
      <c r="B4916">
        <v>1</v>
      </c>
      <c r="C4916" t="s">
        <v>93</v>
      </c>
      <c r="D4916">
        <v>1.6739999999999999E-3</v>
      </c>
      <c r="E4916" t="s">
        <v>74</v>
      </c>
      <c r="F4916">
        <v>1.6739999999999999</v>
      </c>
      <c r="G4916" t="s">
        <v>75</v>
      </c>
      <c r="H4916">
        <v>1674</v>
      </c>
      <c r="I4916" t="s">
        <v>76</v>
      </c>
      <c r="J4916" t="s">
        <v>77</v>
      </c>
    </row>
    <row r="4917" spans="1:11" x14ac:dyDescent="0.3">
      <c r="A4917" t="s">
        <v>84</v>
      </c>
      <c r="B4917">
        <v>1001</v>
      </c>
      <c r="C4917" t="s">
        <v>79</v>
      </c>
      <c r="D4917">
        <v>1.6500000000000001E-5</v>
      </c>
      <c r="E4917" t="s">
        <v>74</v>
      </c>
      <c r="F4917">
        <v>1.6500000000000001E-2</v>
      </c>
      <c r="G4917" t="s">
        <v>75</v>
      </c>
      <c r="H4917">
        <v>16.495999999999999</v>
      </c>
      <c r="I4917" t="s">
        <v>76</v>
      </c>
      <c r="J4917" t="s">
        <v>77</v>
      </c>
    </row>
    <row r="4918" spans="1:11" x14ac:dyDescent="0.3">
      <c r="A4918" t="s">
        <v>84</v>
      </c>
      <c r="B4918">
        <v>1001</v>
      </c>
      <c r="C4918" t="s">
        <v>96</v>
      </c>
      <c r="D4918">
        <v>1.8661400000000001E-3</v>
      </c>
      <c r="E4918" t="s">
        <v>74</v>
      </c>
      <c r="F4918">
        <v>1.8661399999999999</v>
      </c>
      <c r="G4918" t="s">
        <v>75</v>
      </c>
      <c r="H4918">
        <v>1866.1420000000001</v>
      </c>
      <c r="I4918" t="s">
        <v>76</v>
      </c>
      <c r="J4918" t="s">
        <v>77</v>
      </c>
    </row>
    <row r="4919" spans="1:11" x14ac:dyDescent="0.3">
      <c r="A4919" t="s">
        <v>84</v>
      </c>
      <c r="B4919">
        <v>1001</v>
      </c>
      <c r="C4919" t="s">
        <v>94</v>
      </c>
      <c r="D4919">
        <v>3.0011600000000001E-3</v>
      </c>
      <c r="E4919" t="s">
        <v>74</v>
      </c>
      <c r="F4919">
        <v>3.00116</v>
      </c>
      <c r="G4919" t="s">
        <v>75</v>
      </c>
      <c r="H4919">
        <v>3001.1570000000002</v>
      </c>
      <c r="I4919" t="s">
        <v>76</v>
      </c>
      <c r="J4919" t="s">
        <v>77</v>
      </c>
    </row>
    <row r="4920" spans="1:11" x14ac:dyDescent="0.3">
      <c r="A4920" t="s">
        <v>84</v>
      </c>
      <c r="B4920">
        <v>1001</v>
      </c>
      <c r="C4920" t="s">
        <v>80</v>
      </c>
      <c r="D4920">
        <v>4.9889299999999999E-3</v>
      </c>
      <c r="E4920" t="s">
        <v>74</v>
      </c>
      <c r="F4920">
        <v>4.9889299999999999</v>
      </c>
      <c r="G4920" t="s">
        <v>75</v>
      </c>
      <c r="H4920">
        <v>4988.9340000000002</v>
      </c>
      <c r="I4920" t="s">
        <v>76</v>
      </c>
      <c r="J4920" t="s">
        <v>77</v>
      </c>
    </row>
    <row r="4921" spans="1:11" x14ac:dyDescent="0.3">
      <c r="A4921" t="s">
        <v>84</v>
      </c>
      <c r="B4921">
        <v>1001</v>
      </c>
      <c r="C4921" t="s">
        <v>81</v>
      </c>
      <c r="D4921">
        <v>5.0066499999999996E-3</v>
      </c>
      <c r="E4921" t="s">
        <v>74</v>
      </c>
      <c r="F4921">
        <v>5.0066499999999996</v>
      </c>
      <c r="G4921" t="s">
        <v>75</v>
      </c>
      <c r="H4921">
        <v>5006.6459999999997</v>
      </c>
      <c r="I4921" t="s">
        <v>76</v>
      </c>
      <c r="J4921" t="s">
        <v>82</v>
      </c>
      <c r="K4921">
        <v>199.73451990000001</v>
      </c>
    </row>
    <row r="4922" spans="1:11" x14ac:dyDescent="0.3">
      <c r="A4922" t="s">
        <v>85</v>
      </c>
      <c r="B4922">
        <v>1001</v>
      </c>
      <c r="C4922" t="s">
        <v>86</v>
      </c>
      <c r="D4922">
        <v>5.0068300000000003E-3</v>
      </c>
      <c r="E4922" t="s">
        <v>74</v>
      </c>
      <c r="F4922">
        <v>5.0068299999999999</v>
      </c>
      <c r="G4922" t="s">
        <v>75</v>
      </c>
      <c r="H4922">
        <v>5006.8329999999996</v>
      </c>
      <c r="I4922" t="s">
        <v>76</v>
      </c>
      <c r="J4922" t="s">
        <v>82</v>
      </c>
      <c r="K4922">
        <v>199.72707070000001</v>
      </c>
    </row>
    <row r="4923" spans="1:11" x14ac:dyDescent="0.3">
      <c r="A4923" t="s">
        <v>87</v>
      </c>
    </row>
    <row r="4924" spans="1:11" x14ac:dyDescent="0.3">
      <c r="A4924" t="s">
        <v>102</v>
      </c>
    </row>
    <row r="4925" spans="1:11" x14ac:dyDescent="0.3">
      <c r="A4925" t="s">
        <v>72</v>
      </c>
      <c r="B4925">
        <v>1</v>
      </c>
      <c r="C4925" t="s">
        <v>81</v>
      </c>
      <c r="D4925">
        <v>2.5090899999999999E-2</v>
      </c>
      <c r="E4925" t="s">
        <v>74</v>
      </c>
      <c r="F4925">
        <v>25.090900000000001</v>
      </c>
      <c r="G4925" t="s">
        <v>75</v>
      </c>
      <c r="H4925">
        <v>25090.899000000001</v>
      </c>
      <c r="I4925" t="s">
        <v>76</v>
      </c>
      <c r="J4925" t="s">
        <v>82</v>
      </c>
      <c r="K4925">
        <v>39.855088000000002</v>
      </c>
    </row>
    <row r="4926" spans="1:11" x14ac:dyDescent="0.3">
      <c r="A4926" t="s">
        <v>83</v>
      </c>
      <c r="B4926">
        <v>1000</v>
      </c>
      <c r="C4926" t="s">
        <v>81</v>
      </c>
      <c r="D4926">
        <v>2.8084300000000002E-3</v>
      </c>
      <c r="E4926" t="s">
        <v>74</v>
      </c>
      <c r="F4926">
        <v>2.80843</v>
      </c>
      <c r="G4926" t="s">
        <v>75</v>
      </c>
      <c r="H4926">
        <v>2808.43</v>
      </c>
      <c r="I4926" t="s">
        <v>76</v>
      </c>
      <c r="J4926" t="s">
        <v>82</v>
      </c>
      <c r="K4926">
        <v>356.07083510000001</v>
      </c>
    </row>
    <row r="4927" spans="1:11" x14ac:dyDescent="0.3">
      <c r="A4927" t="s">
        <v>85</v>
      </c>
      <c r="B4927">
        <v>1001</v>
      </c>
      <c r="C4927" t="s">
        <v>86</v>
      </c>
      <c r="D4927">
        <v>2.8309199999999998E-3</v>
      </c>
      <c r="E4927" t="s">
        <v>74</v>
      </c>
      <c r="F4927">
        <v>2.8309199999999999</v>
      </c>
      <c r="G4927" t="s">
        <v>75</v>
      </c>
      <c r="H4927">
        <v>2830.9160000000002</v>
      </c>
      <c r="I4927" t="s">
        <v>76</v>
      </c>
      <c r="J4927" t="s">
        <v>82</v>
      </c>
      <c r="K4927">
        <v>353.24252569999999</v>
      </c>
    </row>
    <row r="4929" spans="1:11" x14ac:dyDescent="0.3">
      <c r="A4929" t="s">
        <v>103</v>
      </c>
    </row>
    <row r="4930" spans="1:11" x14ac:dyDescent="0.3">
      <c r="A4930" t="s">
        <v>72</v>
      </c>
      <c r="B4930">
        <v>1</v>
      </c>
      <c r="C4930" t="s">
        <v>81</v>
      </c>
      <c r="D4930">
        <v>2.1666600000000001E-2</v>
      </c>
      <c r="E4930" t="s">
        <v>74</v>
      </c>
      <c r="F4930">
        <v>21.666599999999999</v>
      </c>
      <c r="G4930" t="s">
        <v>75</v>
      </c>
      <c r="H4930">
        <v>21666.598999999998</v>
      </c>
      <c r="I4930" t="s">
        <v>76</v>
      </c>
      <c r="J4930" t="s">
        <v>82</v>
      </c>
      <c r="K4930">
        <v>46.1539894</v>
      </c>
    </row>
    <row r="4931" spans="1:11" x14ac:dyDescent="0.3">
      <c r="A4931" t="s">
        <v>83</v>
      </c>
      <c r="B4931">
        <v>1000</v>
      </c>
      <c r="C4931" t="s">
        <v>81</v>
      </c>
      <c r="D4931">
        <v>4.9899899999999997E-3</v>
      </c>
      <c r="E4931" t="s">
        <v>74</v>
      </c>
      <c r="F4931">
        <v>4.9899899999999997</v>
      </c>
      <c r="G4931" t="s">
        <v>75</v>
      </c>
      <c r="H4931">
        <v>4989.9859999999999</v>
      </c>
      <c r="I4931" t="s">
        <v>76</v>
      </c>
      <c r="J4931" t="s">
        <v>82</v>
      </c>
      <c r="K4931">
        <v>200.40136609999999</v>
      </c>
    </row>
    <row r="4932" spans="1:11" x14ac:dyDescent="0.3">
      <c r="A4932" t="s">
        <v>85</v>
      </c>
      <c r="B4932">
        <v>1001</v>
      </c>
      <c r="C4932" t="s">
        <v>86</v>
      </c>
      <c r="D4932">
        <v>5.0068300000000003E-3</v>
      </c>
      <c r="E4932" t="s">
        <v>74</v>
      </c>
      <c r="F4932">
        <v>5.0068299999999999</v>
      </c>
      <c r="G4932" t="s">
        <v>75</v>
      </c>
      <c r="H4932">
        <v>5006.8329999999996</v>
      </c>
      <c r="I4932" t="s">
        <v>76</v>
      </c>
      <c r="J4932" t="s">
        <v>82</v>
      </c>
      <c r="K4932">
        <v>199.72707070000001</v>
      </c>
    </row>
    <row r="4934" spans="1:11" x14ac:dyDescent="0.3">
      <c r="A4934" t="s">
        <v>66</v>
      </c>
    </row>
    <row r="4936" spans="1:11" x14ac:dyDescent="0.3">
      <c r="A4936" t="s">
        <v>341</v>
      </c>
    </row>
    <row r="4937" spans="1:11" x14ac:dyDescent="0.3">
      <c r="A4937" t="s">
        <v>68</v>
      </c>
    </row>
    <row r="4938" spans="1:11" x14ac:dyDescent="0.3">
      <c r="A4938" t="s">
        <v>69</v>
      </c>
    </row>
    <row r="4939" spans="1:11" x14ac:dyDescent="0.3">
      <c r="A4939" t="s">
        <v>70</v>
      </c>
    </row>
    <row r="4940" spans="1:11" x14ac:dyDescent="0.3">
      <c r="A4940" t="s">
        <v>105</v>
      </c>
    </row>
    <row r="4941" spans="1:11" x14ac:dyDescent="0.3">
      <c r="A4941" t="s">
        <v>72</v>
      </c>
      <c r="B4941">
        <v>1</v>
      </c>
      <c r="C4941" t="s">
        <v>73</v>
      </c>
      <c r="D4941">
        <v>6.9999999999999997E-7</v>
      </c>
      <c r="E4941" t="s">
        <v>74</v>
      </c>
      <c r="F4941">
        <v>6.9999999999999999E-4</v>
      </c>
      <c r="G4941" t="s">
        <v>75</v>
      </c>
      <c r="H4941">
        <v>0.7</v>
      </c>
      <c r="I4941" t="s">
        <v>76</v>
      </c>
      <c r="J4941" t="s">
        <v>77</v>
      </c>
    </row>
    <row r="4942" spans="1:11" x14ac:dyDescent="0.3">
      <c r="A4942" t="s">
        <v>72</v>
      </c>
      <c r="B4942">
        <v>1</v>
      </c>
      <c r="C4942" t="s">
        <v>78</v>
      </c>
      <c r="D4942">
        <v>4.49E-5</v>
      </c>
      <c r="E4942" t="s">
        <v>74</v>
      </c>
      <c r="F4942">
        <v>4.4900000000000002E-2</v>
      </c>
      <c r="G4942" t="s">
        <v>75</v>
      </c>
      <c r="H4942">
        <v>44.9</v>
      </c>
      <c r="I4942" t="s">
        <v>76</v>
      </c>
      <c r="J4942" t="s">
        <v>77</v>
      </c>
    </row>
    <row r="4943" spans="1:11" x14ac:dyDescent="0.3">
      <c r="A4943" t="s">
        <v>72</v>
      </c>
      <c r="B4943">
        <v>1</v>
      </c>
      <c r="C4943" t="s">
        <v>91</v>
      </c>
      <c r="D4943">
        <v>2.2504000000000001E-3</v>
      </c>
      <c r="E4943" t="s">
        <v>74</v>
      </c>
      <c r="F4943">
        <v>2.2504</v>
      </c>
      <c r="G4943" t="s">
        <v>75</v>
      </c>
      <c r="H4943">
        <v>2250.4</v>
      </c>
      <c r="I4943" t="s">
        <v>76</v>
      </c>
      <c r="J4943" t="s">
        <v>77</v>
      </c>
    </row>
    <row r="4944" spans="1:11" x14ac:dyDescent="0.3">
      <c r="A4944" t="s">
        <v>72</v>
      </c>
      <c r="B4944">
        <v>1</v>
      </c>
      <c r="C4944" t="s">
        <v>92</v>
      </c>
      <c r="D4944">
        <v>4.1047999999999996E-3</v>
      </c>
      <c r="E4944" t="s">
        <v>74</v>
      </c>
      <c r="F4944">
        <v>4.1048</v>
      </c>
      <c r="G4944" t="s">
        <v>75</v>
      </c>
      <c r="H4944">
        <v>4104.8</v>
      </c>
      <c r="I4944" t="s">
        <v>76</v>
      </c>
      <c r="J4944" t="s">
        <v>77</v>
      </c>
    </row>
    <row r="4945" spans="1:11" x14ac:dyDescent="0.3">
      <c r="A4945" t="s">
        <v>72</v>
      </c>
      <c r="B4945">
        <v>1</v>
      </c>
      <c r="C4945" t="s">
        <v>93</v>
      </c>
      <c r="D4945">
        <v>1.6788E-3</v>
      </c>
      <c r="E4945" t="s">
        <v>74</v>
      </c>
      <c r="F4945">
        <v>1.6788000000000001</v>
      </c>
      <c r="G4945" t="s">
        <v>75</v>
      </c>
      <c r="H4945">
        <v>1678.8</v>
      </c>
      <c r="I4945" t="s">
        <v>76</v>
      </c>
      <c r="J4945" t="s">
        <v>77</v>
      </c>
    </row>
    <row r="4946" spans="1:11" x14ac:dyDescent="0.3">
      <c r="A4946" t="s">
        <v>72</v>
      </c>
      <c r="B4946">
        <v>1</v>
      </c>
      <c r="C4946" t="s">
        <v>79</v>
      </c>
      <c r="D4946">
        <v>8.0357999999999992E-3</v>
      </c>
      <c r="E4946" t="s">
        <v>74</v>
      </c>
      <c r="F4946">
        <v>8.0358000000000001</v>
      </c>
      <c r="G4946" t="s">
        <v>75</v>
      </c>
      <c r="H4946">
        <v>8035.8</v>
      </c>
      <c r="I4946" t="s">
        <v>76</v>
      </c>
      <c r="J4946" t="s">
        <v>77</v>
      </c>
    </row>
    <row r="4947" spans="1:11" x14ac:dyDescent="0.3">
      <c r="A4947" t="s">
        <v>72</v>
      </c>
      <c r="B4947">
        <v>1</v>
      </c>
      <c r="C4947" t="s">
        <v>94</v>
      </c>
      <c r="D4947">
        <v>9.2244000000000007E-3</v>
      </c>
      <c r="E4947" t="s">
        <v>74</v>
      </c>
      <c r="F4947">
        <v>9.2243999999999993</v>
      </c>
      <c r="G4947" t="s">
        <v>75</v>
      </c>
      <c r="H4947">
        <v>9224.4</v>
      </c>
      <c r="I4947" t="s">
        <v>76</v>
      </c>
      <c r="J4947" t="s">
        <v>77</v>
      </c>
    </row>
    <row r="4948" spans="1:11" x14ac:dyDescent="0.3">
      <c r="A4948" t="s">
        <v>72</v>
      </c>
      <c r="B4948">
        <v>1</v>
      </c>
      <c r="C4948" t="s">
        <v>80</v>
      </c>
      <c r="D4948">
        <v>9.2260999999999992E-3</v>
      </c>
      <c r="E4948" t="s">
        <v>74</v>
      </c>
      <c r="F4948">
        <v>9.2261000000000006</v>
      </c>
      <c r="G4948" t="s">
        <v>75</v>
      </c>
      <c r="H4948">
        <v>9226.1</v>
      </c>
      <c r="I4948" t="s">
        <v>76</v>
      </c>
      <c r="J4948" t="s">
        <v>77</v>
      </c>
    </row>
    <row r="4949" spans="1:11" x14ac:dyDescent="0.3">
      <c r="A4949" t="s">
        <v>72</v>
      </c>
      <c r="B4949">
        <v>1</v>
      </c>
      <c r="C4949" t="s">
        <v>81</v>
      </c>
      <c r="D4949">
        <v>1.7264999999999999E-2</v>
      </c>
      <c r="E4949" t="s">
        <v>74</v>
      </c>
      <c r="F4949">
        <v>17.265000000000001</v>
      </c>
      <c r="G4949" t="s">
        <v>75</v>
      </c>
      <c r="H4949">
        <v>17264.999</v>
      </c>
      <c r="I4949" t="s">
        <v>76</v>
      </c>
      <c r="J4949" t="s">
        <v>82</v>
      </c>
      <c r="K4949">
        <v>57.920650600000002</v>
      </c>
    </row>
    <row r="4950" spans="1:11" x14ac:dyDescent="0.3">
      <c r="A4950" t="s">
        <v>83</v>
      </c>
      <c r="B4950">
        <v>1000</v>
      </c>
      <c r="C4950" t="s">
        <v>79</v>
      </c>
      <c r="D4950">
        <v>2.2999999999999999E-7</v>
      </c>
      <c r="E4950" t="s">
        <v>74</v>
      </c>
      <c r="F4950">
        <v>2.3000000000000001E-4</v>
      </c>
      <c r="G4950" t="s">
        <v>75</v>
      </c>
      <c r="H4950">
        <v>0.23300000000000001</v>
      </c>
      <c r="I4950" t="s">
        <v>76</v>
      </c>
      <c r="J4950" t="s">
        <v>77</v>
      </c>
    </row>
    <row r="4951" spans="1:11" x14ac:dyDescent="0.3">
      <c r="A4951" t="s">
        <v>83</v>
      </c>
      <c r="B4951">
        <v>1000</v>
      </c>
      <c r="C4951" t="s">
        <v>94</v>
      </c>
      <c r="D4951">
        <v>2.6667499999999998E-3</v>
      </c>
      <c r="E4951" t="s">
        <v>74</v>
      </c>
      <c r="F4951">
        <v>2.66675</v>
      </c>
      <c r="G4951" t="s">
        <v>75</v>
      </c>
      <c r="H4951">
        <v>2666.752</v>
      </c>
      <c r="I4951" t="s">
        <v>76</v>
      </c>
      <c r="J4951" t="s">
        <v>77</v>
      </c>
    </row>
    <row r="4952" spans="1:11" x14ac:dyDescent="0.3">
      <c r="A4952" t="s">
        <v>83</v>
      </c>
      <c r="B4952">
        <v>1000</v>
      </c>
      <c r="C4952" t="s">
        <v>80</v>
      </c>
      <c r="D4952">
        <v>2.82146E-3</v>
      </c>
      <c r="E4952" t="s">
        <v>74</v>
      </c>
      <c r="F4952">
        <v>2.8214600000000001</v>
      </c>
      <c r="G4952" t="s">
        <v>75</v>
      </c>
      <c r="H4952">
        <v>2821.4639999999999</v>
      </c>
      <c r="I4952" t="s">
        <v>76</v>
      </c>
      <c r="J4952" t="s">
        <v>77</v>
      </c>
    </row>
    <row r="4953" spans="1:11" x14ac:dyDescent="0.3">
      <c r="A4953" t="s">
        <v>83</v>
      </c>
      <c r="B4953">
        <v>1000</v>
      </c>
      <c r="C4953" t="s">
        <v>81</v>
      </c>
      <c r="D4953">
        <v>2.8226900000000001E-3</v>
      </c>
      <c r="E4953" t="s">
        <v>74</v>
      </c>
      <c r="F4953">
        <v>2.8226900000000001</v>
      </c>
      <c r="G4953" t="s">
        <v>75</v>
      </c>
      <c r="H4953">
        <v>2822.6880000000001</v>
      </c>
      <c r="I4953" t="s">
        <v>76</v>
      </c>
      <c r="J4953" t="s">
        <v>82</v>
      </c>
      <c r="K4953">
        <v>354.27222690000002</v>
      </c>
    </row>
    <row r="4954" spans="1:11" x14ac:dyDescent="0.3">
      <c r="A4954" t="s">
        <v>84</v>
      </c>
      <c r="B4954">
        <v>1</v>
      </c>
      <c r="C4954" t="s">
        <v>91</v>
      </c>
      <c r="D4954">
        <v>2.2504000000000001E-3</v>
      </c>
      <c r="E4954" t="s">
        <v>74</v>
      </c>
      <c r="F4954">
        <v>2.2504</v>
      </c>
      <c r="G4954" t="s">
        <v>75</v>
      </c>
      <c r="H4954">
        <v>2250.4</v>
      </c>
      <c r="I4954" t="s">
        <v>76</v>
      </c>
      <c r="J4954" t="s">
        <v>77</v>
      </c>
    </row>
    <row r="4955" spans="1:11" x14ac:dyDescent="0.3">
      <c r="A4955" t="s">
        <v>84</v>
      </c>
      <c r="B4955">
        <v>1</v>
      </c>
      <c r="C4955" t="s">
        <v>92</v>
      </c>
      <c r="D4955">
        <v>4.1047999999999996E-3</v>
      </c>
      <c r="E4955" t="s">
        <v>74</v>
      </c>
      <c r="F4955">
        <v>4.1048</v>
      </c>
      <c r="G4955" t="s">
        <v>75</v>
      </c>
      <c r="H4955">
        <v>4104.8</v>
      </c>
      <c r="I4955" t="s">
        <v>76</v>
      </c>
      <c r="J4955" t="s">
        <v>77</v>
      </c>
    </row>
    <row r="4956" spans="1:11" x14ac:dyDescent="0.3">
      <c r="A4956" t="s">
        <v>84</v>
      </c>
      <c r="B4956">
        <v>1</v>
      </c>
      <c r="C4956" t="s">
        <v>93</v>
      </c>
      <c r="D4956">
        <v>1.6788E-3</v>
      </c>
      <c r="E4956" t="s">
        <v>74</v>
      </c>
      <c r="F4956">
        <v>1.6788000000000001</v>
      </c>
      <c r="G4956" t="s">
        <v>75</v>
      </c>
      <c r="H4956">
        <v>1678.8</v>
      </c>
      <c r="I4956" t="s">
        <v>76</v>
      </c>
      <c r="J4956" t="s">
        <v>77</v>
      </c>
    </row>
    <row r="4957" spans="1:11" x14ac:dyDescent="0.3">
      <c r="A4957" t="s">
        <v>84</v>
      </c>
      <c r="B4957">
        <v>1001</v>
      </c>
      <c r="C4957" t="s">
        <v>79</v>
      </c>
      <c r="D4957">
        <v>8.2600000000000005E-6</v>
      </c>
      <c r="E4957" t="s">
        <v>74</v>
      </c>
      <c r="F4957">
        <v>8.26E-3</v>
      </c>
      <c r="G4957" t="s">
        <v>75</v>
      </c>
      <c r="H4957">
        <v>8.2609999999999992</v>
      </c>
      <c r="I4957" t="s">
        <v>76</v>
      </c>
      <c r="J4957" t="s">
        <v>77</v>
      </c>
    </row>
    <row r="4958" spans="1:11" x14ac:dyDescent="0.3">
      <c r="A4958" t="s">
        <v>84</v>
      </c>
      <c r="B4958">
        <v>1001</v>
      </c>
      <c r="C4958" t="s">
        <v>94</v>
      </c>
      <c r="D4958">
        <v>2.6733E-3</v>
      </c>
      <c r="E4958" t="s">
        <v>74</v>
      </c>
      <c r="F4958">
        <v>2.6732999999999998</v>
      </c>
      <c r="G4958" t="s">
        <v>75</v>
      </c>
      <c r="H4958">
        <v>2673.3029999999999</v>
      </c>
      <c r="I4958" t="s">
        <v>76</v>
      </c>
      <c r="J4958" t="s">
        <v>77</v>
      </c>
    </row>
    <row r="4959" spans="1:11" x14ac:dyDescent="0.3">
      <c r="A4959" t="s">
        <v>84</v>
      </c>
      <c r="B4959">
        <v>1001</v>
      </c>
      <c r="C4959" t="s">
        <v>80</v>
      </c>
      <c r="D4959">
        <v>2.8278600000000002E-3</v>
      </c>
      <c r="E4959" t="s">
        <v>74</v>
      </c>
      <c r="F4959">
        <v>2.8278599999999998</v>
      </c>
      <c r="G4959" t="s">
        <v>75</v>
      </c>
      <c r="H4959">
        <v>2827.8620000000001</v>
      </c>
      <c r="I4959" t="s">
        <v>76</v>
      </c>
      <c r="J4959" t="s">
        <v>77</v>
      </c>
    </row>
    <row r="4960" spans="1:11" x14ac:dyDescent="0.3">
      <c r="A4960" t="s">
        <v>84</v>
      </c>
      <c r="B4960">
        <v>1001</v>
      </c>
      <c r="C4960" t="s">
        <v>81</v>
      </c>
      <c r="D4960">
        <v>2.8371199999999998E-3</v>
      </c>
      <c r="E4960" t="s">
        <v>74</v>
      </c>
      <c r="F4960">
        <v>2.8371200000000001</v>
      </c>
      <c r="G4960" t="s">
        <v>75</v>
      </c>
      <c r="H4960">
        <v>2837.116</v>
      </c>
      <c r="I4960" t="s">
        <v>76</v>
      </c>
      <c r="J4960" t="s">
        <v>82</v>
      </c>
      <c r="K4960">
        <v>352.4706286</v>
      </c>
    </row>
    <row r="4961" spans="1:11" x14ac:dyDescent="0.3">
      <c r="A4961" t="s">
        <v>85</v>
      </c>
      <c r="B4961">
        <v>1001</v>
      </c>
      <c r="C4961" t="s">
        <v>86</v>
      </c>
      <c r="D4961">
        <v>2.8373399999999998E-3</v>
      </c>
      <c r="E4961" t="s">
        <v>74</v>
      </c>
      <c r="F4961">
        <v>2.8373400000000002</v>
      </c>
      <c r="G4961" t="s">
        <v>75</v>
      </c>
      <c r="H4961">
        <v>2837.3359999999998</v>
      </c>
      <c r="I4961" t="s">
        <v>76</v>
      </c>
      <c r="J4961" t="s">
        <v>82</v>
      </c>
      <c r="K4961">
        <v>352.44325959999998</v>
      </c>
    </row>
    <row r="4962" spans="1:11" x14ac:dyDescent="0.3">
      <c r="A4962" t="s">
        <v>106</v>
      </c>
    </row>
    <row r="4963" spans="1:11" x14ac:dyDescent="0.3">
      <c r="A4963" t="s">
        <v>72</v>
      </c>
      <c r="B4963">
        <v>1</v>
      </c>
      <c r="C4963" t="s">
        <v>73</v>
      </c>
      <c r="D4963">
        <v>6.9999999999999997E-7</v>
      </c>
      <c r="E4963" t="s">
        <v>74</v>
      </c>
      <c r="F4963">
        <v>6.9999999999999999E-4</v>
      </c>
      <c r="G4963" t="s">
        <v>75</v>
      </c>
      <c r="H4963">
        <v>0.7</v>
      </c>
      <c r="I4963" t="s">
        <v>76</v>
      </c>
      <c r="J4963" t="s">
        <v>77</v>
      </c>
    </row>
    <row r="4964" spans="1:11" x14ac:dyDescent="0.3">
      <c r="A4964" t="s">
        <v>72</v>
      </c>
      <c r="B4964">
        <v>1</v>
      </c>
      <c r="C4964" t="s">
        <v>78</v>
      </c>
      <c r="D4964">
        <v>4.4100000000000001E-5</v>
      </c>
      <c r="E4964" t="s">
        <v>74</v>
      </c>
      <c r="F4964">
        <v>4.41E-2</v>
      </c>
      <c r="G4964" t="s">
        <v>75</v>
      </c>
      <c r="H4964">
        <v>44.1</v>
      </c>
      <c r="I4964" t="s">
        <v>76</v>
      </c>
      <c r="J4964" t="s">
        <v>77</v>
      </c>
    </row>
    <row r="4965" spans="1:11" x14ac:dyDescent="0.3">
      <c r="A4965" t="s">
        <v>72</v>
      </c>
      <c r="B4965">
        <v>1</v>
      </c>
      <c r="C4965" t="s">
        <v>91</v>
      </c>
      <c r="D4965">
        <v>2.2097000000000002E-3</v>
      </c>
      <c r="E4965" t="s">
        <v>74</v>
      </c>
      <c r="F4965">
        <v>2.2097000000000002</v>
      </c>
      <c r="G4965" t="s">
        <v>75</v>
      </c>
      <c r="H4965">
        <v>2209.6999999999998</v>
      </c>
      <c r="I4965" t="s">
        <v>76</v>
      </c>
      <c r="J4965" t="s">
        <v>77</v>
      </c>
    </row>
    <row r="4966" spans="1:11" x14ac:dyDescent="0.3">
      <c r="A4966" t="s">
        <v>72</v>
      </c>
      <c r="B4966">
        <v>1</v>
      </c>
      <c r="C4966" t="s">
        <v>92</v>
      </c>
      <c r="D4966">
        <v>4.1866000000000004E-3</v>
      </c>
      <c r="E4966" t="s">
        <v>74</v>
      </c>
      <c r="F4966">
        <v>4.1866000000000003</v>
      </c>
      <c r="G4966" t="s">
        <v>75</v>
      </c>
      <c r="H4966">
        <v>4186.6000000000004</v>
      </c>
      <c r="I4966" t="s">
        <v>76</v>
      </c>
      <c r="J4966" t="s">
        <v>77</v>
      </c>
    </row>
    <row r="4967" spans="1:11" x14ac:dyDescent="0.3">
      <c r="A4967" t="s">
        <v>72</v>
      </c>
      <c r="B4967">
        <v>1</v>
      </c>
      <c r="C4967" t="s">
        <v>93</v>
      </c>
      <c r="D4967">
        <v>1.6687E-3</v>
      </c>
      <c r="E4967" t="s">
        <v>74</v>
      </c>
      <c r="F4967">
        <v>1.6687000000000001</v>
      </c>
      <c r="G4967" t="s">
        <v>75</v>
      </c>
      <c r="H4967">
        <v>1668.7</v>
      </c>
      <c r="I4967" t="s">
        <v>76</v>
      </c>
      <c r="J4967" t="s">
        <v>77</v>
      </c>
    </row>
    <row r="4968" spans="1:11" x14ac:dyDescent="0.3">
      <c r="A4968" t="s">
        <v>72</v>
      </c>
      <c r="B4968">
        <v>1</v>
      </c>
      <c r="C4968" t="s">
        <v>79</v>
      </c>
      <c r="D4968">
        <v>8.0654999999999998E-3</v>
      </c>
      <c r="E4968" t="s">
        <v>74</v>
      </c>
      <c r="F4968">
        <v>8.0655000000000001</v>
      </c>
      <c r="G4968" t="s">
        <v>75</v>
      </c>
      <c r="H4968">
        <v>8065.5</v>
      </c>
      <c r="I4968" t="s">
        <v>76</v>
      </c>
      <c r="J4968" t="s">
        <v>77</v>
      </c>
    </row>
    <row r="4969" spans="1:11" x14ac:dyDescent="0.3">
      <c r="A4969" t="s">
        <v>72</v>
      </c>
      <c r="B4969">
        <v>1</v>
      </c>
      <c r="C4969" t="s">
        <v>96</v>
      </c>
      <c r="D4969">
        <v>2.1353000000000001E-3</v>
      </c>
      <c r="E4969" t="s">
        <v>74</v>
      </c>
      <c r="F4969">
        <v>2.1353</v>
      </c>
      <c r="G4969" t="s">
        <v>75</v>
      </c>
      <c r="H4969">
        <v>2135.3000000000002</v>
      </c>
      <c r="I4969" t="s">
        <v>76</v>
      </c>
      <c r="J4969" t="s">
        <v>77</v>
      </c>
    </row>
    <row r="4970" spans="1:11" x14ac:dyDescent="0.3">
      <c r="A4970" t="s">
        <v>72</v>
      </c>
      <c r="B4970">
        <v>1</v>
      </c>
      <c r="C4970" t="s">
        <v>94</v>
      </c>
      <c r="D4970">
        <v>3.0462000000000002E-3</v>
      </c>
      <c r="E4970" t="s">
        <v>74</v>
      </c>
      <c r="F4970">
        <v>3.0461999999999998</v>
      </c>
      <c r="G4970" t="s">
        <v>75</v>
      </c>
      <c r="H4970">
        <v>3046.2</v>
      </c>
      <c r="I4970" t="s">
        <v>76</v>
      </c>
      <c r="J4970" t="s">
        <v>77</v>
      </c>
    </row>
    <row r="4971" spans="1:11" x14ac:dyDescent="0.3">
      <c r="A4971" t="s">
        <v>72</v>
      </c>
      <c r="B4971">
        <v>1</v>
      </c>
      <c r="C4971" t="s">
        <v>80</v>
      </c>
      <c r="D4971">
        <v>5.3131000000000003E-3</v>
      </c>
      <c r="E4971" t="s">
        <v>74</v>
      </c>
      <c r="F4971">
        <v>5.3131000000000004</v>
      </c>
      <c r="G4971" t="s">
        <v>75</v>
      </c>
      <c r="H4971">
        <v>5313.1</v>
      </c>
      <c r="I4971" t="s">
        <v>76</v>
      </c>
      <c r="J4971" t="s">
        <v>77</v>
      </c>
    </row>
    <row r="4972" spans="1:11" x14ac:dyDescent="0.3">
      <c r="A4972" t="s">
        <v>72</v>
      </c>
      <c r="B4972">
        <v>1</v>
      </c>
      <c r="C4972" t="s">
        <v>81</v>
      </c>
      <c r="D4972">
        <v>1.3379500000000001E-2</v>
      </c>
      <c r="E4972" t="s">
        <v>74</v>
      </c>
      <c r="F4972">
        <v>13.3795</v>
      </c>
      <c r="G4972" t="s">
        <v>75</v>
      </c>
      <c r="H4972">
        <v>13379.5</v>
      </c>
      <c r="I4972" t="s">
        <v>76</v>
      </c>
      <c r="J4972" t="s">
        <v>82</v>
      </c>
      <c r="K4972">
        <v>74.741207200000005</v>
      </c>
    </row>
    <row r="4973" spans="1:11" x14ac:dyDescent="0.3">
      <c r="A4973" t="s">
        <v>83</v>
      </c>
      <c r="B4973">
        <v>1000</v>
      </c>
      <c r="C4973" t="s">
        <v>79</v>
      </c>
      <c r="D4973">
        <v>1.9000000000000001E-7</v>
      </c>
      <c r="E4973" t="s">
        <v>74</v>
      </c>
      <c r="F4973">
        <v>1.9000000000000001E-4</v>
      </c>
      <c r="G4973" t="s">
        <v>75</v>
      </c>
      <c r="H4973">
        <v>0.19400000000000001</v>
      </c>
      <c r="I4973" t="s">
        <v>76</v>
      </c>
      <c r="J4973" t="s">
        <v>77</v>
      </c>
    </row>
    <row r="4974" spans="1:11" x14ac:dyDescent="0.3">
      <c r="A4974" t="s">
        <v>83</v>
      </c>
      <c r="B4974">
        <v>1000</v>
      </c>
      <c r="C4974" t="s">
        <v>96</v>
      </c>
      <c r="D4974">
        <v>1.87451E-3</v>
      </c>
      <c r="E4974" t="s">
        <v>74</v>
      </c>
      <c r="F4974">
        <v>1.8745099999999999</v>
      </c>
      <c r="G4974" t="s">
        <v>75</v>
      </c>
      <c r="H4974">
        <v>1874.5070000000001</v>
      </c>
      <c r="I4974" t="s">
        <v>76</v>
      </c>
      <c r="J4974" t="s">
        <v>77</v>
      </c>
    </row>
    <row r="4975" spans="1:11" x14ac:dyDescent="0.3">
      <c r="A4975" t="s">
        <v>83</v>
      </c>
      <c r="B4975">
        <v>1000</v>
      </c>
      <c r="C4975" t="s">
        <v>94</v>
      </c>
      <c r="D4975">
        <v>2.9872399999999999E-3</v>
      </c>
      <c r="E4975" t="s">
        <v>74</v>
      </c>
      <c r="F4975">
        <v>2.9872399999999999</v>
      </c>
      <c r="G4975" t="s">
        <v>75</v>
      </c>
      <c r="H4975">
        <v>2987.2379999999998</v>
      </c>
      <c r="I4975" t="s">
        <v>76</v>
      </c>
      <c r="J4975" t="s">
        <v>77</v>
      </c>
    </row>
    <row r="4976" spans="1:11" x14ac:dyDescent="0.3">
      <c r="A4976" t="s">
        <v>83</v>
      </c>
      <c r="B4976">
        <v>1000</v>
      </c>
      <c r="C4976" t="s">
        <v>80</v>
      </c>
      <c r="D4976">
        <v>4.98731E-3</v>
      </c>
      <c r="E4976" t="s">
        <v>74</v>
      </c>
      <c r="F4976">
        <v>4.9873099999999999</v>
      </c>
      <c r="G4976" t="s">
        <v>75</v>
      </c>
      <c r="H4976">
        <v>4987.3090000000002</v>
      </c>
      <c r="I4976" t="s">
        <v>76</v>
      </c>
      <c r="J4976" t="s">
        <v>77</v>
      </c>
    </row>
    <row r="4977" spans="1:11" x14ac:dyDescent="0.3">
      <c r="A4977" t="s">
        <v>83</v>
      </c>
      <c r="B4977">
        <v>1000</v>
      </c>
      <c r="C4977" t="s">
        <v>81</v>
      </c>
      <c r="D4977">
        <v>4.9885900000000002E-3</v>
      </c>
      <c r="E4977" t="s">
        <v>74</v>
      </c>
      <c r="F4977">
        <v>4.9885900000000003</v>
      </c>
      <c r="G4977" t="s">
        <v>75</v>
      </c>
      <c r="H4977">
        <v>4988.5940000000001</v>
      </c>
      <c r="I4977" t="s">
        <v>76</v>
      </c>
      <c r="J4977" t="s">
        <v>82</v>
      </c>
      <c r="K4977">
        <v>200.4573001</v>
      </c>
    </row>
    <row r="4978" spans="1:11" x14ac:dyDescent="0.3">
      <c r="A4978" t="s">
        <v>84</v>
      </c>
      <c r="B4978">
        <v>1</v>
      </c>
      <c r="C4978" t="s">
        <v>91</v>
      </c>
      <c r="D4978">
        <v>2.2097000000000002E-3</v>
      </c>
      <c r="E4978" t="s">
        <v>74</v>
      </c>
      <c r="F4978">
        <v>2.2097000000000002</v>
      </c>
      <c r="G4978" t="s">
        <v>75</v>
      </c>
      <c r="H4978">
        <v>2209.6999999999998</v>
      </c>
      <c r="I4978" t="s">
        <v>76</v>
      </c>
      <c r="J4978" t="s">
        <v>77</v>
      </c>
    </row>
    <row r="4979" spans="1:11" x14ac:dyDescent="0.3">
      <c r="A4979" t="s">
        <v>84</v>
      </c>
      <c r="B4979">
        <v>1</v>
      </c>
      <c r="C4979" t="s">
        <v>92</v>
      </c>
      <c r="D4979">
        <v>4.1866000000000004E-3</v>
      </c>
      <c r="E4979" t="s">
        <v>74</v>
      </c>
      <c r="F4979">
        <v>4.1866000000000003</v>
      </c>
      <c r="G4979" t="s">
        <v>75</v>
      </c>
      <c r="H4979">
        <v>4186.6000000000004</v>
      </c>
      <c r="I4979" t="s">
        <v>76</v>
      </c>
      <c r="J4979" t="s">
        <v>77</v>
      </c>
    </row>
    <row r="4980" spans="1:11" x14ac:dyDescent="0.3">
      <c r="A4980" t="s">
        <v>84</v>
      </c>
      <c r="B4980">
        <v>1</v>
      </c>
      <c r="C4980" t="s">
        <v>93</v>
      </c>
      <c r="D4980">
        <v>1.6687E-3</v>
      </c>
      <c r="E4980" t="s">
        <v>74</v>
      </c>
      <c r="F4980">
        <v>1.6687000000000001</v>
      </c>
      <c r="G4980" t="s">
        <v>75</v>
      </c>
      <c r="H4980">
        <v>1668.7</v>
      </c>
      <c r="I4980" t="s">
        <v>76</v>
      </c>
      <c r="J4980" t="s">
        <v>77</v>
      </c>
    </row>
    <row r="4981" spans="1:11" x14ac:dyDescent="0.3">
      <c r="A4981" t="s">
        <v>84</v>
      </c>
      <c r="B4981">
        <v>1001</v>
      </c>
      <c r="C4981" t="s">
        <v>79</v>
      </c>
      <c r="D4981">
        <v>8.2500000000000006E-6</v>
      </c>
      <c r="E4981" t="s">
        <v>74</v>
      </c>
      <c r="F4981">
        <v>8.2500000000000004E-3</v>
      </c>
      <c r="G4981" t="s">
        <v>75</v>
      </c>
      <c r="H4981">
        <v>8.2509999999999994</v>
      </c>
      <c r="I4981" t="s">
        <v>76</v>
      </c>
      <c r="J4981" t="s">
        <v>77</v>
      </c>
    </row>
    <row r="4982" spans="1:11" x14ac:dyDescent="0.3">
      <c r="A4982" t="s">
        <v>84</v>
      </c>
      <c r="B4982">
        <v>1001</v>
      </c>
      <c r="C4982" t="s">
        <v>96</v>
      </c>
      <c r="D4982">
        <v>1.87477E-3</v>
      </c>
      <c r="E4982" t="s">
        <v>74</v>
      </c>
      <c r="F4982">
        <v>1.87477</v>
      </c>
      <c r="G4982" t="s">
        <v>75</v>
      </c>
      <c r="H4982">
        <v>1874.7670000000001</v>
      </c>
      <c r="I4982" t="s">
        <v>76</v>
      </c>
      <c r="J4982" t="s">
        <v>77</v>
      </c>
    </row>
    <row r="4983" spans="1:11" x14ac:dyDescent="0.3">
      <c r="A4983" t="s">
        <v>84</v>
      </c>
      <c r="B4983">
        <v>1001</v>
      </c>
      <c r="C4983" t="s">
        <v>94</v>
      </c>
      <c r="D4983">
        <v>2.9873E-3</v>
      </c>
      <c r="E4983" t="s">
        <v>74</v>
      </c>
      <c r="F4983">
        <v>2.9872999999999998</v>
      </c>
      <c r="G4983" t="s">
        <v>75</v>
      </c>
      <c r="H4983">
        <v>2987.297</v>
      </c>
      <c r="I4983" t="s">
        <v>76</v>
      </c>
      <c r="J4983" t="s">
        <v>77</v>
      </c>
    </row>
    <row r="4984" spans="1:11" x14ac:dyDescent="0.3">
      <c r="A4984" t="s">
        <v>84</v>
      </c>
      <c r="B4984">
        <v>1001</v>
      </c>
      <c r="C4984" t="s">
        <v>80</v>
      </c>
      <c r="D4984">
        <v>4.9876299999999998E-3</v>
      </c>
      <c r="E4984" t="s">
        <v>74</v>
      </c>
      <c r="F4984">
        <v>4.9876300000000002</v>
      </c>
      <c r="G4984" t="s">
        <v>75</v>
      </c>
      <c r="H4984">
        <v>4987.634</v>
      </c>
      <c r="I4984" t="s">
        <v>76</v>
      </c>
      <c r="J4984" t="s">
        <v>77</v>
      </c>
    </row>
    <row r="4985" spans="1:11" x14ac:dyDescent="0.3">
      <c r="A4985" t="s">
        <v>84</v>
      </c>
      <c r="B4985">
        <v>1001</v>
      </c>
      <c r="C4985" t="s">
        <v>81</v>
      </c>
      <c r="D4985">
        <v>4.9969799999999998E-3</v>
      </c>
      <c r="E4985" t="s">
        <v>74</v>
      </c>
      <c r="F4985">
        <v>4.9969799999999998</v>
      </c>
      <c r="G4985" t="s">
        <v>75</v>
      </c>
      <c r="H4985">
        <v>4996.9769999999999</v>
      </c>
      <c r="I4985" t="s">
        <v>76</v>
      </c>
      <c r="J4985" t="s">
        <v>82</v>
      </c>
      <c r="K4985">
        <v>200.12100710000001</v>
      </c>
    </row>
    <row r="4986" spans="1:11" x14ac:dyDescent="0.3">
      <c r="A4986" t="s">
        <v>85</v>
      </c>
      <c r="B4986">
        <v>1001</v>
      </c>
      <c r="C4986" t="s">
        <v>86</v>
      </c>
      <c r="D4986">
        <v>4.9971499999999997E-3</v>
      </c>
      <c r="E4986" t="s">
        <v>74</v>
      </c>
      <c r="F4986">
        <v>4.9971500000000004</v>
      </c>
      <c r="G4986" t="s">
        <v>75</v>
      </c>
      <c r="H4986">
        <v>4997.1540000000005</v>
      </c>
      <c r="I4986" t="s">
        <v>76</v>
      </c>
      <c r="J4986" t="s">
        <v>82</v>
      </c>
      <c r="K4986">
        <v>200.1139105</v>
      </c>
    </row>
    <row r="4987" spans="1:11" x14ac:dyDescent="0.3">
      <c r="A4987" t="s">
        <v>87</v>
      </c>
    </row>
    <row r="4988" spans="1:11" x14ac:dyDescent="0.3">
      <c r="A4988" t="s">
        <v>107</v>
      </c>
    </row>
    <row r="4989" spans="1:11" x14ac:dyDescent="0.3">
      <c r="A4989" t="s">
        <v>72</v>
      </c>
      <c r="B4989">
        <v>1</v>
      </c>
      <c r="C4989" t="s">
        <v>81</v>
      </c>
      <c r="D4989">
        <v>1.7264999999999999E-2</v>
      </c>
      <c r="E4989" t="s">
        <v>74</v>
      </c>
      <c r="F4989">
        <v>17.265000000000001</v>
      </c>
      <c r="G4989" t="s">
        <v>75</v>
      </c>
      <c r="H4989">
        <v>17264.999</v>
      </c>
      <c r="I4989" t="s">
        <v>76</v>
      </c>
      <c r="J4989" t="s">
        <v>82</v>
      </c>
      <c r="K4989">
        <v>57.920650600000002</v>
      </c>
    </row>
    <row r="4990" spans="1:11" x14ac:dyDescent="0.3">
      <c r="A4990" t="s">
        <v>83</v>
      </c>
      <c r="B4990">
        <v>1000</v>
      </c>
      <c r="C4990" t="s">
        <v>81</v>
      </c>
      <c r="D4990">
        <v>2.8226900000000001E-3</v>
      </c>
      <c r="E4990" t="s">
        <v>74</v>
      </c>
      <c r="F4990">
        <v>2.8226900000000001</v>
      </c>
      <c r="G4990" t="s">
        <v>75</v>
      </c>
      <c r="H4990">
        <v>2822.6880000000001</v>
      </c>
      <c r="I4990" t="s">
        <v>76</v>
      </c>
      <c r="J4990" t="s">
        <v>82</v>
      </c>
      <c r="K4990">
        <v>354.27222690000002</v>
      </c>
    </row>
    <row r="4991" spans="1:11" x14ac:dyDescent="0.3">
      <c r="A4991" t="s">
        <v>85</v>
      </c>
      <c r="B4991">
        <v>1001</v>
      </c>
      <c r="C4991" t="s">
        <v>86</v>
      </c>
      <c r="D4991">
        <v>2.8373399999999998E-3</v>
      </c>
      <c r="E4991" t="s">
        <v>74</v>
      </c>
      <c r="F4991">
        <v>2.8373400000000002</v>
      </c>
      <c r="G4991" t="s">
        <v>75</v>
      </c>
      <c r="H4991">
        <v>2837.3359999999998</v>
      </c>
      <c r="I4991" t="s">
        <v>76</v>
      </c>
      <c r="J4991" t="s">
        <v>82</v>
      </c>
      <c r="K4991">
        <v>352.44325959999998</v>
      </c>
    </row>
    <row r="4993" spans="1:11" x14ac:dyDescent="0.3">
      <c r="A4993" t="s">
        <v>108</v>
      </c>
    </row>
    <row r="4994" spans="1:11" x14ac:dyDescent="0.3">
      <c r="A4994" t="s">
        <v>72</v>
      </c>
      <c r="B4994">
        <v>1</v>
      </c>
      <c r="C4994" t="s">
        <v>81</v>
      </c>
      <c r="D4994">
        <v>1.3379500000000001E-2</v>
      </c>
      <c r="E4994" t="s">
        <v>74</v>
      </c>
      <c r="F4994">
        <v>13.3795</v>
      </c>
      <c r="G4994" t="s">
        <v>75</v>
      </c>
      <c r="H4994">
        <v>13379.5</v>
      </c>
      <c r="I4994" t="s">
        <v>76</v>
      </c>
      <c r="J4994" t="s">
        <v>82</v>
      </c>
      <c r="K4994">
        <v>74.741207200000005</v>
      </c>
    </row>
    <row r="4995" spans="1:11" x14ac:dyDescent="0.3">
      <c r="A4995" t="s">
        <v>83</v>
      </c>
      <c r="B4995">
        <v>1000</v>
      </c>
      <c r="C4995" t="s">
        <v>81</v>
      </c>
      <c r="D4995">
        <v>4.9885900000000002E-3</v>
      </c>
      <c r="E4995" t="s">
        <v>74</v>
      </c>
      <c r="F4995">
        <v>4.9885900000000003</v>
      </c>
      <c r="G4995" t="s">
        <v>75</v>
      </c>
      <c r="H4995">
        <v>4988.5940000000001</v>
      </c>
      <c r="I4995" t="s">
        <v>76</v>
      </c>
      <c r="J4995" t="s">
        <v>82</v>
      </c>
      <c r="K4995">
        <v>200.4573001</v>
      </c>
    </row>
    <row r="4996" spans="1:11" x14ac:dyDescent="0.3">
      <c r="A4996" t="s">
        <v>85</v>
      </c>
      <c r="B4996">
        <v>1001</v>
      </c>
      <c r="C4996" t="s">
        <v>86</v>
      </c>
      <c r="D4996">
        <v>4.9971499999999997E-3</v>
      </c>
      <c r="E4996" t="s">
        <v>74</v>
      </c>
      <c r="F4996">
        <v>4.9971500000000004</v>
      </c>
      <c r="G4996" t="s">
        <v>75</v>
      </c>
      <c r="H4996">
        <v>4997.1540000000005</v>
      </c>
      <c r="I4996" t="s">
        <v>76</v>
      </c>
      <c r="J4996" t="s">
        <v>82</v>
      </c>
      <c r="K4996">
        <v>200.1139105</v>
      </c>
    </row>
    <row r="4998" spans="1:11" x14ac:dyDescent="0.3">
      <c r="A4998" t="s">
        <v>66</v>
      </c>
    </row>
    <row r="5000" spans="1:11" x14ac:dyDescent="0.3">
      <c r="A5000" t="s">
        <v>342</v>
      </c>
    </row>
    <row r="5001" spans="1:11" x14ac:dyDescent="0.3">
      <c r="A5001" t="s">
        <v>68</v>
      </c>
    </row>
    <row r="5002" spans="1:11" x14ac:dyDescent="0.3">
      <c r="A5002" t="s">
        <v>69</v>
      </c>
    </row>
    <row r="5003" spans="1:11" x14ac:dyDescent="0.3">
      <c r="A5003" t="s">
        <v>70</v>
      </c>
    </row>
    <row r="5004" spans="1:11" x14ac:dyDescent="0.3">
      <c r="A5004" t="s">
        <v>110</v>
      </c>
    </row>
    <row r="5005" spans="1:11" x14ac:dyDescent="0.3">
      <c r="A5005" t="s">
        <v>72</v>
      </c>
      <c r="B5005">
        <v>1</v>
      </c>
      <c r="C5005" t="s">
        <v>73</v>
      </c>
      <c r="D5005">
        <v>9.9999999999999995E-7</v>
      </c>
      <c r="E5005" t="s">
        <v>74</v>
      </c>
      <c r="F5005">
        <v>1E-3</v>
      </c>
      <c r="G5005" t="s">
        <v>75</v>
      </c>
      <c r="H5005">
        <v>1</v>
      </c>
      <c r="I5005" t="s">
        <v>76</v>
      </c>
      <c r="J5005" t="s">
        <v>77</v>
      </c>
    </row>
    <row r="5006" spans="1:11" x14ac:dyDescent="0.3">
      <c r="A5006" t="s">
        <v>72</v>
      </c>
      <c r="B5006">
        <v>1</v>
      </c>
      <c r="C5006" t="s">
        <v>78</v>
      </c>
      <c r="D5006">
        <v>2.3E-5</v>
      </c>
      <c r="E5006" t="s">
        <v>74</v>
      </c>
      <c r="F5006">
        <v>2.3E-2</v>
      </c>
      <c r="G5006" t="s">
        <v>75</v>
      </c>
      <c r="H5006">
        <v>23</v>
      </c>
      <c r="I5006" t="s">
        <v>76</v>
      </c>
      <c r="J5006" t="s">
        <v>77</v>
      </c>
    </row>
    <row r="5007" spans="1:11" x14ac:dyDescent="0.3">
      <c r="A5007" t="s">
        <v>72</v>
      </c>
      <c r="B5007">
        <v>1</v>
      </c>
      <c r="C5007" t="s">
        <v>79</v>
      </c>
      <c r="D5007">
        <v>4.3541999999999999E-3</v>
      </c>
      <c r="E5007" t="s">
        <v>74</v>
      </c>
      <c r="F5007">
        <v>4.3541999999999996</v>
      </c>
      <c r="G5007" t="s">
        <v>75</v>
      </c>
      <c r="H5007">
        <v>4354.2</v>
      </c>
      <c r="I5007" t="s">
        <v>76</v>
      </c>
      <c r="J5007" t="s">
        <v>77</v>
      </c>
    </row>
    <row r="5008" spans="1:11" x14ac:dyDescent="0.3">
      <c r="A5008" t="s">
        <v>72</v>
      </c>
      <c r="B5008">
        <v>1</v>
      </c>
      <c r="C5008" t="s">
        <v>94</v>
      </c>
      <c r="D5008">
        <v>9.3632999999999997E-3</v>
      </c>
      <c r="E5008" t="s">
        <v>74</v>
      </c>
      <c r="F5008">
        <v>9.3633000000000006</v>
      </c>
      <c r="G5008" t="s">
        <v>75</v>
      </c>
      <c r="H5008">
        <v>9363.2999999999993</v>
      </c>
      <c r="I5008" t="s">
        <v>76</v>
      </c>
      <c r="J5008" t="s">
        <v>77</v>
      </c>
    </row>
    <row r="5009" spans="1:11" x14ac:dyDescent="0.3">
      <c r="A5009" t="s">
        <v>72</v>
      </c>
      <c r="B5009">
        <v>1</v>
      </c>
      <c r="C5009" t="s">
        <v>80</v>
      </c>
      <c r="D5009">
        <v>9.3638000000000002E-3</v>
      </c>
      <c r="E5009" t="s">
        <v>74</v>
      </c>
      <c r="F5009">
        <v>9.3637999999999995</v>
      </c>
      <c r="G5009" t="s">
        <v>75</v>
      </c>
      <c r="H5009">
        <v>9363.7999999999993</v>
      </c>
      <c r="I5009" t="s">
        <v>76</v>
      </c>
      <c r="J5009" t="s">
        <v>77</v>
      </c>
    </row>
    <row r="5010" spans="1:11" x14ac:dyDescent="0.3">
      <c r="A5010" t="s">
        <v>72</v>
      </c>
      <c r="B5010">
        <v>1</v>
      </c>
      <c r="C5010" t="s">
        <v>81</v>
      </c>
      <c r="D5010">
        <v>1.37211E-2</v>
      </c>
      <c r="E5010" t="s">
        <v>74</v>
      </c>
      <c r="F5010">
        <v>13.7211</v>
      </c>
      <c r="G5010" t="s">
        <v>75</v>
      </c>
      <c r="H5010">
        <v>13721.1</v>
      </c>
      <c r="I5010" t="s">
        <v>76</v>
      </c>
      <c r="J5010" t="s">
        <v>82</v>
      </c>
      <c r="K5010">
        <v>72.880453900000006</v>
      </c>
    </row>
    <row r="5011" spans="1:11" x14ac:dyDescent="0.3">
      <c r="A5011" t="s">
        <v>83</v>
      </c>
      <c r="B5011">
        <v>1000</v>
      </c>
      <c r="C5011" t="s">
        <v>79</v>
      </c>
      <c r="D5011">
        <v>1.4000000000000001E-7</v>
      </c>
      <c r="E5011" t="s">
        <v>74</v>
      </c>
      <c r="F5011">
        <v>1.3999999999999999E-4</v>
      </c>
      <c r="G5011" t="s">
        <v>75</v>
      </c>
      <c r="H5011">
        <v>0.13600000000000001</v>
      </c>
      <c r="I5011" t="s">
        <v>76</v>
      </c>
      <c r="J5011" t="s">
        <v>77</v>
      </c>
    </row>
    <row r="5012" spans="1:11" x14ac:dyDescent="0.3">
      <c r="A5012" t="s">
        <v>83</v>
      </c>
      <c r="B5012">
        <v>1000</v>
      </c>
      <c r="C5012" t="s">
        <v>94</v>
      </c>
      <c r="D5012">
        <v>2.65782E-3</v>
      </c>
      <c r="E5012" t="s">
        <v>74</v>
      </c>
      <c r="F5012">
        <v>2.6578200000000001</v>
      </c>
      <c r="G5012" t="s">
        <v>75</v>
      </c>
      <c r="H5012">
        <v>2657.8249999999998</v>
      </c>
      <c r="I5012" t="s">
        <v>76</v>
      </c>
      <c r="J5012" t="s">
        <v>77</v>
      </c>
    </row>
    <row r="5013" spans="1:11" x14ac:dyDescent="0.3">
      <c r="A5013" t="s">
        <v>83</v>
      </c>
      <c r="B5013">
        <v>1000</v>
      </c>
      <c r="C5013" t="s">
        <v>80</v>
      </c>
      <c r="D5013">
        <v>2.8020900000000001E-3</v>
      </c>
      <c r="E5013" t="s">
        <v>74</v>
      </c>
      <c r="F5013">
        <v>2.8020900000000002</v>
      </c>
      <c r="G5013" t="s">
        <v>75</v>
      </c>
      <c r="H5013">
        <v>2802.0949999999998</v>
      </c>
      <c r="I5013" t="s">
        <v>76</v>
      </c>
      <c r="J5013" t="s">
        <v>77</v>
      </c>
    </row>
    <row r="5014" spans="1:11" x14ac:dyDescent="0.3">
      <c r="A5014" t="s">
        <v>83</v>
      </c>
      <c r="B5014">
        <v>1000</v>
      </c>
      <c r="C5014" t="s">
        <v>81</v>
      </c>
      <c r="D5014">
        <v>2.8031900000000001E-3</v>
      </c>
      <c r="E5014" t="s">
        <v>74</v>
      </c>
      <c r="F5014">
        <v>2.8031899999999998</v>
      </c>
      <c r="G5014" t="s">
        <v>75</v>
      </c>
      <c r="H5014">
        <v>2803.1860000000001</v>
      </c>
      <c r="I5014" t="s">
        <v>76</v>
      </c>
      <c r="J5014" t="s">
        <v>82</v>
      </c>
      <c r="K5014">
        <v>356.73691880000001</v>
      </c>
    </row>
    <row r="5015" spans="1:11" x14ac:dyDescent="0.3">
      <c r="A5015" t="s">
        <v>84</v>
      </c>
      <c r="B5015">
        <v>1001</v>
      </c>
      <c r="C5015" t="s">
        <v>79</v>
      </c>
      <c r="D5015">
        <v>4.4900000000000002E-6</v>
      </c>
      <c r="E5015" t="s">
        <v>74</v>
      </c>
      <c r="F5015">
        <v>4.4900000000000001E-3</v>
      </c>
      <c r="G5015" t="s">
        <v>75</v>
      </c>
      <c r="H5015">
        <v>4.4859999999999998</v>
      </c>
      <c r="I5015" t="s">
        <v>76</v>
      </c>
      <c r="J5015" t="s">
        <v>77</v>
      </c>
    </row>
    <row r="5016" spans="1:11" x14ac:dyDescent="0.3">
      <c r="A5016" t="s">
        <v>84</v>
      </c>
      <c r="B5016">
        <v>1001</v>
      </c>
      <c r="C5016" t="s">
        <v>94</v>
      </c>
      <c r="D5016">
        <v>2.6645200000000001E-3</v>
      </c>
      <c r="E5016" t="s">
        <v>74</v>
      </c>
      <c r="F5016">
        <v>2.66452</v>
      </c>
      <c r="G5016" t="s">
        <v>75</v>
      </c>
      <c r="H5016">
        <v>2664.5230000000001</v>
      </c>
      <c r="I5016" t="s">
        <v>76</v>
      </c>
      <c r="J5016" t="s">
        <v>77</v>
      </c>
    </row>
    <row r="5017" spans="1:11" x14ac:dyDescent="0.3">
      <c r="A5017" t="s">
        <v>84</v>
      </c>
      <c r="B5017">
        <v>1001</v>
      </c>
      <c r="C5017" t="s">
        <v>80</v>
      </c>
      <c r="D5017">
        <v>2.8086500000000002E-3</v>
      </c>
      <c r="E5017" t="s">
        <v>74</v>
      </c>
      <c r="F5017">
        <v>2.8086500000000001</v>
      </c>
      <c r="G5017" t="s">
        <v>75</v>
      </c>
      <c r="H5017">
        <v>2808.65</v>
      </c>
      <c r="I5017" t="s">
        <v>76</v>
      </c>
      <c r="J5017" t="s">
        <v>77</v>
      </c>
    </row>
    <row r="5018" spans="1:11" x14ac:dyDescent="0.3">
      <c r="A5018" t="s">
        <v>84</v>
      </c>
      <c r="B5018">
        <v>1001</v>
      </c>
      <c r="C5018" t="s">
        <v>81</v>
      </c>
      <c r="D5018">
        <v>2.81409E-3</v>
      </c>
      <c r="E5018" t="s">
        <v>74</v>
      </c>
      <c r="F5018">
        <v>2.8140900000000002</v>
      </c>
      <c r="G5018" t="s">
        <v>75</v>
      </c>
      <c r="H5018">
        <v>2814.0929999999998</v>
      </c>
      <c r="I5018" t="s">
        <v>76</v>
      </c>
      <c r="J5018" t="s">
        <v>82</v>
      </c>
      <c r="K5018">
        <v>355.35427349999998</v>
      </c>
    </row>
    <row r="5019" spans="1:11" x14ac:dyDescent="0.3">
      <c r="A5019" t="s">
        <v>85</v>
      </c>
      <c r="B5019">
        <v>1001</v>
      </c>
      <c r="C5019" t="s">
        <v>86</v>
      </c>
      <c r="D5019">
        <v>2.8143E-3</v>
      </c>
      <c r="E5019" t="s">
        <v>74</v>
      </c>
      <c r="F5019">
        <v>2.8142999999999998</v>
      </c>
      <c r="G5019" t="s">
        <v>75</v>
      </c>
      <c r="H5019">
        <v>2814.299</v>
      </c>
      <c r="I5019" t="s">
        <v>76</v>
      </c>
      <c r="J5019" t="s">
        <v>82</v>
      </c>
      <c r="K5019">
        <v>355.32825910000003</v>
      </c>
    </row>
    <row r="5020" spans="1:11" x14ac:dyDescent="0.3">
      <c r="A5020" t="s">
        <v>111</v>
      </c>
    </row>
    <row r="5021" spans="1:11" x14ac:dyDescent="0.3">
      <c r="A5021" t="s">
        <v>72</v>
      </c>
      <c r="B5021">
        <v>1</v>
      </c>
      <c r="C5021" t="s">
        <v>73</v>
      </c>
      <c r="D5021">
        <v>9.9999999999999995E-7</v>
      </c>
      <c r="E5021" t="s">
        <v>74</v>
      </c>
      <c r="F5021">
        <v>1E-3</v>
      </c>
      <c r="G5021" t="s">
        <v>75</v>
      </c>
      <c r="H5021">
        <v>1</v>
      </c>
      <c r="I5021" t="s">
        <v>76</v>
      </c>
      <c r="J5021" t="s">
        <v>77</v>
      </c>
    </row>
    <row r="5022" spans="1:11" x14ac:dyDescent="0.3">
      <c r="A5022" t="s">
        <v>72</v>
      </c>
      <c r="B5022">
        <v>1</v>
      </c>
      <c r="C5022" t="s">
        <v>78</v>
      </c>
      <c r="D5022">
        <v>2.0400000000000001E-5</v>
      </c>
      <c r="E5022" t="s">
        <v>74</v>
      </c>
      <c r="F5022">
        <v>2.0400000000000001E-2</v>
      </c>
      <c r="G5022" t="s">
        <v>75</v>
      </c>
      <c r="H5022">
        <v>20.399999999999999</v>
      </c>
      <c r="I5022" t="s">
        <v>76</v>
      </c>
      <c r="J5022" t="s">
        <v>77</v>
      </c>
    </row>
    <row r="5023" spans="1:11" x14ac:dyDescent="0.3">
      <c r="A5023" t="s">
        <v>72</v>
      </c>
      <c r="B5023">
        <v>1</v>
      </c>
      <c r="C5023" t="s">
        <v>79</v>
      </c>
      <c r="D5023">
        <v>4.3867999999999997E-3</v>
      </c>
      <c r="E5023" t="s">
        <v>74</v>
      </c>
      <c r="F5023">
        <v>4.3868</v>
      </c>
      <c r="G5023" t="s">
        <v>75</v>
      </c>
      <c r="H5023">
        <v>4386.8</v>
      </c>
      <c r="I5023" t="s">
        <v>76</v>
      </c>
      <c r="J5023" t="s">
        <v>77</v>
      </c>
    </row>
    <row r="5024" spans="1:11" x14ac:dyDescent="0.3">
      <c r="A5024" t="s">
        <v>72</v>
      </c>
      <c r="B5024">
        <v>1</v>
      </c>
      <c r="C5024" t="s">
        <v>94</v>
      </c>
      <c r="D5024">
        <v>2.4773E-3</v>
      </c>
      <c r="E5024" t="s">
        <v>74</v>
      </c>
      <c r="F5024">
        <v>2.4773000000000001</v>
      </c>
      <c r="G5024" t="s">
        <v>75</v>
      </c>
      <c r="H5024">
        <v>2477.3000000000002</v>
      </c>
      <c r="I5024" t="s">
        <v>76</v>
      </c>
      <c r="J5024" t="s">
        <v>77</v>
      </c>
    </row>
    <row r="5025" spans="1:11" x14ac:dyDescent="0.3">
      <c r="A5025" t="s">
        <v>72</v>
      </c>
      <c r="B5025">
        <v>1</v>
      </c>
      <c r="C5025" t="s">
        <v>80</v>
      </c>
      <c r="D5025">
        <v>2.6503999999999998E-3</v>
      </c>
      <c r="E5025" t="s">
        <v>74</v>
      </c>
      <c r="F5025">
        <v>2.6503999999999999</v>
      </c>
      <c r="G5025" t="s">
        <v>75</v>
      </c>
      <c r="H5025">
        <v>2650.4</v>
      </c>
      <c r="I5025" t="s">
        <v>76</v>
      </c>
      <c r="J5025" t="s">
        <v>77</v>
      </c>
    </row>
    <row r="5026" spans="1:11" x14ac:dyDescent="0.3">
      <c r="A5026" t="s">
        <v>72</v>
      </c>
      <c r="B5026">
        <v>1</v>
      </c>
      <c r="C5026" t="s">
        <v>81</v>
      </c>
      <c r="D5026">
        <v>7.0378999999999997E-3</v>
      </c>
      <c r="E5026" t="s">
        <v>74</v>
      </c>
      <c r="F5026">
        <v>7.0378999999999996</v>
      </c>
      <c r="G5026" t="s">
        <v>75</v>
      </c>
      <c r="H5026">
        <v>7037.9</v>
      </c>
      <c r="I5026" t="s">
        <v>76</v>
      </c>
      <c r="J5026" t="s">
        <v>82</v>
      </c>
      <c r="K5026">
        <v>142.08784030000001</v>
      </c>
    </row>
    <row r="5027" spans="1:11" x14ac:dyDescent="0.3">
      <c r="A5027" t="s">
        <v>83</v>
      </c>
      <c r="B5027">
        <v>1000</v>
      </c>
      <c r="C5027" t="s">
        <v>79</v>
      </c>
      <c r="D5027">
        <v>1.6E-7</v>
      </c>
      <c r="E5027" t="s">
        <v>74</v>
      </c>
      <c r="F5027">
        <v>1.6000000000000001E-4</v>
      </c>
      <c r="G5027" t="s">
        <v>75</v>
      </c>
      <c r="H5027">
        <v>0.16400000000000001</v>
      </c>
      <c r="I5027" t="s">
        <v>76</v>
      </c>
      <c r="J5027" t="s">
        <v>77</v>
      </c>
    </row>
    <row r="5028" spans="1:11" x14ac:dyDescent="0.3">
      <c r="A5028" t="s">
        <v>83</v>
      </c>
      <c r="B5028">
        <v>1000</v>
      </c>
      <c r="C5028" t="s">
        <v>94</v>
      </c>
      <c r="D5028">
        <v>2.5643300000000001E-3</v>
      </c>
      <c r="E5028" t="s">
        <v>74</v>
      </c>
      <c r="F5028">
        <v>2.56433</v>
      </c>
      <c r="G5028" t="s">
        <v>75</v>
      </c>
      <c r="H5028">
        <v>2564.3319999999999</v>
      </c>
      <c r="I5028" t="s">
        <v>76</v>
      </c>
      <c r="J5028" t="s">
        <v>77</v>
      </c>
    </row>
    <row r="5029" spans="1:11" x14ac:dyDescent="0.3">
      <c r="A5029" t="s">
        <v>83</v>
      </c>
      <c r="B5029">
        <v>1000</v>
      </c>
      <c r="C5029" t="s">
        <v>80</v>
      </c>
      <c r="D5029">
        <v>2.7117E-3</v>
      </c>
      <c r="E5029" t="s">
        <v>74</v>
      </c>
      <c r="F5029">
        <v>2.7117</v>
      </c>
      <c r="G5029" t="s">
        <v>75</v>
      </c>
      <c r="H5029">
        <v>2711.6979999999999</v>
      </c>
      <c r="I5029" t="s">
        <v>76</v>
      </c>
      <c r="J5029" t="s">
        <v>77</v>
      </c>
    </row>
    <row r="5030" spans="1:11" x14ac:dyDescent="0.3">
      <c r="A5030" t="s">
        <v>83</v>
      </c>
      <c r="B5030">
        <v>1000</v>
      </c>
      <c r="C5030" t="s">
        <v>81</v>
      </c>
      <c r="D5030">
        <v>2.7128299999999998E-3</v>
      </c>
      <c r="E5030" t="s">
        <v>74</v>
      </c>
      <c r="F5030">
        <v>2.7128299999999999</v>
      </c>
      <c r="G5030" t="s">
        <v>75</v>
      </c>
      <c r="H5030">
        <v>2712.8310000000001</v>
      </c>
      <c r="I5030" t="s">
        <v>76</v>
      </c>
      <c r="J5030" t="s">
        <v>82</v>
      </c>
      <c r="K5030">
        <v>368.6186424</v>
      </c>
    </row>
    <row r="5031" spans="1:11" x14ac:dyDescent="0.3">
      <c r="A5031" t="s">
        <v>84</v>
      </c>
      <c r="B5031">
        <v>1001</v>
      </c>
      <c r="C5031" t="s">
        <v>79</v>
      </c>
      <c r="D5031">
        <v>4.5499999999999996E-6</v>
      </c>
      <c r="E5031" t="s">
        <v>74</v>
      </c>
      <c r="F5031">
        <v>4.5500000000000002E-3</v>
      </c>
      <c r="G5031" t="s">
        <v>75</v>
      </c>
      <c r="H5031">
        <v>4.5460000000000003</v>
      </c>
      <c r="I5031" t="s">
        <v>76</v>
      </c>
      <c r="J5031" t="s">
        <v>77</v>
      </c>
    </row>
    <row r="5032" spans="1:11" x14ac:dyDescent="0.3">
      <c r="A5032" t="s">
        <v>84</v>
      </c>
      <c r="B5032">
        <v>1001</v>
      </c>
      <c r="C5032" t="s">
        <v>94</v>
      </c>
      <c r="D5032">
        <v>2.5642400000000002E-3</v>
      </c>
      <c r="E5032" t="s">
        <v>74</v>
      </c>
      <c r="F5032">
        <v>2.5642399999999999</v>
      </c>
      <c r="G5032" t="s">
        <v>75</v>
      </c>
      <c r="H5032">
        <v>2564.2449999999999</v>
      </c>
      <c r="I5032" t="s">
        <v>76</v>
      </c>
      <c r="J5032" t="s">
        <v>77</v>
      </c>
    </row>
    <row r="5033" spans="1:11" x14ac:dyDescent="0.3">
      <c r="A5033" t="s">
        <v>84</v>
      </c>
      <c r="B5033">
        <v>1001</v>
      </c>
      <c r="C5033" t="s">
        <v>80</v>
      </c>
      <c r="D5033">
        <v>2.71164E-3</v>
      </c>
      <c r="E5033" t="s">
        <v>74</v>
      </c>
      <c r="F5033">
        <v>2.7116400000000001</v>
      </c>
      <c r="G5033" t="s">
        <v>75</v>
      </c>
      <c r="H5033">
        <v>2711.636</v>
      </c>
      <c r="I5033" t="s">
        <v>76</v>
      </c>
      <c r="J5033" t="s">
        <v>77</v>
      </c>
    </row>
    <row r="5034" spans="1:11" x14ac:dyDescent="0.3">
      <c r="A5034" t="s">
        <v>84</v>
      </c>
      <c r="B5034">
        <v>1001</v>
      </c>
      <c r="C5034" t="s">
        <v>81</v>
      </c>
      <c r="D5034">
        <v>2.7171500000000002E-3</v>
      </c>
      <c r="E5034" t="s">
        <v>74</v>
      </c>
      <c r="F5034">
        <v>2.7171500000000002</v>
      </c>
      <c r="G5034" t="s">
        <v>75</v>
      </c>
      <c r="H5034">
        <v>2717.152</v>
      </c>
      <c r="I5034" t="s">
        <v>76</v>
      </c>
      <c r="J5034" t="s">
        <v>82</v>
      </c>
      <c r="K5034">
        <v>368.03247699999997</v>
      </c>
    </row>
    <row r="5035" spans="1:11" x14ac:dyDescent="0.3">
      <c r="A5035" t="s">
        <v>85</v>
      </c>
      <c r="B5035">
        <v>1001</v>
      </c>
      <c r="C5035" t="s">
        <v>86</v>
      </c>
      <c r="D5035">
        <v>2.71733E-3</v>
      </c>
      <c r="E5035" t="s">
        <v>74</v>
      </c>
      <c r="F5035">
        <v>2.71733</v>
      </c>
      <c r="G5035" t="s">
        <v>75</v>
      </c>
      <c r="H5035">
        <v>2717.3339999999998</v>
      </c>
      <c r="I5035" t="s">
        <v>76</v>
      </c>
      <c r="J5035" t="s">
        <v>82</v>
      </c>
      <c r="K5035">
        <v>368.00779890000001</v>
      </c>
    </row>
    <row r="5036" spans="1:11" x14ac:dyDescent="0.3">
      <c r="A5036" t="s">
        <v>87</v>
      </c>
    </row>
    <row r="5037" spans="1:11" x14ac:dyDescent="0.3">
      <c r="A5037" t="s">
        <v>112</v>
      </c>
    </row>
    <row r="5038" spans="1:11" x14ac:dyDescent="0.3">
      <c r="A5038" t="s">
        <v>72</v>
      </c>
      <c r="B5038">
        <v>1</v>
      </c>
      <c r="C5038" t="s">
        <v>81</v>
      </c>
      <c r="D5038">
        <v>1.37211E-2</v>
      </c>
      <c r="E5038" t="s">
        <v>74</v>
      </c>
      <c r="F5038">
        <v>13.7211</v>
      </c>
      <c r="G5038" t="s">
        <v>75</v>
      </c>
      <c r="H5038">
        <v>13721.1</v>
      </c>
      <c r="I5038" t="s">
        <v>76</v>
      </c>
      <c r="J5038" t="s">
        <v>82</v>
      </c>
      <c r="K5038">
        <v>72.880453900000006</v>
      </c>
    </row>
    <row r="5039" spans="1:11" x14ac:dyDescent="0.3">
      <c r="A5039" t="s">
        <v>83</v>
      </c>
      <c r="B5039">
        <v>1000</v>
      </c>
      <c r="C5039" t="s">
        <v>81</v>
      </c>
      <c r="D5039">
        <v>2.8031900000000001E-3</v>
      </c>
      <c r="E5039" t="s">
        <v>74</v>
      </c>
      <c r="F5039">
        <v>2.8031899999999998</v>
      </c>
      <c r="G5039" t="s">
        <v>75</v>
      </c>
      <c r="H5039">
        <v>2803.1860000000001</v>
      </c>
      <c r="I5039" t="s">
        <v>76</v>
      </c>
      <c r="J5039" t="s">
        <v>82</v>
      </c>
      <c r="K5039">
        <v>356.73691880000001</v>
      </c>
    </row>
    <row r="5040" spans="1:11" x14ac:dyDescent="0.3">
      <c r="A5040" t="s">
        <v>85</v>
      </c>
      <c r="B5040">
        <v>1001</v>
      </c>
      <c r="C5040" t="s">
        <v>86</v>
      </c>
      <c r="D5040">
        <v>2.8143E-3</v>
      </c>
      <c r="E5040" t="s">
        <v>74</v>
      </c>
      <c r="F5040">
        <v>2.8142999999999998</v>
      </c>
      <c r="G5040" t="s">
        <v>75</v>
      </c>
      <c r="H5040">
        <v>2814.299</v>
      </c>
      <c r="I5040" t="s">
        <v>76</v>
      </c>
      <c r="J5040" t="s">
        <v>82</v>
      </c>
      <c r="K5040">
        <v>355.32825910000003</v>
      </c>
    </row>
    <row r="5042" spans="1:11" x14ac:dyDescent="0.3">
      <c r="A5042" t="s">
        <v>113</v>
      </c>
    </row>
    <row r="5043" spans="1:11" x14ac:dyDescent="0.3">
      <c r="A5043" t="s">
        <v>72</v>
      </c>
      <c r="B5043">
        <v>1</v>
      </c>
      <c r="C5043" t="s">
        <v>81</v>
      </c>
      <c r="D5043">
        <v>7.0378999999999997E-3</v>
      </c>
      <c r="E5043" t="s">
        <v>74</v>
      </c>
      <c r="F5043">
        <v>7.0378999999999996</v>
      </c>
      <c r="G5043" t="s">
        <v>75</v>
      </c>
      <c r="H5043">
        <v>7037.9</v>
      </c>
      <c r="I5043" t="s">
        <v>76</v>
      </c>
      <c r="J5043" t="s">
        <v>82</v>
      </c>
      <c r="K5043">
        <v>142.08784030000001</v>
      </c>
    </row>
    <row r="5044" spans="1:11" x14ac:dyDescent="0.3">
      <c r="A5044" t="s">
        <v>83</v>
      </c>
      <c r="B5044">
        <v>1000</v>
      </c>
      <c r="C5044" t="s">
        <v>81</v>
      </c>
      <c r="D5044">
        <v>2.7128299999999998E-3</v>
      </c>
      <c r="E5044" t="s">
        <v>74</v>
      </c>
      <c r="F5044">
        <v>2.7128299999999999</v>
      </c>
      <c r="G5044" t="s">
        <v>75</v>
      </c>
      <c r="H5044">
        <v>2712.8310000000001</v>
      </c>
      <c r="I5044" t="s">
        <v>76</v>
      </c>
      <c r="J5044" t="s">
        <v>82</v>
      </c>
      <c r="K5044">
        <v>368.6186424</v>
      </c>
    </row>
    <row r="5045" spans="1:11" x14ac:dyDescent="0.3">
      <c r="A5045" t="s">
        <v>85</v>
      </c>
      <c r="B5045">
        <v>1001</v>
      </c>
      <c r="C5045" t="s">
        <v>86</v>
      </c>
      <c r="D5045">
        <v>2.71733E-3</v>
      </c>
      <c r="E5045" t="s">
        <v>74</v>
      </c>
      <c r="F5045">
        <v>2.71733</v>
      </c>
      <c r="G5045" t="s">
        <v>75</v>
      </c>
      <c r="H5045">
        <v>2717.3339999999998</v>
      </c>
      <c r="I5045" t="s">
        <v>76</v>
      </c>
      <c r="J5045" t="s">
        <v>82</v>
      </c>
      <c r="K5045">
        <v>368.00779890000001</v>
      </c>
    </row>
    <row r="5047" spans="1:11" x14ac:dyDescent="0.3">
      <c r="A5047" t="s">
        <v>66</v>
      </c>
    </row>
    <row r="5049" spans="1:11" x14ac:dyDescent="0.3">
      <c r="A5049" t="s">
        <v>343</v>
      </c>
    </row>
    <row r="5050" spans="1:11" x14ac:dyDescent="0.3">
      <c r="A5050" t="s">
        <v>68</v>
      </c>
    </row>
    <row r="5051" spans="1:11" x14ac:dyDescent="0.3">
      <c r="A5051" t="s">
        <v>69</v>
      </c>
    </row>
    <row r="5052" spans="1:11" x14ac:dyDescent="0.3">
      <c r="A5052" t="s">
        <v>70</v>
      </c>
    </row>
    <row r="5053" spans="1:11" x14ac:dyDescent="0.3">
      <c r="A5053" t="s">
        <v>115</v>
      </c>
    </row>
    <row r="5054" spans="1:11" x14ac:dyDescent="0.3">
      <c r="A5054" t="s">
        <v>266</v>
      </c>
    </row>
    <row r="5055" spans="1:11" x14ac:dyDescent="0.3">
      <c r="A5055" t="s">
        <v>267</v>
      </c>
    </row>
    <row r="5056" spans="1:11" x14ac:dyDescent="0.3">
      <c r="A5056" t="s">
        <v>118</v>
      </c>
    </row>
    <row r="5057" spans="1:10" x14ac:dyDescent="0.3">
      <c r="A5057" t="s">
        <v>119</v>
      </c>
    </row>
    <row r="5058" spans="1:10" x14ac:dyDescent="0.3">
      <c r="A5058" t="s">
        <v>268</v>
      </c>
    </row>
    <row r="5059" spans="1:10" x14ac:dyDescent="0.3">
      <c r="A5059" t="s">
        <v>269</v>
      </c>
    </row>
    <row r="5060" spans="1:10" x14ac:dyDescent="0.3">
      <c r="A5060" t="s">
        <v>122</v>
      </c>
    </row>
    <row r="5061" spans="1:10" x14ac:dyDescent="0.3">
      <c r="A5061" t="s">
        <v>270</v>
      </c>
    </row>
    <row r="5062" spans="1:10" x14ac:dyDescent="0.3">
      <c r="A5062" t="s">
        <v>271</v>
      </c>
    </row>
    <row r="5063" spans="1:10" x14ac:dyDescent="0.3">
      <c r="A5063" t="s">
        <v>125</v>
      </c>
    </row>
    <row r="5064" spans="1:10" x14ac:dyDescent="0.3">
      <c r="A5064" t="s">
        <v>126</v>
      </c>
    </row>
    <row r="5065" spans="1:10" x14ac:dyDescent="0.3">
      <c r="A5065" t="s">
        <v>127</v>
      </c>
    </row>
    <row r="5066" spans="1:10" x14ac:dyDescent="0.3">
      <c r="A5066" t="s">
        <v>128</v>
      </c>
    </row>
    <row r="5067" spans="1:10" x14ac:dyDescent="0.3">
      <c r="A5067" t="s">
        <v>272</v>
      </c>
    </row>
    <row r="5068" spans="1:10" x14ac:dyDescent="0.3">
      <c r="A5068" t="s">
        <v>72</v>
      </c>
      <c r="B5068">
        <v>1</v>
      </c>
      <c r="C5068" t="s">
        <v>73</v>
      </c>
      <c r="D5068">
        <v>4.0999999999999997E-6</v>
      </c>
      <c r="E5068" t="s">
        <v>74</v>
      </c>
      <c r="F5068">
        <v>4.1000000000000003E-3</v>
      </c>
      <c r="G5068" t="s">
        <v>75</v>
      </c>
      <c r="H5068">
        <v>4.0999999999999996</v>
      </c>
      <c r="I5068" t="s">
        <v>76</v>
      </c>
      <c r="J5068" t="s">
        <v>77</v>
      </c>
    </row>
    <row r="5069" spans="1:10" x14ac:dyDescent="0.3">
      <c r="A5069" t="s">
        <v>72</v>
      </c>
      <c r="B5069">
        <v>1</v>
      </c>
      <c r="C5069" t="s">
        <v>78</v>
      </c>
      <c r="D5069">
        <v>0.1483843</v>
      </c>
      <c r="E5069" t="s">
        <v>74</v>
      </c>
      <c r="F5069">
        <v>148.3843</v>
      </c>
      <c r="G5069" t="s">
        <v>75</v>
      </c>
      <c r="H5069">
        <v>148384.30300000001</v>
      </c>
      <c r="I5069" t="s">
        <v>76</v>
      </c>
      <c r="J5069" t="s">
        <v>77</v>
      </c>
    </row>
    <row r="5070" spans="1:10" x14ac:dyDescent="0.3">
      <c r="A5070" t="s">
        <v>72</v>
      </c>
      <c r="B5070">
        <v>1</v>
      </c>
      <c r="C5070" t="s">
        <v>91</v>
      </c>
      <c r="D5070">
        <v>0.1010839</v>
      </c>
      <c r="E5070" t="s">
        <v>74</v>
      </c>
      <c r="F5070">
        <v>101.0839</v>
      </c>
      <c r="G5070" t="s">
        <v>75</v>
      </c>
      <c r="H5070">
        <v>101083.897</v>
      </c>
      <c r="I5070" t="s">
        <v>76</v>
      </c>
      <c r="J5070" t="s">
        <v>77</v>
      </c>
    </row>
    <row r="5071" spans="1:10" x14ac:dyDescent="0.3">
      <c r="A5071" t="s">
        <v>72</v>
      </c>
      <c r="B5071">
        <v>1</v>
      </c>
      <c r="C5071" t="s">
        <v>92</v>
      </c>
      <c r="D5071">
        <v>6.0650000000000005E-4</v>
      </c>
      <c r="E5071" t="s">
        <v>74</v>
      </c>
      <c r="F5071">
        <v>0.60650000000000004</v>
      </c>
      <c r="G5071" t="s">
        <v>75</v>
      </c>
      <c r="H5071">
        <v>606.5</v>
      </c>
      <c r="I5071" t="s">
        <v>76</v>
      </c>
      <c r="J5071" t="s">
        <v>77</v>
      </c>
    </row>
    <row r="5072" spans="1:10" x14ac:dyDescent="0.3">
      <c r="A5072" t="s">
        <v>72</v>
      </c>
      <c r="B5072">
        <v>1</v>
      </c>
      <c r="C5072" t="s">
        <v>93</v>
      </c>
      <c r="D5072">
        <v>7.8223299999999996E-2</v>
      </c>
      <c r="E5072" t="s">
        <v>74</v>
      </c>
      <c r="F5072">
        <v>78.223299999999995</v>
      </c>
      <c r="G5072" t="s">
        <v>75</v>
      </c>
      <c r="H5072">
        <v>78223.303</v>
      </c>
      <c r="I5072" t="s">
        <v>76</v>
      </c>
      <c r="J5072" t="s">
        <v>77</v>
      </c>
    </row>
    <row r="5073" spans="1:11" x14ac:dyDescent="0.3">
      <c r="A5073" t="s">
        <v>72</v>
      </c>
      <c r="B5073">
        <v>1</v>
      </c>
      <c r="C5073" t="s">
        <v>79</v>
      </c>
      <c r="D5073">
        <v>0.17991459000000001</v>
      </c>
      <c r="E5073" t="s">
        <v>74</v>
      </c>
      <c r="F5073">
        <v>179.91459</v>
      </c>
      <c r="G5073" t="s">
        <v>75</v>
      </c>
      <c r="H5073">
        <v>179914.59400000001</v>
      </c>
      <c r="I5073" t="s">
        <v>76</v>
      </c>
      <c r="J5073" t="s">
        <v>77</v>
      </c>
    </row>
    <row r="5074" spans="1:11" x14ac:dyDescent="0.3">
      <c r="A5074" t="s">
        <v>72</v>
      </c>
      <c r="B5074">
        <v>1</v>
      </c>
      <c r="C5074" t="s">
        <v>94</v>
      </c>
      <c r="D5074">
        <v>9.1990000000000006E-3</v>
      </c>
      <c r="E5074" t="s">
        <v>74</v>
      </c>
      <c r="F5074">
        <v>9.1989999999999998</v>
      </c>
      <c r="G5074" t="s">
        <v>75</v>
      </c>
      <c r="H5074">
        <v>9199</v>
      </c>
      <c r="I5074" t="s">
        <v>76</v>
      </c>
      <c r="J5074" t="s">
        <v>77</v>
      </c>
    </row>
    <row r="5075" spans="1:11" x14ac:dyDescent="0.3">
      <c r="A5075" t="s">
        <v>72</v>
      </c>
      <c r="B5075">
        <v>1</v>
      </c>
      <c r="C5075" t="s">
        <v>80</v>
      </c>
      <c r="D5075">
        <v>9.1996000000000005E-3</v>
      </c>
      <c r="E5075" t="s">
        <v>74</v>
      </c>
      <c r="F5075">
        <v>9.1996000000000002</v>
      </c>
      <c r="G5075" t="s">
        <v>75</v>
      </c>
      <c r="H5075">
        <v>9199.6</v>
      </c>
      <c r="I5075" t="s">
        <v>76</v>
      </c>
      <c r="J5075" t="s">
        <v>77</v>
      </c>
    </row>
    <row r="5076" spans="1:11" x14ac:dyDescent="0.3">
      <c r="A5076" t="s">
        <v>72</v>
      </c>
      <c r="B5076">
        <v>1</v>
      </c>
      <c r="C5076" t="s">
        <v>81</v>
      </c>
      <c r="D5076">
        <v>0.18911681</v>
      </c>
      <c r="E5076" t="s">
        <v>74</v>
      </c>
      <c r="F5076">
        <v>189.11680999999999</v>
      </c>
      <c r="G5076" t="s">
        <v>75</v>
      </c>
      <c r="H5076">
        <v>189116.80600000001</v>
      </c>
      <c r="I5076" t="s">
        <v>76</v>
      </c>
      <c r="J5076" t="s">
        <v>82</v>
      </c>
      <c r="K5076">
        <v>5.2877374000000001</v>
      </c>
    </row>
    <row r="5077" spans="1:11" x14ac:dyDescent="0.3">
      <c r="A5077" t="s">
        <v>83</v>
      </c>
      <c r="B5077">
        <v>1000</v>
      </c>
      <c r="C5077" t="s">
        <v>79</v>
      </c>
      <c r="D5077">
        <v>1.9999999999999999E-7</v>
      </c>
      <c r="E5077" t="s">
        <v>74</v>
      </c>
      <c r="F5077">
        <v>2.0000000000000001E-4</v>
      </c>
      <c r="G5077" t="s">
        <v>75</v>
      </c>
      <c r="H5077">
        <v>0.19600000000000001</v>
      </c>
      <c r="I5077" t="s">
        <v>76</v>
      </c>
      <c r="J5077" t="s">
        <v>77</v>
      </c>
    </row>
    <row r="5078" spans="1:11" x14ac:dyDescent="0.3">
      <c r="A5078" t="s">
        <v>83</v>
      </c>
      <c r="B5078">
        <v>1000</v>
      </c>
      <c r="C5078" t="s">
        <v>94</v>
      </c>
      <c r="D5078">
        <v>2.6394000000000001E-3</v>
      </c>
      <c r="E5078" t="s">
        <v>74</v>
      </c>
      <c r="F5078">
        <v>2.6394000000000002</v>
      </c>
      <c r="G5078" t="s">
        <v>75</v>
      </c>
      <c r="H5078">
        <v>2639.404</v>
      </c>
      <c r="I5078" t="s">
        <v>76</v>
      </c>
      <c r="J5078" t="s">
        <v>77</v>
      </c>
    </row>
    <row r="5079" spans="1:11" x14ac:dyDescent="0.3">
      <c r="A5079" t="s">
        <v>83</v>
      </c>
      <c r="B5079">
        <v>1000</v>
      </c>
      <c r="C5079" t="s">
        <v>80</v>
      </c>
      <c r="D5079">
        <v>2.7922200000000002E-3</v>
      </c>
      <c r="E5079" t="s">
        <v>74</v>
      </c>
      <c r="F5079">
        <v>2.7922199999999999</v>
      </c>
      <c r="G5079" t="s">
        <v>75</v>
      </c>
      <c r="H5079">
        <v>2792.2249999999999</v>
      </c>
      <c r="I5079" t="s">
        <v>76</v>
      </c>
      <c r="J5079" t="s">
        <v>77</v>
      </c>
    </row>
    <row r="5080" spans="1:11" x14ac:dyDescent="0.3">
      <c r="A5080" t="s">
        <v>83</v>
      </c>
      <c r="B5080">
        <v>1000</v>
      </c>
      <c r="C5080" t="s">
        <v>81</v>
      </c>
      <c r="D5080">
        <v>2.79343E-3</v>
      </c>
      <c r="E5080" t="s">
        <v>74</v>
      </c>
      <c r="F5080">
        <v>2.7934299999999999</v>
      </c>
      <c r="G5080" t="s">
        <v>75</v>
      </c>
      <c r="H5080">
        <v>2793.4270000000001</v>
      </c>
      <c r="I5080" t="s">
        <v>76</v>
      </c>
      <c r="J5080" t="s">
        <v>82</v>
      </c>
      <c r="K5080">
        <v>357.9831934</v>
      </c>
    </row>
    <row r="5081" spans="1:11" x14ac:dyDescent="0.3">
      <c r="A5081" t="s">
        <v>84</v>
      </c>
      <c r="B5081">
        <v>1</v>
      </c>
      <c r="C5081" t="s">
        <v>91</v>
      </c>
      <c r="D5081">
        <v>0.1010839</v>
      </c>
      <c r="E5081" t="s">
        <v>74</v>
      </c>
      <c r="F5081">
        <v>101.0839</v>
      </c>
      <c r="G5081" t="s">
        <v>75</v>
      </c>
      <c r="H5081">
        <v>101083.897</v>
      </c>
      <c r="I5081" t="s">
        <v>76</v>
      </c>
      <c r="J5081" t="s">
        <v>77</v>
      </c>
    </row>
    <row r="5082" spans="1:11" x14ac:dyDescent="0.3">
      <c r="A5082" t="s">
        <v>84</v>
      </c>
      <c r="B5082">
        <v>1</v>
      </c>
      <c r="C5082" t="s">
        <v>92</v>
      </c>
      <c r="D5082">
        <v>6.0650000000000005E-4</v>
      </c>
      <c r="E5082" t="s">
        <v>74</v>
      </c>
      <c r="F5082">
        <v>0.60650000000000004</v>
      </c>
      <c r="G5082" t="s">
        <v>75</v>
      </c>
      <c r="H5082">
        <v>606.5</v>
      </c>
      <c r="I5082" t="s">
        <v>76</v>
      </c>
      <c r="J5082" t="s">
        <v>77</v>
      </c>
    </row>
    <row r="5083" spans="1:11" x14ac:dyDescent="0.3">
      <c r="A5083" t="s">
        <v>84</v>
      </c>
      <c r="B5083">
        <v>1</v>
      </c>
      <c r="C5083" t="s">
        <v>93</v>
      </c>
      <c r="D5083">
        <v>7.8223299999999996E-2</v>
      </c>
      <c r="E5083" t="s">
        <v>74</v>
      </c>
      <c r="F5083">
        <v>78.223299999999995</v>
      </c>
      <c r="G5083" t="s">
        <v>75</v>
      </c>
      <c r="H5083">
        <v>78223.303</v>
      </c>
      <c r="I5083" t="s">
        <v>76</v>
      </c>
      <c r="J5083" t="s">
        <v>77</v>
      </c>
    </row>
    <row r="5084" spans="1:11" x14ac:dyDescent="0.3">
      <c r="A5084" t="s">
        <v>84</v>
      </c>
      <c r="B5084">
        <v>1001</v>
      </c>
      <c r="C5084" t="s">
        <v>79</v>
      </c>
      <c r="D5084">
        <v>1.7992999999999999E-4</v>
      </c>
      <c r="E5084" t="s">
        <v>74</v>
      </c>
      <c r="F5084">
        <v>0.17993000000000001</v>
      </c>
      <c r="G5084" t="s">
        <v>75</v>
      </c>
      <c r="H5084">
        <v>179.928</v>
      </c>
      <c r="I5084" t="s">
        <v>76</v>
      </c>
      <c r="J5084" t="s">
        <v>77</v>
      </c>
    </row>
    <row r="5085" spans="1:11" x14ac:dyDescent="0.3">
      <c r="A5085" t="s">
        <v>84</v>
      </c>
      <c r="B5085">
        <v>1001</v>
      </c>
      <c r="C5085" t="s">
        <v>94</v>
      </c>
      <c r="D5085">
        <v>2.6459600000000002E-3</v>
      </c>
      <c r="E5085" t="s">
        <v>74</v>
      </c>
      <c r="F5085">
        <v>2.6459600000000001</v>
      </c>
      <c r="G5085" t="s">
        <v>75</v>
      </c>
      <c r="H5085">
        <v>2645.9569999999999</v>
      </c>
      <c r="I5085" t="s">
        <v>76</v>
      </c>
      <c r="J5085" t="s">
        <v>77</v>
      </c>
    </row>
    <row r="5086" spans="1:11" x14ac:dyDescent="0.3">
      <c r="A5086" t="s">
        <v>84</v>
      </c>
      <c r="B5086">
        <v>1001</v>
      </c>
      <c r="C5086" t="s">
        <v>80</v>
      </c>
      <c r="D5086">
        <v>2.7986299999999999E-3</v>
      </c>
      <c r="E5086" t="s">
        <v>74</v>
      </c>
      <c r="F5086">
        <v>2.7986300000000002</v>
      </c>
      <c r="G5086" t="s">
        <v>75</v>
      </c>
      <c r="H5086">
        <v>2798.6260000000002</v>
      </c>
      <c r="I5086" t="s">
        <v>76</v>
      </c>
      <c r="J5086" t="s">
        <v>77</v>
      </c>
    </row>
    <row r="5087" spans="1:11" x14ac:dyDescent="0.3">
      <c r="A5087" t="s">
        <v>84</v>
      </c>
      <c r="B5087">
        <v>1001</v>
      </c>
      <c r="C5087" t="s">
        <v>81</v>
      </c>
      <c r="D5087">
        <v>2.97957E-3</v>
      </c>
      <c r="E5087" t="s">
        <v>74</v>
      </c>
      <c r="F5087">
        <v>2.9795699999999998</v>
      </c>
      <c r="G5087" t="s">
        <v>75</v>
      </c>
      <c r="H5087">
        <v>2979.5650000000001</v>
      </c>
      <c r="I5087" t="s">
        <v>76</v>
      </c>
      <c r="J5087" t="s">
        <v>82</v>
      </c>
      <c r="K5087">
        <v>335.61945050000003</v>
      </c>
    </row>
    <row r="5088" spans="1:11" x14ac:dyDescent="0.3">
      <c r="A5088" t="s">
        <v>85</v>
      </c>
      <c r="B5088">
        <v>1001</v>
      </c>
      <c r="C5088" t="s">
        <v>86</v>
      </c>
      <c r="D5088">
        <v>2.9797600000000001E-3</v>
      </c>
      <c r="E5088" t="s">
        <v>74</v>
      </c>
      <c r="F5088">
        <v>2.9797600000000002</v>
      </c>
      <c r="G5088" t="s">
        <v>75</v>
      </c>
      <c r="H5088">
        <v>2979.759</v>
      </c>
      <c r="I5088" t="s">
        <v>76</v>
      </c>
      <c r="J5088" t="s">
        <v>82</v>
      </c>
      <c r="K5088">
        <v>335.59761329999998</v>
      </c>
    </row>
    <row r="5089" spans="1:11" x14ac:dyDescent="0.3">
      <c r="A5089" t="s">
        <v>115</v>
      </c>
    </row>
    <row r="5090" spans="1:11" x14ac:dyDescent="0.3">
      <c r="A5090" t="s">
        <v>127</v>
      </c>
    </row>
    <row r="5091" spans="1:11" x14ac:dyDescent="0.3">
      <c r="A5091" t="s">
        <v>87</v>
      </c>
    </row>
    <row r="5092" spans="1:11" x14ac:dyDescent="0.3">
      <c r="A5092" t="s">
        <v>273</v>
      </c>
    </row>
    <row r="5093" spans="1:11" x14ac:dyDescent="0.3">
      <c r="A5093" t="s">
        <v>72</v>
      </c>
      <c r="B5093">
        <v>1</v>
      </c>
      <c r="C5093" t="s">
        <v>81</v>
      </c>
      <c r="D5093">
        <v>0.18911681</v>
      </c>
      <c r="E5093" t="s">
        <v>74</v>
      </c>
      <c r="F5093">
        <v>189.11680999999999</v>
      </c>
      <c r="G5093" t="s">
        <v>75</v>
      </c>
      <c r="H5093">
        <v>189116.80600000001</v>
      </c>
      <c r="I5093" t="s">
        <v>76</v>
      </c>
      <c r="J5093" t="s">
        <v>82</v>
      </c>
      <c r="K5093">
        <v>5.2877374000000001</v>
      </c>
    </row>
    <row r="5094" spans="1:11" x14ac:dyDescent="0.3">
      <c r="A5094" t="s">
        <v>83</v>
      </c>
      <c r="B5094">
        <v>1000</v>
      </c>
      <c r="C5094" t="s">
        <v>81</v>
      </c>
      <c r="D5094">
        <v>2.79343E-3</v>
      </c>
      <c r="E5094" t="s">
        <v>74</v>
      </c>
      <c r="F5094">
        <v>2.7934299999999999</v>
      </c>
      <c r="G5094" t="s">
        <v>75</v>
      </c>
      <c r="H5094">
        <v>2793.4270000000001</v>
      </c>
      <c r="I5094" t="s">
        <v>76</v>
      </c>
      <c r="J5094" t="s">
        <v>82</v>
      </c>
      <c r="K5094">
        <v>357.9831934</v>
      </c>
    </row>
    <row r="5095" spans="1:11" x14ac:dyDescent="0.3">
      <c r="A5095" t="s">
        <v>85</v>
      </c>
      <c r="B5095">
        <v>1001</v>
      </c>
      <c r="C5095" t="s">
        <v>86</v>
      </c>
      <c r="D5095">
        <v>2.9797600000000001E-3</v>
      </c>
      <c r="E5095" t="s">
        <v>74</v>
      </c>
      <c r="F5095">
        <v>2.9797600000000002</v>
      </c>
      <c r="G5095" t="s">
        <v>75</v>
      </c>
      <c r="H5095">
        <v>2979.759</v>
      </c>
      <c r="I5095" t="s">
        <v>76</v>
      </c>
      <c r="J5095" t="s">
        <v>82</v>
      </c>
      <c r="K5095">
        <v>335.59761329999998</v>
      </c>
    </row>
    <row r="5097" spans="1:11" x14ac:dyDescent="0.3">
      <c r="A5097" t="s">
        <v>66</v>
      </c>
    </row>
    <row r="5099" spans="1:11" x14ac:dyDescent="0.3">
      <c r="A5099" t="s">
        <v>344</v>
      </c>
    </row>
    <row r="5100" spans="1:11" x14ac:dyDescent="0.3">
      <c r="A5100" t="s">
        <v>68</v>
      </c>
    </row>
    <row r="5101" spans="1:11" x14ac:dyDescent="0.3">
      <c r="A5101" t="s">
        <v>69</v>
      </c>
    </row>
    <row r="5102" spans="1:11" x14ac:dyDescent="0.3">
      <c r="A5102" t="s">
        <v>70</v>
      </c>
    </row>
    <row r="5103" spans="1:11" x14ac:dyDescent="0.3">
      <c r="A5103" t="s">
        <v>115</v>
      </c>
    </row>
    <row r="5104" spans="1:11" x14ac:dyDescent="0.3">
      <c r="A5104" t="s">
        <v>266</v>
      </c>
    </row>
    <row r="5105" spans="1:10" x14ac:dyDescent="0.3">
      <c r="A5105" t="s">
        <v>267</v>
      </c>
    </row>
    <row r="5106" spans="1:10" x14ac:dyDescent="0.3">
      <c r="A5106" t="s">
        <v>118</v>
      </c>
    </row>
    <row r="5107" spans="1:10" x14ac:dyDescent="0.3">
      <c r="A5107" t="s">
        <v>119</v>
      </c>
    </row>
    <row r="5108" spans="1:10" x14ac:dyDescent="0.3">
      <c r="A5108" t="s">
        <v>268</v>
      </c>
    </row>
    <row r="5109" spans="1:10" x14ac:dyDescent="0.3">
      <c r="A5109" t="s">
        <v>269</v>
      </c>
    </row>
    <row r="5110" spans="1:10" x14ac:dyDescent="0.3">
      <c r="A5110" t="s">
        <v>122</v>
      </c>
    </row>
    <row r="5111" spans="1:10" x14ac:dyDescent="0.3">
      <c r="A5111" t="s">
        <v>270</v>
      </c>
    </row>
    <row r="5112" spans="1:10" x14ac:dyDescent="0.3">
      <c r="A5112" t="s">
        <v>271</v>
      </c>
    </row>
    <row r="5113" spans="1:10" x14ac:dyDescent="0.3">
      <c r="A5113" t="s">
        <v>125</v>
      </c>
    </row>
    <row r="5114" spans="1:10" x14ac:dyDescent="0.3">
      <c r="A5114" t="s">
        <v>126</v>
      </c>
    </row>
    <row r="5115" spans="1:10" x14ac:dyDescent="0.3">
      <c r="A5115" t="s">
        <v>127</v>
      </c>
    </row>
    <row r="5116" spans="1:10" x14ac:dyDescent="0.3">
      <c r="A5116" t="s">
        <v>132</v>
      </c>
    </row>
    <row r="5117" spans="1:10" x14ac:dyDescent="0.3">
      <c r="A5117" t="s">
        <v>275</v>
      </c>
    </row>
    <row r="5118" spans="1:10" x14ac:dyDescent="0.3">
      <c r="A5118" t="s">
        <v>72</v>
      </c>
      <c r="B5118">
        <v>1</v>
      </c>
      <c r="C5118" t="s">
        <v>73</v>
      </c>
      <c r="D5118">
        <v>3.5999999999999998E-6</v>
      </c>
      <c r="E5118" t="s">
        <v>74</v>
      </c>
      <c r="F5118">
        <v>3.5999999999999999E-3</v>
      </c>
      <c r="G5118" t="s">
        <v>75</v>
      </c>
      <c r="H5118">
        <v>3.6</v>
      </c>
      <c r="I5118" t="s">
        <v>76</v>
      </c>
      <c r="J5118" t="s">
        <v>77</v>
      </c>
    </row>
    <row r="5119" spans="1:10" x14ac:dyDescent="0.3">
      <c r="A5119" t="s">
        <v>72</v>
      </c>
      <c r="B5119">
        <v>1</v>
      </c>
      <c r="C5119" t="s">
        <v>78</v>
      </c>
      <c r="D5119">
        <v>0.15116209999999999</v>
      </c>
      <c r="E5119" t="s">
        <v>74</v>
      </c>
      <c r="F5119">
        <v>151.16210000000001</v>
      </c>
      <c r="G5119" t="s">
        <v>75</v>
      </c>
      <c r="H5119">
        <v>151162.103</v>
      </c>
      <c r="I5119" t="s">
        <v>76</v>
      </c>
      <c r="J5119" t="s">
        <v>77</v>
      </c>
    </row>
    <row r="5120" spans="1:10" x14ac:dyDescent="0.3">
      <c r="A5120" t="s">
        <v>72</v>
      </c>
      <c r="B5120">
        <v>1</v>
      </c>
      <c r="C5120" t="s">
        <v>79</v>
      </c>
      <c r="D5120">
        <v>0.1112197</v>
      </c>
      <c r="E5120" t="s">
        <v>74</v>
      </c>
      <c r="F5120">
        <v>111.2197</v>
      </c>
      <c r="G5120" t="s">
        <v>75</v>
      </c>
      <c r="H5120">
        <v>111219.697</v>
      </c>
      <c r="I5120" t="s">
        <v>76</v>
      </c>
      <c r="J5120" t="s">
        <v>77</v>
      </c>
    </row>
    <row r="5121" spans="1:11" x14ac:dyDescent="0.3">
      <c r="A5121" t="s">
        <v>72</v>
      </c>
      <c r="B5121">
        <v>1</v>
      </c>
      <c r="C5121" t="s">
        <v>94</v>
      </c>
      <c r="D5121">
        <v>9.4477999999999993E-3</v>
      </c>
      <c r="E5121" t="s">
        <v>74</v>
      </c>
      <c r="F5121">
        <v>9.4478000000000009</v>
      </c>
      <c r="G5121" t="s">
        <v>75</v>
      </c>
      <c r="H5121">
        <v>9447.7999999999993</v>
      </c>
      <c r="I5121" t="s">
        <v>76</v>
      </c>
      <c r="J5121" t="s">
        <v>77</v>
      </c>
    </row>
    <row r="5122" spans="1:11" x14ac:dyDescent="0.3">
      <c r="A5122" t="s">
        <v>72</v>
      </c>
      <c r="B5122">
        <v>1</v>
      </c>
      <c r="C5122" t="s">
        <v>80</v>
      </c>
      <c r="D5122">
        <v>9.4483999999999992E-3</v>
      </c>
      <c r="E5122" t="s">
        <v>74</v>
      </c>
      <c r="F5122">
        <v>9.4483999999999995</v>
      </c>
      <c r="G5122" t="s">
        <v>75</v>
      </c>
      <c r="H5122">
        <v>9448.4</v>
      </c>
      <c r="I5122" t="s">
        <v>76</v>
      </c>
      <c r="J5122" t="s">
        <v>77</v>
      </c>
    </row>
    <row r="5123" spans="1:11" x14ac:dyDescent="0.3">
      <c r="A5123" t="s">
        <v>72</v>
      </c>
      <c r="B5123">
        <v>1</v>
      </c>
      <c r="C5123" t="s">
        <v>81</v>
      </c>
      <c r="D5123">
        <v>0.1206704</v>
      </c>
      <c r="E5123" t="s">
        <v>74</v>
      </c>
      <c r="F5123">
        <v>120.6704</v>
      </c>
      <c r="G5123" t="s">
        <v>75</v>
      </c>
      <c r="H5123">
        <v>120670.401</v>
      </c>
      <c r="I5123" t="s">
        <v>76</v>
      </c>
      <c r="J5123" t="s">
        <v>82</v>
      </c>
      <c r="K5123">
        <v>8.2870363999999999</v>
      </c>
    </row>
    <row r="5124" spans="1:11" x14ac:dyDescent="0.3">
      <c r="A5124" t="s">
        <v>83</v>
      </c>
      <c r="B5124">
        <v>1000</v>
      </c>
      <c r="C5124" t="s">
        <v>79</v>
      </c>
      <c r="D5124">
        <v>2.3999999999999998E-7</v>
      </c>
      <c r="E5124" t="s">
        <v>74</v>
      </c>
      <c r="F5124">
        <v>2.4000000000000001E-4</v>
      </c>
      <c r="G5124" t="s">
        <v>75</v>
      </c>
      <c r="H5124">
        <v>0.24199999999999999</v>
      </c>
      <c r="I5124" t="s">
        <v>76</v>
      </c>
      <c r="J5124" t="s">
        <v>77</v>
      </c>
    </row>
    <row r="5125" spans="1:11" x14ac:dyDescent="0.3">
      <c r="A5125" t="s">
        <v>83</v>
      </c>
      <c r="B5125">
        <v>1000</v>
      </c>
      <c r="C5125" t="s">
        <v>94</v>
      </c>
      <c r="D5125">
        <v>2.6399599999999998E-3</v>
      </c>
      <c r="E5125" t="s">
        <v>74</v>
      </c>
      <c r="F5125">
        <v>2.6399599999999999</v>
      </c>
      <c r="G5125" t="s">
        <v>75</v>
      </c>
      <c r="H5125">
        <v>2639.962</v>
      </c>
      <c r="I5125" t="s">
        <v>76</v>
      </c>
      <c r="J5125" t="s">
        <v>77</v>
      </c>
    </row>
    <row r="5126" spans="1:11" x14ac:dyDescent="0.3">
      <c r="A5126" t="s">
        <v>83</v>
      </c>
      <c r="B5126">
        <v>1000</v>
      </c>
      <c r="C5126" t="s">
        <v>80</v>
      </c>
      <c r="D5126">
        <v>2.7902199999999999E-3</v>
      </c>
      <c r="E5126" t="s">
        <v>74</v>
      </c>
      <c r="F5126">
        <v>2.7902200000000001</v>
      </c>
      <c r="G5126" t="s">
        <v>75</v>
      </c>
      <c r="H5126">
        <v>2790.22</v>
      </c>
      <c r="I5126" t="s">
        <v>76</v>
      </c>
      <c r="J5126" t="s">
        <v>77</v>
      </c>
    </row>
    <row r="5127" spans="1:11" x14ac:dyDescent="0.3">
      <c r="A5127" t="s">
        <v>83</v>
      </c>
      <c r="B5127">
        <v>1000</v>
      </c>
      <c r="C5127" t="s">
        <v>81</v>
      </c>
      <c r="D5127">
        <v>2.7913E-3</v>
      </c>
      <c r="E5127" t="s">
        <v>74</v>
      </c>
      <c r="F5127">
        <v>2.7913000000000001</v>
      </c>
      <c r="G5127" t="s">
        <v>75</v>
      </c>
      <c r="H5127">
        <v>2791.2979999999998</v>
      </c>
      <c r="I5127" t="s">
        <v>76</v>
      </c>
      <c r="J5127" t="s">
        <v>82</v>
      </c>
      <c r="K5127">
        <v>358.25621649999999</v>
      </c>
    </row>
    <row r="5128" spans="1:11" x14ac:dyDescent="0.3">
      <c r="A5128" t="s">
        <v>84</v>
      </c>
      <c r="B5128">
        <v>1001</v>
      </c>
      <c r="C5128" t="s">
        <v>79</v>
      </c>
      <c r="D5128">
        <v>1.1135E-4</v>
      </c>
      <c r="E5128" t="s">
        <v>74</v>
      </c>
      <c r="F5128">
        <v>0.11135</v>
      </c>
      <c r="G5128" t="s">
        <v>75</v>
      </c>
      <c r="H5128">
        <v>111.35</v>
      </c>
      <c r="I5128" t="s">
        <v>76</v>
      </c>
      <c r="J5128" t="s">
        <v>77</v>
      </c>
    </row>
    <row r="5129" spans="1:11" x14ac:dyDescent="0.3">
      <c r="A5129" t="s">
        <v>84</v>
      </c>
      <c r="B5129">
        <v>1001</v>
      </c>
      <c r="C5129" t="s">
        <v>94</v>
      </c>
      <c r="D5129">
        <v>2.6467600000000002E-3</v>
      </c>
      <c r="E5129" t="s">
        <v>74</v>
      </c>
      <c r="F5129">
        <v>2.64676</v>
      </c>
      <c r="G5129" t="s">
        <v>75</v>
      </c>
      <c r="H5129">
        <v>2646.7629999999999</v>
      </c>
      <c r="I5129" t="s">
        <v>76</v>
      </c>
      <c r="J5129" t="s">
        <v>77</v>
      </c>
    </row>
    <row r="5130" spans="1:11" x14ac:dyDescent="0.3">
      <c r="A5130" t="s">
        <v>84</v>
      </c>
      <c r="B5130">
        <v>1001</v>
      </c>
      <c r="C5130" t="s">
        <v>80</v>
      </c>
      <c r="D5130">
        <v>2.7968699999999999E-3</v>
      </c>
      <c r="E5130" t="s">
        <v>74</v>
      </c>
      <c r="F5130">
        <v>2.7968700000000002</v>
      </c>
      <c r="G5130" t="s">
        <v>75</v>
      </c>
      <c r="H5130">
        <v>2796.8719999999998</v>
      </c>
      <c r="I5130" t="s">
        <v>76</v>
      </c>
      <c r="J5130" t="s">
        <v>77</v>
      </c>
    </row>
    <row r="5131" spans="1:11" x14ac:dyDescent="0.3">
      <c r="A5131" t="s">
        <v>84</v>
      </c>
      <c r="B5131">
        <v>1001</v>
      </c>
      <c r="C5131" t="s">
        <v>81</v>
      </c>
      <c r="D5131">
        <v>2.9090600000000002E-3</v>
      </c>
      <c r="E5131" t="s">
        <v>74</v>
      </c>
      <c r="F5131">
        <v>2.9090600000000002</v>
      </c>
      <c r="G5131" t="s">
        <v>75</v>
      </c>
      <c r="H5131">
        <v>2909.058</v>
      </c>
      <c r="I5131" t="s">
        <v>76</v>
      </c>
      <c r="J5131" t="s">
        <v>82</v>
      </c>
      <c r="K5131">
        <v>343.75383470000003</v>
      </c>
    </row>
    <row r="5132" spans="1:11" x14ac:dyDescent="0.3">
      <c r="A5132" t="s">
        <v>85</v>
      </c>
      <c r="B5132">
        <v>1001</v>
      </c>
      <c r="C5132" t="s">
        <v>86</v>
      </c>
      <c r="D5132">
        <v>2.90924E-3</v>
      </c>
      <c r="E5132" t="s">
        <v>74</v>
      </c>
      <c r="F5132">
        <v>2.90924</v>
      </c>
      <c r="G5132" t="s">
        <v>75</v>
      </c>
      <c r="H5132">
        <v>2909.2429999999999</v>
      </c>
      <c r="I5132" t="s">
        <v>76</v>
      </c>
      <c r="J5132" t="s">
        <v>82</v>
      </c>
      <c r="K5132">
        <v>343.73202370000001</v>
      </c>
    </row>
    <row r="5133" spans="1:11" x14ac:dyDescent="0.3">
      <c r="A5133" t="s">
        <v>134</v>
      </c>
    </row>
    <row r="5134" spans="1:11" x14ac:dyDescent="0.3">
      <c r="A5134" t="s">
        <v>276</v>
      </c>
    </row>
    <row r="5135" spans="1:11" x14ac:dyDescent="0.3">
      <c r="A5135" t="s">
        <v>72</v>
      </c>
      <c r="B5135">
        <v>1</v>
      </c>
      <c r="C5135" t="s">
        <v>73</v>
      </c>
      <c r="D5135">
        <v>3.5999999999999998E-6</v>
      </c>
      <c r="E5135" t="s">
        <v>74</v>
      </c>
      <c r="F5135">
        <v>3.5999999999999999E-3</v>
      </c>
      <c r="G5135" t="s">
        <v>75</v>
      </c>
      <c r="H5135">
        <v>3.6</v>
      </c>
      <c r="I5135" t="s">
        <v>76</v>
      </c>
      <c r="J5135" t="s">
        <v>77</v>
      </c>
    </row>
    <row r="5136" spans="1:11" x14ac:dyDescent="0.3">
      <c r="A5136" t="s">
        <v>72</v>
      </c>
      <c r="B5136">
        <v>1</v>
      </c>
      <c r="C5136" t="s">
        <v>78</v>
      </c>
      <c r="D5136">
        <v>1.154E-4</v>
      </c>
      <c r="E5136" t="s">
        <v>74</v>
      </c>
      <c r="F5136">
        <v>0.1154</v>
      </c>
      <c r="G5136" t="s">
        <v>75</v>
      </c>
      <c r="H5136">
        <v>115.4</v>
      </c>
      <c r="I5136" t="s">
        <v>76</v>
      </c>
      <c r="J5136" t="s">
        <v>77</v>
      </c>
    </row>
    <row r="5137" spans="1:11" x14ac:dyDescent="0.3">
      <c r="A5137" t="s">
        <v>72</v>
      </c>
      <c r="B5137">
        <v>1</v>
      </c>
      <c r="C5137" t="s">
        <v>79</v>
      </c>
      <c r="D5137">
        <v>0.1090632</v>
      </c>
      <c r="E5137" t="s">
        <v>74</v>
      </c>
      <c r="F5137">
        <v>109.06319999999999</v>
      </c>
      <c r="G5137" t="s">
        <v>75</v>
      </c>
      <c r="H5137">
        <v>109063.201</v>
      </c>
      <c r="I5137" t="s">
        <v>76</v>
      </c>
      <c r="J5137" t="s">
        <v>77</v>
      </c>
    </row>
    <row r="5138" spans="1:11" x14ac:dyDescent="0.3">
      <c r="A5138" t="s">
        <v>72</v>
      </c>
      <c r="B5138">
        <v>1</v>
      </c>
      <c r="C5138" t="s">
        <v>94</v>
      </c>
      <c r="D5138">
        <v>2.6013E-3</v>
      </c>
      <c r="E5138" t="s">
        <v>74</v>
      </c>
      <c r="F5138">
        <v>2.6013000000000002</v>
      </c>
      <c r="G5138" t="s">
        <v>75</v>
      </c>
      <c r="H5138">
        <v>2601.3000000000002</v>
      </c>
      <c r="I5138" t="s">
        <v>76</v>
      </c>
      <c r="J5138" t="s">
        <v>77</v>
      </c>
    </row>
    <row r="5139" spans="1:11" x14ac:dyDescent="0.3">
      <c r="A5139" t="s">
        <v>72</v>
      </c>
      <c r="B5139">
        <v>1</v>
      </c>
      <c r="C5139" t="s">
        <v>80</v>
      </c>
      <c r="D5139">
        <v>2.8154999999999999E-3</v>
      </c>
      <c r="E5139" t="s">
        <v>74</v>
      </c>
      <c r="F5139">
        <v>2.8155000000000001</v>
      </c>
      <c r="G5139" t="s">
        <v>75</v>
      </c>
      <c r="H5139">
        <v>2815.5</v>
      </c>
      <c r="I5139" t="s">
        <v>76</v>
      </c>
      <c r="J5139" t="s">
        <v>77</v>
      </c>
    </row>
    <row r="5140" spans="1:11" x14ac:dyDescent="0.3">
      <c r="A5140" t="s">
        <v>72</v>
      </c>
      <c r="B5140">
        <v>1</v>
      </c>
      <c r="C5140" t="s">
        <v>81</v>
      </c>
      <c r="D5140">
        <v>0.1118803</v>
      </c>
      <c r="E5140" t="s">
        <v>74</v>
      </c>
      <c r="F5140">
        <v>111.88030000000001</v>
      </c>
      <c r="G5140" t="s">
        <v>75</v>
      </c>
      <c r="H5140">
        <v>111880.302</v>
      </c>
      <c r="I5140" t="s">
        <v>76</v>
      </c>
      <c r="J5140" t="s">
        <v>82</v>
      </c>
      <c r="K5140">
        <v>8.9381239000000008</v>
      </c>
    </row>
    <row r="5141" spans="1:11" x14ac:dyDescent="0.3">
      <c r="A5141" t="s">
        <v>83</v>
      </c>
      <c r="B5141">
        <v>1000</v>
      </c>
      <c r="C5141" t="s">
        <v>79</v>
      </c>
      <c r="D5141">
        <v>2.2000000000000001E-7</v>
      </c>
      <c r="E5141" t="s">
        <v>74</v>
      </c>
      <c r="F5141">
        <v>2.2000000000000001E-4</v>
      </c>
      <c r="G5141" t="s">
        <v>75</v>
      </c>
      <c r="H5141">
        <v>0.219</v>
      </c>
      <c r="I5141" t="s">
        <v>76</v>
      </c>
      <c r="J5141" t="s">
        <v>77</v>
      </c>
    </row>
    <row r="5142" spans="1:11" x14ac:dyDescent="0.3">
      <c r="A5142" t="s">
        <v>83</v>
      </c>
      <c r="B5142">
        <v>1000</v>
      </c>
      <c r="C5142" t="s">
        <v>94</v>
      </c>
      <c r="D5142">
        <v>2.6141900000000002E-3</v>
      </c>
      <c r="E5142" t="s">
        <v>74</v>
      </c>
      <c r="F5142">
        <v>2.6141899999999998</v>
      </c>
      <c r="G5142" t="s">
        <v>75</v>
      </c>
      <c r="H5142">
        <v>2614.194</v>
      </c>
      <c r="I5142" t="s">
        <v>76</v>
      </c>
      <c r="J5142" t="s">
        <v>77</v>
      </c>
    </row>
    <row r="5143" spans="1:11" x14ac:dyDescent="0.3">
      <c r="A5143" t="s">
        <v>83</v>
      </c>
      <c r="B5143">
        <v>1000</v>
      </c>
      <c r="C5143" t="s">
        <v>80</v>
      </c>
      <c r="D5143">
        <v>2.76918E-3</v>
      </c>
      <c r="E5143" t="s">
        <v>74</v>
      </c>
      <c r="F5143">
        <v>2.76918</v>
      </c>
      <c r="G5143" t="s">
        <v>75</v>
      </c>
      <c r="H5143">
        <v>2769.181</v>
      </c>
      <c r="I5143" t="s">
        <v>76</v>
      </c>
      <c r="J5143" t="s">
        <v>77</v>
      </c>
    </row>
    <row r="5144" spans="1:11" x14ac:dyDescent="0.3">
      <c r="A5144" t="s">
        <v>83</v>
      </c>
      <c r="B5144">
        <v>1000</v>
      </c>
      <c r="C5144" t="s">
        <v>81</v>
      </c>
      <c r="D5144">
        <v>2.7702099999999999E-3</v>
      </c>
      <c r="E5144" t="s">
        <v>74</v>
      </c>
      <c r="F5144">
        <v>2.7702100000000001</v>
      </c>
      <c r="G5144" t="s">
        <v>75</v>
      </c>
      <c r="H5144">
        <v>2770.2089999999998</v>
      </c>
      <c r="I5144" t="s">
        <v>76</v>
      </c>
      <c r="J5144" t="s">
        <v>82</v>
      </c>
      <c r="K5144">
        <v>360.98355290000001</v>
      </c>
    </row>
    <row r="5145" spans="1:11" x14ac:dyDescent="0.3">
      <c r="A5145" t="s">
        <v>84</v>
      </c>
      <c r="B5145">
        <v>1001</v>
      </c>
      <c r="C5145" t="s">
        <v>79</v>
      </c>
      <c r="D5145">
        <v>1.0917E-4</v>
      </c>
      <c r="E5145" t="s">
        <v>74</v>
      </c>
      <c r="F5145">
        <v>0.10917</v>
      </c>
      <c r="G5145" t="s">
        <v>75</v>
      </c>
      <c r="H5145">
        <v>109.173</v>
      </c>
      <c r="I5145" t="s">
        <v>76</v>
      </c>
      <c r="J5145" t="s">
        <v>77</v>
      </c>
    </row>
    <row r="5146" spans="1:11" x14ac:dyDescent="0.3">
      <c r="A5146" t="s">
        <v>84</v>
      </c>
      <c r="B5146">
        <v>1001</v>
      </c>
      <c r="C5146" t="s">
        <v>94</v>
      </c>
      <c r="D5146">
        <v>2.6141799999999998E-3</v>
      </c>
      <c r="E5146" t="s">
        <v>74</v>
      </c>
      <c r="F5146">
        <v>2.6141800000000002</v>
      </c>
      <c r="G5146" t="s">
        <v>75</v>
      </c>
      <c r="H5146">
        <v>2614.181</v>
      </c>
      <c r="I5146" t="s">
        <v>76</v>
      </c>
      <c r="J5146" t="s">
        <v>77</v>
      </c>
    </row>
    <row r="5147" spans="1:11" x14ac:dyDescent="0.3">
      <c r="A5147" t="s">
        <v>84</v>
      </c>
      <c r="B5147">
        <v>1001</v>
      </c>
      <c r="C5147" t="s">
        <v>80</v>
      </c>
      <c r="D5147">
        <v>2.7692300000000001E-3</v>
      </c>
      <c r="E5147" t="s">
        <v>74</v>
      </c>
      <c r="F5147">
        <v>2.7692299999999999</v>
      </c>
      <c r="G5147" t="s">
        <v>75</v>
      </c>
      <c r="H5147">
        <v>2769.2269999999999</v>
      </c>
      <c r="I5147" t="s">
        <v>76</v>
      </c>
      <c r="J5147" t="s">
        <v>77</v>
      </c>
    </row>
    <row r="5148" spans="1:11" x14ac:dyDescent="0.3">
      <c r="A5148" t="s">
        <v>84</v>
      </c>
      <c r="B5148">
        <v>1001</v>
      </c>
      <c r="C5148" t="s">
        <v>81</v>
      </c>
      <c r="D5148">
        <v>2.8792100000000001E-3</v>
      </c>
      <c r="E5148" t="s">
        <v>74</v>
      </c>
      <c r="F5148">
        <v>2.87921</v>
      </c>
      <c r="G5148" t="s">
        <v>75</v>
      </c>
      <c r="H5148">
        <v>2879.21</v>
      </c>
      <c r="I5148" t="s">
        <v>76</v>
      </c>
      <c r="J5148" t="s">
        <v>82</v>
      </c>
      <c r="K5148">
        <v>347.31747330000002</v>
      </c>
    </row>
    <row r="5149" spans="1:11" x14ac:dyDescent="0.3">
      <c r="A5149" t="s">
        <v>85</v>
      </c>
      <c r="B5149">
        <v>1001</v>
      </c>
      <c r="C5149" t="s">
        <v>86</v>
      </c>
      <c r="D5149">
        <v>2.87937E-3</v>
      </c>
      <c r="E5149" t="s">
        <v>74</v>
      </c>
      <c r="F5149">
        <v>2.8793700000000002</v>
      </c>
      <c r="G5149" t="s">
        <v>75</v>
      </c>
      <c r="H5149">
        <v>2879.366</v>
      </c>
      <c r="I5149" t="s">
        <v>76</v>
      </c>
      <c r="J5149" t="s">
        <v>82</v>
      </c>
      <c r="K5149">
        <v>347.29862639999999</v>
      </c>
    </row>
    <row r="5150" spans="1:11" x14ac:dyDescent="0.3">
      <c r="A5150" t="s">
        <v>115</v>
      </c>
    </row>
    <row r="5151" spans="1:11" x14ac:dyDescent="0.3">
      <c r="A5151" t="s">
        <v>127</v>
      </c>
    </row>
    <row r="5152" spans="1:11" x14ac:dyDescent="0.3">
      <c r="A5152" t="s">
        <v>87</v>
      </c>
    </row>
    <row r="5153" spans="1:11" x14ac:dyDescent="0.3">
      <c r="A5153" t="s">
        <v>277</v>
      </c>
    </row>
    <row r="5154" spans="1:11" x14ac:dyDescent="0.3">
      <c r="A5154" t="s">
        <v>72</v>
      </c>
      <c r="B5154">
        <v>1</v>
      </c>
      <c r="C5154" t="s">
        <v>81</v>
      </c>
      <c r="D5154">
        <v>0.1206704</v>
      </c>
      <c r="E5154" t="s">
        <v>74</v>
      </c>
      <c r="F5154">
        <v>120.6704</v>
      </c>
      <c r="G5154" t="s">
        <v>75</v>
      </c>
      <c r="H5154">
        <v>120670.401</v>
      </c>
      <c r="I5154" t="s">
        <v>76</v>
      </c>
      <c r="J5154" t="s">
        <v>82</v>
      </c>
      <c r="K5154">
        <v>8.2870363999999999</v>
      </c>
    </row>
    <row r="5155" spans="1:11" x14ac:dyDescent="0.3">
      <c r="A5155" t="s">
        <v>83</v>
      </c>
      <c r="B5155">
        <v>1000</v>
      </c>
      <c r="C5155" t="s">
        <v>81</v>
      </c>
      <c r="D5155">
        <v>2.7913E-3</v>
      </c>
      <c r="E5155" t="s">
        <v>74</v>
      </c>
      <c r="F5155">
        <v>2.7913000000000001</v>
      </c>
      <c r="G5155" t="s">
        <v>75</v>
      </c>
      <c r="H5155">
        <v>2791.2979999999998</v>
      </c>
      <c r="I5155" t="s">
        <v>76</v>
      </c>
      <c r="J5155" t="s">
        <v>82</v>
      </c>
      <c r="K5155">
        <v>358.25621649999999</v>
      </c>
    </row>
    <row r="5156" spans="1:11" x14ac:dyDescent="0.3">
      <c r="A5156" t="s">
        <v>85</v>
      </c>
      <c r="B5156">
        <v>1001</v>
      </c>
      <c r="C5156" t="s">
        <v>86</v>
      </c>
      <c r="D5156">
        <v>2.90924E-3</v>
      </c>
      <c r="E5156" t="s">
        <v>74</v>
      </c>
      <c r="F5156">
        <v>2.90924</v>
      </c>
      <c r="G5156" t="s">
        <v>75</v>
      </c>
      <c r="H5156">
        <v>2909.2429999999999</v>
      </c>
      <c r="I5156" t="s">
        <v>76</v>
      </c>
      <c r="J5156" t="s">
        <v>82</v>
      </c>
      <c r="K5156">
        <v>343.73202370000001</v>
      </c>
    </row>
    <row r="5158" spans="1:11" x14ac:dyDescent="0.3">
      <c r="A5158" t="s">
        <v>278</v>
      </c>
    </row>
    <row r="5159" spans="1:11" x14ac:dyDescent="0.3">
      <c r="A5159" t="s">
        <v>72</v>
      </c>
      <c r="B5159">
        <v>1</v>
      </c>
      <c r="C5159" t="s">
        <v>81</v>
      </c>
      <c r="D5159">
        <v>0.1118803</v>
      </c>
      <c r="E5159" t="s">
        <v>74</v>
      </c>
      <c r="F5159">
        <v>111.88030000000001</v>
      </c>
      <c r="G5159" t="s">
        <v>75</v>
      </c>
      <c r="H5159">
        <v>111880.302</v>
      </c>
      <c r="I5159" t="s">
        <v>76</v>
      </c>
      <c r="J5159" t="s">
        <v>82</v>
      </c>
      <c r="K5159">
        <v>8.9381239000000008</v>
      </c>
    </row>
    <row r="5160" spans="1:11" x14ac:dyDescent="0.3">
      <c r="A5160" t="s">
        <v>83</v>
      </c>
      <c r="B5160">
        <v>1000</v>
      </c>
      <c r="C5160" t="s">
        <v>81</v>
      </c>
      <c r="D5160">
        <v>2.7702099999999999E-3</v>
      </c>
      <c r="E5160" t="s">
        <v>74</v>
      </c>
      <c r="F5160">
        <v>2.7702100000000001</v>
      </c>
      <c r="G5160" t="s">
        <v>75</v>
      </c>
      <c r="H5160">
        <v>2770.2089999999998</v>
      </c>
      <c r="I5160" t="s">
        <v>76</v>
      </c>
      <c r="J5160" t="s">
        <v>82</v>
      </c>
      <c r="K5160">
        <v>360.98355290000001</v>
      </c>
    </row>
    <row r="5161" spans="1:11" x14ac:dyDescent="0.3">
      <c r="A5161" t="s">
        <v>85</v>
      </c>
      <c r="B5161">
        <v>1001</v>
      </c>
      <c r="C5161" t="s">
        <v>86</v>
      </c>
      <c r="D5161">
        <v>2.87937E-3</v>
      </c>
      <c r="E5161" t="s">
        <v>74</v>
      </c>
      <c r="F5161">
        <v>2.8793700000000002</v>
      </c>
      <c r="G5161" t="s">
        <v>75</v>
      </c>
      <c r="H5161">
        <v>2879.366</v>
      </c>
      <c r="I5161" t="s">
        <v>76</v>
      </c>
      <c r="J5161" t="s">
        <v>82</v>
      </c>
      <c r="K5161">
        <v>347.29862639999999</v>
      </c>
    </row>
    <row r="5163" spans="1:11" x14ac:dyDescent="0.3">
      <c r="A5163" t="s">
        <v>66</v>
      </c>
    </row>
    <row r="5165" spans="1:11" x14ac:dyDescent="0.3">
      <c r="A5165" t="s">
        <v>345</v>
      </c>
    </row>
    <row r="5166" spans="1:11" x14ac:dyDescent="0.3">
      <c r="A5166" t="s">
        <v>68</v>
      </c>
    </row>
    <row r="5167" spans="1:11" x14ac:dyDescent="0.3">
      <c r="A5167" t="s">
        <v>69</v>
      </c>
    </row>
    <row r="5168" spans="1:11" x14ac:dyDescent="0.3">
      <c r="A5168" t="s">
        <v>70</v>
      </c>
    </row>
    <row r="5169" spans="1:10" x14ac:dyDescent="0.3">
      <c r="A5169" t="s">
        <v>115</v>
      </c>
    </row>
    <row r="5170" spans="1:10" x14ac:dyDescent="0.3">
      <c r="A5170" t="s">
        <v>266</v>
      </c>
    </row>
    <row r="5171" spans="1:10" x14ac:dyDescent="0.3">
      <c r="A5171" t="s">
        <v>267</v>
      </c>
    </row>
    <row r="5172" spans="1:10" x14ac:dyDescent="0.3">
      <c r="A5172" t="s">
        <v>118</v>
      </c>
    </row>
    <row r="5173" spans="1:10" x14ac:dyDescent="0.3">
      <c r="A5173" t="s">
        <v>119</v>
      </c>
    </row>
    <row r="5174" spans="1:10" x14ac:dyDescent="0.3">
      <c r="A5174" t="s">
        <v>268</v>
      </c>
    </row>
    <row r="5175" spans="1:10" x14ac:dyDescent="0.3">
      <c r="A5175" t="s">
        <v>269</v>
      </c>
    </row>
    <row r="5176" spans="1:10" x14ac:dyDescent="0.3">
      <c r="A5176" t="s">
        <v>122</v>
      </c>
    </row>
    <row r="5177" spans="1:10" x14ac:dyDescent="0.3">
      <c r="A5177" t="s">
        <v>270</v>
      </c>
    </row>
    <row r="5178" spans="1:10" x14ac:dyDescent="0.3">
      <c r="A5178" t="s">
        <v>271</v>
      </c>
    </row>
    <row r="5179" spans="1:10" x14ac:dyDescent="0.3">
      <c r="A5179" t="s">
        <v>125</v>
      </c>
    </row>
    <row r="5180" spans="1:10" x14ac:dyDescent="0.3">
      <c r="A5180" t="s">
        <v>126</v>
      </c>
    </row>
    <row r="5181" spans="1:10" x14ac:dyDescent="0.3">
      <c r="A5181" t="s">
        <v>127</v>
      </c>
    </row>
    <row r="5182" spans="1:10" x14ac:dyDescent="0.3">
      <c r="A5182" t="s">
        <v>139</v>
      </c>
    </row>
    <row r="5183" spans="1:10" x14ac:dyDescent="0.3">
      <c r="A5183" t="s">
        <v>280</v>
      </c>
    </row>
    <row r="5184" spans="1:10" x14ac:dyDescent="0.3">
      <c r="A5184" t="s">
        <v>72</v>
      </c>
      <c r="B5184">
        <v>1</v>
      </c>
      <c r="C5184" t="s">
        <v>73</v>
      </c>
      <c r="D5184">
        <v>3.8E-6</v>
      </c>
      <c r="E5184" t="s">
        <v>74</v>
      </c>
      <c r="F5184">
        <v>3.8E-3</v>
      </c>
      <c r="G5184" t="s">
        <v>75</v>
      </c>
      <c r="H5184">
        <v>3.8</v>
      </c>
      <c r="I5184" t="s">
        <v>76</v>
      </c>
      <c r="J5184" t="s">
        <v>77</v>
      </c>
    </row>
    <row r="5185" spans="1:11" x14ac:dyDescent="0.3">
      <c r="A5185" t="s">
        <v>72</v>
      </c>
      <c r="B5185">
        <v>1</v>
      </c>
      <c r="C5185" t="s">
        <v>78</v>
      </c>
      <c r="D5185">
        <v>0.1449146</v>
      </c>
      <c r="E5185" t="s">
        <v>74</v>
      </c>
      <c r="F5185">
        <v>144.91460000000001</v>
      </c>
      <c r="G5185" t="s">
        <v>75</v>
      </c>
      <c r="H5185">
        <v>144914.59700000001</v>
      </c>
      <c r="I5185" t="s">
        <v>76</v>
      </c>
      <c r="J5185" t="s">
        <v>77</v>
      </c>
    </row>
    <row r="5186" spans="1:11" x14ac:dyDescent="0.3">
      <c r="A5186" t="s">
        <v>72</v>
      </c>
      <c r="B5186">
        <v>1</v>
      </c>
      <c r="C5186" t="s">
        <v>79</v>
      </c>
      <c r="D5186">
        <v>0.13189919</v>
      </c>
      <c r="E5186" t="s">
        <v>74</v>
      </c>
      <c r="F5186">
        <v>131.89919</v>
      </c>
      <c r="G5186" t="s">
        <v>75</v>
      </c>
      <c r="H5186">
        <v>131899.193</v>
      </c>
      <c r="I5186" t="s">
        <v>76</v>
      </c>
      <c r="J5186" t="s">
        <v>77</v>
      </c>
    </row>
    <row r="5187" spans="1:11" x14ac:dyDescent="0.3">
      <c r="A5187" t="s">
        <v>72</v>
      </c>
      <c r="B5187">
        <v>1</v>
      </c>
      <c r="C5187" t="s">
        <v>94</v>
      </c>
      <c r="D5187">
        <v>9.3781000000000003E-3</v>
      </c>
      <c r="E5187" t="s">
        <v>74</v>
      </c>
      <c r="F5187">
        <v>9.3780999999999999</v>
      </c>
      <c r="G5187" t="s">
        <v>75</v>
      </c>
      <c r="H5187">
        <v>9378.1</v>
      </c>
      <c r="I5187" t="s">
        <v>76</v>
      </c>
      <c r="J5187" t="s">
        <v>77</v>
      </c>
    </row>
    <row r="5188" spans="1:11" x14ac:dyDescent="0.3">
      <c r="A5188" t="s">
        <v>72</v>
      </c>
      <c r="B5188">
        <v>1</v>
      </c>
      <c r="C5188" t="s">
        <v>80</v>
      </c>
      <c r="D5188">
        <v>9.3790999999999996E-3</v>
      </c>
      <c r="E5188" t="s">
        <v>74</v>
      </c>
      <c r="F5188">
        <v>9.3790999999999993</v>
      </c>
      <c r="G5188" t="s">
        <v>75</v>
      </c>
      <c r="H5188">
        <v>9379.1</v>
      </c>
      <c r="I5188" t="s">
        <v>76</v>
      </c>
      <c r="J5188" t="s">
        <v>77</v>
      </c>
    </row>
    <row r="5189" spans="1:11" x14ac:dyDescent="0.3">
      <c r="A5189" t="s">
        <v>72</v>
      </c>
      <c r="B5189">
        <v>1</v>
      </c>
      <c r="C5189" t="s">
        <v>81</v>
      </c>
      <c r="D5189">
        <v>0.14128099</v>
      </c>
      <c r="E5189" t="s">
        <v>74</v>
      </c>
      <c r="F5189">
        <v>141.28099</v>
      </c>
      <c r="G5189" t="s">
        <v>75</v>
      </c>
      <c r="H5189">
        <v>141280.99400000001</v>
      </c>
      <c r="I5189" t="s">
        <v>76</v>
      </c>
      <c r="J5189" t="s">
        <v>82</v>
      </c>
      <c r="K5189">
        <v>7.0780928999999997</v>
      </c>
    </row>
    <row r="5190" spans="1:11" x14ac:dyDescent="0.3">
      <c r="A5190" t="s">
        <v>83</v>
      </c>
      <c r="B5190">
        <v>1000</v>
      </c>
      <c r="C5190" t="s">
        <v>79</v>
      </c>
      <c r="D5190">
        <v>2.4999999999999999E-7</v>
      </c>
      <c r="E5190" t="s">
        <v>74</v>
      </c>
      <c r="F5190">
        <v>2.5000000000000001E-4</v>
      </c>
      <c r="G5190" t="s">
        <v>75</v>
      </c>
      <c r="H5190">
        <v>0.252</v>
      </c>
      <c r="I5190" t="s">
        <v>76</v>
      </c>
      <c r="J5190" t="s">
        <v>77</v>
      </c>
    </row>
    <row r="5191" spans="1:11" x14ac:dyDescent="0.3">
      <c r="A5191" t="s">
        <v>83</v>
      </c>
      <c r="B5191">
        <v>1000</v>
      </c>
      <c r="C5191" t="s">
        <v>94</v>
      </c>
      <c r="D5191">
        <v>2.6367700000000001E-3</v>
      </c>
      <c r="E5191" t="s">
        <v>74</v>
      </c>
      <c r="F5191">
        <v>2.6367699999999998</v>
      </c>
      <c r="G5191" t="s">
        <v>75</v>
      </c>
      <c r="H5191">
        <v>2636.7730000000001</v>
      </c>
      <c r="I5191" t="s">
        <v>76</v>
      </c>
      <c r="J5191" t="s">
        <v>77</v>
      </c>
    </row>
    <row r="5192" spans="1:11" x14ac:dyDescent="0.3">
      <c r="A5192" t="s">
        <v>83</v>
      </c>
      <c r="B5192">
        <v>1000</v>
      </c>
      <c r="C5192" t="s">
        <v>80</v>
      </c>
      <c r="D5192">
        <v>2.7877800000000001E-3</v>
      </c>
      <c r="E5192" t="s">
        <v>74</v>
      </c>
      <c r="F5192">
        <v>2.7877800000000001</v>
      </c>
      <c r="G5192" t="s">
        <v>75</v>
      </c>
      <c r="H5192">
        <v>2787.78</v>
      </c>
      <c r="I5192" t="s">
        <v>76</v>
      </c>
      <c r="J5192" t="s">
        <v>77</v>
      </c>
    </row>
    <row r="5193" spans="1:11" x14ac:dyDescent="0.3">
      <c r="A5193" t="s">
        <v>83</v>
      </c>
      <c r="B5193">
        <v>1000</v>
      </c>
      <c r="C5193" t="s">
        <v>81</v>
      </c>
      <c r="D5193">
        <v>2.7890300000000001E-3</v>
      </c>
      <c r="E5193" t="s">
        <v>74</v>
      </c>
      <c r="F5193">
        <v>2.7890299999999999</v>
      </c>
      <c r="G5193" t="s">
        <v>75</v>
      </c>
      <c r="H5193">
        <v>2789.0279999999998</v>
      </c>
      <c r="I5193" t="s">
        <v>76</v>
      </c>
      <c r="J5193" t="s">
        <v>82</v>
      </c>
      <c r="K5193">
        <v>358.54786159999998</v>
      </c>
    </row>
    <row r="5194" spans="1:11" x14ac:dyDescent="0.3">
      <c r="A5194" t="s">
        <v>84</v>
      </c>
      <c r="B5194">
        <v>1001</v>
      </c>
      <c r="C5194" t="s">
        <v>79</v>
      </c>
      <c r="D5194">
        <v>1.3202E-4</v>
      </c>
      <c r="E5194" t="s">
        <v>74</v>
      </c>
      <c r="F5194">
        <v>0.13202</v>
      </c>
      <c r="G5194" t="s">
        <v>75</v>
      </c>
      <c r="H5194">
        <v>132.01599999999999</v>
      </c>
      <c r="I5194" t="s">
        <v>76</v>
      </c>
      <c r="J5194" t="s">
        <v>77</v>
      </c>
    </row>
    <row r="5195" spans="1:11" x14ac:dyDescent="0.3">
      <c r="A5195" t="s">
        <v>84</v>
      </c>
      <c r="B5195">
        <v>1001</v>
      </c>
      <c r="C5195" t="s">
        <v>94</v>
      </c>
      <c r="D5195">
        <v>2.64351E-3</v>
      </c>
      <c r="E5195" t="s">
        <v>74</v>
      </c>
      <c r="F5195">
        <v>2.64351</v>
      </c>
      <c r="G5195" t="s">
        <v>75</v>
      </c>
      <c r="H5195">
        <v>2643.5079999999998</v>
      </c>
      <c r="I5195" t="s">
        <v>76</v>
      </c>
      <c r="J5195" t="s">
        <v>77</v>
      </c>
    </row>
    <row r="5196" spans="1:11" x14ac:dyDescent="0.3">
      <c r="A5196" t="s">
        <v>84</v>
      </c>
      <c r="B5196">
        <v>1001</v>
      </c>
      <c r="C5196" t="s">
        <v>80</v>
      </c>
      <c r="D5196">
        <v>2.79437E-3</v>
      </c>
      <c r="E5196" t="s">
        <v>74</v>
      </c>
      <c r="F5196">
        <v>2.7943699999999998</v>
      </c>
      <c r="G5196" t="s">
        <v>75</v>
      </c>
      <c r="H5196">
        <v>2794.3649999999998</v>
      </c>
      <c r="I5196" t="s">
        <v>76</v>
      </c>
      <c r="J5196" t="s">
        <v>77</v>
      </c>
    </row>
    <row r="5197" spans="1:11" x14ac:dyDescent="0.3">
      <c r="A5197" t="s">
        <v>84</v>
      </c>
      <c r="B5197">
        <v>1001</v>
      </c>
      <c r="C5197" t="s">
        <v>81</v>
      </c>
      <c r="D5197">
        <v>2.9273799999999998E-3</v>
      </c>
      <c r="E5197" t="s">
        <v>74</v>
      </c>
      <c r="F5197">
        <v>2.9273799999999999</v>
      </c>
      <c r="G5197" t="s">
        <v>75</v>
      </c>
      <c r="H5197">
        <v>2927.3809999999999</v>
      </c>
      <c r="I5197" t="s">
        <v>76</v>
      </c>
      <c r="J5197" t="s">
        <v>82</v>
      </c>
      <c r="K5197">
        <v>341.60224849999997</v>
      </c>
    </row>
    <row r="5198" spans="1:11" x14ac:dyDescent="0.3">
      <c r="A5198" t="s">
        <v>85</v>
      </c>
      <c r="B5198">
        <v>1001</v>
      </c>
      <c r="C5198" t="s">
        <v>86</v>
      </c>
      <c r="D5198">
        <v>2.9275899999999999E-3</v>
      </c>
      <c r="E5198" t="s">
        <v>74</v>
      </c>
      <c r="F5198">
        <v>2.9275899999999999</v>
      </c>
      <c r="G5198" t="s">
        <v>75</v>
      </c>
      <c r="H5198">
        <v>2927.5920000000001</v>
      </c>
      <c r="I5198" t="s">
        <v>76</v>
      </c>
      <c r="J5198" t="s">
        <v>82</v>
      </c>
      <c r="K5198">
        <v>341.57759729999998</v>
      </c>
    </row>
    <row r="5199" spans="1:11" x14ac:dyDescent="0.3">
      <c r="A5199" t="s">
        <v>141</v>
      </c>
    </row>
    <row r="5200" spans="1:11" x14ac:dyDescent="0.3">
      <c r="A5200" t="s">
        <v>281</v>
      </c>
    </row>
    <row r="5201" spans="1:11" x14ac:dyDescent="0.3">
      <c r="A5201" t="s">
        <v>72</v>
      </c>
      <c r="B5201">
        <v>1</v>
      </c>
      <c r="C5201" t="s">
        <v>73</v>
      </c>
      <c r="D5201">
        <v>3.8E-6</v>
      </c>
      <c r="E5201" t="s">
        <v>74</v>
      </c>
      <c r="F5201">
        <v>3.8E-3</v>
      </c>
      <c r="G5201" t="s">
        <v>75</v>
      </c>
      <c r="H5201">
        <v>3.8</v>
      </c>
      <c r="I5201" t="s">
        <v>76</v>
      </c>
      <c r="J5201" t="s">
        <v>77</v>
      </c>
    </row>
    <row r="5202" spans="1:11" x14ac:dyDescent="0.3">
      <c r="A5202" t="s">
        <v>72</v>
      </c>
      <c r="B5202">
        <v>1</v>
      </c>
      <c r="C5202" t="s">
        <v>78</v>
      </c>
      <c r="D5202">
        <v>1.314E-4</v>
      </c>
      <c r="E5202" t="s">
        <v>74</v>
      </c>
      <c r="F5202">
        <v>0.13139999999999999</v>
      </c>
      <c r="G5202" t="s">
        <v>75</v>
      </c>
      <c r="H5202">
        <v>131.4</v>
      </c>
      <c r="I5202" t="s">
        <v>76</v>
      </c>
      <c r="J5202" t="s">
        <v>77</v>
      </c>
    </row>
    <row r="5203" spans="1:11" x14ac:dyDescent="0.3">
      <c r="A5203" t="s">
        <v>72</v>
      </c>
      <c r="B5203">
        <v>1</v>
      </c>
      <c r="C5203" t="s">
        <v>79</v>
      </c>
      <c r="D5203">
        <v>0.1872779</v>
      </c>
      <c r="E5203" t="s">
        <v>74</v>
      </c>
      <c r="F5203">
        <v>187.27789999999999</v>
      </c>
      <c r="G5203" t="s">
        <v>75</v>
      </c>
      <c r="H5203">
        <v>187277.89799999999</v>
      </c>
      <c r="I5203" t="s">
        <v>76</v>
      </c>
      <c r="J5203" t="s">
        <v>77</v>
      </c>
    </row>
    <row r="5204" spans="1:11" x14ac:dyDescent="0.3">
      <c r="A5204" t="s">
        <v>72</v>
      </c>
      <c r="B5204">
        <v>1</v>
      </c>
      <c r="C5204" t="s">
        <v>94</v>
      </c>
      <c r="D5204">
        <v>2.7886E-3</v>
      </c>
      <c r="E5204" t="s">
        <v>74</v>
      </c>
      <c r="F5204">
        <v>2.7886000000000002</v>
      </c>
      <c r="G5204" t="s">
        <v>75</v>
      </c>
      <c r="H5204">
        <v>2788.6</v>
      </c>
      <c r="I5204" t="s">
        <v>76</v>
      </c>
      <c r="J5204" t="s">
        <v>77</v>
      </c>
    </row>
    <row r="5205" spans="1:11" x14ac:dyDescent="0.3">
      <c r="A5205" t="s">
        <v>72</v>
      </c>
      <c r="B5205">
        <v>1</v>
      </c>
      <c r="C5205" t="s">
        <v>80</v>
      </c>
      <c r="D5205">
        <v>3.0008999999999999E-3</v>
      </c>
      <c r="E5205" t="s">
        <v>74</v>
      </c>
      <c r="F5205">
        <v>3.0009000000000001</v>
      </c>
      <c r="G5205" t="s">
        <v>75</v>
      </c>
      <c r="H5205">
        <v>3000.9</v>
      </c>
      <c r="I5205" t="s">
        <v>76</v>
      </c>
      <c r="J5205" t="s">
        <v>77</v>
      </c>
    </row>
    <row r="5206" spans="1:11" x14ac:dyDescent="0.3">
      <c r="A5206" t="s">
        <v>72</v>
      </c>
      <c r="B5206">
        <v>1</v>
      </c>
      <c r="C5206" t="s">
        <v>81</v>
      </c>
      <c r="D5206">
        <v>0.19028020000000001</v>
      </c>
      <c r="E5206" t="s">
        <v>74</v>
      </c>
      <c r="F5206">
        <v>190.28020000000001</v>
      </c>
      <c r="G5206" t="s">
        <v>75</v>
      </c>
      <c r="H5206">
        <v>190280.19899999999</v>
      </c>
      <c r="I5206" t="s">
        <v>76</v>
      </c>
      <c r="J5206" t="s">
        <v>82</v>
      </c>
      <c r="K5206">
        <v>5.2554075999999998</v>
      </c>
    </row>
    <row r="5207" spans="1:11" x14ac:dyDescent="0.3">
      <c r="A5207" t="s">
        <v>83</v>
      </c>
      <c r="B5207">
        <v>1000</v>
      </c>
      <c r="C5207" t="s">
        <v>79</v>
      </c>
      <c r="D5207">
        <v>2.2000000000000001E-7</v>
      </c>
      <c r="E5207" t="s">
        <v>74</v>
      </c>
      <c r="F5207">
        <v>2.2000000000000001E-4</v>
      </c>
      <c r="G5207" t="s">
        <v>75</v>
      </c>
      <c r="H5207">
        <v>0.222</v>
      </c>
      <c r="I5207" t="s">
        <v>76</v>
      </c>
      <c r="J5207" t="s">
        <v>77</v>
      </c>
    </row>
    <row r="5208" spans="1:11" x14ac:dyDescent="0.3">
      <c r="A5208" t="s">
        <v>83</v>
      </c>
      <c r="B5208">
        <v>1000</v>
      </c>
      <c r="C5208" t="s">
        <v>94</v>
      </c>
      <c r="D5208">
        <v>2.61254E-3</v>
      </c>
      <c r="E5208" t="s">
        <v>74</v>
      </c>
      <c r="F5208">
        <v>2.6125400000000001</v>
      </c>
      <c r="G5208" t="s">
        <v>75</v>
      </c>
      <c r="H5208">
        <v>2612.5419999999999</v>
      </c>
      <c r="I5208" t="s">
        <v>76</v>
      </c>
      <c r="J5208" t="s">
        <v>77</v>
      </c>
    </row>
    <row r="5209" spans="1:11" x14ac:dyDescent="0.3">
      <c r="A5209" t="s">
        <v>83</v>
      </c>
      <c r="B5209">
        <v>1000</v>
      </c>
      <c r="C5209" t="s">
        <v>80</v>
      </c>
      <c r="D5209">
        <v>2.7683600000000001E-3</v>
      </c>
      <c r="E5209" t="s">
        <v>74</v>
      </c>
      <c r="F5209">
        <v>2.7683599999999999</v>
      </c>
      <c r="G5209" t="s">
        <v>75</v>
      </c>
      <c r="H5209">
        <v>2768.3589999999999</v>
      </c>
      <c r="I5209" t="s">
        <v>76</v>
      </c>
      <c r="J5209" t="s">
        <v>77</v>
      </c>
    </row>
    <row r="5210" spans="1:11" x14ac:dyDescent="0.3">
      <c r="A5210" t="s">
        <v>83</v>
      </c>
      <c r="B5210">
        <v>1000</v>
      </c>
      <c r="C5210" t="s">
        <v>81</v>
      </c>
      <c r="D5210">
        <v>2.7694799999999999E-3</v>
      </c>
      <c r="E5210" t="s">
        <v>74</v>
      </c>
      <c r="F5210">
        <v>2.7694800000000002</v>
      </c>
      <c r="G5210" t="s">
        <v>75</v>
      </c>
      <c r="H5210">
        <v>2769.4839999999999</v>
      </c>
      <c r="I5210" t="s">
        <v>76</v>
      </c>
      <c r="J5210" t="s">
        <v>82</v>
      </c>
      <c r="K5210">
        <v>361.07805580000002</v>
      </c>
    </row>
    <row r="5211" spans="1:11" x14ac:dyDescent="0.3">
      <c r="A5211" t="s">
        <v>84</v>
      </c>
      <c r="B5211">
        <v>1001</v>
      </c>
      <c r="C5211" t="s">
        <v>79</v>
      </c>
      <c r="D5211">
        <v>1.8730999999999999E-4</v>
      </c>
      <c r="E5211" t="s">
        <v>74</v>
      </c>
      <c r="F5211">
        <v>0.18731</v>
      </c>
      <c r="G5211" t="s">
        <v>75</v>
      </c>
      <c r="H5211">
        <v>187.31100000000001</v>
      </c>
      <c r="I5211" t="s">
        <v>76</v>
      </c>
      <c r="J5211" t="s">
        <v>77</v>
      </c>
    </row>
    <row r="5212" spans="1:11" x14ac:dyDescent="0.3">
      <c r="A5212" t="s">
        <v>84</v>
      </c>
      <c r="B5212">
        <v>1001</v>
      </c>
      <c r="C5212" t="s">
        <v>94</v>
      </c>
      <c r="D5212">
        <v>2.6127199999999998E-3</v>
      </c>
      <c r="E5212" t="s">
        <v>74</v>
      </c>
      <c r="F5212">
        <v>2.6127199999999999</v>
      </c>
      <c r="G5212" t="s">
        <v>75</v>
      </c>
      <c r="H5212">
        <v>2612.7179999999998</v>
      </c>
      <c r="I5212" t="s">
        <v>76</v>
      </c>
      <c r="J5212" t="s">
        <v>77</v>
      </c>
    </row>
    <row r="5213" spans="1:11" x14ac:dyDescent="0.3">
      <c r="A5213" t="s">
        <v>84</v>
      </c>
      <c r="B5213">
        <v>1001</v>
      </c>
      <c r="C5213" t="s">
        <v>80</v>
      </c>
      <c r="D5213">
        <v>2.76859E-3</v>
      </c>
      <c r="E5213" t="s">
        <v>74</v>
      </c>
      <c r="F5213">
        <v>2.7685900000000001</v>
      </c>
      <c r="G5213" t="s">
        <v>75</v>
      </c>
      <c r="H5213">
        <v>2768.5909999999999</v>
      </c>
      <c r="I5213" t="s">
        <v>76</v>
      </c>
      <c r="J5213" t="s">
        <v>77</v>
      </c>
    </row>
    <row r="5214" spans="1:11" x14ac:dyDescent="0.3">
      <c r="A5214" t="s">
        <v>84</v>
      </c>
      <c r="B5214">
        <v>1001</v>
      </c>
      <c r="C5214" t="s">
        <v>81</v>
      </c>
      <c r="D5214">
        <v>2.9568099999999998E-3</v>
      </c>
      <c r="E5214" t="s">
        <v>74</v>
      </c>
      <c r="F5214">
        <v>2.9568099999999999</v>
      </c>
      <c r="G5214" t="s">
        <v>75</v>
      </c>
      <c r="H5214">
        <v>2956.8069999999998</v>
      </c>
      <c r="I5214" t="s">
        <v>76</v>
      </c>
      <c r="J5214" t="s">
        <v>82</v>
      </c>
      <c r="K5214">
        <v>338.2026128</v>
      </c>
    </row>
    <row r="5215" spans="1:11" x14ac:dyDescent="0.3">
      <c r="A5215" t="s">
        <v>85</v>
      </c>
      <c r="B5215">
        <v>1001</v>
      </c>
      <c r="C5215" t="s">
        <v>86</v>
      </c>
      <c r="D5215">
        <v>2.9569900000000001E-3</v>
      </c>
      <c r="E5215" t="s">
        <v>74</v>
      </c>
      <c r="F5215">
        <v>2.9569899999999998</v>
      </c>
      <c r="G5215" t="s">
        <v>75</v>
      </c>
      <c r="H5215">
        <v>2956.99</v>
      </c>
      <c r="I5215" t="s">
        <v>76</v>
      </c>
      <c r="J5215" t="s">
        <v>82</v>
      </c>
      <c r="K5215">
        <v>338.18174570000002</v>
      </c>
    </row>
    <row r="5216" spans="1:11" x14ac:dyDescent="0.3">
      <c r="A5216" t="s">
        <v>115</v>
      </c>
    </row>
    <row r="5217" spans="1:11" x14ac:dyDescent="0.3">
      <c r="A5217" t="s">
        <v>127</v>
      </c>
    </row>
    <row r="5218" spans="1:11" x14ac:dyDescent="0.3">
      <c r="A5218" t="s">
        <v>87</v>
      </c>
    </row>
    <row r="5219" spans="1:11" x14ac:dyDescent="0.3">
      <c r="A5219" t="s">
        <v>282</v>
      </c>
    </row>
    <row r="5220" spans="1:11" x14ac:dyDescent="0.3">
      <c r="A5220" t="s">
        <v>72</v>
      </c>
      <c r="B5220">
        <v>1</v>
      </c>
      <c r="C5220" t="s">
        <v>81</v>
      </c>
      <c r="D5220">
        <v>0.14128099</v>
      </c>
      <c r="E5220" t="s">
        <v>74</v>
      </c>
      <c r="F5220">
        <v>141.28099</v>
      </c>
      <c r="G5220" t="s">
        <v>75</v>
      </c>
      <c r="H5220">
        <v>141280.99400000001</v>
      </c>
      <c r="I5220" t="s">
        <v>76</v>
      </c>
      <c r="J5220" t="s">
        <v>82</v>
      </c>
      <c r="K5220">
        <v>7.0780928999999997</v>
      </c>
    </row>
    <row r="5221" spans="1:11" x14ac:dyDescent="0.3">
      <c r="A5221" t="s">
        <v>83</v>
      </c>
      <c r="B5221">
        <v>1000</v>
      </c>
      <c r="C5221" t="s">
        <v>81</v>
      </c>
      <c r="D5221">
        <v>2.7890300000000001E-3</v>
      </c>
      <c r="E5221" t="s">
        <v>74</v>
      </c>
      <c r="F5221">
        <v>2.7890299999999999</v>
      </c>
      <c r="G5221" t="s">
        <v>75</v>
      </c>
      <c r="H5221">
        <v>2789.0279999999998</v>
      </c>
      <c r="I5221" t="s">
        <v>76</v>
      </c>
      <c r="J5221" t="s">
        <v>82</v>
      </c>
      <c r="K5221">
        <v>358.54786159999998</v>
      </c>
    </row>
    <row r="5222" spans="1:11" x14ac:dyDescent="0.3">
      <c r="A5222" t="s">
        <v>85</v>
      </c>
      <c r="B5222">
        <v>1001</v>
      </c>
      <c r="C5222" t="s">
        <v>86</v>
      </c>
      <c r="D5222">
        <v>2.9275899999999999E-3</v>
      </c>
      <c r="E5222" t="s">
        <v>74</v>
      </c>
      <c r="F5222">
        <v>2.9275899999999999</v>
      </c>
      <c r="G5222" t="s">
        <v>75</v>
      </c>
      <c r="H5222">
        <v>2927.5920000000001</v>
      </c>
      <c r="I5222" t="s">
        <v>76</v>
      </c>
      <c r="J5222" t="s">
        <v>82</v>
      </c>
      <c r="K5222">
        <v>341.57759729999998</v>
      </c>
    </row>
    <row r="5224" spans="1:11" x14ac:dyDescent="0.3">
      <c r="A5224" t="s">
        <v>283</v>
      </c>
    </row>
    <row r="5225" spans="1:11" x14ac:dyDescent="0.3">
      <c r="A5225" t="s">
        <v>72</v>
      </c>
      <c r="B5225">
        <v>1</v>
      </c>
      <c r="C5225" t="s">
        <v>81</v>
      </c>
      <c r="D5225">
        <v>0.19028020000000001</v>
      </c>
      <c r="E5225" t="s">
        <v>74</v>
      </c>
      <c r="F5225">
        <v>190.28020000000001</v>
      </c>
      <c r="G5225" t="s">
        <v>75</v>
      </c>
      <c r="H5225">
        <v>190280.19899999999</v>
      </c>
      <c r="I5225" t="s">
        <v>76</v>
      </c>
      <c r="J5225" t="s">
        <v>82</v>
      </c>
      <c r="K5225">
        <v>5.2554075999999998</v>
      </c>
    </row>
    <row r="5226" spans="1:11" x14ac:dyDescent="0.3">
      <c r="A5226" t="s">
        <v>83</v>
      </c>
      <c r="B5226">
        <v>1000</v>
      </c>
      <c r="C5226" t="s">
        <v>81</v>
      </c>
      <c r="D5226">
        <v>2.7694799999999999E-3</v>
      </c>
      <c r="E5226" t="s">
        <v>74</v>
      </c>
      <c r="F5226">
        <v>2.7694800000000002</v>
      </c>
      <c r="G5226" t="s">
        <v>75</v>
      </c>
      <c r="H5226">
        <v>2769.4839999999999</v>
      </c>
      <c r="I5226" t="s">
        <v>76</v>
      </c>
      <c r="J5226" t="s">
        <v>82</v>
      </c>
      <c r="K5226">
        <v>361.07805580000002</v>
      </c>
    </row>
    <row r="5227" spans="1:11" x14ac:dyDescent="0.3">
      <c r="A5227" t="s">
        <v>85</v>
      </c>
      <c r="B5227">
        <v>1001</v>
      </c>
      <c r="C5227" t="s">
        <v>86</v>
      </c>
      <c r="D5227">
        <v>2.9569900000000001E-3</v>
      </c>
      <c r="E5227" t="s">
        <v>74</v>
      </c>
      <c r="F5227">
        <v>2.9569899999999998</v>
      </c>
      <c r="G5227" t="s">
        <v>75</v>
      </c>
      <c r="H5227">
        <v>2956.99</v>
      </c>
      <c r="I5227" t="s">
        <v>76</v>
      </c>
      <c r="J5227" t="s">
        <v>82</v>
      </c>
      <c r="K5227">
        <v>338.18174570000002</v>
      </c>
    </row>
    <row r="5229" spans="1:11" x14ac:dyDescent="0.3">
      <c r="A5229" t="s">
        <v>66</v>
      </c>
    </row>
    <row r="5231" spans="1:11" x14ac:dyDescent="0.3">
      <c r="A5231" t="s">
        <v>346</v>
      </c>
    </row>
    <row r="5232" spans="1:11" x14ac:dyDescent="0.3">
      <c r="A5232" t="s">
        <v>68</v>
      </c>
    </row>
    <row r="5233" spans="1:1" x14ac:dyDescent="0.3">
      <c r="A5233" t="s">
        <v>69</v>
      </c>
    </row>
    <row r="5234" spans="1:1" x14ac:dyDescent="0.3">
      <c r="A5234" t="s">
        <v>70</v>
      </c>
    </row>
    <row r="5235" spans="1:1" x14ac:dyDescent="0.3">
      <c r="A5235" t="s">
        <v>115</v>
      </c>
    </row>
    <row r="5236" spans="1:1" x14ac:dyDescent="0.3">
      <c r="A5236" t="s">
        <v>266</v>
      </c>
    </row>
    <row r="5237" spans="1:1" x14ac:dyDescent="0.3">
      <c r="A5237" t="s">
        <v>267</v>
      </c>
    </row>
    <row r="5238" spans="1:1" x14ac:dyDescent="0.3">
      <c r="A5238" t="s">
        <v>118</v>
      </c>
    </row>
    <row r="5239" spans="1:1" x14ac:dyDescent="0.3">
      <c r="A5239" t="s">
        <v>119</v>
      </c>
    </row>
    <row r="5240" spans="1:1" x14ac:dyDescent="0.3">
      <c r="A5240" t="s">
        <v>268</v>
      </c>
    </row>
    <row r="5241" spans="1:1" x14ac:dyDescent="0.3">
      <c r="A5241" t="s">
        <v>269</v>
      </c>
    </row>
    <row r="5242" spans="1:1" x14ac:dyDescent="0.3">
      <c r="A5242" t="s">
        <v>122</v>
      </c>
    </row>
    <row r="5243" spans="1:1" x14ac:dyDescent="0.3">
      <c r="A5243" t="s">
        <v>270</v>
      </c>
    </row>
    <row r="5244" spans="1:1" x14ac:dyDescent="0.3">
      <c r="A5244" t="s">
        <v>271</v>
      </c>
    </row>
    <row r="5245" spans="1:1" x14ac:dyDescent="0.3">
      <c r="A5245" t="s">
        <v>125</v>
      </c>
    </row>
    <row r="5246" spans="1:1" x14ac:dyDescent="0.3">
      <c r="A5246" t="s">
        <v>126</v>
      </c>
    </row>
    <row r="5247" spans="1:1" x14ac:dyDescent="0.3">
      <c r="A5247" t="s">
        <v>127</v>
      </c>
    </row>
    <row r="5248" spans="1:1" x14ac:dyDescent="0.3">
      <c r="A5248" t="s">
        <v>146</v>
      </c>
    </row>
    <row r="5249" spans="1:11" x14ac:dyDescent="0.3">
      <c r="A5249" t="s">
        <v>285</v>
      </c>
    </row>
    <row r="5250" spans="1:11" x14ac:dyDescent="0.3">
      <c r="A5250" t="s">
        <v>72</v>
      </c>
      <c r="B5250">
        <v>1</v>
      </c>
      <c r="C5250" t="s">
        <v>73</v>
      </c>
      <c r="D5250">
        <v>4.6E-6</v>
      </c>
      <c r="E5250" t="s">
        <v>74</v>
      </c>
      <c r="F5250">
        <v>4.5999999999999999E-3</v>
      </c>
      <c r="G5250" t="s">
        <v>75</v>
      </c>
      <c r="H5250">
        <v>4.5999999999999996</v>
      </c>
      <c r="I5250" t="s">
        <v>76</v>
      </c>
      <c r="J5250" t="s">
        <v>77</v>
      </c>
    </row>
    <row r="5251" spans="1:11" x14ac:dyDescent="0.3">
      <c r="A5251" t="s">
        <v>72</v>
      </c>
      <c r="B5251">
        <v>1</v>
      </c>
      <c r="C5251" t="s">
        <v>78</v>
      </c>
      <c r="D5251">
        <v>0.118446</v>
      </c>
      <c r="E5251" t="s">
        <v>74</v>
      </c>
      <c r="F5251">
        <v>118.446</v>
      </c>
      <c r="G5251" t="s">
        <v>75</v>
      </c>
      <c r="H5251">
        <v>118446</v>
      </c>
      <c r="I5251" t="s">
        <v>76</v>
      </c>
      <c r="J5251" t="s">
        <v>77</v>
      </c>
    </row>
    <row r="5252" spans="1:11" x14ac:dyDescent="0.3">
      <c r="A5252" t="s">
        <v>72</v>
      </c>
      <c r="B5252">
        <v>1</v>
      </c>
      <c r="C5252" t="s">
        <v>79</v>
      </c>
      <c r="D5252">
        <v>0.46107301000000001</v>
      </c>
      <c r="E5252" t="s">
        <v>74</v>
      </c>
      <c r="F5252">
        <v>461.07301000000001</v>
      </c>
      <c r="G5252" t="s">
        <v>75</v>
      </c>
      <c r="H5252">
        <v>461073.011</v>
      </c>
      <c r="I5252" t="s">
        <v>76</v>
      </c>
      <c r="J5252" t="s">
        <v>77</v>
      </c>
    </row>
    <row r="5253" spans="1:11" x14ac:dyDescent="0.3">
      <c r="A5253" t="s">
        <v>72</v>
      </c>
      <c r="B5253">
        <v>1</v>
      </c>
      <c r="C5253" t="s">
        <v>94</v>
      </c>
      <c r="D5253">
        <v>1.0193799999999999E-2</v>
      </c>
      <c r="E5253" t="s">
        <v>74</v>
      </c>
      <c r="F5253">
        <v>10.1938</v>
      </c>
      <c r="G5253" t="s">
        <v>75</v>
      </c>
      <c r="H5253">
        <v>10193.799999999999</v>
      </c>
      <c r="I5253" t="s">
        <v>76</v>
      </c>
      <c r="J5253" t="s">
        <v>77</v>
      </c>
    </row>
    <row r="5254" spans="1:11" x14ac:dyDescent="0.3">
      <c r="A5254" t="s">
        <v>72</v>
      </c>
      <c r="B5254">
        <v>1</v>
      </c>
      <c r="C5254" t="s">
        <v>80</v>
      </c>
      <c r="D5254">
        <v>1.01946E-2</v>
      </c>
      <c r="E5254" t="s">
        <v>74</v>
      </c>
      <c r="F5254">
        <v>10.194599999999999</v>
      </c>
      <c r="G5254" t="s">
        <v>75</v>
      </c>
      <c r="H5254">
        <v>10194.6</v>
      </c>
      <c r="I5254" t="s">
        <v>76</v>
      </c>
      <c r="J5254" t="s">
        <v>77</v>
      </c>
    </row>
    <row r="5255" spans="1:11" x14ac:dyDescent="0.3">
      <c r="A5255" t="s">
        <v>72</v>
      </c>
      <c r="B5255">
        <v>1</v>
      </c>
      <c r="C5255" t="s">
        <v>81</v>
      </c>
      <c r="D5255">
        <v>0.47126961000000001</v>
      </c>
      <c r="E5255" t="s">
        <v>74</v>
      </c>
      <c r="F5255">
        <v>471.26961</v>
      </c>
      <c r="G5255" t="s">
        <v>75</v>
      </c>
      <c r="H5255">
        <v>471269.60800000001</v>
      </c>
      <c r="I5255" t="s">
        <v>76</v>
      </c>
      <c r="J5255" t="s">
        <v>82</v>
      </c>
      <c r="K5255">
        <v>2.1219275999999998</v>
      </c>
    </row>
    <row r="5256" spans="1:11" x14ac:dyDescent="0.3">
      <c r="A5256" t="s">
        <v>83</v>
      </c>
      <c r="B5256">
        <v>1000</v>
      </c>
      <c r="C5256" t="s">
        <v>79</v>
      </c>
      <c r="D5256">
        <v>2.2999999999999999E-7</v>
      </c>
      <c r="E5256" t="s">
        <v>74</v>
      </c>
      <c r="F5256">
        <v>2.3000000000000001E-4</v>
      </c>
      <c r="G5256" t="s">
        <v>75</v>
      </c>
      <c r="H5256">
        <v>0.23300000000000001</v>
      </c>
      <c r="I5256" t="s">
        <v>76</v>
      </c>
      <c r="J5256" t="s">
        <v>77</v>
      </c>
    </row>
    <row r="5257" spans="1:11" x14ac:dyDescent="0.3">
      <c r="A5257" t="s">
        <v>83</v>
      </c>
      <c r="B5257">
        <v>1000</v>
      </c>
      <c r="C5257" t="s">
        <v>94</v>
      </c>
      <c r="D5257">
        <v>2.6398099999999998E-3</v>
      </c>
      <c r="E5257" t="s">
        <v>74</v>
      </c>
      <c r="F5257">
        <v>2.6398100000000002</v>
      </c>
      <c r="G5257" t="s">
        <v>75</v>
      </c>
      <c r="H5257">
        <v>2639.8049999999998</v>
      </c>
      <c r="I5257" t="s">
        <v>76</v>
      </c>
      <c r="J5257" t="s">
        <v>77</v>
      </c>
    </row>
    <row r="5258" spans="1:11" x14ac:dyDescent="0.3">
      <c r="A5258" t="s">
        <v>83</v>
      </c>
      <c r="B5258">
        <v>1000</v>
      </c>
      <c r="C5258" t="s">
        <v>80</v>
      </c>
      <c r="D5258">
        <v>2.7887799999999998E-3</v>
      </c>
      <c r="E5258" t="s">
        <v>74</v>
      </c>
      <c r="F5258">
        <v>2.78878</v>
      </c>
      <c r="G5258" t="s">
        <v>75</v>
      </c>
      <c r="H5258">
        <v>2788.7820000000002</v>
      </c>
      <c r="I5258" t="s">
        <v>76</v>
      </c>
      <c r="J5258" t="s">
        <v>77</v>
      </c>
    </row>
    <row r="5259" spans="1:11" x14ac:dyDescent="0.3">
      <c r="A5259" t="s">
        <v>83</v>
      </c>
      <c r="B5259">
        <v>1000</v>
      </c>
      <c r="C5259" t="s">
        <v>81</v>
      </c>
      <c r="D5259">
        <v>2.78985E-3</v>
      </c>
      <c r="E5259" t="s">
        <v>74</v>
      </c>
      <c r="F5259">
        <v>2.7898499999999999</v>
      </c>
      <c r="G5259" t="s">
        <v>75</v>
      </c>
      <c r="H5259">
        <v>2789.8470000000002</v>
      </c>
      <c r="I5259" t="s">
        <v>76</v>
      </c>
      <c r="J5259" t="s">
        <v>82</v>
      </c>
      <c r="K5259">
        <v>358.44260880000002</v>
      </c>
    </row>
    <row r="5260" spans="1:11" x14ac:dyDescent="0.3">
      <c r="A5260" t="s">
        <v>84</v>
      </c>
      <c r="B5260">
        <v>1001</v>
      </c>
      <c r="C5260" t="s">
        <v>79</v>
      </c>
      <c r="D5260">
        <v>4.6085000000000001E-4</v>
      </c>
      <c r="E5260" t="s">
        <v>74</v>
      </c>
      <c r="F5260">
        <v>0.46084999999999998</v>
      </c>
      <c r="G5260" t="s">
        <v>75</v>
      </c>
      <c r="H5260">
        <v>460.84699999999998</v>
      </c>
      <c r="I5260" t="s">
        <v>76</v>
      </c>
      <c r="J5260" t="s">
        <v>77</v>
      </c>
    </row>
    <row r="5261" spans="1:11" x14ac:dyDescent="0.3">
      <c r="A5261" t="s">
        <v>84</v>
      </c>
      <c r="B5261">
        <v>1001</v>
      </c>
      <c r="C5261" t="s">
        <v>94</v>
      </c>
      <c r="D5261">
        <v>2.6473500000000001E-3</v>
      </c>
      <c r="E5261" t="s">
        <v>74</v>
      </c>
      <c r="F5261">
        <v>2.6473499999999999</v>
      </c>
      <c r="G5261" t="s">
        <v>75</v>
      </c>
      <c r="H5261">
        <v>2647.3519999999999</v>
      </c>
      <c r="I5261" t="s">
        <v>76</v>
      </c>
      <c r="J5261" t="s">
        <v>77</v>
      </c>
    </row>
    <row r="5262" spans="1:11" x14ac:dyDescent="0.3">
      <c r="A5262" t="s">
        <v>84</v>
      </c>
      <c r="B5262">
        <v>1001</v>
      </c>
      <c r="C5262" t="s">
        <v>80</v>
      </c>
      <c r="D5262">
        <v>2.7961800000000001E-3</v>
      </c>
      <c r="E5262" t="s">
        <v>74</v>
      </c>
      <c r="F5262">
        <v>2.7961800000000001</v>
      </c>
      <c r="G5262" t="s">
        <v>75</v>
      </c>
      <c r="H5262">
        <v>2796.181</v>
      </c>
      <c r="I5262" t="s">
        <v>76</v>
      </c>
      <c r="J5262" t="s">
        <v>77</v>
      </c>
    </row>
    <row r="5263" spans="1:11" x14ac:dyDescent="0.3">
      <c r="A5263" t="s">
        <v>84</v>
      </c>
      <c r="B5263">
        <v>1001</v>
      </c>
      <c r="C5263" t="s">
        <v>81</v>
      </c>
      <c r="D5263">
        <v>3.25786E-3</v>
      </c>
      <c r="E5263" t="s">
        <v>74</v>
      </c>
      <c r="F5263">
        <v>3.25786</v>
      </c>
      <c r="G5263" t="s">
        <v>75</v>
      </c>
      <c r="H5263">
        <v>3257.857</v>
      </c>
      <c r="I5263" t="s">
        <v>76</v>
      </c>
      <c r="J5263" t="s">
        <v>82</v>
      </c>
      <c r="K5263">
        <v>306.95029060000002</v>
      </c>
    </row>
    <row r="5264" spans="1:11" x14ac:dyDescent="0.3">
      <c r="A5264" t="s">
        <v>85</v>
      </c>
      <c r="B5264">
        <v>1001</v>
      </c>
      <c r="C5264" t="s">
        <v>86</v>
      </c>
      <c r="D5264">
        <v>3.2580500000000002E-3</v>
      </c>
      <c r="E5264" t="s">
        <v>74</v>
      </c>
      <c r="F5264">
        <v>3.2580499999999999</v>
      </c>
      <c r="G5264" t="s">
        <v>75</v>
      </c>
      <c r="H5264">
        <v>3258.0529999999999</v>
      </c>
      <c r="I5264" t="s">
        <v>76</v>
      </c>
      <c r="J5264" t="s">
        <v>82</v>
      </c>
      <c r="K5264">
        <v>306.93180030000002</v>
      </c>
    </row>
    <row r="5265" spans="1:11" x14ac:dyDescent="0.3">
      <c r="A5265" t="s">
        <v>148</v>
      </c>
    </row>
    <row r="5266" spans="1:11" x14ac:dyDescent="0.3">
      <c r="A5266" t="s">
        <v>286</v>
      </c>
    </row>
    <row r="5267" spans="1:11" x14ac:dyDescent="0.3">
      <c r="A5267" t="s">
        <v>72</v>
      </c>
      <c r="B5267">
        <v>1</v>
      </c>
      <c r="C5267" t="s">
        <v>73</v>
      </c>
      <c r="D5267">
        <v>4.6E-6</v>
      </c>
      <c r="E5267" t="s">
        <v>74</v>
      </c>
      <c r="F5267">
        <v>4.5999999999999999E-3</v>
      </c>
      <c r="G5267" t="s">
        <v>75</v>
      </c>
      <c r="H5267">
        <v>4.5999999999999996</v>
      </c>
      <c r="I5267" t="s">
        <v>76</v>
      </c>
      <c r="J5267" t="s">
        <v>77</v>
      </c>
    </row>
    <row r="5268" spans="1:11" x14ac:dyDescent="0.3">
      <c r="A5268" t="s">
        <v>72</v>
      </c>
      <c r="B5268">
        <v>1</v>
      </c>
      <c r="C5268" t="s">
        <v>78</v>
      </c>
      <c r="D5268">
        <v>1.35E-4</v>
      </c>
      <c r="E5268" t="s">
        <v>74</v>
      </c>
      <c r="F5268">
        <v>0.13500000000000001</v>
      </c>
      <c r="G5268" t="s">
        <v>75</v>
      </c>
      <c r="H5268">
        <v>135</v>
      </c>
      <c r="I5268" t="s">
        <v>76</v>
      </c>
      <c r="J5268" t="s">
        <v>77</v>
      </c>
    </row>
    <row r="5269" spans="1:11" x14ac:dyDescent="0.3">
      <c r="A5269" t="s">
        <v>72</v>
      </c>
      <c r="B5269">
        <v>1</v>
      </c>
      <c r="C5269" t="s">
        <v>79</v>
      </c>
      <c r="D5269">
        <v>0.37125909000000001</v>
      </c>
      <c r="E5269" t="s">
        <v>74</v>
      </c>
      <c r="F5269">
        <v>371.25909000000001</v>
      </c>
      <c r="G5269" t="s">
        <v>75</v>
      </c>
      <c r="H5269">
        <v>371259.09299999999</v>
      </c>
      <c r="I5269" t="s">
        <v>76</v>
      </c>
      <c r="J5269" t="s">
        <v>77</v>
      </c>
    </row>
    <row r="5270" spans="1:11" x14ac:dyDescent="0.3">
      <c r="A5270" t="s">
        <v>72</v>
      </c>
      <c r="B5270">
        <v>1</v>
      </c>
      <c r="C5270" t="s">
        <v>94</v>
      </c>
      <c r="D5270">
        <v>2.8294000000000001E-3</v>
      </c>
      <c r="E5270" t="s">
        <v>74</v>
      </c>
      <c r="F5270">
        <v>2.8294000000000001</v>
      </c>
      <c r="G5270" t="s">
        <v>75</v>
      </c>
      <c r="H5270">
        <v>2829.4</v>
      </c>
      <c r="I5270" t="s">
        <v>76</v>
      </c>
      <c r="J5270" t="s">
        <v>77</v>
      </c>
    </row>
    <row r="5271" spans="1:11" x14ac:dyDescent="0.3">
      <c r="A5271" t="s">
        <v>72</v>
      </c>
      <c r="B5271">
        <v>1</v>
      </c>
      <c r="C5271" t="s">
        <v>80</v>
      </c>
      <c r="D5271">
        <v>2.9900999999999999E-3</v>
      </c>
      <c r="E5271" t="s">
        <v>74</v>
      </c>
      <c r="F5271">
        <v>2.9901</v>
      </c>
      <c r="G5271" t="s">
        <v>75</v>
      </c>
      <c r="H5271">
        <v>2990.1</v>
      </c>
      <c r="I5271" t="s">
        <v>76</v>
      </c>
      <c r="J5271" t="s">
        <v>77</v>
      </c>
    </row>
    <row r="5272" spans="1:11" x14ac:dyDescent="0.3">
      <c r="A5272" t="s">
        <v>72</v>
      </c>
      <c r="B5272">
        <v>1</v>
      </c>
      <c r="C5272" t="s">
        <v>81</v>
      </c>
      <c r="D5272">
        <v>0.37425079999999999</v>
      </c>
      <c r="E5272" t="s">
        <v>74</v>
      </c>
      <c r="F5272">
        <v>374.25080000000003</v>
      </c>
      <c r="G5272" t="s">
        <v>75</v>
      </c>
      <c r="H5272">
        <v>374250.799</v>
      </c>
      <c r="I5272" t="s">
        <v>76</v>
      </c>
      <c r="J5272" t="s">
        <v>82</v>
      </c>
      <c r="K5272">
        <v>2.672005</v>
      </c>
    </row>
    <row r="5273" spans="1:11" x14ac:dyDescent="0.3">
      <c r="A5273" t="s">
        <v>83</v>
      </c>
      <c r="B5273">
        <v>1000</v>
      </c>
      <c r="C5273" t="s">
        <v>79</v>
      </c>
      <c r="D5273">
        <v>1.9000000000000001E-7</v>
      </c>
      <c r="E5273" t="s">
        <v>74</v>
      </c>
      <c r="F5273">
        <v>1.9000000000000001E-4</v>
      </c>
      <c r="G5273" t="s">
        <v>75</v>
      </c>
      <c r="H5273">
        <v>0.19</v>
      </c>
      <c r="I5273" t="s">
        <v>76</v>
      </c>
      <c r="J5273" t="s">
        <v>77</v>
      </c>
    </row>
    <row r="5274" spans="1:11" x14ac:dyDescent="0.3">
      <c r="A5274" t="s">
        <v>83</v>
      </c>
      <c r="B5274">
        <v>1000</v>
      </c>
      <c r="C5274" t="s">
        <v>94</v>
      </c>
      <c r="D5274">
        <v>2.6074800000000001E-3</v>
      </c>
      <c r="E5274" t="s">
        <v>74</v>
      </c>
      <c r="F5274">
        <v>2.6074799999999998</v>
      </c>
      <c r="G5274" t="s">
        <v>75</v>
      </c>
      <c r="H5274">
        <v>2607.4810000000002</v>
      </c>
      <c r="I5274" t="s">
        <v>76</v>
      </c>
      <c r="J5274" t="s">
        <v>77</v>
      </c>
    </row>
    <row r="5275" spans="1:11" x14ac:dyDescent="0.3">
      <c r="A5275" t="s">
        <v>83</v>
      </c>
      <c r="B5275">
        <v>1000</v>
      </c>
      <c r="C5275" t="s">
        <v>80</v>
      </c>
      <c r="D5275">
        <v>2.76056E-3</v>
      </c>
      <c r="E5275" t="s">
        <v>74</v>
      </c>
      <c r="F5275">
        <v>2.7605599999999999</v>
      </c>
      <c r="G5275" t="s">
        <v>75</v>
      </c>
      <c r="H5275">
        <v>2760.5619999999999</v>
      </c>
      <c r="I5275" t="s">
        <v>76</v>
      </c>
      <c r="J5275" t="s">
        <v>77</v>
      </c>
    </row>
    <row r="5276" spans="1:11" x14ac:dyDescent="0.3">
      <c r="A5276" t="s">
        <v>83</v>
      </c>
      <c r="B5276">
        <v>1000</v>
      </c>
      <c r="C5276" t="s">
        <v>81</v>
      </c>
      <c r="D5276">
        <v>2.7615700000000001E-3</v>
      </c>
      <c r="E5276" t="s">
        <v>74</v>
      </c>
      <c r="F5276">
        <v>2.7615699999999999</v>
      </c>
      <c r="G5276" t="s">
        <v>75</v>
      </c>
      <c r="H5276">
        <v>2761.5680000000002</v>
      </c>
      <c r="I5276" t="s">
        <v>76</v>
      </c>
      <c r="J5276" t="s">
        <v>82</v>
      </c>
      <c r="K5276">
        <v>362.11307799999997</v>
      </c>
    </row>
    <row r="5277" spans="1:11" x14ac:dyDescent="0.3">
      <c r="A5277" t="s">
        <v>84</v>
      </c>
      <c r="B5277">
        <v>1001</v>
      </c>
      <c r="C5277" t="s">
        <v>79</v>
      </c>
      <c r="D5277">
        <v>3.7107999999999998E-4</v>
      </c>
      <c r="E5277" t="s">
        <v>74</v>
      </c>
      <c r="F5277">
        <v>0.37108000000000002</v>
      </c>
      <c r="G5277" t="s">
        <v>75</v>
      </c>
      <c r="H5277">
        <v>371.07799999999997</v>
      </c>
      <c r="I5277" t="s">
        <v>76</v>
      </c>
      <c r="J5277" t="s">
        <v>77</v>
      </c>
    </row>
    <row r="5278" spans="1:11" x14ac:dyDescent="0.3">
      <c r="A5278" t="s">
        <v>84</v>
      </c>
      <c r="B5278">
        <v>1001</v>
      </c>
      <c r="C5278" t="s">
        <v>94</v>
      </c>
      <c r="D5278">
        <v>2.6077000000000001E-3</v>
      </c>
      <c r="E5278" t="s">
        <v>74</v>
      </c>
      <c r="F5278">
        <v>2.6076999999999999</v>
      </c>
      <c r="G5278" t="s">
        <v>75</v>
      </c>
      <c r="H5278">
        <v>2607.703</v>
      </c>
      <c r="I5278" t="s">
        <v>76</v>
      </c>
      <c r="J5278" t="s">
        <v>77</v>
      </c>
    </row>
    <row r="5279" spans="1:11" x14ac:dyDescent="0.3">
      <c r="A5279" t="s">
        <v>84</v>
      </c>
      <c r="B5279">
        <v>1001</v>
      </c>
      <c r="C5279" t="s">
        <v>80</v>
      </c>
      <c r="D5279">
        <v>2.7607899999999999E-3</v>
      </c>
      <c r="E5279" t="s">
        <v>74</v>
      </c>
      <c r="F5279">
        <v>2.7607900000000001</v>
      </c>
      <c r="G5279" t="s">
        <v>75</v>
      </c>
      <c r="H5279">
        <v>2760.7910000000002</v>
      </c>
      <c r="I5279" t="s">
        <v>76</v>
      </c>
      <c r="J5279" t="s">
        <v>77</v>
      </c>
    </row>
    <row r="5280" spans="1:11" x14ac:dyDescent="0.3">
      <c r="A5280" t="s">
        <v>84</v>
      </c>
      <c r="B5280">
        <v>1001</v>
      </c>
      <c r="C5280" t="s">
        <v>81</v>
      </c>
      <c r="D5280">
        <v>3.13269E-3</v>
      </c>
      <c r="E5280" t="s">
        <v>74</v>
      </c>
      <c r="F5280">
        <v>3.1326900000000002</v>
      </c>
      <c r="G5280" t="s">
        <v>75</v>
      </c>
      <c r="H5280">
        <v>3132.6880000000001</v>
      </c>
      <c r="I5280" t="s">
        <v>76</v>
      </c>
      <c r="J5280" t="s">
        <v>82</v>
      </c>
      <c r="K5280">
        <v>319.21466270000002</v>
      </c>
    </row>
    <row r="5281" spans="1:11" x14ac:dyDescent="0.3">
      <c r="A5281" t="s">
        <v>85</v>
      </c>
      <c r="B5281">
        <v>1001</v>
      </c>
      <c r="C5281" t="s">
        <v>86</v>
      </c>
      <c r="D5281">
        <v>3.13284E-3</v>
      </c>
      <c r="E5281" t="s">
        <v>74</v>
      </c>
      <c r="F5281">
        <v>3.1328399999999998</v>
      </c>
      <c r="G5281" t="s">
        <v>75</v>
      </c>
      <c r="H5281">
        <v>3132.84</v>
      </c>
      <c r="I5281" t="s">
        <v>76</v>
      </c>
      <c r="J5281" t="s">
        <v>82</v>
      </c>
      <c r="K5281">
        <v>319.19920339999999</v>
      </c>
    </row>
    <row r="5282" spans="1:11" x14ac:dyDescent="0.3">
      <c r="A5282" t="s">
        <v>115</v>
      </c>
    </row>
    <row r="5283" spans="1:11" x14ac:dyDescent="0.3">
      <c r="A5283" t="s">
        <v>127</v>
      </c>
    </row>
    <row r="5284" spans="1:11" x14ac:dyDescent="0.3">
      <c r="A5284" t="s">
        <v>87</v>
      </c>
    </row>
    <row r="5285" spans="1:11" x14ac:dyDescent="0.3">
      <c r="A5285" t="s">
        <v>287</v>
      </c>
    </row>
    <row r="5286" spans="1:11" x14ac:dyDescent="0.3">
      <c r="A5286" t="s">
        <v>72</v>
      </c>
      <c r="B5286">
        <v>1</v>
      </c>
      <c r="C5286" t="s">
        <v>81</v>
      </c>
      <c r="D5286">
        <v>0.47126961000000001</v>
      </c>
      <c r="E5286" t="s">
        <v>74</v>
      </c>
      <c r="F5286">
        <v>471.26961</v>
      </c>
      <c r="G5286" t="s">
        <v>75</v>
      </c>
      <c r="H5286">
        <v>471269.60800000001</v>
      </c>
      <c r="I5286" t="s">
        <v>76</v>
      </c>
      <c r="J5286" t="s">
        <v>82</v>
      </c>
      <c r="K5286">
        <v>2.1219275999999998</v>
      </c>
    </row>
    <row r="5287" spans="1:11" x14ac:dyDescent="0.3">
      <c r="A5287" t="s">
        <v>83</v>
      </c>
      <c r="B5287">
        <v>1000</v>
      </c>
      <c r="C5287" t="s">
        <v>81</v>
      </c>
      <c r="D5287">
        <v>2.78985E-3</v>
      </c>
      <c r="E5287" t="s">
        <v>74</v>
      </c>
      <c r="F5287">
        <v>2.7898499999999999</v>
      </c>
      <c r="G5287" t="s">
        <v>75</v>
      </c>
      <c r="H5287">
        <v>2789.8470000000002</v>
      </c>
      <c r="I5287" t="s">
        <v>76</v>
      </c>
      <c r="J5287" t="s">
        <v>82</v>
      </c>
      <c r="K5287">
        <v>358.44260880000002</v>
      </c>
    </row>
    <row r="5288" spans="1:11" x14ac:dyDescent="0.3">
      <c r="A5288" t="s">
        <v>85</v>
      </c>
      <c r="B5288">
        <v>1001</v>
      </c>
      <c r="C5288" t="s">
        <v>86</v>
      </c>
      <c r="D5288">
        <v>3.2580500000000002E-3</v>
      </c>
      <c r="E5288" t="s">
        <v>74</v>
      </c>
      <c r="F5288">
        <v>3.2580499999999999</v>
      </c>
      <c r="G5288" t="s">
        <v>75</v>
      </c>
      <c r="H5288">
        <v>3258.0529999999999</v>
      </c>
      <c r="I5288" t="s">
        <v>76</v>
      </c>
      <c r="J5288" t="s">
        <v>82</v>
      </c>
      <c r="K5288">
        <v>306.93180030000002</v>
      </c>
    </row>
    <row r="5290" spans="1:11" x14ac:dyDescent="0.3">
      <c r="A5290" t="s">
        <v>288</v>
      </c>
    </row>
    <row r="5291" spans="1:11" x14ac:dyDescent="0.3">
      <c r="A5291" t="s">
        <v>72</v>
      </c>
      <c r="B5291">
        <v>1</v>
      </c>
      <c r="C5291" t="s">
        <v>81</v>
      </c>
      <c r="D5291">
        <v>0.37425079999999999</v>
      </c>
      <c r="E5291" t="s">
        <v>74</v>
      </c>
      <c r="F5291">
        <v>374.25080000000003</v>
      </c>
      <c r="G5291" t="s">
        <v>75</v>
      </c>
      <c r="H5291">
        <v>374250.799</v>
      </c>
      <c r="I5291" t="s">
        <v>76</v>
      </c>
      <c r="J5291" t="s">
        <v>82</v>
      </c>
      <c r="K5291">
        <v>2.672005</v>
      </c>
    </row>
    <row r="5292" spans="1:11" x14ac:dyDescent="0.3">
      <c r="A5292" t="s">
        <v>83</v>
      </c>
      <c r="B5292">
        <v>1000</v>
      </c>
      <c r="C5292" t="s">
        <v>81</v>
      </c>
      <c r="D5292">
        <v>2.7615700000000001E-3</v>
      </c>
      <c r="E5292" t="s">
        <v>74</v>
      </c>
      <c r="F5292">
        <v>2.7615699999999999</v>
      </c>
      <c r="G5292" t="s">
        <v>75</v>
      </c>
      <c r="H5292">
        <v>2761.5680000000002</v>
      </c>
      <c r="I5292" t="s">
        <v>76</v>
      </c>
      <c r="J5292" t="s">
        <v>82</v>
      </c>
      <c r="K5292">
        <v>362.11307799999997</v>
      </c>
    </row>
    <row r="5293" spans="1:11" x14ac:dyDescent="0.3">
      <c r="A5293" t="s">
        <v>85</v>
      </c>
      <c r="B5293">
        <v>1001</v>
      </c>
      <c r="C5293" t="s">
        <v>86</v>
      </c>
      <c r="D5293">
        <v>3.13284E-3</v>
      </c>
      <c r="E5293" t="s">
        <v>74</v>
      </c>
      <c r="F5293">
        <v>3.1328399999999998</v>
      </c>
      <c r="G5293" t="s">
        <v>75</v>
      </c>
      <c r="H5293">
        <v>3132.84</v>
      </c>
      <c r="I5293" t="s">
        <v>76</v>
      </c>
      <c r="J5293" t="s">
        <v>82</v>
      </c>
      <c r="K5293">
        <v>319.19920339999999</v>
      </c>
    </row>
    <row r="5295" spans="1:11" x14ac:dyDescent="0.3">
      <c r="A5295" t="s">
        <v>66</v>
      </c>
    </row>
    <row r="5297" spans="1:1" x14ac:dyDescent="0.3">
      <c r="A5297" t="s">
        <v>347</v>
      </c>
    </row>
    <row r="5298" spans="1:1" x14ac:dyDescent="0.3">
      <c r="A5298" t="s">
        <v>68</v>
      </c>
    </row>
    <row r="5299" spans="1:1" x14ac:dyDescent="0.3">
      <c r="A5299" t="s">
        <v>69</v>
      </c>
    </row>
    <row r="5300" spans="1:1" x14ac:dyDescent="0.3">
      <c r="A5300" t="s">
        <v>70</v>
      </c>
    </row>
    <row r="5301" spans="1:1" x14ac:dyDescent="0.3">
      <c r="A5301" t="s">
        <v>115</v>
      </c>
    </row>
    <row r="5302" spans="1:1" x14ac:dyDescent="0.3">
      <c r="A5302" t="s">
        <v>266</v>
      </c>
    </row>
    <row r="5303" spans="1:1" x14ac:dyDescent="0.3">
      <c r="A5303" t="s">
        <v>267</v>
      </c>
    </row>
    <row r="5304" spans="1:1" x14ac:dyDescent="0.3">
      <c r="A5304" t="s">
        <v>118</v>
      </c>
    </row>
    <row r="5305" spans="1:1" x14ac:dyDescent="0.3">
      <c r="A5305" t="s">
        <v>119</v>
      </c>
    </row>
    <row r="5306" spans="1:1" x14ac:dyDescent="0.3">
      <c r="A5306" t="s">
        <v>268</v>
      </c>
    </row>
    <row r="5307" spans="1:1" x14ac:dyDescent="0.3">
      <c r="A5307" t="s">
        <v>269</v>
      </c>
    </row>
    <row r="5308" spans="1:1" x14ac:dyDescent="0.3">
      <c r="A5308" t="s">
        <v>122</v>
      </c>
    </row>
    <row r="5309" spans="1:1" x14ac:dyDescent="0.3">
      <c r="A5309" t="s">
        <v>270</v>
      </c>
    </row>
    <row r="5310" spans="1:1" x14ac:dyDescent="0.3">
      <c r="A5310" t="s">
        <v>271</v>
      </c>
    </row>
    <row r="5311" spans="1:1" x14ac:dyDescent="0.3">
      <c r="A5311" t="s">
        <v>125</v>
      </c>
    </row>
    <row r="5312" spans="1:1" x14ac:dyDescent="0.3">
      <c r="A5312" t="s">
        <v>126</v>
      </c>
    </row>
    <row r="5313" spans="1:11" x14ac:dyDescent="0.3">
      <c r="A5313" t="s">
        <v>127</v>
      </c>
    </row>
    <row r="5314" spans="1:11" x14ac:dyDescent="0.3">
      <c r="A5314" t="s">
        <v>153</v>
      </c>
    </row>
    <row r="5315" spans="1:11" x14ac:dyDescent="0.3">
      <c r="A5315" t="s">
        <v>290</v>
      </c>
    </row>
    <row r="5316" spans="1:11" x14ac:dyDescent="0.3">
      <c r="A5316" t="s">
        <v>72</v>
      </c>
      <c r="B5316">
        <v>1</v>
      </c>
      <c r="C5316" t="s">
        <v>73</v>
      </c>
      <c r="D5316">
        <v>4.0999999999999997E-6</v>
      </c>
      <c r="E5316" t="s">
        <v>74</v>
      </c>
      <c r="F5316">
        <v>4.1000000000000003E-3</v>
      </c>
      <c r="G5316" t="s">
        <v>75</v>
      </c>
      <c r="H5316">
        <v>4.0999999999999996</v>
      </c>
      <c r="I5316" t="s">
        <v>76</v>
      </c>
      <c r="J5316" t="s">
        <v>77</v>
      </c>
    </row>
    <row r="5317" spans="1:11" x14ac:dyDescent="0.3">
      <c r="A5317" t="s">
        <v>72</v>
      </c>
      <c r="B5317">
        <v>1</v>
      </c>
      <c r="C5317" t="s">
        <v>78</v>
      </c>
      <c r="D5317">
        <v>0.13200700000000001</v>
      </c>
      <c r="E5317" t="s">
        <v>74</v>
      </c>
      <c r="F5317">
        <v>132.00700000000001</v>
      </c>
      <c r="G5317" t="s">
        <v>75</v>
      </c>
      <c r="H5317">
        <v>132007.003</v>
      </c>
      <c r="I5317" t="s">
        <v>76</v>
      </c>
      <c r="J5317" t="s">
        <v>77</v>
      </c>
    </row>
    <row r="5318" spans="1:11" x14ac:dyDescent="0.3">
      <c r="A5318" t="s">
        <v>72</v>
      </c>
      <c r="B5318">
        <v>1</v>
      </c>
      <c r="C5318" t="s">
        <v>79</v>
      </c>
      <c r="D5318">
        <v>0.1626011</v>
      </c>
      <c r="E5318" t="s">
        <v>74</v>
      </c>
      <c r="F5318">
        <v>162.6011</v>
      </c>
      <c r="G5318" t="s">
        <v>75</v>
      </c>
      <c r="H5318">
        <v>162601.098</v>
      </c>
      <c r="I5318" t="s">
        <v>76</v>
      </c>
      <c r="J5318" t="s">
        <v>77</v>
      </c>
    </row>
    <row r="5319" spans="1:11" x14ac:dyDescent="0.3">
      <c r="A5319" t="s">
        <v>72</v>
      </c>
      <c r="B5319">
        <v>1</v>
      </c>
      <c r="C5319" t="s">
        <v>94</v>
      </c>
      <c r="D5319">
        <v>1.8703399999999998E-2</v>
      </c>
      <c r="E5319" t="s">
        <v>74</v>
      </c>
      <c r="F5319">
        <v>18.703399999999998</v>
      </c>
      <c r="G5319" t="s">
        <v>75</v>
      </c>
      <c r="H5319">
        <v>18703.399000000001</v>
      </c>
      <c r="I5319" t="s">
        <v>76</v>
      </c>
      <c r="J5319" t="s">
        <v>77</v>
      </c>
    </row>
    <row r="5320" spans="1:11" x14ac:dyDescent="0.3">
      <c r="A5320" t="s">
        <v>72</v>
      </c>
      <c r="B5320">
        <v>1</v>
      </c>
      <c r="C5320" t="s">
        <v>80</v>
      </c>
      <c r="D5320">
        <v>1.8703999999999998E-2</v>
      </c>
      <c r="E5320" t="s">
        <v>74</v>
      </c>
      <c r="F5320">
        <v>18.704000000000001</v>
      </c>
      <c r="G5320" t="s">
        <v>75</v>
      </c>
      <c r="H5320">
        <v>18704.001</v>
      </c>
      <c r="I5320" t="s">
        <v>76</v>
      </c>
      <c r="J5320" t="s">
        <v>77</v>
      </c>
    </row>
    <row r="5321" spans="1:11" x14ac:dyDescent="0.3">
      <c r="A5321" t="s">
        <v>72</v>
      </c>
      <c r="B5321">
        <v>1</v>
      </c>
      <c r="C5321" t="s">
        <v>81</v>
      </c>
      <c r="D5321">
        <v>0.18130769999999999</v>
      </c>
      <c r="E5321" t="s">
        <v>74</v>
      </c>
      <c r="F5321">
        <v>181.30770000000001</v>
      </c>
      <c r="G5321" t="s">
        <v>75</v>
      </c>
      <c r="H5321">
        <v>181307.70300000001</v>
      </c>
      <c r="I5321" t="s">
        <v>76</v>
      </c>
      <c r="J5321" t="s">
        <v>82</v>
      </c>
      <c r="K5321">
        <v>5.5154854999999996</v>
      </c>
    </row>
    <row r="5322" spans="1:11" x14ac:dyDescent="0.3">
      <c r="A5322" t="s">
        <v>83</v>
      </c>
      <c r="B5322">
        <v>1000</v>
      </c>
      <c r="C5322" t="s">
        <v>79</v>
      </c>
      <c r="D5322">
        <v>1.9999999999999999E-7</v>
      </c>
      <c r="E5322" t="s">
        <v>74</v>
      </c>
      <c r="F5322">
        <v>2.0000000000000001E-4</v>
      </c>
      <c r="G5322" t="s">
        <v>75</v>
      </c>
      <c r="H5322">
        <v>0.20399999999999999</v>
      </c>
      <c r="I5322" t="s">
        <v>76</v>
      </c>
      <c r="J5322" t="s">
        <v>77</v>
      </c>
    </row>
    <row r="5323" spans="1:11" x14ac:dyDescent="0.3">
      <c r="A5323" t="s">
        <v>83</v>
      </c>
      <c r="B5323">
        <v>1000</v>
      </c>
      <c r="C5323" t="s">
        <v>94</v>
      </c>
      <c r="D5323">
        <v>1.7916620000000001E-2</v>
      </c>
      <c r="E5323" t="s">
        <v>74</v>
      </c>
      <c r="F5323">
        <v>17.916620000000002</v>
      </c>
      <c r="G5323" t="s">
        <v>75</v>
      </c>
      <c r="H5323">
        <v>17916.617999999999</v>
      </c>
      <c r="I5323" t="s">
        <v>76</v>
      </c>
      <c r="J5323" t="s">
        <v>77</v>
      </c>
    </row>
    <row r="5324" spans="1:11" x14ac:dyDescent="0.3">
      <c r="A5324" t="s">
        <v>83</v>
      </c>
      <c r="B5324">
        <v>1000</v>
      </c>
      <c r="C5324" t="s">
        <v>80</v>
      </c>
      <c r="D5324">
        <v>1.7916870000000001E-2</v>
      </c>
      <c r="E5324" t="s">
        <v>74</v>
      </c>
      <c r="F5324">
        <v>17.916869999999999</v>
      </c>
      <c r="G5324" t="s">
        <v>75</v>
      </c>
      <c r="H5324">
        <v>17916.874</v>
      </c>
      <c r="I5324" t="s">
        <v>76</v>
      </c>
      <c r="J5324" t="s">
        <v>77</v>
      </c>
    </row>
    <row r="5325" spans="1:11" x14ac:dyDescent="0.3">
      <c r="A5325" t="s">
        <v>83</v>
      </c>
      <c r="B5325">
        <v>1000</v>
      </c>
      <c r="C5325" t="s">
        <v>81</v>
      </c>
      <c r="D5325">
        <v>1.7917809999999999E-2</v>
      </c>
      <c r="E5325" t="s">
        <v>74</v>
      </c>
      <c r="F5325">
        <v>17.917809999999999</v>
      </c>
      <c r="G5325" t="s">
        <v>75</v>
      </c>
      <c r="H5325">
        <v>17917.810000000001</v>
      </c>
      <c r="I5325" t="s">
        <v>76</v>
      </c>
      <c r="J5325" t="s">
        <v>82</v>
      </c>
      <c r="K5325">
        <v>55.810390599999998</v>
      </c>
    </row>
    <row r="5326" spans="1:11" x14ac:dyDescent="0.3">
      <c r="A5326" t="s">
        <v>84</v>
      </c>
      <c r="B5326">
        <v>1001</v>
      </c>
      <c r="C5326" t="s">
        <v>79</v>
      </c>
      <c r="D5326">
        <v>1.6264E-4</v>
      </c>
      <c r="E5326" t="s">
        <v>74</v>
      </c>
      <c r="F5326">
        <v>0.16264000000000001</v>
      </c>
      <c r="G5326" t="s">
        <v>75</v>
      </c>
      <c r="H5326">
        <v>162.63999999999999</v>
      </c>
      <c r="I5326" t="s">
        <v>76</v>
      </c>
      <c r="J5326" t="s">
        <v>77</v>
      </c>
    </row>
    <row r="5327" spans="1:11" x14ac:dyDescent="0.3">
      <c r="A5327" t="s">
        <v>84</v>
      </c>
      <c r="B5327">
        <v>1001</v>
      </c>
      <c r="C5327" t="s">
        <v>94</v>
      </c>
      <c r="D5327">
        <v>1.79174E-2</v>
      </c>
      <c r="E5327" t="s">
        <v>74</v>
      </c>
      <c r="F5327">
        <v>17.917400000000001</v>
      </c>
      <c r="G5327" t="s">
        <v>75</v>
      </c>
      <c r="H5327">
        <v>17917.403999999999</v>
      </c>
      <c r="I5327" t="s">
        <v>76</v>
      </c>
      <c r="J5327" t="s">
        <v>77</v>
      </c>
    </row>
    <row r="5328" spans="1:11" x14ac:dyDescent="0.3">
      <c r="A5328" t="s">
        <v>84</v>
      </c>
      <c r="B5328">
        <v>1001</v>
      </c>
      <c r="C5328" t="s">
        <v>80</v>
      </c>
      <c r="D5328">
        <v>1.7917659999999998E-2</v>
      </c>
      <c r="E5328" t="s">
        <v>74</v>
      </c>
      <c r="F5328">
        <v>17.917660000000001</v>
      </c>
      <c r="G5328" t="s">
        <v>75</v>
      </c>
      <c r="H5328">
        <v>17917.66</v>
      </c>
      <c r="I5328" t="s">
        <v>76</v>
      </c>
      <c r="J5328" t="s">
        <v>77</v>
      </c>
    </row>
    <row r="5329" spans="1:11" x14ac:dyDescent="0.3">
      <c r="A5329" t="s">
        <v>84</v>
      </c>
      <c r="B5329">
        <v>1001</v>
      </c>
      <c r="C5329" t="s">
        <v>81</v>
      </c>
      <c r="D5329">
        <v>1.8081030000000001E-2</v>
      </c>
      <c r="E5329" t="s">
        <v>74</v>
      </c>
      <c r="F5329">
        <v>18.081029999999998</v>
      </c>
      <c r="G5329" t="s">
        <v>75</v>
      </c>
      <c r="H5329">
        <v>18081.031999999999</v>
      </c>
      <c r="I5329" t="s">
        <v>76</v>
      </c>
      <c r="J5329" t="s">
        <v>82</v>
      </c>
      <c r="K5329">
        <v>55.306576300000003</v>
      </c>
    </row>
    <row r="5330" spans="1:11" x14ac:dyDescent="0.3">
      <c r="A5330" t="s">
        <v>85</v>
      </c>
      <c r="B5330">
        <v>1001</v>
      </c>
      <c r="C5330" t="s">
        <v>86</v>
      </c>
      <c r="D5330">
        <v>1.808133E-2</v>
      </c>
      <c r="E5330" t="s">
        <v>74</v>
      </c>
      <c r="F5330">
        <v>18.081330000000001</v>
      </c>
      <c r="G5330" t="s">
        <v>75</v>
      </c>
      <c r="H5330">
        <v>18081.326000000001</v>
      </c>
      <c r="I5330" t="s">
        <v>76</v>
      </c>
      <c r="J5330" t="s">
        <v>82</v>
      </c>
      <c r="K5330">
        <v>55.305678800000003</v>
      </c>
    </row>
    <row r="5331" spans="1:11" x14ac:dyDescent="0.3">
      <c r="A5331" t="s">
        <v>155</v>
      </c>
    </row>
    <row r="5332" spans="1:11" x14ac:dyDescent="0.3">
      <c r="A5332" t="s">
        <v>291</v>
      </c>
    </row>
    <row r="5333" spans="1:11" x14ac:dyDescent="0.3">
      <c r="A5333" t="s">
        <v>72</v>
      </c>
      <c r="B5333">
        <v>1</v>
      </c>
      <c r="C5333" t="s">
        <v>73</v>
      </c>
      <c r="D5333">
        <v>4.0999999999999997E-6</v>
      </c>
      <c r="E5333" t="s">
        <v>74</v>
      </c>
      <c r="F5333">
        <v>4.1000000000000003E-3</v>
      </c>
      <c r="G5333" t="s">
        <v>75</v>
      </c>
      <c r="H5333">
        <v>4.0999999999999996</v>
      </c>
      <c r="I5333" t="s">
        <v>76</v>
      </c>
      <c r="J5333" t="s">
        <v>77</v>
      </c>
    </row>
    <row r="5334" spans="1:11" x14ac:dyDescent="0.3">
      <c r="A5334" t="s">
        <v>72</v>
      </c>
      <c r="B5334">
        <v>1</v>
      </c>
      <c r="C5334" t="s">
        <v>78</v>
      </c>
      <c r="D5334">
        <v>1.0975E-3</v>
      </c>
      <c r="E5334" t="s">
        <v>74</v>
      </c>
      <c r="F5334">
        <v>1.0974999999999999</v>
      </c>
      <c r="G5334" t="s">
        <v>75</v>
      </c>
      <c r="H5334">
        <v>1097.5</v>
      </c>
      <c r="I5334" t="s">
        <v>76</v>
      </c>
      <c r="J5334" t="s">
        <v>77</v>
      </c>
    </row>
    <row r="5335" spans="1:11" x14ac:dyDescent="0.3">
      <c r="A5335" t="s">
        <v>72</v>
      </c>
      <c r="B5335">
        <v>1</v>
      </c>
      <c r="C5335" t="s">
        <v>79</v>
      </c>
      <c r="D5335">
        <v>9.0621E-3</v>
      </c>
      <c r="E5335" t="s">
        <v>74</v>
      </c>
      <c r="F5335">
        <v>9.0620999999999992</v>
      </c>
      <c r="G5335" t="s">
        <v>75</v>
      </c>
      <c r="H5335">
        <v>9062.1</v>
      </c>
      <c r="I5335" t="s">
        <v>76</v>
      </c>
      <c r="J5335" t="s">
        <v>77</v>
      </c>
    </row>
    <row r="5336" spans="1:11" x14ac:dyDescent="0.3">
      <c r="A5336" t="s">
        <v>72</v>
      </c>
      <c r="B5336">
        <v>1</v>
      </c>
      <c r="C5336" t="s">
        <v>94</v>
      </c>
      <c r="D5336">
        <v>2.87129E-2</v>
      </c>
      <c r="E5336" t="s">
        <v>74</v>
      </c>
      <c r="F5336">
        <v>28.712900000000001</v>
      </c>
      <c r="G5336" t="s">
        <v>75</v>
      </c>
      <c r="H5336">
        <v>28712.9</v>
      </c>
      <c r="I5336" t="s">
        <v>76</v>
      </c>
      <c r="J5336" t="s">
        <v>77</v>
      </c>
    </row>
    <row r="5337" spans="1:11" x14ac:dyDescent="0.3">
      <c r="A5337" t="s">
        <v>72</v>
      </c>
      <c r="B5337">
        <v>1</v>
      </c>
      <c r="C5337" t="s">
        <v>80</v>
      </c>
      <c r="D5337">
        <v>2.8713700000000002E-2</v>
      </c>
      <c r="E5337" t="s">
        <v>74</v>
      </c>
      <c r="F5337">
        <v>28.713699999999999</v>
      </c>
      <c r="G5337" t="s">
        <v>75</v>
      </c>
      <c r="H5337">
        <v>28713.699000000001</v>
      </c>
      <c r="I5337" t="s">
        <v>76</v>
      </c>
      <c r="J5337" t="s">
        <v>77</v>
      </c>
    </row>
    <row r="5338" spans="1:11" x14ac:dyDescent="0.3">
      <c r="A5338" t="s">
        <v>72</v>
      </c>
      <c r="B5338">
        <v>1</v>
      </c>
      <c r="C5338" t="s">
        <v>81</v>
      </c>
      <c r="D5338">
        <v>3.7776700000000003E-2</v>
      </c>
      <c r="E5338" t="s">
        <v>74</v>
      </c>
      <c r="F5338">
        <v>37.776699999999998</v>
      </c>
      <c r="G5338" t="s">
        <v>75</v>
      </c>
      <c r="H5338">
        <v>37776.701000000001</v>
      </c>
      <c r="I5338" t="s">
        <v>76</v>
      </c>
      <c r="J5338" t="s">
        <v>82</v>
      </c>
      <c r="K5338">
        <v>26.4713426</v>
      </c>
    </row>
    <row r="5339" spans="1:11" x14ac:dyDescent="0.3">
      <c r="A5339" t="s">
        <v>83</v>
      </c>
      <c r="B5339">
        <v>1000</v>
      </c>
      <c r="C5339" t="s">
        <v>79</v>
      </c>
      <c r="D5339">
        <v>6.8999999999999996E-7</v>
      </c>
      <c r="E5339" t="s">
        <v>74</v>
      </c>
      <c r="F5339">
        <v>6.8999999999999997E-4</v>
      </c>
      <c r="G5339" t="s">
        <v>75</v>
      </c>
      <c r="H5339">
        <v>0.69</v>
      </c>
      <c r="I5339" t="s">
        <v>76</v>
      </c>
      <c r="J5339" t="s">
        <v>77</v>
      </c>
    </row>
    <row r="5340" spans="1:11" x14ac:dyDescent="0.3">
      <c r="A5340" t="s">
        <v>83</v>
      </c>
      <c r="B5340">
        <v>1000</v>
      </c>
      <c r="C5340" t="s">
        <v>94</v>
      </c>
      <c r="D5340">
        <v>2.5808910000000001E-2</v>
      </c>
      <c r="E5340" t="s">
        <v>74</v>
      </c>
      <c r="F5340">
        <v>25.808910000000001</v>
      </c>
      <c r="G5340" t="s">
        <v>75</v>
      </c>
      <c r="H5340">
        <v>25808.91</v>
      </c>
      <c r="I5340" t="s">
        <v>76</v>
      </c>
      <c r="J5340" t="s">
        <v>77</v>
      </c>
    </row>
    <row r="5341" spans="1:11" x14ac:dyDescent="0.3">
      <c r="A5341" t="s">
        <v>83</v>
      </c>
      <c r="B5341">
        <v>1000</v>
      </c>
      <c r="C5341" t="s">
        <v>80</v>
      </c>
      <c r="D5341">
        <v>2.604888E-2</v>
      </c>
      <c r="E5341" t="s">
        <v>74</v>
      </c>
      <c r="F5341">
        <v>26.04888</v>
      </c>
      <c r="G5341" t="s">
        <v>75</v>
      </c>
      <c r="H5341">
        <v>26048.880000000001</v>
      </c>
      <c r="I5341" t="s">
        <v>76</v>
      </c>
      <c r="J5341" t="s">
        <v>77</v>
      </c>
    </row>
    <row r="5342" spans="1:11" x14ac:dyDescent="0.3">
      <c r="A5342" t="s">
        <v>83</v>
      </c>
      <c r="B5342">
        <v>1000</v>
      </c>
      <c r="C5342" t="s">
        <v>81</v>
      </c>
      <c r="D5342">
        <v>2.60535E-2</v>
      </c>
      <c r="E5342" t="s">
        <v>74</v>
      </c>
      <c r="F5342">
        <v>26.0535</v>
      </c>
      <c r="G5342" t="s">
        <v>75</v>
      </c>
      <c r="H5342">
        <v>26053.496999999999</v>
      </c>
      <c r="I5342" t="s">
        <v>76</v>
      </c>
      <c r="J5342" t="s">
        <v>82</v>
      </c>
      <c r="K5342">
        <v>38.382562900000003</v>
      </c>
    </row>
    <row r="5343" spans="1:11" x14ac:dyDescent="0.3">
      <c r="A5343" t="s">
        <v>84</v>
      </c>
      <c r="B5343">
        <v>1001</v>
      </c>
      <c r="C5343" t="s">
        <v>79</v>
      </c>
      <c r="D5343">
        <v>9.7399999999999999E-6</v>
      </c>
      <c r="E5343" t="s">
        <v>74</v>
      </c>
      <c r="F5343">
        <v>9.7400000000000004E-3</v>
      </c>
      <c r="G5343" t="s">
        <v>75</v>
      </c>
      <c r="H5343">
        <v>9.7420000000000009</v>
      </c>
      <c r="I5343" t="s">
        <v>76</v>
      </c>
      <c r="J5343" t="s">
        <v>77</v>
      </c>
    </row>
    <row r="5344" spans="1:11" x14ac:dyDescent="0.3">
      <c r="A5344" t="s">
        <v>84</v>
      </c>
      <c r="B5344">
        <v>1001</v>
      </c>
      <c r="C5344" t="s">
        <v>94</v>
      </c>
      <c r="D5344">
        <v>2.5811810000000001E-2</v>
      </c>
      <c r="E5344" t="s">
        <v>74</v>
      </c>
      <c r="F5344">
        <v>25.811810000000001</v>
      </c>
      <c r="G5344" t="s">
        <v>75</v>
      </c>
      <c r="H5344">
        <v>25811.812000000002</v>
      </c>
      <c r="I5344" t="s">
        <v>76</v>
      </c>
      <c r="J5344" t="s">
        <v>77</v>
      </c>
    </row>
    <row r="5345" spans="1:11" x14ac:dyDescent="0.3">
      <c r="A5345" t="s">
        <v>84</v>
      </c>
      <c r="B5345">
        <v>1001</v>
      </c>
      <c r="C5345" t="s">
        <v>80</v>
      </c>
      <c r="D5345">
        <v>2.6051540000000002E-2</v>
      </c>
      <c r="E5345" t="s">
        <v>74</v>
      </c>
      <c r="F5345">
        <v>26.051539999999999</v>
      </c>
      <c r="G5345" t="s">
        <v>75</v>
      </c>
      <c r="H5345">
        <v>26051.541000000001</v>
      </c>
      <c r="I5345" t="s">
        <v>76</v>
      </c>
      <c r="J5345" t="s">
        <v>77</v>
      </c>
    </row>
    <row r="5346" spans="1:11" x14ac:dyDescent="0.3">
      <c r="A5346" t="s">
        <v>84</v>
      </c>
      <c r="B5346">
        <v>1001</v>
      </c>
      <c r="C5346" t="s">
        <v>81</v>
      </c>
      <c r="D5346">
        <v>2.6065209999999998E-2</v>
      </c>
      <c r="E5346" t="s">
        <v>74</v>
      </c>
      <c r="F5346">
        <v>26.06521</v>
      </c>
      <c r="G5346" t="s">
        <v>75</v>
      </c>
      <c r="H5346">
        <v>26065.208999999999</v>
      </c>
      <c r="I5346" t="s">
        <v>76</v>
      </c>
      <c r="J5346" t="s">
        <v>82</v>
      </c>
      <c r="K5346">
        <v>38.365316700000001</v>
      </c>
    </row>
    <row r="5347" spans="1:11" x14ac:dyDescent="0.3">
      <c r="A5347" t="s">
        <v>85</v>
      </c>
      <c r="B5347">
        <v>1001</v>
      </c>
      <c r="C5347" t="s">
        <v>86</v>
      </c>
      <c r="D5347">
        <v>2.606634E-2</v>
      </c>
      <c r="E5347" t="s">
        <v>74</v>
      </c>
      <c r="F5347">
        <v>26.06634</v>
      </c>
      <c r="G5347" t="s">
        <v>75</v>
      </c>
      <c r="H5347">
        <v>26066.341</v>
      </c>
      <c r="I5347" t="s">
        <v>76</v>
      </c>
      <c r="J5347" t="s">
        <v>82</v>
      </c>
      <c r="K5347">
        <v>38.363650800000002</v>
      </c>
    </row>
    <row r="5348" spans="1:11" x14ac:dyDescent="0.3">
      <c r="A5348" t="s">
        <v>115</v>
      </c>
    </row>
    <row r="5349" spans="1:11" x14ac:dyDescent="0.3">
      <c r="A5349" t="s">
        <v>127</v>
      </c>
    </row>
    <row r="5350" spans="1:11" x14ac:dyDescent="0.3">
      <c r="A5350" t="s">
        <v>87</v>
      </c>
    </row>
    <row r="5351" spans="1:11" x14ac:dyDescent="0.3">
      <c r="A5351" t="s">
        <v>292</v>
      </c>
    </row>
    <row r="5352" spans="1:11" x14ac:dyDescent="0.3">
      <c r="A5352" t="s">
        <v>72</v>
      </c>
      <c r="B5352">
        <v>1</v>
      </c>
      <c r="C5352" t="s">
        <v>81</v>
      </c>
      <c r="D5352">
        <v>0.18130769999999999</v>
      </c>
      <c r="E5352" t="s">
        <v>74</v>
      </c>
      <c r="F5352">
        <v>181.30770000000001</v>
      </c>
      <c r="G5352" t="s">
        <v>75</v>
      </c>
      <c r="H5352">
        <v>181307.70300000001</v>
      </c>
      <c r="I5352" t="s">
        <v>76</v>
      </c>
      <c r="J5352" t="s">
        <v>82</v>
      </c>
      <c r="K5352">
        <v>5.5154854999999996</v>
      </c>
    </row>
    <row r="5353" spans="1:11" x14ac:dyDescent="0.3">
      <c r="A5353" t="s">
        <v>83</v>
      </c>
      <c r="B5353">
        <v>1000</v>
      </c>
      <c r="C5353" t="s">
        <v>81</v>
      </c>
      <c r="D5353">
        <v>1.7917809999999999E-2</v>
      </c>
      <c r="E5353" t="s">
        <v>74</v>
      </c>
      <c r="F5353">
        <v>17.917809999999999</v>
      </c>
      <c r="G5353" t="s">
        <v>75</v>
      </c>
      <c r="H5353">
        <v>17917.810000000001</v>
      </c>
      <c r="I5353" t="s">
        <v>76</v>
      </c>
      <c r="J5353" t="s">
        <v>82</v>
      </c>
      <c r="K5353">
        <v>55.810390599999998</v>
      </c>
    </row>
    <row r="5354" spans="1:11" x14ac:dyDescent="0.3">
      <c r="A5354" t="s">
        <v>85</v>
      </c>
      <c r="B5354">
        <v>1001</v>
      </c>
      <c r="C5354" t="s">
        <v>86</v>
      </c>
      <c r="D5354">
        <v>1.808133E-2</v>
      </c>
      <c r="E5354" t="s">
        <v>74</v>
      </c>
      <c r="F5354">
        <v>18.081330000000001</v>
      </c>
      <c r="G5354" t="s">
        <v>75</v>
      </c>
      <c r="H5354">
        <v>18081.326000000001</v>
      </c>
      <c r="I5354" t="s">
        <v>76</v>
      </c>
      <c r="J5354" t="s">
        <v>82</v>
      </c>
      <c r="K5354">
        <v>55.305678800000003</v>
      </c>
    </row>
    <row r="5356" spans="1:11" x14ac:dyDescent="0.3">
      <c r="A5356" t="s">
        <v>293</v>
      </c>
    </row>
    <row r="5357" spans="1:11" x14ac:dyDescent="0.3">
      <c r="A5357" t="s">
        <v>72</v>
      </c>
      <c r="B5357">
        <v>1</v>
      </c>
      <c r="C5357" t="s">
        <v>81</v>
      </c>
      <c r="D5357">
        <v>3.7776700000000003E-2</v>
      </c>
      <c r="E5357" t="s">
        <v>74</v>
      </c>
      <c r="F5357">
        <v>37.776699999999998</v>
      </c>
      <c r="G5357" t="s">
        <v>75</v>
      </c>
      <c r="H5357">
        <v>37776.701000000001</v>
      </c>
      <c r="I5357" t="s">
        <v>76</v>
      </c>
      <c r="J5357" t="s">
        <v>82</v>
      </c>
      <c r="K5357">
        <v>26.4713426</v>
      </c>
    </row>
    <row r="5358" spans="1:11" x14ac:dyDescent="0.3">
      <c r="A5358" t="s">
        <v>83</v>
      </c>
      <c r="B5358">
        <v>1000</v>
      </c>
      <c r="C5358" t="s">
        <v>81</v>
      </c>
      <c r="D5358">
        <v>2.60535E-2</v>
      </c>
      <c r="E5358" t="s">
        <v>74</v>
      </c>
      <c r="F5358">
        <v>26.0535</v>
      </c>
      <c r="G5358" t="s">
        <v>75</v>
      </c>
      <c r="H5358">
        <v>26053.496999999999</v>
      </c>
      <c r="I5358" t="s">
        <v>76</v>
      </c>
      <c r="J5358" t="s">
        <v>82</v>
      </c>
      <c r="K5358">
        <v>38.382562900000003</v>
      </c>
    </row>
    <row r="5359" spans="1:11" x14ac:dyDescent="0.3">
      <c r="A5359" t="s">
        <v>85</v>
      </c>
      <c r="B5359">
        <v>1001</v>
      </c>
      <c r="C5359" t="s">
        <v>86</v>
      </c>
      <c r="D5359">
        <v>2.606634E-2</v>
      </c>
      <c r="E5359" t="s">
        <v>74</v>
      </c>
      <c r="F5359">
        <v>26.06634</v>
      </c>
      <c r="G5359" t="s">
        <v>75</v>
      </c>
      <c r="H5359">
        <v>26066.341</v>
      </c>
      <c r="I5359" t="s">
        <v>76</v>
      </c>
      <c r="J5359" t="s">
        <v>82</v>
      </c>
      <c r="K5359">
        <v>38.363650800000002</v>
      </c>
    </row>
    <row r="5361" spans="1:1" x14ac:dyDescent="0.3">
      <c r="A5361" t="s">
        <v>66</v>
      </c>
    </row>
    <row r="5363" spans="1:1" x14ac:dyDescent="0.3">
      <c r="A5363" t="s">
        <v>348</v>
      </c>
    </row>
    <row r="5364" spans="1:1" x14ac:dyDescent="0.3">
      <c r="A5364" t="s">
        <v>68</v>
      </c>
    </row>
    <row r="5365" spans="1:1" x14ac:dyDescent="0.3">
      <c r="A5365" t="s">
        <v>69</v>
      </c>
    </row>
    <row r="5366" spans="1:1" x14ac:dyDescent="0.3">
      <c r="A5366" t="s">
        <v>70</v>
      </c>
    </row>
    <row r="5367" spans="1:1" x14ac:dyDescent="0.3">
      <c r="A5367" t="s">
        <v>115</v>
      </c>
    </row>
    <row r="5368" spans="1:1" x14ac:dyDescent="0.3">
      <c r="A5368" t="s">
        <v>266</v>
      </c>
    </row>
    <row r="5369" spans="1:1" x14ac:dyDescent="0.3">
      <c r="A5369" t="s">
        <v>267</v>
      </c>
    </row>
    <row r="5370" spans="1:1" x14ac:dyDescent="0.3">
      <c r="A5370" t="s">
        <v>118</v>
      </c>
    </row>
    <row r="5371" spans="1:1" x14ac:dyDescent="0.3">
      <c r="A5371" t="s">
        <v>119</v>
      </c>
    </row>
    <row r="5372" spans="1:1" x14ac:dyDescent="0.3">
      <c r="A5372" t="s">
        <v>268</v>
      </c>
    </row>
    <row r="5373" spans="1:1" x14ac:dyDescent="0.3">
      <c r="A5373" t="s">
        <v>269</v>
      </c>
    </row>
    <row r="5374" spans="1:1" x14ac:dyDescent="0.3">
      <c r="A5374" t="s">
        <v>122</v>
      </c>
    </row>
    <row r="5375" spans="1:1" x14ac:dyDescent="0.3">
      <c r="A5375" t="s">
        <v>270</v>
      </c>
    </row>
    <row r="5376" spans="1:1" x14ac:dyDescent="0.3">
      <c r="A5376" t="s">
        <v>271</v>
      </c>
    </row>
    <row r="5377" spans="1:11" x14ac:dyDescent="0.3">
      <c r="A5377" t="s">
        <v>125</v>
      </c>
    </row>
    <row r="5378" spans="1:11" x14ac:dyDescent="0.3">
      <c r="A5378" t="s">
        <v>126</v>
      </c>
    </row>
    <row r="5379" spans="1:11" x14ac:dyDescent="0.3">
      <c r="A5379" t="s">
        <v>127</v>
      </c>
    </row>
    <row r="5380" spans="1:11" x14ac:dyDescent="0.3">
      <c r="A5380" t="s">
        <v>160</v>
      </c>
    </row>
    <row r="5381" spans="1:11" x14ac:dyDescent="0.3">
      <c r="A5381" t="s">
        <v>295</v>
      </c>
    </row>
    <row r="5382" spans="1:11" x14ac:dyDescent="0.3">
      <c r="A5382" t="s">
        <v>72</v>
      </c>
      <c r="B5382">
        <v>1</v>
      </c>
      <c r="C5382" t="s">
        <v>73</v>
      </c>
      <c r="D5382">
        <v>4.0999999999999997E-6</v>
      </c>
      <c r="E5382" t="s">
        <v>74</v>
      </c>
      <c r="F5382">
        <v>4.1000000000000003E-3</v>
      </c>
      <c r="G5382" t="s">
        <v>75</v>
      </c>
      <c r="H5382">
        <v>4.0999999999999996</v>
      </c>
      <c r="I5382" t="s">
        <v>76</v>
      </c>
      <c r="J5382" t="s">
        <v>77</v>
      </c>
    </row>
    <row r="5383" spans="1:11" x14ac:dyDescent="0.3">
      <c r="A5383" t="s">
        <v>72</v>
      </c>
      <c r="B5383">
        <v>1</v>
      </c>
      <c r="C5383" t="s">
        <v>78</v>
      </c>
      <c r="D5383">
        <v>0.1137333</v>
      </c>
      <c r="E5383" t="s">
        <v>74</v>
      </c>
      <c r="F5383">
        <v>113.7333</v>
      </c>
      <c r="G5383" t="s">
        <v>75</v>
      </c>
      <c r="H5383">
        <v>113733.299</v>
      </c>
      <c r="I5383" t="s">
        <v>76</v>
      </c>
      <c r="J5383" t="s">
        <v>77</v>
      </c>
    </row>
    <row r="5384" spans="1:11" x14ac:dyDescent="0.3">
      <c r="A5384" t="s">
        <v>72</v>
      </c>
      <c r="B5384">
        <v>1</v>
      </c>
      <c r="C5384" t="s">
        <v>79</v>
      </c>
      <c r="D5384">
        <v>0.1202201</v>
      </c>
      <c r="E5384" t="s">
        <v>74</v>
      </c>
      <c r="F5384">
        <v>120.2201</v>
      </c>
      <c r="G5384" t="s">
        <v>75</v>
      </c>
      <c r="H5384">
        <v>120220.102</v>
      </c>
      <c r="I5384" t="s">
        <v>76</v>
      </c>
      <c r="J5384" t="s">
        <v>77</v>
      </c>
    </row>
    <row r="5385" spans="1:11" x14ac:dyDescent="0.3">
      <c r="A5385" t="s">
        <v>72</v>
      </c>
      <c r="B5385">
        <v>1</v>
      </c>
      <c r="C5385" t="s">
        <v>94</v>
      </c>
      <c r="D5385">
        <v>0.1036291</v>
      </c>
      <c r="E5385" t="s">
        <v>74</v>
      </c>
      <c r="F5385">
        <v>103.62909999999999</v>
      </c>
      <c r="G5385" t="s">
        <v>75</v>
      </c>
      <c r="H5385">
        <v>103629.09699999999</v>
      </c>
      <c r="I5385" t="s">
        <v>76</v>
      </c>
      <c r="J5385" t="s">
        <v>77</v>
      </c>
    </row>
    <row r="5386" spans="1:11" x14ac:dyDescent="0.3">
      <c r="A5386" t="s">
        <v>72</v>
      </c>
      <c r="B5386">
        <v>1</v>
      </c>
      <c r="C5386" t="s">
        <v>80</v>
      </c>
      <c r="D5386">
        <v>0.10362970000000001</v>
      </c>
      <c r="E5386" t="s">
        <v>74</v>
      </c>
      <c r="F5386">
        <v>103.6297</v>
      </c>
      <c r="G5386" t="s">
        <v>75</v>
      </c>
      <c r="H5386">
        <v>103629.701</v>
      </c>
      <c r="I5386" t="s">
        <v>76</v>
      </c>
      <c r="J5386" t="s">
        <v>77</v>
      </c>
    </row>
    <row r="5387" spans="1:11" x14ac:dyDescent="0.3">
      <c r="A5387" t="s">
        <v>72</v>
      </c>
      <c r="B5387">
        <v>1</v>
      </c>
      <c r="C5387" t="s">
        <v>81</v>
      </c>
      <c r="D5387">
        <v>0.2238522</v>
      </c>
      <c r="E5387" t="s">
        <v>74</v>
      </c>
      <c r="F5387">
        <v>223.85220000000001</v>
      </c>
      <c r="G5387" t="s">
        <v>75</v>
      </c>
      <c r="H5387">
        <v>223852.20199999999</v>
      </c>
      <c r="I5387" t="s">
        <v>76</v>
      </c>
      <c r="J5387" t="s">
        <v>82</v>
      </c>
      <c r="K5387">
        <v>4.4672331999999999</v>
      </c>
    </row>
    <row r="5388" spans="1:11" x14ac:dyDescent="0.3">
      <c r="A5388" t="s">
        <v>83</v>
      </c>
      <c r="B5388">
        <v>1000</v>
      </c>
      <c r="C5388" t="s">
        <v>79</v>
      </c>
      <c r="D5388">
        <v>2.8999999999999998E-7</v>
      </c>
      <c r="E5388" t="s">
        <v>74</v>
      </c>
      <c r="F5388">
        <v>2.9E-4</v>
      </c>
      <c r="G5388" t="s">
        <v>75</v>
      </c>
      <c r="H5388">
        <v>0.29099999999999998</v>
      </c>
      <c r="I5388" t="s">
        <v>76</v>
      </c>
      <c r="J5388" t="s">
        <v>77</v>
      </c>
    </row>
    <row r="5389" spans="1:11" x14ac:dyDescent="0.3">
      <c r="A5389" t="s">
        <v>83</v>
      </c>
      <c r="B5389">
        <v>1000</v>
      </c>
      <c r="C5389" t="s">
        <v>94</v>
      </c>
      <c r="D5389">
        <v>1.7117070000000002E-2</v>
      </c>
      <c r="E5389" t="s">
        <v>74</v>
      </c>
      <c r="F5389">
        <v>17.117069999999998</v>
      </c>
      <c r="G5389" t="s">
        <v>75</v>
      </c>
      <c r="H5389">
        <v>17117.073</v>
      </c>
      <c r="I5389" t="s">
        <v>76</v>
      </c>
      <c r="J5389" t="s">
        <v>77</v>
      </c>
    </row>
    <row r="5390" spans="1:11" x14ac:dyDescent="0.3">
      <c r="A5390" t="s">
        <v>83</v>
      </c>
      <c r="B5390">
        <v>1000</v>
      </c>
      <c r="C5390" t="s">
        <v>80</v>
      </c>
      <c r="D5390">
        <v>1.711739E-2</v>
      </c>
      <c r="E5390" t="s">
        <v>74</v>
      </c>
      <c r="F5390">
        <v>17.11739</v>
      </c>
      <c r="G5390" t="s">
        <v>75</v>
      </c>
      <c r="H5390">
        <v>17117.393</v>
      </c>
      <c r="I5390" t="s">
        <v>76</v>
      </c>
      <c r="J5390" t="s">
        <v>77</v>
      </c>
    </row>
    <row r="5391" spans="1:11" x14ac:dyDescent="0.3">
      <c r="A5391" t="s">
        <v>83</v>
      </c>
      <c r="B5391">
        <v>1000</v>
      </c>
      <c r="C5391" t="s">
        <v>81</v>
      </c>
      <c r="D5391">
        <v>1.711855E-2</v>
      </c>
      <c r="E5391" t="s">
        <v>74</v>
      </c>
      <c r="F5391">
        <v>17.118549999999999</v>
      </c>
      <c r="G5391" t="s">
        <v>75</v>
      </c>
      <c r="H5391">
        <v>17118.553</v>
      </c>
      <c r="I5391" t="s">
        <v>76</v>
      </c>
      <c r="J5391" t="s">
        <v>82</v>
      </c>
      <c r="K5391">
        <v>58.416151800000002</v>
      </c>
    </row>
    <row r="5392" spans="1:11" x14ac:dyDescent="0.3">
      <c r="A5392" t="s">
        <v>84</v>
      </c>
      <c r="B5392">
        <v>1001</v>
      </c>
      <c r="C5392" t="s">
        <v>79</v>
      </c>
      <c r="D5392">
        <v>1.2039E-4</v>
      </c>
      <c r="E5392" t="s">
        <v>74</v>
      </c>
      <c r="F5392">
        <v>0.12039</v>
      </c>
      <c r="G5392" t="s">
        <v>75</v>
      </c>
      <c r="H5392">
        <v>120.39</v>
      </c>
      <c r="I5392" t="s">
        <v>76</v>
      </c>
      <c r="J5392" t="s">
        <v>77</v>
      </c>
    </row>
    <row r="5393" spans="1:11" x14ac:dyDescent="0.3">
      <c r="A5393" t="s">
        <v>84</v>
      </c>
      <c r="B5393">
        <v>1001</v>
      </c>
      <c r="C5393" t="s">
        <v>94</v>
      </c>
      <c r="D5393">
        <v>1.7203489999999998E-2</v>
      </c>
      <c r="E5393" t="s">
        <v>74</v>
      </c>
      <c r="F5393">
        <v>17.203489999999999</v>
      </c>
      <c r="G5393" t="s">
        <v>75</v>
      </c>
      <c r="H5393">
        <v>17203.491999999998</v>
      </c>
      <c r="I5393" t="s">
        <v>76</v>
      </c>
      <c r="J5393" t="s">
        <v>77</v>
      </c>
    </row>
    <row r="5394" spans="1:11" x14ac:dyDescent="0.3">
      <c r="A5394" t="s">
        <v>84</v>
      </c>
      <c r="B5394">
        <v>1001</v>
      </c>
      <c r="C5394" t="s">
        <v>80</v>
      </c>
      <c r="D5394">
        <v>1.7203820000000002E-2</v>
      </c>
      <c r="E5394" t="s">
        <v>74</v>
      </c>
      <c r="F5394">
        <v>17.20382</v>
      </c>
      <c r="G5394" t="s">
        <v>75</v>
      </c>
      <c r="H5394">
        <v>17203.815999999999</v>
      </c>
      <c r="I5394" t="s">
        <v>76</v>
      </c>
      <c r="J5394" t="s">
        <v>77</v>
      </c>
    </row>
    <row r="5395" spans="1:11" x14ac:dyDescent="0.3">
      <c r="A5395" t="s">
        <v>84</v>
      </c>
      <c r="B5395">
        <v>1001</v>
      </c>
      <c r="C5395" t="s">
        <v>81</v>
      </c>
      <c r="D5395">
        <v>1.732508E-2</v>
      </c>
      <c r="E5395" t="s">
        <v>74</v>
      </c>
      <c r="F5395">
        <v>17.32508</v>
      </c>
      <c r="G5395" t="s">
        <v>75</v>
      </c>
      <c r="H5395">
        <v>17325.078000000001</v>
      </c>
      <c r="I5395" t="s">
        <v>76</v>
      </c>
      <c r="J5395" t="s">
        <v>82</v>
      </c>
      <c r="K5395">
        <v>57.719796700000003</v>
      </c>
    </row>
    <row r="5396" spans="1:11" x14ac:dyDescent="0.3">
      <c r="A5396" t="s">
        <v>85</v>
      </c>
      <c r="B5396">
        <v>1001</v>
      </c>
      <c r="C5396" t="s">
        <v>86</v>
      </c>
      <c r="D5396">
        <v>1.7325360000000001E-2</v>
      </c>
      <c r="E5396" t="s">
        <v>74</v>
      </c>
      <c r="F5396">
        <v>17.32536</v>
      </c>
      <c r="G5396" t="s">
        <v>75</v>
      </c>
      <c r="H5396">
        <v>17325.364000000001</v>
      </c>
      <c r="I5396" t="s">
        <v>76</v>
      </c>
      <c r="J5396" t="s">
        <v>82</v>
      </c>
      <c r="K5396">
        <v>57.718844500000003</v>
      </c>
    </row>
    <row r="5397" spans="1:11" x14ac:dyDescent="0.3">
      <c r="A5397" t="s">
        <v>162</v>
      </c>
    </row>
    <row r="5398" spans="1:11" x14ac:dyDescent="0.3">
      <c r="A5398" t="s">
        <v>296</v>
      </c>
    </row>
    <row r="5399" spans="1:11" x14ac:dyDescent="0.3">
      <c r="A5399" t="s">
        <v>72</v>
      </c>
      <c r="B5399">
        <v>1</v>
      </c>
      <c r="C5399" t="s">
        <v>73</v>
      </c>
      <c r="D5399">
        <v>4.0999999999999997E-6</v>
      </c>
      <c r="E5399" t="s">
        <v>74</v>
      </c>
      <c r="F5399">
        <v>4.1000000000000003E-3</v>
      </c>
      <c r="G5399" t="s">
        <v>75</v>
      </c>
      <c r="H5399">
        <v>4.0999999999999996</v>
      </c>
      <c r="I5399" t="s">
        <v>76</v>
      </c>
      <c r="J5399" t="s">
        <v>77</v>
      </c>
    </row>
    <row r="5400" spans="1:11" x14ac:dyDescent="0.3">
      <c r="A5400" t="s">
        <v>72</v>
      </c>
      <c r="B5400">
        <v>1</v>
      </c>
      <c r="C5400" t="s">
        <v>78</v>
      </c>
      <c r="D5400">
        <v>1.1391000000000001E-3</v>
      </c>
      <c r="E5400" t="s">
        <v>74</v>
      </c>
      <c r="F5400">
        <v>1.1391</v>
      </c>
      <c r="G5400" t="s">
        <v>75</v>
      </c>
      <c r="H5400">
        <v>1139.0999999999999</v>
      </c>
      <c r="I5400" t="s">
        <v>76</v>
      </c>
      <c r="J5400" t="s">
        <v>77</v>
      </c>
    </row>
    <row r="5401" spans="1:11" x14ac:dyDescent="0.3">
      <c r="A5401" t="s">
        <v>72</v>
      </c>
      <c r="B5401">
        <v>1</v>
      </c>
      <c r="C5401" t="s">
        <v>79</v>
      </c>
      <c r="D5401">
        <v>8.7408E-3</v>
      </c>
      <c r="E5401" t="s">
        <v>74</v>
      </c>
      <c r="F5401">
        <v>8.7408000000000001</v>
      </c>
      <c r="G5401" t="s">
        <v>75</v>
      </c>
      <c r="H5401">
        <v>8740.7999999999993</v>
      </c>
      <c r="I5401" t="s">
        <v>76</v>
      </c>
      <c r="J5401" t="s">
        <v>77</v>
      </c>
    </row>
    <row r="5402" spans="1:11" x14ac:dyDescent="0.3">
      <c r="A5402" t="s">
        <v>72</v>
      </c>
      <c r="B5402">
        <v>1</v>
      </c>
      <c r="C5402" t="s">
        <v>94</v>
      </c>
      <c r="D5402">
        <v>2.8353799999999998E-2</v>
      </c>
      <c r="E5402" t="s">
        <v>74</v>
      </c>
      <c r="F5402">
        <v>28.3538</v>
      </c>
      <c r="G5402" t="s">
        <v>75</v>
      </c>
      <c r="H5402">
        <v>28353.798999999999</v>
      </c>
      <c r="I5402" t="s">
        <v>76</v>
      </c>
      <c r="J5402" t="s">
        <v>77</v>
      </c>
    </row>
    <row r="5403" spans="1:11" x14ac:dyDescent="0.3">
      <c r="A5403" t="s">
        <v>72</v>
      </c>
      <c r="B5403">
        <v>1</v>
      </c>
      <c r="C5403" t="s">
        <v>80</v>
      </c>
      <c r="D5403">
        <v>2.8354399999999998E-2</v>
      </c>
      <c r="E5403" t="s">
        <v>74</v>
      </c>
      <c r="F5403">
        <v>28.354399999999998</v>
      </c>
      <c r="G5403" t="s">
        <v>75</v>
      </c>
      <c r="H5403">
        <v>28354.401000000002</v>
      </c>
      <c r="I5403" t="s">
        <v>76</v>
      </c>
      <c r="J5403" t="s">
        <v>77</v>
      </c>
    </row>
    <row r="5404" spans="1:11" x14ac:dyDescent="0.3">
      <c r="A5404" t="s">
        <v>72</v>
      </c>
      <c r="B5404">
        <v>1</v>
      </c>
      <c r="C5404" t="s">
        <v>81</v>
      </c>
      <c r="D5404">
        <v>3.7095999999999997E-2</v>
      </c>
      <c r="E5404" t="s">
        <v>74</v>
      </c>
      <c r="F5404">
        <v>37.095999999999997</v>
      </c>
      <c r="G5404" t="s">
        <v>75</v>
      </c>
      <c r="H5404">
        <v>37096.000999999997</v>
      </c>
      <c r="I5404" t="s">
        <v>76</v>
      </c>
      <c r="J5404" t="s">
        <v>82</v>
      </c>
      <c r="K5404">
        <v>26.957083399999998</v>
      </c>
    </row>
    <row r="5405" spans="1:11" x14ac:dyDescent="0.3">
      <c r="A5405" t="s">
        <v>83</v>
      </c>
      <c r="B5405">
        <v>1000</v>
      </c>
      <c r="C5405" t="s">
        <v>79</v>
      </c>
      <c r="D5405">
        <v>6.7999999999999995E-7</v>
      </c>
      <c r="E5405" t="s">
        <v>74</v>
      </c>
      <c r="F5405">
        <v>6.8000000000000005E-4</v>
      </c>
      <c r="G5405" t="s">
        <v>75</v>
      </c>
      <c r="H5405">
        <v>0.68</v>
      </c>
      <c r="I5405" t="s">
        <v>76</v>
      </c>
      <c r="J5405" t="s">
        <v>77</v>
      </c>
    </row>
    <row r="5406" spans="1:11" x14ac:dyDescent="0.3">
      <c r="A5406" t="s">
        <v>83</v>
      </c>
      <c r="B5406">
        <v>1000</v>
      </c>
      <c r="C5406" t="s">
        <v>94</v>
      </c>
      <c r="D5406">
        <v>2.5930809999999999E-2</v>
      </c>
      <c r="E5406" t="s">
        <v>74</v>
      </c>
      <c r="F5406">
        <v>25.930810000000001</v>
      </c>
      <c r="G5406" t="s">
        <v>75</v>
      </c>
      <c r="H5406">
        <v>25930.807000000001</v>
      </c>
      <c r="I5406" t="s">
        <v>76</v>
      </c>
      <c r="J5406" t="s">
        <v>77</v>
      </c>
    </row>
    <row r="5407" spans="1:11" x14ac:dyDescent="0.3">
      <c r="A5407" t="s">
        <v>83</v>
      </c>
      <c r="B5407">
        <v>1000</v>
      </c>
      <c r="C5407" t="s">
        <v>80</v>
      </c>
      <c r="D5407">
        <v>2.6133839999999998E-2</v>
      </c>
      <c r="E5407" t="s">
        <v>74</v>
      </c>
      <c r="F5407">
        <v>26.133839999999999</v>
      </c>
      <c r="G5407" t="s">
        <v>75</v>
      </c>
      <c r="H5407">
        <v>26133.837</v>
      </c>
      <c r="I5407" t="s">
        <v>76</v>
      </c>
      <c r="J5407" t="s">
        <v>77</v>
      </c>
    </row>
    <row r="5408" spans="1:11" x14ac:dyDescent="0.3">
      <c r="A5408" t="s">
        <v>83</v>
      </c>
      <c r="B5408">
        <v>1000</v>
      </c>
      <c r="C5408" t="s">
        <v>81</v>
      </c>
      <c r="D5408">
        <v>2.6138330000000001E-2</v>
      </c>
      <c r="E5408" t="s">
        <v>74</v>
      </c>
      <c r="F5408">
        <v>26.13833</v>
      </c>
      <c r="G5408" t="s">
        <v>75</v>
      </c>
      <c r="H5408">
        <v>26138.329000000002</v>
      </c>
      <c r="I5408" t="s">
        <v>76</v>
      </c>
      <c r="J5408" t="s">
        <v>82</v>
      </c>
      <c r="K5408">
        <v>38.257993399999997</v>
      </c>
    </row>
    <row r="5409" spans="1:11" x14ac:dyDescent="0.3">
      <c r="A5409" t="s">
        <v>84</v>
      </c>
      <c r="B5409">
        <v>1001</v>
      </c>
      <c r="C5409" t="s">
        <v>79</v>
      </c>
      <c r="D5409">
        <v>9.4099999999999997E-6</v>
      </c>
      <c r="E5409" t="s">
        <v>74</v>
      </c>
      <c r="F5409">
        <v>9.41E-3</v>
      </c>
      <c r="G5409" t="s">
        <v>75</v>
      </c>
      <c r="H5409">
        <v>9.4120000000000008</v>
      </c>
      <c r="I5409" t="s">
        <v>76</v>
      </c>
      <c r="J5409" t="s">
        <v>77</v>
      </c>
    </row>
    <row r="5410" spans="1:11" x14ac:dyDescent="0.3">
      <c r="A5410" t="s">
        <v>84</v>
      </c>
      <c r="B5410">
        <v>1001</v>
      </c>
      <c r="C5410" t="s">
        <v>94</v>
      </c>
      <c r="D5410">
        <v>2.5933230000000002E-2</v>
      </c>
      <c r="E5410" t="s">
        <v>74</v>
      </c>
      <c r="F5410">
        <v>25.933229999999998</v>
      </c>
      <c r="G5410" t="s">
        <v>75</v>
      </c>
      <c r="H5410">
        <v>25933.226999999999</v>
      </c>
      <c r="I5410" t="s">
        <v>76</v>
      </c>
      <c r="J5410" t="s">
        <v>77</v>
      </c>
    </row>
    <row r="5411" spans="1:11" x14ac:dyDescent="0.3">
      <c r="A5411" t="s">
        <v>84</v>
      </c>
      <c r="B5411">
        <v>1001</v>
      </c>
      <c r="C5411" t="s">
        <v>80</v>
      </c>
      <c r="D5411">
        <v>2.6136059999999999E-2</v>
      </c>
      <c r="E5411" t="s">
        <v>74</v>
      </c>
      <c r="F5411">
        <v>26.136060000000001</v>
      </c>
      <c r="G5411" t="s">
        <v>75</v>
      </c>
      <c r="H5411">
        <v>26136.057000000001</v>
      </c>
      <c r="I5411" t="s">
        <v>76</v>
      </c>
      <c r="J5411" t="s">
        <v>77</v>
      </c>
    </row>
    <row r="5412" spans="1:11" x14ac:dyDescent="0.3">
      <c r="A5412" t="s">
        <v>84</v>
      </c>
      <c r="B5412">
        <v>1001</v>
      </c>
      <c r="C5412" t="s">
        <v>81</v>
      </c>
      <c r="D5412">
        <v>2.614928E-2</v>
      </c>
      <c r="E5412" t="s">
        <v>74</v>
      </c>
      <c r="F5412">
        <v>26.149280000000001</v>
      </c>
      <c r="G5412" t="s">
        <v>75</v>
      </c>
      <c r="H5412">
        <v>26149.275000000001</v>
      </c>
      <c r="I5412" t="s">
        <v>76</v>
      </c>
      <c r="J5412" t="s">
        <v>82</v>
      </c>
      <c r="K5412">
        <v>38.241977599999998</v>
      </c>
    </row>
    <row r="5413" spans="1:11" x14ac:dyDescent="0.3">
      <c r="A5413" t="s">
        <v>85</v>
      </c>
      <c r="B5413">
        <v>1001</v>
      </c>
      <c r="C5413" t="s">
        <v>86</v>
      </c>
      <c r="D5413">
        <v>2.614988E-2</v>
      </c>
      <c r="E5413" t="s">
        <v>74</v>
      </c>
      <c r="F5413">
        <v>26.14988</v>
      </c>
      <c r="G5413" t="s">
        <v>75</v>
      </c>
      <c r="H5413">
        <v>26149.881000000001</v>
      </c>
      <c r="I5413" t="s">
        <v>76</v>
      </c>
      <c r="J5413" t="s">
        <v>82</v>
      </c>
      <c r="K5413">
        <v>38.241091500000003</v>
      </c>
    </row>
    <row r="5414" spans="1:11" x14ac:dyDescent="0.3">
      <c r="A5414" t="s">
        <v>115</v>
      </c>
    </row>
    <row r="5415" spans="1:11" x14ac:dyDescent="0.3">
      <c r="A5415" t="s">
        <v>127</v>
      </c>
    </row>
    <row r="5416" spans="1:11" x14ac:dyDescent="0.3">
      <c r="A5416" t="s">
        <v>87</v>
      </c>
    </row>
    <row r="5417" spans="1:11" x14ac:dyDescent="0.3">
      <c r="A5417" t="s">
        <v>297</v>
      </c>
    </row>
    <row r="5418" spans="1:11" x14ac:dyDescent="0.3">
      <c r="A5418" t="s">
        <v>72</v>
      </c>
      <c r="B5418">
        <v>1</v>
      </c>
      <c r="C5418" t="s">
        <v>81</v>
      </c>
      <c r="D5418">
        <v>0.2238522</v>
      </c>
      <c r="E5418" t="s">
        <v>74</v>
      </c>
      <c r="F5418">
        <v>223.85220000000001</v>
      </c>
      <c r="G5418" t="s">
        <v>75</v>
      </c>
      <c r="H5418">
        <v>223852.20199999999</v>
      </c>
      <c r="I5418" t="s">
        <v>76</v>
      </c>
      <c r="J5418" t="s">
        <v>82</v>
      </c>
      <c r="K5418">
        <v>4.4672331999999999</v>
      </c>
    </row>
    <row r="5419" spans="1:11" x14ac:dyDescent="0.3">
      <c r="A5419" t="s">
        <v>83</v>
      </c>
      <c r="B5419">
        <v>1000</v>
      </c>
      <c r="C5419" t="s">
        <v>81</v>
      </c>
      <c r="D5419">
        <v>1.711855E-2</v>
      </c>
      <c r="E5419" t="s">
        <v>74</v>
      </c>
      <c r="F5419">
        <v>17.118549999999999</v>
      </c>
      <c r="G5419" t="s">
        <v>75</v>
      </c>
      <c r="H5419">
        <v>17118.553</v>
      </c>
      <c r="I5419" t="s">
        <v>76</v>
      </c>
      <c r="J5419" t="s">
        <v>82</v>
      </c>
      <c r="K5419">
        <v>58.416151800000002</v>
      </c>
    </row>
    <row r="5420" spans="1:11" x14ac:dyDescent="0.3">
      <c r="A5420" t="s">
        <v>85</v>
      </c>
      <c r="B5420">
        <v>1001</v>
      </c>
      <c r="C5420" t="s">
        <v>86</v>
      </c>
      <c r="D5420">
        <v>1.7325360000000001E-2</v>
      </c>
      <c r="E5420" t="s">
        <v>74</v>
      </c>
      <c r="F5420">
        <v>17.32536</v>
      </c>
      <c r="G5420" t="s">
        <v>75</v>
      </c>
      <c r="H5420">
        <v>17325.364000000001</v>
      </c>
      <c r="I5420" t="s">
        <v>76</v>
      </c>
      <c r="J5420" t="s">
        <v>82</v>
      </c>
      <c r="K5420">
        <v>57.718844500000003</v>
      </c>
    </row>
    <row r="5422" spans="1:11" x14ac:dyDescent="0.3">
      <c r="A5422" t="s">
        <v>298</v>
      </c>
    </row>
    <row r="5423" spans="1:11" x14ac:dyDescent="0.3">
      <c r="A5423" t="s">
        <v>72</v>
      </c>
      <c r="B5423">
        <v>1</v>
      </c>
      <c r="C5423" t="s">
        <v>81</v>
      </c>
      <c r="D5423">
        <v>3.7095999999999997E-2</v>
      </c>
      <c r="E5423" t="s">
        <v>74</v>
      </c>
      <c r="F5423">
        <v>37.095999999999997</v>
      </c>
      <c r="G5423" t="s">
        <v>75</v>
      </c>
      <c r="H5423">
        <v>37096.000999999997</v>
      </c>
      <c r="I5423" t="s">
        <v>76</v>
      </c>
      <c r="J5423" t="s">
        <v>82</v>
      </c>
      <c r="K5423">
        <v>26.957083399999998</v>
      </c>
    </row>
    <row r="5424" spans="1:11" x14ac:dyDescent="0.3">
      <c r="A5424" t="s">
        <v>83</v>
      </c>
      <c r="B5424">
        <v>1000</v>
      </c>
      <c r="C5424" t="s">
        <v>81</v>
      </c>
      <c r="D5424">
        <v>2.6138330000000001E-2</v>
      </c>
      <c r="E5424" t="s">
        <v>74</v>
      </c>
      <c r="F5424">
        <v>26.13833</v>
      </c>
      <c r="G5424" t="s">
        <v>75</v>
      </c>
      <c r="H5424">
        <v>26138.329000000002</v>
      </c>
      <c r="I5424" t="s">
        <v>76</v>
      </c>
      <c r="J5424" t="s">
        <v>82</v>
      </c>
      <c r="K5424">
        <v>38.257993399999997</v>
      </c>
    </row>
    <row r="5425" spans="1:11" x14ac:dyDescent="0.3">
      <c r="A5425" t="s">
        <v>85</v>
      </c>
      <c r="B5425">
        <v>1001</v>
      </c>
      <c r="C5425" t="s">
        <v>86</v>
      </c>
      <c r="D5425">
        <v>2.614988E-2</v>
      </c>
      <c r="E5425" t="s">
        <v>74</v>
      </c>
      <c r="F5425">
        <v>26.14988</v>
      </c>
      <c r="G5425" t="s">
        <v>75</v>
      </c>
      <c r="H5425">
        <v>26149.881000000001</v>
      </c>
      <c r="I5425" t="s">
        <v>76</v>
      </c>
      <c r="J5425" t="s">
        <v>82</v>
      </c>
      <c r="K5425">
        <v>38.241091500000003</v>
      </c>
    </row>
    <row r="5427" spans="1:11" x14ac:dyDescent="0.3">
      <c r="A5427" t="s">
        <v>66</v>
      </c>
    </row>
    <row r="5429" spans="1:11" x14ac:dyDescent="0.3">
      <c r="A5429" t="s">
        <v>349</v>
      </c>
    </row>
    <row r="5430" spans="1:11" x14ac:dyDescent="0.3">
      <c r="A5430" t="s">
        <v>68</v>
      </c>
    </row>
    <row r="5431" spans="1:11" x14ac:dyDescent="0.3">
      <c r="A5431" t="s">
        <v>69</v>
      </c>
    </row>
    <row r="5432" spans="1:11" x14ac:dyDescent="0.3">
      <c r="A5432" t="s">
        <v>70</v>
      </c>
    </row>
    <row r="5433" spans="1:11" x14ac:dyDescent="0.3">
      <c r="A5433" t="s">
        <v>115</v>
      </c>
    </row>
    <row r="5434" spans="1:11" x14ac:dyDescent="0.3">
      <c r="A5434" t="s">
        <v>266</v>
      </c>
    </row>
    <row r="5435" spans="1:11" x14ac:dyDescent="0.3">
      <c r="A5435" t="s">
        <v>267</v>
      </c>
    </row>
    <row r="5436" spans="1:11" x14ac:dyDescent="0.3">
      <c r="A5436" t="s">
        <v>118</v>
      </c>
    </row>
    <row r="5437" spans="1:11" x14ac:dyDescent="0.3">
      <c r="A5437" t="s">
        <v>119</v>
      </c>
    </row>
    <row r="5438" spans="1:11" x14ac:dyDescent="0.3">
      <c r="A5438" t="s">
        <v>268</v>
      </c>
    </row>
    <row r="5439" spans="1:11" x14ac:dyDescent="0.3">
      <c r="A5439" t="s">
        <v>269</v>
      </c>
    </row>
    <row r="5440" spans="1:11" x14ac:dyDescent="0.3">
      <c r="A5440" t="s">
        <v>122</v>
      </c>
    </row>
    <row r="5441" spans="1:11" x14ac:dyDescent="0.3">
      <c r="A5441" t="s">
        <v>270</v>
      </c>
    </row>
    <row r="5442" spans="1:11" x14ac:dyDescent="0.3">
      <c r="A5442" t="s">
        <v>271</v>
      </c>
    </row>
    <row r="5443" spans="1:11" x14ac:dyDescent="0.3">
      <c r="A5443" t="s">
        <v>125</v>
      </c>
    </row>
    <row r="5444" spans="1:11" x14ac:dyDescent="0.3">
      <c r="A5444" t="s">
        <v>126</v>
      </c>
    </row>
    <row r="5445" spans="1:11" x14ac:dyDescent="0.3">
      <c r="A5445" t="s">
        <v>127</v>
      </c>
    </row>
    <row r="5446" spans="1:11" x14ac:dyDescent="0.3">
      <c r="A5446" t="s">
        <v>167</v>
      </c>
    </row>
    <row r="5447" spans="1:11" x14ac:dyDescent="0.3">
      <c r="A5447" t="s">
        <v>300</v>
      </c>
    </row>
    <row r="5448" spans="1:11" x14ac:dyDescent="0.3">
      <c r="A5448" t="s">
        <v>72</v>
      </c>
      <c r="B5448">
        <v>1</v>
      </c>
      <c r="C5448" t="s">
        <v>73</v>
      </c>
      <c r="D5448">
        <v>3.8999999999999999E-6</v>
      </c>
      <c r="E5448" t="s">
        <v>74</v>
      </c>
      <c r="F5448">
        <v>3.8999999999999998E-3</v>
      </c>
      <c r="G5448" t="s">
        <v>75</v>
      </c>
      <c r="H5448">
        <v>3.9</v>
      </c>
      <c r="I5448" t="s">
        <v>76</v>
      </c>
      <c r="J5448" t="s">
        <v>77</v>
      </c>
    </row>
    <row r="5449" spans="1:11" x14ac:dyDescent="0.3">
      <c r="A5449" t="s">
        <v>72</v>
      </c>
      <c r="B5449">
        <v>1</v>
      </c>
      <c r="C5449" t="s">
        <v>78</v>
      </c>
      <c r="D5449">
        <v>0.1117855</v>
      </c>
      <c r="E5449" t="s">
        <v>74</v>
      </c>
      <c r="F5449">
        <v>111.7855</v>
      </c>
      <c r="G5449" t="s">
        <v>75</v>
      </c>
      <c r="H5449">
        <v>111785.501</v>
      </c>
      <c r="I5449" t="s">
        <v>76</v>
      </c>
      <c r="J5449" t="s">
        <v>77</v>
      </c>
    </row>
    <row r="5450" spans="1:11" x14ac:dyDescent="0.3">
      <c r="A5450" t="s">
        <v>72</v>
      </c>
      <c r="B5450">
        <v>1</v>
      </c>
      <c r="C5450" t="s">
        <v>79</v>
      </c>
      <c r="D5450">
        <v>0.1204321</v>
      </c>
      <c r="E5450" t="s">
        <v>74</v>
      </c>
      <c r="F5450">
        <v>120.43210000000001</v>
      </c>
      <c r="G5450" t="s">
        <v>75</v>
      </c>
      <c r="H5450">
        <v>120432.101</v>
      </c>
      <c r="I5450" t="s">
        <v>76</v>
      </c>
      <c r="J5450" t="s">
        <v>77</v>
      </c>
    </row>
    <row r="5451" spans="1:11" x14ac:dyDescent="0.3">
      <c r="A5451" t="s">
        <v>72</v>
      </c>
      <c r="B5451">
        <v>1</v>
      </c>
      <c r="C5451" t="s">
        <v>94</v>
      </c>
      <c r="D5451">
        <v>0.107377</v>
      </c>
      <c r="E5451" t="s">
        <v>74</v>
      </c>
      <c r="F5451">
        <v>107.377</v>
      </c>
      <c r="G5451" t="s">
        <v>75</v>
      </c>
      <c r="H5451">
        <v>107377</v>
      </c>
      <c r="I5451" t="s">
        <v>76</v>
      </c>
      <c r="J5451" t="s">
        <v>77</v>
      </c>
    </row>
    <row r="5452" spans="1:11" x14ac:dyDescent="0.3">
      <c r="A5452" t="s">
        <v>72</v>
      </c>
      <c r="B5452">
        <v>1</v>
      </c>
      <c r="C5452" t="s">
        <v>80</v>
      </c>
      <c r="D5452">
        <v>0.10737770000000001</v>
      </c>
      <c r="E5452" t="s">
        <v>74</v>
      </c>
      <c r="F5452">
        <v>107.3777</v>
      </c>
      <c r="G5452" t="s">
        <v>75</v>
      </c>
      <c r="H5452">
        <v>107377.701</v>
      </c>
      <c r="I5452" t="s">
        <v>76</v>
      </c>
      <c r="J5452" t="s">
        <v>77</v>
      </c>
    </row>
    <row r="5453" spans="1:11" x14ac:dyDescent="0.3">
      <c r="A5453" t="s">
        <v>72</v>
      </c>
      <c r="B5453">
        <v>1</v>
      </c>
      <c r="C5453" t="s">
        <v>81</v>
      </c>
      <c r="D5453">
        <v>0.22781180000000001</v>
      </c>
      <c r="E5453" t="s">
        <v>74</v>
      </c>
      <c r="F5453">
        <v>227.81180000000001</v>
      </c>
      <c r="G5453" t="s">
        <v>75</v>
      </c>
      <c r="H5453">
        <v>227811.79800000001</v>
      </c>
      <c r="I5453" t="s">
        <v>76</v>
      </c>
      <c r="J5453" t="s">
        <v>82</v>
      </c>
      <c r="K5453">
        <v>4.3895882999999998</v>
      </c>
    </row>
    <row r="5454" spans="1:11" x14ac:dyDescent="0.3">
      <c r="A5454" t="s">
        <v>83</v>
      </c>
      <c r="B5454">
        <v>1000</v>
      </c>
      <c r="C5454" t="s">
        <v>79</v>
      </c>
      <c r="D5454">
        <v>1.1999999999999999E-7</v>
      </c>
      <c r="E5454" t="s">
        <v>74</v>
      </c>
      <c r="F5454">
        <v>1.2E-4</v>
      </c>
      <c r="G5454" t="s">
        <v>75</v>
      </c>
      <c r="H5454">
        <v>0.11799999999999999</v>
      </c>
      <c r="I5454" t="s">
        <v>76</v>
      </c>
      <c r="J5454" t="s">
        <v>77</v>
      </c>
    </row>
    <row r="5455" spans="1:11" x14ac:dyDescent="0.3">
      <c r="A5455" t="s">
        <v>83</v>
      </c>
      <c r="B5455">
        <v>1000</v>
      </c>
      <c r="C5455" t="s">
        <v>94</v>
      </c>
      <c r="D5455">
        <v>1.6576480000000001E-2</v>
      </c>
      <c r="E5455" t="s">
        <v>74</v>
      </c>
      <c r="F5455">
        <v>16.57648</v>
      </c>
      <c r="G5455" t="s">
        <v>75</v>
      </c>
      <c r="H5455">
        <v>16576.481</v>
      </c>
      <c r="I5455" t="s">
        <v>76</v>
      </c>
      <c r="J5455" t="s">
        <v>77</v>
      </c>
    </row>
    <row r="5456" spans="1:11" x14ac:dyDescent="0.3">
      <c r="A5456" t="s">
        <v>83</v>
      </c>
      <c r="B5456">
        <v>1000</v>
      </c>
      <c r="C5456" t="s">
        <v>80</v>
      </c>
      <c r="D5456">
        <v>1.6576790000000001E-2</v>
      </c>
      <c r="E5456" t="s">
        <v>74</v>
      </c>
      <c r="F5456">
        <v>16.576789999999999</v>
      </c>
      <c r="G5456" t="s">
        <v>75</v>
      </c>
      <c r="H5456">
        <v>16576.792000000001</v>
      </c>
      <c r="I5456" t="s">
        <v>76</v>
      </c>
      <c r="J5456" t="s">
        <v>77</v>
      </c>
    </row>
    <row r="5457" spans="1:11" x14ac:dyDescent="0.3">
      <c r="A5457" t="s">
        <v>83</v>
      </c>
      <c r="B5457">
        <v>1000</v>
      </c>
      <c r="C5457" t="s">
        <v>81</v>
      </c>
      <c r="D5457">
        <v>1.6577850000000002E-2</v>
      </c>
      <c r="E5457" t="s">
        <v>74</v>
      </c>
      <c r="F5457">
        <v>16.577850000000002</v>
      </c>
      <c r="G5457" t="s">
        <v>75</v>
      </c>
      <c r="H5457">
        <v>16577.853999999999</v>
      </c>
      <c r="I5457" t="s">
        <v>76</v>
      </c>
      <c r="J5457" t="s">
        <v>82</v>
      </c>
      <c r="K5457">
        <v>60.321437899999999</v>
      </c>
    </row>
    <row r="5458" spans="1:11" x14ac:dyDescent="0.3">
      <c r="A5458" t="s">
        <v>84</v>
      </c>
      <c r="B5458">
        <v>1001</v>
      </c>
      <c r="C5458" t="s">
        <v>79</v>
      </c>
      <c r="D5458">
        <v>1.2043E-4</v>
      </c>
      <c r="E5458" t="s">
        <v>74</v>
      </c>
      <c r="F5458">
        <v>0.12043</v>
      </c>
      <c r="G5458" t="s">
        <v>75</v>
      </c>
      <c r="H5458">
        <v>120.428</v>
      </c>
      <c r="I5458" t="s">
        <v>76</v>
      </c>
      <c r="J5458" t="s">
        <v>77</v>
      </c>
    </row>
    <row r="5459" spans="1:11" x14ac:dyDescent="0.3">
      <c r="A5459" t="s">
        <v>84</v>
      </c>
      <c r="B5459">
        <v>1001</v>
      </c>
      <c r="C5459" t="s">
        <v>94</v>
      </c>
      <c r="D5459">
        <v>1.6667189999999998E-2</v>
      </c>
      <c r="E5459" t="s">
        <v>74</v>
      </c>
      <c r="F5459">
        <v>16.667190000000002</v>
      </c>
      <c r="G5459" t="s">
        <v>75</v>
      </c>
      <c r="H5459">
        <v>16667.194</v>
      </c>
      <c r="I5459" t="s">
        <v>76</v>
      </c>
      <c r="J5459" t="s">
        <v>77</v>
      </c>
    </row>
    <row r="5460" spans="1:11" x14ac:dyDescent="0.3">
      <c r="A5460" t="s">
        <v>84</v>
      </c>
      <c r="B5460">
        <v>1001</v>
      </c>
      <c r="C5460" t="s">
        <v>80</v>
      </c>
      <c r="D5460">
        <v>1.6667499999999998E-2</v>
      </c>
      <c r="E5460" t="s">
        <v>74</v>
      </c>
      <c r="F5460">
        <v>16.6675</v>
      </c>
      <c r="G5460" t="s">
        <v>75</v>
      </c>
      <c r="H5460">
        <v>16667.502</v>
      </c>
      <c r="I5460" t="s">
        <v>76</v>
      </c>
      <c r="J5460" t="s">
        <v>77</v>
      </c>
    </row>
    <row r="5461" spans="1:11" x14ac:dyDescent="0.3">
      <c r="A5461" t="s">
        <v>84</v>
      </c>
      <c r="B5461">
        <v>1001</v>
      </c>
      <c r="C5461" t="s">
        <v>81</v>
      </c>
      <c r="D5461">
        <v>1.6788879999999999E-2</v>
      </c>
      <c r="E5461" t="s">
        <v>74</v>
      </c>
      <c r="F5461">
        <v>16.788879999999999</v>
      </c>
      <c r="G5461" t="s">
        <v>75</v>
      </c>
      <c r="H5461">
        <v>16788.881000000001</v>
      </c>
      <c r="I5461" t="s">
        <v>76</v>
      </c>
      <c r="J5461" t="s">
        <v>82</v>
      </c>
      <c r="K5461">
        <v>59.563231500000001</v>
      </c>
    </row>
    <row r="5462" spans="1:11" x14ac:dyDescent="0.3">
      <c r="A5462" t="s">
        <v>85</v>
      </c>
      <c r="B5462">
        <v>1001</v>
      </c>
      <c r="C5462" t="s">
        <v>86</v>
      </c>
      <c r="D5462">
        <v>1.6789209999999999E-2</v>
      </c>
      <c r="E5462" t="s">
        <v>74</v>
      </c>
      <c r="F5462">
        <v>16.789210000000001</v>
      </c>
      <c r="G5462" t="s">
        <v>75</v>
      </c>
      <c r="H5462">
        <v>16789.206999999999</v>
      </c>
      <c r="I5462" t="s">
        <v>76</v>
      </c>
      <c r="J5462" t="s">
        <v>82</v>
      </c>
      <c r="K5462">
        <v>59.5620756</v>
      </c>
    </row>
    <row r="5463" spans="1:11" x14ac:dyDescent="0.3">
      <c r="A5463" t="s">
        <v>169</v>
      </c>
    </row>
    <row r="5464" spans="1:11" x14ac:dyDescent="0.3">
      <c r="A5464" t="s">
        <v>301</v>
      </c>
    </row>
    <row r="5465" spans="1:11" x14ac:dyDescent="0.3">
      <c r="A5465" t="s">
        <v>72</v>
      </c>
      <c r="B5465">
        <v>1</v>
      </c>
      <c r="C5465" t="s">
        <v>73</v>
      </c>
      <c r="D5465">
        <v>3.8999999999999999E-6</v>
      </c>
      <c r="E5465" t="s">
        <v>74</v>
      </c>
      <c r="F5465">
        <v>3.8999999999999998E-3</v>
      </c>
      <c r="G5465" t="s">
        <v>75</v>
      </c>
      <c r="H5465">
        <v>3.9</v>
      </c>
      <c r="I5465" t="s">
        <v>76</v>
      </c>
      <c r="J5465" t="s">
        <v>77</v>
      </c>
    </row>
    <row r="5466" spans="1:11" x14ac:dyDescent="0.3">
      <c r="A5466" t="s">
        <v>72</v>
      </c>
      <c r="B5466">
        <v>1</v>
      </c>
      <c r="C5466" t="s">
        <v>78</v>
      </c>
      <c r="D5466">
        <v>1.1284000000000001E-3</v>
      </c>
      <c r="E5466" t="s">
        <v>74</v>
      </c>
      <c r="F5466">
        <v>1.1284000000000001</v>
      </c>
      <c r="G5466" t="s">
        <v>75</v>
      </c>
      <c r="H5466">
        <v>1128.4000000000001</v>
      </c>
      <c r="I5466" t="s">
        <v>76</v>
      </c>
      <c r="J5466" t="s">
        <v>77</v>
      </c>
    </row>
    <row r="5467" spans="1:11" x14ac:dyDescent="0.3">
      <c r="A5467" t="s">
        <v>72</v>
      </c>
      <c r="B5467">
        <v>1</v>
      </c>
      <c r="C5467" t="s">
        <v>79</v>
      </c>
      <c r="D5467">
        <v>8.9592000000000005E-3</v>
      </c>
      <c r="E5467" t="s">
        <v>74</v>
      </c>
      <c r="F5467">
        <v>8.9591999999999992</v>
      </c>
      <c r="G5467" t="s">
        <v>75</v>
      </c>
      <c r="H5467">
        <v>8959.2000000000007</v>
      </c>
      <c r="I5467" t="s">
        <v>76</v>
      </c>
      <c r="J5467" t="s">
        <v>77</v>
      </c>
    </row>
    <row r="5468" spans="1:11" x14ac:dyDescent="0.3">
      <c r="A5468" t="s">
        <v>72</v>
      </c>
      <c r="B5468">
        <v>1</v>
      </c>
      <c r="C5468" t="s">
        <v>94</v>
      </c>
      <c r="D5468">
        <v>2.8103400000000001E-2</v>
      </c>
      <c r="E5468" t="s">
        <v>74</v>
      </c>
      <c r="F5468">
        <v>28.103400000000001</v>
      </c>
      <c r="G5468" t="s">
        <v>75</v>
      </c>
      <c r="H5468">
        <v>28103.4</v>
      </c>
      <c r="I5468" t="s">
        <v>76</v>
      </c>
      <c r="J5468" t="s">
        <v>77</v>
      </c>
    </row>
    <row r="5469" spans="1:11" x14ac:dyDescent="0.3">
      <c r="A5469" t="s">
        <v>72</v>
      </c>
      <c r="B5469">
        <v>1</v>
      </c>
      <c r="C5469" t="s">
        <v>80</v>
      </c>
      <c r="D5469">
        <v>2.8103900000000001E-2</v>
      </c>
      <c r="E5469" t="s">
        <v>74</v>
      </c>
      <c r="F5469">
        <v>28.103899999999999</v>
      </c>
      <c r="G5469" t="s">
        <v>75</v>
      </c>
      <c r="H5469">
        <v>28103.899000000001</v>
      </c>
      <c r="I5469" t="s">
        <v>76</v>
      </c>
      <c r="J5469" t="s">
        <v>77</v>
      </c>
    </row>
    <row r="5470" spans="1:11" x14ac:dyDescent="0.3">
      <c r="A5470" t="s">
        <v>72</v>
      </c>
      <c r="B5470">
        <v>1</v>
      </c>
      <c r="C5470" t="s">
        <v>81</v>
      </c>
      <c r="D5470">
        <v>3.7063899999999997E-2</v>
      </c>
      <c r="E5470" t="s">
        <v>74</v>
      </c>
      <c r="F5470">
        <v>37.063899999999997</v>
      </c>
      <c r="G5470" t="s">
        <v>75</v>
      </c>
      <c r="H5470">
        <v>37063.9</v>
      </c>
      <c r="I5470" t="s">
        <v>76</v>
      </c>
      <c r="J5470" t="s">
        <v>82</v>
      </c>
      <c r="K5470">
        <v>26.980430800000001</v>
      </c>
    </row>
    <row r="5471" spans="1:11" x14ac:dyDescent="0.3">
      <c r="A5471" t="s">
        <v>83</v>
      </c>
      <c r="B5471">
        <v>1000</v>
      </c>
      <c r="C5471" t="s">
        <v>79</v>
      </c>
      <c r="D5471">
        <v>5.7999999999999995E-7</v>
      </c>
      <c r="E5471" t="s">
        <v>74</v>
      </c>
      <c r="F5471">
        <v>5.8E-4</v>
      </c>
      <c r="G5471" t="s">
        <v>75</v>
      </c>
      <c r="H5471">
        <v>0.58499999999999996</v>
      </c>
      <c r="I5471" t="s">
        <v>76</v>
      </c>
      <c r="J5471" t="s">
        <v>77</v>
      </c>
    </row>
    <row r="5472" spans="1:11" x14ac:dyDescent="0.3">
      <c r="A5472" t="s">
        <v>83</v>
      </c>
      <c r="B5472">
        <v>1000</v>
      </c>
      <c r="C5472" t="s">
        <v>94</v>
      </c>
      <c r="D5472">
        <v>2.584059E-2</v>
      </c>
      <c r="E5472" t="s">
        <v>74</v>
      </c>
      <c r="F5472">
        <v>25.840589999999999</v>
      </c>
      <c r="G5472" t="s">
        <v>75</v>
      </c>
      <c r="H5472">
        <v>25840.59</v>
      </c>
      <c r="I5472" t="s">
        <v>76</v>
      </c>
      <c r="J5472" t="s">
        <v>77</v>
      </c>
    </row>
    <row r="5473" spans="1:11" x14ac:dyDescent="0.3">
      <c r="A5473" t="s">
        <v>83</v>
      </c>
      <c r="B5473">
        <v>1000</v>
      </c>
      <c r="C5473" t="s">
        <v>80</v>
      </c>
      <c r="D5473">
        <v>2.6089770000000002E-2</v>
      </c>
      <c r="E5473" t="s">
        <v>74</v>
      </c>
      <c r="F5473">
        <v>26.089770000000001</v>
      </c>
      <c r="G5473" t="s">
        <v>75</v>
      </c>
      <c r="H5473">
        <v>26089.773000000001</v>
      </c>
      <c r="I5473" t="s">
        <v>76</v>
      </c>
      <c r="J5473" t="s">
        <v>77</v>
      </c>
    </row>
    <row r="5474" spans="1:11" x14ac:dyDescent="0.3">
      <c r="A5474" t="s">
        <v>83</v>
      </c>
      <c r="B5474">
        <v>1000</v>
      </c>
      <c r="C5474" t="s">
        <v>81</v>
      </c>
      <c r="D5474">
        <v>2.6094059999999999E-2</v>
      </c>
      <c r="E5474" t="s">
        <v>74</v>
      </c>
      <c r="F5474">
        <v>26.094059999999999</v>
      </c>
      <c r="G5474" t="s">
        <v>75</v>
      </c>
      <c r="H5474">
        <v>26094.057000000001</v>
      </c>
      <c r="I5474" t="s">
        <v>76</v>
      </c>
      <c r="J5474" t="s">
        <v>82</v>
      </c>
      <c r="K5474">
        <v>38.322902300000003</v>
      </c>
    </row>
    <row r="5475" spans="1:11" x14ac:dyDescent="0.3">
      <c r="A5475" t="s">
        <v>84</v>
      </c>
      <c r="B5475">
        <v>1001</v>
      </c>
      <c r="C5475" t="s">
        <v>79</v>
      </c>
      <c r="D5475">
        <v>9.5300000000000002E-6</v>
      </c>
      <c r="E5475" t="s">
        <v>74</v>
      </c>
      <c r="F5475">
        <v>9.5300000000000003E-3</v>
      </c>
      <c r="G5475" t="s">
        <v>75</v>
      </c>
      <c r="H5475">
        <v>9.5340000000000007</v>
      </c>
      <c r="I5475" t="s">
        <v>76</v>
      </c>
      <c r="J5475" t="s">
        <v>77</v>
      </c>
    </row>
    <row r="5476" spans="1:11" x14ac:dyDescent="0.3">
      <c r="A5476" t="s">
        <v>84</v>
      </c>
      <c r="B5476">
        <v>1001</v>
      </c>
      <c r="C5476" t="s">
        <v>94</v>
      </c>
      <c r="D5476">
        <v>2.5842850000000001E-2</v>
      </c>
      <c r="E5476" t="s">
        <v>74</v>
      </c>
      <c r="F5476">
        <v>25.842849999999999</v>
      </c>
      <c r="G5476" t="s">
        <v>75</v>
      </c>
      <c r="H5476">
        <v>25842.850999999999</v>
      </c>
      <c r="I5476" t="s">
        <v>76</v>
      </c>
      <c r="J5476" t="s">
        <v>77</v>
      </c>
    </row>
    <row r="5477" spans="1:11" x14ac:dyDescent="0.3">
      <c r="A5477" t="s">
        <v>84</v>
      </c>
      <c r="B5477">
        <v>1001</v>
      </c>
      <c r="C5477" t="s">
        <v>80</v>
      </c>
      <c r="D5477">
        <v>2.6091779999999998E-2</v>
      </c>
      <c r="E5477" t="s">
        <v>74</v>
      </c>
      <c r="F5477">
        <v>26.09178</v>
      </c>
      <c r="G5477" t="s">
        <v>75</v>
      </c>
      <c r="H5477">
        <v>26091.784</v>
      </c>
      <c r="I5477" t="s">
        <v>76</v>
      </c>
      <c r="J5477" t="s">
        <v>77</v>
      </c>
    </row>
    <row r="5478" spans="1:11" x14ac:dyDescent="0.3">
      <c r="A5478" t="s">
        <v>84</v>
      </c>
      <c r="B5478">
        <v>1001</v>
      </c>
      <c r="C5478" t="s">
        <v>81</v>
      </c>
      <c r="D5478">
        <v>2.610502E-2</v>
      </c>
      <c r="E5478" t="s">
        <v>74</v>
      </c>
      <c r="F5478">
        <v>26.10502</v>
      </c>
      <c r="G5478" t="s">
        <v>75</v>
      </c>
      <c r="H5478">
        <v>26105.018</v>
      </c>
      <c r="I5478" t="s">
        <v>76</v>
      </c>
      <c r="J5478" t="s">
        <v>82</v>
      </c>
      <c r="K5478">
        <v>38.306812000000001</v>
      </c>
    </row>
    <row r="5479" spans="1:11" x14ac:dyDescent="0.3">
      <c r="A5479" t="s">
        <v>85</v>
      </c>
      <c r="B5479">
        <v>1001</v>
      </c>
      <c r="C5479" t="s">
        <v>86</v>
      </c>
      <c r="D5479">
        <v>2.610581E-2</v>
      </c>
      <c r="E5479" t="s">
        <v>74</v>
      </c>
      <c r="F5479">
        <v>26.105810000000002</v>
      </c>
      <c r="G5479" t="s">
        <v>75</v>
      </c>
      <c r="H5479">
        <v>26105.812000000002</v>
      </c>
      <c r="I5479" t="s">
        <v>76</v>
      </c>
      <c r="J5479" t="s">
        <v>82</v>
      </c>
      <c r="K5479">
        <v>38.305646099999997</v>
      </c>
    </row>
    <row r="5480" spans="1:11" x14ac:dyDescent="0.3">
      <c r="A5480" t="s">
        <v>115</v>
      </c>
    </row>
    <row r="5481" spans="1:11" x14ac:dyDescent="0.3">
      <c r="A5481" t="s">
        <v>127</v>
      </c>
    </row>
    <row r="5482" spans="1:11" x14ac:dyDescent="0.3">
      <c r="A5482" t="s">
        <v>87</v>
      </c>
    </row>
    <row r="5483" spans="1:11" x14ac:dyDescent="0.3">
      <c r="A5483" t="s">
        <v>302</v>
      </c>
    </row>
    <row r="5484" spans="1:11" x14ac:dyDescent="0.3">
      <c r="A5484" t="s">
        <v>72</v>
      </c>
      <c r="B5484">
        <v>1</v>
      </c>
      <c r="C5484" t="s">
        <v>81</v>
      </c>
      <c r="D5484">
        <v>0.22781180000000001</v>
      </c>
      <c r="E5484" t="s">
        <v>74</v>
      </c>
      <c r="F5484">
        <v>227.81180000000001</v>
      </c>
      <c r="G5484" t="s">
        <v>75</v>
      </c>
      <c r="H5484">
        <v>227811.79800000001</v>
      </c>
      <c r="I5484" t="s">
        <v>76</v>
      </c>
      <c r="J5484" t="s">
        <v>82</v>
      </c>
      <c r="K5484">
        <v>4.3895882999999998</v>
      </c>
    </row>
    <row r="5485" spans="1:11" x14ac:dyDescent="0.3">
      <c r="A5485" t="s">
        <v>83</v>
      </c>
      <c r="B5485">
        <v>1000</v>
      </c>
      <c r="C5485" t="s">
        <v>81</v>
      </c>
      <c r="D5485">
        <v>1.6577850000000002E-2</v>
      </c>
      <c r="E5485" t="s">
        <v>74</v>
      </c>
      <c r="F5485">
        <v>16.577850000000002</v>
      </c>
      <c r="G5485" t="s">
        <v>75</v>
      </c>
      <c r="H5485">
        <v>16577.853999999999</v>
      </c>
      <c r="I5485" t="s">
        <v>76</v>
      </c>
      <c r="J5485" t="s">
        <v>82</v>
      </c>
      <c r="K5485">
        <v>60.321437899999999</v>
      </c>
    </row>
    <row r="5486" spans="1:11" x14ac:dyDescent="0.3">
      <c r="A5486" t="s">
        <v>85</v>
      </c>
      <c r="B5486">
        <v>1001</v>
      </c>
      <c r="C5486" t="s">
        <v>86</v>
      </c>
      <c r="D5486">
        <v>1.6789209999999999E-2</v>
      </c>
      <c r="E5486" t="s">
        <v>74</v>
      </c>
      <c r="F5486">
        <v>16.789210000000001</v>
      </c>
      <c r="G5486" t="s">
        <v>75</v>
      </c>
      <c r="H5486">
        <v>16789.206999999999</v>
      </c>
      <c r="I5486" t="s">
        <v>76</v>
      </c>
      <c r="J5486" t="s">
        <v>82</v>
      </c>
      <c r="K5486">
        <v>59.5620756</v>
      </c>
    </row>
    <row r="5488" spans="1:11" x14ac:dyDescent="0.3">
      <c r="A5488" t="s">
        <v>303</v>
      </c>
    </row>
    <row r="5489" spans="1:11" x14ac:dyDescent="0.3">
      <c r="A5489" t="s">
        <v>72</v>
      </c>
      <c r="B5489">
        <v>1</v>
      </c>
      <c r="C5489" t="s">
        <v>81</v>
      </c>
      <c r="D5489">
        <v>3.7063899999999997E-2</v>
      </c>
      <c r="E5489" t="s">
        <v>74</v>
      </c>
      <c r="F5489">
        <v>37.063899999999997</v>
      </c>
      <c r="G5489" t="s">
        <v>75</v>
      </c>
      <c r="H5489">
        <v>37063.9</v>
      </c>
      <c r="I5489" t="s">
        <v>76</v>
      </c>
      <c r="J5489" t="s">
        <v>82</v>
      </c>
      <c r="K5489">
        <v>26.980430800000001</v>
      </c>
    </row>
    <row r="5490" spans="1:11" x14ac:dyDescent="0.3">
      <c r="A5490" t="s">
        <v>83</v>
      </c>
      <c r="B5490">
        <v>1000</v>
      </c>
      <c r="C5490" t="s">
        <v>81</v>
      </c>
      <c r="D5490">
        <v>2.6094059999999999E-2</v>
      </c>
      <c r="E5490" t="s">
        <v>74</v>
      </c>
      <c r="F5490">
        <v>26.094059999999999</v>
      </c>
      <c r="G5490" t="s">
        <v>75</v>
      </c>
      <c r="H5490">
        <v>26094.057000000001</v>
      </c>
      <c r="I5490" t="s">
        <v>76</v>
      </c>
      <c r="J5490" t="s">
        <v>82</v>
      </c>
      <c r="K5490">
        <v>38.322902300000003</v>
      </c>
    </row>
    <row r="5491" spans="1:11" x14ac:dyDescent="0.3">
      <c r="A5491" t="s">
        <v>85</v>
      </c>
      <c r="B5491">
        <v>1001</v>
      </c>
      <c r="C5491" t="s">
        <v>86</v>
      </c>
      <c r="D5491">
        <v>2.610581E-2</v>
      </c>
      <c r="E5491" t="s">
        <v>74</v>
      </c>
      <c r="F5491">
        <v>26.105810000000002</v>
      </c>
      <c r="G5491" t="s">
        <v>75</v>
      </c>
      <c r="H5491">
        <v>26105.812000000002</v>
      </c>
      <c r="I5491" t="s">
        <v>76</v>
      </c>
      <c r="J5491" t="s">
        <v>82</v>
      </c>
      <c r="K5491">
        <v>38.305646099999997</v>
      </c>
    </row>
    <row r="5493" spans="1:11" x14ac:dyDescent="0.3">
      <c r="A5493" t="s">
        <v>66</v>
      </c>
    </row>
    <row r="5495" spans="1:11" x14ac:dyDescent="0.3">
      <c r="A5495" t="s">
        <v>350</v>
      </c>
    </row>
    <row r="5496" spans="1:11" x14ac:dyDescent="0.3">
      <c r="A5496" t="s">
        <v>68</v>
      </c>
    </row>
    <row r="5497" spans="1:11" x14ac:dyDescent="0.3">
      <c r="A5497" t="s">
        <v>69</v>
      </c>
    </row>
    <row r="5498" spans="1:11" x14ac:dyDescent="0.3">
      <c r="A5498" t="s">
        <v>70</v>
      </c>
    </row>
    <row r="5499" spans="1:11" x14ac:dyDescent="0.3">
      <c r="A5499" t="s">
        <v>115</v>
      </c>
    </row>
    <row r="5500" spans="1:11" x14ac:dyDescent="0.3">
      <c r="A5500" t="s">
        <v>266</v>
      </c>
    </row>
    <row r="5501" spans="1:11" x14ac:dyDescent="0.3">
      <c r="A5501" t="s">
        <v>267</v>
      </c>
    </row>
    <row r="5502" spans="1:11" x14ac:dyDescent="0.3">
      <c r="A5502" t="s">
        <v>118</v>
      </c>
    </row>
    <row r="5503" spans="1:11" x14ac:dyDescent="0.3">
      <c r="A5503" t="s">
        <v>119</v>
      </c>
    </row>
    <row r="5504" spans="1:11" x14ac:dyDescent="0.3">
      <c r="A5504" t="s">
        <v>268</v>
      </c>
    </row>
    <row r="5505" spans="1:10" x14ac:dyDescent="0.3">
      <c r="A5505" t="s">
        <v>269</v>
      </c>
    </row>
    <row r="5506" spans="1:10" x14ac:dyDescent="0.3">
      <c r="A5506" t="s">
        <v>122</v>
      </c>
    </row>
    <row r="5507" spans="1:10" x14ac:dyDescent="0.3">
      <c r="A5507" t="s">
        <v>270</v>
      </c>
    </row>
    <row r="5508" spans="1:10" x14ac:dyDescent="0.3">
      <c r="A5508" t="s">
        <v>271</v>
      </c>
    </row>
    <row r="5509" spans="1:10" x14ac:dyDescent="0.3">
      <c r="A5509" t="s">
        <v>125</v>
      </c>
    </row>
    <row r="5510" spans="1:10" x14ac:dyDescent="0.3">
      <c r="A5510" t="s">
        <v>126</v>
      </c>
    </row>
    <row r="5511" spans="1:10" x14ac:dyDescent="0.3">
      <c r="A5511" t="s">
        <v>127</v>
      </c>
    </row>
    <row r="5512" spans="1:10" x14ac:dyDescent="0.3">
      <c r="A5512" t="s">
        <v>174</v>
      </c>
    </row>
    <row r="5513" spans="1:10" x14ac:dyDescent="0.3">
      <c r="A5513" t="s">
        <v>305</v>
      </c>
    </row>
    <row r="5514" spans="1:10" x14ac:dyDescent="0.3">
      <c r="A5514" t="s">
        <v>72</v>
      </c>
      <c r="B5514">
        <v>1</v>
      </c>
      <c r="C5514" t="s">
        <v>73</v>
      </c>
      <c r="D5514">
        <v>3.8E-6</v>
      </c>
      <c r="E5514" t="s">
        <v>74</v>
      </c>
      <c r="F5514">
        <v>3.8E-3</v>
      </c>
      <c r="G5514" t="s">
        <v>75</v>
      </c>
      <c r="H5514">
        <v>3.8</v>
      </c>
      <c r="I5514" t="s">
        <v>76</v>
      </c>
      <c r="J5514" t="s">
        <v>77</v>
      </c>
    </row>
    <row r="5515" spans="1:10" x14ac:dyDescent="0.3">
      <c r="A5515" t="s">
        <v>72</v>
      </c>
      <c r="B5515">
        <v>1</v>
      </c>
      <c r="C5515" t="s">
        <v>78</v>
      </c>
      <c r="D5515">
        <v>0.1239874</v>
      </c>
      <c r="E5515" t="s">
        <v>74</v>
      </c>
      <c r="F5515">
        <v>123.98739999999999</v>
      </c>
      <c r="G5515" t="s">
        <v>75</v>
      </c>
      <c r="H5515">
        <v>123987.399</v>
      </c>
      <c r="I5515" t="s">
        <v>76</v>
      </c>
      <c r="J5515" t="s">
        <v>77</v>
      </c>
    </row>
    <row r="5516" spans="1:10" x14ac:dyDescent="0.3">
      <c r="A5516" t="s">
        <v>72</v>
      </c>
      <c r="B5516">
        <v>1</v>
      </c>
      <c r="C5516" t="s">
        <v>91</v>
      </c>
      <c r="D5516">
        <v>0.1096038</v>
      </c>
      <c r="E5516" t="s">
        <v>74</v>
      </c>
      <c r="F5516">
        <v>109.60380000000001</v>
      </c>
      <c r="G5516" t="s">
        <v>75</v>
      </c>
      <c r="H5516">
        <v>109603.8</v>
      </c>
      <c r="I5516" t="s">
        <v>76</v>
      </c>
      <c r="J5516" t="s">
        <v>77</v>
      </c>
    </row>
    <row r="5517" spans="1:10" x14ac:dyDescent="0.3">
      <c r="A5517" t="s">
        <v>72</v>
      </c>
      <c r="B5517">
        <v>1</v>
      </c>
      <c r="C5517" t="s">
        <v>92</v>
      </c>
      <c r="D5517">
        <v>6.1399999999999996E-4</v>
      </c>
      <c r="E5517" t="s">
        <v>74</v>
      </c>
      <c r="F5517">
        <v>0.61399999999999999</v>
      </c>
      <c r="G5517" t="s">
        <v>75</v>
      </c>
      <c r="H5517">
        <v>614</v>
      </c>
      <c r="I5517" t="s">
        <v>76</v>
      </c>
      <c r="J5517" t="s">
        <v>77</v>
      </c>
    </row>
    <row r="5518" spans="1:10" x14ac:dyDescent="0.3">
      <c r="A5518" t="s">
        <v>72</v>
      </c>
      <c r="B5518">
        <v>1</v>
      </c>
      <c r="C5518" t="s">
        <v>93</v>
      </c>
      <c r="D5518">
        <v>5.0219999999999996E-4</v>
      </c>
      <c r="E5518" t="s">
        <v>74</v>
      </c>
      <c r="F5518">
        <v>0.50219999999999998</v>
      </c>
      <c r="G5518" t="s">
        <v>75</v>
      </c>
      <c r="H5518">
        <v>502.2</v>
      </c>
      <c r="I5518" t="s">
        <v>76</v>
      </c>
      <c r="J5518" t="s">
        <v>77</v>
      </c>
    </row>
    <row r="5519" spans="1:10" x14ac:dyDescent="0.3">
      <c r="A5519" t="s">
        <v>72</v>
      </c>
      <c r="B5519">
        <v>1</v>
      </c>
      <c r="C5519" t="s">
        <v>79</v>
      </c>
      <c r="D5519">
        <v>0.1107209</v>
      </c>
      <c r="E5519" t="s">
        <v>74</v>
      </c>
      <c r="F5519">
        <v>110.7209</v>
      </c>
      <c r="G5519" t="s">
        <v>75</v>
      </c>
      <c r="H5519">
        <v>110720.90300000001</v>
      </c>
      <c r="I5519" t="s">
        <v>76</v>
      </c>
      <c r="J5519" t="s">
        <v>77</v>
      </c>
    </row>
    <row r="5520" spans="1:10" x14ac:dyDescent="0.3">
      <c r="A5520" t="s">
        <v>72</v>
      </c>
      <c r="B5520">
        <v>1</v>
      </c>
      <c r="C5520" t="s">
        <v>94</v>
      </c>
      <c r="D5520">
        <v>9.6629999999999997E-3</v>
      </c>
      <c r="E5520" t="s">
        <v>74</v>
      </c>
      <c r="F5520">
        <v>9.6630000000000003</v>
      </c>
      <c r="G5520" t="s">
        <v>75</v>
      </c>
      <c r="H5520">
        <v>9663</v>
      </c>
      <c r="I5520" t="s">
        <v>76</v>
      </c>
      <c r="J5520" t="s">
        <v>77</v>
      </c>
    </row>
    <row r="5521" spans="1:11" x14ac:dyDescent="0.3">
      <c r="A5521" t="s">
        <v>72</v>
      </c>
      <c r="B5521">
        <v>1</v>
      </c>
      <c r="C5521" t="s">
        <v>80</v>
      </c>
      <c r="D5521">
        <v>9.6635999999999996E-3</v>
      </c>
      <c r="E5521" t="s">
        <v>74</v>
      </c>
      <c r="F5521">
        <v>9.6636000000000006</v>
      </c>
      <c r="G5521" t="s">
        <v>75</v>
      </c>
      <c r="H5521">
        <v>9663.6</v>
      </c>
      <c r="I5521" t="s">
        <v>76</v>
      </c>
      <c r="J5521" t="s">
        <v>77</v>
      </c>
    </row>
    <row r="5522" spans="1:11" x14ac:dyDescent="0.3">
      <c r="A5522" t="s">
        <v>72</v>
      </c>
      <c r="B5522">
        <v>1</v>
      </c>
      <c r="C5522" t="s">
        <v>81</v>
      </c>
      <c r="D5522">
        <v>0.1203857</v>
      </c>
      <c r="E5522" t="s">
        <v>74</v>
      </c>
      <c r="F5522">
        <v>120.3857</v>
      </c>
      <c r="G5522" t="s">
        <v>75</v>
      </c>
      <c r="H5522">
        <v>120385.69899999999</v>
      </c>
      <c r="I5522" t="s">
        <v>76</v>
      </c>
      <c r="J5522" t="s">
        <v>82</v>
      </c>
      <c r="K5522">
        <v>8.3066344999999995</v>
      </c>
    </row>
    <row r="5523" spans="1:11" x14ac:dyDescent="0.3">
      <c r="A5523" t="s">
        <v>83</v>
      </c>
      <c r="B5523">
        <v>1000</v>
      </c>
      <c r="C5523" t="s">
        <v>79</v>
      </c>
      <c r="D5523">
        <v>2.1E-7</v>
      </c>
      <c r="E5523" t="s">
        <v>74</v>
      </c>
      <c r="F5523">
        <v>2.1000000000000001E-4</v>
      </c>
      <c r="G5523" t="s">
        <v>75</v>
      </c>
      <c r="H5523">
        <v>0.20599999999999999</v>
      </c>
      <c r="I5523" t="s">
        <v>76</v>
      </c>
      <c r="J5523" t="s">
        <v>77</v>
      </c>
    </row>
    <row r="5524" spans="1:11" x14ac:dyDescent="0.3">
      <c r="A5524" t="s">
        <v>83</v>
      </c>
      <c r="B5524">
        <v>1000</v>
      </c>
      <c r="C5524" t="s">
        <v>94</v>
      </c>
      <c r="D5524">
        <v>2.6278600000000001E-3</v>
      </c>
      <c r="E5524" t="s">
        <v>74</v>
      </c>
      <c r="F5524">
        <v>2.6278600000000001</v>
      </c>
      <c r="G5524" t="s">
        <v>75</v>
      </c>
      <c r="H5524">
        <v>2627.8589999999999</v>
      </c>
      <c r="I5524" t="s">
        <v>76</v>
      </c>
      <c r="J5524" t="s">
        <v>77</v>
      </c>
    </row>
    <row r="5525" spans="1:11" x14ac:dyDescent="0.3">
      <c r="A5525" t="s">
        <v>83</v>
      </c>
      <c r="B5525">
        <v>1000</v>
      </c>
      <c r="C5525" t="s">
        <v>80</v>
      </c>
      <c r="D5525">
        <v>2.7793499999999999E-3</v>
      </c>
      <c r="E5525" t="s">
        <v>74</v>
      </c>
      <c r="F5525">
        <v>2.77935</v>
      </c>
      <c r="G5525" t="s">
        <v>75</v>
      </c>
      <c r="H5525">
        <v>2779.35</v>
      </c>
      <c r="I5525" t="s">
        <v>76</v>
      </c>
      <c r="J5525" t="s">
        <v>77</v>
      </c>
    </row>
    <row r="5526" spans="1:11" x14ac:dyDescent="0.3">
      <c r="A5526" t="s">
        <v>83</v>
      </c>
      <c r="B5526">
        <v>1000</v>
      </c>
      <c r="C5526" t="s">
        <v>81</v>
      </c>
      <c r="D5526">
        <v>2.78035E-3</v>
      </c>
      <c r="E5526" t="s">
        <v>74</v>
      </c>
      <c r="F5526">
        <v>2.7803499999999999</v>
      </c>
      <c r="G5526" t="s">
        <v>75</v>
      </c>
      <c r="H5526">
        <v>2780.3470000000002</v>
      </c>
      <c r="I5526" t="s">
        <v>76</v>
      </c>
      <c r="J5526" t="s">
        <v>82</v>
      </c>
      <c r="K5526">
        <v>359.66732239999999</v>
      </c>
    </row>
    <row r="5527" spans="1:11" x14ac:dyDescent="0.3">
      <c r="A5527" t="s">
        <v>84</v>
      </c>
      <c r="B5527">
        <v>1</v>
      </c>
      <c r="C5527" t="s">
        <v>91</v>
      </c>
      <c r="D5527">
        <v>0.1096038</v>
      </c>
      <c r="E5527" t="s">
        <v>74</v>
      </c>
      <c r="F5527">
        <v>109.60380000000001</v>
      </c>
      <c r="G5527" t="s">
        <v>75</v>
      </c>
      <c r="H5527">
        <v>109603.8</v>
      </c>
      <c r="I5527" t="s">
        <v>76</v>
      </c>
      <c r="J5527" t="s">
        <v>77</v>
      </c>
    </row>
    <row r="5528" spans="1:11" x14ac:dyDescent="0.3">
      <c r="A5528" t="s">
        <v>84</v>
      </c>
      <c r="B5528">
        <v>1</v>
      </c>
      <c r="C5528" t="s">
        <v>92</v>
      </c>
      <c r="D5528">
        <v>6.1399999999999996E-4</v>
      </c>
      <c r="E5528" t="s">
        <v>74</v>
      </c>
      <c r="F5528">
        <v>0.61399999999999999</v>
      </c>
      <c r="G5528" t="s">
        <v>75</v>
      </c>
      <c r="H5528">
        <v>614</v>
      </c>
      <c r="I5528" t="s">
        <v>76</v>
      </c>
      <c r="J5528" t="s">
        <v>77</v>
      </c>
    </row>
    <row r="5529" spans="1:11" x14ac:dyDescent="0.3">
      <c r="A5529" t="s">
        <v>84</v>
      </c>
      <c r="B5529">
        <v>1</v>
      </c>
      <c r="C5529" t="s">
        <v>93</v>
      </c>
      <c r="D5529">
        <v>5.0219999999999996E-4</v>
      </c>
      <c r="E5529" t="s">
        <v>74</v>
      </c>
      <c r="F5529">
        <v>0.50219999999999998</v>
      </c>
      <c r="G5529" t="s">
        <v>75</v>
      </c>
      <c r="H5529">
        <v>502.2</v>
      </c>
      <c r="I5529" t="s">
        <v>76</v>
      </c>
      <c r="J5529" t="s">
        <v>77</v>
      </c>
    </row>
    <row r="5530" spans="1:11" x14ac:dyDescent="0.3">
      <c r="A5530" t="s">
        <v>84</v>
      </c>
      <c r="B5530">
        <v>1001</v>
      </c>
      <c r="C5530" t="s">
        <v>79</v>
      </c>
      <c r="D5530">
        <v>1.1082E-4</v>
      </c>
      <c r="E5530" t="s">
        <v>74</v>
      </c>
      <c r="F5530">
        <v>0.11082</v>
      </c>
      <c r="G5530" t="s">
        <v>75</v>
      </c>
      <c r="H5530">
        <v>110.816</v>
      </c>
      <c r="I5530" t="s">
        <v>76</v>
      </c>
      <c r="J5530" t="s">
        <v>77</v>
      </c>
    </row>
    <row r="5531" spans="1:11" x14ac:dyDescent="0.3">
      <c r="A5531" t="s">
        <v>84</v>
      </c>
      <c r="B5531">
        <v>1001</v>
      </c>
      <c r="C5531" t="s">
        <v>94</v>
      </c>
      <c r="D5531">
        <v>2.63489E-3</v>
      </c>
      <c r="E5531" t="s">
        <v>74</v>
      </c>
      <c r="F5531">
        <v>2.63489</v>
      </c>
      <c r="G5531" t="s">
        <v>75</v>
      </c>
      <c r="H5531">
        <v>2634.886</v>
      </c>
      <c r="I5531" t="s">
        <v>76</v>
      </c>
      <c r="J5531" t="s">
        <v>77</v>
      </c>
    </row>
    <row r="5532" spans="1:11" x14ac:dyDescent="0.3">
      <c r="A5532" t="s">
        <v>84</v>
      </c>
      <c r="B5532">
        <v>1001</v>
      </c>
      <c r="C5532" t="s">
        <v>80</v>
      </c>
      <c r="D5532">
        <v>2.7862299999999998E-3</v>
      </c>
      <c r="E5532" t="s">
        <v>74</v>
      </c>
      <c r="F5532">
        <v>2.7862300000000002</v>
      </c>
      <c r="G5532" t="s">
        <v>75</v>
      </c>
      <c r="H5532">
        <v>2786.2269999999999</v>
      </c>
      <c r="I5532" t="s">
        <v>76</v>
      </c>
      <c r="J5532" t="s">
        <v>77</v>
      </c>
    </row>
    <row r="5533" spans="1:11" x14ac:dyDescent="0.3">
      <c r="A5533" t="s">
        <v>84</v>
      </c>
      <c r="B5533">
        <v>1001</v>
      </c>
      <c r="C5533" t="s">
        <v>81</v>
      </c>
      <c r="D5533">
        <v>2.8978300000000001E-3</v>
      </c>
      <c r="E5533" t="s">
        <v>74</v>
      </c>
      <c r="F5533">
        <v>2.8978299999999999</v>
      </c>
      <c r="G5533" t="s">
        <v>75</v>
      </c>
      <c r="H5533">
        <v>2897.835</v>
      </c>
      <c r="I5533" t="s">
        <v>76</v>
      </c>
      <c r="J5533" t="s">
        <v>82</v>
      </c>
      <c r="K5533">
        <v>345.08521960000002</v>
      </c>
    </row>
    <row r="5534" spans="1:11" x14ac:dyDescent="0.3">
      <c r="A5534" t="s">
        <v>85</v>
      </c>
      <c r="B5534">
        <v>1001</v>
      </c>
      <c r="C5534" t="s">
        <v>86</v>
      </c>
      <c r="D5534">
        <v>2.89807E-3</v>
      </c>
      <c r="E5534" t="s">
        <v>74</v>
      </c>
      <c r="F5534">
        <v>2.8980700000000001</v>
      </c>
      <c r="G5534" t="s">
        <v>75</v>
      </c>
      <c r="H5534">
        <v>2898.067</v>
      </c>
      <c r="I5534" t="s">
        <v>76</v>
      </c>
      <c r="J5534" t="s">
        <v>82</v>
      </c>
      <c r="K5534">
        <v>345.05753909999999</v>
      </c>
    </row>
    <row r="5535" spans="1:11" x14ac:dyDescent="0.3">
      <c r="A5535" t="s">
        <v>115</v>
      </c>
    </row>
    <row r="5536" spans="1:11" x14ac:dyDescent="0.3">
      <c r="A5536" t="s">
        <v>127</v>
      </c>
    </row>
    <row r="5537" spans="1:11" x14ac:dyDescent="0.3">
      <c r="A5537" t="s">
        <v>87</v>
      </c>
    </row>
    <row r="5538" spans="1:11" x14ac:dyDescent="0.3">
      <c r="A5538" t="s">
        <v>306</v>
      </c>
    </row>
    <row r="5539" spans="1:11" x14ac:dyDescent="0.3">
      <c r="A5539" t="s">
        <v>72</v>
      </c>
      <c r="B5539">
        <v>1</v>
      </c>
      <c r="C5539" t="s">
        <v>81</v>
      </c>
      <c r="D5539">
        <v>0.1203857</v>
      </c>
      <c r="E5539" t="s">
        <v>74</v>
      </c>
      <c r="F5539">
        <v>120.3857</v>
      </c>
      <c r="G5539" t="s">
        <v>75</v>
      </c>
      <c r="H5539">
        <v>120385.69899999999</v>
      </c>
      <c r="I5539" t="s">
        <v>76</v>
      </c>
      <c r="J5539" t="s">
        <v>82</v>
      </c>
      <c r="K5539">
        <v>8.3066344999999995</v>
      </c>
    </row>
    <row r="5540" spans="1:11" x14ac:dyDescent="0.3">
      <c r="A5540" t="s">
        <v>83</v>
      </c>
      <c r="B5540">
        <v>1000</v>
      </c>
      <c r="C5540" t="s">
        <v>81</v>
      </c>
      <c r="D5540">
        <v>2.78035E-3</v>
      </c>
      <c r="E5540" t="s">
        <v>74</v>
      </c>
      <c r="F5540">
        <v>2.7803499999999999</v>
      </c>
      <c r="G5540" t="s">
        <v>75</v>
      </c>
      <c r="H5540">
        <v>2780.3470000000002</v>
      </c>
      <c r="I5540" t="s">
        <v>76</v>
      </c>
      <c r="J5540" t="s">
        <v>82</v>
      </c>
      <c r="K5540">
        <v>359.66732239999999</v>
      </c>
    </row>
    <row r="5541" spans="1:11" x14ac:dyDescent="0.3">
      <c r="A5541" t="s">
        <v>85</v>
      </c>
      <c r="B5541">
        <v>1001</v>
      </c>
      <c r="C5541" t="s">
        <v>86</v>
      </c>
      <c r="D5541">
        <v>2.89807E-3</v>
      </c>
      <c r="E5541" t="s">
        <v>74</v>
      </c>
      <c r="F5541">
        <v>2.8980700000000001</v>
      </c>
      <c r="G5541" t="s">
        <v>75</v>
      </c>
      <c r="H5541">
        <v>2898.067</v>
      </c>
      <c r="I5541" t="s">
        <v>76</v>
      </c>
      <c r="J5541" t="s">
        <v>82</v>
      </c>
      <c r="K5541">
        <v>345.05753909999999</v>
      </c>
    </row>
    <row r="5543" spans="1:11" x14ac:dyDescent="0.3">
      <c r="A5543" t="s">
        <v>66</v>
      </c>
    </row>
    <row r="5545" spans="1:11" x14ac:dyDescent="0.3">
      <c r="A5545" t="s">
        <v>351</v>
      </c>
    </row>
    <row r="5546" spans="1:11" x14ac:dyDescent="0.3">
      <c r="A5546" t="s">
        <v>68</v>
      </c>
    </row>
    <row r="5547" spans="1:11" x14ac:dyDescent="0.3">
      <c r="A5547" t="s">
        <v>69</v>
      </c>
    </row>
    <row r="5548" spans="1:11" x14ac:dyDescent="0.3">
      <c r="A5548" t="s">
        <v>70</v>
      </c>
    </row>
    <row r="5549" spans="1:11" x14ac:dyDescent="0.3">
      <c r="A5549" t="s">
        <v>115</v>
      </c>
    </row>
    <row r="5550" spans="1:11" x14ac:dyDescent="0.3">
      <c r="A5550" t="s">
        <v>266</v>
      </c>
    </row>
    <row r="5551" spans="1:11" x14ac:dyDescent="0.3">
      <c r="A5551" t="s">
        <v>267</v>
      </c>
    </row>
    <row r="5552" spans="1:11" x14ac:dyDescent="0.3">
      <c r="A5552" t="s">
        <v>118</v>
      </c>
    </row>
    <row r="5553" spans="1:10" x14ac:dyDescent="0.3">
      <c r="A5553" t="s">
        <v>119</v>
      </c>
    </row>
    <row r="5554" spans="1:10" x14ac:dyDescent="0.3">
      <c r="A5554" t="s">
        <v>268</v>
      </c>
    </row>
    <row r="5555" spans="1:10" x14ac:dyDescent="0.3">
      <c r="A5555" t="s">
        <v>269</v>
      </c>
    </row>
    <row r="5556" spans="1:10" x14ac:dyDescent="0.3">
      <c r="A5556" t="s">
        <v>122</v>
      </c>
    </row>
    <row r="5557" spans="1:10" x14ac:dyDescent="0.3">
      <c r="A5557" t="s">
        <v>270</v>
      </c>
    </row>
    <row r="5558" spans="1:10" x14ac:dyDescent="0.3">
      <c r="A5558" t="s">
        <v>271</v>
      </c>
    </row>
    <row r="5559" spans="1:10" x14ac:dyDescent="0.3">
      <c r="A5559" t="s">
        <v>125</v>
      </c>
    </row>
    <row r="5560" spans="1:10" x14ac:dyDescent="0.3">
      <c r="A5560" t="s">
        <v>126</v>
      </c>
    </row>
    <row r="5561" spans="1:10" x14ac:dyDescent="0.3">
      <c r="A5561" t="s">
        <v>127</v>
      </c>
    </row>
    <row r="5562" spans="1:10" x14ac:dyDescent="0.3">
      <c r="A5562" t="s">
        <v>178</v>
      </c>
    </row>
    <row r="5563" spans="1:10" x14ac:dyDescent="0.3">
      <c r="A5563" t="s">
        <v>308</v>
      </c>
    </row>
    <row r="5564" spans="1:10" x14ac:dyDescent="0.3">
      <c r="A5564" t="s">
        <v>72</v>
      </c>
      <c r="B5564">
        <v>1</v>
      </c>
      <c r="C5564" t="s">
        <v>73</v>
      </c>
      <c r="D5564">
        <v>3.9999999999999998E-6</v>
      </c>
      <c r="E5564" t="s">
        <v>74</v>
      </c>
      <c r="F5564">
        <v>4.0000000000000001E-3</v>
      </c>
      <c r="G5564" t="s">
        <v>75</v>
      </c>
      <c r="H5564">
        <v>4</v>
      </c>
      <c r="I5564" t="s">
        <v>76</v>
      </c>
      <c r="J5564" t="s">
        <v>77</v>
      </c>
    </row>
    <row r="5565" spans="1:10" x14ac:dyDescent="0.3">
      <c r="A5565" t="s">
        <v>72</v>
      </c>
      <c r="B5565">
        <v>1</v>
      </c>
      <c r="C5565" t="s">
        <v>78</v>
      </c>
      <c r="D5565">
        <v>0.1389861</v>
      </c>
      <c r="E5565" t="s">
        <v>74</v>
      </c>
      <c r="F5565">
        <v>138.98609999999999</v>
      </c>
      <c r="G5565" t="s">
        <v>75</v>
      </c>
      <c r="H5565">
        <v>138986.09599999999</v>
      </c>
      <c r="I5565" t="s">
        <v>76</v>
      </c>
      <c r="J5565" t="s">
        <v>77</v>
      </c>
    </row>
    <row r="5566" spans="1:10" x14ac:dyDescent="0.3">
      <c r="A5566" t="s">
        <v>72</v>
      </c>
      <c r="B5566">
        <v>1</v>
      </c>
      <c r="C5566" t="s">
        <v>79</v>
      </c>
      <c r="D5566">
        <v>0.1086932</v>
      </c>
      <c r="E5566" t="s">
        <v>74</v>
      </c>
      <c r="F5566">
        <v>108.6932</v>
      </c>
      <c r="G5566" t="s">
        <v>75</v>
      </c>
      <c r="H5566">
        <v>108693.197</v>
      </c>
      <c r="I5566" t="s">
        <v>76</v>
      </c>
      <c r="J5566" t="s">
        <v>77</v>
      </c>
    </row>
    <row r="5567" spans="1:10" x14ac:dyDescent="0.3">
      <c r="A5567" t="s">
        <v>72</v>
      </c>
      <c r="B5567">
        <v>1</v>
      </c>
      <c r="C5567" t="s">
        <v>94</v>
      </c>
      <c r="D5567">
        <v>9.4795000000000001E-3</v>
      </c>
      <c r="E5567" t="s">
        <v>74</v>
      </c>
      <c r="F5567">
        <v>9.4794999999999998</v>
      </c>
      <c r="G5567" t="s">
        <v>75</v>
      </c>
      <c r="H5567">
        <v>9479.5</v>
      </c>
      <c r="I5567" t="s">
        <v>76</v>
      </c>
      <c r="J5567" t="s">
        <v>77</v>
      </c>
    </row>
    <row r="5568" spans="1:10" x14ac:dyDescent="0.3">
      <c r="A5568" t="s">
        <v>72</v>
      </c>
      <c r="B5568">
        <v>1</v>
      </c>
      <c r="C5568" t="s">
        <v>80</v>
      </c>
      <c r="D5568">
        <v>9.4803000000000005E-3</v>
      </c>
      <c r="E5568" t="s">
        <v>74</v>
      </c>
      <c r="F5568">
        <v>9.4802999999999997</v>
      </c>
      <c r="G5568" t="s">
        <v>75</v>
      </c>
      <c r="H5568">
        <v>9480.2999999999993</v>
      </c>
      <c r="I5568" t="s">
        <v>76</v>
      </c>
      <c r="J5568" t="s">
        <v>77</v>
      </c>
    </row>
    <row r="5569" spans="1:11" x14ac:dyDescent="0.3">
      <c r="A5569" t="s">
        <v>72</v>
      </c>
      <c r="B5569">
        <v>1</v>
      </c>
      <c r="C5569" t="s">
        <v>81</v>
      </c>
      <c r="D5569">
        <v>0.1181764</v>
      </c>
      <c r="E5569" t="s">
        <v>74</v>
      </c>
      <c r="F5569">
        <v>118.1764</v>
      </c>
      <c r="G5569" t="s">
        <v>75</v>
      </c>
      <c r="H5569">
        <v>118176.401</v>
      </c>
      <c r="I5569" t="s">
        <v>76</v>
      </c>
      <c r="J5569" t="s">
        <v>82</v>
      </c>
      <c r="K5569">
        <v>8.4619263999999994</v>
      </c>
    </row>
    <row r="5570" spans="1:11" x14ac:dyDescent="0.3">
      <c r="A5570" t="s">
        <v>83</v>
      </c>
      <c r="B5570">
        <v>1000</v>
      </c>
      <c r="C5570" t="s">
        <v>79</v>
      </c>
      <c r="D5570">
        <v>2.3999999999999998E-7</v>
      </c>
      <c r="E5570" t="s">
        <v>74</v>
      </c>
      <c r="F5570">
        <v>2.4000000000000001E-4</v>
      </c>
      <c r="G5570" t="s">
        <v>75</v>
      </c>
      <c r="H5570">
        <v>0.23599999999999999</v>
      </c>
      <c r="I5570" t="s">
        <v>76</v>
      </c>
      <c r="J5570" t="s">
        <v>77</v>
      </c>
    </row>
    <row r="5571" spans="1:11" x14ac:dyDescent="0.3">
      <c r="A5571" t="s">
        <v>83</v>
      </c>
      <c r="B5571">
        <v>1000</v>
      </c>
      <c r="C5571" t="s">
        <v>94</v>
      </c>
      <c r="D5571">
        <v>2.6408899999999999E-3</v>
      </c>
      <c r="E5571" t="s">
        <v>74</v>
      </c>
      <c r="F5571">
        <v>2.6408900000000002</v>
      </c>
      <c r="G5571" t="s">
        <v>75</v>
      </c>
      <c r="H5571">
        <v>2640.8910000000001</v>
      </c>
      <c r="I5571" t="s">
        <v>76</v>
      </c>
      <c r="J5571" t="s">
        <v>77</v>
      </c>
    </row>
    <row r="5572" spans="1:11" x14ac:dyDescent="0.3">
      <c r="A5572" t="s">
        <v>83</v>
      </c>
      <c r="B5572">
        <v>1000</v>
      </c>
      <c r="C5572" t="s">
        <v>80</v>
      </c>
      <c r="D5572">
        <v>2.7906099999999998E-3</v>
      </c>
      <c r="E5572" t="s">
        <v>74</v>
      </c>
      <c r="F5572">
        <v>2.79061</v>
      </c>
      <c r="G5572" t="s">
        <v>75</v>
      </c>
      <c r="H5572">
        <v>2790.6109999999999</v>
      </c>
      <c r="I5572" t="s">
        <v>76</v>
      </c>
      <c r="J5572" t="s">
        <v>77</v>
      </c>
    </row>
    <row r="5573" spans="1:11" x14ac:dyDescent="0.3">
      <c r="A5573" t="s">
        <v>83</v>
      </c>
      <c r="B5573">
        <v>1000</v>
      </c>
      <c r="C5573" t="s">
        <v>81</v>
      </c>
      <c r="D5573">
        <v>2.79175E-3</v>
      </c>
      <c r="E5573" t="s">
        <v>74</v>
      </c>
      <c r="F5573">
        <v>2.79175</v>
      </c>
      <c r="G5573" t="s">
        <v>75</v>
      </c>
      <c r="H5573">
        <v>2791.748</v>
      </c>
      <c r="I5573" t="s">
        <v>76</v>
      </c>
      <c r="J5573" t="s">
        <v>82</v>
      </c>
      <c r="K5573">
        <v>358.19857450000001</v>
      </c>
    </row>
    <row r="5574" spans="1:11" x14ac:dyDescent="0.3">
      <c r="A5574" t="s">
        <v>84</v>
      </c>
      <c r="B5574">
        <v>1001</v>
      </c>
      <c r="C5574" t="s">
        <v>79</v>
      </c>
      <c r="D5574">
        <v>1.0882000000000001E-4</v>
      </c>
      <c r="E5574" t="s">
        <v>74</v>
      </c>
      <c r="F5574">
        <v>0.10882</v>
      </c>
      <c r="G5574" t="s">
        <v>75</v>
      </c>
      <c r="H5574">
        <v>108.82</v>
      </c>
      <c r="I5574" t="s">
        <v>76</v>
      </c>
      <c r="J5574" t="s">
        <v>77</v>
      </c>
    </row>
    <row r="5575" spans="1:11" x14ac:dyDescent="0.3">
      <c r="A5575" t="s">
        <v>84</v>
      </c>
      <c r="B5575">
        <v>1001</v>
      </c>
      <c r="C5575" t="s">
        <v>94</v>
      </c>
      <c r="D5575">
        <v>2.6477200000000001E-3</v>
      </c>
      <c r="E5575" t="s">
        <v>74</v>
      </c>
      <c r="F5575">
        <v>2.6477200000000001</v>
      </c>
      <c r="G5575" t="s">
        <v>75</v>
      </c>
      <c r="H5575">
        <v>2647.723</v>
      </c>
      <c r="I5575" t="s">
        <v>76</v>
      </c>
      <c r="J5575" t="s">
        <v>77</v>
      </c>
    </row>
    <row r="5576" spans="1:11" x14ac:dyDescent="0.3">
      <c r="A5576" t="s">
        <v>84</v>
      </c>
      <c r="B5576">
        <v>1001</v>
      </c>
      <c r="C5576" t="s">
        <v>80</v>
      </c>
      <c r="D5576">
        <v>2.79729E-3</v>
      </c>
      <c r="E5576" t="s">
        <v>74</v>
      </c>
      <c r="F5576">
        <v>2.7972899999999998</v>
      </c>
      <c r="G5576" t="s">
        <v>75</v>
      </c>
      <c r="H5576">
        <v>2797.2939999999999</v>
      </c>
      <c r="I5576" t="s">
        <v>76</v>
      </c>
      <c r="J5576" t="s">
        <v>77</v>
      </c>
    </row>
    <row r="5577" spans="1:11" x14ac:dyDescent="0.3">
      <c r="A5577" t="s">
        <v>84</v>
      </c>
      <c r="B5577">
        <v>1001</v>
      </c>
      <c r="C5577" t="s">
        <v>81</v>
      </c>
      <c r="D5577">
        <v>2.9070200000000002E-3</v>
      </c>
      <c r="E5577" t="s">
        <v>74</v>
      </c>
      <c r="F5577">
        <v>2.9070200000000002</v>
      </c>
      <c r="G5577" t="s">
        <v>75</v>
      </c>
      <c r="H5577">
        <v>2907.0160000000001</v>
      </c>
      <c r="I5577" t="s">
        <v>76</v>
      </c>
      <c r="J5577" t="s">
        <v>82</v>
      </c>
      <c r="K5577">
        <v>343.99534749999998</v>
      </c>
    </row>
    <row r="5578" spans="1:11" x14ac:dyDescent="0.3">
      <c r="A5578" t="s">
        <v>85</v>
      </c>
      <c r="B5578">
        <v>1001</v>
      </c>
      <c r="C5578" t="s">
        <v>86</v>
      </c>
      <c r="D5578">
        <v>2.9072199999999999E-3</v>
      </c>
      <c r="E5578" t="s">
        <v>74</v>
      </c>
      <c r="F5578">
        <v>2.9072200000000001</v>
      </c>
      <c r="G5578" t="s">
        <v>75</v>
      </c>
      <c r="H5578">
        <v>2907.223</v>
      </c>
      <c r="I5578" t="s">
        <v>76</v>
      </c>
      <c r="J5578" t="s">
        <v>82</v>
      </c>
      <c r="K5578">
        <v>343.97088509999998</v>
      </c>
    </row>
    <row r="5579" spans="1:11" x14ac:dyDescent="0.3">
      <c r="A5579" t="s">
        <v>180</v>
      </c>
    </row>
    <row r="5580" spans="1:11" x14ac:dyDescent="0.3">
      <c r="A5580" t="s">
        <v>309</v>
      </c>
    </row>
    <row r="5581" spans="1:11" x14ac:dyDescent="0.3">
      <c r="A5581" t="s">
        <v>72</v>
      </c>
      <c r="B5581">
        <v>1</v>
      </c>
      <c r="C5581" t="s">
        <v>73</v>
      </c>
      <c r="D5581">
        <v>3.9999999999999998E-6</v>
      </c>
      <c r="E5581" t="s">
        <v>74</v>
      </c>
      <c r="F5581">
        <v>4.0000000000000001E-3</v>
      </c>
      <c r="G5581" t="s">
        <v>75</v>
      </c>
      <c r="H5581">
        <v>4</v>
      </c>
      <c r="I5581" t="s">
        <v>76</v>
      </c>
      <c r="J5581" t="s">
        <v>77</v>
      </c>
    </row>
    <row r="5582" spans="1:11" x14ac:dyDescent="0.3">
      <c r="A5582" t="s">
        <v>72</v>
      </c>
      <c r="B5582">
        <v>1</v>
      </c>
      <c r="C5582" t="s">
        <v>78</v>
      </c>
      <c r="D5582">
        <v>1.0349999999999999E-4</v>
      </c>
      <c r="E5582" t="s">
        <v>74</v>
      </c>
      <c r="F5582">
        <v>0.10349999999999999</v>
      </c>
      <c r="G5582" t="s">
        <v>75</v>
      </c>
      <c r="H5582">
        <v>103.5</v>
      </c>
      <c r="I5582" t="s">
        <v>76</v>
      </c>
      <c r="J5582" t="s">
        <v>77</v>
      </c>
    </row>
    <row r="5583" spans="1:11" x14ac:dyDescent="0.3">
      <c r="A5583" t="s">
        <v>72</v>
      </c>
      <c r="B5583">
        <v>1</v>
      </c>
      <c r="C5583" t="s">
        <v>79</v>
      </c>
      <c r="D5583">
        <v>0.36627029999999999</v>
      </c>
      <c r="E5583" t="s">
        <v>74</v>
      </c>
      <c r="F5583">
        <v>366.27030000000002</v>
      </c>
      <c r="G5583" t="s">
        <v>75</v>
      </c>
      <c r="H5583">
        <v>366270.304</v>
      </c>
      <c r="I5583" t="s">
        <v>76</v>
      </c>
      <c r="J5583" t="s">
        <v>77</v>
      </c>
    </row>
    <row r="5584" spans="1:11" x14ac:dyDescent="0.3">
      <c r="A5584" t="s">
        <v>72</v>
      </c>
      <c r="B5584">
        <v>1</v>
      </c>
      <c r="C5584" t="s">
        <v>94</v>
      </c>
      <c r="D5584">
        <v>2.6962000000000002E-3</v>
      </c>
      <c r="E5584" t="s">
        <v>74</v>
      </c>
      <c r="F5584">
        <v>2.6962000000000002</v>
      </c>
      <c r="G5584" t="s">
        <v>75</v>
      </c>
      <c r="H5584">
        <v>2696.2</v>
      </c>
      <c r="I5584" t="s">
        <v>76</v>
      </c>
      <c r="J5584" t="s">
        <v>77</v>
      </c>
    </row>
    <row r="5585" spans="1:11" x14ac:dyDescent="0.3">
      <c r="A5585" t="s">
        <v>72</v>
      </c>
      <c r="B5585">
        <v>1</v>
      </c>
      <c r="C5585" t="s">
        <v>80</v>
      </c>
      <c r="D5585">
        <v>2.8893E-3</v>
      </c>
      <c r="E5585" t="s">
        <v>74</v>
      </c>
      <c r="F5585">
        <v>2.8893</v>
      </c>
      <c r="G5585" t="s">
        <v>75</v>
      </c>
      <c r="H5585">
        <v>2889.3</v>
      </c>
      <c r="I5585" t="s">
        <v>76</v>
      </c>
      <c r="J5585" t="s">
        <v>77</v>
      </c>
    </row>
    <row r="5586" spans="1:11" x14ac:dyDescent="0.3">
      <c r="A5586" t="s">
        <v>72</v>
      </c>
      <c r="B5586">
        <v>1</v>
      </c>
      <c r="C5586" t="s">
        <v>81</v>
      </c>
      <c r="D5586">
        <v>0.36916118999999997</v>
      </c>
      <c r="E5586" t="s">
        <v>74</v>
      </c>
      <c r="F5586">
        <v>369.16118999999998</v>
      </c>
      <c r="G5586" t="s">
        <v>75</v>
      </c>
      <c r="H5586">
        <v>369161.18900000001</v>
      </c>
      <c r="I5586" t="s">
        <v>76</v>
      </c>
      <c r="J5586" t="s">
        <v>82</v>
      </c>
      <c r="K5586">
        <v>2.7088437999999999</v>
      </c>
    </row>
    <row r="5587" spans="1:11" x14ac:dyDescent="0.3">
      <c r="A5587" t="s">
        <v>83</v>
      </c>
      <c r="B5587">
        <v>1000</v>
      </c>
      <c r="C5587" t="s">
        <v>79</v>
      </c>
      <c r="D5587">
        <v>1.9999999999999999E-7</v>
      </c>
      <c r="E5587" t="s">
        <v>74</v>
      </c>
      <c r="F5587">
        <v>2.0000000000000001E-4</v>
      </c>
      <c r="G5587" t="s">
        <v>75</v>
      </c>
      <c r="H5587">
        <v>0.2</v>
      </c>
      <c r="I5587" t="s">
        <v>76</v>
      </c>
      <c r="J5587" t="s">
        <v>77</v>
      </c>
    </row>
    <row r="5588" spans="1:11" x14ac:dyDescent="0.3">
      <c r="A5588" t="s">
        <v>83</v>
      </c>
      <c r="B5588">
        <v>1000</v>
      </c>
      <c r="C5588" t="s">
        <v>94</v>
      </c>
      <c r="D5588">
        <v>2.5951199999999998E-3</v>
      </c>
      <c r="E5588" t="s">
        <v>74</v>
      </c>
      <c r="F5588">
        <v>2.5951200000000001</v>
      </c>
      <c r="G5588" t="s">
        <v>75</v>
      </c>
      <c r="H5588">
        <v>2595.1179999999999</v>
      </c>
      <c r="I5588" t="s">
        <v>76</v>
      </c>
      <c r="J5588" t="s">
        <v>77</v>
      </c>
    </row>
    <row r="5589" spans="1:11" x14ac:dyDescent="0.3">
      <c r="A5589" t="s">
        <v>83</v>
      </c>
      <c r="B5589">
        <v>1000</v>
      </c>
      <c r="C5589" t="s">
        <v>80</v>
      </c>
      <c r="D5589">
        <v>2.7569700000000001E-3</v>
      </c>
      <c r="E5589" t="s">
        <v>74</v>
      </c>
      <c r="F5589">
        <v>2.7569699999999999</v>
      </c>
      <c r="G5589" t="s">
        <v>75</v>
      </c>
      <c r="H5589">
        <v>2756.9720000000002</v>
      </c>
      <c r="I5589" t="s">
        <v>76</v>
      </c>
      <c r="J5589" t="s">
        <v>77</v>
      </c>
    </row>
    <row r="5590" spans="1:11" x14ac:dyDescent="0.3">
      <c r="A5590" t="s">
        <v>83</v>
      </c>
      <c r="B5590">
        <v>1000</v>
      </c>
      <c r="C5590" t="s">
        <v>81</v>
      </c>
      <c r="D5590">
        <v>2.7579800000000002E-3</v>
      </c>
      <c r="E5590" t="s">
        <v>74</v>
      </c>
      <c r="F5590">
        <v>2.7579799999999999</v>
      </c>
      <c r="G5590" t="s">
        <v>75</v>
      </c>
      <c r="H5590">
        <v>2757.9810000000002</v>
      </c>
      <c r="I5590" t="s">
        <v>76</v>
      </c>
      <c r="J5590" t="s">
        <v>82</v>
      </c>
      <c r="K5590">
        <v>362.58403920000001</v>
      </c>
    </row>
    <row r="5591" spans="1:11" x14ac:dyDescent="0.3">
      <c r="A5591" t="s">
        <v>84</v>
      </c>
      <c r="B5591">
        <v>1001</v>
      </c>
      <c r="C5591" t="s">
        <v>79</v>
      </c>
      <c r="D5591">
        <v>3.6611E-4</v>
      </c>
      <c r="E5591" t="s">
        <v>74</v>
      </c>
      <c r="F5591">
        <v>0.36610999999999999</v>
      </c>
      <c r="G5591" t="s">
        <v>75</v>
      </c>
      <c r="H5591">
        <v>366.10500000000002</v>
      </c>
      <c r="I5591" t="s">
        <v>76</v>
      </c>
      <c r="J5591" t="s">
        <v>77</v>
      </c>
    </row>
    <row r="5592" spans="1:11" x14ac:dyDescent="0.3">
      <c r="A5592" t="s">
        <v>84</v>
      </c>
      <c r="B5592">
        <v>1001</v>
      </c>
      <c r="C5592" t="s">
        <v>94</v>
      </c>
      <c r="D5592">
        <v>2.5952200000000001E-3</v>
      </c>
      <c r="E5592" t="s">
        <v>74</v>
      </c>
      <c r="F5592">
        <v>2.5952199999999999</v>
      </c>
      <c r="G5592" t="s">
        <v>75</v>
      </c>
      <c r="H5592">
        <v>2595.2190000000001</v>
      </c>
      <c r="I5592" t="s">
        <v>76</v>
      </c>
      <c r="J5592" t="s">
        <v>77</v>
      </c>
    </row>
    <row r="5593" spans="1:11" x14ac:dyDescent="0.3">
      <c r="A5593" t="s">
        <v>84</v>
      </c>
      <c r="B5593">
        <v>1001</v>
      </c>
      <c r="C5593" t="s">
        <v>80</v>
      </c>
      <c r="D5593">
        <v>2.7571000000000002E-3</v>
      </c>
      <c r="E5593" t="s">
        <v>74</v>
      </c>
      <c r="F5593">
        <v>2.7570999999999999</v>
      </c>
      <c r="G5593" t="s">
        <v>75</v>
      </c>
      <c r="H5593">
        <v>2757.1039999999998</v>
      </c>
      <c r="I5593" t="s">
        <v>76</v>
      </c>
      <c r="J5593" t="s">
        <v>77</v>
      </c>
    </row>
    <row r="5594" spans="1:11" x14ac:dyDescent="0.3">
      <c r="A5594" t="s">
        <v>84</v>
      </c>
      <c r="B5594">
        <v>1001</v>
      </c>
      <c r="C5594" t="s">
        <v>81</v>
      </c>
      <c r="D5594">
        <v>3.1240199999999999E-3</v>
      </c>
      <c r="E5594" t="s">
        <v>74</v>
      </c>
      <c r="F5594">
        <v>3.1240199999999998</v>
      </c>
      <c r="G5594" t="s">
        <v>75</v>
      </c>
      <c r="H5594">
        <v>3124.0169999999998</v>
      </c>
      <c r="I5594" t="s">
        <v>76</v>
      </c>
      <c r="J5594" t="s">
        <v>82</v>
      </c>
      <c r="K5594">
        <v>320.1006683</v>
      </c>
    </row>
    <row r="5595" spans="1:11" x14ac:dyDescent="0.3">
      <c r="A5595" t="s">
        <v>85</v>
      </c>
      <c r="B5595">
        <v>1001</v>
      </c>
      <c r="C5595" t="s">
        <v>86</v>
      </c>
      <c r="D5595">
        <v>3.1242000000000002E-3</v>
      </c>
      <c r="E5595" t="s">
        <v>74</v>
      </c>
      <c r="F5595">
        <v>3.1242000000000001</v>
      </c>
      <c r="G5595" t="s">
        <v>75</v>
      </c>
      <c r="H5595">
        <v>3124.1979999999999</v>
      </c>
      <c r="I5595" t="s">
        <v>76</v>
      </c>
      <c r="J5595" t="s">
        <v>82</v>
      </c>
      <c r="K5595">
        <v>320.08219480000002</v>
      </c>
    </row>
    <row r="5596" spans="1:11" x14ac:dyDescent="0.3">
      <c r="A5596" t="s">
        <v>115</v>
      </c>
    </row>
    <row r="5597" spans="1:11" x14ac:dyDescent="0.3">
      <c r="A5597" t="s">
        <v>127</v>
      </c>
    </row>
    <row r="5598" spans="1:11" x14ac:dyDescent="0.3">
      <c r="A5598" t="s">
        <v>87</v>
      </c>
    </row>
    <row r="5599" spans="1:11" x14ac:dyDescent="0.3">
      <c r="A5599" t="s">
        <v>310</v>
      </c>
    </row>
    <row r="5600" spans="1:11" x14ac:dyDescent="0.3">
      <c r="A5600" t="s">
        <v>72</v>
      </c>
      <c r="B5600">
        <v>1</v>
      </c>
      <c r="C5600" t="s">
        <v>81</v>
      </c>
      <c r="D5600">
        <v>0.1181764</v>
      </c>
      <c r="E5600" t="s">
        <v>74</v>
      </c>
      <c r="F5600">
        <v>118.1764</v>
      </c>
      <c r="G5600" t="s">
        <v>75</v>
      </c>
      <c r="H5600">
        <v>118176.401</v>
      </c>
      <c r="I5600" t="s">
        <v>76</v>
      </c>
      <c r="J5600" t="s">
        <v>82</v>
      </c>
      <c r="K5600">
        <v>8.4619263999999994</v>
      </c>
    </row>
    <row r="5601" spans="1:11" x14ac:dyDescent="0.3">
      <c r="A5601" t="s">
        <v>83</v>
      </c>
      <c r="B5601">
        <v>1000</v>
      </c>
      <c r="C5601" t="s">
        <v>81</v>
      </c>
      <c r="D5601">
        <v>2.79175E-3</v>
      </c>
      <c r="E5601" t="s">
        <v>74</v>
      </c>
      <c r="F5601">
        <v>2.79175</v>
      </c>
      <c r="G5601" t="s">
        <v>75</v>
      </c>
      <c r="H5601">
        <v>2791.748</v>
      </c>
      <c r="I5601" t="s">
        <v>76</v>
      </c>
      <c r="J5601" t="s">
        <v>82</v>
      </c>
      <c r="K5601">
        <v>358.19857450000001</v>
      </c>
    </row>
    <row r="5602" spans="1:11" x14ac:dyDescent="0.3">
      <c r="A5602" t="s">
        <v>85</v>
      </c>
      <c r="B5602">
        <v>1001</v>
      </c>
      <c r="C5602" t="s">
        <v>86</v>
      </c>
      <c r="D5602">
        <v>2.9072199999999999E-3</v>
      </c>
      <c r="E5602" t="s">
        <v>74</v>
      </c>
      <c r="F5602">
        <v>2.9072200000000001</v>
      </c>
      <c r="G5602" t="s">
        <v>75</v>
      </c>
      <c r="H5602">
        <v>2907.223</v>
      </c>
      <c r="I5602" t="s">
        <v>76</v>
      </c>
      <c r="J5602" t="s">
        <v>82</v>
      </c>
      <c r="K5602">
        <v>343.97088509999998</v>
      </c>
    </row>
    <row r="5604" spans="1:11" x14ac:dyDescent="0.3">
      <c r="A5604" t="s">
        <v>311</v>
      </c>
    </row>
    <row r="5605" spans="1:11" x14ac:dyDescent="0.3">
      <c r="A5605" t="s">
        <v>72</v>
      </c>
      <c r="B5605">
        <v>1</v>
      </c>
      <c r="C5605" t="s">
        <v>81</v>
      </c>
      <c r="D5605">
        <v>0.36916118999999997</v>
      </c>
      <c r="E5605" t="s">
        <v>74</v>
      </c>
      <c r="F5605">
        <v>369.16118999999998</v>
      </c>
      <c r="G5605" t="s">
        <v>75</v>
      </c>
      <c r="H5605">
        <v>369161.18900000001</v>
      </c>
      <c r="I5605" t="s">
        <v>76</v>
      </c>
      <c r="J5605" t="s">
        <v>82</v>
      </c>
      <c r="K5605">
        <v>2.7088437999999999</v>
      </c>
    </row>
    <row r="5606" spans="1:11" x14ac:dyDescent="0.3">
      <c r="A5606" t="s">
        <v>83</v>
      </c>
      <c r="B5606">
        <v>1000</v>
      </c>
      <c r="C5606" t="s">
        <v>81</v>
      </c>
      <c r="D5606">
        <v>2.7579800000000002E-3</v>
      </c>
      <c r="E5606" t="s">
        <v>74</v>
      </c>
      <c r="F5606">
        <v>2.7579799999999999</v>
      </c>
      <c r="G5606" t="s">
        <v>75</v>
      </c>
      <c r="H5606">
        <v>2757.9810000000002</v>
      </c>
      <c r="I5606" t="s">
        <v>76</v>
      </c>
      <c r="J5606" t="s">
        <v>82</v>
      </c>
      <c r="K5606">
        <v>362.58403920000001</v>
      </c>
    </row>
    <row r="5607" spans="1:11" x14ac:dyDescent="0.3">
      <c r="A5607" t="s">
        <v>85</v>
      </c>
      <c r="B5607">
        <v>1001</v>
      </c>
      <c r="C5607" t="s">
        <v>86</v>
      </c>
      <c r="D5607">
        <v>3.1242000000000002E-3</v>
      </c>
      <c r="E5607" t="s">
        <v>74</v>
      </c>
      <c r="F5607">
        <v>3.1242000000000001</v>
      </c>
      <c r="G5607" t="s">
        <v>75</v>
      </c>
      <c r="H5607">
        <v>3124.1979999999999</v>
      </c>
      <c r="I5607" t="s">
        <v>76</v>
      </c>
      <c r="J5607" t="s">
        <v>82</v>
      </c>
      <c r="K5607">
        <v>320.08219480000002</v>
      </c>
    </row>
    <row r="5609" spans="1:11" x14ac:dyDescent="0.3">
      <c r="A5609" t="s">
        <v>66</v>
      </c>
    </row>
    <row r="5611" spans="1:11" x14ac:dyDescent="0.3">
      <c r="A5611" t="s">
        <v>352</v>
      </c>
    </row>
    <row r="5612" spans="1:11" x14ac:dyDescent="0.3">
      <c r="A5612" t="s">
        <v>68</v>
      </c>
    </row>
    <row r="5613" spans="1:11" x14ac:dyDescent="0.3">
      <c r="A5613" t="s">
        <v>69</v>
      </c>
    </row>
    <row r="5614" spans="1:11" x14ac:dyDescent="0.3">
      <c r="A5614" t="s">
        <v>70</v>
      </c>
    </row>
    <row r="5615" spans="1:11" x14ac:dyDescent="0.3">
      <c r="A5615" t="s">
        <v>115</v>
      </c>
    </row>
    <row r="5616" spans="1:11" x14ac:dyDescent="0.3">
      <c r="A5616" t="s">
        <v>266</v>
      </c>
    </row>
    <row r="5617" spans="1:10" x14ac:dyDescent="0.3">
      <c r="A5617" t="s">
        <v>267</v>
      </c>
    </row>
    <row r="5618" spans="1:10" x14ac:dyDescent="0.3">
      <c r="A5618" t="s">
        <v>118</v>
      </c>
    </row>
    <row r="5619" spans="1:10" x14ac:dyDescent="0.3">
      <c r="A5619" t="s">
        <v>119</v>
      </c>
    </row>
    <row r="5620" spans="1:10" x14ac:dyDescent="0.3">
      <c r="A5620" t="s">
        <v>268</v>
      </c>
    </row>
    <row r="5621" spans="1:10" x14ac:dyDescent="0.3">
      <c r="A5621" t="s">
        <v>269</v>
      </c>
    </row>
    <row r="5622" spans="1:10" x14ac:dyDescent="0.3">
      <c r="A5622" t="s">
        <v>122</v>
      </c>
    </row>
    <row r="5623" spans="1:10" x14ac:dyDescent="0.3">
      <c r="A5623" t="s">
        <v>270</v>
      </c>
    </row>
    <row r="5624" spans="1:10" x14ac:dyDescent="0.3">
      <c r="A5624" t="s">
        <v>271</v>
      </c>
    </row>
    <row r="5625" spans="1:10" x14ac:dyDescent="0.3">
      <c r="A5625" t="s">
        <v>125</v>
      </c>
    </row>
    <row r="5626" spans="1:10" x14ac:dyDescent="0.3">
      <c r="A5626" t="s">
        <v>126</v>
      </c>
    </row>
    <row r="5627" spans="1:10" x14ac:dyDescent="0.3">
      <c r="A5627" t="s">
        <v>127</v>
      </c>
    </row>
    <row r="5628" spans="1:10" x14ac:dyDescent="0.3">
      <c r="A5628" t="s">
        <v>185</v>
      </c>
    </row>
    <row r="5629" spans="1:10" x14ac:dyDescent="0.3">
      <c r="A5629" t="s">
        <v>313</v>
      </c>
    </row>
    <row r="5630" spans="1:10" x14ac:dyDescent="0.3">
      <c r="A5630" t="s">
        <v>72</v>
      </c>
      <c r="B5630">
        <v>1</v>
      </c>
      <c r="C5630" t="s">
        <v>73</v>
      </c>
      <c r="D5630">
        <v>5.3000000000000001E-6</v>
      </c>
      <c r="E5630" t="s">
        <v>74</v>
      </c>
      <c r="F5630">
        <v>5.3E-3</v>
      </c>
      <c r="G5630" t="s">
        <v>75</v>
      </c>
      <c r="H5630">
        <v>5.3</v>
      </c>
      <c r="I5630" t="s">
        <v>76</v>
      </c>
      <c r="J5630" t="s">
        <v>77</v>
      </c>
    </row>
    <row r="5631" spans="1:10" x14ac:dyDescent="0.3">
      <c r="A5631" t="s">
        <v>72</v>
      </c>
      <c r="B5631">
        <v>1</v>
      </c>
      <c r="C5631" t="s">
        <v>78</v>
      </c>
      <c r="D5631">
        <v>0.14510139999999999</v>
      </c>
      <c r="E5631" t="s">
        <v>74</v>
      </c>
      <c r="F5631">
        <v>145.10140000000001</v>
      </c>
      <c r="G5631" t="s">
        <v>75</v>
      </c>
      <c r="H5631">
        <v>145101.39799999999</v>
      </c>
      <c r="I5631" t="s">
        <v>76</v>
      </c>
      <c r="J5631" t="s">
        <v>77</v>
      </c>
    </row>
    <row r="5632" spans="1:10" x14ac:dyDescent="0.3">
      <c r="A5632" t="s">
        <v>72</v>
      </c>
      <c r="B5632">
        <v>1</v>
      </c>
      <c r="C5632" t="s">
        <v>79</v>
      </c>
      <c r="D5632">
        <v>0.13049000999999999</v>
      </c>
      <c r="E5632" t="s">
        <v>74</v>
      </c>
      <c r="F5632">
        <v>130.49001000000001</v>
      </c>
      <c r="G5632" t="s">
        <v>75</v>
      </c>
      <c r="H5632">
        <v>130490.005</v>
      </c>
      <c r="I5632" t="s">
        <v>76</v>
      </c>
      <c r="J5632" t="s">
        <v>77</v>
      </c>
    </row>
    <row r="5633" spans="1:11" x14ac:dyDescent="0.3">
      <c r="A5633" t="s">
        <v>72</v>
      </c>
      <c r="B5633">
        <v>1</v>
      </c>
      <c r="C5633" t="s">
        <v>94</v>
      </c>
      <c r="D5633">
        <v>9.3954999999999993E-3</v>
      </c>
      <c r="E5633" t="s">
        <v>74</v>
      </c>
      <c r="F5633">
        <v>9.3955000000000002</v>
      </c>
      <c r="G5633" t="s">
        <v>75</v>
      </c>
      <c r="H5633">
        <v>9395.5</v>
      </c>
      <c r="I5633" t="s">
        <v>76</v>
      </c>
      <c r="J5633" t="s">
        <v>77</v>
      </c>
    </row>
    <row r="5634" spans="1:11" x14ac:dyDescent="0.3">
      <c r="A5634" t="s">
        <v>72</v>
      </c>
      <c r="B5634">
        <v>1</v>
      </c>
      <c r="C5634" t="s">
        <v>80</v>
      </c>
      <c r="D5634">
        <v>9.3960999999999992E-3</v>
      </c>
      <c r="E5634" t="s">
        <v>74</v>
      </c>
      <c r="F5634">
        <v>9.3961000000000006</v>
      </c>
      <c r="G5634" t="s">
        <v>75</v>
      </c>
      <c r="H5634">
        <v>9396.1</v>
      </c>
      <c r="I5634" t="s">
        <v>76</v>
      </c>
      <c r="J5634" t="s">
        <v>77</v>
      </c>
    </row>
    <row r="5635" spans="1:11" x14ac:dyDescent="0.3">
      <c r="A5635" t="s">
        <v>72</v>
      </c>
      <c r="B5635">
        <v>1</v>
      </c>
      <c r="C5635" t="s">
        <v>81</v>
      </c>
      <c r="D5635">
        <v>0.13988819999999999</v>
      </c>
      <c r="E5635" t="s">
        <v>74</v>
      </c>
      <c r="F5635">
        <v>139.88820000000001</v>
      </c>
      <c r="G5635" t="s">
        <v>75</v>
      </c>
      <c r="H5635">
        <v>139888.19699999999</v>
      </c>
      <c r="I5635" t="s">
        <v>76</v>
      </c>
      <c r="J5635" t="s">
        <v>82</v>
      </c>
      <c r="K5635">
        <v>7.1485659000000004</v>
      </c>
    </row>
    <row r="5636" spans="1:11" x14ac:dyDescent="0.3">
      <c r="A5636" t="s">
        <v>83</v>
      </c>
      <c r="B5636">
        <v>1000</v>
      </c>
      <c r="C5636" t="s">
        <v>79</v>
      </c>
      <c r="D5636">
        <v>2.2000000000000001E-7</v>
      </c>
      <c r="E5636" t="s">
        <v>74</v>
      </c>
      <c r="F5636">
        <v>2.2000000000000001E-4</v>
      </c>
      <c r="G5636" t="s">
        <v>75</v>
      </c>
      <c r="H5636">
        <v>0.218</v>
      </c>
      <c r="I5636" t="s">
        <v>76</v>
      </c>
      <c r="J5636" t="s">
        <v>77</v>
      </c>
    </row>
    <row r="5637" spans="1:11" x14ac:dyDescent="0.3">
      <c r="A5637" t="s">
        <v>83</v>
      </c>
      <c r="B5637">
        <v>1000</v>
      </c>
      <c r="C5637" t="s">
        <v>94</v>
      </c>
      <c r="D5637">
        <v>2.6421700000000001E-3</v>
      </c>
      <c r="E5637" t="s">
        <v>74</v>
      </c>
      <c r="F5637">
        <v>2.6421700000000001</v>
      </c>
      <c r="G5637" t="s">
        <v>75</v>
      </c>
      <c r="H5637">
        <v>2642.172</v>
      </c>
      <c r="I5637" t="s">
        <v>76</v>
      </c>
      <c r="J5637" t="s">
        <v>77</v>
      </c>
    </row>
    <row r="5638" spans="1:11" x14ac:dyDescent="0.3">
      <c r="A5638" t="s">
        <v>83</v>
      </c>
      <c r="B5638">
        <v>1000</v>
      </c>
      <c r="C5638" t="s">
        <v>80</v>
      </c>
      <c r="D5638">
        <v>2.7851199999999999E-3</v>
      </c>
      <c r="E5638" t="s">
        <v>74</v>
      </c>
      <c r="F5638">
        <v>2.78512</v>
      </c>
      <c r="G5638" t="s">
        <v>75</v>
      </c>
      <c r="H5638">
        <v>2785.1170000000002</v>
      </c>
      <c r="I5638" t="s">
        <v>76</v>
      </c>
      <c r="J5638" t="s">
        <v>77</v>
      </c>
    </row>
    <row r="5639" spans="1:11" x14ac:dyDescent="0.3">
      <c r="A5639" t="s">
        <v>83</v>
      </c>
      <c r="B5639">
        <v>1000</v>
      </c>
      <c r="C5639" t="s">
        <v>81</v>
      </c>
      <c r="D5639">
        <v>2.7860699999999999E-3</v>
      </c>
      <c r="E5639" t="s">
        <v>74</v>
      </c>
      <c r="F5639">
        <v>2.78607</v>
      </c>
      <c r="G5639" t="s">
        <v>75</v>
      </c>
      <c r="H5639">
        <v>2786.0740000000001</v>
      </c>
      <c r="I5639" t="s">
        <v>76</v>
      </c>
      <c r="J5639" t="s">
        <v>82</v>
      </c>
      <c r="K5639">
        <v>358.92805190000001</v>
      </c>
    </row>
    <row r="5640" spans="1:11" x14ac:dyDescent="0.3">
      <c r="A5640" t="s">
        <v>84</v>
      </c>
      <c r="B5640">
        <v>1001</v>
      </c>
      <c r="C5640" t="s">
        <v>79</v>
      </c>
      <c r="D5640">
        <v>1.3056999999999999E-4</v>
      </c>
      <c r="E5640" t="s">
        <v>74</v>
      </c>
      <c r="F5640">
        <v>0.13056999999999999</v>
      </c>
      <c r="G5640" t="s">
        <v>75</v>
      </c>
      <c r="H5640">
        <v>130.57400000000001</v>
      </c>
      <c r="I5640" t="s">
        <v>76</v>
      </c>
      <c r="J5640" t="s">
        <v>77</v>
      </c>
    </row>
    <row r="5641" spans="1:11" x14ac:dyDescent="0.3">
      <c r="A5641" t="s">
        <v>84</v>
      </c>
      <c r="B5641">
        <v>1001</v>
      </c>
      <c r="C5641" t="s">
        <v>94</v>
      </c>
      <c r="D5641">
        <v>2.6489199999999999E-3</v>
      </c>
      <c r="E5641" t="s">
        <v>74</v>
      </c>
      <c r="F5641">
        <v>2.6489199999999999</v>
      </c>
      <c r="G5641" t="s">
        <v>75</v>
      </c>
      <c r="H5641">
        <v>2648.9189999999999</v>
      </c>
      <c r="I5641" t="s">
        <v>76</v>
      </c>
      <c r="J5641" t="s">
        <v>77</v>
      </c>
    </row>
    <row r="5642" spans="1:11" x14ac:dyDescent="0.3">
      <c r="A5642" t="s">
        <v>84</v>
      </c>
      <c r="B5642">
        <v>1001</v>
      </c>
      <c r="C5642" t="s">
        <v>80</v>
      </c>
      <c r="D5642">
        <v>2.7917200000000001E-3</v>
      </c>
      <c r="E5642" t="s">
        <v>74</v>
      </c>
      <c r="F5642">
        <v>2.7917200000000002</v>
      </c>
      <c r="G5642" t="s">
        <v>75</v>
      </c>
      <c r="H5642">
        <v>2791.721</v>
      </c>
      <c r="I5642" t="s">
        <v>76</v>
      </c>
      <c r="J5642" t="s">
        <v>77</v>
      </c>
    </row>
    <row r="5643" spans="1:11" x14ac:dyDescent="0.3">
      <c r="A5643" t="s">
        <v>84</v>
      </c>
      <c r="B5643">
        <v>1001</v>
      </c>
      <c r="C5643" t="s">
        <v>81</v>
      </c>
      <c r="D5643">
        <v>2.92304E-3</v>
      </c>
      <c r="E5643" t="s">
        <v>74</v>
      </c>
      <c r="F5643">
        <v>2.9230399999999999</v>
      </c>
      <c r="G5643" t="s">
        <v>75</v>
      </c>
      <c r="H5643">
        <v>2923.0390000000002</v>
      </c>
      <c r="I5643" t="s">
        <v>76</v>
      </c>
      <c r="J5643" t="s">
        <v>82</v>
      </c>
      <c r="K5643">
        <v>342.10965370000002</v>
      </c>
    </row>
    <row r="5644" spans="1:11" x14ac:dyDescent="0.3">
      <c r="A5644" t="s">
        <v>85</v>
      </c>
      <c r="B5644">
        <v>1001</v>
      </c>
      <c r="C5644" t="s">
        <v>86</v>
      </c>
      <c r="D5644">
        <v>2.9232699999999999E-3</v>
      </c>
      <c r="E5644" t="s">
        <v>74</v>
      </c>
      <c r="F5644">
        <v>2.92327</v>
      </c>
      <c r="G5644" t="s">
        <v>75</v>
      </c>
      <c r="H5644">
        <v>2923.2710000000002</v>
      </c>
      <c r="I5644" t="s">
        <v>76</v>
      </c>
      <c r="J5644" t="s">
        <v>82</v>
      </c>
      <c r="K5644">
        <v>342.08256</v>
      </c>
    </row>
    <row r="5645" spans="1:11" x14ac:dyDescent="0.3">
      <c r="A5645" t="s">
        <v>187</v>
      </c>
    </row>
    <row r="5646" spans="1:11" x14ac:dyDescent="0.3">
      <c r="A5646" t="s">
        <v>314</v>
      </c>
    </row>
    <row r="5647" spans="1:11" x14ac:dyDescent="0.3">
      <c r="A5647" t="s">
        <v>72</v>
      </c>
      <c r="B5647">
        <v>1</v>
      </c>
      <c r="C5647" t="s">
        <v>73</v>
      </c>
      <c r="D5647">
        <v>5.3000000000000001E-6</v>
      </c>
      <c r="E5647" t="s">
        <v>74</v>
      </c>
      <c r="F5647">
        <v>5.3E-3</v>
      </c>
      <c r="G5647" t="s">
        <v>75</v>
      </c>
      <c r="H5647">
        <v>5.3</v>
      </c>
      <c r="I5647" t="s">
        <v>76</v>
      </c>
      <c r="J5647" t="s">
        <v>77</v>
      </c>
    </row>
    <row r="5648" spans="1:11" x14ac:dyDescent="0.3">
      <c r="A5648" t="s">
        <v>72</v>
      </c>
      <c r="B5648">
        <v>1</v>
      </c>
      <c r="C5648" t="s">
        <v>78</v>
      </c>
      <c r="D5648">
        <v>1.337E-4</v>
      </c>
      <c r="E5648" t="s">
        <v>74</v>
      </c>
      <c r="F5648">
        <v>0.13370000000000001</v>
      </c>
      <c r="G5648" t="s">
        <v>75</v>
      </c>
      <c r="H5648">
        <v>133.69999999999999</v>
      </c>
      <c r="I5648" t="s">
        <v>76</v>
      </c>
      <c r="J5648" t="s">
        <v>77</v>
      </c>
    </row>
    <row r="5649" spans="1:11" x14ac:dyDescent="0.3">
      <c r="A5649" t="s">
        <v>72</v>
      </c>
      <c r="B5649">
        <v>1</v>
      </c>
      <c r="C5649" t="s">
        <v>79</v>
      </c>
      <c r="D5649">
        <v>0.14397439000000001</v>
      </c>
      <c r="E5649" t="s">
        <v>74</v>
      </c>
      <c r="F5649">
        <v>143.97439</v>
      </c>
      <c r="G5649" t="s">
        <v>75</v>
      </c>
      <c r="H5649">
        <v>143974.394</v>
      </c>
      <c r="I5649" t="s">
        <v>76</v>
      </c>
      <c r="J5649" t="s">
        <v>77</v>
      </c>
    </row>
    <row r="5650" spans="1:11" x14ac:dyDescent="0.3">
      <c r="A5650" t="s">
        <v>72</v>
      </c>
      <c r="B5650">
        <v>1</v>
      </c>
      <c r="C5650" t="s">
        <v>94</v>
      </c>
      <c r="D5650">
        <v>2.9507000000000001E-3</v>
      </c>
      <c r="E5650" t="s">
        <v>74</v>
      </c>
      <c r="F5650">
        <v>2.9506999999999999</v>
      </c>
      <c r="G5650" t="s">
        <v>75</v>
      </c>
      <c r="H5650">
        <v>2950.7</v>
      </c>
      <c r="I5650" t="s">
        <v>76</v>
      </c>
      <c r="J5650" t="s">
        <v>77</v>
      </c>
    </row>
    <row r="5651" spans="1:11" x14ac:dyDescent="0.3">
      <c r="A5651" t="s">
        <v>72</v>
      </c>
      <c r="B5651">
        <v>1</v>
      </c>
      <c r="C5651" t="s">
        <v>80</v>
      </c>
      <c r="D5651">
        <v>3.1132999999999998E-3</v>
      </c>
      <c r="E5651" t="s">
        <v>74</v>
      </c>
      <c r="F5651">
        <v>3.1133000000000002</v>
      </c>
      <c r="G5651" t="s">
        <v>75</v>
      </c>
      <c r="H5651">
        <v>3113.3</v>
      </c>
      <c r="I5651" t="s">
        <v>76</v>
      </c>
      <c r="J5651" t="s">
        <v>77</v>
      </c>
    </row>
    <row r="5652" spans="1:11" x14ac:dyDescent="0.3">
      <c r="A5652" t="s">
        <v>72</v>
      </c>
      <c r="B5652">
        <v>1</v>
      </c>
      <c r="C5652" t="s">
        <v>81</v>
      </c>
      <c r="D5652">
        <v>0.14708909000000001</v>
      </c>
      <c r="E5652" t="s">
        <v>74</v>
      </c>
      <c r="F5652">
        <v>147.08909</v>
      </c>
      <c r="G5652" t="s">
        <v>75</v>
      </c>
      <c r="H5652">
        <v>147089.09400000001</v>
      </c>
      <c r="I5652" t="s">
        <v>76</v>
      </c>
      <c r="J5652" t="s">
        <v>82</v>
      </c>
      <c r="K5652">
        <v>6.7986006000000003</v>
      </c>
    </row>
    <row r="5653" spans="1:11" x14ac:dyDescent="0.3">
      <c r="A5653" t="s">
        <v>83</v>
      </c>
      <c r="B5653">
        <v>1000</v>
      </c>
      <c r="C5653" t="s">
        <v>79</v>
      </c>
      <c r="D5653">
        <v>2.2000000000000001E-7</v>
      </c>
      <c r="E5653" t="s">
        <v>74</v>
      </c>
      <c r="F5653">
        <v>2.2000000000000001E-4</v>
      </c>
      <c r="G5653" t="s">
        <v>75</v>
      </c>
      <c r="H5653">
        <v>0.222</v>
      </c>
      <c r="I5653" t="s">
        <v>76</v>
      </c>
      <c r="J5653" t="s">
        <v>77</v>
      </c>
    </row>
    <row r="5654" spans="1:11" x14ac:dyDescent="0.3">
      <c r="A5654" t="s">
        <v>83</v>
      </c>
      <c r="B5654">
        <v>1000</v>
      </c>
      <c r="C5654" t="s">
        <v>94</v>
      </c>
      <c r="D5654">
        <v>2.6000200000000002E-3</v>
      </c>
      <c r="E5654" t="s">
        <v>74</v>
      </c>
      <c r="F5654">
        <v>2.6000200000000002</v>
      </c>
      <c r="G5654" t="s">
        <v>75</v>
      </c>
      <c r="H5654">
        <v>2600.0239999999999</v>
      </c>
      <c r="I5654" t="s">
        <v>76</v>
      </c>
      <c r="J5654" t="s">
        <v>77</v>
      </c>
    </row>
    <row r="5655" spans="1:11" x14ac:dyDescent="0.3">
      <c r="A5655" t="s">
        <v>83</v>
      </c>
      <c r="B5655">
        <v>1000</v>
      </c>
      <c r="C5655" t="s">
        <v>80</v>
      </c>
      <c r="D5655">
        <v>2.7576900000000001E-3</v>
      </c>
      <c r="E5655" t="s">
        <v>74</v>
      </c>
      <c r="F5655">
        <v>2.7576900000000002</v>
      </c>
      <c r="G5655" t="s">
        <v>75</v>
      </c>
      <c r="H5655">
        <v>2757.6849999999999</v>
      </c>
      <c r="I5655" t="s">
        <v>76</v>
      </c>
      <c r="J5655" t="s">
        <v>77</v>
      </c>
    </row>
    <row r="5656" spans="1:11" x14ac:dyDescent="0.3">
      <c r="A5656" t="s">
        <v>83</v>
      </c>
      <c r="B5656">
        <v>1000</v>
      </c>
      <c r="C5656" t="s">
        <v>81</v>
      </c>
      <c r="D5656">
        <v>2.7587599999999999E-3</v>
      </c>
      <c r="E5656" t="s">
        <v>74</v>
      </c>
      <c r="F5656">
        <v>2.7587600000000001</v>
      </c>
      <c r="G5656" t="s">
        <v>75</v>
      </c>
      <c r="H5656">
        <v>2758.7559999999999</v>
      </c>
      <c r="I5656" t="s">
        <v>76</v>
      </c>
      <c r="J5656" t="s">
        <v>82</v>
      </c>
      <c r="K5656">
        <v>362.48223050000001</v>
      </c>
    </row>
    <row r="5657" spans="1:11" x14ac:dyDescent="0.3">
      <c r="A5657" t="s">
        <v>84</v>
      </c>
      <c r="B5657">
        <v>1001</v>
      </c>
      <c r="C5657" t="s">
        <v>79</v>
      </c>
      <c r="D5657">
        <v>1.4405E-4</v>
      </c>
      <c r="E5657" t="s">
        <v>74</v>
      </c>
      <c r="F5657">
        <v>0.14405000000000001</v>
      </c>
      <c r="G5657" t="s">
        <v>75</v>
      </c>
      <c r="H5657">
        <v>144.04900000000001</v>
      </c>
      <c r="I5657" t="s">
        <v>76</v>
      </c>
      <c r="J5657" t="s">
        <v>77</v>
      </c>
    </row>
    <row r="5658" spans="1:11" x14ac:dyDescent="0.3">
      <c r="A5658" t="s">
        <v>84</v>
      </c>
      <c r="B5658">
        <v>1001</v>
      </c>
      <c r="C5658" t="s">
        <v>94</v>
      </c>
      <c r="D5658">
        <v>2.6003699999999999E-3</v>
      </c>
      <c r="E5658" t="s">
        <v>74</v>
      </c>
      <c r="F5658">
        <v>2.6003699999999998</v>
      </c>
      <c r="G5658" t="s">
        <v>75</v>
      </c>
      <c r="H5658">
        <v>2600.3739999999998</v>
      </c>
      <c r="I5658" t="s">
        <v>76</v>
      </c>
      <c r="J5658" t="s">
        <v>77</v>
      </c>
    </row>
    <row r="5659" spans="1:11" x14ac:dyDescent="0.3">
      <c r="A5659" t="s">
        <v>84</v>
      </c>
      <c r="B5659">
        <v>1001</v>
      </c>
      <c r="C5659" t="s">
        <v>80</v>
      </c>
      <c r="D5659">
        <v>2.7580399999999998E-3</v>
      </c>
      <c r="E5659" t="s">
        <v>74</v>
      </c>
      <c r="F5659">
        <v>2.7580399999999998</v>
      </c>
      <c r="G5659" t="s">
        <v>75</v>
      </c>
      <c r="H5659">
        <v>2758.04</v>
      </c>
      <c r="I5659" t="s">
        <v>76</v>
      </c>
      <c r="J5659" t="s">
        <v>77</v>
      </c>
    </row>
    <row r="5660" spans="1:11" x14ac:dyDescent="0.3">
      <c r="A5660" t="s">
        <v>84</v>
      </c>
      <c r="B5660">
        <v>1001</v>
      </c>
      <c r="C5660" t="s">
        <v>81</v>
      </c>
      <c r="D5660">
        <v>2.9029400000000001E-3</v>
      </c>
      <c r="E5660" t="s">
        <v>74</v>
      </c>
      <c r="F5660">
        <v>2.9029400000000001</v>
      </c>
      <c r="G5660" t="s">
        <v>75</v>
      </c>
      <c r="H5660">
        <v>2902.9430000000002</v>
      </c>
      <c r="I5660" t="s">
        <v>76</v>
      </c>
      <c r="J5660" t="s">
        <v>82</v>
      </c>
      <c r="K5660">
        <v>344.47797960000003</v>
      </c>
    </row>
    <row r="5661" spans="1:11" x14ac:dyDescent="0.3">
      <c r="A5661" t="s">
        <v>85</v>
      </c>
      <c r="B5661">
        <v>1001</v>
      </c>
      <c r="C5661" t="s">
        <v>86</v>
      </c>
      <c r="D5661">
        <v>2.9031199999999999E-3</v>
      </c>
      <c r="E5661" t="s">
        <v>74</v>
      </c>
      <c r="F5661">
        <v>2.9031199999999999</v>
      </c>
      <c r="G5661" t="s">
        <v>75</v>
      </c>
      <c r="H5661">
        <v>2903.123</v>
      </c>
      <c r="I5661" t="s">
        <v>76</v>
      </c>
      <c r="J5661" t="s">
        <v>82</v>
      </c>
      <c r="K5661">
        <v>344.4566418</v>
      </c>
    </row>
    <row r="5662" spans="1:11" x14ac:dyDescent="0.3">
      <c r="A5662" t="s">
        <v>115</v>
      </c>
    </row>
    <row r="5663" spans="1:11" x14ac:dyDescent="0.3">
      <c r="A5663" t="s">
        <v>127</v>
      </c>
    </row>
    <row r="5664" spans="1:11" x14ac:dyDescent="0.3">
      <c r="A5664" t="s">
        <v>87</v>
      </c>
    </row>
    <row r="5665" spans="1:11" x14ac:dyDescent="0.3">
      <c r="A5665" t="s">
        <v>315</v>
      </c>
    </row>
    <row r="5666" spans="1:11" x14ac:dyDescent="0.3">
      <c r="A5666" t="s">
        <v>72</v>
      </c>
      <c r="B5666">
        <v>1</v>
      </c>
      <c r="C5666" t="s">
        <v>81</v>
      </c>
      <c r="D5666">
        <v>0.13988819999999999</v>
      </c>
      <c r="E5666" t="s">
        <v>74</v>
      </c>
      <c r="F5666">
        <v>139.88820000000001</v>
      </c>
      <c r="G5666" t="s">
        <v>75</v>
      </c>
      <c r="H5666">
        <v>139888.19699999999</v>
      </c>
      <c r="I5666" t="s">
        <v>76</v>
      </c>
      <c r="J5666" t="s">
        <v>82</v>
      </c>
      <c r="K5666">
        <v>7.1485659000000004</v>
      </c>
    </row>
    <row r="5667" spans="1:11" x14ac:dyDescent="0.3">
      <c r="A5667" t="s">
        <v>83</v>
      </c>
      <c r="B5667">
        <v>1000</v>
      </c>
      <c r="C5667" t="s">
        <v>81</v>
      </c>
      <c r="D5667">
        <v>2.7860699999999999E-3</v>
      </c>
      <c r="E5667" t="s">
        <v>74</v>
      </c>
      <c r="F5667">
        <v>2.78607</v>
      </c>
      <c r="G5667" t="s">
        <v>75</v>
      </c>
      <c r="H5667">
        <v>2786.0740000000001</v>
      </c>
      <c r="I5667" t="s">
        <v>76</v>
      </c>
      <c r="J5667" t="s">
        <v>82</v>
      </c>
      <c r="K5667">
        <v>358.92805190000001</v>
      </c>
    </row>
    <row r="5668" spans="1:11" x14ac:dyDescent="0.3">
      <c r="A5668" t="s">
        <v>85</v>
      </c>
      <c r="B5668">
        <v>1001</v>
      </c>
      <c r="C5668" t="s">
        <v>86</v>
      </c>
      <c r="D5668">
        <v>2.9232699999999999E-3</v>
      </c>
      <c r="E5668" t="s">
        <v>74</v>
      </c>
      <c r="F5668">
        <v>2.92327</v>
      </c>
      <c r="G5668" t="s">
        <v>75</v>
      </c>
      <c r="H5668">
        <v>2923.2710000000002</v>
      </c>
      <c r="I5668" t="s">
        <v>76</v>
      </c>
      <c r="J5668" t="s">
        <v>82</v>
      </c>
      <c r="K5668">
        <v>342.08256</v>
      </c>
    </row>
    <row r="5670" spans="1:11" x14ac:dyDescent="0.3">
      <c r="A5670" t="s">
        <v>316</v>
      </c>
    </row>
    <row r="5671" spans="1:11" x14ac:dyDescent="0.3">
      <c r="A5671" t="s">
        <v>72</v>
      </c>
      <c r="B5671">
        <v>1</v>
      </c>
      <c r="C5671" t="s">
        <v>81</v>
      </c>
      <c r="D5671">
        <v>0.14708909000000001</v>
      </c>
      <c r="E5671" t="s">
        <v>74</v>
      </c>
      <c r="F5671">
        <v>147.08909</v>
      </c>
      <c r="G5671" t="s">
        <v>75</v>
      </c>
      <c r="H5671">
        <v>147089.09400000001</v>
      </c>
      <c r="I5671" t="s">
        <v>76</v>
      </c>
      <c r="J5671" t="s">
        <v>82</v>
      </c>
      <c r="K5671">
        <v>6.7986006000000003</v>
      </c>
    </row>
    <row r="5672" spans="1:11" x14ac:dyDescent="0.3">
      <c r="A5672" t="s">
        <v>83</v>
      </c>
      <c r="B5672">
        <v>1000</v>
      </c>
      <c r="C5672" t="s">
        <v>81</v>
      </c>
      <c r="D5672">
        <v>2.7587599999999999E-3</v>
      </c>
      <c r="E5672" t="s">
        <v>74</v>
      </c>
      <c r="F5672">
        <v>2.7587600000000001</v>
      </c>
      <c r="G5672" t="s">
        <v>75</v>
      </c>
      <c r="H5672">
        <v>2758.7559999999999</v>
      </c>
      <c r="I5672" t="s">
        <v>76</v>
      </c>
      <c r="J5672" t="s">
        <v>82</v>
      </c>
      <c r="K5672">
        <v>362.48223050000001</v>
      </c>
    </row>
    <row r="5673" spans="1:11" x14ac:dyDescent="0.3">
      <c r="A5673" t="s">
        <v>85</v>
      </c>
      <c r="B5673">
        <v>1001</v>
      </c>
      <c r="C5673" t="s">
        <v>86</v>
      </c>
      <c r="D5673">
        <v>2.9031199999999999E-3</v>
      </c>
      <c r="E5673" t="s">
        <v>74</v>
      </c>
      <c r="F5673">
        <v>2.9031199999999999</v>
      </c>
      <c r="G5673" t="s">
        <v>75</v>
      </c>
      <c r="H5673">
        <v>2903.123</v>
      </c>
      <c r="I5673" t="s">
        <v>76</v>
      </c>
      <c r="J5673" t="s">
        <v>82</v>
      </c>
      <c r="K5673">
        <v>344.4566418</v>
      </c>
    </row>
    <row r="5675" spans="1:11" x14ac:dyDescent="0.3">
      <c r="A5675" t="s">
        <v>66</v>
      </c>
    </row>
    <row r="5677" spans="1:11" x14ac:dyDescent="0.3">
      <c r="A5677" t="s">
        <v>353</v>
      </c>
    </row>
    <row r="5678" spans="1:11" x14ac:dyDescent="0.3">
      <c r="A5678" t="s">
        <v>68</v>
      </c>
    </row>
    <row r="5679" spans="1:11" x14ac:dyDescent="0.3">
      <c r="A5679" t="s">
        <v>69</v>
      </c>
    </row>
    <row r="5680" spans="1:11" x14ac:dyDescent="0.3">
      <c r="A5680" t="s">
        <v>70</v>
      </c>
    </row>
    <row r="5681" spans="1:10" x14ac:dyDescent="0.3">
      <c r="A5681" t="s">
        <v>115</v>
      </c>
    </row>
    <row r="5682" spans="1:10" x14ac:dyDescent="0.3">
      <c r="A5682" t="s">
        <v>266</v>
      </c>
    </row>
    <row r="5683" spans="1:10" x14ac:dyDescent="0.3">
      <c r="A5683" t="s">
        <v>267</v>
      </c>
    </row>
    <row r="5684" spans="1:10" x14ac:dyDescent="0.3">
      <c r="A5684" t="s">
        <v>118</v>
      </c>
    </row>
    <row r="5685" spans="1:10" x14ac:dyDescent="0.3">
      <c r="A5685" t="s">
        <v>119</v>
      </c>
    </row>
    <row r="5686" spans="1:10" x14ac:dyDescent="0.3">
      <c r="A5686" t="s">
        <v>268</v>
      </c>
    </row>
    <row r="5687" spans="1:10" x14ac:dyDescent="0.3">
      <c r="A5687" t="s">
        <v>269</v>
      </c>
    </row>
    <row r="5688" spans="1:10" x14ac:dyDescent="0.3">
      <c r="A5688" t="s">
        <v>122</v>
      </c>
    </row>
    <row r="5689" spans="1:10" x14ac:dyDescent="0.3">
      <c r="A5689" t="s">
        <v>270</v>
      </c>
    </row>
    <row r="5690" spans="1:10" x14ac:dyDescent="0.3">
      <c r="A5690" t="s">
        <v>271</v>
      </c>
    </row>
    <row r="5691" spans="1:10" x14ac:dyDescent="0.3">
      <c r="A5691" t="s">
        <v>125</v>
      </c>
    </row>
    <row r="5692" spans="1:10" x14ac:dyDescent="0.3">
      <c r="A5692" t="s">
        <v>126</v>
      </c>
    </row>
    <row r="5693" spans="1:10" x14ac:dyDescent="0.3">
      <c r="A5693" t="s">
        <v>127</v>
      </c>
    </row>
    <row r="5694" spans="1:10" x14ac:dyDescent="0.3">
      <c r="A5694" t="s">
        <v>192</v>
      </c>
    </row>
    <row r="5695" spans="1:10" x14ac:dyDescent="0.3">
      <c r="A5695" t="s">
        <v>318</v>
      </c>
    </row>
    <row r="5696" spans="1:10" x14ac:dyDescent="0.3">
      <c r="A5696" t="s">
        <v>72</v>
      </c>
      <c r="B5696">
        <v>1</v>
      </c>
      <c r="C5696" t="s">
        <v>73</v>
      </c>
      <c r="D5696">
        <v>3.7000000000000002E-6</v>
      </c>
      <c r="E5696" t="s">
        <v>74</v>
      </c>
      <c r="F5696">
        <v>3.7000000000000002E-3</v>
      </c>
      <c r="G5696" t="s">
        <v>75</v>
      </c>
      <c r="H5696">
        <v>3.7</v>
      </c>
      <c r="I5696" t="s">
        <v>76</v>
      </c>
      <c r="J5696" t="s">
        <v>77</v>
      </c>
    </row>
    <row r="5697" spans="1:11" x14ac:dyDescent="0.3">
      <c r="A5697" t="s">
        <v>72</v>
      </c>
      <c r="B5697">
        <v>1</v>
      </c>
      <c r="C5697" t="s">
        <v>78</v>
      </c>
      <c r="D5697">
        <v>0.1087921</v>
      </c>
      <c r="E5697" t="s">
        <v>74</v>
      </c>
      <c r="F5697">
        <v>108.7921</v>
      </c>
      <c r="G5697" t="s">
        <v>75</v>
      </c>
      <c r="H5697">
        <v>108792.09600000001</v>
      </c>
      <c r="I5697" t="s">
        <v>76</v>
      </c>
      <c r="J5697" t="s">
        <v>77</v>
      </c>
    </row>
    <row r="5698" spans="1:11" x14ac:dyDescent="0.3">
      <c r="A5698" t="s">
        <v>72</v>
      </c>
      <c r="B5698">
        <v>1</v>
      </c>
      <c r="C5698" t="s">
        <v>79</v>
      </c>
      <c r="D5698">
        <v>0.10310900000000001</v>
      </c>
      <c r="E5698" t="s">
        <v>74</v>
      </c>
      <c r="F5698">
        <v>103.10899999999999</v>
      </c>
      <c r="G5698" t="s">
        <v>75</v>
      </c>
      <c r="H5698">
        <v>103109.00199999999</v>
      </c>
      <c r="I5698" t="s">
        <v>76</v>
      </c>
      <c r="J5698" t="s">
        <v>77</v>
      </c>
    </row>
    <row r="5699" spans="1:11" x14ac:dyDescent="0.3">
      <c r="A5699" t="s">
        <v>72</v>
      </c>
      <c r="B5699">
        <v>1</v>
      </c>
      <c r="C5699" t="s">
        <v>94</v>
      </c>
      <c r="D5699">
        <v>9.3816999999999998E-3</v>
      </c>
      <c r="E5699" t="s">
        <v>74</v>
      </c>
      <c r="F5699">
        <v>9.3817000000000004</v>
      </c>
      <c r="G5699" t="s">
        <v>75</v>
      </c>
      <c r="H5699">
        <v>9381.7000000000007</v>
      </c>
      <c r="I5699" t="s">
        <v>76</v>
      </c>
      <c r="J5699" t="s">
        <v>77</v>
      </c>
    </row>
    <row r="5700" spans="1:11" x14ac:dyDescent="0.3">
      <c r="A5700" t="s">
        <v>72</v>
      </c>
      <c r="B5700">
        <v>1</v>
      </c>
      <c r="C5700" t="s">
        <v>80</v>
      </c>
      <c r="D5700">
        <v>9.3824000000000008E-3</v>
      </c>
      <c r="E5700" t="s">
        <v>74</v>
      </c>
      <c r="F5700">
        <v>9.3824000000000005</v>
      </c>
      <c r="G5700" t="s">
        <v>75</v>
      </c>
      <c r="H5700">
        <v>9382.4</v>
      </c>
      <c r="I5700" t="s">
        <v>76</v>
      </c>
      <c r="J5700" t="s">
        <v>77</v>
      </c>
    </row>
    <row r="5701" spans="1:11" x14ac:dyDescent="0.3">
      <c r="A5701" t="s">
        <v>72</v>
      </c>
      <c r="B5701">
        <v>1</v>
      </c>
      <c r="C5701" t="s">
        <v>81</v>
      </c>
      <c r="D5701">
        <v>0.1124935</v>
      </c>
      <c r="E5701" t="s">
        <v>74</v>
      </c>
      <c r="F5701">
        <v>112.4935</v>
      </c>
      <c r="G5701" t="s">
        <v>75</v>
      </c>
      <c r="H5701">
        <v>112493.5</v>
      </c>
      <c r="I5701" t="s">
        <v>76</v>
      </c>
      <c r="J5701" t="s">
        <v>82</v>
      </c>
      <c r="K5701">
        <v>8.8894024999999992</v>
      </c>
    </row>
    <row r="5702" spans="1:11" x14ac:dyDescent="0.3">
      <c r="A5702" t="s">
        <v>83</v>
      </c>
      <c r="B5702">
        <v>1000</v>
      </c>
      <c r="C5702" t="s">
        <v>79</v>
      </c>
      <c r="D5702">
        <v>3.3999999999999997E-7</v>
      </c>
      <c r="E5702" t="s">
        <v>74</v>
      </c>
      <c r="F5702">
        <v>3.4000000000000002E-4</v>
      </c>
      <c r="G5702" t="s">
        <v>75</v>
      </c>
      <c r="H5702">
        <v>0.33700000000000002</v>
      </c>
      <c r="I5702" t="s">
        <v>76</v>
      </c>
      <c r="J5702" t="s">
        <v>77</v>
      </c>
    </row>
    <row r="5703" spans="1:11" x14ac:dyDescent="0.3">
      <c r="A5703" t="s">
        <v>83</v>
      </c>
      <c r="B5703">
        <v>1000</v>
      </c>
      <c r="C5703" t="s">
        <v>94</v>
      </c>
      <c r="D5703">
        <v>2.6311500000000001E-3</v>
      </c>
      <c r="E5703" t="s">
        <v>74</v>
      </c>
      <c r="F5703">
        <v>2.6311499999999999</v>
      </c>
      <c r="G5703" t="s">
        <v>75</v>
      </c>
      <c r="H5703">
        <v>2631.154</v>
      </c>
      <c r="I5703" t="s">
        <v>76</v>
      </c>
      <c r="J5703" t="s">
        <v>77</v>
      </c>
    </row>
    <row r="5704" spans="1:11" x14ac:dyDescent="0.3">
      <c r="A5704" t="s">
        <v>83</v>
      </c>
      <c r="B5704">
        <v>1000</v>
      </c>
      <c r="C5704" t="s">
        <v>80</v>
      </c>
      <c r="D5704">
        <v>2.7741100000000002E-3</v>
      </c>
      <c r="E5704" t="s">
        <v>74</v>
      </c>
      <c r="F5704">
        <v>2.7741099999999999</v>
      </c>
      <c r="G5704" t="s">
        <v>75</v>
      </c>
      <c r="H5704">
        <v>2774.1109999999999</v>
      </c>
      <c r="I5704" t="s">
        <v>76</v>
      </c>
      <c r="J5704" t="s">
        <v>77</v>
      </c>
    </row>
    <row r="5705" spans="1:11" x14ac:dyDescent="0.3">
      <c r="A5705" t="s">
        <v>83</v>
      </c>
      <c r="B5705">
        <v>1000</v>
      </c>
      <c r="C5705" t="s">
        <v>81</v>
      </c>
      <c r="D5705">
        <v>2.7753700000000001E-3</v>
      </c>
      <c r="E5705" t="s">
        <v>74</v>
      </c>
      <c r="F5705">
        <v>2.7753700000000001</v>
      </c>
      <c r="G5705" t="s">
        <v>75</v>
      </c>
      <c r="H5705">
        <v>2775.3719999999998</v>
      </c>
      <c r="I5705" t="s">
        <v>76</v>
      </c>
      <c r="J5705" t="s">
        <v>82</v>
      </c>
      <c r="K5705">
        <v>360.31208629999998</v>
      </c>
    </row>
    <row r="5706" spans="1:11" x14ac:dyDescent="0.3">
      <c r="A5706" t="s">
        <v>84</v>
      </c>
      <c r="B5706">
        <v>1001</v>
      </c>
      <c r="C5706" t="s">
        <v>79</v>
      </c>
      <c r="D5706">
        <v>1.0334E-4</v>
      </c>
      <c r="E5706" t="s">
        <v>74</v>
      </c>
      <c r="F5706">
        <v>0.10334</v>
      </c>
      <c r="G5706" t="s">
        <v>75</v>
      </c>
      <c r="H5706">
        <v>103.342</v>
      </c>
      <c r="I5706" t="s">
        <v>76</v>
      </c>
      <c r="J5706" t="s">
        <v>77</v>
      </c>
    </row>
    <row r="5707" spans="1:11" x14ac:dyDescent="0.3">
      <c r="A5707" t="s">
        <v>84</v>
      </c>
      <c r="B5707">
        <v>1001</v>
      </c>
      <c r="C5707" t="s">
        <v>94</v>
      </c>
      <c r="D5707">
        <v>2.6378999999999999E-3</v>
      </c>
      <c r="E5707" t="s">
        <v>74</v>
      </c>
      <c r="F5707">
        <v>2.6379000000000001</v>
      </c>
      <c r="G5707" t="s">
        <v>75</v>
      </c>
      <c r="H5707">
        <v>2637.8969999999999</v>
      </c>
      <c r="I5707" t="s">
        <v>76</v>
      </c>
      <c r="J5707" t="s">
        <v>77</v>
      </c>
    </row>
    <row r="5708" spans="1:11" x14ac:dyDescent="0.3">
      <c r="A5708" t="s">
        <v>84</v>
      </c>
      <c r="B5708">
        <v>1001</v>
      </c>
      <c r="C5708" t="s">
        <v>80</v>
      </c>
      <c r="D5708">
        <v>2.78071E-3</v>
      </c>
      <c r="E5708" t="s">
        <v>74</v>
      </c>
      <c r="F5708">
        <v>2.78071</v>
      </c>
      <c r="G5708" t="s">
        <v>75</v>
      </c>
      <c r="H5708">
        <v>2780.7130000000002</v>
      </c>
      <c r="I5708" t="s">
        <v>76</v>
      </c>
      <c r="J5708" t="s">
        <v>77</v>
      </c>
    </row>
    <row r="5709" spans="1:11" x14ac:dyDescent="0.3">
      <c r="A5709" t="s">
        <v>84</v>
      </c>
      <c r="B5709">
        <v>1001</v>
      </c>
      <c r="C5709" t="s">
        <v>81</v>
      </c>
      <c r="D5709">
        <v>2.8849800000000001E-3</v>
      </c>
      <c r="E5709" t="s">
        <v>74</v>
      </c>
      <c r="F5709">
        <v>2.8849800000000001</v>
      </c>
      <c r="G5709" t="s">
        <v>75</v>
      </c>
      <c r="H5709">
        <v>2884.9810000000002</v>
      </c>
      <c r="I5709" t="s">
        <v>76</v>
      </c>
      <c r="J5709" t="s">
        <v>82</v>
      </c>
      <c r="K5709">
        <v>346.6227859</v>
      </c>
    </row>
    <row r="5710" spans="1:11" x14ac:dyDescent="0.3">
      <c r="A5710" t="s">
        <v>85</v>
      </c>
      <c r="B5710">
        <v>1001</v>
      </c>
      <c r="C5710" t="s">
        <v>86</v>
      </c>
      <c r="D5710">
        <v>2.88522E-3</v>
      </c>
      <c r="E5710" t="s">
        <v>74</v>
      </c>
      <c r="F5710">
        <v>2.8852199999999999</v>
      </c>
      <c r="G5710" t="s">
        <v>75</v>
      </c>
      <c r="H5710">
        <v>2885.2179999999998</v>
      </c>
      <c r="I5710" t="s">
        <v>76</v>
      </c>
      <c r="J5710" t="s">
        <v>82</v>
      </c>
      <c r="K5710">
        <v>346.5942288</v>
      </c>
    </row>
    <row r="5711" spans="1:11" x14ac:dyDescent="0.3">
      <c r="A5711" t="s">
        <v>194</v>
      </c>
    </row>
    <row r="5712" spans="1:11" x14ac:dyDescent="0.3">
      <c r="A5712" t="s">
        <v>319</v>
      </c>
    </row>
    <row r="5713" spans="1:11" x14ac:dyDescent="0.3">
      <c r="A5713" t="s">
        <v>72</v>
      </c>
      <c r="B5713">
        <v>1</v>
      </c>
      <c r="C5713" t="s">
        <v>73</v>
      </c>
      <c r="D5713">
        <v>3.7000000000000002E-6</v>
      </c>
      <c r="E5713" t="s">
        <v>74</v>
      </c>
      <c r="F5713">
        <v>3.7000000000000002E-3</v>
      </c>
      <c r="G5713" t="s">
        <v>75</v>
      </c>
      <c r="H5713">
        <v>3.7</v>
      </c>
      <c r="I5713" t="s">
        <v>76</v>
      </c>
      <c r="J5713" t="s">
        <v>77</v>
      </c>
    </row>
    <row r="5714" spans="1:11" x14ac:dyDescent="0.3">
      <c r="A5714" t="s">
        <v>72</v>
      </c>
      <c r="B5714">
        <v>1</v>
      </c>
      <c r="C5714" t="s">
        <v>78</v>
      </c>
      <c r="D5714">
        <v>1.351E-4</v>
      </c>
      <c r="E5714" t="s">
        <v>74</v>
      </c>
      <c r="F5714">
        <v>0.1351</v>
      </c>
      <c r="G5714" t="s">
        <v>75</v>
      </c>
      <c r="H5714">
        <v>135.1</v>
      </c>
      <c r="I5714" t="s">
        <v>76</v>
      </c>
      <c r="J5714" t="s">
        <v>77</v>
      </c>
    </row>
    <row r="5715" spans="1:11" x14ac:dyDescent="0.3">
      <c r="A5715" t="s">
        <v>72</v>
      </c>
      <c r="B5715">
        <v>1</v>
      </c>
      <c r="C5715" t="s">
        <v>79</v>
      </c>
      <c r="D5715">
        <v>0.27630681000000001</v>
      </c>
      <c r="E5715" t="s">
        <v>74</v>
      </c>
      <c r="F5715">
        <v>276.30680999999998</v>
      </c>
      <c r="G5715" t="s">
        <v>75</v>
      </c>
      <c r="H5715">
        <v>276306.80800000002</v>
      </c>
      <c r="I5715" t="s">
        <v>76</v>
      </c>
      <c r="J5715" t="s">
        <v>77</v>
      </c>
    </row>
    <row r="5716" spans="1:11" x14ac:dyDescent="0.3">
      <c r="A5716" t="s">
        <v>72</v>
      </c>
      <c r="B5716">
        <v>1</v>
      </c>
      <c r="C5716" t="s">
        <v>94</v>
      </c>
      <c r="D5716">
        <v>2.7058999999999998E-3</v>
      </c>
      <c r="E5716" t="s">
        <v>74</v>
      </c>
      <c r="F5716">
        <v>2.7059000000000002</v>
      </c>
      <c r="G5716" t="s">
        <v>75</v>
      </c>
      <c r="H5716">
        <v>2705.9</v>
      </c>
      <c r="I5716" t="s">
        <v>76</v>
      </c>
      <c r="J5716" t="s">
        <v>77</v>
      </c>
    </row>
    <row r="5717" spans="1:11" x14ac:dyDescent="0.3">
      <c r="A5717" t="s">
        <v>72</v>
      </c>
      <c r="B5717">
        <v>1</v>
      </c>
      <c r="C5717" t="s">
        <v>80</v>
      </c>
      <c r="D5717">
        <v>2.9673E-3</v>
      </c>
      <c r="E5717" t="s">
        <v>74</v>
      </c>
      <c r="F5717">
        <v>2.9672999999999998</v>
      </c>
      <c r="G5717" t="s">
        <v>75</v>
      </c>
      <c r="H5717">
        <v>2967.3</v>
      </c>
      <c r="I5717" t="s">
        <v>76</v>
      </c>
      <c r="J5717" t="s">
        <v>77</v>
      </c>
    </row>
    <row r="5718" spans="1:11" x14ac:dyDescent="0.3">
      <c r="A5718" t="s">
        <v>72</v>
      </c>
      <c r="B5718">
        <v>1</v>
      </c>
      <c r="C5718" t="s">
        <v>81</v>
      </c>
      <c r="D5718">
        <v>0.27927551</v>
      </c>
      <c r="E5718" t="s">
        <v>74</v>
      </c>
      <c r="F5718">
        <v>279.27551</v>
      </c>
      <c r="G5718" t="s">
        <v>75</v>
      </c>
      <c r="H5718">
        <v>279275.50699999998</v>
      </c>
      <c r="I5718" t="s">
        <v>76</v>
      </c>
      <c r="J5718" t="s">
        <v>82</v>
      </c>
      <c r="K5718">
        <v>3.5806935000000002</v>
      </c>
    </row>
    <row r="5719" spans="1:11" x14ac:dyDescent="0.3">
      <c r="A5719" t="s">
        <v>83</v>
      </c>
      <c r="B5719">
        <v>1000</v>
      </c>
      <c r="C5719" t="s">
        <v>79</v>
      </c>
      <c r="D5719">
        <v>3.1E-7</v>
      </c>
      <c r="E5719" t="s">
        <v>74</v>
      </c>
      <c r="F5719">
        <v>3.1E-4</v>
      </c>
      <c r="G5719" t="s">
        <v>75</v>
      </c>
      <c r="H5719">
        <v>0.30499999999999999</v>
      </c>
      <c r="I5719" t="s">
        <v>76</v>
      </c>
      <c r="J5719" t="s">
        <v>77</v>
      </c>
    </row>
    <row r="5720" spans="1:11" x14ac:dyDescent="0.3">
      <c r="A5720" t="s">
        <v>83</v>
      </c>
      <c r="B5720">
        <v>1000</v>
      </c>
      <c r="C5720" t="s">
        <v>94</v>
      </c>
      <c r="D5720">
        <v>2.6019099999999998E-3</v>
      </c>
      <c r="E5720" t="s">
        <v>74</v>
      </c>
      <c r="F5720">
        <v>2.6019100000000002</v>
      </c>
      <c r="G5720" t="s">
        <v>75</v>
      </c>
      <c r="H5720">
        <v>2601.915</v>
      </c>
      <c r="I5720" t="s">
        <v>76</v>
      </c>
      <c r="J5720" t="s">
        <v>77</v>
      </c>
    </row>
    <row r="5721" spans="1:11" x14ac:dyDescent="0.3">
      <c r="A5721" t="s">
        <v>83</v>
      </c>
      <c r="B5721">
        <v>1000</v>
      </c>
      <c r="C5721" t="s">
        <v>80</v>
      </c>
      <c r="D5721">
        <v>2.7551699999999999E-3</v>
      </c>
      <c r="E5721" t="s">
        <v>74</v>
      </c>
      <c r="F5721">
        <v>2.7551700000000001</v>
      </c>
      <c r="G5721" t="s">
        <v>75</v>
      </c>
      <c r="H5721">
        <v>2755.1669999999999</v>
      </c>
      <c r="I5721" t="s">
        <v>76</v>
      </c>
      <c r="J5721" t="s">
        <v>77</v>
      </c>
    </row>
    <row r="5722" spans="1:11" x14ac:dyDescent="0.3">
      <c r="A5722" t="s">
        <v>83</v>
      </c>
      <c r="B5722">
        <v>1000</v>
      </c>
      <c r="C5722" t="s">
        <v>81</v>
      </c>
      <c r="D5722">
        <v>2.75632E-3</v>
      </c>
      <c r="E5722" t="s">
        <v>74</v>
      </c>
      <c r="F5722">
        <v>2.7563200000000001</v>
      </c>
      <c r="G5722" t="s">
        <v>75</v>
      </c>
      <c r="H5722">
        <v>2756.3220000000001</v>
      </c>
      <c r="I5722" t="s">
        <v>76</v>
      </c>
      <c r="J5722" t="s">
        <v>82</v>
      </c>
      <c r="K5722">
        <v>362.80229500000002</v>
      </c>
    </row>
    <row r="5723" spans="1:11" x14ac:dyDescent="0.3">
      <c r="A5723" t="s">
        <v>84</v>
      </c>
      <c r="B5723">
        <v>1001</v>
      </c>
      <c r="C5723" t="s">
        <v>79</v>
      </c>
      <c r="D5723">
        <v>2.7633999999999997E-4</v>
      </c>
      <c r="E5723" t="s">
        <v>74</v>
      </c>
      <c r="F5723">
        <v>0.27633999999999997</v>
      </c>
      <c r="G5723" t="s">
        <v>75</v>
      </c>
      <c r="H5723">
        <v>276.33600000000001</v>
      </c>
      <c r="I5723" t="s">
        <v>76</v>
      </c>
      <c r="J5723" t="s">
        <v>77</v>
      </c>
    </row>
    <row r="5724" spans="1:11" x14ac:dyDescent="0.3">
      <c r="A5724" t="s">
        <v>84</v>
      </c>
      <c r="B5724">
        <v>1001</v>
      </c>
      <c r="C5724" t="s">
        <v>94</v>
      </c>
      <c r="D5724">
        <v>2.60202E-3</v>
      </c>
      <c r="E5724" t="s">
        <v>74</v>
      </c>
      <c r="F5724">
        <v>2.60202</v>
      </c>
      <c r="G5724" t="s">
        <v>75</v>
      </c>
      <c r="H5724">
        <v>2602.018</v>
      </c>
      <c r="I5724" t="s">
        <v>76</v>
      </c>
      <c r="J5724" t="s">
        <v>77</v>
      </c>
    </row>
    <row r="5725" spans="1:11" x14ac:dyDescent="0.3">
      <c r="A5725" t="s">
        <v>84</v>
      </c>
      <c r="B5725">
        <v>1001</v>
      </c>
      <c r="C5725" t="s">
        <v>80</v>
      </c>
      <c r="D5725">
        <v>2.75538E-3</v>
      </c>
      <c r="E5725" t="s">
        <v>74</v>
      </c>
      <c r="F5725">
        <v>2.7553800000000002</v>
      </c>
      <c r="G5725" t="s">
        <v>75</v>
      </c>
      <c r="H5725">
        <v>2755.3789999999999</v>
      </c>
      <c r="I5725" t="s">
        <v>76</v>
      </c>
      <c r="J5725" t="s">
        <v>77</v>
      </c>
    </row>
    <row r="5726" spans="1:11" x14ac:dyDescent="0.3">
      <c r="A5726" t="s">
        <v>84</v>
      </c>
      <c r="B5726">
        <v>1001</v>
      </c>
      <c r="C5726" t="s">
        <v>81</v>
      </c>
      <c r="D5726">
        <v>3.0325600000000001E-3</v>
      </c>
      <c r="E5726" t="s">
        <v>74</v>
      </c>
      <c r="F5726">
        <v>3.0325600000000001</v>
      </c>
      <c r="G5726" t="s">
        <v>75</v>
      </c>
      <c r="H5726">
        <v>3032.5650000000001</v>
      </c>
      <c r="I5726" t="s">
        <v>76</v>
      </c>
      <c r="J5726" t="s">
        <v>82</v>
      </c>
      <c r="K5726">
        <v>329.75390729999998</v>
      </c>
    </row>
    <row r="5727" spans="1:11" x14ac:dyDescent="0.3">
      <c r="A5727" t="s">
        <v>85</v>
      </c>
      <c r="B5727">
        <v>1001</v>
      </c>
      <c r="C5727" t="s">
        <v>86</v>
      </c>
      <c r="D5727">
        <v>3.0327599999999998E-3</v>
      </c>
      <c r="E5727" t="s">
        <v>74</v>
      </c>
      <c r="F5727">
        <v>3.0327600000000001</v>
      </c>
      <c r="G5727" t="s">
        <v>75</v>
      </c>
      <c r="H5727">
        <v>3032.7629999999999</v>
      </c>
      <c r="I5727" t="s">
        <v>76</v>
      </c>
      <c r="J5727" t="s">
        <v>82</v>
      </c>
      <c r="K5727">
        <v>329.73236059999999</v>
      </c>
    </row>
    <row r="5728" spans="1:11" x14ac:dyDescent="0.3">
      <c r="A5728" t="s">
        <v>115</v>
      </c>
    </row>
    <row r="5729" spans="1:11" x14ac:dyDescent="0.3">
      <c r="A5729" t="s">
        <v>127</v>
      </c>
    </row>
    <row r="5730" spans="1:11" x14ac:dyDescent="0.3">
      <c r="A5730" t="s">
        <v>87</v>
      </c>
    </row>
    <row r="5731" spans="1:11" x14ac:dyDescent="0.3">
      <c r="A5731" t="s">
        <v>320</v>
      </c>
    </row>
    <row r="5732" spans="1:11" x14ac:dyDescent="0.3">
      <c r="A5732" t="s">
        <v>72</v>
      </c>
      <c r="B5732">
        <v>1</v>
      </c>
      <c r="C5732" t="s">
        <v>81</v>
      </c>
      <c r="D5732">
        <v>0.1124935</v>
      </c>
      <c r="E5732" t="s">
        <v>74</v>
      </c>
      <c r="F5732">
        <v>112.4935</v>
      </c>
      <c r="G5732" t="s">
        <v>75</v>
      </c>
      <c r="H5732">
        <v>112493.5</v>
      </c>
      <c r="I5732" t="s">
        <v>76</v>
      </c>
      <c r="J5732" t="s">
        <v>82</v>
      </c>
      <c r="K5732">
        <v>8.8894024999999992</v>
      </c>
    </row>
    <row r="5733" spans="1:11" x14ac:dyDescent="0.3">
      <c r="A5733" t="s">
        <v>83</v>
      </c>
      <c r="B5733">
        <v>1000</v>
      </c>
      <c r="C5733" t="s">
        <v>81</v>
      </c>
      <c r="D5733">
        <v>2.7753700000000001E-3</v>
      </c>
      <c r="E5733" t="s">
        <v>74</v>
      </c>
      <c r="F5733">
        <v>2.7753700000000001</v>
      </c>
      <c r="G5733" t="s">
        <v>75</v>
      </c>
      <c r="H5733">
        <v>2775.3719999999998</v>
      </c>
      <c r="I5733" t="s">
        <v>76</v>
      </c>
      <c r="J5733" t="s">
        <v>82</v>
      </c>
      <c r="K5733">
        <v>360.31208629999998</v>
      </c>
    </row>
    <row r="5734" spans="1:11" x14ac:dyDescent="0.3">
      <c r="A5734" t="s">
        <v>85</v>
      </c>
      <c r="B5734">
        <v>1001</v>
      </c>
      <c r="C5734" t="s">
        <v>86</v>
      </c>
      <c r="D5734">
        <v>2.88522E-3</v>
      </c>
      <c r="E5734" t="s">
        <v>74</v>
      </c>
      <c r="F5734">
        <v>2.8852199999999999</v>
      </c>
      <c r="G5734" t="s">
        <v>75</v>
      </c>
      <c r="H5734">
        <v>2885.2179999999998</v>
      </c>
      <c r="I5734" t="s">
        <v>76</v>
      </c>
      <c r="J5734" t="s">
        <v>82</v>
      </c>
      <c r="K5734">
        <v>346.5942288</v>
      </c>
    </row>
    <row r="5736" spans="1:11" x14ac:dyDescent="0.3">
      <c r="A5736" t="s">
        <v>321</v>
      </c>
    </row>
    <row r="5737" spans="1:11" x14ac:dyDescent="0.3">
      <c r="A5737" t="s">
        <v>72</v>
      </c>
      <c r="B5737">
        <v>1</v>
      </c>
      <c r="C5737" t="s">
        <v>81</v>
      </c>
      <c r="D5737">
        <v>0.27927551</v>
      </c>
      <c r="E5737" t="s">
        <v>74</v>
      </c>
      <c r="F5737">
        <v>279.27551</v>
      </c>
      <c r="G5737" t="s">
        <v>75</v>
      </c>
      <c r="H5737">
        <v>279275.50699999998</v>
      </c>
      <c r="I5737" t="s">
        <v>76</v>
      </c>
      <c r="J5737" t="s">
        <v>82</v>
      </c>
      <c r="K5737">
        <v>3.5806935000000002</v>
      </c>
    </row>
    <row r="5738" spans="1:11" x14ac:dyDescent="0.3">
      <c r="A5738" t="s">
        <v>83</v>
      </c>
      <c r="B5738">
        <v>1000</v>
      </c>
      <c r="C5738" t="s">
        <v>81</v>
      </c>
      <c r="D5738">
        <v>2.75632E-3</v>
      </c>
      <c r="E5738" t="s">
        <v>74</v>
      </c>
      <c r="F5738">
        <v>2.7563200000000001</v>
      </c>
      <c r="G5738" t="s">
        <v>75</v>
      </c>
      <c r="H5738">
        <v>2756.3220000000001</v>
      </c>
      <c r="I5738" t="s">
        <v>76</v>
      </c>
      <c r="J5738" t="s">
        <v>82</v>
      </c>
      <c r="K5738">
        <v>362.80229500000002</v>
      </c>
    </row>
    <row r="5739" spans="1:11" x14ac:dyDescent="0.3">
      <c r="A5739" t="s">
        <v>85</v>
      </c>
      <c r="B5739">
        <v>1001</v>
      </c>
      <c r="C5739" t="s">
        <v>86</v>
      </c>
      <c r="D5739">
        <v>3.0327599999999998E-3</v>
      </c>
      <c r="E5739" t="s">
        <v>74</v>
      </c>
      <c r="F5739">
        <v>3.0327600000000001</v>
      </c>
      <c r="G5739" t="s">
        <v>75</v>
      </c>
      <c r="H5739">
        <v>3032.7629999999999</v>
      </c>
      <c r="I5739" t="s">
        <v>76</v>
      </c>
      <c r="J5739" t="s">
        <v>82</v>
      </c>
      <c r="K5739">
        <v>329.73236059999999</v>
      </c>
    </row>
    <row r="5741" spans="1:11" x14ac:dyDescent="0.3">
      <c r="A5741" t="s">
        <v>66</v>
      </c>
    </row>
    <row r="5743" spans="1:11" x14ac:dyDescent="0.3">
      <c r="A5743" t="s">
        <v>354</v>
      </c>
    </row>
    <row r="5744" spans="1:11" x14ac:dyDescent="0.3">
      <c r="A5744" t="s">
        <v>68</v>
      </c>
    </row>
    <row r="5745" spans="1:1" x14ac:dyDescent="0.3">
      <c r="A5745" t="s">
        <v>69</v>
      </c>
    </row>
    <row r="5746" spans="1:1" x14ac:dyDescent="0.3">
      <c r="A5746" t="s">
        <v>70</v>
      </c>
    </row>
    <row r="5747" spans="1:1" x14ac:dyDescent="0.3">
      <c r="A5747" t="s">
        <v>115</v>
      </c>
    </row>
    <row r="5748" spans="1:1" x14ac:dyDescent="0.3">
      <c r="A5748" t="s">
        <v>266</v>
      </c>
    </row>
    <row r="5749" spans="1:1" x14ac:dyDescent="0.3">
      <c r="A5749" t="s">
        <v>267</v>
      </c>
    </row>
    <row r="5750" spans="1:1" x14ac:dyDescent="0.3">
      <c r="A5750" t="s">
        <v>118</v>
      </c>
    </row>
    <row r="5751" spans="1:1" x14ac:dyDescent="0.3">
      <c r="A5751" t="s">
        <v>119</v>
      </c>
    </row>
    <row r="5752" spans="1:1" x14ac:dyDescent="0.3">
      <c r="A5752" t="s">
        <v>268</v>
      </c>
    </row>
    <row r="5753" spans="1:1" x14ac:dyDescent="0.3">
      <c r="A5753" t="s">
        <v>269</v>
      </c>
    </row>
    <row r="5754" spans="1:1" x14ac:dyDescent="0.3">
      <c r="A5754" t="s">
        <v>122</v>
      </c>
    </row>
    <row r="5755" spans="1:1" x14ac:dyDescent="0.3">
      <c r="A5755" t="s">
        <v>270</v>
      </c>
    </row>
    <row r="5756" spans="1:1" x14ac:dyDescent="0.3">
      <c r="A5756" t="s">
        <v>271</v>
      </c>
    </row>
    <row r="5757" spans="1:1" x14ac:dyDescent="0.3">
      <c r="A5757" t="s">
        <v>125</v>
      </c>
    </row>
    <row r="5758" spans="1:1" x14ac:dyDescent="0.3">
      <c r="A5758" t="s">
        <v>126</v>
      </c>
    </row>
    <row r="5759" spans="1:1" x14ac:dyDescent="0.3">
      <c r="A5759" t="s">
        <v>127</v>
      </c>
    </row>
    <row r="5760" spans="1:1" x14ac:dyDescent="0.3">
      <c r="A5760" t="s">
        <v>199</v>
      </c>
    </row>
    <row r="5761" spans="1:11" x14ac:dyDescent="0.3">
      <c r="A5761" t="s">
        <v>323</v>
      </c>
    </row>
    <row r="5762" spans="1:11" x14ac:dyDescent="0.3">
      <c r="A5762" t="s">
        <v>72</v>
      </c>
      <c r="B5762">
        <v>1</v>
      </c>
      <c r="C5762" t="s">
        <v>73</v>
      </c>
      <c r="D5762">
        <v>3.7000000000000002E-6</v>
      </c>
      <c r="E5762" t="s">
        <v>74</v>
      </c>
      <c r="F5762">
        <v>3.7000000000000002E-3</v>
      </c>
      <c r="G5762" t="s">
        <v>75</v>
      </c>
      <c r="H5762">
        <v>3.7</v>
      </c>
      <c r="I5762" t="s">
        <v>76</v>
      </c>
      <c r="J5762" t="s">
        <v>77</v>
      </c>
    </row>
    <row r="5763" spans="1:11" x14ac:dyDescent="0.3">
      <c r="A5763" t="s">
        <v>72</v>
      </c>
      <c r="B5763">
        <v>1</v>
      </c>
      <c r="C5763" t="s">
        <v>78</v>
      </c>
      <c r="D5763">
        <v>0.13415830000000001</v>
      </c>
      <c r="E5763" t="s">
        <v>74</v>
      </c>
      <c r="F5763">
        <v>134.1583</v>
      </c>
      <c r="G5763" t="s">
        <v>75</v>
      </c>
      <c r="H5763">
        <v>134158.29800000001</v>
      </c>
      <c r="I5763" t="s">
        <v>76</v>
      </c>
      <c r="J5763" t="s">
        <v>77</v>
      </c>
    </row>
    <row r="5764" spans="1:11" x14ac:dyDescent="0.3">
      <c r="A5764" t="s">
        <v>72</v>
      </c>
      <c r="B5764">
        <v>1</v>
      </c>
      <c r="C5764" t="s">
        <v>79</v>
      </c>
      <c r="D5764">
        <v>0.13418079999999999</v>
      </c>
      <c r="E5764" t="s">
        <v>74</v>
      </c>
      <c r="F5764">
        <v>134.1808</v>
      </c>
      <c r="G5764" t="s">
        <v>75</v>
      </c>
      <c r="H5764">
        <v>134180.799</v>
      </c>
      <c r="I5764" t="s">
        <v>76</v>
      </c>
      <c r="J5764" t="s">
        <v>77</v>
      </c>
    </row>
    <row r="5765" spans="1:11" x14ac:dyDescent="0.3">
      <c r="A5765" t="s">
        <v>72</v>
      </c>
      <c r="B5765">
        <v>1</v>
      </c>
      <c r="C5765" t="s">
        <v>94</v>
      </c>
      <c r="D5765">
        <v>1.7436500000000001E-2</v>
      </c>
      <c r="E5765" t="s">
        <v>74</v>
      </c>
      <c r="F5765">
        <v>17.436499999999999</v>
      </c>
      <c r="G5765" t="s">
        <v>75</v>
      </c>
      <c r="H5765">
        <v>17436.501</v>
      </c>
      <c r="I5765" t="s">
        <v>76</v>
      </c>
      <c r="J5765" t="s">
        <v>77</v>
      </c>
    </row>
    <row r="5766" spans="1:11" x14ac:dyDescent="0.3">
      <c r="A5766" t="s">
        <v>72</v>
      </c>
      <c r="B5766">
        <v>1</v>
      </c>
      <c r="C5766" t="s">
        <v>80</v>
      </c>
      <c r="D5766">
        <v>1.7439300000000001E-2</v>
      </c>
      <c r="E5766" t="s">
        <v>74</v>
      </c>
      <c r="F5766">
        <v>17.439299999999999</v>
      </c>
      <c r="G5766" t="s">
        <v>75</v>
      </c>
      <c r="H5766">
        <v>17439.3</v>
      </c>
      <c r="I5766" t="s">
        <v>76</v>
      </c>
      <c r="J5766" t="s">
        <v>77</v>
      </c>
    </row>
    <row r="5767" spans="1:11" x14ac:dyDescent="0.3">
      <c r="A5767" t="s">
        <v>72</v>
      </c>
      <c r="B5767">
        <v>1</v>
      </c>
      <c r="C5767" t="s">
        <v>81</v>
      </c>
      <c r="D5767">
        <v>0.15162249999999999</v>
      </c>
      <c r="E5767" t="s">
        <v>74</v>
      </c>
      <c r="F5767">
        <v>151.6225</v>
      </c>
      <c r="G5767" t="s">
        <v>75</v>
      </c>
      <c r="H5767">
        <v>151622.50399999999</v>
      </c>
      <c r="I5767" t="s">
        <v>76</v>
      </c>
      <c r="J5767" t="s">
        <v>82</v>
      </c>
      <c r="K5767">
        <v>6.5953270000000002</v>
      </c>
    </row>
    <row r="5768" spans="1:11" x14ac:dyDescent="0.3">
      <c r="A5768" t="s">
        <v>83</v>
      </c>
      <c r="B5768">
        <v>1000</v>
      </c>
      <c r="C5768" t="s">
        <v>79</v>
      </c>
      <c r="D5768">
        <v>2.2999999999999999E-7</v>
      </c>
      <c r="E5768" t="s">
        <v>74</v>
      </c>
      <c r="F5768">
        <v>2.3000000000000001E-4</v>
      </c>
      <c r="G5768" t="s">
        <v>75</v>
      </c>
      <c r="H5768">
        <v>0.22700000000000001</v>
      </c>
      <c r="I5768" t="s">
        <v>76</v>
      </c>
      <c r="J5768" t="s">
        <v>77</v>
      </c>
    </row>
    <row r="5769" spans="1:11" x14ac:dyDescent="0.3">
      <c r="A5769" t="s">
        <v>83</v>
      </c>
      <c r="B5769">
        <v>1000</v>
      </c>
      <c r="C5769" t="s">
        <v>94</v>
      </c>
      <c r="D5769">
        <v>1.7883860000000001E-2</v>
      </c>
      <c r="E5769" t="s">
        <v>74</v>
      </c>
      <c r="F5769">
        <v>17.883859999999999</v>
      </c>
      <c r="G5769" t="s">
        <v>75</v>
      </c>
      <c r="H5769">
        <v>17883.863000000001</v>
      </c>
      <c r="I5769" t="s">
        <v>76</v>
      </c>
      <c r="J5769" t="s">
        <v>77</v>
      </c>
    </row>
    <row r="5770" spans="1:11" x14ac:dyDescent="0.3">
      <c r="A5770" t="s">
        <v>83</v>
      </c>
      <c r="B5770">
        <v>1000</v>
      </c>
      <c r="C5770" t="s">
        <v>80</v>
      </c>
      <c r="D5770">
        <v>1.788418E-2</v>
      </c>
      <c r="E5770" t="s">
        <v>74</v>
      </c>
      <c r="F5770">
        <v>17.884180000000001</v>
      </c>
      <c r="G5770" t="s">
        <v>75</v>
      </c>
      <c r="H5770">
        <v>17884.175999999999</v>
      </c>
      <c r="I5770" t="s">
        <v>76</v>
      </c>
      <c r="J5770" t="s">
        <v>77</v>
      </c>
    </row>
    <row r="5771" spans="1:11" x14ac:dyDescent="0.3">
      <c r="A5771" t="s">
        <v>83</v>
      </c>
      <c r="B5771">
        <v>1000</v>
      </c>
      <c r="C5771" t="s">
        <v>81</v>
      </c>
      <c r="D5771">
        <v>1.788505E-2</v>
      </c>
      <c r="E5771" t="s">
        <v>74</v>
      </c>
      <c r="F5771">
        <v>17.88505</v>
      </c>
      <c r="G5771" t="s">
        <v>75</v>
      </c>
      <c r="H5771">
        <v>17885.052</v>
      </c>
      <c r="I5771" t="s">
        <v>76</v>
      </c>
      <c r="J5771" t="s">
        <v>82</v>
      </c>
      <c r="K5771">
        <v>55.912614400000002</v>
      </c>
    </row>
    <row r="5772" spans="1:11" x14ac:dyDescent="0.3">
      <c r="A5772" t="s">
        <v>84</v>
      </c>
      <c r="B5772">
        <v>1001</v>
      </c>
      <c r="C5772" t="s">
        <v>79</v>
      </c>
      <c r="D5772">
        <v>1.3427E-4</v>
      </c>
      <c r="E5772" t="s">
        <v>74</v>
      </c>
      <c r="F5772">
        <v>0.13427</v>
      </c>
      <c r="G5772" t="s">
        <v>75</v>
      </c>
      <c r="H5772">
        <v>134.27099999999999</v>
      </c>
      <c r="I5772" t="s">
        <v>76</v>
      </c>
      <c r="J5772" t="s">
        <v>77</v>
      </c>
    </row>
    <row r="5773" spans="1:11" x14ac:dyDescent="0.3">
      <c r="A5773" t="s">
        <v>84</v>
      </c>
      <c r="B5773">
        <v>1001</v>
      </c>
      <c r="C5773" t="s">
        <v>94</v>
      </c>
      <c r="D5773">
        <v>1.7883420000000001E-2</v>
      </c>
      <c r="E5773" t="s">
        <v>74</v>
      </c>
      <c r="F5773">
        <v>17.883420000000001</v>
      </c>
      <c r="G5773" t="s">
        <v>75</v>
      </c>
      <c r="H5773">
        <v>17883.417000000001</v>
      </c>
      <c r="I5773" t="s">
        <v>76</v>
      </c>
      <c r="J5773" t="s">
        <v>77</v>
      </c>
    </row>
    <row r="5774" spans="1:11" x14ac:dyDescent="0.3">
      <c r="A5774" t="s">
        <v>84</v>
      </c>
      <c r="B5774">
        <v>1001</v>
      </c>
      <c r="C5774" t="s">
        <v>80</v>
      </c>
      <c r="D5774">
        <v>1.788373E-2</v>
      </c>
      <c r="E5774" t="s">
        <v>74</v>
      </c>
      <c r="F5774">
        <v>17.88373</v>
      </c>
      <c r="G5774" t="s">
        <v>75</v>
      </c>
      <c r="H5774">
        <v>17883.731</v>
      </c>
      <c r="I5774" t="s">
        <v>76</v>
      </c>
      <c r="J5774" t="s">
        <v>77</v>
      </c>
    </row>
    <row r="5775" spans="1:11" x14ac:dyDescent="0.3">
      <c r="A5775" t="s">
        <v>84</v>
      </c>
      <c r="B5775">
        <v>1001</v>
      </c>
      <c r="C5775" t="s">
        <v>81</v>
      </c>
      <c r="D5775">
        <v>1.8018650000000001E-2</v>
      </c>
      <c r="E5775" t="s">
        <v>74</v>
      </c>
      <c r="F5775">
        <v>18.018650000000001</v>
      </c>
      <c r="G5775" t="s">
        <v>75</v>
      </c>
      <c r="H5775">
        <v>18018.651999999998</v>
      </c>
      <c r="I5775" t="s">
        <v>76</v>
      </c>
      <c r="J5775" t="s">
        <v>82</v>
      </c>
      <c r="K5775">
        <v>55.498047100000001</v>
      </c>
    </row>
    <row r="5776" spans="1:11" x14ac:dyDescent="0.3">
      <c r="A5776" t="s">
        <v>85</v>
      </c>
      <c r="B5776">
        <v>1001</v>
      </c>
      <c r="C5776" t="s">
        <v>86</v>
      </c>
      <c r="D5776">
        <v>1.8019E-2</v>
      </c>
      <c r="E5776" t="s">
        <v>74</v>
      </c>
      <c r="F5776">
        <v>18.018999999999998</v>
      </c>
      <c r="G5776" t="s">
        <v>75</v>
      </c>
      <c r="H5776">
        <v>18018.996999999999</v>
      </c>
      <c r="I5776" t="s">
        <v>76</v>
      </c>
      <c r="J5776" t="s">
        <v>82</v>
      </c>
      <c r="K5776">
        <v>55.496984900000001</v>
      </c>
    </row>
    <row r="5777" spans="1:11" x14ac:dyDescent="0.3">
      <c r="A5777" t="s">
        <v>201</v>
      </c>
    </row>
    <row r="5778" spans="1:11" x14ac:dyDescent="0.3">
      <c r="A5778" t="s">
        <v>324</v>
      </c>
    </row>
    <row r="5779" spans="1:11" x14ac:dyDescent="0.3">
      <c r="A5779" t="s">
        <v>72</v>
      </c>
      <c r="B5779">
        <v>1</v>
      </c>
      <c r="C5779" t="s">
        <v>73</v>
      </c>
      <c r="D5779">
        <v>3.7000000000000002E-6</v>
      </c>
      <c r="E5779" t="s">
        <v>74</v>
      </c>
      <c r="F5779">
        <v>3.7000000000000002E-3</v>
      </c>
      <c r="G5779" t="s">
        <v>75</v>
      </c>
      <c r="H5779">
        <v>3.7</v>
      </c>
      <c r="I5779" t="s">
        <v>76</v>
      </c>
      <c r="J5779" t="s">
        <v>77</v>
      </c>
    </row>
    <row r="5780" spans="1:11" x14ac:dyDescent="0.3">
      <c r="A5780" t="s">
        <v>72</v>
      </c>
      <c r="B5780">
        <v>1</v>
      </c>
      <c r="C5780" t="s">
        <v>78</v>
      </c>
      <c r="D5780">
        <v>1.0499999999999999E-3</v>
      </c>
      <c r="E5780" t="s">
        <v>74</v>
      </c>
      <c r="F5780">
        <v>1.05</v>
      </c>
      <c r="G5780" t="s">
        <v>75</v>
      </c>
      <c r="H5780">
        <v>1050</v>
      </c>
      <c r="I5780" t="s">
        <v>76</v>
      </c>
      <c r="J5780" t="s">
        <v>77</v>
      </c>
    </row>
    <row r="5781" spans="1:11" x14ac:dyDescent="0.3">
      <c r="A5781" t="s">
        <v>72</v>
      </c>
      <c r="B5781">
        <v>1</v>
      </c>
      <c r="C5781" t="s">
        <v>79</v>
      </c>
      <c r="D5781">
        <v>8.7764999999999996E-3</v>
      </c>
      <c r="E5781" t="s">
        <v>74</v>
      </c>
      <c r="F5781">
        <v>8.7765000000000004</v>
      </c>
      <c r="G5781" t="s">
        <v>75</v>
      </c>
      <c r="H5781">
        <v>8776.5</v>
      </c>
      <c r="I5781" t="s">
        <v>76</v>
      </c>
      <c r="J5781" t="s">
        <v>77</v>
      </c>
    </row>
    <row r="5782" spans="1:11" x14ac:dyDescent="0.3">
      <c r="A5782" t="s">
        <v>72</v>
      </c>
      <c r="B5782">
        <v>1</v>
      </c>
      <c r="C5782" t="s">
        <v>94</v>
      </c>
      <c r="D5782">
        <v>0.1109068</v>
      </c>
      <c r="E5782" t="s">
        <v>74</v>
      </c>
      <c r="F5782">
        <v>110.9068</v>
      </c>
      <c r="G5782" t="s">
        <v>75</v>
      </c>
      <c r="H5782">
        <v>110906.802</v>
      </c>
      <c r="I5782" t="s">
        <v>76</v>
      </c>
      <c r="J5782" t="s">
        <v>77</v>
      </c>
    </row>
    <row r="5783" spans="1:11" x14ac:dyDescent="0.3">
      <c r="A5783" t="s">
        <v>72</v>
      </c>
      <c r="B5783">
        <v>1</v>
      </c>
      <c r="C5783" t="s">
        <v>80</v>
      </c>
      <c r="D5783">
        <v>0.1109073</v>
      </c>
      <c r="E5783" t="s">
        <v>74</v>
      </c>
      <c r="F5783">
        <v>110.90730000000001</v>
      </c>
      <c r="G5783" t="s">
        <v>75</v>
      </c>
      <c r="H5783">
        <v>110907.30100000001</v>
      </c>
      <c r="I5783" t="s">
        <v>76</v>
      </c>
      <c r="J5783" t="s">
        <v>77</v>
      </c>
    </row>
    <row r="5784" spans="1:11" x14ac:dyDescent="0.3">
      <c r="A5784" t="s">
        <v>72</v>
      </c>
      <c r="B5784">
        <v>1</v>
      </c>
      <c r="C5784" t="s">
        <v>81</v>
      </c>
      <c r="D5784">
        <v>0.1196849</v>
      </c>
      <c r="E5784" t="s">
        <v>74</v>
      </c>
      <c r="F5784">
        <v>119.6849</v>
      </c>
      <c r="G5784" t="s">
        <v>75</v>
      </c>
      <c r="H5784">
        <v>119684.897</v>
      </c>
      <c r="I5784" t="s">
        <v>76</v>
      </c>
      <c r="J5784" t="s">
        <v>82</v>
      </c>
      <c r="K5784">
        <v>8.3552730999999998</v>
      </c>
    </row>
    <row r="5785" spans="1:11" x14ac:dyDescent="0.3">
      <c r="A5785" t="s">
        <v>83</v>
      </c>
      <c r="B5785">
        <v>1000</v>
      </c>
      <c r="C5785" t="s">
        <v>79</v>
      </c>
      <c r="D5785">
        <v>6.5000000000000002E-7</v>
      </c>
      <c r="E5785" t="s">
        <v>74</v>
      </c>
      <c r="F5785">
        <v>6.4999999999999997E-4</v>
      </c>
      <c r="G5785" t="s">
        <v>75</v>
      </c>
      <c r="H5785">
        <v>0.64900000000000002</v>
      </c>
      <c r="I5785" t="s">
        <v>76</v>
      </c>
      <c r="J5785" t="s">
        <v>77</v>
      </c>
    </row>
    <row r="5786" spans="1:11" x14ac:dyDescent="0.3">
      <c r="A5786" t="s">
        <v>83</v>
      </c>
      <c r="B5786">
        <v>1000</v>
      </c>
      <c r="C5786" t="s">
        <v>94</v>
      </c>
      <c r="D5786">
        <v>2.5878330000000001E-2</v>
      </c>
      <c r="E5786" t="s">
        <v>74</v>
      </c>
      <c r="F5786">
        <v>25.878329999999998</v>
      </c>
      <c r="G5786" t="s">
        <v>75</v>
      </c>
      <c r="H5786">
        <v>25878.333999999999</v>
      </c>
      <c r="I5786" t="s">
        <v>76</v>
      </c>
      <c r="J5786" t="s">
        <v>77</v>
      </c>
    </row>
    <row r="5787" spans="1:11" x14ac:dyDescent="0.3">
      <c r="A5787" t="s">
        <v>83</v>
      </c>
      <c r="B5787">
        <v>1000</v>
      </c>
      <c r="C5787" t="s">
        <v>80</v>
      </c>
      <c r="D5787">
        <v>2.6118300000000001E-2</v>
      </c>
      <c r="E5787" t="s">
        <v>74</v>
      </c>
      <c r="F5787">
        <v>26.118300000000001</v>
      </c>
      <c r="G5787" t="s">
        <v>75</v>
      </c>
      <c r="H5787">
        <v>26118.295999999998</v>
      </c>
      <c r="I5787" t="s">
        <v>76</v>
      </c>
      <c r="J5787" t="s">
        <v>77</v>
      </c>
    </row>
    <row r="5788" spans="1:11" x14ac:dyDescent="0.3">
      <c r="A5788" t="s">
        <v>83</v>
      </c>
      <c r="B5788">
        <v>1000</v>
      </c>
      <c r="C5788" t="s">
        <v>81</v>
      </c>
      <c r="D5788">
        <v>2.6123360000000002E-2</v>
      </c>
      <c r="E5788" t="s">
        <v>74</v>
      </c>
      <c r="F5788">
        <v>26.123360000000002</v>
      </c>
      <c r="G5788" t="s">
        <v>75</v>
      </c>
      <c r="H5788">
        <v>26123.356</v>
      </c>
      <c r="I5788" t="s">
        <v>76</v>
      </c>
      <c r="J5788" t="s">
        <v>82</v>
      </c>
      <c r="K5788">
        <v>38.279921000000002</v>
      </c>
    </row>
    <row r="5789" spans="1:11" x14ac:dyDescent="0.3">
      <c r="A5789" t="s">
        <v>84</v>
      </c>
      <c r="B5789">
        <v>1001</v>
      </c>
      <c r="C5789" t="s">
        <v>79</v>
      </c>
      <c r="D5789">
        <v>9.4199999999999996E-6</v>
      </c>
      <c r="E5789" t="s">
        <v>74</v>
      </c>
      <c r="F5789">
        <v>9.4199999999999996E-3</v>
      </c>
      <c r="G5789" t="s">
        <v>75</v>
      </c>
      <c r="H5789">
        <v>9.4160000000000004</v>
      </c>
      <c r="I5789" t="s">
        <v>76</v>
      </c>
      <c r="J5789" t="s">
        <v>77</v>
      </c>
    </row>
    <row r="5790" spans="1:11" x14ac:dyDescent="0.3">
      <c r="A5790" t="s">
        <v>84</v>
      </c>
      <c r="B5790">
        <v>1001</v>
      </c>
      <c r="C5790" t="s">
        <v>94</v>
      </c>
      <c r="D5790">
        <v>2.5963279999999998E-2</v>
      </c>
      <c r="E5790" t="s">
        <v>74</v>
      </c>
      <c r="F5790">
        <v>25.963280000000001</v>
      </c>
      <c r="G5790" t="s">
        <v>75</v>
      </c>
      <c r="H5790">
        <v>25963.275000000001</v>
      </c>
      <c r="I5790" t="s">
        <v>76</v>
      </c>
      <c r="J5790" t="s">
        <v>77</v>
      </c>
    </row>
    <row r="5791" spans="1:11" x14ac:dyDescent="0.3">
      <c r="A5791" t="s">
        <v>84</v>
      </c>
      <c r="B5791">
        <v>1001</v>
      </c>
      <c r="C5791" t="s">
        <v>80</v>
      </c>
      <c r="D5791">
        <v>2.6203000000000001E-2</v>
      </c>
      <c r="E5791" t="s">
        <v>74</v>
      </c>
      <c r="F5791">
        <v>26.202999999999999</v>
      </c>
      <c r="G5791" t="s">
        <v>75</v>
      </c>
      <c r="H5791">
        <v>26203.003000000001</v>
      </c>
      <c r="I5791" t="s">
        <v>76</v>
      </c>
      <c r="J5791" t="s">
        <v>77</v>
      </c>
    </row>
    <row r="5792" spans="1:11" x14ac:dyDescent="0.3">
      <c r="A5792" t="s">
        <v>84</v>
      </c>
      <c r="B5792">
        <v>1001</v>
      </c>
      <c r="C5792" t="s">
        <v>81</v>
      </c>
      <c r="D5792">
        <v>2.6216819999999998E-2</v>
      </c>
      <c r="E5792" t="s">
        <v>74</v>
      </c>
      <c r="F5792">
        <v>26.216819999999998</v>
      </c>
      <c r="G5792" t="s">
        <v>75</v>
      </c>
      <c r="H5792">
        <v>26216.821</v>
      </c>
      <c r="I5792" t="s">
        <v>76</v>
      </c>
      <c r="J5792" t="s">
        <v>82</v>
      </c>
      <c r="K5792">
        <v>38.143449400000002</v>
      </c>
    </row>
    <row r="5793" spans="1:11" x14ac:dyDescent="0.3">
      <c r="A5793" t="s">
        <v>85</v>
      </c>
      <c r="B5793">
        <v>1001</v>
      </c>
      <c r="C5793" t="s">
        <v>86</v>
      </c>
      <c r="D5793">
        <v>2.6217580000000001E-2</v>
      </c>
      <c r="E5793" t="s">
        <v>74</v>
      </c>
      <c r="F5793">
        <v>26.217580000000002</v>
      </c>
      <c r="G5793" t="s">
        <v>75</v>
      </c>
      <c r="H5793">
        <v>26217.581999999999</v>
      </c>
      <c r="I5793" t="s">
        <v>76</v>
      </c>
      <c r="J5793" t="s">
        <v>82</v>
      </c>
      <c r="K5793">
        <v>38.1423433</v>
      </c>
    </row>
    <row r="5794" spans="1:11" x14ac:dyDescent="0.3">
      <c r="A5794" t="s">
        <v>115</v>
      </c>
    </row>
    <row r="5795" spans="1:11" x14ac:dyDescent="0.3">
      <c r="A5795" t="s">
        <v>127</v>
      </c>
    </row>
    <row r="5796" spans="1:11" x14ac:dyDescent="0.3">
      <c r="A5796" t="s">
        <v>87</v>
      </c>
    </row>
    <row r="5797" spans="1:11" x14ac:dyDescent="0.3">
      <c r="A5797" t="s">
        <v>325</v>
      </c>
    </row>
    <row r="5798" spans="1:11" x14ac:dyDescent="0.3">
      <c r="A5798" t="s">
        <v>72</v>
      </c>
      <c r="B5798">
        <v>1</v>
      </c>
      <c r="C5798" t="s">
        <v>81</v>
      </c>
      <c r="D5798">
        <v>0.15162249999999999</v>
      </c>
      <c r="E5798" t="s">
        <v>74</v>
      </c>
      <c r="F5798">
        <v>151.6225</v>
      </c>
      <c r="G5798" t="s">
        <v>75</v>
      </c>
      <c r="H5798">
        <v>151622.50399999999</v>
      </c>
      <c r="I5798" t="s">
        <v>76</v>
      </c>
      <c r="J5798" t="s">
        <v>82</v>
      </c>
      <c r="K5798">
        <v>6.5953270000000002</v>
      </c>
    </row>
    <row r="5799" spans="1:11" x14ac:dyDescent="0.3">
      <c r="A5799" t="s">
        <v>83</v>
      </c>
      <c r="B5799">
        <v>1000</v>
      </c>
      <c r="C5799" t="s">
        <v>81</v>
      </c>
      <c r="D5799">
        <v>1.788505E-2</v>
      </c>
      <c r="E5799" t="s">
        <v>74</v>
      </c>
      <c r="F5799">
        <v>17.88505</v>
      </c>
      <c r="G5799" t="s">
        <v>75</v>
      </c>
      <c r="H5799">
        <v>17885.052</v>
      </c>
      <c r="I5799" t="s">
        <v>76</v>
      </c>
      <c r="J5799" t="s">
        <v>82</v>
      </c>
      <c r="K5799">
        <v>55.912614400000002</v>
      </c>
    </row>
    <row r="5800" spans="1:11" x14ac:dyDescent="0.3">
      <c r="A5800" t="s">
        <v>85</v>
      </c>
      <c r="B5800">
        <v>1001</v>
      </c>
      <c r="C5800" t="s">
        <v>86</v>
      </c>
      <c r="D5800">
        <v>1.8019E-2</v>
      </c>
      <c r="E5800" t="s">
        <v>74</v>
      </c>
      <c r="F5800">
        <v>18.018999999999998</v>
      </c>
      <c r="G5800" t="s">
        <v>75</v>
      </c>
      <c r="H5800">
        <v>18018.996999999999</v>
      </c>
      <c r="I5800" t="s">
        <v>76</v>
      </c>
      <c r="J5800" t="s">
        <v>82</v>
      </c>
      <c r="K5800">
        <v>55.496984900000001</v>
      </c>
    </row>
    <row r="5802" spans="1:11" x14ac:dyDescent="0.3">
      <c r="A5802" t="s">
        <v>326</v>
      </c>
    </row>
    <row r="5803" spans="1:11" x14ac:dyDescent="0.3">
      <c r="A5803" t="s">
        <v>72</v>
      </c>
      <c r="B5803">
        <v>1</v>
      </c>
      <c r="C5803" t="s">
        <v>81</v>
      </c>
      <c r="D5803">
        <v>0.1196849</v>
      </c>
      <c r="E5803" t="s">
        <v>74</v>
      </c>
      <c r="F5803">
        <v>119.6849</v>
      </c>
      <c r="G5803" t="s">
        <v>75</v>
      </c>
      <c r="H5803">
        <v>119684.897</v>
      </c>
      <c r="I5803" t="s">
        <v>76</v>
      </c>
      <c r="J5803" t="s">
        <v>82</v>
      </c>
      <c r="K5803">
        <v>8.3552730999999998</v>
      </c>
    </row>
    <row r="5804" spans="1:11" x14ac:dyDescent="0.3">
      <c r="A5804" t="s">
        <v>83</v>
      </c>
      <c r="B5804">
        <v>1000</v>
      </c>
      <c r="C5804" t="s">
        <v>81</v>
      </c>
      <c r="D5804">
        <v>2.6123360000000002E-2</v>
      </c>
      <c r="E5804" t="s">
        <v>74</v>
      </c>
      <c r="F5804">
        <v>26.123360000000002</v>
      </c>
      <c r="G5804" t="s">
        <v>75</v>
      </c>
      <c r="H5804">
        <v>26123.356</v>
      </c>
      <c r="I5804" t="s">
        <v>76</v>
      </c>
      <c r="J5804" t="s">
        <v>82</v>
      </c>
      <c r="K5804">
        <v>38.279921000000002</v>
      </c>
    </row>
    <row r="5805" spans="1:11" x14ac:dyDescent="0.3">
      <c r="A5805" t="s">
        <v>85</v>
      </c>
      <c r="B5805">
        <v>1001</v>
      </c>
      <c r="C5805" t="s">
        <v>86</v>
      </c>
      <c r="D5805">
        <v>2.6217580000000001E-2</v>
      </c>
      <c r="E5805" t="s">
        <v>74</v>
      </c>
      <c r="F5805">
        <v>26.217580000000002</v>
      </c>
      <c r="G5805" t="s">
        <v>75</v>
      </c>
      <c r="H5805">
        <v>26217.581999999999</v>
      </c>
      <c r="I5805" t="s">
        <v>76</v>
      </c>
      <c r="J5805" t="s">
        <v>82</v>
      </c>
      <c r="K5805">
        <v>38.1423433</v>
      </c>
    </row>
    <row r="5807" spans="1:11" x14ac:dyDescent="0.3">
      <c r="A5807" t="s">
        <v>66</v>
      </c>
    </row>
    <row r="5809" spans="1:1" x14ac:dyDescent="0.3">
      <c r="A5809" t="s">
        <v>355</v>
      </c>
    </row>
    <row r="5810" spans="1:1" x14ac:dyDescent="0.3">
      <c r="A5810" t="s">
        <v>68</v>
      </c>
    </row>
    <row r="5811" spans="1:1" x14ac:dyDescent="0.3">
      <c r="A5811" t="s">
        <v>69</v>
      </c>
    </row>
    <row r="5812" spans="1:1" x14ac:dyDescent="0.3">
      <c r="A5812" t="s">
        <v>70</v>
      </c>
    </row>
    <row r="5813" spans="1:1" x14ac:dyDescent="0.3">
      <c r="A5813" t="s">
        <v>115</v>
      </c>
    </row>
    <row r="5814" spans="1:1" x14ac:dyDescent="0.3">
      <c r="A5814" t="s">
        <v>266</v>
      </c>
    </row>
    <row r="5815" spans="1:1" x14ac:dyDescent="0.3">
      <c r="A5815" t="s">
        <v>267</v>
      </c>
    </row>
    <row r="5816" spans="1:1" x14ac:dyDescent="0.3">
      <c r="A5816" t="s">
        <v>118</v>
      </c>
    </row>
    <row r="5817" spans="1:1" x14ac:dyDescent="0.3">
      <c r="A5817" t="s">
        <v>119</v>
      </c>
    </row>
    <row r="5818" spans="1:1" x14ac:dyDescent="0.3">
      <c r="A5818" t="s">
        <v>268</v>
      </c>
    </row>
    <row r="5819" spans="1:1" x14ac:dyDescent="0.3">
      <c r="A5819" t="s">
        <v>269</v>
      </c>
    </row>
    <row r="5820" spans="1:1" x14ac:dyDescent="0.3">
      <c r="A5820" t="s">
        <v>122</v>
      </c>
    </row>
    <row r="5821" spans="1:1" x14ac:dyDescent="0.3">
      <c r="A5821" t="s">
        <v>270</v>
      </c>
    </row>
    <row r="5822" spans="1:1" x14ac:dyDescent="0.3">
      <c r="A5822" t="s">
        <v>271</v>
      </c>
    </row>
    <row r="5823" spans="1:1" x14ac:dyDescent="0.3">
      <c r="A5823" t="s">
        <v>125</v>
      </c>
    </row>
    <row r="5824" spans="1:1" x14ac:dyDescent="0.3">
      <c r="A5824" t="s">
        <v>126</v>
      </c>
    </row>
    <row r="5825" spans="1:11" x14ac:dyDescent="0.3">
      <c r="A5825" t="s">
        <v>127</v>
      </c>
    </row>
    <row r="5826" spans="1:11" x14ac:dyDescent="0.3">
      <c r="A5826" t="s">
        <v>206</v>
      </c>
    </row>
    <row r="5827" spans="1:11" x14ac:dyDescent="0.3">
      <c r="A5827" t="s">
        <v>328</v>
      </c>
    </row>
    <row r="5828" spans="1:11" x14ac:dyDescent="0.3">
      <c r="A5828" t="s">
        <v>72</v>
      </c>
      <c r="B5828">
        <v>1</v>
      </c>
      <c r="C5828" t="s">
        <v>73</v>
      </c>
      <c r="D5828">
        <v>3.5999999999999998E-6</v>
      </c>
      <c r="E5828" t="s">
        <v>74</v>
      </c>
      <c r="F5828">
        <v>3.5999999999999999E-3</v>
      </c>
      <c r="G5828" t="s">
        <v>75</v>
      </c>
      <c r="H5828">
        <v>3.6</v>
      </c>
      <c r="I5828" t="s">
        <v>76</v>
      </c>
      <c r="J5828" t="s">
        <v>77</v>
      </c>
    </row>
    <row r="5829" spans="1:11" x14ac:dyDescent="0.3">
      <c r="A5829" t="s">
        <v>72</v>
      </c>
      <c r="B5829">
        <v>1</v>
      </c>
      <c r="C5829" t="s">
        <v>78</v>
      </c>
      <c r="D5829">
        <v>0.13785741000000001</v>
      </c>
      <c r="E5829" t="s">
        <v>74</v>
      </c>
      <c r="F5829">
        <v>137.85740999999999</v>
      </c>
      <c r="G5829" t="s">
        <v>75</v>
      </c>
      <c r="H5829">
        <v>137857.40700000001</v>
      </c>
      <c r="I5829" t="s">
        <v>76</v>
      </c>
      <c r="J5829" t="s">
        <v>77</v>
      </c>
    </row>
    <row r="5830" spans="1:11" x14ac:dyDescent="0.3">
      <c r="A5830" t="s">
        <v>72</v>
      </c>
      <c r="B5830">
        <v>1</v>
      </c>
      <c r="C5830" t="s">
        <v>79</v>
      </c>
      <c r="D5830">
        <v>0.43914351000000001</v>
      </c>
      <c r="E5830" t="s">
        <v>74</v>
      </c>
      <c r="F5830">
        <v>439.14350999999999</v>
      </c>
      <c r="G5830" t="s">
        <v>75</v>
      </c>
      <c r="H5830">
        <v>439143.50900000002</v>
      </c>
      <c r="I5830" t="s">
        <v>76</v>
      </c>
      <c r="J5830" t="s">
        <v>77</v>
      </c>
    </row>
    <row r="5831" spans="1:11" x14ac:dyDescent="0.3">
      <c r="A5831" t="s">
        <v>72</v>
      </c>
      <c r="B5831">
        <v>1</v>
      </c>
      <c r="C5831" t="s">
        <v>94</v>
      </c>
      <c r="D5831">
        <v>1.6553100000000001E-2</v>
      </c>
      <c r="E5831" t="s">
        <v>74</v>
      </c>
      <c r="F5831">
        <v>16.553100000000001</v>
      </c>
      <c r="G5831" t="s">
        <v>75</v>
      </c>
      <c r="H5831">
        <v>16553.099999999999</v>
      </c>
      <c r="I5831" t="s">
        <v>76</v>
      </c>
      <c r="J5831" t="s">
        <v>77</v>
      </c>
    </row>
    <row r="5832" spans="1:11" x14ac:dyDescent="0.3">
      <c r="A5832" t="s">
        <v>72</v>
      </c>
      <c r="B5832">
        <v>1</v>
      </c>
      <c r="C5832" t="s">
        <v>80</v>
      </c>
      <c r="D5832">
        <v>1.6553499999999999E-2</v>
      </c>
      <c r="E5832" t="s">
        <v>74</v>
      </c>
      <c r="F5832">
        <v>16.5535</v>
      </c>
      <c r="G5832" t="s">
        <v>75</v>
      </c>
      <c r="H5832">
        <v>16553.501</v>
      </c>
      <c r="I5832" t="s">
        <v>76</v>
      </c>
      <c r="J5832" t="s">
        <v>77</v>
      </c>
    </row>
    <row r="5833" spans="1:11" x14ac:dyDescent="0.3">
      <c r="A5833" t="s">
        <v>72</v>
      </c>
      <c r="B5833">
        <v>1</v>
      </c>
      <c r="C5833" t="s">
        <v>81</v>
      </c>
      <c r="D5833">
        <v>0.45569921000000002</v>
      </c>
      <c r="E5833" t="s">
        <v>74</v>
      </c>
      <c r="F5833">
        <v>455.69920999999999</v>
      </c>
      <c r="G5833" t="s">
        <v>75</v>
      </c>
      <c r="H5833">
        <v>455699.20500000002</v>
      </c>
      <c r="I5833" t="s">
        <v>76</v>
      </c>
      <c r="J5833" t="s">
        <v>82</v>
      </c>
      <c r="K5833">
        <v>2.1944300000000001</v>
      </c>
    </row>
    <row r="5834" spans="1:11" x14ac:dyDescent="0.3">
      <c r="A5834" t="s">
        <v>83</v>
      </c>
      <c r="B5834">
        <v>1000</v>
      </c>
      <c r="C5834" t="s">
        <v>79</v>
      </c>
      <c r="D5834">
        <v>1.8E-7</v>
      </c>
      <c r="E5834" t="s">
        <v>74</v>
      </c>
      <c r="F5834">
        <v>1.8000000000000001E-4</v>
      </c>
      <c r="G5834" t="s">
        <v>75</v>
      </c>
      <c r="H5834">
        <v>0.183</v>
      </c>
      <c r="I5834" t="s">
        <v>76</v>
      </c>
      <c r="J5834" t="s">
        <v>77</v>
      </c>
    </row>
    <row r="5835" spans="1:11" x14ac:dyDescent="0.3">
      <c r="A5835" t="s">
        <v>83</v>
      </c>
      <c r="B5835">
        <v>1000</v>
      </c>
      <c r="C5835" t="s">
        <v>94</v>
      </c>
      <c r="D5835">
        <v>1.6444029999999998E-2</v>
      </c>
      <c r="E5835" t="s">
        <v>74</v>
      </c>
      <c r="F5835">
        <v>16.444030000000001</v>
      </c>
      <c r="G5835" t="s">
        <v>75</v>
      </c>
      <c r="H5835">
        <v>16444.026999999998</v>
      </c>
      <c r="I5835" t="s">
        <v>76</v>
      </c>
      <c r="J5835" t="s">
        <v>77</v>
      </c>
    </row>
    <row r="5836" spans="1:11" x14ac:dyDescent="0.3">
      <c r="A5836" t="s">
        <v>83</v>
      </c>
      <c r="B5836">
        <v>1000</v>
      </c>
      <c r="C5836" t="s">
        <v>80</v>
      </c>
      <c r="D5836">
        <v>1.6444360000000002E-2</v>
      </c>
      <c r="E5836" t="s">
        <v>74</v>
      </c>
      <c r="F5836">
        <v>16.44436</v>
      </c>
      <c r="G5836" t="s">
        <v>75</v>
      </c>
      <c r="H5836">
        <v>16444.355</v>
      </c>
      <c r="I5836" t="s">
        <v>76</v>
      </c>
      <c r="J5836" t="s">
        <v>77</v>
      </c>
    </row>
    <row r="5837" spans="1:11" x14ac:dyDescent="0.3">
      <c r="A5837" t="s">
        <v>83</v>
      </c>
      <c r="B5837">
        <v>1000</v>
      </c>
      <c r="C5837" t="s">
        <v>81</v>
      </c>
      <c r="D5837">
        <v>1.6445319999999999E-2</v>
      </c>
      <c r="E5837" t="s">
        <v>74</v>
      </c>
      <c r="F5837">
        <v>16.445319999999999</v>
      </c>
      <c r="G5837" t="s">
        <v>75</v>
      </c>
      <c r="H5837">
        <v>16445.322</v>
      </c>
      <c r="I5837" t="s">
        <v>76</v>
      </c>
      <c r="J5837" t="s">
        <v>82</v>
      </c>
      <c r="K5837">
        <v>60.807565699999998</v>
      </c>
    </row>
    <row r="5838" spans="1:11" x14ac:dyDescent="0.3">
      <c r="A5838" t="s">
        <v>84</v>
      </c>
      <c r="B5838">
        <v>1001</v>
      </c>
      <c r="C5838" t="s">
        <v>79</v>
      </c>
      <c r="D5838">
        <v>4.3888999999999999E-4</v>
      </c>
      <c r="E5838" t="s">
        <v>74</v>
      </c>
      <c r="F5838">
        <v>0.43889</v>
      </c>
      <c r="G5838" t="s">
        <v>75</v>
      </c>
      <c r="H5838">
        <v>438.887</v>
      </c>
      <c r="I5838" t="s">
        <v>76</v>
      </c>
      <c r="J5838" t="s">
        <v>77</v>
      </c>
    </row>
    <row r="5839" spans="1:11" x14ac:dyDescent="0.3">
      <c r="A5839" t="s">
        <v>84</v>
      </c>
      <c r="B5839">
        <v>1001</v>
      </c>
      <c r="C5839" t="s">
        <v>94</v>
      </c>
      <c r="D5839">
        <v>1.6444139999999999E-2</v>
      </c>
      <c r="E5839" t="s">
        <v>74</v>
      </c>
      <c r="F5839">
        <v>16.444140000000001</v>
      </c>
      <c r="G5839" t="s">
        <v>75</v>
      </c>
      <c r="H5839">
        <v>16444.138999999999</v>
      </c>
      <c r="I5839" t="s">
        <v>76</v>
      </c>
      <c r="J5839" t="s">
        <v>77</v>
      </c>
    </row>
    <row r="5840" spans="1:11" x14ac:dyDescent="0.3">
      <c r="A5840" t="s">
        <v>84</v>
      </c>
      <c r="B5840">
        <v>1001</v>
      </c>
      <c r="C5840" t="s">
        <v>80</v>
      </c>
      <c r="D5840">
        <v>1.6444460000000001E-2</v>
      </c>
      <c r="E5840" t="s">
        <v>74</v>
      </c>
      <c r="F5840">
        <v>16.444459999999999</v>
      </c>
      <c r="G5840" t="s">
        <v>75</v>
      </c>
      <c r="H5840">
        <v>16444.464</v>
      </c>
      <c r="I5840" t="s">
        <v>76</v>
      </c>
      <c r="J5840" t="s">
        <v>77</v>
      </c>
    </row>
    <row r="5841" spans="1:11" x14ac:dyDescent="0.3">
      <c r="A5841" t="s">
        <v>84</v>
      </c>
      <c r="B5841">
        <v>1001</v>
      </c>
      <c r="C5841" t="s">
        <v>81</v>
      </c>
      <c r="D5841">
        <v>1.6884130000000001E-2</v>
      </c>
      <c r="E5841" t="s">
        <v>74</v>
      </c>
      <c r="F5841">
        <v>16.884129999999999</v>
      </c>
      <c r="G5841" t="s">
        <v>75</v>
      </c>
      <c r="H5841">
        <v>16884.133999999998</v>
      </c>
      <c r="I5841" t="s">
        <v>76</v>
      </c>
      <c r="J5841" t="s">
        <v>82</v>
      </c>
      <c r="K5841">
        <v>59.227201100000002</v>
      </c>
    </row>
    <row r="5842" spans="1:11" x14ac:dyDescent="0.3">
      <c r="A5842" t="s">
        <v>85</v>
      </c>
      <c r="B5842">
        <v>1001</v>
      </c>
      <c r="C5842" t="s">
        <v>86</v>
      </c>
      <c r="D5842">
        <v>1.6884400000000001E-2</v>
      </c>
      <c r="E5842" t="s">
        <v>74</v>
      </c>
      <c r="F5842">
        <v>16.884399999999999</v>
      </c>
      <c r="G5842" t="s">
        <v>75</v>
      </c>
      <c r="H5842">
        <v>16884.395</v>
      </c>
      <c r="I5842" t="s">
        <v>76</v>
      </c>
      <c r="J5842" t="s">
        <v>82</v>
      </c>
      <c r="K5842">
        <v>59.226285400000002</v>
      </c>
    </row>
    <row r="5843" spans="1:11" x14ac:dyDescent="0.3">
      <c r="A5843" t="s">
        <v>208</v>
      </c>
    </row>
    <row r="5844" spans="1:11" x14ac:dyDescent="0.3">
      <c r="A5844" t="s">
        <v>329</v>
      </c>
    </row>
    <row r="5845" spans="1:11" x14ac:dyDescent="0.3">
      <c r="A5845" t="s">
        <v>72</v>
      </c>
      <c r="B5845">
        <v>1</v>
      </c>
      <c r="C5845" t="s">
        <v>73</v>
      </c>
      <c r="D5845">
        <v>3.5999999999999998E-6</v>
      </c>
      <c r="E5845" t="s">
        <v>74</v>
      </c>
      <c r="F5845">
        <v>3.5999999999999999E-3</v>
      </c>
      <c r="G5845" t="s">
        <v>75</v>
      </c>
      <c r="H5845">
        <v>3.6</v>
      </c>
      <c r="I5845" t="s">
        <v>76</v>
      </c>
      <c r="J5845" t="s">
        <v>77</v>
      </c>
    </row>
    <row r="5846" spans="1:11" x14ac:dyDescent="0.3">
      <c r="A5846" t="s">
        <v>72</v>
      </c>
      <c r="B5846">
        <v>1</v>
      </c>
      <c r="C5846" t="s">
        <v>78</v>
      </c>
      <c r="D5846">
        <v>1.0828000000000001E-3</v>
      </c>
      <c r="E5846" t="s">
        <v>74</v>
      </c>
      <c r="F5846">
        <v>1.0828</v>
      </c>
      <c r="G5846" t="s">
        <v>75</v>
      </c>
      <c r="H5846">
        <v>1082.8</v>
      </c>
      <c r="I5846" t="s">
        <v>76</v>
      </c>
      <c r="J5846" t="s">
        <v>77</v>
      </c>
    </row>
    <row r="5847" spans="1:11" x14ac:dyDescent="0.3">
      <c r="A5847" t="s">
        <v>72</v>
      </c>
      <c r="B5847">
        <v>1</v>
      </c>
      <c r="C5847" t="s">
        <v>79</v>
      </c>
      <c r="D5847">
        <v>9.2438999999999993E-3</v>
      </c>
      <c r="E5847" t="s">
        <v>74</v>
      </c>
      <c r="F5847">
        <v>9.2439</v>
      </c>
      <c r="G5847" t="s">
        <v>75</v>
      </c>
      <c r="H5847">
        <v>9243.9</v>
      </c>
      <c r="I5847" t="s">
        <v>76</v>
      </c>
      <c r="J5847" t="s">
        <v>77</v>
      </c>
    </row>
    <row r="5848" spans="1:11" x14ac:dyDescent="0.3">
      <c r="A5848" t="s">
        <v>72</v>
      </c>
      <c r="B5848">
        <v>1</v>
      </c>
      <c r="C5848" t="s">
        <v>94</v>
      </c>
      <c r="D5848">
        <v>2.8886100000000001E-2</v>
      </c>
      <c r="E5848" t="s">
        <v>74</v>
      </c>
      <c r="F5848">
        <v>28.886099999999999</v>
      </c>
      <c r="G5848" t="s">
        <v>75</v>
      </c>
      <c r="H5848">
        <v>28886.1</v>
      </c>
      <c r="I5848" t="s">
        <v>76</v>
      </c>
      <c r="J5848" t="s">
        <v>77</v>
      </c>
    </row>
    <row r="5849" spans="1:11" x14ac:dyDescent="0.3">
      <c r="A5849" t="s">
        <v>72</v>
      </c>
      <c r="B5849">
        <v>1</v>
      </c>
      <c r="C5849" t="s">
        <v>80</v>
      </c>
      <c r="D5849">
        <v>2.8886700000000001E-2</v>
      </c>
      <c r="E5849" t="s">
        <v>74</v>
      </c>
      <c r="F5849">
        <v>28.886700000000001</v>
      </c>
      <c r="G5849" t="s">
        <v>75</v>
      </c>
      <c r="H5849">
        <v>28886.7</v>
      </c>
      <c r="I5849" t="s">
        <v>76</v>
      </c>
      <c r="J5849" t="s">
        <v>77</v>
      </c>
    </row>
    <row r="5850" spans="1:11" x14ac:dyDescent="0.3">
      <c r="A5850" t="s">
        <v>72</v>
      </c>
      <c r="B5850">
        <v>1</v>
      </c>
      <c r="C5850" t="s">
        <v>81</v>
      </c>
      <c r="D5850">
        <v>3.8131600000000002E-2</v>
      </c>
      <c r="E5850" t="s">
        <v>74</v>
      </c>
      <c r="F5850">
        <v>38.131599999999999</v>
      </c>
      <c r="G5850" t="s">
        <v>75</v>
      </c>
      <c r="H5850">
        <v>38131.597999999998</v>
      </c>
      <c r="I5850" t="s">
        <v>76</v>
      </c>
      <c r="J5850" t="s">
        <v>82</v>
      </c>
      <c r="K5850">
        <v>26.224969399999999</v>
      </c>
    </row>
    <row r="5851" spans="1:11" x14ac:dyDescent="0.3">
      <c r="A5851" t="s">
        <v>83</v>
      </c>
      <c r="B5851">
        <v>1000</v>
      </c>
      <c r="C5851" t="s">
        <v>79</v>
      </c>
      <c r="D5851">
        <v>8.5000000000000001E-7</v>
      </c>
      <c r="E5851" t="s">
        <v>74</v>
      </c>
      <c r="F5851">
        <v>8.4999999999999995E-4</v>
      </c>
      <c r="G5851" t="s">
        <v>75</v>
      </c>
      <c r="H5851">
        <v>0.84799999999999998</v>
      </c>
      <c r="I5851" t="s">
        <v>76</v>
      </c>
      <c r="J5851" t="s">
        <v>77</v>
      </c>
    </row>
    <row r="5852" spans="1:11" x14ac:dyDescent="0.3">
      <c r="A5852" t="s">
        <v>83</v>
      </c>
      <c r="B5852">
        <v>1000</v>
      </c>
      <c r="C5852" t="s">
        <v>94</v>
      </c>
      <c r="D5852">
        <v>2.5898170000000002E-2</v>
      </c>
      <c r="E5852" t="s">
        <v>74</v>
      </c>
      <c r="F5852">
        <v>25.89817</v>
      </c>
      <c r="G5852" t="s">
        <v>75</v>
      </c>
      <c r="H5852">
        <v>25898.171999999999</v>
      </c>
      <c r="I5852" t="s">
        <v>76</v>
      </c>
      <c r="J5852" t="s">
        <v>77</v>
      </c>
    </row>
    <row r="5853" spans="1:11" x14ac:dyDescent="0.3">
      <c r="A5853" t="s">
        <v>83</v>
      </c>
      <c r="B5853">
        <v>1000</v>
      </c>
      <c r="C5853" t="s">
        <v>80</v>
      </c>
      <c r="D5853">
        <v>2.6100769999999999E-2</v>
      </c>
      <c r="E5853" t="s">
        <v>74</v>
      </c>
      <c r="F5853">
        <v>26.100770000000001</v>
      </c>
      <c r="G5853" t="s">
        <v>75</v>
      </c>
      <c r="H5853">
        <v>26100.775000000001</v>
      </c>
      <c r="I5853" t="s">
        <v>76</v>
      </c>
      <c r="J5853" t="s">
        <v>77</v>
      </c>
    </row>
    <row r="5854" spans="1:11" x14ac:dyDescent="0.3">
      <c r="A5854" t="s">
        <v>83</v>
      </c>
      <c r="B5854">
        <v>1000</v>
      </c>
      <c r="C5854" t="s">
        <v>81</v>
      </c>
      <c r="D5854">
        <v>2.6106310000000001E-2</v>
      </c>
      <c r="E5854" t="s">
        <v>74</v>
      </c>
      <c r="F5854">
        <v>26.106310000000001</v>
      </c>
      <c r="G5854" t="s">
        <v>75</v>
      </c>
      <c r="H5854">
        <v>26106.308000000001</v>
      </c>
      <c r="I5854" t="s">
        <v>76</v>
      </c>
      <c r="J5854" t="s">
        <v>82</v>
      </c>
      <c r="K5854">
        <v>38.304918499999999</v>
      </c>
    </row>
    <row r="5855" spans="1:11" x14ac:dyDescent="0.3">
      <c r="A5855" t="s">
        <v>84</v>
      </c>
      <c r="B5855">
        <v>1001</v>
      </c>
      <c r="C5855" t="s">
        <v>79</v>
      </c>
      <c r="D5855">
        <v>1.008E-5</v>
      </c>
      <c r="E5855" t="s">
        <v>74</v>
      </c>
      <c r="F5855">
        <v>1.008E-2</v>
      </c>
      <c r="G5855" t="s">
        <v>75</v>
      </c>
      <c r="H5855">
        <v>10.082000000000001</v>
      </c>
      <c r="I5855" t="s">
        <v>76</v>
      </c>
      <c r="J5855" t="s">
        <v>77</v>
      </c>
    </row>
    <row r="5856" spans="1:11" x14ac:dyDescent="0.3">
      <c r="A5856" t="s">
        <v>84</v>
      </c>
      <c r="B5856">
        <v>1001</v>
      </c>
      <c r="C5856" t="s">
        <v>94</v>
      </c>
      <c r="D5856">
        <v>2.5901159999999999E-2</v>
      </c>
      <c r="E5856" t="s">
        <v>74</v>
      </c>
      <c r="F5856">
        <v>25.901160000000001</v>
      </c>
      <c r="G5856" t="s">
        <v>75</v>
      </c>
      <c r="H5856">
        <v>25901.157999999999</v>
      </c>
      <c r="I5856" t="s">
        <v>76</v>
      </c>
      <c r="J5856" t="s">
        <v>77</v>
      </c>
    </row>
    <row r="5857" spans="1:11" x14ac:dyDescent="0.3">
      <c r="A5857" t="s">
        <v>84</v>
      </c>
      <c r="B5857">
        <v>1001</v>
      </c>
      <c r="C5857" t="s">
        <v>80</v>
      </c>
      <c r="D5857">
        <v>2.6103560000000001E-2</v>
      </c>
      <c r="E5857" t="s">
        <v>74</v>
      </c>
      <c r="F5857">
        <v>26.103560000000002</v>
      </c>
      <c r="G5857" t="s">
        <v>75</v>
      </c>
      <c r="H5857">
        <v>26103.558000000001</v>
      </c>
      <c r="I5857" t="s">
        <v>76</v>
      </c>
      <c r="J5857" t="s">
        <v>77</v>
      </c>
    </row>
    <row r="5858" spans="1:11" x14ac:dyDescent="0.3">
      <c r="A5858" t="s">
        <v>84</v>
      </c>
      <c r="B5858">
        <v>1001</v>
      </c>
      <c r="C5858" t="s">
        <v>81</v>
      </c>
      <c r="D5858">
        <v>2.611832E-2</v>
      </c>
      <c r="E5858" t="s">
        <v>74</v>
      </c>
      <c r="F5858">
        <v>26.118320000000001</v>
      </c>
      <c r="G5858" t="s">
        <v>75</v>
      </c>
      <c r="H5858">
        <v>26118.321</v>
      </c>
      <c r="I5858" t="s">
        <v>76</v>
      </c>
      <c r="J5858" t="s">
        <v>82</v>
      </c>
      <c r="K5858">
        <v>38.2872998</v>
      </c>
    </row>
    <row r="5859" spans="1:11" x14ac:dyDescent="0.3">
      <c r="A5859" t="s">
        <v>85</v>
      </c>
      <c r="B5859">
        <v>1001</v>
      </c>
      <c r="C5859" t="s">
        <v>86</v>
      </c>
      <c r="D5859">
        <v>2.611923E-2</v>
      </c>
      <c r="E5859" t="s">
        <v>74</v>
      </c>
      <c r="F5859">
        <v>26.119230000000002</v>
      </c>
      <c r="G5859" t="s">
        <v>75</v>
      </c>
      <c r="H5859">
        <v>26119.234</v>
      </c>
      <c r="I5859" t="s">
        <v>76</v>
      </c>
      <c r="J5859" t="s">
        <v>82</v>
      </c>
      <c r="K5859">
        <v>38.285961899999997</v>
      </c>
    </row>
    <row r="5860" spans="1:11" x14ac:dyDescent="0.3">
      <c r="A5860" t="s">
        <v>115</v>
      </c>
    </row>
    <row r="5861" spans="1:11" x14ac:dyDescent="0.3">
      <c r="A5861" t="s">
        <v>127</v>
      </c>
    </row>
    <row r="5862" spans="1:11" x14ac:dyDescent="0.3">
      <c r="A5862" t="s">
        <v>87</v>
      </c>
    </row>
    <row r="5863" spans="1:11" x14ac:dyDescent="0.3">
      <c r="A5863" t="s">
        <v>330</v>
      </c>
    </row>
    <row r="5864" spans="1:11" x14ac:dyDescent="0.3">
      <c r="A5864" t="s">
        <v>72</v>
      </c>
      <c r="B5864">
        <v>1</v>
      </c>
      <c r="C5864" t="s">
        <v>81</v>
      </c>
      <c r="D5864">
        <v>0.45569921000000002</v>
      </c>
      <c r="E5864" t="s">
        <v>74</v>
      </c>
      <c r="F5864">
        <v>455.69920999999999</v>
      </c>
      <c r="G5864" t="s">
        <v>75</v>
      </c>
      <c r="H5864">
        <v>455699.20500000002</v>
      </c>
      <c r="I5864" t="s">
        <v>76</v>
      </c>
      <c r="J5864" t="s">
        <v>82</v>
      </c>
      <c r="K5864">
        <v>2.1944300000000001</v>
      </c>
    </row>
    <row r="5865" spans="1:11" x14ac:dyDescent="0.3">
      <c r="A5865" t="s">
        <v>83</v>
      </c>
      <c r="B5865">
        <v>1000</v>
      </c>
      <c r="C5865" t="s">
        <v>81</v>
      </c>
      <c r="D5865">
        <v>1.6445319999999999E-2</v>
      </c>
      <c r="E5865" t="s">
        <v>74</v>
      </c>
      <c r="F5865">
        <v>16.445319999999999</v>
      </c>
      <c r="G5865" t="s">
        <v>75</v>
      </c>
      <c r="H5865">
        <v>16445.322</v>
      </c>
      <c r="I5865" t="s">
        <v>76</v>
      </c>
      <c r="J5865" t="s">
        <v>82</v>
      </c>
      <c r="K5865">
        <v>60.807565699999998</v>
      </c>
    </row>
    <row r="5866" spans="1:11" x14ac:dyDescent="0.3">
      <c r="A5866" t="s">
        <v>85</v>
      </c>
      <c r="B5866">
        <v>1001</v>
      </c>
      <c r="C5866" t="s">
        <v>86</v>
      </c>
      <c r="D5866">
        <v>1.6884400000000001E-2</v>
      </c>
      <c r="E5866" t="s">
        <v>74</v>
      </c>
      <c r="F5866">
        <v>16.884399999999999</v>
      </c>
      <c r="G5866" t="s">
        <v>75</v>
      </c>
      <c r="H5866">
        <v>16884.395</v>
      </c>
      <c r="I5866" t="s">
        <v>76</v>
      </c>
      <c r="J5866" t="s">
        <v>82</v>
      </c>
      <c r="K5866">
        <v>59.226285400000002</v>
      </c>
    </row>
    <row r="5868" spans="1:11" x14ac:dyDescent="0.3">
      <c r="A5868" t="s">
        <v>331</v>
      </c>
    </row>
    <row r="5869" spans="1:11" x14ac:dyDescent="0.3">
      <c r="A5869" t="s">
        <v>72</v>
      </c>
      <c r="B5869">
        <v>1</v>
      </c>
      <c r="C5869" t="s">
        <v>81</v>
      </c>
      <c r="D5869">
        <v>3.8131600000000002E-2</v>
      </c>
      <c r="E5869" t="s">
        <v>74</v>
      </c>
      <c r="F5869">
        <v>38.131599999999999</v>
      </c>
      <c r="G5869" t="s">
        <v>75</v>
      </c>
      <c r="H5869">
        <v>38131.597999999998</v>
      </c>
      <c r="I5869" t="s">
        <v>76</v>
      </c>
      <c r="J5869" t="s">
        <v>82</v>
      </c>
      <c r="K5869">
        <v>26.224969399999999</v>
      </c>
    </row>
    <row r="5870" spans="1:11" x14ac:dyDescent="0.3">
      <c r="A5870" t="s">
        <v>83</v>
      </c>
      <c r="B5870">
        <v>1000</v>
      </c>
      <c r="C5870" t="s">
        <v>81</v>
      </c>
      <c r="D5870">
        <v>2.6106310000000001E-2</v>
      </c>
      <c r="E5870" t="s">
        <v>74</v>
      </c>
      <c r="F5870">
        <v>26.106310000000001</v>
      </c>
      <c r="G5870" t="s">
        <v>75</v>
      </c>
      <c r="H5870">
        <v>26106.308000000001</v>
      </c>
      <c r="I5870" t="s">
        <v>76</v>
      </c>
      <c r="J5870" t="s">
        <v>82</v>
      </c>
      <c r="K5870">
        <v>38.304918499999999</v>
      </c>
    </row>
    <row r="5871" spans="1:11" x14ac:dyDescent="0.3">
      <c r="A5871" t="s">
        <v>85</v>
      </c>
      <c r="B5871">
        <v>1001</v>
      </c>
      <c r="C5871" t="s">
        <v>86</v>
      </c>
      <c r="D5871">
        <v>2.611923E-2</v>
      </c>
      <c r="E5871" t="s">
        <v>74</v>
      </c>
      <c r="F5871">
        <v>26.119230000000002</v>
      </c>
      <c r="G5871" t="s">
        <v>75</v>
      </c>
      <c r="H5871">
        <v>26119.234</v>
      </c>
      <c r="I5871" t="s">
        <v>76</v>
      </c>
      <c r="J5871" t="s">
        <v>82</v>
      </c>
      <c r="K5871">
        <v>38.285961899999997</v>
      </c>
    </row>
    <row r="5873" spans="1:1" x14ac:dyDescent="0.3">
      <c r="A5873" t="s">
        <v>66</v>
      </c>
    </row>
    <row r="5875" spans="1:1" x14ac:dyDescent="0.3">
      <c r="A5875" t="s">
        <v>356</v>
      </c>
    </row>
    <row r="5876" spans="1:1" x14ac:dyDescent="0.3">
      <c r="A5876" t="s">
        <v>68</v>
      </c>
    </row>
    <row r="5877" spans="1:1" x14ac:dyDescent="0.3">
      <c r="A5877" t="s">
        <v>69</v>
      </c>
    </row>
    <row r="5878" spans="1:1" x14ac:dyDescent="0.3">
      <c r="A5878" t="s">
        <v>70</v>
      </c>
    </row>
    <row r="5879" spans="1:1" x14ac:dyDescent="0.3">
      <c r="A5879" t="s">
        <v>115</v>
      </c>
    </row>
    <row r="5880" spans="1:1" x14ac:dyDescent="0.3">
      <c r="A5880" t="s">
        <v>266</v>
      </c>
    </row>
    <row r="5881" spans="1:1" x14ac:dyDescent="0.3">
      <c r="A5881" t="s">
        <v>267</v>
      </c>
    </row>
    <row r="5882" spans="1:1" x14ac:dyDescent="0.3">
      <c r="A5882" t="s">
        <v>118</v>
      </c>
    </row>
    <row r="5883" spans="1:1" x14ac:dyDescent="0.3">
      <c r="A5883" t="s">
        <v>119</v>
      </c>
    </row>
    <row r="5884" spans="1:1" x14ac:dyDescent="0.3">
      <c r="A5884" t="s">
        <v>268</v>
      </c>
    </row>
    <row r="5885" spans="1:1" x14ac:dyDescent="0.3">
      <c r="A5885" t="s">
        <v>269</v>
      </c>
    </row>
    <row r="5886" spans="1:1" x14ac:dyDescent="0.3">
      <c r="A5886" t="s">
        <v>122</v>
      </c>
    </row>
    <row r="5887" spans="1:1" x14ac:dyDescent="0.3">
      <c r="A5887" t="s">
        <v>270</v>
      </c>
    </row>
    <row r="5888" spans="1:1" x14ac:dyDescent="0.3">
      <c r="A5888" t="s">
        <v>271</v>
      </c>
    </row>
    <row r="5889" spans="1:11" x14ac:dyDescent="0.3">
      <c r="A5889" t="s">
        <v>125</v>
      </c>
    </row>
    <row r="5890" spans="1:11" x14ac:dyDescent="0.3">
      <c r="A5890" t="s">
        <v>126</v>
      </c>
    </row>
    <row r="5891" spans="1:11" x14ac:dyDescent="0.3">
      <c r="A5891" t="s">
        <v>127</v>
      </c>
    </row>
    <row r="5892" spans="1:11" x14ac:dyDescent="0.3">
      <c r="A5892" t="s">
        <v>213</v>
      </c>
    </row>
    <row r="5893" spans="1:11" x14ac:dyDescent="0.3">
      <c r="A5893" t="s">
        <v>333</v>
      </c>
    </row>
    <row r="5894" spans="1:11" x14ac:dyDescent="0.3">
      <c r="A5894" t="s">
        <v>72</v>
      </c>
      <c r="B5894">
        <v>1</v>
      </c>
      <c r="C5894" t="s">
        <v>73</v>
      </c>
      <c r="D5894">
        <v>3.5999999999999998E-6</v>
      </c>
      <c r="E5894" t="s">
        <v>74</v>
      </c>
      <c r="F5894">
        <v>3.5999999999999999E-3</v>
      </c>
      <c r="G5894" t="s">
        <v>75</v>
      </c>
      <c r="H5894">
        <v>3.6</v>
      </c>
      <c r="I5894" t="s">
        <v>76</v>
      </c>
      <c r="J5894" t="s">
        <v>77</v>
      </c>
    </row>
    <row r="5895" spans="1:11" x14ac:dyDescent="0.3">
      <c r="A5895" t="s">
        <v>72</v>
      </c>
      <c r="B5895">
        <v>1</v>
      </c>
      <c r="C5895" t="s">
        <v>78</v>
      </c>
      <c r="D5895">
        <v>0.1133912</v>
      </c>
      <c r="E5895" t="s">
        <v>74</v>
      </c>
      <c r="F5895">
        <v>113.3912</v>
      </c>
      <c r="G5895" t="s">
        <v>75</v>
      </c>
      <c r="H5895">
        <v>113391.198</v>
      </c>
      <c r="I5895" t="s">
        <v>76</v>
      </c>
      <c r="J5895" t="s">
        <v>77</v>
      </c>
    </row>
    <row r="5896" spans="1:11" x14ac:dyDescent="0.3">
      <c r="A5896" t="s">
        <v>72</v>
      </c>
      <c r="B5896">
        <v>1</v>
      </c>
      <c r="C5896" t="s">
        <v>79</v>
      </c>
      <c r="D5896">
        <v>0.49738898999999998</v>
      </c>
      <c r="E5896" t="s">
        <v>74</v>
      </c>
      <c r="F5896">
        <v>497.38898999999998</v>
      </c>
      <c r="G5896" t="s">
        <v>75</v>
      </c>
      <c r="H5896">
        <v>497388.989</v>
      </c>
      <c r="I5896" t="s">
        <v>76</v>
      </c>
      <c r="J5896" t="s">
        <v>77</v>
      </c>
    </row>
    <row r="5897" spans="1:11" x14ac:dyDescent="0.3">
      <c r="A5897" t="s">
        <v>72</v>
      </c>
      <c r="B5897">
        <v>1</v>
      </c>
      <c r="C5897" t="s">
        <v>94</v>
      </c>
      <c r="D5897">
        <v>1.68331E-2</v>
      </c>
      <c r="E5897" t="s">
        <v>74</v>
      </c>
      <c r="F5897">
        <v>16.833100000000002</v>
      </c>
      <c r="G5897" t="s">
        <v>75</v>
      </c>
      <c r="H5897">
        <v>16833.099999999999</v>
      </c>
      <c r="I5897" t="s">
        <v>76</v>
      </c>
      <c r="J5897" t="s">
        <v>77</v>
      </c>
    </row>
    <row r="5898" spans="1:11" x14ac:dyDescent="0.3">
      <c r="A5898" t="s">
        <v>72</v>
      </c>
      <c r="B5898">
        <v>1</v>
      </c>
      <c r="C5898" t="s">
        <v>80</v>
      </c>
      <c r="D5898">
        <v>1.68337E-2</v>
      </c>
      <c r="E5898" t="s">
        <v>74</v>
      </c>
      <c r="F5898">
        <v>16.8337</v>
      </c>
      <c r="G5898" t="s">
        <v>75</v>
      </c>
      <c r="H5898">
        <v>16833.7</v>
      </c>
      <c r="I5898" t="s">
        <v>76</v>
      </c>
      <c r="J5898" t="s">
        <v>77</v>
      </c>
    </row>
    <row r="5899" spans="1:11" x14ac:dyDescent="0.3">
      <c r="A5899" t="s">
        <v>72</v>
      </c>
      <c r="B5899">
        <v>1</v>
      </c>
      <c r="C5899" t="s">
        <v>81</v>
      </c>
      <c r="D5899">
        <v>0.51422608000000003</v>
      </c>
      <c r="E5899" t="s">
        <v>74</v>
      </c>
      <c r="F5899">
        <v>514.22608000000002</v>
      </c>
      <c r="G5899" t="s">
        <v>75</v>
      </c>
      <c r="H5899">
        <v>514226.07900000003</v>
      </c>
      <c r="I5899" t="s">
        <v>76</v>
      </c>
      <c r="J5899" t="s">
        <v>82</v>
      </c>
      <c r="K5899">
        <v>1.9446699000000001</v>
      </c>
    </row>
    <row r="5900" spans="1:11" x14ac:dyDescent="0.3">
      <c r="A5900" t="s">
        <v>83</v>
      </c>
      <c r="B5900">
        <v>1000</v>
      </c>
      <c r="C5900" t="s">
        <v>79</v>
      </c>
      <c r="D5900">
        <v>1.1000000000000001E-7</v>
      </c>
      <c r="E5900" t="s">
        <v>74</v>
      </c>
      <c r="F5900">
        <v>1.1E-4</v>
      </c>
      <c r="G5900" t="s">
        <v>75</v>
      </c>
      <c r="H5900">
        <v>0.109</v>
      </c>
      <c r="I5900" t="s">
        <v>76</v>
      </c>
      <c r="J5900" t="s">
        <v>77</v>
      </c>
    </row>
    <row r="5901" spans="1:11" x14ac:dyDescent="0.3">
      <c r="A5901" t="s">
        <v>83</v>
      </c>
      <c r="B5901">
        <v>1000</v>
      </c>
      <c r="C5901" t="s">
        <v>94</v>
      </c>
      <c r="D5901">
        <v>1.6605990000000001E-2</v>
      </c>
      <c r="E5901" t="s">
        <v>74</v>
      </c>
      <c r="F5901">
        <v>16.605989999999998</v>
      </c>
      <c r="G5901" t="s">
        <v>75</v>
      </c>
      <c r="H5901">
        <v>16605.988000000001</v>
      </c>
      <c r="I5901" t="s">
        <v>76</v>
      </c>
      <c r="J5901" t="s">
        <v>77</v>
      </c>
    </row>
    <row r="5902" spans="1:11" x14ac:dyDescent="0.3">
      <c r="A5902" t="s">
        <v>83</v>
      </c>
      <c r="B5902">
        <v>1000</v>
      </c>
      <c r="C5902" t="s">
        <v>80</v>
      </c>
      <c r="D5902">
        <v>1.6606409999999999E-2</v>
      </c>
      <c r="E5902" t="s">
        <v>74</v>
      </c>
      <c r="F5902">
        <v>16.60641</v>
      </c>
      <c r="G5902" t="s">
        <v>75</v>
      </c>
      <c r="H5902">
        <v>16606.413</v>
      </c>
      <c r="I5902" t="s">
        <v>76</v>
      </c>
      <c r="J5902" t="s">
        <v>77</v>
      </c>
    </row>
    <row r="5903" spans="1:11" x14ac:dyDescent="0.3">
      <c r="A5903" t="s">
        <v>83</v>
      </c>
      <c r="B5903">
        <v>1000</v>
      </c>
      <c r="C5903" t="s">
        <v>81</v>
      </c>
      <c r="D5903">
        <v>1.660733E-2</v>
      </c>
      <c r="E5903" t="s">
        <v>74</v>
      </c>
      <c r="F5903">
        <v>16.607330000000001</v>
      </c>
      <c r="G5903" t="s">
        <v>75</v>
      </c>
      <c r="H5903">
        <v>16607.330000000002</v>
      </c>
      <c r="I5903" t="s">
        <v>76</v>
      </c>
      <c r="J5903" t="s">
        <v>82</v>
      </c>
      <c r="K5903">
        <v>60.214374100000001</v>
      </c>
    </row>
    <row r="5904" spans="1:11" x14ac:dyDescent="0.3">
      <c r="A5904" t="s">
        <v>84</v>
      </c>
      <c r="B5904">
        <v>1001</v>
      </c>
      <c r="C5904" t="s">
        <v>79</v>
      </c>
      <c r="D5904">
        <v>4.9700000000000005E-4</v>
      </c>
      <c r="E5904" t="s">
        <v>74</v>
      </c>
      <c r="F5904">
        <v>0.497</v>
      </c>
      <c r="G5904" t="s">
        <v>75</v>
      </c>
      <c r="H5904">
        <v>496.99700000000001</v>
      </c>
      <c r="I5904" t="s">
        <v>76</v>
      </c>
      <c r="J5904" t="s">
        <v>77</v>
      </c>
    </row>
    <row r="5905" spans="1:11" x14ac:dyDescent="0.3">
      <c r="A5905" t="s">
        <v>84</v>
      </c>
      <c r="B5905">
        <v>1001</v>
      </c>
      <c r="C5905" t="s">
        <v>94</v>
      </c>
      <c r="D5905">
        <v>1.660621E-2</v>
      </c>
      <c r="E5905" t="s">
        <v>74</v>
      </c>
      <c r="F5905">
        <v>16.606210000000001</v>
      </c>
      <c r="G5905" t="s">
        <v>75</v>
      </c>
      <c r="H5905">
        <v>16606.214</v>
      </c>
      <c r="I5905" t="s">
        <v>76</v>
      </c>
      <c r="J5905" t="s">
        <v>77</v>
      </c>
    </row>
    <row r="5906" spans="1:11" x14ac:dyDescent="0.3">
      <c r="A5906" t="s">
        <v>84</v>
      </c>
      <c r="B5906">
        <v>1001</v>
      </c>
      <c r="C5906" t="s">
        <v>80</v>
      </c>
      <c r="D5906">
        <v>1.6606639999999999E-2</v>
      </c>
      <c r="E5906" t="s">
        <v>74</v>
      </c>
      <c r="F5906">
        <v>16.606639999999999</v>
      </c>
      <c r="G5906" t="s">
        <v>75</v>
      </c>
      <c r="H5906">
        <v>16606.641</v>
      </c>
      <c r="I5906" t="s">
        <v>76</v>
      </c>
      <c r="J5906" t="s">
        <v>77</v>
      </c>
    </row>
    <row r="5907" spans="1:11" x14ac:dyDescent="0.3">
      <c r="A5907" t="s">
        <v>84</v>
      </c>
      <c r="B5907">
        <v>1001</v>
      </c>
      <c r="C5907" t="s">
        <v>81</v>
      </c>
      <c r="D5907">
        <v>1.710445E-2</v>
      </c>
      <c r="E5907" t="s">
        <v>74</v>
      </c>
      <c r="F5907">
        <v>17.10445</v>
      </c>
      <c r="G5907" t="s">
        <v>75</v>
      </c>
      <c r="H5907">
        <v>17104.453000000001</v>
      </c>
      <c r="I5907" t="s">
        <v>76</v>
      </c>
      <c r="J5907" t="s">
        <v>82</v>
      </c>
      <c r="K5907">
        <v>58.464308299999999</v>
      </c>
    </row>
    <row r="5908" spans="1:11" x14ac:dyDescent="0.3">
      <c r="A5908" t="s">
        <v>85</v>
      </c>
      <c r="B5908">
        <v>1001</v>
      </c>
      <c r="C5908" t="s">
        <v>86</v>
      </c>
      <c r="D5908">
        <v>1.710474E-2</v>
      </c>
      <c r="E5908" t="s">
        <v>74</v>
      </c>
      <c r="F5908">
        <v>17.10474</v>
      </c>
      <c r="G5908" t="s">
        <v>75</v>
      </c>
      <c r="H5908">
        <v>17104.743999999999</v>
      </c>
      <c r="I5908" t="s">
        <v>76</v>
      </c>
      <c r="J5908" t="s">
        <v>82</v>
      </c>
      <c r="K5908">
        <v>58.4633118</v>
      </c>
    </row>
    <row r="5909" spans="1:11" x14ac:dyDescent="0.3">
      <c r="A5909" t="s">
        <v>215</v>
      </c>
    </row>
    <row r="5910" spans="1:11" x14ac:dyDescent="0.3">
      <c r="A5910" t="s">
        <v>334</v>
      </c>
    </row>
    <row r="5911" spans="1:11" x14ac:dyDescent="0.3">
      <c r="A5911" t="s">
        <v>72</v>
      </c>
      <c r="B5911">
        <v>1</v>
      </c>
      <c r="C5911" t="s">
        <v>73</v>
      </c>
      <c r="D5911">
        <v>3.5999999999999998E-6</v>
      </c>
      <c r="E5911" t="s">
        <v>74</v>
      </c>
      <c r="F5911">
        <v>3.5999999999999999E-3</v>
      </c>
      <c r="G5911" t="s">
        <v>75</v>
      </c>
      <c r="H5911">
        <v>3.6</v>
      </c>
      <c r="I5911" t="s">
        <v>76</v>
      </c>
      <c r="J5911" t="s">
        <v>77</v>
      </c>
    </row>
    <row r="5912" spans="1:11" x14ac:dyDescent="0.3">
      <c r="A5912" t="s">
        <v>72</v>
      </c>
      <c r="B5912">
        <v>1</v>
      </c>
      <c r="C5912" t="s">
        <v>78</v>
      </c>
      <c r="D5912">
        <v>7.4560000000000002E-4</v>
      </c>
      <c r="E5912" t="s">
        <v>74</v>
      </c>
      <c r="F5912">
        <v>0.74560000000000004</v>
      </c>
      <c r="G5912" t="s">
        <v>75</v>
      </c>
      <c r="H5912">
        <v>745.6</v>
      </c>
      <c r="I5912" t="s">
        <v>76</v>
      </c>
      <c r="J5912" t="s">
        <v>77</v>
      </c>
    </row>
    <row r="5913" spans="1:11" x14ac:dyDescent="0.3">
      <c r="A5913" t="s">
        <v>72</v>
      </c>
      <c r="B5913">
        <v>1</v>
      </c>
      <c r="C5913" t="s">
        <v>79</v>
      </c>
      <c r="D5913">
        <v>7.5392999999999996E-3</v>
      </c>
      <c r="E5913" t="s">
        <v>74</v>
      </c>
      <c r="F5913">
        <v>7.5392999999999999</v>
      </c>
      <c r="G5913" t="s">
        <v>75</v>
      </c>
      <c r="H5913">
        <v>7539.3</v>
      </c>
      <c r="I5913" t="s">
        <v>76</v>
      </c>
      <c r="J5913" t="s">
        <v>77</v>
      </c>
    </row>
    <row r="5914" spans="1:11" x14ac:dyDescent="0.3">
      <c r="A5914" t="s">
        <v>72</v>
      </c>
      <c r="B5914">
        <v>1</v>
      </c>
      <c r="C5914" t="s">
        <v>94</v>
      </c>
      <c r="D5914">
        <v>2.85125E-2</v>
      </c>
      <c r="E5914" t="s">
        <v>74</v>
      </c>
      <c r="F5914">
        <v>28.512499999999999</v>
      </c>
      <c r="G5914" t="s">
        <v>75</v>
      </c>
      <c r="H5914">
        <v>28512.5</v>
      </c>
      <c r="I5914" t="s">
        <v>76</v>
      </c>
      <c r="J5914" t="s">
        <v>77</v>
      </c>
    </row>
    <row r="5915" spans="1:11" x14ac:dyDescent="0.3">
      <c r="A5915" t="s">
        <v>72</v>
      </c>
      <c r="B5915">
        <v>1</v>
      </c>
      <c r="C5915" t="s">
        <v>80</v>
      </c>
      <c r="D5915">
        <v>2.85131E-2</v>
      </c>
      <c r="E5915" t="s">
        <v>74</v>
      </c>
      <c r="F5915">
        <v>28.513100000000001</v>
      </c>
      <c r="G5915" t="s">
        <v>75</v>
      </c>
      <c r="H5915">
        <v>28513.1</v>
      </c>
      <c r="I5915" t="s">
        <v>76</v>
      </c>
      <c r="J5915" t="s">
        <v>77</v>
      </c>
    </row>
    <row r="5916" spans="1:11" x14ac:dyDescent="0.3">
      <c r="A5916" t="s">
        <v>72</v>
      </c>
      <c r="B5916">
        <v>1</v>
      </c>
      <c r="C5916" t="s">
        <v>81</v>
      </c>
      <c r="D5916">
        <v>3.6053300000000003E-2</v>
      </c>
      <c r="E5916" t="s">
        <v>74</v>
      </c>
      <c r="F5916">
        <v>36.0533</v>
      </c>
      <c r="G5916" t="s">
        <v>75</v>
      </c>
      <c r="H5916">
        <v>36053.300000000003</v>
      </c>
      <c r="I5916" t="s">
        <v>76</v>
      </c>
      <c r="J5916" t="s">
        <v>82</v>
      </c>
      <c r="K5916">
        <v>27.736712099999998</v>
      </c>
    </row>
    <row r="5917" spans="1:11" x14ac:dyDescent="0.3">
      <c r="A5917" t="s">
        <v>83</v>
      </c>
      <c r="B5917">
        <v>1000</v>
      </c>
      <c r="C5917" t="s">
        <v>79</v>
      </c>
      <c r="D5917">
        <v>5.3000000000000001E-7</v>
      </c>
      <c r="E5917" t="s">
        <v>74</v>
      </c>
      <c r="F5917">
        <v>5.2999999999999998E-4</v>
      </c>
      <c r="G5917" t="s">
        <v>75</v>
      </c>
      <c r="H5917">
        <v>0.53500000000000003</v>
      </c>
      <c r="I5917" t="s">
        <v>76</v>
      </c>
      <c r="J5917" t="s">
        <v>77</v>
      </c>
    </row>
    <row r="5918" spans="1:11" x14ac:dyDescent="0.3">
      <c r="A5918" t="s">
        <v>83</v>
      </c>
      <c r="B5918">
        <v>1000</v>
      </c>
      <c r="C5918" t="s">
        <v>94</v>
      </c>
      <c r="D5918">
        <v>2.588358E-2</v>
      </c>
      <c r="E5918" t="s">
        <v>74</v>
      </c>
      <c r="F5918">
        <v>25.883579999999998</v>
      </c>
      <c r="G5918" t="s">
        <v>75</v>
      </c>
      <c r="H5918">
        <v>25883.584999999999</v>
      </c>
      <c r="I5918" t="s">
        <v>76</v>
      </c>
      <c r="J5918" t="s">
        <v>77</v>
      </c>
    </row>
    <row r="5919" spans="1:11" x14ac:dyDescent="0.3">
      <c r="A5919" t="s">
        <v>83</v>
      </c>
      <c r="B5919">
        <v>1000</v>
      </c>
      <c r="C5919" t="s">
        <v>80</v>
      </c>
      <c r="D5919">
        <v>2.6129909999999999E-2</v>
      </c>
      <c r="E5919" t="s">
        <v>74</v>
      </c>
      <c r="F5919">
        <v>26.129909999999999</v>
      </c>
      <c r="G5919" t="s">
        <v>75</v>
      </c>
      <c r="H5919">
        <v>26129.905999999999</v>
      </c>
      <c r="I5919" t="s">
        <v>76</v>
      </c>
      <c r="J5919" t="s">
        <v>77</v>
      </c>
    </row>
    <row r="5920" spans="1:11" x14ac:dyDescent="0.3">
      <c r="A5920" t="s">
        <v>83</v>
      </c>
      <c r="B5920">
        <v>1000</v>
      </c>
      <c r="C5920" t="s">
        <v>81</v>
      </c>
      <c r="D5920">
        <v>2.6134290000000001E-2</v>
      </c>
      <c r="E5920" t="s">
        <v>74</v>
      </c>
      <c r="F5920">
        <v>26.13429</v>
      </c>
      <c r="G5920" t="s">
        <v>75</v>
      </c>
      <c r="H5920">
        <v>26134.294999999998</v>
      </c>
      <c r="I5920" t="s">
        <v>76</v>
      </c>
      <c r="J5920" t="s">
        <v>82</v>
      </c>
      <c r="K5920">
        <v>38.2638988</v>
      </c>
    </row>
    <row r="5921" spans="1:11" x14ac:dyDescent="0.3">
      <c r="A5921" t="s">
        <v>84</v>
      </c>
      <c r="B5921">
        <v>1001</v>
      </c>
      <c r="C5921" t="s">
        <v>79</v>
      </c>
      <c r="D5921">
        <v>8.0700000000000007E-6</v>
      </c>
      <c r="E5921" t="s">
        <v>74</v>
      </c>
      <c r="F5921">
        <v>8.0700000000000008E-3</v>
      </c>
      <c r="G5921" t="s">
        <v>75</v>
      </c>
      <c r="H5921">
        <v>8.0660000000000007</v>
      </c>
      <c r="I5921" t="s">
        <v>76</v>
      </c>
      <c r="J5921" t="s">
        <v>77</v>
      </c>
    </row>
    <row r="5922" spans="1:11" x14ac:dyDescent="0.3">
      <c r="A5922" t="s">
        <v>84</v>
      </c>
      <c r="B5922">
        <v>1001</v>
      </c>
      <c r="C5922" t="s">
        <v>94</v>
      </c>
      <c r="D5922">
        <v>2.588621E-2</v>
      </c>
      <c r="E5922" t="s">
        <v>74</v>
      </c>
      <c r="F5922">
        <v>25.886209999999998</v>
      </c>
      <c r="G5922" t="s">
        <v>75</v>
      </c>
      <c r="H5922">
        <v>25886.214</v>
      </c>
      <c r="I5922" t="s">
        <v>76</v>
      </c>
      <c r="J5922" t="s">
        <v>77</v>
      </c>
    </row>
    <row r="5923" spans="1:11" x14ac:dyDescent="0.3">
      <c r="A5923" t="s">
        <v>84</v>
      </c>
      <c r="B5923">
        <v>1001</v>
      </c>
      <c r="C5923" t="s">
        <v>80</v>
      </c>
      <c r="D5923">
        <v>2.6132289999999999E-2</v>
      </c>
      <c r="E5923" t="s">
        <v>74</v>
      </c>
      <c r="F5923">
        <v>26.132290000000001</v>
      </c>
      <c r="G5923" t="s">
        <v>75</v>
      </c>
      <c r="H5923">
        <v>26132.288</v>
      </c>
      <c r="I5923" t="s">
        <v>76</v>
      </c>
      <c r="J5923" t="s">
        <v>77</v>
      </c>
    </row>
    <row r="5924" spans="1:11" x14ac:dyDescent="0.3">
      <c r="A5924" t="s">
        <v>84</v>
      </c>
      <c r="B5924">
        <v>1001</v>
      </c>
      <c r="C5924" t="s">
        <v>81</v>
      </c>
      <c r="D5924">
        <v>2.6144199999999999E-2</v>
      </c>
      <c r="E5924" t="s">
        <v>74</v>
      </c>
      <c r="F5924">
        <v>26.144200000000001</v>
      </c>
      <c r="G5924" t="s">
        <v>75</v>
      </c>
      <c r="H5924">
        <v>26144.203000000001</v>
      </c>
      <c r="I5924" t="s">
        <v>76</v>
      </c>
      <c r="J5924" t="s">
        <v>82</v>
      </c>
      <c r="K5924">
        <v>38.249397000000002</v>
      </c>
    </row>
    <row r="5925" spans="1:11" x14ac:dyDescent="0.3">
      <c r="A5925" t="s">
        <v>85</v>
      </c>
      <c r="B5925">
        <v>1001</v>
      </c>
      <c r="C5925" t="s">
        <v>86</v>
      </c>
      <c r="D5925">
        <v>2.6144819999999999E-2</v>
      </c>
      <c r="E5925" t="s">
        <v>74</v>
      </c>
      <c r="F5925">
        <v>26.144819999999999</v>
      </c>
      <c r="G5925" t="s">
        <v>75</v>
      </c>
      <c r="H5925">
        <v>26144.82</v>
      </c>
      <c r="I5925" t="s">
        <v>76</v>
      </c>
      <c r="J5925" t="s">
        <v>82</v>
      </c>
      <c r="K5925">
        <v>38.248493799999999</v>
      </c>
    </row>
    <row r="5926" spans="1:11" x14ac:dyDescent="0.3">
      <c r="A5926" t="s">
        <v>115</v>
      </c>
    </row>
    <row r="5927" spans="1:11" x14ac:dyDescent="0.3">
      <c r="A5927" t="s">
        <v>127</v>
      </c>
    </row>
    <row r="5928" spans="1:11" x14ac:dyDescent="0.3">
      <c r="A5928" t="s">
        <v>87</v>
      </c>
    </row>
    <row r="5929" spans="1:11" x14ac:dyDescent="0.3">
      <c r="A5929" t="s">
        <v>335</v>
      </c>
    </row>
    <row r="5930" spans="1:11" x14ac:dyDescent="0.3">
      <c r="A5930" t="s">
        <v>72</v>
      </c>
      <c r="B5930">
        <v>1</v>
      </c>
      <c r="C5930" t="s">
        <v>81</v>
      </c>
      <c r="D5930">
        <v>0.51422608000000003</v>
      </c>
      <c r="E5930" t="s">
        <v>74</v>
      </c>
      <c r="F5930">
        <v>514.22608000000002</v>
      </c>
      <c r="G5930" t="s">
        <v>75</v>
      </c>
      <c r="H5930">
        <v>514226.07900000003</v>
      </c>
      <c r="I5930" t="s">
        <v>76</v>
      </c>
      <c r="J5930" t="s">
        <v>82</v>
      </c>
      <c r="K5930">
        <v>1.9446699000000001</v>
      </c>
    </row>
    <row r="5931" spans="1:11" x14ac:dyDescent="0.3">
      <c r="A5931" t="s">
        <v>83</v>
      </c>
      <c r="B5931">
        <v>1000</v>
      </c>
      <c r="C5931" t="s">
        <v>81</v>
      </c>
      <c r="D5931">
        <v>1.660733E-2</v>
      </c>
      <c r="E5931" t="s">
        <v>74</v>
      </c>
      <c r="F5931">
        <v>16.607330000000001</v>
      </c>
      <c r="G5931" t="s">
        <v>75</v>
      </c>
      <c r="H5931">
        <v>16607.330000000002</v>
      </c>
      <c r="I5931" t="s">
        <v>76</v>
      </c>
      <c r="J5931" t="s">
        <v>82</v>
      </c>
      <c r="K5931">
        <v>60.214374100000001</v>
      </c>
    </row>
    <row r="5932" spans="1:11" x14ac:dyDescent="0.3">
      <c r="A5932" t="s">
        <v>85</v>
      </c>
      <c r="B5932">
        <v>1001</v>
      </c>
      <c r="C5932" t="s">
        <v>86</v>
      </c>
      <c r="D5932">
        <v>1.710474E-2</v>
      </c>
      <c r="E5932" t="s">
        <v>74</v>
      </c>
      <c r="F5932">
        <v>17.10474</v>
      </c>
      <c r="G5932" t="s">
        <v>75</v>
      </c>
      <c r="H5932">
        <v>17104.743999999999</v>
      </c>
      <c r="I5932" t="s">
        <v>76</v>
      </c>
      <c r="J5932" t="s">
        <v>82</v>
      </c>
      <c r="K5932">
        <v>58.4633118</v>
      </c>
    </row>
    <row r="5934" spans="1:11" x14ac:dyDescent="0.3">
      <c r="A5934" t="s">
        <v>336</v>
      </c>
    </row>
    <row r="5935" spans="1:11" x14ac:dyDescent="0.3">
      <c r="A5935" t="s">
        <v>72</v>
      </c>
      <c r="B5935">
        <v>1</v>
      </c>
      <c r="C5935" t="s">
        <v>81</v>
      </c>
      <c r="D5935">
        <v>3.6053300000000003E-2</v>
      </c>
      <c r="E5935" t="s">
        <v>74</v>
      </c>
      <c r="F5935">
        <v>36.0533</v>
      </c>
      <c r="G5935" t="s">
        <v>75</v>
      </c>
      <c r="H5935">
        <v>36053.300000000003</v>
      </c>
      <c r="I5935" t="s">
        <v>76</v>
      </c>
      <c r="J5935" t="s">
        <v>82</v>
      </c>
      <c r="K5935">
        <v>27.736712099999998</v>
      </c>
    </row>
    <row r="5936" spans="1:11" x14ac:dyDescent="0.3">
      <c r="A5936" t="s">
        <v>83</v>
      </c>
      <c r="B5936">
        <v>1000</v>
      </c>
      <c r="C5936" t="s">
        <v>81</v>
      </c>
      <c r="D5936">
        <v>2.6134290000000001E-2</v>
      </c>
      <c r="E5936" t="s">
        <v>74</v>
      </c>
      <c r="F5936">
        <v>26.13429</v>
      </c>
      <c r="G5936" t="s">
        <v>75</v>
      </c>
      <c r="H5936">
        <v>26134.294999999998</v>
      </c>
      <c r="I5936" t="s">
        <v>76</v>
      </c>
      <c r="J5936" t="s">
        <v>82</v>
      </c>
      <c r="K5936">
        <v>38.2638988</v>
      </c>
    </row>
    <row r="5937" spans="1:11" x14ac:dyDescent="0.3">
      <c r="A5937" t="s">
        <v>85</v>
      </c>
      <c r="B5937">
        <v>1001</v>
      </c>
      <c r="C5937" t="s">
        <v>86</v>
      </c>
      <c r="D5937">
        <v>2.6144819999999999E-2</v>
      </c>
      <c r="E5937" t="s">
        <v>74</v>
      </c>
      <c r="F5937">
        <v>26.144819999999999</v>
      </c>
      <c r="G5937" t="s">
        <v>75</v>
      </c>
      <c r="H5937">
        <v>26144.82</v>
      </c>
      <c r="I5937" t="s">
        <v>76</v>
      </c>
      <c r="J5937" t="s">
        <v>82</v>
      </c>
      <c r="K5937">
        <v>38.248493799999999</v>
      </c>
    </row>
    <row r="5939" spans="1:11" x14ac:dyDescent="0.3">
      <c r="A5939" t="s">
        <v>64</v>
      </c>
    </row>
    <row r="5940" spans="1:11" x14ac:dyDescent="0.3">
      <c r="A5940" t="s">
        <v>357</v>
      </c>
    </row>
    <row r="5942" spans="1:11" x14ac:dyDescent="0.3">
      <c r="A5942" t="s">
        <v>358</v>
      </c>
    </row>
    <row r="5943" spans="1:11" x14ac:dyDescent="0.3">
      <c r="A5943" t="s">
        <v>68</v>
      </c>
    </row>
    <row r="5944" spans="1:11" x14ac:dyDescent="0.3">
      <c r="A5944" t="s">
        <v>69</v>
      </c>
    </row>
    <row r="5945" spans="1:11" x14ac:dyDescent="0.3">
      <c r="A5945" t="s">
        <v>70</v>
      </c>
    </row>
    <row r="5946" spans="1:11" x14ac:dyDescent="0.3">
      <c r="A5946" t="s">
        <v>71</v>
      </c>
    </row>
    <row r="5947" spans="1:11" x14ac:dyDescent="0.3">
      <c r="A5947" t="s">
        <v>72</v>
      </c>
      <c r="B5947">
        <v>1</v>
      </c>
      <c r="C5947" t="s">
        <v>73</v>
      </c>
      <c r="D5947">
        <v>5.3019999999999999E-4</v>
      </c>
      <c r="E5947" t="s">
        <v>74</v>
      </c>
      <c r="F5947">
        <v>0.5302</v>
      </c>
      <c r="G5947" t="s">
        <v>75</v>
      </c>
      <c r="H5947">
        <v>530.20000000000005</v>
      </c>
      <c r="I5947" t="s">
        <v>76</v>
      </c>
      <c r="J5947" t="s">
        <v>77</v>
      </c>
    </row>
    <row r="5948" spans="1:11" x14ac:dyDescent="0.3">
      <c r="A5948" t="s">
        <v>72</v>
      </c>
      <c r="B5948">
        <v>1</v>
      </c>
      <c r="C5948" t="s">
        <v>78</v>
      </c>
      <c r="D5948">
        <v>2.7999999999999999E-6</v>
      </c>
      <c r="E5948" t="s">
        <v>74</v>
      </c>
      <c r="F5948">
        <v>2.8E-3</v>
      </c>
      <c r="G5948" t="s">
        <v>75</v>
      </c>
      <c r="H5948">
        <v>2.8</v>
      </c>
      <c r="I5948" t="s">
        <v>76</v>
      </c>
      <c r="J5948" t="s">
        <v>77</v>
      </c>
    </row>
    <row r="5949" spans="1:11" x14ac:dyDescent="0.3">
      <c r="A5949" t="s">
        <v>72</v>
      </c>
      <c r="B5949">
        <v>1</v>
      </c>
      <c r="C5949" t="s">
        <v>79</v>
      </c>
      <c r="D5949">
        <v>6.6699999999999995E-5</v>
      </c>
      <c r="E5949" t="s">
        <v>74</v>
      </c>
      <c r="F5949">
        <v>6.6699999999999995E-2</v>
      </c>
      <c r="G5949" t="s">
        <v>75</v>
      </c>
      <c r="H5949">
        <v>66.7</v>
      </c>
      <c r="I5949" t="s">
        <v>76</v>
      </c>
      <c r="J5949" t="s">
        <v>77</v>
      </c>
    </row>
    <row r="5950" spans="1:11" x14ac:dyDescent="0.3">
      <c r="A5950" t="s">
        <v>72</v>
      </c>
      <c r="B5950">
        <v>1</v>
      </c>
      <c r="C5950" t="s">
        <v>80</v>
      </c>
      <c r="D5950">
        <v>1.0723955599999999</v>
      </c>
      <c r="E5950" t="s">
        <v>74</v>
      </c>
      <c r="F5950">
        <v>1072.3955599999999</v>
      </c>
      <c r="G5950" t="s">
        <v>75</v>
      </c>
      <c r="H5950">
        <v>1072395.5630000001</v>
      </c>
      <c r="I5950" t="s">
        <v>76</v>
      </c>
      <c r="J5950" t="s">
        <v>77</v>
      </c>
    </row>
    <row r="5951" spans="1:11" x14ac:dyDescent="0.3">
      <c r="A5951" t="s">
        <v>72</v>
      </c>
      <c r="B5951">
        <v>1</v>
      </c>
      <c r="C5951" t="s">
        <v>81</v>
      </c>
      <c r="D5951">
        <v>1.07246482</v>
      </c>
      <c r="E5951" t="s">
        <v>74</v>
      </c>
      <c r="F5951">
        <v>1072.4648199999999</v>
      </c>
      <c r="G5951" t="s">
        <v>75</v>
      </c>
      <c r="H5951">
        <v>1072464.824</v>
      </c>
      <c r="I5951" t="s">
        <v>76</v>
      </c>
      <c r="J5951" t="s">
        <v>82</v>
      </c>
      <c r="K5951">
        <v>0.93243149999999997</v>
      </c>
    </row>
    <row r="5952" spans="1:11" x14ac:dyDescent="0.3">
      <c r="A5952" t="s">
        <v>83</v>
      </c>
      <c r="B5952">
        <v>1000</v>
      </c>
      <c r="C5952" t="s">
        <v>79</v>
      </c>
      <c r="D5952">
        <v>4.6E-6</v>
      </c>
      <c r="E5952" t="s">
        <v>74</v>
      </c>
      <c r="F5952">
        <v>4.5999999999999999E-3</v>
      </c>
      <c r="G5952" t="s">
        <v>75</v>
      </c>
      <c r="H5952">
        <v>4.5979999999999999</v>
      </c>
      <c r="I5952" t="s">
        <v>76</v>
      </c>
      <c r="J5952" t="s">
        <v>77</v>
      </c>
    </row>
    <row r="5953" spans="1:11" x14ac:dyDescent="0.3">
      <c r="A5953" t="s">
        <v>83</v>
      </c>
      <c r="B5953">
        <v>1000</v>
      </c>
      <c r="C5953" t="s">
        <v>80</v>
      </c>
      <c r="D5953">
        <v>30.217808590000001</v>
      </c>
      <c r="E5953" t="s">
        <v>74</v>
      </c>
      <c r="F5953">
        <v>30217.808590000001</v>
      </c>
      <c r="G5953" t="s">
        <v>75</v>
      </c>
      <c r="H5953">
        <v>30217808.594000001</v>
      </c>
      <c r="I5953" t="s">
        <v>76</v>
      </c>
      <c r="J5953" t="s">
        <v>77</v>
      </c>
    </row>
    <row r="5954" spans="1:11" x14ac:dyDescent="0.3">
      <c r="A5954" t="s">
        <v>83</v>
      </c>
      <c r="B5954">
        <v>1000</v>
      </c>
      <c r="C5954" t="s">
        <v>81</v>
      </c>
      <c r="D5954">
        <v>30.217810549999999</v>
      </c>
      <c r="E5954" t="s">
        <v>74</v>
      </c>
      <c r="F5954">
        <v>30217.810549999998</v>
      </c>
      <c r="G5954" t="s">
        <v>75</v>
      </c>
      <c r="H5954">
        <v>30217810.546999998</v>
      </c>
      <c r="I5954" t="s">
        <v>76</v>
      </c>
      <c r="J5954" t="s">
        <v>82</v>
      </c>
      <c r="K5954">
        <v>3.30931E-2</v>
      </c>
    </row>
    <row r="5955" spans="1:11" x14ac:dyDescent="0.3">
      <c r="A5955" t="s">
        <v>84</v>
      </c>
      <c r="B5955">
        <v>1001</v>
      </c>
      <c r="C5955" t="s">
        <v>79</v>
      </c>
      <c r="D5955">
        <v>4.6600000000000003E-6</v>
      </c>
      <c r="E5955" t="s">
        <v>74</v>
      </c>
      <c r="F5955">
        <v>4.6600000000000001E-3</v>
      </c>
      <c r="G5955" t="s">
        <v>75</v>
      </c>
      <c r="H5955">
        <v>4.66</v>
      </c>
      <c r="I5955" t="s">
        <v>76</v>
      </c>
      <c r="J5955" t="s">
        <v>77</v>
      </c>
    </row>
    <row r="5956" spans="1:11" x14ac:dyDescent="0.3">
      <c r="A5956" t="s">
        <v>84</v>
      </c>
      <c r="B5956">
        <v>1001</v>
      </c>
      <c r="C5956" t="s">
        <v>80</v>
      </c>
      <c r="D5956">
        <v>30.188692169999999</v>
      </c>
      <c r="E5956" t="s">
        <v>74</v>
      </c>
      <c r="F5956">
        <v>30188.692169999998</v>
      </c>
      <c r="G5956" t="s">
        <v>75</v>
      </c>
      <c r="H5956">
        <v>30188692.166999999</v>
      </c>
      <c r="I5956" t="s">
        <v>76</v>
      </c>
      <c r="J5956" t="s">
        <v>77</v>
      </c>
    </row>
    <row r="5957" spans="1:11" x14ac:dyDescent="0.3">
      <c r="A5957" t="s">
        <v>84</v>
      </c>
      <c r="B5957">
        <v>1001</v>
      </c>
      <c r="C5957" t="s">
        <v>81</v>
      </c>
      <c r="D5957">
        <v>30.188694120000001</v>
      </c>
      <c r="E5957" t="s">
        <v>74</v>
      </c>
      <c r="F5957">
        <v>30188.69412</v>
      </c>
      <c r="G5957" t="s">
        <v>75</v>
      </c>
      <c r="H5957">
        <v>30188694.118000001</v>
      </c>
      <c r="I5957" t="s">
        <v>76</v>
      </c>
      <c r="J5957" t="s">
        <v>82</v>
      </c>
      <c r="K5957">
        <v>3.3125000000000002E-2</v>
      </c>
    </row>
    <row r="5958" spans="1:11" x14ac:dyDescent="0.3">
      <c r="A5958" t="s">
        <v>85</v>
      </c>
      <c r="B5958">
        <v>1001</v>
      </c>
      <c r="C5958" t="s">
        <v>86</v>
      </c>
      <c r="D5958">
        <v>30.18870192</v>
      </c>
      <c r="E5958" t="s">
        <v>74</v>
      </c>
      <c r="F5958">
        <v>30188.70192</v>
      </c>
      <c r="G5958" t="s">
        <v>75</v>
      </c>
      <c r="H5958">
        <v>30188701.923</v>
      </c>
      <c r="I5958" t="s">
        <v>76</v>
      </c>
      <c r="J5958" t="s">
        <v>82</v>
      </c>
      <c r="K5958">
        <v>3.3125000000000002E-2</v>
      </c>
    </row>
    <row r="5959" spans="1:11" x14ac:dyDescent="0.3">
      <c r="A5959" t="s">
        <v>87</v>
      </c>
    </row>
    <row r="5960" spans="1:11" x14ac:dyDescent="0.3">
      <c r="A5960" t="s">
        <v>88</v>
      </c>
    </row>
    <row r="5961" spans="1:11" x14ac:dyDescent="0.3">
      <c r="A5961" t="s">
        <v>72</v>
      </c>
      <c r="B5961">
        <v>1</v>
      </c>
      <c r="C5961" t="s">
        <v>81</v>
      </c>
      <c r="D5961">
        <v>1.07246482</v>
      </c>
      <c r="E5961" t="s">
        <v>74</v>
      </c>
      <c r="F5961">
        <v>1072.4648199999999</v>
      </c>
      <c r="G5961" t="s">
        <v>75</v>
      </c>
      <c r="H5961">
        <v>1072464.824</v>
      </c>
      <c r="I5961" t="s">
        <v>76</v>
      </c>
      <c r="J5961" t="s">
        <v>82</v>
      </c>
      <c r="K5961">
        <v>0.93243149999999997</v>
      </c>
    </row>
    <row r="5962" spans="1:11" x14ac:dyDescent="0.3">
      <c r="A5962" t="s">
        <v>83</v>
      </c>
      <c r="B5962">
        <v>1000</v>
      </c>
      <c r="C5962" t="s">
        <v>81</v>
      </c>
      <c r="D5962">
        <v>30.217810549999999</v>
      </c>
      <c r="E5962" t="s">
        <v>74</v>
      </c>
      <c r="F5962">
        <v>30217.810549999998</v>
      </c>
      <c r="G5962" t="s">
        <v>75</v>
      </c>
      <c r="H5962">
        <v>30217810.546999998</v>
      </c>
      <c r="I5962" t="s">
        <v>76</v>
      </c>
      <c r="J5962" t="s">
        <v>82</v>
      </c>
      <c r="K5962">
        <v>3.30931E-2</v>
      </c>
    </row>
    <row r="5963" spans="1:11" x14ac:dyDescent="0.3">
      <c r="A5963" t="s">
        <v>85</v>
      </c>
      <c r="B5963">
        <v>1001</v>
      </c>
      <c r="C5963" t="s">
        <v>86</v>
      </c>
      <c r="D5963">
        <v>30.18870192</v>
      </c>
      <c r="E5963" t="s">
        <v>74</v>
      </c>
      <c r="F5963">
        <v>30188.70192</v>
      </c>
      <c r="G5963" t="s">
        <v>75</v>
      </c>
      <c r="H5963">
        <v>30188701.923</v>
      </c>
      <c r="I5963" t="s">
        <v>76</v>
      </c>
      <c r="J5963" t="s">
        <v>82</v>
      </c>
      <c r="K5963">
        <v>3.3125000000000002E-2</v>
      </c>
    </row>
    <row r="5965" spans="1:11" x14ac:dyDescent="0.3">
      <c r="A5965" t="s">
        <v>66</v>
      </c>
    </row>
    <row r="5967" spans="1:11" x14ac:dyDescent="0.3">
      <c r="A5967" t="s">
        <v>359</v>
      </c>
    </row>
    <row r="5968" spans="1:11" x14ac:dyDescent="0.3">
      <c r="A5968" t="s">
        <v>68</v>
      </c>
    </row>
    <row r="5969" spans="1:11" x14ac:dyDescent="0.3">
      <c r="A5969" t="s">
        <v>69</v>
      </c>
    </row>
    <row r="5970" spans="1:11" x14ac:dyDescent="0.3">
      <c r="A5970" t="s">
        <v>70</v>
      </c>
    </row>
    <row r="5971" spans="1:11" x14ac:dyDescent="0.3">
      <c r="A5971" t="s">
        <v>90</v>
      </c>
    </row>
    <row r="5972" spans="1:11" x14ac:dyDescent="0.3">
      <c r="A5972" t="s">
        <v>72</v>
      </c>
      <c r="B5972">
        <v>1</v>
      </c>
      <c r="C5972" t="s">
        <v>73</v>
      </c>
      <c r="D5972">
        <v>4.5000000000000001E-6</v>
      </c>
      <c r="E5972" t="s">
        <v>74</v>
      </c>
      <c r="F5972">
        <v>4.4999999999999997E-3</v>
      </c>
      <c r="G5972" t="s">
        <v>75</v>
      </c>
      <c r="H5972">
        <v>4.5</v>
      </c>
      <c r="I5972" t="s">
        <v>76</v>
      </c>
      <c r="J5972" t="s">
        <v>77</v>
      </c>
    </row>
    <row r="5973" spans="1:11" x14ac:dyDescent="0.3">
      <c r="A5973" t="s">
        <v>72</v>
      </c>
      <c r="B5973">
        <v>1</v>
      </c>
      <c r="C5973" t="s">
        <v>78</v>
      </c>
      <c r="D5973">
        <v>4.4100000000000001E-5</v>
      </c>
      <c r="E5973" t="s">
        <v>74</v>
      </c>
      <c r="F5973">
        <v>4.41E-2</v>
      </c>
      <c r="G5973" t="s">
        <v>75</v>
      </c>
      <c r="H5973">
        <v>44.1</v>
      </c>
      <c r="I5973" t="s">
        <v>76</v>
      </c>
      <c r="J5973" t="s">
        <v>77</v>
      </c>
    </row>
    <row r="5974" spans="1:11" x14ac:dyDescent="0.3">
      <c r="A5974" t="s">
        <v>72</v>
      </c>
      <c r="B5974">
        <v>1</v>
      </c>
      <c r="C5974" t="s">
        <v>91</v>
      </c>
      <c r="D5974">
        <v>2.2246000000000002E-3</v>
      </c>
      <c r="E5974" t="s">
        <v>74</v>
      </c>
      <c r="F5974">
        <v>2.2246000000000001</v>
      </c>
      <c r="G5974" t="s">
        <v>75</v>
      </c>
      <c r="H5974">
        <v>2224.6</v>
      </c>
      <c r="I5974" t="s">
        <v>76</v>
      </c>
      <c r="J5974" t="s">
        <v>77</v>
      </c>
    </row>
    <row r="5975" spans="1:11" x14ac:dyDescent="0.3">
      <c r="A5975" t="s">
        <v>72</v>
      </c>
      <c r="B5975">
        <v>1</v>
      </c>
      <c r="C5975" t="s">
        <v>92</v>
      </c>
      <c r="D5975">
        <v>1.18821E-2</v>
      </c>
      <c r="E5975" t="s">
        <v>74</v>
      </c>
      <c r="F5975">
        <v>11.882099999999999</v>
      </c>
      <c r="G5975" t="s">
        <v>75</v>
      </c>
      <c r="H5975">
        <v>11882.1</v>
      </c>
      <c r="I5975" t="s">
        <v>76</v>
      </c>
      <c r="J5975" t="s">
        <v>77</v>
      </c>
    </row>
    <row r="5976" spans="1:11" x14ac:dyDescent="0.3">
      <c r="A5976" t="s">
        <v>72</v>
      </c>
      <c r="B5976">
        <v>1</v>
      </c>
      <c r="C5976" t="s">
        <v>93</v>
      </c>
      <c r="D5976">
        <v>1.6994E-3</v>
      </c>
      <c r="E5976" t="s">
        <v>74</v>
      </c>
      <c r="F5976">
        <v>1.6994</v>
      </c>
      <c r="G5976" t="s">
        <v>75</v>
      </c>
      <c r="H5976">
        <v>1699.4</v>
      </c>
      <c r="I5976" t="s">
        <v>76</v>
      </c>
      <c r="J5976" t="s">
        <v>77</v>
      </c>
    </row>
    <row r="5977" spans="1:11" x14ac:dyDescent="0.3">
      <c r="A5977" t="s">
        <v>72</v>
      </c>
      <c r="B5977">
        <v>1</v>
      </c>
      <c r="C5977" t="s">
        <v>79</v>
      </c>
      <c r="D5977">
        <v>1.58078E-2</v>
      </c>
      <c r="E5977" t="s">
        <v>74</v>
      </c>
      <c r="F5977">
        <v>15.8078</v>
      </c>
      <c r="G5977" t="s">
        <v>75</v>
      </c>
      <c r="H5977">
        <v>15807.8</v>
      </c>
      <c r="I5977" t="s">
        <v>76</v>
      </c>
      <c r="J5977" t="s">
        <v>77</v>
      </c>
    </row>
    <row r="5978" spans="1:11" x14ac:dyDescent="0.3">
      <c r="A5978" t="s">
        <v>72</v>
      </c>
      <c r="B5978">
        <v>1</v>
      </c>
      <c r="C5978" t="s">
        <v>94</v>
      </c>
      <c r="D5978">
        <v>9.4336999999999997E-3</v>
      </c>
      <c r="E5978" t="s">
        <v>74</v>
      </c>
      <c r="F5978">
        <v>9.4337</v>
      </c>
      <c r="G5978" t="s">
        <v>75</v>
      </c>
      <c r="H5978">
        <v>9433.7000000000007</v>
      </c>
      <c r="I5978" t="s">
        <v>76</v>
      </c>
      <c r="J5978" t="s">
        <v>77</v>
      </c>
    </row>
    <row r="5979" spans="1:11" x14ac:dyDescent="0.3">
      <c r="A5979" t="s">
        <v>72</v>
      </c>
      <c r="B5979">
        <v>1</v>
      </c>
      <c r="C5979" t="s">
        <v>80</v>
      </c>
      <c r="D5979">
        <v>9.4357E-3</v>
      </c>
      <c r="E5979" t="s">
        <v>74</v>
      </c>
      <c r="F5979">
        <v>9.4357000000000006</v>
      </c>
      <c r="G5979" t="s">
        <v>75</v>
      </c>
      <c r="H5979">
        <v>9435.7000000000007</v>
      </c>
      <c r="I5979" t="s">
        <v>76</v>
      </c>
      <c r="J5979" t="s">
        <v>77</v>
      </c>
    </row>
    <row r="5980" spans="1:11" x14ac:dyDescent="0.3">
      <c r="A5980" t="s">
        <v>72</v>
      </c>
      <c r="B5980">
        <v>1</v>
      </c>
      <c r="C5980" t="s">
        <v>81</v>
      </c>
      <c r="D5980">
        <v>2.5246399999999999E-2</v>
      </c>
      <c r="E5980" t="s">
        <v>74</v>
      </c>
      <c r="F5980">
        <v>25.246400000000001</v>
      </c>
      <c r="G5980" t="s">
        <v>75</v>
      </c>
      <c r="H5980">
        <v>25246.400000000001</v>
      </c>
      <c r="I5980" t="s">
        <v>76</v>
      </c>
      <c r="J5980" t="s">
        <v>82</v>
      </c>
      <c r="K5980">
        <v>39.609607099999998</v>
      </c>
    </row>
    <row r="5981" spans="1:11" x14ac:dyDescent="0.3">
      <c r="A5981" t="s">
        <v>83</v>
      </c>
      <c r="B5981">
        <v>1000</v>
      </c>
      <c r="C5981" t="s">
        <v>91</v>
      </c>
      <c r="D5981">
        <v>5.4480000000000002E-4</v>
      </c>
      <c r="E5981" t="s">
        <v>74</v>
      </c>
      <c r="F5981">
        <v>0.54479999999999995</v>
      </c>
      <c r="G5981" t="s">
        <v>75</v>
      </c>
      <c r="H5981">
        <v>544.79899999999998</v>
      </c>
      <c r="I5981" t="s">
        <v>76</v>
      </c>
      <c r="J5981" t="s">
        <v>77</v>
      </c>
    </row>
    <row r="5982" spans="1:11" x14ac:dyDescent="0.3">
      <c r="A5982" t="s">
        <v>83</v>
      </c>
      <c r="B5982">
        <v>1000</v>
      </c>
      <c r="C5982" t="s">
        <v>92</v>
      </c>
      <c r="D5982">
        <v>1.0729209999999999E-2</v>
      </c>
      <c r="E5982" t="s">
        <v>74</v>
      </c>
      <c r="F5982">
        <v>10.72921</v>
      </c>
      <c r="G5982" t="s">
        <v>75</v>
      </c>
      <c r="H5982">
        <v>10729.213</v>
      </c>
      <c r="I5982" t="s">
        <v>76</v>
      </c>
      <c r="J5982" t="s">
        <v>77</v>
      </c>
    </row>
    <row r="5983" spans="1:11" x14ac:dyDescent="0.3">
      <c r="A5983" t="s">
        <v>83</v>
      </c>
      <c r="B5983">
        <v>1000</v>
      </c>
      <c r="C5983" t="s">
        <v>93</v>
      </c>
      <c r="D5983">
        <v>5.0153000000000003E-4</v>
      </c>
      <c r="E5983" t="s">
        <v>74</v>
      </c>
      <c r="F5983">
        <v>0.50153000000000003</v>
      </c>
      <c r="G5983" t="s">
        <v>75</v>
      </c>
      <c r="H5983">
        <v>501.53</v>
      </c>
      <c r="I5983" t="s">
        <v>76</v>
      </c>
      <c r="J5983" t="s">
        <v>77</v>
      </c>
    </row>
    <row r="5984" spans="1:11" x14ac:dyDescent="0.3">
      <c r="A5984" t="s">
        <v>83</v>
      </c>
      <c r="B5984">
        <v>1000</v>
      </c>
      <c r="C5984" t="s">
        <v>79</v>
      </c>
      <c r="D5984">
        <v>1.177603E-2</v>
      </c>
      <c r="E5984" t="s">
        <v>74</v>
      </c>
      <c r="F5984">
        <v>11.77603</v>
      </c>
      <c r="G5984" t="s">
        <v>75</v>
      </c>
      <c r="H5984">
        <v>11776.027</v>
      </c>
      <c r="I5984" t="s">
        <v>76</v>
      </c>
      <c r="J5984" t="s">
        <v>77</v>
      </c>
    </row>
    <row r="5985" spans="1:11" x14ac:dyDescent="0.3">
      <c r="A5985" t="s">
        <v>83</v>
      </c>
      <c r="B5985">
        <v>1000</v>
      </c>
      <c r="C5985" t="s">
        <v>94</v>
      </c>
      <c r="D5985">
        <v>2.7262100000000002E-3</v>
      </c>
      <c r="E5985" t="s">
        <v>74</v>
      </c>
      <c r="F5985">
        <v>2.72621</v>
      </c>
      <c r="G5985" t="s">
        <v>75</v>
      </c>
      <c r="H5985">
        <v>2726.2089999999998</v>
      </c>
      <c r="I5985" t="s">
        <v>76</v>
      </c>
      <c r="J5985" t="s">
        <v>77</v>
      </c>
    </row>
    <row r="5986" spans="1:11" x14ac:dyDescent="0.3">
      <c r="A5986" t="s">
        <v>83</v>
      </c>
      <c r="B5986">
        <v>1000</v>
      </c>
      <c r="C5986" t="s">
        <v>80</v>
      </c>
      <c r="D5986">
        <v>2.90661E-3</v>
      </c>
      <c r="E5986" t="s">
        <v>74</v>
      </c>
      <c r="F5986">
        <v>2.9066100000000001</v>
      </c>
      <c r="G5986" t="s">
        <v>75</v>
      </c>
      <c r="H5986">
        <v>2906.61</v>
      </c>
      <c r="I5986" t="s">
        <v>76</v>
      </c>
      <c r="J5986" t="s">
        <v>77</v>
      </c>
    </row>
    <row r="5987" spans="1:11" x14ac:dyDescent="0.3">
      <c r="A5987" t="s">
        <v>83</v>
      </c>
      <c r="B5987">
        <v>1000</v>
      </c>
      <c r="C5987" t="s">
        <v>81</v>
      </c>
      <c r="D5987">
        <v>1.468408E-2</v>
      </c>
      <c r="E5987" t="s">
        <v>74</v>
      </c>
      <c r="F5987">
        <v>14.68408</v>
      </c>
      <c r="G5987" t="s">
        <v>75</v>
      </c>
      <c r="H5987">
        <v>14684.079</v>
      </c>
      <c r="I5987" t="s">
        <v>76</v>
      </c>
      <c r="J5987" t="s">
        <v>82</v>
      </c>
      <c r="K5987">
        <v>68.100967600000004</v>
      </c>
    </row>
    <row r="5988" spans="1:11" x14ac:dyDescent="0.3">
      <c r="A5988" t="s">
        <v>84</v>
      </c>
      <c r="B5988">
        <v>1001</v>
      </c>
      <c r="C5988" t="s">
        <v>91</v>
      </c>
      <c r="D5988">
        <v>5.4648000000000001E-4</v>
      </c>
      <c r="E5988" t="s">
        <v>74</v>
      </c>
      <c r="F5988">
        <v>0.54647999999999997</v>
      </c>
      <c r="G5988" t="s">
        <v>75</v>
      </c>
      <c r="H5988">
        <v>546.47699999999998</v>
      </c>
      <c r="I5988" t="s">
        <v>76</v>
      </c>
      <c r="J5988" t="s">
        <v>77</v>
      </c>
    </row>
    <row r="5989" spans="1:11" x14ac:dyDescent="0.3">
      <c r="A5989" t="s">
        <v>84</v>
      </c>
      <c r="B5989">
        <v>1001</v>
      </c>
      <c r="C5989" t="s">
        <v>92</v>
      </c>
      <c r="D5989">
        <v>1.073036E-2</v>
      </c>
      <c r="E5989" t="s">
        <v>74</v>
      </c>
      <c r="F5989">
        <v>10.730359999999999</v>
      </c>
      <c r="G5989" t="s">
        <v>75</v>
      </c>
      <c r="H5989">
        <v>10730.362999999999</v>
      </c>
      <c r="I5989" t="s">
        <v>76</v>
      </c>
      <c r="J5989" t="s">
        <v>77</v>
      </c>
    </row>
    <row r="5990" spans="1:11" x14ac:dyDescent="0.3">
      <c r="A5990" t="s">
        <v>84</v>
      </c>
      <c r="B5990">
        <v>1001</v>
      </c>
      <c r="C5990" t="s">
        <v>93</v>
      </c>
      <c r="D5990">
        <v>5.0272999999999995E-4</v>
      </c>
      <c r="E5990" t="s">
        <v>74</v>
      </c>
      <c r="F5990">
        <v>0.50273000000000001</v>
      </c>
      <c r="G5990" t="s">
        <v>75</v>
      </c>
      <c r="H5990">
        <v>502.72699999999998</v>
      </c>
      <c r="I5990" t="s">
        <v>76</v>
      </c>
      <c r="J5990" t="s">
        <v>77</v>
      </c>
    </row>
    <row r="5991" spans="1:11" x14ac:dyDescent="0.3">
      <c r="A5991" t="s">
        <v>84</v>
      </c>
      <c r="B5991">
        <v>1001</v>
      </c>
      <c r="C5991" t="s">
        <v>79</v>
      </c>
      <c r="D5991">
        <v>1.178005E-2</v>
      </c>
      <c r="E5991" t="s">
        <v>74</v>
      </c>
      <c r="F5991">
        <v>11.780049999999999</v>
      </c>
      <c r="G5991" t="s">
        <v>75</v>
      </c>
      <c r="H5991">
        <v>11780.055</v>
      </c>
      <c r="I5991" t="s">
        <v>76</v>
      </c>
      <c r="J5991" t="s">
        <v>77</v>
      </c>
    </row>
    <row r="5992" spans="1:11" x14ac:dyDescent="0.3">
      <c r="A5992" t="s">
        <v>84</v>
      </c>
      <c r="B5992">
        <v>1001</v>
      </c>
      <c r="C5992" t="s">
        <v>94</v>
      </c>
      <c r="D5992">
        <v>2.7329099999999999E-3</v>
      </c>
      <c r="E5992" t="s">
        <v>74</v>
      </c>
      <c r="F5992">
        <v>2.73291</v>
      </c>
      <c r="G5992" t="s">
        <v>75</v>
      </c>
      <c r="H5992">
        <v>2732.91</v>
      </c>
      <c r="I5992" t="s">
        <v>76</v>
      </c>
      <c r="J5992" t="s">
        <v>77</v>
      </c>
    </row>
    <row r="5993" spans="1:11" x14ac:dyDescent="0.3">
      <c r="A5993" t="s">
        <v>84</v>
      </c>
      <c r="B5993">
        <v>1001</v>
      </c>
      <c r="C5993" t="s">
        <v>80</v>
      </c>
      <c r="D5993">
        <v>2.9131299999999999E-3</v>
      </c>
      <c r="E5993" t="s">
        <v>74</v>
      </c>
      <c r="F5993">
        <v>2.9131300000000002</v>
      </c>
      <c r="G5993" t="s">
        <v>75</v>
      </c>
      <c r="H5993">
        <v>2913.1329999999998</v>
      </c>
      <c r="I5993" t="s">
        <v>76</v>
      </c>
      <c r="J5993" t="s">
        <v>77</v>
      </c>
    </row>
    <row r="5994" spans="1:11" x14ac:dyDescent="0.3">
      <c r="A5994" t="s">
        <v>84</v>
      </c>
      <c r="B5994">
        <v>1001</v>
      </c>
      <c r="C5994" t="s">
        <v>81</v>
      </c>
      <c r="D5994">
        <v>1.469463E-2</v>
      </c>
      <c r="E5994" t="s">
        <v>74</v>
      </c>
      <c r="F5994">
        <v>14.69463</v>
      </c>
      <c r="G5994" t="s">
        <v>75</v>
      </c>
      <c r="H5994">
        <v>14694.630999999999</v>
      </c>
      <c r="I5994" t="s">
        <v>76</v>
      </c>
      <c r="J5994" t="s">
        <v>82</v>
      </c>
      <c r="K5994">
        <v>68.052065400000004</v>
      </c>
    </row>
    <row r="5995" spans="1:11" x14ac:dyDescent="0.3">
      <c r="A5995" t="s">
        <v>85</v>
      </c>
      <c r="B5995">
        <v>1001</v>
      </c>
      <c r="C5995" t="s">
        <v>86</v>
      </c>
      <c r="D5995">
        <v>1.469488E-2</v>
      </c>
      <c r="E5995" t="s">
        <v>74</v>
      </c>
      <c r="F5995">
        <v>14.694879999999999</v>
      </c>
      <c r="G5995" t="s">
        <v>75</v>
      </c>
      <c r="H5995">
        <v>14694.885</v>
      </c>
      <c r="I5995" t="s">
        <v>76</v>
      </c>
      <c r="J5995" t="s">
        <v>82</v>
      </c>
      <c r="K5995">
        <v>68.050891699999994</v>
      </c>
    </row>
    <row r="5996" spans="1:11" x14ac:dyDescent="0.3">
      <c r="A5996" t="s">
        <v>95</v>
      </c>
    </row>
    <row r="5997" spans="1:11" x14ac:dyDescent="0.3">
      <c r="A5997" t="s">
        <v>72</v>
      </c>
      <c r="B5997">
        <v>1</v>
      </c>
      <c r="C5997" t="s">
        <v>73</v>
      </c>
      <c r="D5997">
        <v>4.5000000000000001E-6</v>
      </c>
      <c r="E5997" t="s">
        <v>74</v>
      </c>
      <c r="F5997">
        <v>4.4999999999999997E-3</v>
      </c>
      <c r="G5997" t="s">
        <v>75</v>
      </c>
      <c r="H5997">
        <v>4.5</v>
      </c>
      <c r="I5997" t="s">
        <v>76</v>
      </c>
      <c r="J5997" t="s">
        <v>77</v>
      </c>
    </row>
    <row r="5998" spans="1:11" x14ac:dyDescent="0.3">
      <c r="A5998" t="s">
        <v>72</v>
      </c>
      <c r="B5998">
        <v>1</v>
      </c>
      <c r="C5998" t="s">
        <v>78</v>
      </c>
      <c r="D5998">
        <v>4.0599999999999998E-5</v>
      </c>
      <c r="E5998" t="s">
        <v>74</v>
      </c>
      <c r="F5998">
        <v>4.0599999999999997E-2</v>
      </c>
      <c r="G5998" t="s">
        <v>75</v>
      </c>
      <c r="H5998">
        <v>40.6</v>
      </c>
      <c r="I5998" t="s">
        <v>76</v>
      </c>
      <c r="J5998" t="s">
        <v>77</v>
      </c>
    </row>
    <row r="5999" spans="1:11" x14ac:dyDescent="0.3">
      <c r="A5999" t="s">
        <v>72</v>
      </c>
      <c r="B5999">
        <v>1</v>
      </c>
      <c r="C5999" t="s">
        <v>91</v>
      </c>
      <c r="D5999">
        <v>2.0804999999999999E-3</v>
      </c>
      <c r="E5999" t="s">
        <v>74</v>
      </c>
      <c r="F5999">
        <v>2.0804999999999998</v>
      </c>
      <c r="G5999" t="s">
        <v>75</v>
      </c>
      <c r="H5999">
        <v>2080.5</v>
      </c>
      <c r="I5999" t="s">
        <v>76</v>
      </c>
      <c r="J5999" t="s">
        <v>77</v>
      </c>
    </row>
    <row r="6000" spans="1:11" x14ac:dyDescent="0.3">
      <c r="A6000" t="s">
        <v>72</v>
      </c>
      <c r="B6000">
        <v>1</v>
      </c>
      <c r="C6000" t="s">
        <v>92</v>
      </c>
      <c r="D6000">
        <v>1.16553E-2</v>
      </c>
      <c r="E6000" t="s">
        <v>74</v>
      </c>
      <c r="F6000">
        <v>11.6553</v>
      </c>
      <c r="G6000" t="s">
        <v>75</v>
      </c>
      <c r="H6000">
        <v>11655.3</v>
      </c>
      <c r="I6000" t="s">
        <v>76</v>
      </c>
      <c r="J6000" t="s">
        <v>77</v>
      </c>
    </row>
    <row r="6001" spans="1:11" x14ac:dyDescent="0.3">
      <c r="A6001" t="s">
        <v>72</v>
      </c>
      <c r="B6001">
        <v>1</v>
      </c>
      <c r="C6001" t="s">
        <v>93</v>
      </c>
      <c r="D6001">
        <v>1.5732999999999999E-3</v>
      </c>
      <c r="E6001" t="s">
        <v>74</v>
      </c>
      <c r="F6001">
        <v>1.5732999999999999</v>
      </c>
      <c r="G6001" t="s">
        <v>75</v>
      </c>
      <c r="H6001">
        <v>1573.3</v>
      </c>
      <c r="I6001" t="s">
        <v>76</v>
      </c>
      <c r="J6001" t="s">
        <v>77</v>
      </c>
    </row>
    <row r="6002" spans="1:11" x14ac:dyDescent="0.3">
      <c r="A6002" t="s">
        <v>72</v>
      </c>
      <c r="B6002">
        <v>1</v>
      </c>
      <c r="C6002" t="s">
        <v>79</v>
      </c>
      <c r="D6002">
        <v>1.5309400000000001E-2</v>
      </c>
      <c r="E6002" t="s">
        <v>74</v>
      </c>
      <c r="F6002">
        <v>15.3094</v>
      </c>
      <c r="G6002" t="s">
        <v>75</v>
      </c>
      <c r="H6002">
        <v>15309.4</v>
      </c>
      <c r="I6002" t="s">
        <v>76</v>
      </c>
      <c r="J6002" t="s">
        <v>77</v>
      </c>
    </row>
    <row r="6003" spans="1:11" x14ac:dyDescent="0.3">
      <c r="A6003" t="s">
        <v>72</v>
      </c>
      <c r="B6003">
        <v>1</v>
      </c>
      <c r="C6003" t="s">
        <v>96</v>
      </c>
      <c r="D6003">
        <v>1.9559E-3</v>
      </c>
      <c r="E6003" t="s">
        <v>74</v>
      </c>
      <c r="F6003">
        <v>1.9559</v>
      </c>
      <c r="G6003" t="s">
        <v>75</v>
      </c>
      <c r="H6003">
        <v>1955.9</v>
      </c>
      <c r="I6003" t="s">
        <v>76</v>
      </c>
      <c r="J6003" t="s">
        <v>77</v>
      </c>
    </row>
    <row r="6004" spans="1:11" x14ac:dyDescent="0.3">
      <c r="A6004" t="s">
        <v>72</v>
      </c>
      <c r="B6004">
        <v>1</v>
      </c>
      <c r="C6004" t="s">
        <v>94</v>
      </c>
      <c r="D6004">
        <v>3.1491000000000002E-3</v>
      </c>
      <c r="E6004" t="s">
        <v>74</v>
      </c>
      <c r="F6004">
        <v>3.1490999999999998</v>
      </c>
      <c r="G6004" t="s">
        <v>75</v>
      </c>
      <c r="H6004">
        <v>3149.1</v>
      </c>
      <c r="I6004" t="s">
        <v>76</v>
      </c>
      <c r="J6004" t="s">
        <v>77</v>
      </c>
    </row>
    <row r="6005" spans="1:11" x14ac:dyDescent="0.3">
      <c r="A6005" t="s">
        <v>72</v>
      </c>
      <c r="B6005">
        <v>1</v>
      </c>
      <c r="C6005" t="s">
        <v>80</v>
      </c>
      <c r="D6005">
        <v>5.2354000000000003E-3</v>
      </c>
      <c r="E6005" t="s">
        <v>74</v>
      </c>
      <c r="F6005">
        <v>5.2354000000000003</v>
      </c>
      <c r="G6005" t="s">
        <v>75</v>
      </c>
      <c r="H6005">
        <v>5235.3999999999996</v>
      </c>
      <c r="I6005" t="s">
        <v>76</v>
      </c>
      <c r="J6005" t="s">
        <v>77</v>
      </c>
    </row>
    <row r="6006" spans="1:11" x14ac:dyDescent="0.3">
      <c r="A6006" t="s">
        <v>72</v>
      </c>
      <c r="B6006">
        <v>1</v>
      </c>
      <c r="C6006" t="s">
        <v>81</v>
      </c>
      <c r="D6006">
        <v>2.0545600000000001E-2</v>
      </c>
      <c r="E6006" t="s">
        <v>74</v>
      </c>
      <c r="F6006">
        <v>20.5456</v>
      </c>
      <c r="G6006" t="s">
        <v>75</v>
      </c>
      <c r="H6006">
        <v>20545.599999999999</v>
      </c>
      <c r="I6006" t="s">
        <v>76</v>
      </c>
      <c r="J6006" t="s">
        <v>82</v>
      </c>
      <c r="K6006">
        <v>48.672221800000003</v>
      </c>
    </row>
    <row r="6007" spans="1:11" x14ac:dyDescent="0.3">
      <c r="A6007" t="s">
        <v>83</v>
      </c>
      <c r="B6007">
        <v>1000</v>
      </c>
      <c r="C6007" t="s">
        <v>91</v>
      </c>
      <c r="D6007">
        <v>5.4009000000000001E-4</v>
      </c>
      <c r="E6007" t="s">
        <v>74</v>
      </c>
      <c r="F6007">
        <v>0.54008999999999996</v>
      </c>
      <c r="G6007" t="s">
        <v>75</v>
      </c>
      <c r="H6007">
        <v>540.09100000000001</v>
      </c>
      <c r="I6007" t="s">
        <v>76</v>
      </c>
      <c r="J6007" t="s">
        <v>77</v>
      </c>
    </row>
    <row r="6008" spans="1:11" x14ac:dyDescent="0.3">
      <c r="A6008" t="s">
        <v>83</v>
      </c>
      <c r="B6008">
        <v>1000</v>
      </c>
      <c r="C6008" t="s">
        <v>92</v>
      </c>
      <c r="D6008">
        <v>1.067045E-2</v>
      </c>
      <c r="E6008" t="s">
        <v>74</v>
      </c>
      <c r="F6008">
        <v>10.670450000000001</v>
      </c>
      <c r="G6008" t="s">
        <v>75</v>
      </c>
      <c r="H6008">
        <v>10670.453</v>
      </c>
      <c r="I6008" t="s">
        <v>76</v>
      </c>
      <c r="J6008" t="s">
        <v>77</v>
      </c>
    </row>
    <row r="6009" spans="1:11" x14ac:dyDescent="0.3">
      <c r="A6009" t="s">
        <v>83</v>
      </c>
      <c r="B6009">
        <v>1000</v>
      </c>
      <c r="C6009" t="s">
        <v>93</v>
      </c>
      <c r="D6009">
        <v>5.0515E-4</v>
      </c>
      <c r="E6009" t="s">
        <v>74</v>
      </c>
      <c r="F6009">
        <v>0.50514999999999999</v>
      </c>
      <c r="G6009" t="s">
        <v>75</v>
      </c>
      <c r="H6009">
        <v>505.14600000000002</v>
      </c>
      <c r="I6009" t="s">
        <v>76</v>
      </c>
      <c r="J6009" t="s">
        <v>77</v>
      </c>
    </row>
    <row r="6010" spans="1:11" x14ac:dyDescent="0.3">
      <c r="A6010" t="s">
        <v>83</v>
      </c>
      <c r="B6010">
        <v>1000</v>
      </c>
      <c r="C6010" t="s">
        <v>79</v>
      </c>
      <c r="D6010">
        <v>1.171608E-2</v>
      </c>
      <c r="E6010" t="s">
        <v>74</v>
      </c>
      <c r="F6010">
        <v>11.71608</v>
      </c>
      <c r="G6010" t="s">
        <v>75</v>
      </c>
      <c r="H6010">
        <v>11716.082</v>
      </c>
      <c r="I6010" t="s">
        <v>76</v>
      </c>
      <c r="J6010" t="s">
        <v>77</v>
      </c>
    </row>
    <row r="6011" spans="1:11" x14ac:dyDescent="0.3">
      <c r="A6011" t="s">
        <v>83</v>
      </c>
      <c r="B6011">
        <v>1000</v>
      </c>
      <c r="C6011" t="s">
        <v>96</v>
      </c>
      <c r="D6011">
        <v>1.7789500000000001E-3</v>
      </c>
      <c r="E6011" t="s">
        <v>74</v>
      </c>
      <c r="F6011">
        <v>1.77895</v>
      </c>
      <c r="G6011" t="s">
        <v>75</v>
      </c>
      <c r="H6011">
        <v>1778.9459999999999</v>
      </c>
      <c r="I6011" t="s">
        <v>76</v>
      </c>
      <c r="J6011" t="s">
        <v>77</v>
      </c>
    </row>
    <row r="6012" spans="1:11" x14ac:dyDescent="0.3">
      <c r="A6012" t="s">
        <v>83</v>
      </c>
      <c r="B6012">
        <v>1000</v>
      </c>
      <c r="C6012" t="s">
        <v>94</v>
      </c>
      <c r="D6012">
        <v>3.06726E-3</v>
      </c>
      <c r="E6012" t="s">
        <v>74</v>
      </c>
      <c r="F6012">
        <v>3.0672600000000001</v>
      </c>
      <c r="G6012" t="s">
        <v>75</v>
      </c>
      <c r="H6012">
        <v>3067.2640000000001</v>
      </c>
      <c r="I6012" t="s">
        <v>76</v>
      </c>
      <c r="J6012" t="s">
        <v>77</v>
      </c>
    </row>
    <row r="6013" spans="1:11" x14ac:dyDescent="0.3">
      <c r="A6013" t="s">
        <v>83</v>
      </c>
      <c r="B6013">
        <v>1000</v>
      </c>
      <c r="C6013" t="s">
        <v>80</v>
      </c>
      <c r="D6013">
        <v>4.9776200000000003E-3</v>
      </c>
      <c r="E6013" t="s">
        <v>74</v>
      </c>
      <c r="F6013">
        <v>4.9776199999999999</v>
      </c>
      <c r="G6013" t="s">
        <v>75</v>
      </c>
      <c r="H6013">
        <v>4977.6239999999998</v>
      </c>
      <c r="I6013" t="s">
        <v>76</v>
      </c>
      <c r="J6013" t="s">
        <v>77</v>
      </c>
    </row>
    <row r="6014" spans="1:11" x14ac:dyDescent="0.3">
      <c r="A6014" t="s">
        <v>83</v>
      </c>
      <c r="B6014">
        <v>1000</v>
      </c>
      <c r="C6014" t="s">
        <v>81</v>
      </c>
      <c r="D6014">
        <v>1.6695419999999999E-2</v>
      </c>
      <c r="E6014" t="s">
        <v>74</v>
      </c>
      <c r="F6014">
        <v>16.695419999999999</v>
      </c>
      <c r="G6014" t="s">
        <v>75</v>
      </c>
      <c r="H6014">
        <v>16695.417000000001</v>
      </c>
      <c r="I6014" t="s">
        <v>76</v>
      </c>
      <c r="J6014" t="s">
        <v>82</v>
      </c>
      <c r="K6014">
        <v>59.896675600000002</v>
      </c>
    </row>
    <row r="6015" spans="1:11" x14ac:dyDescent="0.3">
      <c r="A6015" t="s">
        <v>84</v>
      </c>
      <c r="B6015">
        <v>1001</v>
      </c>
      <c r="C6015" t="s">
        <v>91</v>
      </c>
      <c r="D6015">
        <v>5.4162999999999998E-4</v>
      </c>
      <c r="E6015" t="s">
        <v>74</v>
      </c>
      <c r="F6015">
        <v>0.54162999999999994</v>
      </c>
      <c r="G6015" t="s">
        <v>75</v>
      </c>
      <c r="H6015">
        <v>541.63</v>
      </c>
      <c r="I6015" t="s">
        <v>76</v>
      </c>
      <c r="J6015" t="s">
        <v>77</v>
      </c>
    </row>
    <row r="6016" spans="1:11" x14ac:dyDescent="0.3">
      <c r="A6016" t="s">
        <v>84</v>
      </c>
      <c r="B6016">
        <v>1001</v>
      </c>
      <c r="C6016" t="s">
        <v>92</v>
      </c>
      <c r="D6016">
        <v>1.0671440000000001E-2</v>
      </c>
      <c r="E6016" t="s">
        <v>74</v>
      </c>
      <c r="F6016">
        <v>10.67144</v>
      </c>
      <c r="G6016" t="s">
        <v>75</v>
      </c>
      <c r="H6016">
        <v>10671.436</v>
      </c>
      <c r="I6016" t="s">
        <v>76</v>
      </c>
      <c r="J6016" t="s">
        <v>77</v>
      </c>
    </row>
    <row r="6017" spans="1:11" x14ac:dyDescent="0.3">
      <c r="A6017" t="s">
        <v>84</v>
      </c>
      <c r="B6017">
        <v>1001</v>
      </c>
      <c r="C6017" t="s">
        <v>93</v>
      </c>
      <c r="D6017">
        <v>5.0620999999999999E-4</v>
      </c>
      <c r="E6017" t="s">
        <v>74</v>
      </c>
      <c r="F6017">
        <v>0.50621000000000005</v>
      </c>
      <c r="G6017" t="s">
        <v>75</v>
      </c>
      <c r="H6017">
        <v>506.21300000000002</v>
      </c>
      <c r="I6017" t="s">
        <v>76</v>
      </c>
      <c r="J6017" t="s">
        <v>77</v>
      </c>
    </row>
    <row r="6018" spans="1:11" x14ac:dyDescent="0.3">
      <c r="A6018" t="s">
        <v>84</v>
      </c>
      <c r="B6018">
        <v>1001</v>
      </c>
      <c r="C6018" t="s">
        <v>79</v>
      </c>
      <c r="D6018">
        <v>1.171967E-2</v>
      </c>
      <c r="E6018" t="s">
        <v>74</v>
      </c>
      <c r="F6018">
        <v>11.719670000000001</v>
      </c>
      <c r="G6018" t="s">
        <v>75</v>
      </c>
      <c r="H6018">
        <v>11719.671</v>
      </c>
      <c r="I6018" t="s">
        <v>76</v>
      </c>
      <c r="J6018" t="s">
        <v>77</v>
      </c>
    </row>
    <row r="6019" spans="1:11" x14ac:dyDescent="0.3">
      <c r="A6019" t="s">
        <v>84</v>
      </c>
      <c r="B6019">
        <v>1001</v>
      </c>
      <c r="C6019" t="s">
        <v>96</v>
      </c>
      <c r="D6019">
        <v>1.7791199999999999E-3</v>
      </c>
      <c r="E6019" t="s">
        <v>74</v>
      </c>
      <c r="F6019">
        <v>1.77912</v>
      </c>
      <c r="G6019" t="s">
        <v>75</v>
      </c>
      <c r="H6019">
        <v>1779.1220000000001</v>
      </c>
      <c r="I6019" t="s">
        <v>76</v>
      </c>
      <c r="J6019" t="s">
        <v>77</v>
      </c>
    </row>
    <row r="6020" spans="1:11" x14ac:dyDescent="0.3">
      <c r="A6020" t="s">
        <v>84</v>
      </c>
      <c r="B6020">
        <v>1001</v>
      </c>
      <c r="C6020" t="s">
        <v>94</v>
      </c>
      <c r="D6020">
        <v>3.0673499999999999E-3</v>
      </c>
      <c r="E6020" t="s">
        <v>74</v>
      </c>
      <c r="F6020">
        <v>3.0673499999999998</v>
      </c>
      <c r="G6020" t="s">
        <v>75</v>
      </c>
      <c r="H6020">
        <v>3067.346</v>
      </c>
      <c r="I6020" t="s">
        <v>76</v>
      </c>
      <c r="J6020" t="s">
        <v>77</v>
      </c>
    </row>
    <row r="6021" spans="1:11" x14ac:dyDescent="0.3">
      <c r="A6021" t="s">
        <v>84</v>
      </c>
      <c r="B6021">
        <v>1001</v>
      </c>
      <c r="C6021" t="s">
        <v>80</v>
      </c>
      <c r="D6021">
        <v>4.9778799999999996E-3</v>
      </c>
      <c r="E6021" t="s">
        <v>74</v>
      </c>
      <c r="F6021">
        <v>4.9778799999999999</v>
      </c>
      <c r="G6021" t="s">
        <v>75</v>
      </c>
      <c r="H6021">
        <v>4977.8819999999996</v>
      </c>
      <c r="I6021" t="s">
        <v>76</v>
      </c>
      <c r="J6021" t="s">
        <v>77</v>
      </c>
    </row>
    <row r="6022" spans="1:11" x14ac:dyDescent="0.3">
      <c r="A6022" t="s">
        <v>84</v>
      </c>
      <c r="B6022">
        <v>1001</v>
      </c>
      <c r="C6022" t="s">
        <v>81</v>
      </c>
      <c r="D6022">
        <v>1.669926E-2</v>
      </c>
      <c r="E6022" t="s">
        <v>74</v>
      </c>
      <c r="F6022">
        <v>16.699259999999999</v>
      </c>
      <c r="G6022" t="s">
        <v>75</v>
      </c>
      <c r="H6022">
        <v>16699.263999999999</v>
      </c>
      <c r="I6022" t="s">
        <v>76</v>
      </c>
      <c r="J6022" t="s">
        <v>82</v>
      </c>
      <c r="K6022">
        <v>59.882878300000002</v>
      </c>
    </row>
    <row r="6023" spans="1:11" x14ac:dyDescent="0.3">
      <c r="A6023" t="s">
        <v>85</v>
      </c>
      <c r="B6023">
        <v>1001</v>
      </c>
      <c r="C6023" t="s">
        <v>86</v>
      </c>
      <c r="D6023">
        <v>1.6699519999999999E-2</v>
      </c>
      <c r="E6023" t="s">
        <v>74</v>
      </c>
      <c r="F6023">
        <v>16.69952</v>
      </c>
      <c r="G6023" t="s">
        <v>75</v>
      </c>
      <c r="H6023">
        <v>16699.518</v>
      </c>
      <c r="I6023" t="s">
        <v>76</v>
      </c>
      <c r="J6023" t="s">
        <v>82</v>
      </c>
      <c r="K6023">
        <v>59.881969599999998</v>
      </c>
    </row>
    <row r="6024" spans="1:11" x14ac:dyDescent="0.3">
      <c r="A6024" t="s">
        <v>87</v>
      </c>
    </row>
    <row r="6025" spans="1:11" x14ac:dyDescent="0.3">
      <c r="A6025" t="s">
        <v>97</v>
      </c>
    </row>
    <row r="6026" spans="1:11" x14ac:dyDescent="0.3">
      <c r="A6026" t="s">
        <v>72</v>
      </c>
      <c r="B6026">
        <v>1</v>
      </c>
      <c r="C6026" t="s">
        <v>81</v>
      </c>
      <c r="D6026">
        <v>2.5246399999999999E-2</v>
      </c>
      <c r="E6026" t="s">
        <v>74</v>
      </c>
      <c r="F6026">
        <v>25.246400000000001</v>
      </c>
      <c r="G6026" t="s">
        <v>75</v>
      </c>
      <c r="H6026">
        <v>25246.400000000001</v>
      </c>
      <c r="I6026" t="s">
        <v>76</v>
      </c>
      <c r="J6026" t="s">
        <v>82</v>
      </c>
      <c r="K6026">
        <v>39.609607099999998</v>
      </c>
    </row>
    <row r="6027" spans="1:11" x14ac:dyDescent="0.3">
      <c r="A6027" t="s">
        <v>83</v>
      </c>
      <c r="B6027">
        <v>1000</v>
      </c>
      <c r="C6027" t="s">
        <v>81</v>
      </c>
      <c r="D6027">
        <v>1.468408E-2</v>
      </c>
      <c r="E6027" t="s">
        <v>74</v>
      </c>
      <c r="F6027">
        <v>14.68408</v>
      </c>
      <c r="G6027" t="s">
        <v>75</v>
      </c>
      <c r="H6027">
        <v>14684.079</v>
      </c>
      <c r="I6027" t="s">
        <v>76</v>
      </c>
      <c r="J6027" t="s">
        <v>82</v>
      </c>
      <c r="K6027">
        <v>68.100967600000004</v>
      </c>
    </row>
    <row r="6028" spans="1:11" x14ac:dyDescent="0.3">
      <c r="A6028" t="s">
        <v>85</v>
      </c>
      <c r="B6028">
        <v>1001</v>
      </c>
      <c r="C6028" t="s">
        <v>86</v>
      </c>
      <c r="D6028">
        <v>1.469488E-2</v>
      </c>
      <c r="E6028" t="s">
        <v>74</v>
      </c>
      <c r="F6028">
        <v>14.694879999999999</v>
      </c>
      <c r="G6028" t="s">
        <v>75</v>
      </c>
      <c r="H6028">
        <v>14694.885</v>
      </c>
      <c r="I6028" t="s">
        <v>76</v>
      </c>
      <c r="J6028" t="s">
        <v>82</v>
      </c>
      <c r="K6028">
        <v>68.050891699999994</v>
      </c>
    </row>
    <row r="6030" spans="1:11" x14ac:dyDescent="0.3">
      <c r="A6030" t="s">
        <v>98</v>
      </c>
    </row>
    <row r="6031" spans="1:11" x14ac:dyDescent="0.3">
      <c r="A6031" t="s">
        <v>72</v>
      </c>
      <c r="B6031">
        <v>1</v>
      </c>
      <c r="C6031" t="s">
        <v>81</v>
      </c>
      <c r="D6031">
        <v>2.0545600000000001E-2</v>
      </c>
      <c r="E6031" t="s">
        <v>74</v>
      </c>
      <c r="F6031">
        <v>20.5456</v>
      </c>
      <c r="G6031" t="s">
        <v>75</v>
      </c>
      <c r="H6031">
        <v>20545.599999999999</v>
      </c>
      <c r="I6031" t="s">
        <v>76</v>
      </c>
      <c r="J6031" t="s">
        <v>82</v>
      </c>
      <c r="K6031">
        <v>48.672221800000003</v>
      </c>
    </row>
    <row r="6032" spans="1:11" x14ac:dyDescent="0.3">
      <c r="A6032" t="s">
        <v>83</v>
      </c>
      <c r="B6032">
        <v>1000</v>
      </c>
      <c r="C6032" t="s">
        <v>81</v>
      </c>
      <c r="D6032">
        <v>1.6695419999999999E-2</v>
      </c>
      <c r="E6032" t="s">
        <v>74</v>
      </c>
      <c r="F6032">
        <v>16.695419999999999</v>
      </c>
      <c r="G6032" t="s">
        <v>75</v>
      </c>
      <c r="H6032">
        <v>16695.417000000001</v>
      </c>
      <c r="I6032" t="s">
        <v>76</v>
      </c>
      <c r="J6032" t="s">
        <v>82</v>
      </c>
      <c r="K6032">
        <v>59.896675600000002</v>
      </c>
    </row>
    <row r="6033" spans="1:11" x14ac:dyDescent="0.3">
      <c r="A6033" t="s">
        <v>85</v>
      </c>
      <c r="B6033">
        <v>1001</v>
      </c>
      <c r="C6033" t="s">
        <v>86</v>
      </c>
      <c r="D6033">
        <v>1.6699519999999999E-2</v>
      </c>
      <c r="E6033" t="s">
        <v>74</v>
      </c>
      <c r="F6033">
        <v>16.69952</v>
      </c>
      <c r="G6033" t="s">
        <v>75</v>
      </c>
      <c r="H6033">
        <v>16699.518</v>
      </c>
      <c r="I6033" t="s">
        <v>76</v>
      </c>
      <c r="J6033" t="s">
        <v>82</v>
      </c>
      <c r="K6033">
        <v>59.881969599999998</v>
      </c>
    </row>
    <row r="6035" spans="1:11" x14ac:dyDescent="0.3">
      <c r="A6035" t="s">
        <v>66</v>
      </c>
    </row>
    <row r="6037" spans="1:11" x14ac:dyDescent="0.3">
      <c r="A6037" t="s">
        <v>360</v>
      </c>
    </row>
    <row r="6038" spans="1:11" x14ac:dyDescent="0.3">
      <c r="A6038" t="s">
        <v>68</v>
      </c>
    </row>
    <row r="6039" spans="1:11" x14ac:dyDescent="0.3">
      <c r="A6039" t="s">
        <v>69</v>
      </c>
    </row>
    <row r="6040" spans="1:11" x14ac:dyDescent="0.3">
      <c r="A6040" t="s">
        <v>70</v>
      </c>
    </row>
    <row r="6041" spans="1:11" x14ac:dyDescent="0.3">
      <c r="A6041" t="s">
        <v>100</v>
      </c>
    </row>
    <row r="6042" spans="1:11" x14ac:dyDescent="0.3">
      <c r="A6042" t="s">
        <v>72</v>
      </c>
      <c r="B6042">
        <v>1</v>
      </c>
      <c r="C6042" t="s">
        <v>73</v>
      </c>
      <c r="D6042">
        <v>3.3000000000000002E-6</v>
      </c>
      <c r="E6042" t="s">
        <v>74</v>
      </c>
      <c r="F6042">
        <v>3.3E-3</v>
      </c>
      <c r="G6042" t="s">
        <v>75</v>
      </c>
      <c r="H6042">
        <v>3.3</v>
      </c>
      <c r="I6042" t="s">
        <v>76</v>
      </c>
      <c r="J6042" t="s">
        <v>77</v>
      </c>
    </row>
    <row r="6043" spans="1:11" x14ac:dyDescent="0.3">
      <c r="A6043" t="s">
        <v>72</v>
      </c>
      <c r="B6043">
        <v>1</v>
      </c>
      <c r="C6043" t="s">
        <v>78</v>
      </c>
      <c r="D6043">
        <v>4.3300000000000002E-5</v>
      </c>
      <c r="E6043" t="s">
        <v>74</v>
      </c>
      <c r="F6043">
        <v>4.3299999999999998E-2</v>
      </c>
      <c r="G6043" t="s">
        <v>75</v>
      </c>
      <c r="H6043">
        <v>43.3</v>
      </c>
      <c r="I6043" t="s">
        <v>76</v>
      </c>
      <c r="J6043" t="s">
        <v>77</v>
      </c>
    </row>
    <row r="6044" spans="1:11" x14ac:dyDescent="0.3">
      <c r="A6044" t="s">
        <v>72</v>
      </c>
      <c r="B6044">
        <v>1</v>
      </c>
      <c r="C6044" t="s">
        <v>91</v>
      </c>
      <c r="D6044">
        <v>2.2805E-3</v>
      </c>
      <c r="E6044" t="s">
        <v>74</v>
      </c>
      <c r="F6044">
        <v>2.2805</v>
      </c>
      <c r="G6044" t="s">
        <v>75</v>
      </c>
      <c r="H6044">
        <v>2280.5</v>
      </c>
      <c r="I6044" t="s">
        <v>76</v>
      </c>
      <c r="J6044" t="s">
        <v>77</v>
      </c>
    </row>
    <row r="6045" spans="1:11" x14ac:dyDescent="0.3">
      <c r="A6045" t="s">
        <v>72</v>
      </c>
      <c r="B6045">
        <v>1</v>
      </c>
      <c r="C6045" t="s">
        <v>92</v>
      </c>
      <c r="D6045">
        <v>1.19212E-2</v>
      </c>
      <c r="E6045" t="s">
        <v>74</v>
      </c>
      <c r="F6045">
        <v>11.921200000000001</v>
      </c>
      <c r="G6045" t="s">
        <v>75</v>
      </c>
      <c r="H6045">
        <v>11921.2</v>
      </c>
      <c r="I6045" t="s">
        <v>76</v>
      </c>
      <c r="J6045" t="s">
        <v>77</v>
      </c>
    </row>
    <row r="6046" spans="1:11" x14ac:dyDescent="0.3">
      <c r="A6046" t="s">
        <v>72</v>
      </c>
      <c r="B6046">
        <v>1</v>
      </c>
      <c r="C6046" t="s">
        <v>93</v>
      </c>
      <c r="D6046">
        <v>1.6894E-3</v>
      </c>
      <c r="E6046" t="s">
        <v>74</v>
      </c>
      <c r="F6046">
        <v>1.6894</v>
      </c>
      <c r="G6046" t="s">
        <v>75</v>
      </c>
      <c r="H6046">
        <v>1689.4</v>
      </c>
      <c r="I6046" t="s">
        <v>76</v>
      </c>
      <c r="J6046" t="s">
        <v>77</v>
      </c>
    </row>
    <row r="6047" spans="1:11" x14ac:dyDescent="0.3">
      <c r="A6047" t="s">
        <v>72</v>
      </c>
      <c r="B6047">
        <v>1</v>
      </c>
      <c r="C6047" t="s">
        <v>79</v>
      </c>
      <c r="D6047">
        <v>1.5894700000000001E-2</v>
      </c>
      <c r="E6047" t="s">
        <v>74</v>
      </c>
      <c r="F6047">
        <v>15.8947</v>
      </c>
      <c r="G6047" t="s">
        <v>75</v>
      </c>
      <c r="H6047">
        <v>15894.7</v>
      </c>
      <c r="I6047" t="s">
        <v>76</v>
      </c>
      <c r="J6047" t="s">
        <v>77</v>
      </c>
    </row>
    <row r="6048" spans="1:11" x14ac:dyDescent="0.3">
      <c r="A6048" t="s">
        <v>72</v>
      </c>
      <c r="B6048">
        <v>1</v>
      </c>
      <c r="C6048" t="s">
        <v>94</v>
      </c>
      <c r="D6048">
        <v>9.5665999999999998E-3</v>
      </c>
      <c r="E6048" t="s">
        <v>74</v>
      </c>
      <c r="F6048">
        <v>9.5665999999999993</v>
      </c>
      <c r="G6048" t="s">
        <v>75</v>
      </c>
      <c r="H6048">
        <v>9566.6</v>
      </c>
      <c r="I6048" t="s">
        <v>76</v>
      </c>
      <c r="J6048" t="s">
        <v>77</v>
      </c>
    </row>
    <row r="6049" spans="1:11" x14ac:dyDescent="0.3">
      <c r="A6049" t="s">
        <v>72</v>
      </c>
      <c r="B6049">
        <v>1</v>
      </c>
      <c r="C6049" t="s">
        <v>80</v>
      </c>
      <c r="D6049">
        <v>9.5671000000000003E-3</v>
      </c>
      <c r="E6049" t="s">
        <v>74</v>
      </c>
      <c r="F6049">
        <v>9.5670999999999999</v>
      </c>
      <c r="G6049" t="s">
        <v>75</v>
      </c>
      <c r="H6049">
        <v>9567.1</v>
      </c>
      <c r="I6049" t="s">
        <v>76</v>
      </c>
      <c r="J6049" t="s">
        <v>77</v>
      </c>
    </row>
    <row r="6050" spans="1:11" x14ac:dyDescent="0.3">
      <c r="A6050" t="s">
        <v>72</v>
      </c>
      <c r="B6050">
        <v>1</v>
      </c>
      <c r="C6050" t="s">
        <v>81</v>
      </c>
      <c r="D6050">
        <v>2.5464500000000001E-2</v>
      </c>
      <c r="E6050" t="s">
        <v>74</v>
      </c>
      <c r="F6050">
        <v>25.464500000000001</v>
      </c>
      <c r="G6050" t="s">
        <v>75</v>
      </c>
      <c r="H6050">
        <v>25464.499</v>
      </c>
      <c r="I6050" t="s">
        <v>76</v>
      </c>
      <c r="J6050" t="s">
        <v>82</v>
      </c>
      <c r="K6050">
        <v>39.270357699999998</v>
      </c>
    </row>
    <row r="6051" spans="1:11" x14ac:dyDescent="0.3">
      <c r="A6051" t="s">
        <v>83</v>
      </c>
      <c r="B6051">
        <v>1000</v>
      </c>
      <c r="C6051" t="s">
        <v>91</v>
      </c>
      <c r="D6051">
        <v>5.3098000000000002E-4</v>
      </c>
      <c r="E6051" t="s">
        <v>74</v>
      </c>
      <c r="F6051">
        <v>0.53098000000000001</v>
      </c>
      <c r="G6051" t="s">
        <v>75</v>
      </c>
      <c r="H6051">
        <v>530.98400000000004</v>
      </c>
      <c r="I6051" t="s">
        <v>76</v>
      </c>
      <c r="J6051" t="s">
        <v>77</v>
      </c>
    </row>
    <row r="6052" spans="1:11" x14ac:dyDescent="0.3">
      <c r="A6052" t="s">
        <v>83</v>
      </c>
      <c r="B6052">
        <v>1000</v>
      </c>
      <c r="C6052" t="s">
        <v>92</v>
      </c>
      <c r="D6052">
        <v>1.080178E-2</v>
      </c>
      <c r="E6052" t="s">
        <v>74</v>
      </c>
      <c r="F6052">
        <v>10.801780000000001</v>
      </c>
      <c r="G6052" t="s">
        <v>75</v>
      </c>
      <c r="H6052">
        <v>10801.776</v>
      </c>
      <c r="I6052" t="s">
        <v>76</v>
      </c>
      <c r="J6052" t="s">
        <v>77</v>
      </c>
    </row>
    <row r="6053" spans="1:11" x14ac:dyDescent="0.3">
      <c r="A6053" t="s">
        <v>83</v>
      </c>
      <c r="B6053">
        <v>1000</v>
      </c>
      <c r="C6053" t="s">
        <v>93</v>
      </c>
      <c r="D6053">
        <v>5.0865000000000003E-4</v>
      </c>
      <c r="E6053" t="s">
        <v>74</v>
      </c>
      <c r="F6053">
        <v>0.50865000000000005</v>
      </c>
      <c r="G6053" t="s">
        <v>75</v>
      </c>
      <c r="H6053">
        <v>508.64600000000002</v>
      </c>
      <c r="I6053" t="s">
        <v>76</v>
      </c>
      <c r="J6053" t="s">
        <v>77</v>
      </c>
    </row>
    <row r="6054" spans="1:11" x14ac:dyDescent="0.3">
      <c r="A6054" t="s">
        <v>83</v>
      </c>
      <c r="B6054">
        <v>1000</v>
      </c>
      <c r="C6054" t="s">
        <v>79</v>
      </c>
      <c r="D6054">
        <v>1.1841829999999999E-2</v>
      </c>
      <c r="E6054" t="s">
        <v>74</v>
      </c>
      <c r="F6054">
        <v>11.84183</v>
      </c>
      <c r="G6054" t="s">
        <v>75</v>
      </c>
      <c r="H6054">
        <v>11841.828</v>
      </c>
      <c r="I6054" t="s">
        <v>76</v>
      </c>
      <c r="J6054" t="s">
        <v>77</v>
      </c>
    </row>
    <row r="6055" spans="1:11" x14ac:dyDescent="0.3">
      <c r="A6055" t="s">
        <v>83</v>
      </c>
      <c r="B6055">
        <v>1000</v>
      </c>
      <c r="C6055" t="s">
        <v>94</v>
      </c>
      <c r="D6055">
        <v>2.75902E-3</v>
      </c>
      <c r="E6055" t="s">
        <v>74</v>
      </c>
      <c r="F6055">
        <v>2.75902</v>
      </c>
      <c r="G6055" t="s">
        <v>75</v>
      </c>
      <c r="H6055">
        <v>2759.0219999999999</v>
      </c>
      <c r="I6055" t="s">
        <v>76</v>
      </c>
      <c r="J6055" t="s">
        <v>77</v>
      </c>
    </row>
    <row r="6056" spans="1:11" x14ac:dyDescent="0.3">
      <c r="A6056" t="s">
        <v>83</v>
      </c>
      <c r="B6056">
        <v>1000</v>
      </c>
      <c r="C6056" t="s">
        <v>80</v>
      </c>
      <c r="D6056">
        <v>2.9222900000000001E-3</v>
      </c>
      <c r="E6056" t="s">
        <v>74</v>
      </c>
      <c r="F6056">
        <v>2.9222899999999998</v>
      </c>
      <c r="G6056" t="s">
        <v>75</v>
      </c>
      <c r="H6056">
        <v>2922.2939999999999</v>
      </c>
      <c r="I6056" t="s">
        <v>76</v>
      </c>
      <c r="J6056" t="s">
        <v>77</v>
      </c>
    </row>
    <row r="6057" spans="1:11" x14ac:dyDescent="0.3">
      <c r="A6057" t="s">
        <v>83</v>
      </c>
      <c r="B6057">
        <v>1000</v>
      </c>
      <c r="C6057" t="s">
        <v>81</v>
      </c>
      <c r="D6057">
        <v>1.4765510000000001E-2</v>
      </c>
      <c r="E6057" t="s">
        <v>74</v>
      </c>
      <c r="F6057">
        <v>14.765510000000001</v>
      </c>
      <c r="G6057" t="s">
        <v>75</v>
      </c>
      <c r="H6057">
        <v>14765.505999999999</v>
      </c>
      <c r="I6057" t="s">
        <v>76</v>
      </c>
      <c r="J6057" t="s">
        <v>82</v>
      </c>
      <c r="K6057">
        <v>67.725414499999999</v>
      </c>
    </row>
    <row r="6058" spans="1:11" x14ac:dyDescent="0.3">
      <c r="A6058" t="s">
        <v>84</v>
      </c>
      <c r="B6058">
        <v>1001</v>
      </c>
      <c r="C6058" t="s">
        <v>91</v>
      </c>
      <c r="D6058">
        <v>5.3273000000000003E-4</v>
      </c>
      <c r="E6058" t="s">
        <v>74</v>
      </c>
      <c r="F6058">
        <v>0.53273000000000004</v>
      </c>
      <c r="G6058" t="s">
        <v>75</v>
      </c>
      <c r="H6058">
        <v>532.73199999999997</v>
      </c>
      <c r="I6058" t="s">
        <v>76</v>
      </c>
      <c r="J6058" t="s">
        <v>77</v>
      </c>
    </row>
    <row r="6059" spans="1:11" x14ac:dyDescent="0.3">
      <c r="A6059" t="s">
        <v>84</v>
      </c>
      <c r="B6059">
        <v>1001</v>
      </c>
      <c r="C6059" t="s">
        <v>92</v>
      </c>
      <c r="D6059">
        <v>1.0802890000000001E-2</v>
      </c>
      <c r="E6059" t="s">
        <v>74</v>
      </c>
      <c r="F6059">
        <v>10.80289</v>
      </c>
      <c r="G6059" t="s">
        <v>75</v>
      </c>
      <c r="H6059">
        <v>10802.895</v>
      </c>
      <c r="I6059" t="s">
        <v>76</v>
      </c>
      <c r="J6059" t="s">
        <v>77</v>
      </c>
    </row>
    <row r="6060" spans="1:11" x14ac:dyDescent="0.3">
      <c r="A6060" t="s">
        <v>84</v>
      </c>
      <c r="B6060">
        <v>1001</v>
      </c>
      <c r="C6060" t="s">
        <v>93</v>
      </c>
      <c r="D6060">
        <v>5.0982999999999996E-4</v>
      </c>
      <c r="E6060" t="s">
        <v>74</v>
      </c>
      <c r="F6060">
        <v>0.50983000000000001</v>
      </c>
      <c r="G6060" t="s">
        <v>75</v>
      </c>
      <c r="H6060">
        <v>509.82499999999999</v>
      </c>
      <c r="I6060" t="s">
        <v>76</v>
      </c>
      <c r="J6060" t="s">
        <v>77</v>
      </c>
    </row>
    <row r="6061" spans="1:11" x14ac:dyDescent="0.3">
      <c r="A6061" t="s">
        <v>84</v>
      </c>
      <c r="B6061">
        <v>1001</v>
      </c>
      <c r="C6061" t="s">
        <v>79</v>
      </c>
      <c r="D6061">
        <v>1.184588E-2</v>
      </c>
      <c r="E6061" t="s">
        <v>74</v>
      </c>
      <c r="F6061">
        <v>11.845879999999999</v>
      </c>
      <c r="G6061" t="s">
        <v>75</v>
      </c>
      <c r="H6061">
        <v>11845.878000000001</v>
      </c>
      <c r="I6061" t="s">
        <v>76</v>
      </c>
      <c r="J6061" t="s">
        <v>77</v>
      </c>
    </row>
    <row r="6062" spans="1:11" x14ac:dyDescent="0.3">
      <c r="A6062" t="s">
        <v>84</v>
      </c>
      <c r="B6062">
        <v>1001</v>
      </c>
      <c r="C6062" t="s">
        <v>94</v>
      </c>
      <c r="D6062">
        <v>2.76582E-3</v>
      </c>
      <c r="E6062" t="s">
        <v>74</v>
      </c>
      <c r="F6062">
        <v>2.7658200000000002</v>
      </c>
      <c r="G6062" t="s">
        <v>75</v>
      </c>
      <c r="H6062">
        <v>2765.8220000000001</v>
      </c>
      <c r="I6062" t="s">
        <v>76</v>
      </c>
      <c r="J6062" t="s">
        <v>77</v>
      </c>
    </row>
    <row r="6063" spans="1:11" x14ac:dyDescent="0.3">
      <c r="A6063" t="s">
        <v>84</v>
      </c>
      <c r="B6063">
        <v>1001</v>
      </c>
      <c r="C6063" t="s">
        <v>80</v>
      </c>
      <c r="D6063">
        <v>2.9289300000000002E-3</v>
      </c>
      <c r="E6063" t="s">
        <v>74</v>
      </c>
      <c r="F6063">
        <v>2.9289299999999998</v>
      </c>
      <c r="G6063" t="s">
        <v>75</v>
      </c>
      <c r="H6063">
        <v>2928.9319999999998</v>
      </c>
      <c r="I6063" t="s">
        <v>76</v>
      </c>
      <c r="J6063" t="s">
        <v>77</v>
      </c>
    </row>
    <row r="6064" spans="1:11" x14ac:dyDescent="0.3">
      <c r="A6064" t="s">
        <v>84</v>
      </c>
      <c r="B6064">
        <v>1001</v>
      </c>
      <c r="C6064" t="s">
        <v>81</v>
      </c>
      <c r="D6064">
        <v>1.477619E-2</v>
      </c>
      <c r="E6064" t="s">
        <v>74</v>
      </c>
      <c r="F6064">
        <v>14.77619</v>
      </c>
      <c r="G6064" t="s">
        <v>75</v>
      </c>
      <c r="H6064">
        <v>14776.195</v>
      </c>
      <c r="I6064" t="s">
        <v>76</v>
      </c>
      <c r="J6064" t="s">
        <v>82</v>
      </c>
      <c r="K6064">
        <v>67.676423200000002</v>
      </c>
    </row>
    <row r="6065" spans="1:11" x14ac:dyDescent="0.3">
      <c r="A6065" t="s">
        <v>85</v>
      </c>
      <c r="B6065">
        <v>1001</v>
      </c>
      <c r="C6065" t="s">
        <v>86</v>
      </c>
      <c r="D6065">
        <v>1.47764E-2</v>
      </c>
      <c r="E6065" t="s">
        <v>74</v>
      </c>
      <c r="F6065">
        <v>14.776400000000001</v>
      </c>
      <c r="G6065" t="s">
        <v>75</v>
      </c>
      <c r="H6065">
        <v>14776.397000000001</v>
      </c>
      <c r="I6065" t="s">
        <v>76</v>
      </c>
      <c r="J6065" t="s">
        <v>82</v>
      </c>
      <c r="K6065">
        <v>67.675498200000007</v>
      </c>
    </row>
    <row r="6066" spans="1:11" x14ac:dyDescent="0.3">
      <c r="A6066" t="s">
        <v>101</v>
      </c>
    </row>
    <row r="6067" spans="1:11" x14ac:dyDescent="0.3">
      <c r="A6067" t="s">
        <v>72</v>
      </c>
      <c r="B6067">
        <v>1</v>
      </c>
      <c r="C6067" t="s">
        <v>73</v>
      </c>
      <c r="D6067">
        <v>3.3000000000000002E-6</v>
      </c>
      <c r="E6067" t="s">
        <v>74</v>
      </c>
      <c r="F6067">
        <v>3.3E-3</v>
      </c>
      <c r="G6067" t="s">
        <v>75</v>
      </c>
      <c r="H6067">
        <v>3.3</v>
      </c>
      <c r="I6067" t="s">
        <v>76</v>
      </c>
      <c r="J6067" t="s">
        <v>77</v>
      </c>
    </row>
    <row r="6068" spans="1:11" x14ac:dyDescent="0.3">
      <c r="A6068" t="s">
        <v>72</v>
      </c>
      <c r="B6068">
        <v>1</v>
      </c>
      <c r="C6068" t="s">
        <v>78</v>
      </c>
      <c r="D6068">
        <v>4.0399999999999999E-5</v>
      </c>
      <c r="E6068" t="s">
        <v>74</v>
      </c>
      <c r="F6068">
        <v>4.0399999999999998E-2</v>
      </c>
      <c r="G6068" t="s">
        <v>75</v>
      </c>
      <c r="H6068">
        <v>40.4</v>
      </c>
      <c r="I6068" t="s">
        <v>76</v>
      </c>
      <c r="J6068" t="s">
        <v>77</v>
      </c>
    </row>
    <row r="6069" spans="1:11" x14ac:dyDescent="0.3">
      <c r="A6069" t="s">
        <v>72</v>
      </c>
      <c r="B6069">
        <v>1</v>
      </c>
      <c r="C6069" t="s">
        <v>91</v>
      </c>
      <c r="D6069">
        <v>2.0877000000000001E-3</v>
      </c>
      <c r="E6069" t="s">
        <v>74</v>
      </c>
      <c r="F6069">
        <v>2.0876999999999999</v>
      </c>
      <c r="G6069" t="s">
        <v>75</v>
      </c>
      <c r="H6069">
        <v>2087.6999999999998</v>
      </c>
      <c r="I6069" t="s">
        <v>76</v>
      </c>
      <c r="J6069" t="s">
        <v>77</v>
      </c>
    </row>
    <row r="6070" spans="1:11" x14ac:dyDescent="0.3">
      <c r="A6070" t="s">
        <v>72</v>
      </c>
      <c r="B6070">
        <v>1</v>
      </c>
      <c r="C6070" t="s">
        <v>92</v>
      </c>
      <c r="D6070">
        <v>1.17982E-2</v>
      </c>
      <c r="E6070" t="s">
        <v>74</v>
      </c>
      <c r="F6070">
        <v>11.7982</v>
      </c>
      <c r="G6070" t="s">
        <v>75</v>
      </c>
      <c r="H6070">
        <v>11798.2</v>
      </c>
      <c r="I6070" t="s">
        <v>76</v>
      </c>
      <c r="J6070" t="s">
        <v>77</v>
      </c>
    </row>
    <row r="6071" spans="1:11" x14ac:dyDescent="0.3">
      <c r="A6071" t="s">
        <v>72</v>
      </c>
      <c r="B6071">
        <v>1</v>
      </c>
      <c r="C6071" t="s">
        <v>93</v>
      </c>
      <c r="D6071">
        <v>1.6978E-3</v>
      </c>
      <c r="E6071" t="s">
        <v>74</v>
      </c>
      <c r="F6071">
        <v>1.6978</v>
      </c>
      <c r="G6071" t="s">
        <v>75</v>
      </c>
      <c r="H6071">
        <v>1697.8</v>
      </c>
      <c r="I6071" t="s">
        <v>76</v>
      </c>
      <c r="J6071" t="s">
        <v>77</v>
      </c>
    </row>
    <row r="6072" spans="1:11" x14ac:dyDescent="0.3">
      <c r="A6072" t="s">
        <v>72</v>
      </c>
      <c r="B6072">
        <v>1</v>
      </c>
      <c r="C6072" t="s">
        <v>79</v>
      </c>
      <c r="D6072">
        <v>1.5584000000000001E-2</v>
      </c>
      <c r="E6072" t="s">
        <v>74</v>
      </c>
      <c r="F6072">
        <v>15.584</v>
      </c>
      <c r="G6072" t="s">
        <v>75</v>
      </c>
      <c r="H6072">
        <v>15584</v>
      </c>
      <c r="I6072" t="s">
        <v>76</v>
      </c>
      <c r="J6072" t="s">
        <v>77</v>
      </c>
    </row>
    <row r="6073" spans="1:11" x14ac:dyDescent="0.3">
      <c r="A6073" t="s">
        <v>72</v>
      </c>
      <c r="B6073">
        <v>1</v>
      </c>
      <c r="C6073" t="s">
        <v>96</v>
      </c>
      <c r="D6073">
        <v>2.0217999999999998E-3</v>
      </c>
      <c r="E6073" t="s">
        <v>74</v>
      </c>
      <c r="F6073">
        <v>2.0217999999999998</v>
      </c>
      <c r="G6073" t="s">
        <v>75</v>
      </c>
      <c r="H6073">
        <v>2021.8</v>
      </c>
      <c r="I6073" t="s">
        <v>76</v>
      </c>
      <c r="J6073" t="s">
        <v>77</v>
      </c>
    </row>
    <row r="6074" spans="1:11" x14ac:dyDescent="0.3">
      <c r="A6074" t="s">
        <v>72</v>
      </c>
      <c r="B6074">
        <v>1</v>
      </c>
      <c r="C6074" t="s">
        <v>94</v>
      </c>
      <c r="D6074">
        <v>3.1449E-3</v>
      </c>
      <c r="E6074" t="s">
        <v>74</v>
      </c>
      <c r="F6074">
        <v>3.1448999999999998</v>
      </c>
      <c r="G6074" t="s">
        <v>75</v>
      </c>
      <c r="H6074">
        <v>3144.9</v>
      </c>
      <c r="I6074" t="s">
        <v>76</v>
      </c>
      <c r="J6074" t="s">
        <v>77</v>
      </c>
    </row>
    <row r="6075" spans="1:11" x14ac:dyDescent="0.3">
      <c r="A6075" t="s">
        <v>72</v>
      </c>
      <c r="B6075">
        <v>1</v>
      </c>
      <c r="C6075" t="s">
        <v>80</v>
      </c>
      <c r="D6075">
        <v>5.2951999999999999E-3</v>
      </c>
      <c r="E6075" t="s">
        <v>74</v>
      </c>
      <c r="F6075">
        <v>5.2952000000000004</v>
      </c>
      <c r="G6075" t="s">
        <v>75</v>
      </c>
      <c r="H6075">
        <v>5295.2</v>
      </c>
      <c r="I6075" t="s">
        <v>76</v>
      </c>
      <c r="J6075" t="s">
        <v>77</v>
      </c>
    </row>
    <row r="6076" spans="1:11" x14ac:dyDescent="0.3">
      <c r="A6076" t="s">
        <v>72</v>
      </c>
      <c r="B6076">
        <v>1</v>
      </c>
      <c r="C6076" t="s">
        <v>81</v>
      </c>
      <c r="D6076">
        <v>2.0879999999999999E-2</v>
      </c>
      <c r="E6076" t="s">
        <v>74</v>
      </c>
      <c r="F6076">
        <v>20.88</v>
      </c>
      <c r="G6076" t="s">
        <v>75</v>
      </c>
      <c r="H6076">
        <v>20880.001</v>
      </c>
      <c r="I6076" t="s">
        <v>76</v>
      </c>
      <c r="J6076" t="s">
        <v>82</v>
      </c>
      <c r="K6076">
        <v>47.892718799999997</v>
      </c>
    </row>
    <row r="6077" spans="1:11" x14ac:dyDescent="0.3">
      <c r="A6077" t="s">
        <v>83</v>
      </c>
      <c r="B6077">
        <v>1000</v>
      </c>
      <c r="C6077" t="s">
        <v>91</v>
      </c>
      <c r="D6077">
        <v>5.3927000000000001E-4</v>
      </c>
      <c r="E6077" t="s">
        <v>74</v>
      </c>
      <c r="F6077">
        <v>0.53927000000000003</v>
      </c>
      <c r="G6077" t="s">
        <v>75</v>
      </c>
      <c r="H6077">
        <v>539.26800000000003</v>
      </c>
      <c r="I6077" t="s">
        <v>76</v>
      </c>
      <c r="J6077" t="s">
        <v>77</v>
      </c>
    </row>
    <row r="6078" spans="1:11" x14ac:dyDescent="0.3">
      <c r="A6078" t="s">
        <v>83</v>
      </c>
      <c r="B6078">
        <v>1000</v>
      </c>
      <c r="C6078" t="s">
        <v>92</v>
      </c>
      <c r="D6078">
        <v>1.0670229999999999E-2</v>
      </c>
      <c r="E6078" t="s">
        <v>74</v>
      </c>
      <c r="F6078">
        <v>10.67023</v>
      </c>
      <c r="G6078" t="s">
        <v>75</v>
      </c>
      <c r="H6078">
        <v>10670.225</v>
      </c>
      <c r="I6078" t="s">
        <v>76</v>
      </c>
      <c r="J6078" t="s">
        <v>77</v>
      </c>
    </row>
    <row r="6079" spans="1:11" x14ac:dyDescent="0.3">
      <c r="A6079" t="s">
        <v>83</v>
      </c>
      <c r="B6079">
        <v>1000</v>
      </c>
      <c r="C6079" t="s">
        <v>93</v>
      </c>
      <c r="D6079">
        <v>5.0518999999999998E-4</v>
      </c>
      <c r="E6079" t="s">
        <v>74</v>
      </c>
      <c r="F6079">
        <v>0.50519000000000003</v>
      </c>
      <c r="G6079" t="s">
        <v>75</v>
      </c>
      <c r="H6079">
        <v>505.19400000000002</v>
      </c>
      <c r="I6079" t="s">
        <v>76</v>
      </c>
      <c r="J6079" t="s">
        <v>77</v>
      </c>
    </row>
    <row r="6080" spans="1:11" x14ac:dyDescent="0.3">
      <c r="A6080" t="s">
        <v>83</v>
      </c>
      <c r="B6080">
        <v>1000</v>
      </c>
      <c r="C6080" t="s">
        <v>79</v>
      </c>
      <c r="D6080">
        <v>1.171519E-2</v>
      </c>
      <c r="E6080" t="s">
        <v>74</v>
      </c>
      <c r="F6080">
        <v>11.71519</v>
      </c>
      <c r="G6080" t="s">
        <v>75</v>
      </c>
      <c r="H6080">
        <v>11715.184999999999</v>
      </c>
      <c r="I6080" t="s">
        <v>76</v>
      </c>
      <c r="J6080" t="s">
        <v>77</v>
      </c>
    </row>
    <row r="6081" spans="1:11" x14ac:dyDescent="0.3">
      <c r="A6081" t="s">
        <v>83</v>
      </c>
      <c r="B6081">
        <v>1000</v>
      </c>
      <c r="C6081" t="s">
        <v>96</v>
      </c>
      <c r="D6081">
        <v>1.78283E-3</v>
      </c>
      <c r="E6081" t="s">
        <v>74</v>
      </c>
      <c r="F6081">
        <v>1.7828299999999999</v>
      </c>
      <c r="G6081" t="s">
        <v>75</v>
      </c>
      <c r="H6081">
        <v>1782.828</v>
      </c>
      <c r="I6081" t="s">
        <v>76</v>
      </c>
      <c r="J6081" t="s">
        <v>77</v>
      </c>
    </row>
    <row r="6082" spans="1:11" x14ac:dyDescent="0.3">
      <c r="A6082" t="s">
        <v>83</v>
      </c>
      <c r="B6082">
        <v>1000</v>
      </c>
      <c r="C6082" t="s">
        <v>94</v>
      </c>
      <c r="D6082">
        <v>3.0595800000000001E-3</v>
      </c>
      <c r="E6082" t="s">
        <v>74</v>
      </c>
      <c r="F6082">
        <v>3.05958</v>
      </c>
      <c r="G6082" t="s">
        <v>75</v>
      </c>
      <c r="H6082">
        <v>3059.5790000000002</v>
      </c>
      <c r="I6082" t="s">
        <v>76</v>
      </c>
      <c r="J6082" t="s">
        <v>77</v>
      </c>
    </row>
    <row r="6083" spans="1:11" x14ac:dyDescent="0.3">
      <c r="A6083" t="s">
        <v>83</v>
      </c>
      <c r="B6083">
        <v>1000</v>
      </c>
      <c r="C6083" t="s">
        <v>80</v>
      </c>
      <c r="D6083">
        <v>4.9764800000000001E-3</v>
      </c>
      <c r="E6083" t="s">
        <v>74</v>
      </c>
      <c r="F6083">
        <v>4.9764799999999996</v>
      </c>
      <c r="G6083" t="s">
        <v>75</v>
      </c>
      <c r="H6083">
        <v>4976.4750000000004</v>
      </c>
      <c r="I6083" t="s">
        <v>76</v>
      </c>
      <c r="J6083" t="s">
        <v>77</v>
      </c>
    </row>
    <row r="6084" spans="1:11" x14ac:dyDescent="0.3">
      <c r="A6084" t="s">
        <v>83</v>
      </c>
      <c r="B6084">
        <v>1000</v>
      </c>
      <c r="C6084" t="s">
        <v>81</v>
      </c>
      <c r="D6084">
        <v>1.669313E-2</v>
      </c>
      <c r="E6084" t="s">
        <v>74</v>
      </c>
      <c r="F6084">
        <v>16.69313</v>
      </c>
      <c r="G6084" t="s">
        <v>75</v>
      </c>
      <c r="H6084">
        <v>16693.132000000001</v>
      </c>
      <c r="I6084" t="s">
        <v>76</v>
      </c>
      <c r="J6084" t="s">
        <v>82</v>
      </c>
      <c r="K6084">
        <v>59.904874399999997</v>
      </c>
    </row>
    <row r="6085" spans="1:11" x14ac:dyDescent="0.3">
      <c r="A6085" t="s">
        <v>84</v>
      </c>
      <c r="B6085">
        <v>1001</v>
      </c>
      <c r="C6085" t="s">
        <v>91</v>
      </c>
      <c r="D6085">
        <v>5.4080999999999997E-4</v>
      </c>
      <c r="E6085" t="s">
        <v>74</v>
      </c>
      <c r="F6085">
        <v>0.54081000000000001</v>
      </c>
      <c r="G6085" t="s">
        <v>75</v>
      </c>
      <c r="H6085">
        <v>540.81399999999996</v>
      </c>
      <c r="I6085" t="s">
        <v>76</v>
      </c>
      <c r="J6085" t="s">
        <v>77</v>
      </c>
    </row>
    <row r="6086" spans="1:11" x14ac:dyDescent="0.3">
      <c r="A6086" t="s">
        <v>84</v>
      </c>
      <c r="B6086">
        <v>1001</v>
      </c>
      <c r="C6086" t="s">
        <v>92</v>
      </c>
      <c r="D6086">
        <v>1.067135E-2</v>
      </c>
      <c r="E6086" t="s">
        <v>74</v>
      </c>
      <c r="F6086">
        <v>10.67135</v>
      </c>
      <c r="G6086" t="s">
        <v>75</v>
      </c>
      <c r="H6086">
        <v>10671.352999999999</v>
      </c>
      <c r="I6086" t="s">
        <v>76</v>
      </c>
      <c r="J6086" t="s">
        <v>77</v>
      </c>
    </row>
    <row r="6087" spans="1:11" x14ac:dyDescent="0.3">
      <c r="A6087" t="s">
        <v>84</v>
      </c>
      <c r="B6087">
        <v>1001</v>
      </c>
      <c r="C6087" t="s">
        <v>93</v>
      </c>
      <c r="D6087">
        <v>5.0639000000000001E-4</v>
      </c>
      <c r="E6087" t="s">
        <v>74</v>
      </c>
      <c r="F6087">
        <v>0.50639000000000001</v>
      </c>
      <c r="G6087" t="s">
        <v>75</v>
      </c>
      <c r="H6087">
        <v>506.38499999999999</v>
      </c>
      <c r="I6087" t="s">
        <v>76</v>
      </c>
      <c r="J6087" t="s">
        <v>77</v>
      </c>
    </row>
    <row r="6088" spans="1:11" x14ac:dyDescent="0.3">
      <c r="A6088" t="s">
        <v>84</v>
      </c>
      <c r="B6088">
        <v>1001</v>
      </c>
      <c r="C6088" t="s">
        <v>79</v>
      </c>
      <c r="D6088">
        <v>1.171905E-2</v>
      </c>
      <c r="E6088" t="s">
        <v>74</v>
      </c>
      <c r="F6088">
        <v>11.719049999999999</v>
      </c>
      <c r="G6088" t="s">
        <v>75</v>
      </c>
      <c r="H6088">
        <v>11719.05</v>
      </c>
      <c r="I6088" t="s">
        <v>76</v>
      </c>
      <c r="J6088" t="s">
        <v>77</v>
      </c>
    </row>
    <row r="6089" spans="1:11" x14ac:dyDescent="0.3">
      <c r="A6089" t="s">
        <v>84</v>
      </c>
      <c r="B6089">
        <v>1001</v>
      </c>
      <c r="C6089" t="s">
        <v>96</v>
      </c>
      <c r="D6089">
        <v>1.7830700000000001E-3</v>
      </c>
      <c r="E6089" t="s">
        <v>74</v>
      </c>
      <c r="F6089">
        <v>1.7830699999999999</v>
      </c>
      <c r="G6089" t="s">
        <v>75</v>
      </c>
      <c r="H6089">
        <v>1783.067</v>
      </c>
      <c r="I6089" t="s">
        <v>76</v>
      </c>
      <c r="J6089" t="s">
        <v>77</v>
      </c>
    </row>
    <row r="6090" spans="1:11" x14ac:dyDescent="0.3">
      <c r="A6090" t="s">
        <v>84</v>
      </c>
      <c r="B6090">
        <v>1001</v>
      </c>
      <c r="C6090" t="s">
        <v>94</v>
      </c>
      <c r="D6090">
        <v>3.0596600000000001E-3</v>
      </c>
      <c r="E6090" t="s">
        <v>74</v>
      </c>
      <c r="F6090">
        <v>3.05966</v>
      </c>
      <c r="G6090" t="s">
        <v>75</v>
      </c>
      <c r="H6090">
        <v>3059.6640000000002</v>
      </c>
      <c r="I6090" t="s">
        <v>76</v>
      </c>
      <c r="J6090" t="s">
        <v>77</v>
      </c>
    </row>
    <row r="6091" spans="1:11" x14ac:dyDescent="0.3">
      <c r="A6091" t="s">
        <v>84</v>
      </c>
      <c r="B6091">
        <v>1001</v>
      </c>
      <c r="C6091" t="s">
        <v>80</v>
      </c>
      <c r="D6091">
        <v>4.97679E-3</v>
      </c>
      <c r="E6091" t="s">
        <v>74</v>
      </c>
      <c r="F6091">
        <v>4.9767900000000003</v>
      </c>
      <c r="G6091" t="s">
        <v>75</v>
      </c>
      <c r="H6091">
        <v>4976.7929999999997</v>
      </c>
      <c r="I6091" t="s">
        <v>76</v>
      </c>
      <c r="J6091" t="s">
        <v>77</v>
      </c>
    </row>
    <row r="6092" spans="1:11" x14ac:dyDescent="0.3">
      <c r="A6092" t="s">
        <v>84</v>
      </c>
      <c r="B6092">
        <v>1001</v>
      </c>
      <c r="C6092" t="s">
        <v>81</v>
      </c>
      <c r="D6092">
        <v>1.669731E-2</v>
      </c>
      <c r="E6092" t="s">
        <v>74</v>
      </c>
      <c r="F6092">
        <v>16.697310000000002</v>
      </c>
      <c r="G6092" t="s">
        <v>75</v>
      </c>
      <c r="H6092">
        <v>16697.314999999999</v>
      </c>
      <c r="I6092" t="s">
        <v>76</v>
      </c>
      <c r="J6092" t="s">
        <v>82</v>
      </c>
      <c r="K6092">
        <v>59.889869099999999</v>
      </c>
    </row>
    <row r="6093" spans="1:11" x14ac:dyDescent="0.3">
      <c r="A6093" t="s">
        <v>85</v>
      </c>
      <c r="B6093">
        <v>1001</v>
      </c>
      <c r="C6093" t="s">
        <v>86</v>
      </c>
      <c r="D6093">
        <v>1.669754E-2</v>
      </c>
      <c r="E6093" t="s">
        <v>74</v>
      </c>
      <c r="F6093">
        <v>16.69754</v>
      </c>
      <c r="G6093" t="s">
        <v>75</v>
      </c>
      <c r="H6093">
        <v>16697.538</v>
      </c>
      <c r="I6093" t="s">
        <v>76</v>
      </c>
      <c r="J6093" t="s">
        <v>82</v>
      </c>
      <c r="K6093">
        <v>59.889069499999998</v>
      </c>
    </row>
    <row r="6094" spans="1:11" x14ac:dyDescent="0.3">
      <c r="A6094" t="s">
        <v>87</v>
      </c>
    </row>
    <row r="6095" spans="1:11" x14ac:dyDescent="0.3">
      <c r="A6095" t="s">
        <v>102</v>
      </c>
    </row>
    <row r="6096" spans="1:11" x14ac:dyDescent="0.3">
      <c r="A6096" t="s">
        <v>72</v>
      </c>
      <c r="B6096">
        <v>1</v>
      </c>
      <c r="C6096" t="s">
        <v>81</v>
      </c>
      <c r="D6096">
        <v>2.5464500000000001E-2</v>
      </c>
      <c r="E6096" t="s">
        <v>74</v>
      </c>
      <c r="F6096">
        <v>25.464500000000001</v>
      </c>
      <c r="G6096" t="s">
        <v>75</v>
      </c>
      <c r="H6096">
        <v>25464.499</v>
      </c>
      <c r="I6096" t="s">
        <v>76</v>
      </c>
      <c r="J6096" t="s">
        <v>82</v>
      </c>
      <c r="K6096">
        <v>39.270357699999998</v>
      </c>
    </row>
    <row r="6097" spans="1:11" x14ac:dyDescent="0.3">
      <c r="A6097" t="s">
        <v>83</v>
      </c>
      <c r="B6097">
        <v>1000</v>
      </c>
      <c r="C6097" t="s">
        <v>81</v>
      </c>
      <c r="D6097">
        <v>1.4765510000000001E-2</v>
      </c>
      <c r="E6097" t="s">
        <v>74</v>
      </c>
      <c r="F6097">
        <v>14.765510000000001</v>
      </c>
      <c r="G6097" t="s">
        <v>75</v>
      </c>
      <c r="H6097">
        <v>14765.505999999999</v>
      </c>
      <c r="I6097" t="s">
        <v>76</v>
      </c>
      <c r="J6097" t="s">
        <v>82</v>
      </c>
      <c r="K6097">
        <v>67.725414499999999</v>
      </c>
    </row>
    <row r="6098" spans="1:11" x14ac:dyDescent="0.3">
      <c r="A6098" t="s">
        <v>85</v>
      </c>
      <c r="B6098">
        <v>1001</v>
      </c>
      <c r="C6098" t="s">
        <v>86</v>
      </c>
      <c r="D6098">
        <v>1.47764E-2</v>
      </c>
      <c r="E6098" t="s">
        <v>74</v>
      </c>
      <c r="F6098">
        <v>14.776400000000001</v>
      </c>
      <c r="G6098" t="s">
        <v>75</v>
      </c>
      <c r="H6098">
        <v>14776.397000000001</v>
      </c>
      <c r="I6098" t="s">
        <v>76</v>
      </c>
      <c r="J6098" t="s">
        <v>82</v>
      </c>
      <c r="K6098">
        <v>67.675498200000007</v>
      </c>
    </row>
    <row r="6100" spans="1:11" x14ac:dyDescent="0.3">
      <c r="A6100" t="s">
        <v>103</v>
      </c>
    </row>
    <row r="6101" spans="1:11" x14ac:dyDescent="0.3">
      <c r="A6101" t="s">
        <v>72</v>
      </c>
      <c r="B6101">
        <v>1</v>
      </c>
      <c r="C6101" t="s">
        <v>81</v>
      </c>
      <c r="D6101">
        <v>2.0879999999999999E-2</v>
      </c>
      <c r="E6101" t="s">
        <v>74</v>
      </c>
      <c r="F6101">
        <v>20.88</v>
      </c>
      <c r="G6101" t="s">
        <v>75</v>
      </c>
      <c r="H6101">
        <v>20880.001</v>
      </c>
      <c r="I6101" t="s">
        <v>76</v>
      </c>
      <c r="J6101" t="s">
        <v>82</v>
      </c>
      <c r="K6101">
        <v>47.892718799999997</v>
      </c>
    </row>
    <row r="6102" spans="1:11" x14ac:dyDescent="0.3">
      <c r="A6102" t="s">
        <v>83</v>
      </c>
      <c r="B6102">
        <v>1000</v>
      </c>
      <c r="C6102" t="s">
        <v>81</v>
      </c>
      <c r="D6102">
        <v>1.669313E-2</v>
      </c>
      <c r="E6102" t="s">
        <v>74</v>
      </c>
      <c r="F6102">
        <v>16.69313</v>
      </c>
      <c r="G6102" t="s">
        <v>75</v>
      </c>
      <c r="H6102">
        <v>16693.132000000001</v>
      </c>
      <c r="I6102" t="s">
        <v>76</v>
      </c>
      <c r="J6102" t="s">
        <v>82</v>
      </c>
      <c r="K6102">
        <v>59.904874399999997</v>
      </c>
    </row>
    <row r="6103" spans="1:11" x14ac:dyDescent="0.3">
      <c r="A6103" t="s">
        <v>85</v>
      </c>
      <c r="B6103">
        <v>1001</v>
      </c>
      <c r="C6103" t="s">
        <v>86</v>
      </c>
      <c r="D6103">
        <v>1.669754E-2</v>
      </c>
      <c r="E6103" t="s">
        <v>74</v>
      </c>
      <c r="F6103">
        <v>16.69754</v>
      </c>
      <c r="G6103" t="s">
        <v>75</v>
      </c>
      <c r="H6103">
        <v>16697.538</v>
      </c>
      <c r="I6103" t="s">
        <v>76</v>
      </c>
      <c r="J6103" t="s">
        <v>82</v>
      </c>
      <c r="K6103">
        <v>59.889069499999998</v>
      </c>
    </row>
    <row r="6105" spans="1:11" x14ac:dyDescent="0.3">
      <c r="A6105" t="s">
        <v>66</v>
      </c>
    </row>
    <row r="6107" spans="1:11" x14ac:dyDescent="0.3">
      <c r="A6107" t="s">
        <v>361</v>
      </c>
    </row>
    <row r="6108" spans="1:11" x14ac:dyDescent="0.3">
      <c r="A6108" t="s">
        <v>68</v>
      </c>
    </row>
    <row r="6109" spans="1:11" x14ac:dyDescent="0.3">
      <c r="A6109" t="s">
        <v>69</v>
      </c>
    </row>
    <row r="6110" spans="1:11" x14ac:dyDescent="0.3">
      <c r="A6110" t="s">
        <v>70</v>
      </c>
    </row>
    <row r="6111" spans="1:11" x14ac:dyDescent="0.3">
      <c r="A6111" t="s">
        <v>105</v>
      </c>
    </row>
    <row r="6112" spans="1:11" x14ac:dyDescent="0.3">
      <c r="A6112" t="s">
        <v>72</v>
      </c>
      <c r="B6112">
        <v>1</v>
      </c>
      <c r="C6112" t="s">
        <v>73</v>
      </c>
      <c r="D6112">
        <v>1.3E-6</v>
      </c>
      <c r="E6112" t="s">
        <v>74</v>
      </c>
      <c r="F6112">
        <v>1.2999999999999999E-3</v>
      </c>
      <c r="G6112" t="s">
        <v>75</v>
      </c>
      <c r="H6112">
        <v>1.3</v>
      </c>
      <c r="I6112" t="s">
        <v>76</v>
      </c>
      <c r="J6112" t="s">
        <v>77</v>
      </c>
    </row>
    <row r="6113" spans="1:11" x14ac:dyDescent="0.3">
      <c r="A6113" t="s">
        <v>72</v>
      </c>
      <c r="B6113">
        <v>1</v>
      </c>
      <c r="C6113" t="s">
        <v>78</v>
      </c>
      <c r="D6113">
        <v>4.3800000000000001E-5</v>
      </c>
      <c r="E6113" t="s">
        <v>74</v>
      </c>
      <c r="F6113">
        <v>4.3799999999999999E-2</v>
      </c>
      <c r="G6113" t="s">
        <v>75</v>
      </c>
      <c r="H6113">
        <v>43.8</v>
      </c>
      <c r="I6113" t="s">
        <v>76</v>
      </c>
      <c r="J6113" t="s">
        <v>77</v>
      </c>
    </row>
    <row r="6114" spans="1:11" x14ac:dyDescent="0.3">
      <c r="A6114" t="s">
        <v>72</v>
      </c>
      <c r="B6114">
        <v>1</v>
      </c>
      <c r="C6114" t="s">
        <v>91</v>
      </c>
      <c r="D6114">
        <v>2.271E-3</v>
      </c>
      <c r="E6114" t="s">
        <v>74</v>
      </c>
      <c r="F6114">
        <v>2.2709999999999999</v>
      </c>
      <c r="G6114" t="s">
        <v>75</v>
      </c>
      <c r="H6114">
        <v>2271</v>
      </c>
      <c r="I6114" t="s">
        <v>76</v>
      </c>
      <c r="J6114" t="s">
        <v>77</v>
      </c>
    </row>
    <row r="6115" spans="1:11" x14ac:dyDescent="0.3">
      <c r="A6115" t="s">
        <v>72</v>
      </c>
      <c r="B6115">
        <v>1</v>
      </c>
      <c r="C6115" t="s">
        <v>92</v>
      </c>
      <c r="D6115">
        <v>4.2157000000000002E-3</v>
      </c>
      <c r="E6115" t="s">
        <v>74</v>
      </c>
      <c r="F6115">
        <v>4.2157</v>
      </c>
      <c r="G6115" t="s">
        <v>75</v>
      </c>
      <c r="H6115">
        <v>4215.7</v>
      </c>
      <c r="I6115" t="s">
        <v>76</v>
      </c>
      <c r="J6115" t="s">
        <v>77</v>
      </c>
    </row>
    <row r="6116" spans="1:11" x14ac:dyDescent="0.3">
      <c r="A6116" t="s">
        <v>72</v>
      </c>
      <c r="B6116">
        <v>1</v>
      </c>
      <c r="C6116" t="s">
        <v>93</v>
      </c>
      <c r="D6116">
        <v>1.6823999999999999E-3</v>
      </c>
      <c r="E6116" t="s">
        <v>74</v>
      </c>
      <c r="F6116">
        <v>1.6823999999999999</v>
      </c>
      <c r="G6116" t="s">
        <v>75</v>
      </c>
      <c r="H6116">
        <v>1682.4</v>
      </c>
      <c r="I6116" t="s">
        <v>76</v>
      </c>
      <c r="J6116" t="s">
        <v>77</v>
      </c>
    </row>
    <row r="6117" spans="1:11" x14ac:dyDescent="0.3">
      <c r="A6117" t="s">
        <v>72</v>
      </c>
      <c r="B6117">
        <v>1</v>
      </c>
      <c r="C6117" t="s">
        <v>79</v>
      </c>
      <c r="D6117">
        <v>8.1708000000000006E-3</v>
      </c>
      <c r="E6117" t="s">
        <v>74</v>
      </c>
      <c r="F6117">
        <v>8.1707999999999998</v>
      </c>
      <c r="G6117" t="s">
        <v>75</v>
      </c>
      <c r="H6117">
        <v>8170.8</v>
      </c>
      <c r="I6117" t="s">
        <v>76</v>
      </c>
      <c r="J6117" t="s">
        <v>77</v>
      </c>
    </row>
    <row r="6118" spans="1:11" x14ac:dyDescent="0.3">
      <c r="A6118" t="s">
        <v>72</v>
      </c>
      <c r="B6118">
        <v>1</v>
      </c>
      <c r="C6118" t="s">
        <v>94</v>
      </c>
      <c r="D6118">
        <v>9.3869000000000001E-3</v>
      </c>
      <c r="E6118" t="s">
        <v>74</v>
      </c>
      <c r="F6118">
        <v>9.3869000000000007</v>
      </c>
      <c r="G6118" t="s">
        <v>75</v>
      </c>
      <c r="H6118">
        <v>9386.9</v>
      </c>
      <c r="I6118" t="s">
        <v>76</v>
      </c>
      <c r="J6118" t="s">
        <v>77</v>
      </c>
    </row>
    <row r="6119" spans="1:11" x14ac:dyDescent="0.3">
      <c r="A6119" t="s">
        <v>72</v>
      </c>
      <c r="B6119">
        <v>1</v>
      </c>
      <c r="C6119" t="s">
        <v>80</v>
      </c>
      <c r="D6119">
        <v>9.3886000000000004E-3</v>
      </c>
      <c r="E6119" t="s">
        <v>74</v>
      </c>
      <c r="F6119">
        <v>9.3886000000000003</v>
      </c>
      <c r="G6119" t="s">
        <v>75</v>
      </c>
      <c r="H6119">
        <v>9388.6</v>
      </c>
      <c r="I6119" t="s">
        <v>76</v>
      </c>
      <c r="J6119" t="s">
        <v>77</v>
      </c>
    </row>
    <row r="6120" spans="1:11" x14ac:dyDescent="0.3">
      <c r="A6120" t="s">
        <v>72</v>
      </c>
      <c r="B6120">
        <v>1</v>
      </c>
      <c r="C6120" t="s">
        <v>81</v>
      </c>
      <c r="D6120">
        <v>1.7562500000000002E-2</v>
      </c>
      <c r="E6120" t="s">
        <v>74</v>
      </c>
      <c r="F6120">
        <v>17.5625</v>
      </c>
      <c r="G6120" t="s">
        <v>75</v>
      </c>
      <c r="H6120">
        <v>17562.499</v>
      </c>
      <c r="I6120" t="s">
        <v>76</v>
      </c>
      <c r="J6120" t="s">
        <v>82</v>
      </c>
      <c r="K6120">
        <v>56.939504100000001</v>
      </c>
    </row>
    <row r="6121" spans="1:11" x14ac:dyDescent="0.3">
      <c r="A6121" t="s">
        <v>83</v>
      </c>
      <c r="B6121">
        <v>1000</v>
      </c>
      <c r="C6121" t="s">
        <v>91</v>
      </c>
      <c r="D6121">
        <v>5.3792E-4</v>
      </c>
      <c r="E6121" t="s">
        <v>74</v>
      </c>
      <c r="F6121">
        <v>0.53791999999999995</v>
      </c>
      <c r="G6121" t="s">
        <v>75</v>
      </c>
      <c r="H6121">
        <v>537.91899999999998</v>
      </c>
      <c r="I6121" t="s">
        <v>76</v>
      </c>
      <c r="J6121" t="s">
        <v>77</v>
      </c>
    </row>
    <row r="6122" spans="1:11" x14ac:dyDescent="0.3">
      <c r="A6122" t="s">
        <v>83</v>
      </c>
      <c r="B6122">
        <v>1000</v>
      </c>
      <c r="C6122" t="s">
        <v>92</v>
      </c>
      <c r="D6122">
        <v>2.9668799999999999E-3</v>
      </c>
      <c r="E6122" t="s">
        <v>74</v>
      </c>
      <c r="F6122">
        <v>2.9668800000000002</v>
      </c>
      <c r="G6122" t="s">
        <v>75</v>
      </c>
      <c r="H6122">
        <v>2966.8789999999999</v>
      </c>
      <c r="I6122" t="s">
        <v>76</v>
      </c>
      <c r="J6122" t="s">
        <v>77</v>
      </c>
    </row>
    <row r="6123" spans="1:11" x14ac:dyDescent="0.3">
      <c r="A6123" t="s">
        <v>83</v>
      </c>
      <c r="B6123">
        <v>1000</v>
      </c>
      <c r="C6123" t="s">
        <v>93</v>
      </c>
      <c r="D6123">
        <v>5.2506999999999999E-4</v>
      </c>
      <c r="E6123" t="s">
        <v>74</v>
      </c>
      <c r="F6123">
        <v>0.52507000000000004</v>
      </c>
      <c r="G6123" t="s">
        <v>75</v>
      </c>
      <c r="H6123">
        <v>525.06600000000003</v>
      </c>
      <c r="I6123" t="s">
        <v>76</v>
      </c>
      <c r="J6123" t="s">
        <v>77</v>
      </c>
    </row>
    <row r="6124" spans="1:11" x14ac:dyDescent="0.3">
      <c r="A6124" t="s">
        <v>83</v>
      </c>
      <c r="B6124">
        <v>1000</v>
      </c>
      <c r="C6124" t="s">
        <v>79</v>
      </c>
      <c r="D6124">
        <v>4.0302899999999997E-3</v>
      </c>
      <c r="E6124" t="s">
        <v>74</v>
      </c>
      <c r="F6124">
        <v>4.0302899999999999</v>
      </c>
      <c r="G6124" t="s">
        <v>75</v>
      </c>
      <c r="H6124">
        <v>4030.2849999999999</v>
      </c>
      <c r="I6124" t="s">
        <v>76</v>
      </c>
      <c r="J6124" t="s">
        <v>77</v>
      </c>
    </row>
    <row r="6125" spans="1:11" x14ac:dyDescent="0.3">
      <c r="A6125" t="s">
        <v>83</v>
      </c>
      <c r="B6125">
        <v>1000</v>
      </c>
      <c r="C6125" t="s">
        <v>94</v>
      </c>
      <c r="D6125">
        <v>2.7275699999999999E-3</v>
      </c>
      <c r="E6125" t="s">
        <v>74</v>
      </c>
      <c r="F6125">
        <v>2.7275700000000001</v>
      </c>
      <c r="G6125" t="s">
        <v>75</v>
      </c>
      <c r="H6125">
        <v>2727.5729999999999</v>
      </c>
      <c r="I6125" t="s">
        <v>76</v>
      </c>
      <c r="J6125" t="s">
        <v>77</v>
      </c>
    </row>
    <row r="6126" spans="1:11" x14ac:dyDescent="0.3">
      <c r="A6126" t="s">
        <v>83</v>
      </c>
      <c r="B6126">
        <v>1000</v>
      </c>
      <c r="C6126" t="s">
        <v>80</v>
      </c>
      <c r="D6126">
        <v>2.8870300000000001E-3</v>
      </c>
      <c r="E6126" t="s">
        <v>74</v>
      </c>
      <c r="F6126">
        <v>2.8870300000000002</v>
      </c>
      <c r="G6126" t="s">
        <v>75</v>
      </c>
      <c r="H6126">
        <v>2887.03</v>
      </c>
      <c r="I6126" t="s">
        <v>76</v>
      </c>
      <c r="J6126" t="s">
        <v>77</v>
      </c>
    </row>
    <row r="6127" spans="1:11" x14ac:dyDescent="0.3">
      <c r="A6127" t="s">
        <v>83</v>
      </c>
      <c r="B6127">
        <v>1000</v>
      </c>
      <c r="C6127" t="s">
        <v>81</v>
      </c>
      <c r="D6127">
        <v>6.9186500000000001E-3</v>
      </c>
      <c r="E6127" t="s">
        <v>74</v>
      </c>
      <c r="F6127">
        <v>6.9186500000000004</v>
      </c>
      <c r="G6127" t="s">
        <v>75</v>
      </c>
      <c r="H6127">
        <v>6918.6540000000005</v>
      </c>
      <c r="I6127" t="s">
        <v>76</v>
      </c>
      <c r="J6127" t="s">
        <v>82</v>
      </c>
      <c r="K6127">
        <v>144.53678489999999</v>
      </c>
    </row>
    <row r="6128" spans="1:11" x14ac:dyDescent="0.3">
      <c r="A6128" t="s">
        <v>84</v>
      </c>
      <c r="B6128">
        <v>1001</v>
      </c>
      <c r="C6128" t="s">
        <v>91</v>
      </c>
      <c r="D6128">
        <v>5.3965000000000003E-4</v>
      </c>
      <c r="E6128" t="s">
        <v>74</v>
      </c>
      <c r="F6128">
        <v>0.53964999999999996</v>
      </c>
      <c r="G6128" t="s">
        <v>75</v>
      </c>
      <c r="H6128">
        <v>539.65</v>
      </c>
      <c r="I6128" t="s">
        <v>76</v>
      </c>
      <c r="J6128" t="s">
        <v>77</v>
      </c>
    </row>
    <row r="6129" spans="1:11" x14ac:dyDescent="0.3">
      <c r="A6129" t="s">
        <v>84</v>
      </c>
      <c r="B6129">
        <v>1001</v>
      </c>
      <c r="C6129" t="s">
        <v>92</v>
      </c>
      <c r="D6129">
        <v>2.9681299999999998E-3</v>
      </c>
      <c r="E6129" t="s">
        <v>74</v>
      </c>
      <c r="F6129">
        <v>2.9681299999999999</v>
      </c>
      <c r="G6129" t="s">
        <v>75</v>
      </c>
      <c r="H6129">
        <v>2968.1260000000002</v>
      </c>
      <c r="I6129" t="s">
        <v>76</v>
      </c>
      <c r="J6129" t="s">
        <v>77</v>
      </c>
    </row>
    <row r="6130" spans="1:11" x14ac:dyDescent="0.3">
      <c r="A6130" t="s">
        <v>84</v>
      </c>
      <c r="B6130">
        <v>1001</v>
      </c>
      <c r="C6130" t="s">
        <v>93</v>
      </c>
      <c r="D6130">
        <v>5.2621999999999999E-4</v>
      </c>
      <c r="E6130" t="s">
        <v>74</v>
      </c>
      <c r="F6130">
        <v>0.52622000000000002</v>
      </c>
      <c r="G6130" t="s">
        <v>75</v>
      </c>
      <c r="H6130">
        <v>526.22199999999998</v>
      </c>
      <c r="I6130" t="s">
        <v>76</v>
      </c>
      <c r="J6130" t="s">
        <v>77</v>
      </c>
    </row>
    <row r="6131" spans="1:11" x14ac:dyDescent="0.3">
      <c r="A6131" t="s">
        <v>84</v>
      </c>
      <c r="B6131">
        <v>1001</v>
      </c>
      <c r="C6131" t="s">
        <v>79</v>
      </c>
      <c r="D6131">
        <v>4.0344200000000004E-3</v>
      </c>
      <c r="E6131" t="s">
        <v>74</v>
      </c>
      <c r="F6131">
        <v>4.0344199999999999</v>
      </c>
      <c r="G6131" t="s">
        <v>75</v>
      </c>
      <c r="H6131">
        <v>4034.422</v>
      </c>
      <c r="I6131" t="s">
        <v>76</v>
      </c>
      <c r="J6131" t="s">
        <v>77</v>
      </c>
    </row>
    <row r="6132" spans="1:11" x14ac:dyDescent="0.3">
      <c r="A6132" t="s">
        <v>84</v>
      </c>
      <c r="B6132">
        <v>1001</v>
      </c>
      <c r="C6132" t="s">
        <v>94</v>
      </c>
      <c r="D6132">
        <v>2.7342299999999998E-3</v>
      </c>
      <c r="E6132" t="s">
        <v>74</v>
      </c>
      <c r="F6132">
        <v>2.7342300000000002</v>
      </c>
      <c r="G6132" t="s">
        <v>75</v>
      </c>
      <c r="H6132">
        <v>2734.2249999999999</v>
      </c>
      <c r="I6132" t="s">
        <v>76</v>
      </c>
      <c r="J6132" t="s">
        <v>77</v>
      </c>
    </row>
    <row r="6133" spans="1:11" x14ac:dyDescent="0.3">
      <c r="A6133" t="s">
        <v>84</v>
      </c>
      <c r="B6133">
        <v>1001</v>
      </c>
      <c r="C6133" t="s">
        <v>80</v>
      </c>
      <c r="D6133">
        <v>2.8935200000000001E-3</v>
      </c>
      <c r="E6133" t="s">
        <v>74</v>
      </c>
      <c r="F6133">
        <v>2.8935200000000001</v>
      </c>
      <c r="G6133" t="s">
        <v>75</v>
      </c>
      <c r="H6133">
        <v>2893.5250000000001</v>
      </c>
      <c r="I6133" t="s">
        <v>76</v>
      </c>
      <c r="J6133" t="s">
        <v>77</v>
      </c>
    </row>
    <row r="6134" spans="1:11" x14ac:dyDescent="0.3">
      <c r="A6134" t="s">
        <v>84</v>
      </c>
      <c r="B6134">
        <v>1001</v>
      </c>
      <c r="C6134" t="s">
        <v>81</v>
      </c>
      <c r="D6134">
        <v>6.9292900000000003E-3</v>
      </c>
      <c r="E6134" t="s">
        <v>74</v>
      </c>
      <c r="F6134">
        <v>6.9292899999999999</v>
      </c>
      <c r="G6134" t="s">
        <v>75</v>
      </c>
      <c r="H6134">
        <v>6929.2879999999996</v>
      </c>
      <c r="I6134" t="s">
        <v>76</v>
      </c>
      <c r="J6134" t="s">
        <v>82</v>
      </c>
      <c r="K6134">
        <v>144.31498099999999</v>
      </c>
    </row>
    <row r="6135" spans="1:11" x14ac:dyDescent="0.3">
      <c r="A6135" t="s">
        <v>85</v>
      </c>
      <c r="B6135">
        <v>1001</v>
      </c>
      <c r="C6135" t="s">
        <v>86</v>
      </c>
      <c r="D6135">
        <v>6.92949E-3</v>
      </c>
      <c r="E6135" t="s">
        <v>74</v>
      </c>
      <c r="F6135">
        <v>6.9294900000000004</v>
      </c>
      <c r="G6135" t="s">
        <v>75</v>
      </c>
      <c r="H6135">
        <v>6929.4939999999997</v>
      </c>
      <c r="I6135" t="s">
        <v>76</v>
      </c>
      <c r="J6135" t="s">
        <v>82</v>
      </c>
      <c r="K6135">
        <v>144.31068529999999</v>
      </c>
    </row>
    <row r="6136" spans="1:11" x14ac:dyDescent="0.3">
      <c r="A6136" t="s">
        <v>106</v>
      </c>
    </row>
    <row r="6137" spans="1:11" x14ac:dyDescent="0.3">
      <c r="A6137" t="s">
        <v>72</v>
      </c>
      <c r="B6137">
        <v>1</v>
      </c>
      <c r="C6137" t="s">
        <v>73</v>
      </c>
      <c r="D6137">
        <v>1.3E-6</v>
      </c>
      <c r="E6137" t="s">
        <v>74</v>
      </c>
      <c r="F6137">
        <v>1.2999999999999999E-3</v>
      </c>
      <c r="G6137" t="s">
        <v>75</v>
      </c>
      <c r="H6137">
        <v>1.3</v>
      </c>
      <c r="I6137" t="s">
        <v>76</v>
      </c>
      <c r="J6137" t="s">
        <v>77</v>
      </c>
    </row>
    <row r="6138" spans="1:11" x14ac:dyDescent="0.3">
      <c r="A6138" t="s">
        <v>72</v>
      </c>
      <c r="B6138">
        <v>1</v>
      </c>
      <c r="C6138" t="s">
        <v>78</v>
      </c>
      <c r="D6138">
        <v>4.2700000000000001E-5</v>
      </c>
      <c r="E6138" t="s">
        <v>74</v>
      </c>
      <c r="F6138">
        <v>4.2700000000000002E-2</v>
      </c>
      <c r="G6138" t="s">
        <v>75</v>
      </c>
      <c r="H6138">
        <v>42.7</v>
      </c>
      <c r="I6138" t="s">
        <v>76</v>
      </c>
      <c r="J6138" t="s">
        <v>77</v>
      </c>
    </row>
    <row r="6139" spans="1:11" x14ac:dyDescent="0.3">
      <c r="A6139" t="s">
        <v>72</v>
      </c>
      <c r="B6139">
        <v>1</v>
      </c>
      <c r="C6139" t="s">
        <v>91</v>
      </c>
      <c r="D6139">
        <v>2.1725999999999998E-3</v>
      </c>
      <c r="E6139" t="s">
        <v>74</v>
      </c>
      <c r="F6139">
        <v>2.1726000000000001</v>
      </c>
      <c r="G6139" t="s">
        <v>75</v>
      </c>
      <c r="H6139">
        <v>2172.6</v>
      </c>
      <c r="I6139" t="s">
        <v>76</v>
      </c>
      <c r="J6139" t="s">
        <v>77</v>
      </c>
    </row>
    <row r="6140" spans="1:11" x14ac:dyDescent="0.3">
      <c r="A6140" t="s">
        <v>72</v>
      </c>
      <c r="B6140">
        <v>1</v>
      </c>
      <c r="C6140" t="s">
        <v>92</v>
      </c>
      <c r="D6140">
        <v>4.0144000000000004E-3</v>
      </c>
      <c r="E6140" t="s">
        <v>74</v>
      </c>
      <c r="F6140">
        <v>4.0144000000000002</v>
      </c>
      <c r="G6140" t="s">
        <v>75</v>
      </c>
      <c r="H6140">
        <v>4014.4</v>
      </c>
      <c r="I6140" t="s">
        <v>76</v>
      </c>
      <c r="J6140" t="s">
        <v>77</v>
      </c>
    </row>
    <row r="6141" spans="1:11" x14ac:dyDescent="0.3">
      <c r="A6141" t="s">
        <v>72</v>
      </c>
      <c r="B6141">
        <v>1</v>
      </c>
      <c r="C6141" t="s">
        <v>93</v>
      </c>
      <c r="D6141">
        <v>1.6287999999999999E-3</v>
      </c>
      <c r="E6141" t="s">
        <v>74</v>
      </c>
      <c r="F6141">
        <v>1.6288</v>
      </c>
      <c r="G6141" t="s">
        <v>75</v>
      </c>
      <c r="H6141">
        <v>1628.8</v>
      </c>
      <c r="I6141" t="s">
        <v>76</v>
      </c>
      <c r="J6141" t="s">
        <v>77</v>
      </c>
    </row>
    <row r="6142" spans="1:11" x14ac:dyDescent="0.3">
      <c r="A6142" t="s">
        <v>72</v>
      </c>
      <c r="B6142">
        <v>1</v>
      </c>
      <c r="C6142" t="s">
        <v>79</v>
      </c>
      <c r="D6142">
        <v>7.8160999999999994E-3</v>
      </c>
      <c r="E6142" t="s">
        <v>74</v>
      </c>
      <c r="F6142">
        <v>7.8160999999999996</v>
      </c>
      <c r="G6142" t="s">
        <v>75</v>
      </c>
      <c r="H6142">
        <v>7816.1</v>
      </c>
      <c r="I6142" t="s">
        <v>76</v>
      </c>
      <c r="J6142" t="s">
        <v>77</v>
      </c>
    </row>
    <row r="6143" spans="1:11" x14ac:dyDescent="0.3">
      <c r="A6143" t="s">
        <v>72</v>
      </c>
      <c r="B6143">
        <v>1</v>
      </c>
      <c r="C6143" t="s">
        <v>96</v>
      </c>
      <c r="D6143">
        <v>2.0674999999999999E-3</v>
      </c>
      <c r="E6143" t="s">
        <v>74</v>
      </c>
      <c r="F6143">
        <v>2.0674999999999999</v>
      </c>
      <c r="G6143" t="s">
        <v>75</v>
      </c>
      <c r="H6143">
        <v>2067.5</v>
      </c>
      <c r="I6143" t="s">
        <v>76</v>
      </c>
      <c r="J6143" t="s">
        <v>77</v>
      </c>
    </row>
    <row r="6144" spans="1:11" x14ac:dyDescent="0.3">
      <c r="A6144" t="s">
        <v>72</v>
      </c>
      <c r="B6144">
        <v>1</v>
      </c>
      <c r="C6144" t="s">
        <v>94</v>
      </c>
      <c r="D6144">
        <v>3.1605000000000001E-3</v>
      </c>
      <c r="E6144" t="s">
        <v>74</v>
      </c>
      <c r="F6144">
        <v>3.1604999999999999</v>
      </c>
      <c r="G6144" t="s">
        <v>75</v>
      </c>
      <c r="H6144">
        <v>3160.5</v>
      </c>
      <c r="I6144" t="s">
        <v>76</v>
      </c>
      <c r="J6144" t="s">
        <v>77</v>
      </c>
    </row>
    <row r="6145" spans="1:11" x14ac:dyDescent="0.3">
      <c r="A6145" t="s">
        <v>72</v>
      </c>
      <c r="B6145">
        <v>1</v>
      </c>
      <c r="C6145" t="s">
        <v>80</v>
      </c>
      <c r="D6145">
        <v>5.3568000000000001E-3</v>
      </c>
      <c r="E6145" t="s">
        <v>74</v>
      </c>
      <c r="F6145">
        <v>5.3567999999999998</v>
      </c>
      <c r="G6145" t="s">
        <v>75</v>
      </c>
      <c r="H6145">
        <v>5356.8</v>
      </c>
      <c r="I6145" t="s">
        <v>76</v>
      </c>
      <c r="J6145" t="s">
        <v>77</v>
      </c>
    </row>
    <row r="6146" spans="1:11" x14ac:dyDescent="0.3">
      <c r="A6146" t="s">
        <v>72</v>
      </c>
      <c r="B6146">
        <v>1</v>
      </c>
      <c r="C6146" t="s">
        <v>81</v>
      </c>
      <c r="D6146">
        <v>1.3174E-2</v>
      </c>
      <c r="E6146" t="s">
        <v>74</v>
      </c>
      <c r="F6146">
        <v>13.173999999999999</v>
      </c>
      <c r="G6146" t="s">
        <v>75</v>
      </c>
      <c r="H6146">
        <v>13174</v>
      </c>
      <c r="I6146" t="s">
        <v>76</v>
      </c>
      <c r="J6146" t="s">
        <v>82</v>
      </c>
      <c r="K6146">
        <v>75.907088599999994</v>
      </c>
    </row>
    <row r="6147" spans="1:11" x14ac:dyDescent="0.3">
      <c r="A6147" t="s">
        <v>83</v>
      </c>
      <c r="B6147">
        <v>1000</v>
      </c>
      <c r="C6147" t="s">
        <v>91</v>
      </c>
      <c r="D6147">
        <v>5.4109999999999998E-4</v>
      </c>
      <c r="E6147" t="s">
        <v>74</v>
      </c>
      <c r="F6147">
        <v>0.54110000000000003</v>
      </c>
      <c r="G6147" t="s">
        <v>75</v>
      </c>
      <c r="H6147">
        <v>541.10400000000004</v>
      </c>
      <c r="I6147" t="s">
        <v>76</v>
      </c>
      <c r="J6147" t="s">
        <v>77</v>
      </c>
    </row>
    <row r="6148" spans="1:11" x14ac:dyDescent="0.3">
      <c r="A6148" t="s">
        <v>83</v>
      </c>
      <c r="B6148">
        <v>1000</v>
      </c>
      <c r="C6148" t="s">
        <v>92</v>
      </c>
      <c r="D6148">
        <v>2.84804E-3</v>
      </c>
      <c r="E6148" t="s">
        <v>74</v>
      </c>
      <c r="F6148">
        <v>2.8480400000000001</v>
      </c>
      <c r="G6148" t="s">
        <v>75</v>
      </c>
      <c r="H6148">
        <v>2848.0419999999999</v>
      </c>
      <c r="I6148" t="s">
        <v>76</v>
      </c>
      <c r="J6148" t="s">
        <v>77</v>
      </c>
    </row>
    <row r="6149" spans="1:11" x14ac:dyDescent="0.3">
      <c r="A6149" t="s">
        <v>83</v>
      </c>
      <c r="B6149">
        <v>1000</v>
      </c>
      <c r="C6149" t="s">
        <v>93</v>
      </c>
      <c r="D6149">
        <v>5.0788999999999999E-4</v>
      </c>
      <c r="E6149" t="s">
        <v>74</v>
      </c>
      <c r="F6149">
        <v>0.50788999999999995</v>
      </c>
      <c r="G6149" t="s">
        <v>75</v>
      </c>
      <c r="H6149">
        <v>507.88799999999998</v>
      </c>
      <c r="I6149" t="s">
        <v>76</v>
      </c>
      <c r="J6149" t="s">
        <v>77</v>
      </c>
    </row>
    <row r="6150" spans="1:11" x14ac:dyDescent="0.3">
      <c r="A6150" t="s">
        <v>83</v>
      </c>
      <c r="B6150">
        <v>1000</v>
      </c>
      <c r="C6150" t="s">
        <v>79</v>
      </c>
      <c r="D6150">
        <v>3.8975500000000001E-3</v>
      </c>
      <c r="E6150" t="s">
        <v>74</v>
      </c>
      <c r="F6150">
        <v>3.8975499999999998</v>
      </c>
      <c r="G6150" t="s">
        <v>75</v>
      </c>
      <c r="H6150">
        <v>3897.5459999999998</v>
      </c>
      <c r="I6150" t="s">
        <v>76</v>
      </c>
      <c r="J6150" t="s">
        <v>77</v>
      </c>
    </row>
    <row r="6151" spans="1:11" x14ac:dyDescent="0.3">
      <c r="A6151" t="s">
        <v>83</v>
      </c>
      <c r="B6151">
        <v>1000</v>
      </c>
      <c r="C6151" t="s">
        <v>96</v>
      </c>
      <c r="D6151">
        <v>1.7874E-3</v>
      </c>
      <c r="E6151" t="s">
        <v>74</v>
      </c>
      <c r="F6151">
        <v>1.7874000000000001</v>
      </c>
      <c r="G6151" t="s">
        <v>75</v>
      </c>
      <c r="H6151">
        <v>1787.4</v>
      </c>
      <c r="I6151" t="s">
        <v>76</v>
      </c>
      <c r="J6151" t="s">
        <v>77</v>
      </c>
    </row>
    <row r="6152" spans="1:11" x14ac:dyDescent="0.3">
      <c r="A6152" t="s">
        <v>83</v>
      </c>
      <c r="B6152">
        <v>1000</v>
      </c>
      <c r="C6152" t="s">
        <v>94</v>
      </c>
      <c r="D6152">
        <v>3.0848500000000001E-3</v>
      </c>
      <c r="E6152" t="s">
        <v>74</v>
      </c>
      <c r="F6152">
        <v>3.0848499999999999</v>
      </c>
      <c r="G6152" t="s">
        <v>75</v>
      </c>
      <c r="H6152">
        <v>3084.8470000000002</v>
      </c>
      <c r="I6152" t="s">
        <v>76</v>
      </c>
      <c r="J6152" t="s">
        <v>77</v>
      </c>
    </row>
    <row r="6153" spans="1:11" x14ac:dyDescent="0.3">
      <c r="A6153" t="s">
        <v>83</v>
      </c>
      <c r="B6153">
        <v>1000</v>
      </c>
      <c r="C6153" t="s">
        <v>80</v>
      </c>
      <c r="D6153">
        <v>5.0009499999999997E-3</v>
      </c>
      <c r="E6153" t="s">
        <v>74</v>
      </c>
      <c r="F6153">
        <v>5.0009499999999996</v>
      </c>
      <c r="G6153" t="s">
        <v>75</v>
      </c>
      <c r="H6153">
        <v>5000.9470000000001</v>
      </c>
      <c r="I6153" t="s">
        <v>76</v>
      </c>
      <c r="J6153" t="s">
        <v>77</v>
      </c>
    </row>
    <row r="6154" spans="1:11" x14ac:dyDescent="0.3">
      <c r="A6154" t="s">
        <v>83</v>
      </c>
      <c r="B6154">
        <v>1000</v>
      </c>
      <c r="C6154" t="s">
        <v>81</v>
      </c>
      <c r="D6154">
        <v>8.8999100000000005E-3</v>
      </c>
      <c r="E6154" t="s">
        <v>74</v>
      </c>
      <c r="F6154">
        <v>8.8999100000000002</v>
      </c>
      <c r="G6154" t="s">
        <v>75</v>
      </c>
      <c r="H6154">
        <v>8899.9140000000007</v>
      </c>
      <c r="I6154" t="s">
        <v>76</v>
      </c>
      <c r="J6154" t="s">
        <v>82</v>
      </c>
      <c r="K6154">
        <v>112.36063900000001</v>
      </c>
    </row>
    <row r="6155" spans="1:11" x14ac:dyDescent="0.3">
      <c r="A6155" t="s">
        <v>84</v>
      </c>
      <c r="B6155">
        <v>1001</v>
      </c>
      <c r="C6155" t="s">
        <v>91</v>
      </c>
      <c r="D6155">
        <v>5.4272999999999995E-4</v>
      </c>
      <c r="E6155" t="s">
        <v>74</v>
      </c>
      <c r="F6155">
        <v>0.54273000000000005</v>
      </c>
      <c r="G6155" t="s">
        <v>75</v>
      </c>
      <c r="H6155">
        <v>542.73400000000004</v>
      </c>
      <c r="I6155" t="s">
        <v>76</v>
      </c>
      <c r="J6155" t="s">
        <v>77</v>
      </c>
    </row>
    <row r="6156" spans="1:11" x14ac:dyDescent="0.3">
      <c r="A6156" t="s">
        <v>84</v>
      </c>
      <c r="B6156">
        <v>1001</v>
      </c>
      <c r="C6156" t="s">
        <v>92</v>
      </c>
      <c r="D6156">
        <v>2.84921E-3</v>
      </c>
      <c r="E6156" t="s">
        <v>74</v>
      </c>
      <c r="F6156">
        <v>2.8492099999999998</v>
      </c>
      <c r="G6156" t="s">
        <v>75</v>
      </c>
      <c r="H6156">
        <v>2849.2080000000001</v>
      </c>
      <c r="I6156" t="s">
        <v>76</v>
      </c>
      <c r="J6156" t="s">
        <v>77</v>
      </c>
    </row>
    <row r="6157" spans="1:11" x14ac:dyDescent="0.3">
      <c r="A6157" t="s">
        <v>84</v>
      </c>
      <c r="B6157">
        <v>1001</v>
      </c>
      <c r="C6157" t="s">
        <v>93</v>
      </c>
      <c r="D6157">
        <v>5.0900999999999995E-4</v>
      </c>
      <c r="E6157" t="s">
        <v>74</v>
      </c>
      <c r="F6157">
        <v>0.50900999999999996</v>
      </c>
      <c r="G6157" t="s">
        <v>75</v>
      </c>
      <c r="H6157">
        <v>509.00799999999998</v>
      </c>
      <c r="I6157" t="s">
        <v>76</v>
      </c>
      <c r="J6157" t="s">
        <v>77</v>
      </c>
    </row>
    <row r="6158" spans="1:11" x14ac:dyDescent="0.3">
      <c r="A6158" t="s">
        <v>84</v>
      </c>
      <c r="B6158">
        <v>1001</v>
      </c>
      <c r="C6158" t="s">
        <v>79</v>
      </c>
      <c r="D6158">
        <v>3.9014599999999998E-3</v>
      </c>
      <c r="E6158" t="s">
        <v>74</v>
      </c>
      <c r="F6158">
        <v>3.9014600000000002</v>
      </c>
      <c r="G6158" t="s">
        <v>75</v>
      </c>
      <c r="H6158">
        <v>3901.4609999999998</v>
      </c>
      <c r="I6158" t="s">
        <v>76</v>
      </c>
      <c r="J6158" t="s">
        <v>77</v>
      </c>
    </row>
    <row r="6159" spans="1:11" x14ac:dyDescent="0.3">
      <c r="A6159" t="s">
        <v>84</v>
      </c>
      <c r="B6159">
        <v>1001</v>
      </c>
      <c r="C6159" t="s">
        <v>96</v>
      </c>
      <c r="D6159">
        <v>1.78768E-3</v>
      </c>
      <c r="E6159" t="s">
        <v>74</v>
      </c>
      <c r="F6159">
        <v>1.7876799999999999</v>
      </c>
      <c r="G6159" t="s">
        <v>75</v>
      </c>
      <c r="H6159">
        <v>1787.68</v>
      </c>
      <c r="I6159" t="s">
        <v>76</v>
      </c>
      <c r="J6159" t="s">
        <v>77</v>
      </c>
    </row>
    <row r="6160" spans="1:11" x14ac:dyDescent="0.3">
      <c r="A6160" t="s">
        <v>84</v>
      </c>
      <c r="B6160">
        <v>1001</v>
      </c>
      <c r="C6160" t="s">
        <v>94</v>
      </c>
      <c r="D6160">
        <v>3.0849200000000001E-3</v>
      </c>
      <c r="E6160" t="s">
        <v>74</v>
      </c>
      <c r="F6160">
        <v>3.0849199999999999</v>
      </c>
      <c r="G6160" t="s">
        <v>75</v>
      </c>
      <c r="H6160">
        <v>3084.922</v>
      </c>
      <c r="I6160" t="s">
        <v>76</v>
      </c>
      <c r="J6160" t="s">
        <v>77</v>
      </c>
    </row>
    <row r="6161" spans="1:11" x14ac:dyDescent="0.3">
      <c r="A6161" t="s">
        <v>84</v>
      </c>
      <c r="B6161">
        <v>1001</v>
      </c>
      <c r="C6161" t="s">
        <v>80</v>
      </c>
      <c r="D6161">
        <v>5.0013000000000002E-3</v>
      </c>
      <c r="E6161" t="s">
        <v>74</v>
      </c>
      <c r="F6161">
        <v>5.0012999999999996</v>
      </c>
      <c r="G6161" t="s">
        <v>75</v>
      </c>
      <c r="H6161">
        <v>5001.3029999999999</v>
      </c>
      <c r="I6161" t="s">
        <v>76</v>
      </c>
      <c r="J6161" t="s">
        <v>77</v>
      </c>
    </row>
    <row r="6162" spans="1:11" x14ac:dyDescent="0.3">
      <c r="A6162" t="s">
        <v>84</v>
      </c>
      <c r="B6162">
        <v>1001</v>
      </c>
      <c r="C6162" t="s">
        <v>81</v>
      </c>
      <c r="D6162">
        <v>8.9041799999999994E-3</v>
      </c>
      <c r="E6162" t="s">
        <v>74</v>
      </c>
      <c r="F6162">
        <v>8.9041800000000002</v>
      </c>
      <c r="G6162" t="s">
        <v>75</v>
      </c>
      <c r="H6162">
        <v>8904.1830000000009</v>
      </c>
      <c r="I6162" t="s">
        <v>76</v>
      </c>
      <c r="J6162" t="s">
        <v>82</v>
      </c>
      <c r="K6162">
        <v>112.30677009999999</v>
      </c>
    </row>
    <row r="6163" spans="1:11" x14ac:dyDescent="0.3">
      <c r="A6163" t="s">
        <v>85</v>
      </c>
      <c r="B6163">
        <v>1001</v>
      </c>
      <c r="C6163" t="s">
        <v>86</v>
      </c>
      <c r="D6163">
        <v>8.9043899999999999E-3</v>
      </c>
      <c r="E6163" t="s">
        <v>74</v>
      </c>
      <c r="F6163">
        <v>8.9043899999999994</v>
      </c>
      <c r="G6163" t="s">
        <v>75</v>
      </c>
      <c r="H6163">
        <v>8904.3880000000008</v>
      </c>
      <c r="I6163" t="s">
        <v>76</v>
      </c>
      <c r="J6163" t="s">
        <v>82</v>
      </c>
      <c r="K6163">
        <v>112.3041746</v>
      </c>
    </row>
    <row r="6164" spans="1:11" x14ac:dyDescent="0.3">
      <c r="A6164" t="s">
        <v>87</v>
      </c>
    </row>
    <row r="6165" spans="1:11" x14ac:dyDescent="0.3">
      <c r="A6165" t="s">
        <v>107</v>
      </c>
    </row>
    <row r="6166" spans="1:11" x14ac:dyDescent="0.3">
      <c r="A6166" t="s">
        <v>72</v>
      </c>
      <c r="B6166">
        <v>1</v>
      </c>
      <c r="C6166" t="s">
        <v>81</v>
      </c>
      <c r="D6166">
        <v>1.7562500000000002E-2</v>
      </c>
      <c r="E6166" t="s">
        <v>74</v>
      </c>
      <c r="F6166">
        <v>17.5625</v>
      </c>
      <c r="G6166" t="s">
        <v>75</v>
      </c>
      <c r="H6166">
        <v>17562.499</v>
      </c>
      <c r="I6166" t="s">
        <v>76</v>
      </c>
      <c r="J6166" t="s">
        <v>82</v>
      </c>
      <c r="K6166">
        <v>56.939504100000001</v>
      </c>
    </row>
    <row r="6167" spans="1:11" x14ac:dyDescent="0.3">
      <c r="A6167" t="s">
        <v>83</v>
      </c>
      <c r="B6167">
        <v>1000</v>
      </c>
      <c r="C6167" t="s">
        <v>81</v>
      </c>
      <c r="D6167">
        <v>6.9186500000000001E-3</v>
      </c>
      <c r="E6167" t="s">
        <v>74</v>
      </c>
      <c r="F6167">
        <v>6.9186500000000004</v>
      </c>
      <c r="G6167" t="s">
        <v>75</v>
      </c>
      <c r="H6167">
        <v>6918.6540000000005</v>
      </c>
      <c r="I6167" t="s">
        <v>76</v>
      </c>
      <c r="J6167" t="s">
        <v>82</v>
      </c>
      <c r="K6167">
        <v>144.53678489999999</v>
      </c>
    </row>
    <row r="6168" spans="1:11" x14ac:dyDescent="0.3">
      <c r="A6168" t="s">
        <v>85</v>
      </c>
      <c r="B6168">
        <v>1001</v>
      </c>
      <c r="C6168" t="s">
        <v>86</v>
      </c>
      <c r="D6168">
        <v>6.92949E-3</v>
      </c>
      <c r="E6168" t="s">
        <v>74</v>
      </c>
      <c r="F6168">
        <v>6.9294900000000004</v>
      </c>
      <c r="G6168" t="s">
        <v>75</v>
      </c>
      <c r="H6168">
        <v>6929.4939999999997</v>
      </c>
      <c r="I6168" t="s">
        <v>76</v>
      </c>
      <c r="J6168" t="s">
        <v>82</v>
      </c>
      <c r="K6168">
        <v>144.31068529999999</v>
      </c>
    </row>
    <row r="6170" spans="1:11" x14ac:dyDescent="0.3">
      <c r="A6170" t="s">
        <v>108</v>
      </c>
    </row>
    <row r="6171" spans="1:11" x14ac:dyDescent="0.3">
      <c r="A6171" t="s">
        <v>72</v>
      </c>
      <c r="B6171">
        <v>1</v>
      </c>
      <c r="C6171" t="s">
        <v>81</v>
      </c>
      <c r="D6171">
        <v>1.3174E-2</v>
      </c>
      <c r="E6171" t="s">
        <v>74</v>
      </c>
      <c r="F6171">
        <v>13.173999999999999</v>
      </c>
      <c r="G6171" t="s">
        <v>75</v>
      </c>
      <c r="H6171">
        <v>13174</v>
      </c>
      <c r="I6171" t="s">
        <v>76</v>
      </c>
      <c r="J6171" t="s">
        <v>82</v>
      </c>
      <c r="K6171">
        <v>75.907088599999994</v>
      </c>
    </row>
    <row r="6172" spans="1:11" x14ac:dyDescent="0.3">
      <c r="A6172" t="s">
        <v>83</v>
      </c>
      <c r="B6172">
        <v>1000</v>
      </c>
      <c r="C6172" t="s">
        <v>81</v>
      </c>
      <c r="D6172">
        <v>8.8999100000000005E-3</v>
      </c>
      <c r="E6172" t="s">
        <v>74</v>
      </c>
      <c r="F6172">
        <v>8.8999100000000002</v>
      </c>
      <c r="G6172" t="s">
        <v>75</v>
      </c>
      <c r="H6172">
        <v>8899.9140000000007</v>
      </c>
      <c r="I6172" t="s">
        <v>76</v>
      </c>
      <c r="J6172" t="s">
        <v>82</v>
      </c>
      <c r="K6172">
        <v>112.36063900000001</v>
      </c>
    </row>
    <row r="6173" spans="1:11" x14ac:dyDescent="0.3">
      <c r="A6173" t="s">
        <v>85</v>
      </c>
      <c r="B6173">
        <v>1001</v>
      </c>
      <c r="C6173" t="s">
        <v>86</v>
      </c>
      <c r="D6173">
        <v>8.9043899999999999E-3</v>
      </c>
      <c r="E6173" t="s">
        <v>74</v>
      </c>
      <c r="F6173">
        <v>8.9043899999999994</v>
      </c>
      <c r="G6173" t="s">
        <v>75</v>
      </c>
      <c r="H6173">
        <v>8904.3880000000008</v>
      </c>
      <c r="I6173" t="s">
        <v>76</v>
      </c>
      <c r="J6173" t="s">
        <v>82</v>
      </c>
      <c r="K6173">
        <v>112.3041746</v>
      </c>
    </row>
    <row r="6175" spans="1:11" x14ac:dyDescent="0.3">
      <c r="A6175" t="s">
        <v>66</v>
      </c>
    </row>
    <row r="6177" spans="1:11" x14ac:dyDescent="0.3">
      <c r="A6177" t="s">
        <v>362</v>
      </c>
    </row>
    <row r="6178" spans="1:11" x14ac:dyDescent="0.3">
      <c r="A6178" t="s">
        <v>68</v>
      </c>
    </row>
    <row r="6179" spans="1:11" x14ac:dyDescent="0.3">
      <c r="A6179" t="s">
        <v>69</v>
      </c>
    </row>
    <row r="6180" spans="1:11" x14ac:dyDescent="0.3">
      <c r="A6180" t="s">
        <v>70</v>
      </c>
    </row>
    <row r="6181" spans="1:11" x14ac:dyDescent="0.3">
      <c r="A6181" t="s">
        <v>110</v>
      </c>
    </row>
    <row r="6182" spans="1:11" x14ac:dyDescent="0.3">
      <c r="A6182" t="s">
        <v>72</v>
      </c>
      <c r="B6182">
        <v>1</v>
      </c>
      <c r="C6182" t="s">
        <v>73</v>
      </c>
      <c r="D6182">
        <v>8.9999999999999996E-7</v>
      </c>
      <c r="E6182" t="s">
        <v>74</v>
      </c>
      <c r="F6182">
        <v>8.9999999999999998E-4</v>
      </c>
      <c r="G6182" t="s">
        <v>75</v>
      </c>
      <c r="H6182">
        <v>0.9</v>
      </c>
      <c r="I6182" t="s">
        <v>76</v>
      </c>
      <c r="J6182" t="s">
        <v>77</v>
      </c>
    </row>
    <row r="6183" spans="1:11" x14ac:dyDescent="0.3">
      <c r="A6183" t="s">
        <v>72</v>
      </c>
      <c r="B6183">
        <v>1</v>
      </c>
      <c r="C6183" t="s">
        <v>78</v>
      </c>
      <c r="D6183">
        <v>2.1699999999999999E-5</v>
      </c>
      <c r="E6183" t="s">
        <v>74</v>
      </c>
      <c r="F6183">
        <v>2.1700000000000001E-2</v>
      </c>
      <c r="G6183" t="s">
        <v>75</v>
      </c>
      <c r="H6183">
        <v>21.7</v>
      </c>
      <c r="I6183" t="s">
        <v>76</v>
      </c>
      <c r="J6183" t="s">
        <v>77</v>
      </c>
    </row>
    <row r="6184" spans="1:11" x14ac:dyDescent="0.3">
      <c r="A6184" t="s">
        <v>72</v>
      </c>
      <c r="B6184">
        <v>1</v>
      </c>
      <c r="C6184" t="s">
        <v>79</v>
      </c>
      <c r="D6184">
        <v>4.3899000000000004E-3</v>
      </c>
      <c r="E6184" t="s">
        <v>74</v>
      </c>
      <c r="F6184">
        <v>4.3898999999999999</v>
      </c>
      <c r="G6184" t="s">
        <v>75</v>
      </c>
      <c r="H6184">
        <v>4389.8999999999996</v>
      </c>
      <c r="I6184" t="s">
        <v>76</v>
      </c>
      <c r="J6184" t="s">
        <v>77</v>
      </c>
    </row>
    <row r="6185" spans="1:11" x14ac:dyDescent="0.3">
      <c r="A6185" t="s">
        <v>72</v>
      </c>
      <c r="B6185">
        <v>1</v>
      </c>
      <c r="C6185" t="s">
        <v>94</v>
      </c>
      <c r="D6185">
        <v>9.2774999999999993E-3</v>
      </c>
      <c r="E6185" t="s">
        <v>74</v>
      </c>
      <c r="F6185">
        <v>9.2774999999999999</v>
      </c>
      <c r="G6185" t="s">
        <v>75</v>
      </c>
      <c r="H6185">
        <v>9277.5</v>
      </c>
      <c r="I6185" t="s">
        <v>76</v>
      </c>
      <c r="J6185" t="s">
        <v>77</v>
      </c>
    </row>
    <row r="6186" spans="1:11" x14ac:dyDescent="0.3">
      <c r="A6186" t="s">
        <v>72</v>
      </c>
      <c r="B6186">
        <v>1</v>
      </c>
      <c r="C6186" t="s">
        <v>80</v>
      </c>
      <c r="D6186">
        <v>9.2779999999999998E-3</v>
      </c>
      <c r="E6186" t="s">
        <v>74</v>
      </c>
      <c r="F6186">
        <v>9.2780000000000005</v>
      </c>
      <c r="G6186" t="s">
        <v>75</v>
      </c>
      <c r="H6186">
        <v>9278</v>
      </c>
      <c r="I6186" t="s">
        <v>76</v>
      </c>
      <c r="J6186" t="s">
        <v>77</v>
      </c>
    </row>
    <row r="6187" spans="1:11" x14ac:dyDescent="0.3">
      <c r="A6187" t="s">
        <v>72</v>
      </c>
      <c r="B6187">
        <v>1</v>
      </c>
      <c r="C6187" t="s">
        <v>81</v>
      </c>
      <c r="D6187">
        <v>1.36711E-2</v>
      </c>
      <c r="E6187" t="s">
        <v>74</v>
      </c>
      <c r="F6187">
        <v>13.671099999999999</v>
      </c>
      <c r="G6187" t="s">
        <v>75</v>
      </c>
      <c r="H6187">
        <v>13671.1</v>
      </c>
      <c r="I6187" t="s">
        <v>76</v>
      </c>
      <c r="J6187" t="s">
        <v>82</v>
      </c>
      <c r="K6187">
        <v>73.147002799999996</v>
      </c>
    </row>
    <row r="6188" spans="1:11" x14ac:dyDescent="0.3">
      <c r="A6188" t="s">
        <v>83</v>
      </c>
      <c r="B6188">
        <v>1000</v>
      </c>
      <c r="C6188" t="s">
        <v>79</v>
      </c>
      <c r="D6188">
        <v>3.1834099999999998E-3</v>
      </c>
      <c r="E6188" t="s">
        <v>74</v>
      </c>
      <c r="F6188">
        <v>3.1834099999999999</v>
      </c>
      <c r="G6188" t="s">
        <v>75</v>
      </c>
      <c r="H6188">
        <v>3183.4059999999999</v>
      </c>
      <c r="I6188" t="s">
        <v>76</v>
      </c>
      <c r="J6188" t="s">
        <v>77</v>
      </c>
    </row>
    <row r="6189" spans="1:11" x14ac:dyDescent="0.3">
      <c r="A6189" t="s">
        <v>83</v>
      </c>
      <c r="B6189">
        <v>1000</v>
      </c>
      <c r="C6189" t="s">
        <v>94</v>
      </c>
      <c r="D6189">
        <v>2.6431800000000002E-3</v>
      </c>
      <c r="E6189" t="s">
        <v>74</v>
      </c>
      <c r="F6189">
        <v>2.6431800000000001</v>
      </c>
      <c r="G6189" t="s">
        <v>75</v>
      </c>
      <c r="H6189">
        <v>2643.1849999999999</v>
      </c>
      <c r="I6189" t="s">
        <v>76</v>
      </c>
      <c r="J6189" t="s">
        <v>77</v>
      </c>
    </row>
    <row r="6190" spans="1:11" x14ac:dyDescent="0.3">
      <c r="A6190" t="s">
        <v>83</v>
      </c>
      <c r="B6190">
        <v>1000</v>
      </c>
      <c r="C6190" t="s">
        <v>80</v>
      </c>
      <c r="D6190">
        <v>2.7945800000000001E-3</v>
      </c>
      <c r="E6190" t="s">
        <v>74</v>
      </c>
      <c r="F6190">
        <v>2.7945799999999998</v>
      </c>
      <c r="G6190" t="s">
        <v>75</v>
      </c>
      <c r="H6190">
        <v>2794.585</v>
      </c>
      <c r="I6190" t="s">
        <v>76</v>
      </c>
      <c r="J6190" t="s">
        <v>77</v>
      </c>
    </row>
    <row r="6191" spans="1:11" x14ac:dyDescent="0.3">
      <c r="A6191" t="s">
        <v>83</v>
      </c>
      <c r="B6191">
        <v>1000</v>
      </c>
      <c r="C6191" t="s">
        <v>81</v>
      </c>
      <c r="D6191">
        <v>5.9788300000000001E-3</v>
      </c>
      <c r="E6191" t="s">
        <v>74</v>
      </c>
      <c r="F6191">
        <v>5.9788300000000003</v>
      </c>
      <c r="G6191" t="s">
        <v>75</v>
      </c>
      <c r="H6191">
        <v>5978.8310000000001</v>
      </c>
      <c r="I6191" t="s">
        <v>76</v>
      </c>
      <c r="J6191" t="s">
        <v>82</v>
      </c>
      <c r="K6191">
        <v>167.25678160000001</v>
      </c>
    </row>
    <row r="6192" spans="1:11" x14ac:dyDescent="0.3">
      <c r="A6192" t="s">
        <v>84</v>
      </c>
      <c r="B6192">
        <v>1001</v>
      </c>
      <c r="C6192" t="s">
        <v>79</v>
      </c>
      <c r="D6192">
        <v>3.18461E-3</v>
      </c>
      <c r="E6192" t="s">
        <v>74</v>
      </c>
      <c r="F6192">
        <v>3.1846100000000002</v>
      </c>
      <c r="G6192" t="s">
        <v>75</v>
      </c>
      <c r="H6192">
        <v>3184.6109999999999</v>
      </c>
      <c r="I6192" t="s">
        <v>76</v>
      </c>
      <c r="J6192" t="s">
        <v>77</v>
      </c>
    </row>
    <row r="6193" spans="1:11" x14ac:dyDescent="0.3">
      <c r="A6193" t="s">
        <v>84</v>
      </c>
      <c r="B6193">
        <v>1001</v>
      </c>
      <c r="C6193" t="s">
        <v>94</v>
      </c>
      <c r="D6193">
        <v>2.6498099999999998E-3</v>
      </c>
      <c r="E6193" t="s">
        <v>74</v>
      </c>
      <c r="F6193">
        <v>2.64981</v>
      </c>
      <c r="G6193" t="s">
        <v>75</v>
      </c>
      <c r="H6193">
        <v>2649.8130000000001</v>
      </c>
      <c r="I6193" t="s">
        <v>76</v>
      </c>
      <c r="J6193" t="s">
        <v>77</v>
      </c>
    </row>
    <row r="6194" spans="1:11" x14ac:dyDescent="0.3">
      <c r="A6194" t="s">
        <v>84</v>
      </c>
      <c r="B6194">
        <v>1001</v>
      </c>
      <c r="C6194" t="s">
        <v>80</v>
      </c>
      <c r="D6194">
        <v>2.8010600000000002E-3</v>
      </c>
      <c r="E6194" t="s">
        <v>74</v>
      </c>
      <c r="F6194">
        <v>2.8010600000000001</v>
      </c>
      <c r="G6194" t="s">
        <v>75</v>
      </c>
      <c r="H6194">
        <v>2801.0619999999999</v>
      </c>
      <c r="I6194" t="s">
        <v>76</v>
      </c>
      <c r="J6194" t="s">
        <v>77</v>
      </c>
    </row>
    <row r="6195" spans="1:11" x14ac:dyDescent="0.3">
      <c r="A6195" t="s">
        <v>84</v>
      </c>
      <c r="B6195">
        <v>1001</v>
      </c>
      <c r="C6195" t="s">
        <v>81</v>
      </c>
      <c r="D6195">
        <v>5.9865200000000004E-3</v>
      </c>
      <c r="E6195" t="s">
        <v>74</v>
      </c>
      <c r="F6195">
        <v>5.9865199999999996</v>
      </c>
      <c r="G6195" t="s">
        <v>75</v>
      </c>
      <c r="H6195">
        <v>5986.5150000000003</v>
      </c>
      <c r="I6195" t="s">
        <v>76</v>
      </c>
      <c r="J6195" t="s">
        <v>82</v>
      </c>
      <c r="K6195">
        <v>167.0420876</v>
      </c>
    </row>
    <row r="6196" spans="1:11" x14ac:dyDescent="0.3">
      <c r="A6196" t="s">
        <v>85</v>
      </c>
      <c r="B6196">
        <v>1001</v>
      </c>
      <c r="C6196" t="s">
        <v>86</v>
      </c>
      <c r="D6196">
        <v>5.9867200000000001E-3</v>
      </c>
      <c r="E6196" t="s">
        <v>74</v>
      </c>
      <c r="F6196">
        <v>5.98672</v>
      </c>
      <c r="G6196" t="s">
        <v>75</v>
      </c>
      <c r="H6196">
        <v>5986.723</v>
      </c>
      <c r="I6196" t="s">
        <v>76</v>
      </c>
      <c r="J6196" t="s">
        <v>82</v>
      </c>
      <c r="K6196">
        <v>167.0362925</v>
      </c>
    </row>
    <row r="6197" spans="1:11" x14ac:dyDescent="0.3">
      <c r="A6197" t="s">
        <v>111</v>
      </c>
    </row>
    <row r="6198" spans="1:11" x14ac:dyDescent="0.3">
      <c r="A6198" t="s">
        <v>72</v>
      </c>
      <c r="B6198">
        <v>1</v>
      </c>
      <c r="C6198" t="s">
        <v>73</v>
      </c>
      <c r="D6198">
        <v>8.9999999999999996E-7</v>
      </c>
      <c r="E6198" t="s">
        <v>74</v>
      </c>
      <c r="F6198">
        <v>8.9999999999999998E-4</v>
      </c>
      <c r="G6198" t="s">
        <v>75</v>
      </c>
      <c r="H6198">
        <v>0.9</v>
      </c>
      <c r="I6198" t="s">
        <v>76</v>
      </c>
      <c r="J6198" t="s">
        <v>77</v>
      </c>
    </row>
    <row r="6199" spans="1:11" x14ac:dyDescent="0.3">
      <c r="A6199" t="s">
        <v>72</v>
      </c>
      <c r="B6199">
        <v>1</v>
      </c>
      <c r="C6199" t="s">
        <v>78</v>
      </c>
      <c r="D6199">
        <v>2.1100000000000001E-5</v>
      </c>
      <c r="E6199" t="s">
        <v>74</v>
      </c>
      <c r="F6199">
        <v>2.1100000000000001E-2</v>
      </c>
      <c r="G6199" t="s">
        <v>75</v>
      </c>
      <c r="H6199">
        <v>21.1</v>
      </c>
      <c r="I6199" t="s">
        <v>76</v>
      </c>
      <c r="J6199" t="s">
        <v>77</v>
      </c>
    </row>
    <row r="6200" spans="1:11" x14ac:dyDescent="0.3">
      <c r="A6200" t="s">
        <v>72</v>
      </c>
      <c r="B6200">
        <v>1</v>
      </c>
      <c r="C6200" t="s">
        <v>79</v>
      </c>
      <c r="D6200">
        <v>4.2743E-3</v>
      </c>
      <c r="E6200" t="s">
        <v>74</v>
      </c>
      <c r="F6200">
        <v>4.2743000000000002</v>
      </c>
      <c r="G6200" t="s">
        <v>75</v>
      </c>
      <c r="H6200">
        <v>4274.3</v>
      </c>
      <c r="I6200" t="s">
        <v>76</v>
      </c>
      <c r="J6200" t="s">
        <v>77</v>
      </c>
    </row>
    <row r="6201" spans="1:11" x14ac:dyDescent="0.3">
      <c r="A6201" t="s">
        <v>72</v>
      </c>
      <c r="B6201">
        <v>1</v>
      </c>
      <c r="C6201" t="s">
        <v>94</v>
      </c>
      <c r="D6201">
        <v>2.6128000000000002E-3</v>
      </c>
      <c r="E6201" t="s">
        <v>74</v>
      </c>
      <c r="F6201">
        <v>2.6128</v>
      </c>
      <c r="G6201" t="s">
        <v>75</v>
      </c>
      <c r="H6201">
        <v>2612.8000000000002</v>
      </c>
      <c r="I6201" t="s">
        <v>76</v>
      </c>
      <c r="J6201" t="s">
        <v>77</v>
      </c>
    </row>
    <row r="6202" spans="1:11" x14ac:dyDescent="0.3">
      <c r="A6202" t="s">
        <v>72</v>
      </c>
      <c r="B6202">
        <v>1</v>
      </c>
      <c r="C6202" t="s">
        <v>80</v>
      </c>
      <c r="D6202">
        <v>2.7927E-3</v>
      </c>
      <c r="E6202" t="s">
        <v>74</v>
      </c>
      <c r="F6202">
        <v>2.7927</v>
      </c>
      <c r="G6202" t="s">
        <v>75</v>
      </c>
      <c r="H6202">
        <v>2792.7</v>
      </c>
      <c r="I6202" t="s">
        <v>76</v>
      </c>
      <c r="J6202" t="s">
        <v>77</v>
      </c>
    </row>
    <row r="6203" spans="1:11" x14ac:dyDescent="0.3">
      <c r="A6203" t="s">
        <v>72</v>
      </c>
      <c r="B6203">
        <v>1</v>
      </c>
      <c r="C6203" t="s">
        <v>81</v>
      </c>
      <c r="D6203">
        <v>7.0676999999999997E-3</v>
      </c>
      <c r="E6203" t="s">
        <v>74</v>
      </c>
      <c r="F6203">
        <v>7.0677000000000003</v>
      </c>
      <c r="G6203" t="s">
        <v>75</v>
      </c>
      <c r="H6203">
        <v>7067.7</v>
      </c>
      <c r="I6203" t="s">
        <v>76</v>
      </c>
      <c r="J6203" t="s">
        <v>82</v>
      </c>
      <c r="K6203">
        <v>141.48874620000001</v>
      </c>
    </row>
    <row r="6204" spans="1:11" x14ac:dyDescent="0.3">
      <c r="A6204" t="s">
        <v>83</v>
      </c>
      <c r="B6204">
        <v>1000</v>
      </c>
      <c r="C6204" t="s">
        <v>79</v>
      </c>
      <c r="D6204">
        <v>3.1471899999999998E-3</v>
      </c>
      <c r="E6204" t="s">
        <v>74</v>
      </c>
      <c r="F6204">
        <v>3.1471900000000002</v>
      </c>
      <c r="G6204" t="s">
        <v>75</v>
      </c>
      <c r="H6204">
        <v>3147.194</v>
      </c>
      <c r="I6204" t="s">
        <v>76</v>
      </c>
      <c r="J6204" t="s">
        <v>77</v>
      </c>
    </row>
    <row r="6205" spans="1:11" x14ac:dyDescent="0.3">
      <c r="A6205" t="s">
        <v>83</v>
      </c>
      <c r="B6205">
        <v>1000</v>
      </c>
      <c r="C6205" t="s">
        <v>94</v>
      </c>
      <c r="D6205">
        <v>2.5885600000000002E-3</v>
      </c>
      <c r="E6205" t="s">
        <v>74</v>
      </c>
      <c r="F6205">
        <v>2.5885600000000002</v>
      </c>
      <c r="G6205" t="s">
        <v>75</v>
      </c>
      <c r="H6205">
        <v>2588.5639999999999</v>
      </c>
      <c r="I6205" t="s">
        <v>76</v>
      </c>
      <c r="J6205" t="s">
        <v>77</v>
      </c>
    </row>
    <row r="6206" spans="1:11" x14ac:dyDescent="0.3">
      <c r="A6206" t="s">
        <v>83</v>
      </c>
      <c r="B6206">
        <v>1000</v>
      </c>
      <c r="C6206" t="s">
        <v>80</v>
      </c>
      <c r="D6206">
        <v>2.7169300000000002E-3</v>
      </c>
      <c r="E6206" t="s">
        <v>74</v>
      </c>
      <c r="F6206">
        <v>2.7169300000000001</v>
      </c>
      <c r="G6206" t="s">
        <v>75</v>
      </c>
      <c r="H6206">
        <v>2716.931</v>
      </c>
      <c r="I6206" t="s">
        <v>76</v>
      </c>
      <c r="J6206" t="s">
        <v>77</v>
      </c>
    </row>
    <row r="6207" spans="1:11" x14ac:dyDescent="0.3">
      <c r="A6207" t="s">
        <v>83</v>
      </c>
      <c r="B6207">
        <v>1000</v>
      </c>
      <c r="C6207" t="s">
        <v>81</v>
      </c>
      <c r="D6207">
        <v>5.8649899999999996E-3</v>
      </c>
      <c r="E6207" t="s">
        <v>74</v>
      </c>
      <c r="F6207">
        <v>5.8649899999999997</v>
      </c>
      <c r="G6207" t="s">
        <v>75</v>
      </c>
      <c r="H6207">
        <v>5864.99</v>
      </c>
      <c r="I6207" t="s">
        <v>76</v>
      </c>
      <c r="J6207" t="s">
        <v>82</v>
      </c>
      <c r="K6207">
        <v>170.50328160000001</v>
      </c>
    </row>
    <row r="6208" spans="1:11" x14ac:dyDescent="0.3">
      <c r="A6208" t="s">
        <v>84</v>
      </c>
      <c r="B6208">
        <v>1001</v>
      </c>
      <c r="C6208" t="s">
        <v>79</v>
      </c>
      <c r="D6208">
        <v>3.14832E-3</v>
      </c>
      <c r="E6208" t="s">
        <v>74</v>
      </c>
      <c r="F6208">
        <v>3.14832</v>
      </c>
      <c r="G6208" t="s">
        <v>75</v>
      </c>
      <c r="H6208">
        <v>3148.32</v>
      </c>
      <c r="I6208" t="s">
        <v>76</v>
      </c>
      <c r="J6208" t="s">
        <v>77</v>
      </c>
    </row>
    <row r="6209" spans="1:11" x14ac:dyDescent="0.3">
      <c r="A6209" t="s">
        <v>84</v>
      </c>
      <c r="B6209">
        <v>1001</v>
      </c>
      <c r="C6209" t="s">
        <v>94</v>
      </c>
      <c r="D6209">
        <v>2.58859E-3</v>
      </c>
      <c r="E6209" t="s">
        <v>74</v>
      </c>
      <c r="F6209">
        <v>2.5885899999999999</v>
      </c>
      <c r="G6209" t="s">
        <v>75</v>
      </c>
      <c r="H6209">
        <v>2588.5889999999999</v>
      </c>
      <c r="I6209" t="s">
        <v>76</v>
      </c>
      <c r="J6209" t="s">
        <v>77</v>
      </c>
    </row>
    <row r="6210" spans="1:11" x14ac:dyDescent="0.3">
      <c r="A6210" t="s">
        <v>84</v>
      </c>
      <c r="B6210">
        <v>1001</v>
      </c>
      <c r="C6210" t="s">
        <v>80</v>
      </c>
      <c r="D6210">
        <v>2.7170100000000002E-3</v>
      </c>
      <c r="E6210" t="s">
        <v>74</v>
      </c>
      <c r="F6210">
        <v>2.7170100000000001</v>
      </c>
      <c r="G6210" t="s">
        <v>75</v>
      </c>
      <c r="H6210">
        <v>2717.0070000000001</v>
      </c>
      <c r="I6210" t="s">
        <v>76</v>
      </c>
      <c r="J6210" t="s">
        <v>77</v>
      </c>
    </row>
    <row r="6211" spans="1:11" x14ac:dyDescent="0.3">
      <c r="A6211" t="s">
        <v>84</v>
      </c>
      <c r="B6211">
        <v>1001</v>
      </c>
      <c r="C6211" t="s">
        <v>81</v>
      </c>
      <c r="D6211">
        <v>5.8661900000000003E-3</v>
      </c>
      <c r="E6211" t="s">
        <v>74</v>
      </c>
      <c r="F6211">
        <v>5.8661899999999996</v>
      </c>
      <c r="G6211" t="s">
        <v>75</v>
      </c>
      <c r="H6211">
        <v>5866.192</v>
      </c>
      <c r="I6211" t="s">
        <v>76</v>
      </c>
      <c r="J6211" t="s">
        <v>82</v>
      </c>
      <c r="K6211">
        <v>170.4683459</v>
      </c>
    </row>
    <row r="6212" spans="1:11" x14ac:dyDescent="0.3">
      <c r="A6212" t="s">
        <v>85</v>
      </c>
      <c r="B6212">
        <v>1001</v>
      </c>
      <c r="C6212" t="s">
        <v>86</v>
      </c>
      <c r="D6212">
        <v>5.8663099999999996E-3</v>
      </c>
      <c r="E6212" t="s">
        <v>74</v>
      </c>
      <c r="F6212">
        <v>5.8663100000000004</v>
      </c>
      <c r="G6212" t="s">
        <v>75</v>
      </c>
      <c r="H6212">
        <v>5866.3069999999998</v>
      </c>
      <c r="I6212" t="s">
        <v>76</v>
      </c>
      <c r="J6212" t="s">
        <v>82</v>
      </c>
      <c r="K6212">
        <v>170.46498220000001</v>
      </c>
    </row>
    <row r="6213" spans="1:11" x14ac:dyDescent="0.3">
      <c r="A6213" t="s">
        <v>87</v>
      </c>
    </row>
    <row r="6214" spans="1:11" x14ac:dyDescent="0.3">
      <c r="A6214" t="s">
        <v>112</v>
      </c>
    </row>
    <row r="6215" spans="1:11" x14ac:dyDescent="0.3">
      <c r="A6215" t="s">
        <v>72</v>
      </c>
      <c r="B6215">
        <v>1</v>
      </c>
      <c r="C6215" t="s">
        <v>81</v>
      </c>
      <c r="D6215">
        <v>1.36711E-2</v>
      </c>
      <c r="E6215" t="s">
        <v>74</v>
      </c>
      <c r="F6215">
        <v>13.671099999999999</v>
      </c>
      <c r="G6215" t="s">
        <v>75</v>
      </c>
      <c r="H6215">
        <v>13671.1</v>
      </c>
      <c r="I6215" t="s">
        <v>76</v>
      </c>
      <c r="J6215" t="s">
        <v>82</v>
      </c>
      <c r="K6215">
        <v>73.147002799999996</v>
      </c>
    </row>
    <row r="6216" spans="1:11" x14ac:dyDescent="0.3">
      <c r="A6216" t="s">
        <v>83</v>
      </c>
      <c r="B6216">
        <v>1000</v>
      </c>
      <c r="C6216" t="s">
        <v>81</v>
      </c>
      <c r="D6216">
        <v>5.9788300000000001E-3</v>
      </c>
      <c r="E6216" t="s">
        <v>74</v>
      </c>
      <c r="F6216">
        <v>5.9788300000000003</v>
      </c>
      <c r="G6216" t="s">
        <v>75</v>
      </c>
      <c r="H6216">
        <v>5978.8310000000001</v>
      </c>
      <c r="I6216" t="s">
        <v>76</v>
      </c>
      <c r="J6216" t="s">
        <v>82</v>
      </c>
      <c r="K6216">
        <v>167.25678160000001</v>
      </c>
    </row>
    <row r="6217" spans="1:11" x14ac:dyDescent="0.3">
      <c r="A6217" t="s">
        <v>85</v>
      </c>
      <c r="B6217">
        <v>1001</v>
      </c>
      <c r="C6217" t="s">
        <v>86</v>
      </c>
      <c r="D6217">
        <v>5.9867200000000001E-3</v>
      </c>
      <c r="E6217" t="s">
        <v>74</v>
      </c>
      <c r="F6217">
        <v>5.98672</v>
      </c>
      <c r="G6217" t="s">
        <v>75</v>
      </c>
      <c r="H6217">
        <v>5986.723</v>
      </c>
      <c r="I6217" t="s">
        <v>76</v>
      </c>
      <c r="J6217" t="s">
        <v>82</v>
      </c>
      <c r="K6217">
        <v>167.0362925</v>
      </c>
    </row>
    <row r="6219" spans="1:11" x14ac:dyDescent="0.3">
      <c r="A6219" t="s">
        <v>113</v>
      </c>
    </row>
    <row r="6220" spans="1:11" x14ac:dyDescent="0.3">
      <c r="A6220" t="s">
        <v>72</v>
      </c>
      <c r="B6220">
        <v>1</v>
      </c>
      <c r="C6220" t="s">
        <v>81</v>
      </c>
      <c r="D6220">
        <v>7.0676999999999997E-3</v>
      </c>
      <c r="E6220" t="s">
        <v>74</v>
      </c>
      <c r="F6220">
        <v>7.0677000000000003</v>
      </c>
      <c r="G6220" t="s">
        <v>75</v>
      </c>
      <c r="H6220">
        <v>7067.7</v>
      </c>
      <c r="I6220" t="s">
        <v>76</v>
      </c>
      <c r="J6220" t="s">
        <v>82</v>
      </c>
      <c r="K6220">
        <v>141.48874620000001</v>
      </c>
    </row>
    <row r="6221" spans="1:11" x14ac:dyDescent="0.3">
      <c r="A6221" t="s">
        <v>83</v>
      </c>
      <c r="B6221">
        <v>1000</v>
      </c>
      <c r="C6221" t="s">
        <v>81</v>
      </c>
      <c r="D6221">
        <v>5.8649899999999996E-3</v>
      </c>
      <c r="E6221" t="s">
        <v>74</v>
      </c>
      <c r="F6221">
        <v>5.8649899999999997</v>
      </c>
      <c r="G6221" t="s">
        <v>75</v>
      </c>
      <c r="H6221">
        <v>5864.99</v>
      </c>
      <c r="I6221" t="s">
        <v>76</v>
      </c>
      <c r="J6221" t="s">
        <v>82</v>
      </c>
      <c r="K6221">
        <v>170.50328160000001</v>
      </c>
    </row>
    <row r="6222" spans="1:11" x14ac:dyDescent="0.3">
      <c r="A6222" t="s">
        <v>85</v>
      </c>
      <c r="B6222">
        <v>1001</v>
      </c>
      <c r="C6222" t="s">
        <v>86</v>
      </c>
      <c r="D6222">
        <v>5.8663099999999996E-3</v>
      </c>
      <c r="E6222" t="s">
        <v>74</v>
      </c>
      <c r="F6222">
        <v>5.8663100000000004</v>
      </c>
      <c r="G6222" t="s">
        <v>75</v>
      </c>
      <c r="H6222">
        <v>5866.3069999999998</v>
      </c>
      <c r="I6222" t="s">
        <v>76</v>
      </c>
      <c r="J6222" t="s">
        <v>82</v>
      </c>
      <c r="K6222">
        <v>170.46498220000001</v>
      </c>
    </row>
    <row r="6224" spans="1:11" x14ac:dyDescent="0.3">
      <c r="A6224" t="s">
        <v>66</v>
      </c>
    </row>
    <row r="6226" spans="1:1" x14ac:dyDescent="0.3">
      <c r="A6226" t="s">
        <v>363</v>
      </c>
    </row>
    <row r="6227" spans="1:1" x14ac:dyDescent="0.3">
      <c r="A6227" t="s">
        <v>68</v>
      </c>
    </row>
    <row r="6228" spans="1:1" x14ac:dyDescent="0.3">
      <c r="A6228" t="s">
        <v>69</v>
      </c>
    </row>
    <row r="6229" spans="1:1" x14ac:dyDescent="0.3">
      <c r="A6229" t="s">
        <v>70</v>
      </c>
    </row>
    <row r="6230" spans="1:1" x14ac:dyDescent="0.3">
      <c r="A6230" t="s">
        <v>115</v>
      </c>
    </row>
    <row r="6231" spans="1:1" x14ac:dyDescent="0.3">
      <c r="A6231" t="s">
        <v>266</v>
      </c>
    </row>
    <row r="6232" spans="1:1" x14ac:dyDescent="0.3">
      <c r="A6232" t="s">
        <v>267</v>
      </c>
    </row>
    <row r="6233" spans="1:1" x14ac:dyDescent="0.3">
      <c r="A6233" t="s">
        <v>118</v>
      </c>
    </row>
    <row r="6234" spans="1:1" x14ac:dyDescent="0.3">
      <c r="A6234" t="s">
        <v>119</v>
      </c>
    </row>
    <row r="6235" spans="1:1" x14ac:dyDescent="0.3">
      <c r="A6235" t="s">
        <v>268</v>
      </c>
    </row>
    <row r="6236" spans="1:1" x14ac:dyDescent="0.3">
      <c r="A6236" t="s">
        <v>269</v>
      </c>
    </row>
    <row r="6237" spans="1:1" x14ac:dyDescent="0.3">
      <c r="A6237" t="s">
        <v>122</v>
      </c>
    </row>
    <row r="6238" spans="1:1" x14ac:dyDescent="0.3">
      <c r="A6238" t="s">
        <v>270</v>
      </c>
    </row>
    <row r="6239" spans="1:1" x14ac:dyDescent="0.3">
      <c r="A6239" t="s">
        <v>271</v>
      </c>
    </row>
    <row r="6240" spans="1:1" x14ac:dyDescent="0.3">
      <c r="A6240" t="s">
        <v>125</v>
      </c>
    </row>
    <row r="6241" spans="1:11" x14ac:dyDescent="0.3">
      <c r="A6241" t="s">
        <v>126</v>
      </c>
    </row>
    <row r="6242" spans="1:11" x14ac:dyDescent="0.3">
      <c r="A6242" t="s">
        <v>127</v>
      </c>
    </row>
    <row r="6243" spans="1:11" x14ac:dyDescent="0.3">
      <c r="A6243" t="s">
        <v>128</v>
      </c>
    </row>
    <row r="6244" spans="1:11" x14ac:dyDescent="0.3">
      <c r="A6244" t="s">
        <v>272</v>
      </c>
    </row>
    <row r="6245" spans="1:11" x14ac:dyDescent="0.3">
      <c r="A6245" t="s">
        <v>72</v>
      </c>
      <c r="B6245">
        <v>1</v>
      </c>
      <c r="C6245" t="s">
        <v>73</v>
      </c>
      <c r="D6245">
        <v>3.9999999999999998E-6</v>
      </c>
      <c r="E6245" t="s">
        <v>74</v>
      </c>
      <c r="F6245">
        <v>4.0000000000000001E-3</v>
      </c>
      <c r="G6245" t="s">
        <v>75</v>
      </c>
      <c r="H6245">
        <v>4</v>
      </c>
      <c r="I6245" t="s">
        <v>76</v>
      </c>
      <c r="J6245" t="s">
        <v>77</v>
      </c>
    </row>
    <row r="6246" spans="1:11" x14ac:dyDescent="0.3">
      <c r="A6246" t="s">
        <v>72</v>
      </c>
      <c r="B6246">
        <v>1</v>
      </c>
      <c r="C6246" t="s">
        <v>78</v>
      </c>
      <c r="D6246">
        <v>0.1487349</v>
      </c>
      <c r="E6246" t="s">
        <v>74</v>
      </c>
      <c r="F6246">
        <v>148.73490000000001</v>
      </c>
      <c r="G6246" t="s">
        <v>75</v>
      </c>
      <c r="H6246">
        <v>148734.897</v>
      </c>
      <c r="I6246" t="s">
        <v>76</v>
      </c>
      <c r="J6246" t="s">
        <v>77</v>
      </c>
    </row>
    <row r="6247" spans="1:11" x14ac:dyDescent="0.3">
      <c r="A6247" t="s">
        <v>72</v>
      </c>
      <c r="B6247">
        <v>1</v>
      </c>
      <c r="C6247" t="s">
        <v>91</v>
      </c>
      <c r="D6247">
        <v>0.10047879999999999</v>
      </c>
      <c r="E6247" t="s">
        <v>74</v>
      </c>
      <c r="F6247">
        <v>100.47880000000001</v>
      </c>
      <c r="G6247" t="s">
        <v>75</v>
      </c>
      <c r="H6247">
        <v>100478.798</v>
      </c>
      <c r="I6247" t="s">
        <v>76</v>
      </c>
      <c r="J6247" t="s">
        <v>77</v>
      </c>
    </row>
    <row r="6248" spans="1:11" x14ac:dyDescent="0.3">
      <c r="A6248" t="s">
        <v>72</v>
      </c>
      <c r="B6248">
        <v>1</v>
      </c>
      <c r="C6248" t="s">
        <v>92</v>
      </c>
      <c r="D6248">
        <v>5.9999999999999995E-4</v>
      </c>
      <c r="E6248" t="s">
        <v>74</v>
      </c>
      <c r="F6248">
        <v>0.6</v>
      </c>
      <c r="G6248" t="s">
        <v>75</v>
      </c>
      <c r="H6248">
        <v>600</v>
      </c>
      <c r="I6248" t="s">
        <v>76</v>
      </c>
      <c r="J6248" t="s">
        <v>77</v>
      </c>
    </row>
    <row r="6249" spans="1:11" x14ac:dyDescent="0.3">
      <c r="A6249" t="s">
        <v>72</v>
      </c>
      <c r="B6249">
        <v>1</v>
      </c>
      <c r="C6249" t="s">
        <v>93</v>
      </c>
      <c r="D6249">
        <v>7.7460299999999996E-2</v>
      </c>
      <c r="E6249" t="s">
        <v>74</v>
      </c>
      <c r="F6249">
        <v>77.460300000000004</v>
      </c>
      <c r="G6249" t="s">
        <v>75</v>
      </c>
      <c r="H6249">
        <v>77460.296000000002</v>
      </c>
      <c r="I6249" t="s">
        <v>76</v>
      </c>
      <c r="J6249" t="s">
        <v>77</v>
      </c>
    </row>
    <row r="6250" spans="1:11" x14ac:dyDescent="0.3">
      <c r="A6250" t="s">
        <v>72</v>
      </c>
      <c r="B6250">
        <v>1</v>
      </c>
      <c r="C6250" t="s">
        <v>79</v>
      </c>
      <c r="D6250">
        <v>0.17854020000000001</v>
      </c>
      <c r="E6250" t="s">
        <v>74</v>
      </c>
      <c r="F6250">
        <v>178.5402</v>
      </c>
      <c r="G6250" t="s">
        <v>75</v>
      </c>
      <c r="H6250">
        <v>178540.2</v>
      </c>
      <c r="I6250" t="s">
        <v>76</v>
      </c>
      <c r="J6250" t="s">
        <v>77</v>
      </c>
    </row>
    <row r="6251" spans="1:11" x14ac:dyDescent="0.3">
      <c r="A6251" t="s">
        <v>72</v>
      </c>
      <c r="B6251">
        <v>1</v>
      </c>
      <c r="C6251" t="s">
        <v>94</v>
      </c>
      <c r="D6251">
        <v>9.5364000000000004E-3</v>
      </c>
      <c r="E6251" t="s">
        <v>74</v>
      </c>
      <c r="F6251">
        <v>9.5364000000000004</v>
      </c>
      <c r="G6251" t="s">
        <v>75</v>
      </c>
      <c r="H6251">
        <v>9536.4</v>
      </c>
      <c r="I6251" t="s">
        <v>76</v>
      </c>
      <c r="J6251" t="s">
        <v>77</v>
      </c>
    </row>
    <row r="6252" spans="1:11" x14ac:dyDescent="0.3">
      <c r="A6252" t="s">
        <v>72</v>
      </c>
      <c r="B6252">
        <v>1</v>
      </c>
      <c r="C6252" t="s">
        <v>80</v>
      </c>
      <c r="D6252">
        <v>9.5368999999999992E-3</v>
      </c>
      <c r="E6252" t="s">
        <v>74</v>
      </c>
      <c r="F6252">
        <v>9.5368999999999993</v>
      </c>
      <c r="G6252" t="s">
        <v>75</v>
      </c>
      <c r="H6252">
        <v>9536.9</v>
      </c>
      <c r="I6252" t="s">
        <v>76</v>
      </c>
      <c r="J6252" t="s">
        <v>77</v>
      </c>
    </row>
    <row r="6253" spans="1:11" x14ac:dyDescent="0.3">
      <c r="A6253" t="s">
        <v>72</v>
      </c>
      <c r="B6253">
        <v>1</v>
      </c>
      <c r="C6253" t="s">
        <v>81</v>
      </c>
      <c r="D6253">
        <v>0.18807969999999999</v>
      </c>
      <c r="E6253" t="s">
        <v>74</v>
      </c>
      <c r="F6253">
        <v>188.0797</v>
      </c>
      <c r="G6253" t="s">
        <v>75</v>
      </c>
      <c r="H6253">
        <v>188079.7</v>
      </c>
      <c r="I6253" t="s">
        <v>76</v>
      </c>
      <c r="J6253" t="s">
        <v>82</v>
      </c>
      <c r="K6253">
        <v>5.3168949000000003</v>
      </c>
    </row>
    <row r="6254" spans="1:11" x14ac:dyDescent="0.3">
      <c r="A6254" t="s">
        <v>83</v>
      </c>
      <c r="B6254">
        <v>1000</v>
      </c>
      <c r="C6254" t="s">
        <v>91</v>
      </c>
      <c r="D6254">
        <v>6.6317000000000004E-4</v>
      </c>
      <c r="E6254" t="s">
        <v>74</v>
      </c>
      <c r="F6254">
        <v>0.66317000000000004</v>
      </c>
      <c r="G6254" t="s">
        <v>75</v>
      </c>
      <c r="H6254">
        <v>663.16700000000003</v>
      </c>
      <c r="I6254" t="s">
        <v>76</v>
      </c>
      <c r="J6254" t="s">
        <v>77</v>
      </c>
    </row>
    <row r="6255" spans="1:11" x14ac:dyDescent="0.3">
      <c r="A6255" t="s">
        <v>83</v>
      </c>
      <c r="B6255">
        <v>1000</v>
      </c>
      <c r="C6255" t="s">
        <v>92</v>
      </c>
      <c r="D6255">
        <v>4.8611999999999999E-4</v>
      </c>
      <c r="E6255" t="s">
        <v>74</v>
      </c>
      <c r="F6255">
        <v>0.48612</v>
      </c>
      <c r="G6255" t="s">
        <v>75</v>
      </c>
      <c r="H6255">
        <v>486.11599999999999</v>
      </c>
      <c r="I6255" t="s">
        <v>76</v>
      </c>
      <c r="J6255" t="s">
        <v>77</v>
      </c>
    </row>
    <row r="6256" spans="1:11" x14ac:dyDescent="0.3">
      <c r="A6256" t="s">
        <v>83</v>
      </c>
      <c r="B6256">
        <v>1000</v>
      </c>
      <c r="C6256" t="s">
        <v>93</v>
      </c>
      <c r="D6256">
        <v>3.9184000000000002E-4</v>
      </c>
      <c r="E6256" t="s">
        <v>74</v>
      </c>
      <c r="F6256">
        <v>0.39184000000000002</v>
      </c>
      <c r="G6256" t="s">
        <v>75</v>
      </c>
      <c r="H6256">
        <v>391.84100000000001</v>
      </c>
      <c r="I6256" t="s">
        <v>76</v>
      </c>
      <c r="J6256" t="s">
        <v>77</v>
      </c>
    </row>
    <row r="6257" spans="1:11" x14ac:dyDescent="0.3">
      <c r="A6257" t="s">
        <v>83</v>
      </c>
      <c r="B6257">
        <v>1000</v>
      </c>
      <c r="C6257" t="s">
        <v>79</v>
      </c>
      <c r="D6257">
        <v>1.5417899999999999E-3</v>
      </c>
      <c r="E6257" t="s">
        <v>74</v>
      </c>
      <c r="F6257">
        <v>1.54179</v>
      </c>
      <c r="G6257" t="s">
        <v>75</v>
      </c>
      <c r="H6257">
        <v>1541.789</v>
      </c>
      <c r="I6257" t="s">
        <v>76</v>
      </c>
      <c r="J6257" t="s">
        <v>77</v>
      </c>
    </row>
    <row r="6258" spans="1:11" x14ac:dyDescent="0.3">
      <c r="A6258" t="s">
        <v>83</v>
      </c>
      <c r="B6258">
        <v>1000</v>
      </c>
      <c r="C6258" t="s">
        <v>94</v>
      </c>
      <c r="D6258">
        <v>2.7216200000000001E-3</v>
      </c>
      <c r="E6258" t="s">
        <v>74</v>
      </c>
      <c r="F6258">
        <v>2.7216200000000002</v>
      </c>
      <c r="G6258" t="s">
        <v>75</v>
      </c>
      <c r="H6258">
        <v>2721.616</v>
      </c>
      <c r="I6258" t="s">
        <v>76</v>
      </c>
      <c r="J6258" t="s">
        <v>77</v>
      </c>
    </row>
    <row r="6259" spans="1:11" x14ac:dyDescent="0.3">
      <c r="A6259" t="s">
        <v>83</v>
      </c>
      <c r="B6259">
        <v>1000</v>
      </c>
      <c r="C6259" t="s">
        <v>80</v>
      </c>
      <c r="D6259">
        <v>2.86798E-3</v>
      </c>
      <c r="E6259" t="s">
        <v>74</v>
      </c>
      <c r="F6259">
        <v>2.8679800000000002</v>
      </c>
      <c r="G6259" t="s">
        <v>75</v>
      </c>
      <c r="H6259">
        <v>2867.9780000000001</v>
      </c>
      <c r="I6259" t="s">
        <v>76</v>
      </c>
      <c r="J6259" t="s">
        <v>77</v>
      </c>
    </row>
    <row r="6260" spans="1:11" x14ac:dyDescent="0.3">
      <c r="A6260" t="s">
        <v>83</v>
      </c>
      <c r="B6260">
        <v>1000</v>
      </c>
      <c r="C6260" t="s">
        <v>81</v>
      </c>
      <c r="D6260">
        <v>4.4113800000000003E-3</v>
      </c>
      <c r="E6260" t="s">
        <v>74</v>
      </c>
      <c r="F6260">
        <v>4.4113800000000003</v>
      </c>
      <c r="G6260" t="s">
        <v>75</v>
      </c>
      <c r="H6260">
        <v>4411.3819999999996</v>
      </c>
      <c r="I6260" t="s">
        <v>76</v>
      </c>
      <c r="J6260" t="s">
        <v>82</v>
      </c>
      <c r="K6260">
        <v>226.6863208</v>
      </c>
    </row>
    <row r="6261" spans="1:11" x14ac:dyDescent="0.3">
      <c r="A6261" t="s">
        <v>84</v>
      </c>
      <c r="B6261">
        <v>1001</v>
      </c>
      <c r="C6261" t="s">
        <v>91</v>
      </c>
      <c r="D6261">
        <v>7.6287999999999996E-4</v>
      </c>
      <c r="E6261" t="s">
        <v>74</v>
      </c>
      <c r="F6261">
        <v>0.76288</v>
      </c>
      <c r="G6261" t="s">
        <v>75</v>
      </c>
      <c r="H6261">
        <v>762.88300000000004</v>
      </c>
      <c r="I6261" t="s">
        <v>76</v>
      </c>
      <c r="J6261" t="s">
        <v>77</v>
      </c>
    </row>
    <row r="6262" spans="1:11" x14ac:dyDescent="0.3">
      <c r="A6262" t="s">
        <v>84</v>
      </c>
      <c r="B6262">
        <v>1001</v>
      </c>
      <c r="C6262" t="s">
        <v>92</v>
      </c>
      <c r="D6262">
        <v>4.8622999999999998E-4</v>
      </c>
      <c r="E6262" t="s">
        <v>74</v>
      </c>
      <c r="F6262">
        <v>0.48623</v>
      </c>
      <c r="G6262" t="s">
        <v>75</v>
      </c>
      <c r="H6262">
        <v>486.23</v>
      </c>
      <c r="I6262" t="s">
        <v>76</v>
      </c>
      <c r="J6262" t="s">
        <v>77</v>
      </c>
    </row>
    <row r="6263" spans="1:11" x14ac:dyDescent="0.3">
      <c r="A6263" t="s">
        <v>84</v>
      </c>
      <c r="B6263">
        <v>1001</v>
      </c>
      <c r="C6263" t="s">
        <v>93</v>
      </c>
      <c r="D6263">
        <v>4.6883E-4</v>
      </c>
      <c r="E6263" t="s">
        <v>74</v>
      </c>
      <c r="F6263">
        <v>0.46883000000000002</v>
      </c>
      <c r="G6263" t="s">
        <v>75</v>
      </c>
      <c r="H6263">
        <v>468.83300000000003</v>
      </c>
      <c r="I6263" t="s">
        <v>76</v>
      </c>
      <c r="J6263" t="s">
        <v>77</v>
      </c>
    </row>
    <row r="6264" spans="1:11" x14ac:dyDescent="0.3">
      <c r="A6264" t="s">
        <v>84</v>
      </c>
      <c r="B6264">
        <v>1001</v>
      </c>
      <c r="C6264" t="s">
        <v>79</v>
      </c>
      <c r="D6264">
        <v>1.71861E-3</v>
      </c>
      <c r="E6264" t="s">
        <v>74</v>
      </c>
      <c r="F6264">
        <v>1.71861</v>
      </c>
      <c r="G6264" t="s">
        <v>75</v>
      </c>
      <c r="H6264">
        <v>1718.6110000000001</v>
      </c>
      <c r="I6264" t="s">
        <v>76</v>
      </c>
      <c r="J6264" t="s">
        <v>77</v>
      </c>
    </row>
    <row r="6265" spans="1:11" x14ac:dyDescent="0.3">
      <c r="A6265" t="s">
        <v>84</v>
      </c>
      <c r="B6265">
        <v>1001</v>
      </c>
      <c r="C6265" t="s">
        <v>94</v>
      </c>
      <c r="D6265">
        <v>2.7284200000000001E-3</v>
      </c>
      <c r="E6265" t="s">
        <v>74</v>
      </c>
      <c r="F6265">
        <v>2.7284199999999998</v>
      </c>
      <c r="G6265" t="s">
        <v>75</v>
      </c>
      <c r="H6265">
        <v>2728.424</v>
      </c>
      <c r="I6265" t="s">
        <v>76</v>
      </c>
      <c r="J6265" t="s">
        <v>77</v>
      </c>
    </row>
    <row r="6266" spans="1:11" x14ac:dyDescent="0.3">
      <c r="A6266" t="s">
        <v>84</v>
      </c>
      <c r="B6266">
        <v>1001</v>
      </c>
      <c r="C6266" t="s">
        <v>80</v>
      </c>
      <c r="D6266">
        <v>2.8746399999999999E-3</v>
      </c>
      <c r="E6266" t="s">
        <v>74</v>
      </c>
      <c r="F6266">
        <v>2.8746399999999999</v>
      </c>
      <c r="G6266" t="s">
        <v>75</v>
      </c>
      <c r="H6266">
        <v>2874.64</v>
      </c>
      <c r="I6266" t="s">
        <v>76</v>
      </c>
      <c r="J6266" t="s">
        <v>77</v>
      </c>
    </row>
    <row r="6267" spans="1:11" x14ac:dyDescent="0.3">
      <c r="A6267" t="s">
        <v>84</v>
      </c>
      <c r="B6267">
        <v>1001</v>
      </c>
      <c r="C6267" t="s">
        <v>81</v>
      </c>
      <c r="D6267">
        <v>4.59487E-3</v>
      </c>
      <c r="E6267" t="s">
        <v>74</v>
      </c>
      <c r="F6267">
        <v>4.5948700000000002</v>
      </c>
      <c r="G6267" t="s">
        <v>75</v>
      </c>
      <c r="H6267">
        <v>4594.8680000000004</v>
      </c>
      <c r="I6267" t="s">
        <v>76</v>
      </c>
      <c r="J6267" t="s">
        <v>82</v>
      </c>
      <c r="K6267">
        <v>217.6341027</v>
      </c>
    </row>
    <row r="6268" spans="1:11" x14ac:dyDescent="0.3">
      <c r="A6268" t="s">
        <v>85</v>
      </c>
      <c r="B6268">
        <v>1001</v>
      </c>
      <c r="C6268" t="s">
        <v>86</v>
      </c>
      <c r="D6268">
        <v>4.5952399999999996E-3</v>
      </c>
      <c r="E6268" t="s">
        <v>74</v>
      </c>
      <c r="F6268">
        <v>4.5952400000000004</v>
      </c>
      <c r="G6268" t="s">
        <v>75</v>
      </c>
      <c r="H6268">
        <v>4595.2349999999997</v>
      </c>
      <c r="I6268" t="s">
        <v>76</v>
      </c>
      <c r="J6268" t="s">
        <v>82</v>
      </c>
      <c r="K6268">
        <v>217.6167083</v>
      </c>
    </row>
    <row r="6269" spans="1:11" x14ac:dyDescent="0.3">
      <c r="A6269" t="s">
        <v>115</v>
      </c>
    </row>
    <row r="6270" spans="1:11" x14ac:dyDescent="0.3">
      <c r="A6270" t="s">
        <v>127</v>
      </c>
    </row>
    <row r="6271" spans="1:11" x14ac:dyDescent="0.3">
      <c r="A6271" t="s">
        <v>87</v>
      </c>
    </row>
    <row r="6272" spans="1:11" x14ac:dyDescent="0.3">
      <c r="A6272" t="s">
        <v>273</v>
      </c>
    </row>
    <row r="6273" spans="1:11" x14ac:dyDescent="0.3">
      <c r="A6273" t="s">
        <v>72</v>
      </c>
      <c r="B6273">
        <v>1</v>
      </c>
      <c r="C6273" t="s">
        <v>81</v>
      </c>
      <c r="D6273">
        <v>0.18807969999999999</v>
      </c>
      <c r="E6273" t="s">
        <v>74</v>
      </c>
      <c r="F6273">
        <v>188.0797</v>
      </c>
      <c r="G6273" t="s">
        <v>75</v>
      </c>
      <c r="H6273">
        <v>188079.7</v>
      </c>
      <c r="I6273" t="s">
        <v>76</v>
      </c>
      <c r="J6273" t="s">
        <v>82</v>
      </c>
      <c r="K6273">
        <v>5.3168949000000003</v>
      </c>
    </row>
    <row r="6274" spans="1:11" x14ac:dyDescent="0.3">
      <c r="A6274" t="s">
        <v>83</v>
      </c>
      <c r="B6274">
        <v>1000</v>
      </c>
      <c r="C6274" t="s">
        <v>81</v>
      </c>
      <c r="D6274">
        <v>4.4113800000000003E-3</v>
      </c>
      <c r="E6274" t="s">
        <v>74</v>
      </c>
      <c r="F6274">
        <v>4.4113800000000003</v>
      </c>
      <c r="G6274" t="s">
        <v>75</v>
      </c>
      <c r="H6274">
        <v>4411.3819999999996</v>
      </c>
      <c r="I6274" t="s">
        <v>76</v>
      </c>
      <c r="J6274" t="s">
        <v>82</v>
      </c>
      <c r="K6274">
        <v>226.6863208</v>
      </c>
    </row>
    <row r="6275" spans="1:11" x14ac:dyDescent="0.3">
      <c r="A6275" t="s">
        <v>85</v>
      </c>
      <c r="B6275">
        <v>1001</v>
      </c>
      <c r="C6275" t="s">
        <v>86</v>
      </c>
      <c r="D6275">
        <v>4.5952399999999996E-3</v>
      </c>
      <c r="E6275" t="s">
        <v>74</v>
      </c>
      <c r="F6275">
        <v>4.5952400000000004</v>
      </c>
      <c r="G6275" t="s">
        <v>75</v>
      </c>
      <c r="H6275">
        <v>4595.2349999999997</v>
      </c>
      <c r="I6275" t="s">
        <v>76</v>
      </c>
      <c r="J6275" t="s">
        <v>82</v>
      </c>
      <c r="K6275">
        <v>217.6167083</v>
      </c>
    </row>
    <row r="6277" spans="1:11" x14ac:dyDescent="0.3">
      <c r="A6277" t="s">
        <v>66</v>
      </c>
    </row>
    <row r="6279" spans="1:11" x14ac:dyDescent="0.3">
      <c r="A6279" t="s">
        <v>364</v>
      </c>
    </row>
    <row r="6280" spans="1:11" x14ac:dyDescent="0.3">
      <c r="A6280" t="s">
        <v>68</v>
      </c>
    </row>
    <row r="6281" spans="1:11" x14ac:dyDescent="0.3">
      <c r="A6281" t="s">
        <v>69</v>
      </c>
    </row>
    <row r="6282" spans="1:11" x14ac:dyDescent="0.3">
      <c r="A6282" t="s">
        <v>70</v>
      </c>
    </row>
    <row r="6283" spans="1:11" x14ac:dyDescent="0.3">
      <c r="A6283" t="s">
        <v>115</v>
      </c>
    </row>
    <row r="6284" spans="1:11" x14ac:dyDescent="0.3">
      <c r="A6284" t="s">
        <v>266</v>
      </c>
    </row>
    <row r="6285" spans="1:11" x14ac:dyDescent="0.3">
      <c r="A6285" t="s">
        <v>267</v>
      </c>
    </row>
    <row r="6286" spans="1:11" x14ac:dyDescent="0.3">
      <c r="A6286" t="s">
        <v>118</v>
      </c>
    </row>
    <row r="6287" spans="1:11" x14ac:dyDescent="0.3">
      <c r="A6287" t="s">
        <v>119</v>
      </c>
    </row>
    <row r="6288" spans="1:11" x14ac:dyDescent="0.3">
      <c r="A6288" t="s">
        <v>268</v>
      </c>
    </row>
    <row r="6289" spans="1:11" x14ac:dyDescent="0.3">
      <c r="A6289" t="s">
        <v>269</v>
      </c>
    </row>
    <row r="6290" spans="1:11" x14ac:dyDescent="0.3">
      <c r="A6290" t="s">
        <v>122</v>
      </c>
    </row>
    <row r="6291" spans="1:11" x14ac:dyDescent="0.3">
      <c r="A6291" t="s">
        <v>270</v>
      </c>
    </row>
    <row r="6292" spans="1:11" x14ac:dyDescent="0.3">
      <c r="A6292" t="s">
        <v>271</v>
      </c>
    </row>
    <row r="6293" spans="1:11" x14ac:dyDescent="0.3">
      <c r="A6293" t="s">
        <v>125</v>
      </c>
    </row>
    <row r="6294" spans="1:11" x14ac:dyDescent="0.3">
      <c r="A6294" t="s">
        <v>126</v>
      </c>
    </row>
    <row r="6295" spans="1:11" x14ac:dyDescent="0.3">
      <c r="A6295" t="s">
        <v>127</v>
      </c>
    </row>
    <row r="6296" spans="1:11" x14ac:dyDescent="0.3">
      <c r="A6296" t="s">
        <v>132</v>
      </c>
    </row>
    <row r="6297" spans="1:11" x14ac:dyDescent="0.3">
      <c r="A6297" t="s">
        <v>275</v>
      </c>
    </row>
    <row r="6298" spans="1:11" x14ac:dyDescent="0.3">
      <c r="A6298" t="s">
        <v>72</v>
      </c>
      <c r="B6298">
        <v>1</v>
      </c>
      <c r="C6298" t="s">
        <v>73</v>
      </c>
      <c r="D6298">
        <v>3.9999999999999998E-6</v>
      </c>
      <c r="E6298" t="s">
        <v>74</v>
      </c>
      <c r="F6298">
        <v>4.0000000000000001E-3</v>
      </c>
      <c r="G6298" t="s">
        <v>75</v>
      </c>
      <c r="H6298">
        <v>4</v>
      </c>
      <c r="I6298" t="s">
        <v>76</v>
      </c>
      <c r="J6298" t="s">
        <v>77</v>
      </c>
    </row>
    <row r="6299" spans="1:11" x14ac:dyDescent="0.3">
      <c r="A6299" t="s">
        <v>72</v>
      </c>
      <c r="B6299">
        <v>1</v>
      </c>
      <c r="C6299" t="s">
        <v>78</v>
      </c>
      <c r="D6299">
        <v>0.15063170000000001</v>
      </c>
      <c r="E6299" t="s">
        <v>74</v>
      </c>
      <c r="F6299">
        <v>150.6317</v>
      </c>
      <c r="G6299" t="s">
        <v>75</v>
      </c>
      <c r="H6299">
        <v>150631.696</v>
      </c>
      <c r="I6299" t="s">
        <v>76</v>
      </c>
      <c r="J6299" t="s">
        <v>77</v>
      </c>
    </row>
    <row r="6300" spans="1:11" x14ac:dyDescent="0.3">
      <c r="A6300" t="s">
        <v>72</v>
      </c>
      <c r="B6300">
        <v>1</v>
      </c>
      <c r="C6300" t="s">
        <v>79</v>
      </c>
      <c r="D6300">
        <v>0.1122649</v>
      </c>
      <c r="E6300" t="s">
        <v>74</v>
      </c>
      <c r="F6300">
        <v>112.2649</v>
      </c>
      <c r="G6300" t="s">
        <v>75</v>
      </c>
      <c r="H6300">
        <v>112264.901</v>
      </c>
      <c r="I6300" t="s">
        <v>76</v>
      </c>
      <c r="J6300" t="s">
        <v>77</v>
      </c>
    </row>
    <row r="6301" spans="1:11" x14ac:dyDescent="0.3">
      <c r="A6301" t="s">
        <v>72</v>
      </c>
      <c r="B6301">
        <v>1</v>
      </c>
      <c r="C6301" t="s">
        <v>94</v>
      </c>
      <c r="D6301">
        <v>9.4272999999999996E-3</v>
      </c>
      <c r="E6301" t="s">
        <v>74</v>
      </c>
      <c r="F6301">
        <v>9.4273000000000007</v>
      </c>
      <c r="G6301" t="s">
        <v>75</v>
      </c>
      <c r="H6301">
        <v>9427.2999999999993</v>
      </c>
      <c r="I6301" t="s">
        <v>76</v>
      </c>
      <c r="J6301" t="s">
        <v>77</v>
      </c>
    </row>
    <row r="6302" spans="1:11" x14ac:dyDescent="0.3">
      <c r="A6302" t="s">
        <v>72</v>
      </c>
      <c r="B6302">
        <v>1</v>
      </c>
      <c r="C6302" t="s">
        <v>80</v>
      </c>
      <c r="D6302">
        <v>9.4281999999999994E-3</v>
      </c>
      <c r="E6302" t="s">
        <v>74</v>
      </c>
      <c r="F6302">
        <v>9.4282000000000004</v>
      </c>
      <c r="G6302" t="s">
        <v>75</v>
      </c>
      <c r="H6302">
        <v>9428.2000000000007</v>
      </c>
      <c r="I6302" t="s">
        <v>76</v>
      </c>
      <c r="J6302" t="s">
        <v>77</v>
      </c>
    </row>
    <row r="6303" spans="1:11" x14ac:dyDescent="0.3">
      <c r="A6303" t="s">
        <v>72</v>
      </c>
      <c r="B6303">
        <v>1</v>
      </c>
      <c r="C6303" t="s">
        <v>81</v>
      </c>
      <c r="D6303">
        <v>0.12169530000000001</v>
      </c>
      <c r="E6303" t="s">
        <v>74</v>
      </c>
      <c r="F6303">
        <v>121.6953</v>
      </c>
      <c r="G6303" t="s">
        <v>75</v>
      </c>
      <c r="H6303">
        <v>121695.302</v>
      </c>
      <c r="I6303" t="s">
        <v>76</v>
      </c>
      <c r="J6303" t="s">
        <v>82</v>
      </c>
      <c r="K6303">
        <v>8.2172441000000003</v>
      </c>
    </row>
    <row r="6304" spans="1:11" x14ac:dyDescent="0.3">
      <c r="A6304" t="s">
        <v>83</v>
      </c>
      <c r="B6304">
        <v>1000</v>
      </c>
      <c r="C6304" t="s">
        <v>79</v>
      </c>
      <c r="D6304">
        <v>7.182E-4</v>
      </c>
      <c r="E6304" t="s">
        <v>74</v>
      </c>
      <c r="F6304">
        <v>0.71819999999999995</v>
      </c>
      <c r="G6304" t="s">
        <v>75</v>
      </c>
      <c r="H6304">
        <v>718.2</v>
      </c>
      <c r="I6304" t="s">
        <v>76</v>
      </c>
      <c r="J6304" t="s">
        <v>77</v>
      </c>
    </row>
    <row r="6305" spans="1:11" x14ac:dyDescent="0.3">
      <c r="A6305" t="s">
        <v>83</v>
      </c>
      <c r="B6305">
        <v>1000</v>
      </c>
      <c r="C6305" t="s">
        <v>94</v>
      </c>
      <c r="D6305">
        <v>2.5690600000000002E-3</v>
      </c>
      <c r="E6305" t="s">
        <v>74</v>
      </c>
      <c r="F6305">
        <v>2.5690599999999999</v>
      </c>
      <c r="G6305" t="s">
        <v>75</v>
      </c>
      <c r="H6305">
        <v>2569.06</v>
      </c>
      <c r="I6305" t="s">
        <v>76</v>
      </c>
      <c r="J6305" t="s">
        <v>77</v>
      </c>
    </row>
    <row r="6306" spans="1:11" x14ac:dyDescent="0.3">
      <c r="A6306" t="s">
        <v>83</v>
      </c>
      <c r="B6306">
        <v>1000</v>
      </c>
      <c r="C6306" t="s">
        <v>80</v>
      </c>
      <c r="D6306">
        <v>2.7032100000000002E-3</v>
      </c>
      <c r="E6306" t="s">
        <v>74</v>
      </c>
      <c r="F6306">
        <v>2.7032099999999999</v>
      </c>
      <c r="G6306" t="s">
        <v>75</v>
      </c>
      <c r="H6306">
        <v>2703.212</v>
      </c>
      <c r="I6306" t="s">
        <v>76</v>
      </c>
      <c r="J6306" t="s">
        <v>77</v>
      </c>
    </row>
    <row r="6307" spans="1:11" x14ac:dyDescent="0.3">
      <c r="A6307" t="s">
        <v>83</v>
      </c>
      <c r="B6307">
        <v>1000</v>
      </c>
      <c r="C6307" t="s">
        <v>81</v>
      </c>
      <c r="D6307">
        <v>3.42216E-3</v>
      </c>
      <c r="E6307" t="s">
        <v>74</v>
      </c>
      <c r="F6307">
        <v>3.4221599999999999</v>
      </c>
      <c r="G6307" t="s">
        <v>75</v>
      </c>
      <c r="H6307">
        <v>3422.16</v>
      </c>
      <c r="I6307" t="s">
        <v>76</v>
      </c>
      <c r="J6307" t="s">
        <v>82</v>
      </c>
      <c r="K6307">
        <v>292.21311279999998</v>
      </c>
    </row>
    <row r="6308" spans="1:11" x14ac:dyDescent="0.3">
      <c r="A6308" t="s">
        <v>84</v>
      </c>
      <c r="B6308">
        <v>1001</v>
      </c>
      <c r="C6308" t="s">
        <v>79</v>
      </c>
      <c r="D6308">
        <v>8.2963999999999998E-4</v>
      </c>
      <c r="E6308" t="s">
        <v>74</v>
      </c>
      <c r="F6308">
        <v>0.82964000000000004</v>
      </c>
      <c r="G6308" t="s">
        <v>75</v>
      </c>
      <c r="H6308">
        <v>829.63599999999997</v>
      </c>
      <c r="I6308" t="s">
        <v>76</v>
      </c>
      <c r="J6308" t="s">
        <v>77</v>
      </c>
    </row>
    <row r="6309" spans="1:11" x14ac:dyDescent="0.3">
      <c r="A6309" t="s">
        <v>84</v>
      </c>
      <c r="B6309">
        <v>1001</v>
      </c>
      <c r="C6309" t="s">
        <v>94</v>
      </c>
      <c r="D6309">
        <v>2.5759099999999998E-3</v>
      </c>
      <c r="E6309" t="s">
        <v>74</v>
      </c>
      <c r="F6309">
        <v>2.5759099999999999</v>
      </c>
      <c r="G6309" t="s">
        <v>75</v>
      </c>
      <c r="H6309">
        <v>2575.9110000000001</v>
      </c>
      <c r="I6309" t="s">
        <v>76</v>
      </c>
      <c r="J6309" t="s">
        <v>77</v>
      </c>
    </row>
    <row r="6310" spans="1:11" x14ac:dyDescent="0.3">
      <c r="A6310" t="s">
        <v>84</v>
      </c>
      <c r="B6310">
        <v>1001</v>
      </c>
      <c r="C6310" t="s">
        <v>80</v>
      </c>
      <c r="D6310">
        <v>2.7099300000000002E-3</v>
      </c>
      <c r="E6310" t="s">
        <v>74</v>
      </c>
      <c r="F6310">
        <v>2.7099299999999999</v>
      </c>
      <c r="G6310" t="s">
        <v>75</v>
      </c>
      <c r="H6310">
        <v>2709.93</v>
      </c>
      <c r="I6310" t="s">
        <v>76</v>
      </c>
      <c r="J6310" t="s">
        <v>77</v>
      </c>
    </row>
    <row r="6311" spans="1:11" x14ac:dyDescent="0.3">
      <c r="A6311" t="s">
        <v>84</v>
      </c>
      <c r="B6311">
        <v>1001</v>
      </c>
      <c r="C6311" t="s">
        <v>81</v>
      </c>
      <c r="D6311">
        <v>3.5403100000000001E-3</v>
      </c>
      <c r="E6311" t="s">
        <v>74</v>
      </c>
      <c r="F6311">
        <v>3.5403099999999998</v>
      </c>
      <c r="G6311" t="s">
        <v>75</v>
      </c>
      <c r="H6311">
        <v>3540.3139999999999</v>
      </c>
      <c r="I6311" t="s">
        <v>76</v>
      </c>
      <c r="J6311" t="s">
        <v>82</v>
      </c>
      <c r="K6311">
        <v>282.46080840000002</v>
      </c>
    </row>
    <row r="6312" spans="1:11" x14ac:dyDescent="0.3">
      <c r="A6312" t="s">
        <v>85</v>
      </c>
      <c r="B6312">
        <v>1001</v>
      </c>
      <c r="C6312" t="s">
        <v>86</v>
      </c>
      <c r="D6312">
        <v>3.54047E-3</v>
      </c>
      <c r="E6312" t="s">
        <v>74</v>
      </c>
      <c r="F6312">
        <v>3.54047</v>
      </c>
      <c r="G6312" t="s">
        <v>75</v>
      </c>
      <c r="H6312">
        <v>3540.4740000000002</v>
      </c>
      <c r="I6312" t="s">
        <v>76</v>
      </c>
      <c r="J6312" t="s">
        <v>82</v>
      </c>
      <c r="K6312">
        <v>282.44809600000002</v>
      </c>
    </row>
    <row r="6313" spans="1:11" x14ac:dyDescent="0.3">
      <c r="A6313" t="s">
        <v>134</v>
      </c>
    </row>
    <row r="6314" spans="1:11" x14ac:dyDescent="0.3">
      <c r="A6314" t="s">
        <v>276</v>
      </c>
    </row>
    <row r="6315" spans="1:11" x14ac:dyDescent="0.3">
      <c r="A6315" t="s">
        <v>72</v>
      </c>
      <c r="B6315">
        <v>1</v>
      </c>
      <c r="C6315" t="s">
        <v>73</v>
      </c>
      <c r="D6315">
        <v>3.9999999999999998E-6</v>
      </c>
      <c r="E6315" t="s">
        <v>74</v>
      </c>
      <c r="F6315">
        <v>4.0000000000000001E-3</v>
      </c>
      <c r="G6315" t="s">
        <v>75</v>
      </c>
      <c r="H6315">
        <v>4</v>
      </c>
      <c r="I6315" t="s">
        <v>76</v>
      </c>
      <c r="J6315" t="s">
        <v>77</v>
      </c>
    </row>
    <row r="6316" spans="1:11" x14ac:dyDescent="0.3">
      <c r="A6316" t="s">
        <v>72</v>
      </c>
      <c r="B6316">
        <v>1</v>
      </c>
      <c r="C6316" t="s">
        <v>78</v>
      </c>
      <c r="D6316">
        <v>9.7399999999999996E-5</v>
      </c>
      <c r="E6316" t="s">
        <v>74</v>
      </c>
      <c r="F6316">
        <v>9.74E-2</v>
      </c>
      <c r="G6316" t="s">
        <v>75</v>
      </c>
      <c r="H6316">
        <v>97.4</v>
      </c>
      <c r="I6316" t="s">
        <v>76</v>
      </c>
      <c r="J6316" t="s">
        <v>77</v>
      </c>
    </row>
    <row r="6317" spans="1:11" x14ac:dyDescent="0.3">
      <c r="A6317" t="s">
        <v>72</v>
      </c>
      <c r="B6317">
        <v>1</v>
      </c>
      <c r="C6317" t="s">
        <v>79</v>
      </c>
      <c r="D6317">
        <v>2.928E-3</v>
      </c>
      <c r="E6317" t="s">
        <v>74</v>
      </c>
      <c r="F6317">
        <v>2.9279999999999999</v>
      </c>
      <c r="G6317" t="s">
        <v>75</v>
      </c>
      <c r="H6317">
        <v>2928</v>
      </c>
      <c r="I6317" t="s">
        <v>76</v>
      </c>
      <c r="J6317" t="s">
        <v>77</v>
      </c>
    </row>
    <row r="6318" spans="1:11" x14ac:dyDescent="0.3">
      <c r="A6318" t="s">
        <v>72</v>
      </c>
      <c r="B6318">
        <v>1</v>
      </c>
      <c r="C6318" t="s">
        <v>94</v>
      </c>
      <c r="D6318">
        <v>2.6384999999999998E-3</v>
      </c>
      <c r="E6318" t="s">
        <v>74</v>
      </c>
      <c r="F6318">
        <v>2.6385000000000001</v>
      </c>
      <c r="G6318" t="s">
        <v>75</v>
      </c>
      <c r="H6318">
        <v>2638.5</v>
      </c>
      <c r="I6318" t="s">
        <v>76</v>
      </c>
      <c r="J6318" t="s">
        <v>77</v>
      </c>
    </row>
    <row r="6319" spans="1:11" x14ac:dyDescent="0.3">
      <c r="A6319" t="s">
        <v>72</v>
      </c>
      <c r="B6319">
        <v>1</v>
      </c>
      <c r="C6319" t="s">
        <v>80</v>
      </c>
      <c r="D6319">
        <v>2.8544E-3</v>
      </c>
      <c r="E6319" t="s">
        <v>74</v>
      </c>
      <c r="F6319">
        <v>2.8544</v>
      </c>
      <c r="G6319" t="s">
        <v>75</v>
      </c>
      <c r="H6319">
        <v>2854.4</v>
      </c>
      <c r="I6319" t="s">
        <v>76</v>
      </c>
      <c r="J6319" t="s">
        <v>77</v>
      </c>
    </row>
    <row r="6320" spans="1:11" x14ac:dyDescent="0.3">
      <c r="A6320" t="s">
        <v>72</v>
      </c>
      <c r="B6320">
        <v>1</v>
      </c>
      <c r="C6320" t="s">
        <v>81</v>
      </c>
      <c r="D6320">
        <v>5.7838000000000004E-3</v>
      </c>
      <c r="E6320" t="s">
        <v>74</v>
      </c>
      <c r="F6320">
        <v>5.7838000000000003</v>
      </c>
      <c r="G6320" t="s">
        <v>75</v>
      </c>
      <c r="H6320">
        <v>5783.8</v>
      </c>
      <c r="I6320" t="s">
        <v>76</v>
      </c>
      <c r="J6320" t="s">
        <v>82</v>
      </c>
      <c r="K6320">
        <v>172.89671039999999</v>
      </c>
    </row>
    <row r="6321" spans="1:11" x14ac:dyDescent="0.3">
      <c r="A6321" t="s">
        <v>83</v>
      </c>
      <c r="B6321">
        <v>1000</v>
      </c>
      <c r="C6321" t="s">
        <v>79</v>
      </c>
      <c r="D6321">
        <v>1.0730799999999999E-3</v>
      </c>
      <c r="E6321" t="s">
        <v>74</v>
      </c>
      <c r="F6321">
        <v>1.07308</v>
      </c>
      <c r="G6321" t="s">
        <v>75</v>
      </c>
      <c r="H6321">
        <v>1073.0840000000001</v>
      </c>
      <c r="I6321" t="s">
        <v>76</v>
      </c>
      <c r="J6321" t="s">
        <v>77</v>
      </c>
    </row>
    <row r="6322" spans="1:11" x14ac:dyDescent="0.3">
      <c r="A6322" t="s">
        <v>83</v>
      </c>
      <c r="B6322">
        <v>1000</v>
      </c>
      <c r="C6322" t="s">
        <v>94</v>
      </c>
      <c r="D6322">
        <v>2.6389199999999999E-3</v>
      </c>
      <c r="E6322" t="s">
        <v>74</v>
      </c>
      <c r="F6322">
        <v>2.6389200000000002</v>
      </c>
      <c r="G6322" t="s">
        <v>75</v>
      </c>
      <c r="H6322">
        <v>2638.92</v>
      </c>
      <c r="I6322" t="s">
        <v>76</v>
      </c>
      <c r="J6322" t="s">
        <v>77</v>
      </c>
    </row>
    <row r="6323" spans="1:11" x14ac:dyDescent="0.3">
      <c r="A6323" t="s">
        <v>83</v>
      </c>
      <c r="B6323">
        <v>1000</v>
      </c>
      <c r="C6323" t="s">
        <v>80</v>
      </c>
      <c r="D6323">
        <v>2.7864299999999999E-3</v>
      </c>
      <c r="E6323" t="s">
        <v>74</v>
      </c>
      <c r="F6323">
        <v>2.7864300000000002</v>
      </c>
      <c r="G6323" t="s">
        <v>75</v>
      </c>
      <c r="H6323">
        <v>2786.4319999999998</v>
      </c>
      <c r="I6323" t="s">
        <v>76</v>
      </c>
      <c r="J6323" t="s">
        <v>77</v>
      </c>
    </row>
    <row r="6324" spans="1:11" x14ac:dyDescent="0.3">
      <c r="A6324" t="s">
        <v>83</v>
      </c>
      <c r="B6324">
        <v>1000</v>
      </c>
      <c r="C6324" t="s">
        <v>81</v>
      </c>
      <c r="D6324">
        <v>3.86068E-3</v>
      </c>
      <c r="E6324" t="s">
        <v>74</v>
      </c>
      <c r="F6324">
        <v>3.8606799999999999</v>
      </c>
      <c r="G6324" t="s">
        <v>75</v>
      </c>
      <c r="H6324">
        <v>3860.6790000000001</v>
      </c>
      <c r="I6324" t="s">
        <v>76</v>
      </c>
      <c r="J6324" t="s">
        <v>82</v>
      </c>
      <c r="K6324">
        <v>259.02178379999998</v>
      </c>
    </row>
    <row r="6325" spans="1:11" x14ac:dyDescent="0.3">
      <c r="A6325" t="s">
        <v>84</v>
      </c>
      <c r="B6325">
        <v>1001</v>
      </c>
      <c r="C6325" t="s">
        <v>79</v>
      </c>
      <c r="D6325">
        <v>1.0749399999999999E-3</v>
      </c>
      <c r="E6325" t="s">
        <v>74</v>
      </c>
      <c r="F6325">
        <v>1.07494</v>
      </c>
      <c r="G6325" t="s">
        <v>75</v>
      </c>
      <c r="H6325">
        <v>1074.9369999999999</v>
      </c>
      <c r="I6325" t="s">
        <v>76</v>
      </c>
      <c r="J6325" t="s">
        <v>77</v>
      </c>
    </row>
    <row r="6326" spans="1:11" x14ac:dyDescent="0.3">
      <c r="A6326" t="s">
        <v>84</v>
      </c>
      <c r="B6326">
        <v>1001</v>
      </c>
      <c r="C6326" t="s">
        <v>94</v>
      </c>
      <c r="D6326">
        <v>2.6389199999999999E-3</v>
      </c>
      <c r="E6326" t="s">
        <v>74</v>
      </c>
      <c r="F6326">
        <v>2.6389200000000002</v>
      </c>
      <c r="G6326" t="s">
        <v>75</v>
      </c>
      <c r="H6326">
        <v>2638.9189999999999</v>
      </c>
      <c r="I6326" t="s">
        <v>76</v>
      </c>
      <c r="J6326" t="s">
        <v>77</v>
      </c>
    </row>
    <row r="6327" spans="1:11" x14ac:dyDescent="0.3">
      <c r="A6327" t="s">
        <v>84</v>
      </c>
      <c r="B6327">
        <v>1001</v>
      </c>
      <c r="C6327" t="s">
        <v>80</v>
      </c>
      <c r="D6327">
        <v>2.7864999999999999E-3</v>
      </c>
      <c r="E6327" t="s">
        <v>74</v>
      </c>
      <c r="F6327">
        <v>2.7865000000000002</v>
      </c>
      <c r="G6327" t="s">
        <v>75</v>
      </c>
      <c r="H6327">
        <v>2786.5</v>
      </c>
      <c r="I6327" t="s">
        <v>76</v>
      </c>
      <c r="J6327" t="s">
        <v>77</v>
      </c>
    </row>
    <row r="6328" spans="1:11" x14ac:dyDescent="0.3">
      <c r="A6328" t="s">
        <v>84</v>
      </c>
      <c r="B6328">
        <v>1001</v>
      </c>
      <c r="C6328" t="s">
        <v>81</v>
      </c>
      <c r="D6328">
        <v>3.8625999999999999E-3</v>
      </c>
      <c r="E6328" t="s">
        <v>74</v>
      </c>
      <c r="F6328">
        <v>3.8626</v>
      </c>
      <c r="G6328" t="s">
        <v>75</v>
      </c>
      <c r="H6328">
        <v>3862.6010000000001</v>
      </c>
      <c r="I6328" t="s">
        <v>76</v>
      </c>
      <c r="J6328" t="s">
        <v>82</v>
      </c>
      <c r="K6328">
        <v>258.89293450000002</v>
      </c>
    </row>
    <row r="6329" spans="1:11" x14ac:dyDescent="0.3">
      <c r="A6329" t="s">
        <v>85</v>
      </c>
      <c r="B6329">
        <v>1001</v>
      </c>
      <c r="C6329" t="s">
        <v>86</v>
      </c>
      <c r="D6329">
        <v>3.86288E-3</v>
      </c>
      <c r="E6329" t="s">
        <v>74</v>
      </c>
      <c r="F6329">
        <v>3.8628800000000001</v>
      </c>
      <c r="G6329" t="s">
        <v>75</v>
      </c>
      <c r="H6329">
        <v>3862.8760000000002</v>
      </c>
      <c r="I6329" t="s">
        <v>76</v>
      </c>
      <c r="J6329" t="s">
        <v>82</v>
      </c>
      <c r="K6329">
        <v>258.8744653</v>
      </c>
    </row>
    <row r="6330" spans="1:11" x14ac:dyDescent="0.3">
      <c r="A6330" t="s">
        <v>115</v>
      </c>
    </row>
    <row r="6331" spans="1:11" x14ac:dyDescent="0.3">
      <c r="A6331" t="s">
        <v>127</v>
      </c>
    </row>
    <row r="6332" spans="1:11" x14ac:dyDescent="0.3">
      <c r="A6332" t="s">
        <v>87</v>
      </c>
    </row>
    <row r="6333" spans="1:11" x14ac:dyDescent="0.3">
      <c r="A6333" t="s">
        <v>277</v>
      </c>
    </row>
    <row r="6334" spans="1:11" x14ac:dyDescent="0.3">
      <c r="A6334" t="s">
        <v>72</v>
      </c>
      <c r="B6334">
        <v>1</v>
      </c>
      <c r="C6334" t="s">
        <v>81</v>
      </c>
      <c r="D6334">
        <v>0.12169530000000001</v>
      </c>
      <c r="E6334" t="s">
        <v>74</v>
      </c>
      <c r="F6334">
        <v>121.6953</v>
      </c>
      <c r="G6334" t="s">
        <v>75</v>
      </c>
      <c r="H6334">
        <v>121695.302</v>
      </c>
      <c r="I6334" t="s">
        <v>76</v>
      </c>
      <c r="J6334" t="s">
        <v>82</v>
      </c>
      <c r="K6334">
        <v>8.2172441000000003</v>
      </c>
    </row>
    <row r="6335" spans="1:11" x14ac:dyDescent="0.3">
      <c r="A6335" t="s">
        <v>83</v>
      </c>
      <c r="B6335">
        <v>1000</v>
      </c>
      <c r="C6335" t="s">
        <v>81</v>
      </c>
      <c r="D6335">
        <v>3.42216E-3</v>
      </c>
      <c r="E6335" t="s">
        <v>74</v>
      </c>
      <c r="F6335">
        <v>3.4221599999999999</v>
      </c>
      <c r="G6335" t="s">
        <v>75</v>
      </c>
      <c r="H6335">
        <v>3422.16</v>
      </c>
      <c r="I6335" t="s">
        <v>76</v>
      </c>
      <c r="J6335" t="s">
        <v>82</v>
      </c>
      <c r="K6335">
        <v>292.21311279999998</v>
      </c>
    </row>
    <row r="6336" spans="1:11" x14ac:dyDescent="0.3">
      <c r="A6336" t="s">
        <v>85</v>
      </c>
      <c r="B6336">
        <v>1001</v>
      </c>
      <c r="C6336" t="s">
        <v>86</v>
      </c>
      <c r="D6336">
        <v>3.54047E-3</v>
      </c>
      <c r="E6336" t="s">
        <v>74</v>
      </c>
      <c r="F6336">
        <v>3.54047</v>
      </c>
      <c r="G6336" t="s">
        <v>75</v>
      </c>
      <c r="H6336">
        <v>3540.4740000000002</v>
      </c>
      <c r="I6336" t="s">
        <v>76</v>
      </c>
      <c r="J6336" t="s">
        <v>82</v>
      </c>
      <c r="K6336">
        <v>282.44809600000002</v>
      </c>
    </row>
    <row r="6338" spans="1:11" x14ac:dyDescent="0.3">
      <c r="A6338" t="s">
        <v>278</v>
      </c>
    </row>
    <row r="6339" spans="1:11" x14ac:dyDescent="0.3">
      <c r="A6339" t="s">
        <v>72</v>
      </c>
      <c r="B6339">
        <v>1</v>
      </c>
      <c r="C6339" t="s">
        <v>81</v>
      </c>
      <c r="D6339">
        <v>5.7838000000000004E-3</v>
      </c>
      <c r="E6339" t="s">
        <v>74</v>
      </c>
      <c r="F6339">
        <v>5.7838000000000003</v>
      </c>
      <c r="G6339" t="s">
        <v>75</v>
      </c>
      <c r="H6339">
        <v>5783.8</v>
      </c>
      <c r="I6339" t="s">
        <v>76</v>
      </c>
      <c r="J6339" t="s">
        <v>82</v>
      </c>
      <c r="K6339">
        <v>172.89671039999999</v>
      </c>
    </row>
    <row r="6340" spans="1:11" x14ac:dyDescent="0.3">
      <c r="A6340" t="s">
        <v>83</v>
      </c>
      <c r="B6340">
        <v>1000</v>
      </c>
      <c r="C6340" t="s">
        <v>81</v>
      </c>
      <c r="D6340">
        <v>3.86068E-3</v>
      </c>
      <c r="E6340" t="s">
        <v>74</v>
      </c>
      <c r="F6340">
        <v>3.8606799999999999</v>
      </c>
      <c r="G6340" t="s">
        <v>75</v>
      </c>
      <c r="H6340">
        <v>3860.6790000000001</v>
      </c>
      <c r="I6340" t="s">
        <v>76</v>
      </c>
      <c r="J6340" t="s">
        <v>82</v>
      </c>
      <c r="K6340">
        <v>259.02178379999998</v>
      </c>
    </row>
    <row r="6341" spans="1:11" x14ac:dyDescent="0.3">
      <c r="A6341" t="s">
        <v>85</v>
      </c>
      <c r="B6341">
        <v>1001</v>
      </c>
      <c r="C6341" t="s">
        <v>86</v>
      </c>
      <c r="D6341">
        <v>3.86288E-3</v>
      </c>
      <c r="E6341" t="s">
        <v>74</v>
      </c>
      <c r="F6341">
        <v>3.8628800000000001</v>
      </c>
      <c r="G6341" t="s">
        <v>75</v>
      </c>
      <c r="H6341">
        <v>3862.8760000000002</v>
      </c>
      <c r="I6341" t="s">
        <v>76</v>
      </c>
      <c r="J6341" t="s">
        <v>82</v>
      </c>
      <c r="K6341">
        <v>258.8744653</v>
      </c>
    </row>
    <row r="6343" spans="1:11" x14ac:dyDescent="0.3">
      <c r="A6343" t="s">
        <v>66</v>
      </c>
    </row>
    <row r="6345" spans="1:11" x14ac:dyDescent="0.3">
      <c r="A6345" t="s">
        <v>365</v>
      </c>
    </row>
    <row r="6346" spans="1:11" x14ac:dyDescent="0.3">
      <c r="A6346" t="s">
        <v>68</v>
      </c>
    </row>
    <row r="6347" spans="1:11" x14ac:dyDescent="0.3">
      <c r="A6347" t="s">
        <v>69</v>
      </c>
    </row>
    <row r="6348" spans="1:11" x14ac:dyDescent="0.3">
      <c r="A6348" t="s">
        <v>70</v>
      </c>
    </row>
    <row r="6349" spans="1:11" x14ac:dyDescent="0.3">
      <c r="A6349" t="s">
        <v>115</v>
      </c>
    </row>
    <row r="6350" spans="1:11" x14ac:dyDescent="0.3">
      <c r="A6350" t="s">
        <v>266</v>
      </c>
    </row>
    <row r="6351" spans="1:11" x14ac:dyDescent="0.3">
      <c r="A6351" t="s">
        <v>267</v>
      </c>
    </row>
    <row r="6352" spans="1:11" x14ac:dyDescent="0.3">
      <c r="A6352" t="s">
        <v>118</v>
      </c>
    </row>
    <row r="6353" spans="1:10" x14ac:dyDescent="0.3">
      <c r="A6353" t="s">
        <v>119</v>
      </c>
    </row>
    <row r="6354" spans="1:10" x14ac:dyDescent="0.3">
      <c r="A6354" t="s">
        <v>268</v>
      </c>
    </row>
    <row r="6355" spans="1:10" x14ac:dyDescent="0.3">
      <c r="A6355" t="s">
        <v>269</v>
      </c>
    </row>
    <row r="6356" spans="1:10" x14ac:dyDescent="0.3">
      <c r="A6356" t="s">
        <v>122</v>
      </c>
    </row>
    <row r="6357" spans="1:10" x14ac:dyDescent="0.3">
      <c r="A6357" t="s">
        <v>270</v>
      </c>
    </row>
    <row r="6358" spans="1:10" x14ac:dyDescent="0.3">
      <c r="A6358" t="s">
        <v>271</v>
      </c>
    </row>
    <row r="6359" spans="1:10" x14ac:dyDescent="0.3">
      <c r="A6359" t="s">
        <v>125</v>
      </c>
    </row>
    <row r="6360" spans="1:10" x14ac:dyDescent="0.3">
      <c r="A6360" t="s">
        <v>126</v>
      </c>
    </row>
    <row r="6361" spans="1:10" x14ac:dyDescent="0.3">
      <c r="A6361" t="s">
        <v>127</v>
      </c>
    </row>
    <row r="6362" spans="1:10" x14ac:dyDescent="0.3">
      <c r="A6362" t="s">
        <v>139</v>
      </c>
    </row>
    <row r="6363" spans="1:10" x14ac:dyDescent="0.3">
      <c r="A6363" t="s">
        <v>280</v>
      </c>
    </row>
    <row r="6364" spans="1:10" x14ac:dyDescent="0.3">
      <c r="A6364" t="s">
        <v>72</v>
      </c>
      <c r="B6364">
        <v>1</v>
      </c>
      <c r="C6364" t="s">
        <v>73</v>
      </c>
      <c r="D6364">
        <v>4.5000000000000001E-6</v>
      </c>
      <c r="E6364" t="s">
        <v>74</v>
      </c>
      <c r="F6364">
        <v>4.4999999999999997E-3</v>
      </c>
      <c r="G6364" t="s">
        <v>75</v>
      </c>
      <c r="H6364">
        <v>4.5</v>
      </c>
      <c r="I6364" t="s">
        <v>76</v>
      </c>
      <c r="J6364" t="s">
        <v>77</v>
      </c>
    </row>
    <row r="6365" spans="1:10" x14ac:dyDescent="0.3">
      <c r="A6365" t="s">
        <v>72</v>
      </c>
      <c r="B6365">
        <v>1</v>
      </c>
      <c r="C6365" t="s">
        <v>78</v>
      </c>
      <c r="D6365">
        <v>0.1220075</v>
      </c>
      <c r="E6365" t="s">
        <v>74</v>
      </c>
      <c r="F6365">
        <v>122.00749999999999</v>
      </c>
      <c r="G6365" t="s">
        <v>75</v>
      </c>
      <c r="H6365">
        <v>122007.497</v>
      </c>
      <c r="I6365" t="s">
        <v>76</v>
      </c>
      <c r="J6365" t="s">
        <v>77</v>
      </c>
    </row>
    <row r="6366" spans="1:10" x14ac:dyDescent="0.3">
      <c r="A6366" t="s">
        <v>72</v>
      </c>
      <c r="B6366">
        <v>1</v>
      </c>
      <c r="C6366" t="s">
        <v>79</v>
      </c>
      <c r="D6366">
        <v>0.13169539999999999</v>
      </c>
      <c r="E6366" t="s">
        <v>74</v>
      </c>
      <c r="F6366">
        <v>131.69540000000001</v>
      </c>
      <c r="G6366" t="s">
        <v>75</v>
      </c>
      <c r="H6366">
        <v>131695.405</v>
      </c>
      <c r="I6366" t="s">
        <v>76</v>
      </c>
      <c r="J6366" t="s">
        <v>77</v>
      </c>
    </row>
    <row r="6367" spans="1:10" x14ac:dyDescent="0.3">
      <c r="A6367" t="s">
        <v>72</v>
      </c>
      <c r="B6367">
        <v>1</v>
      </c>
      <c r="C6367" t="s">
        <v>94</v>
      </c>
      <c r="D6367">
        <v>9.4661999999999993E-3</v>
      </c>
      <c r="E6367" t="s">
        <v>74</v>
      </c>
      <c r="F6367">
        <v>9.4662000000000006</v>
      </c>
      <c r="G6367" t="s">
        <v>75</v>
      </c>
      <c r="H6367">
        <v>9466.2000000000007</v>
      </c>
      <c r="I6367" t="s">
        <v>76</v>
      </c>
      <c r="J6367" t="s">
        <v>77</v>
      </c>
    </row>
    <row r="6368" spans="1:10" x14ac:dyDescent="0.3">
      <c r="A6368" t="s">
        <v>72</v>
      </c>
      <c r="B6368">
        <v>1</v>
      </c>
      <c r="C6368" t="s">
        <v>80</v>
      </c>
      <c r="D6368">
        <v>9.4669999999999997E-3</v>
      </c>
      <c r="E6368" t="s">
        <v>74</v>
      </c>
      <c r="F6368">
        <v>9.4670000000000005</v>
      </c>
      <c r="G6368" t="s">
        <v>75</v>
      </c>
      <c r="H6368">
        <v>9467</v>
      </c>
      <c r="I6368" t="s">
        <v>76</v>
      </c>
      <c r="J6368" t="s">
        <v>77</v>
      </c>
    </row>
    <row r="6369" spans="1:11" x14ac:dyDescent="0.3">
      <c r="A6369" t="s">
        <v>72</v>
      </c>
      <c r="B6369">
        <v>1</v>
      </c>
      <c r="C6369" t="s">
        <v>81</v>
      </c>
      <c r="D6369">
        <v>0.1411645</v>
      </c>
      <c r="E6369" t="s">
        <v>74</v>
      </c>
      <c r="F6369">
        <v>141.1645</v>
      </c>
      <c r="G6369" t="s">
        <v>75</v>
      </c>
      <c r="H6369">
        <v>141164.497</v>
      </c>
      <c r="I6369" t="s">
        <v>76</v>
      </c>
      <c r="J6369" t="s">
        <v>82</v>
      </c>
      <c r="K6369">
        <v>7.0839341999999998</v>
      </c>
    </row>
    <row r="6370" spans="1:11" x14ac:dyDescent="0.3">
      <c r="A6370" t="s">
        <v>83</v>
      </c>
      <c r="B6370">
        <v>1000</v>
      </c>
      <c r="C6370" t="s">
        <v>79</v>
      </c>
      <c r="D6370">
        <v>2.25611E-3</v>
      </c>
      <c r="E6370" t="s">
        <v>74</v>
      </c>
      <c r="F6370">
        <v>2.2561100000000001</v>
      </c>
      <c r="G6370" t="s">
        <v>75</v>
      </c>
      <c r="H6370">
        <v>2256.1120000000001</v>
      </c>
      <c r="I6370" t="s">
        <v>76</v>
      </c>
      <c r="J6370" t="s">
        <v>77</v>
      </c>
    </row>
    <row r="6371" spans="1:11" x14ac:dyDescent="0.3">
      <c r="A6371" t="s">
        <v>83</v>
      </c>
      <c r="B6371">
        <v>1000</v>
      </c>
      <c r="C6371" t="s">
        <v>94</v>
      </c>
      <c r="D6371">
        <v>2.61933E-3</v>
      </c>
      <c r="E6371" t="s">
        <v>74</v>
      </c>
      <c r="F6371">
        <v>2.6193300000000002</v>
      </c>
      <c r="G6371" t="s">
        <v>75</v>
      </c>
      <c r="H6371">
        <v>2619.3249999999998</v>
      </c>
      <c r="I6371" t="s">
        <v>76</v>
      </c>
      <c r="J6371" t="s">
        <v>77</v>
      </c>
    </row>
    <row r="6372" spans="1:11" x14ac:dyDescent="0.3">
      <c r="A6372" t="s">
        <v>83</v>
      </c>
      <c r="B6372">
        <v>1000</v>
      </c>
      <c r="C6372" t="s">
        <v>80</v>
      </c>
      <c r="D6372">
        <v>2.7910700000000001E-3</v>
      </c>
      <c r="E6372" t="s">
        <v>74</v>
      </c>
      <c r="F6372">
        <v>2.7910699999999999</v>
      </c>
      <c r="G6372" t="s">
        <v>75</v>
      </c>
      <c r="H6372">
        <v>2791.07</v>
      </c>
      <c r="I6372" t="s">
        <v>76</v>
      </c>
      <c r="J6372" t="s">
        <v>77</v>
      </c>
    </row>
    <row r="6373" spans="1:11" x14ac:dyDescent="0.3">
      <c r="A6373" t="s">
        <v>83</v>
      </c>
      <c r="B6373">
        <v>1000</v>
      </c>
      <c r="C6373" t="s">
        <v>81</v>
      </c>
      <c r="D6373">
        <v>5.0480799999999999E-3</v>
      </c>
      <c r="E6373" t="s">
        <v>74</v>
      </c>
      <c r="F6373">
        <v>5.0480799999999997</v>
      </c>
      <c r="G6373" t="s">
        <v>75</v>
      </c>
      <c r="H6373">
        <v>5048.08</v>
      </c>
      <c r="I6373" t="s">
        <v>76</v>
      </c>
      <c r="J6373" t="s">
        <v>82</v>
      </c>
      <c r="K6373">
        <v>198.09509990000001</v>
      </c>
    </row>
    <row r="6374" spans="1:11" x14ac:dyDescent="0.3">
      <c r="A6374" t="s">
        <v>84</v>
      </c>
      <c r="B6374">
        <v>1001</v>
      </c>
      <c r="C6374" t="s">
        <v>79</v>
      </c>
      <c r="D6374">
        <v>2.3854200000000001E-3</v>
      </c>
      <c r="E6374" t="s">
        <v>74</v>
      </c>
      <c r="F6374">
        <v>2.3854199999999999</v>
      </c>
      <c r="G6374" t="s">
        <v>75</v>
      </c>
      <c r="H6374">
        <v>2385.4229999999998</v>
      </c>
      <c r="I6374" t="s">
        <v>76</v>
      </c>
      <c r="J6374" t="s">
        <v>77</v>
      </c>
    </row>
    <row r="6375" spans="1:11" x14ac:dyDescent="0.3">
      <c r="A6375" t="s">
        <v>84</v>
      </c>
      <c r="B6375">
        <v>1001</v>
      </c>
      <c r="C6375" t="s">
        <v>94</v>
      </c>
      <c r="D6375">
        <v>2.6261600000000002E-3</v>
      </c>
      <c r="E6375" t="s">
        <v>74</v>
      </c>
      <c r="F6375">
        <v>2.62616</v>
      </c>
      <c r="G6375" t="s">
        <v>75</v>
      </c>
      <c r="H6375">
        <v>2626.165</v>
      </c>
      <c r="I6375" t="s">
        <v>76</v>
      </c>
      <c r="J6375" t="s">
        <v>77</v>
      </c>
    </row>
    <row r="6376" spans="1:11" x14ac:dyDescent="0.3">
      <c r="A6376" t="s">
        <v>84</v>
      </c>
      <c r="B6376">
        <v>1001</v>
      </c>
      <c r="C6376" t="s">
        <v>80</v>
      </c>
      <c r="D6376">
        <v>2.7977399999999999E-3</v>
      </c>
      <c r="E6376" t="s">
        <v>74</v>
      </c>
      <c r="F6376">
        <v>2.7977400000000001</v>
      </c>
      <c r="G6376" t="s">
        <v>75</v>
      </c>
      <c r="H6376">
        <v>2797.739</v>
      </c>
      <c r="I6376" t="s">
        <v>76</v>
      </c>
      <c r="J6376" t="s">
        <v>77</v>
      </c>
    </row>
    <row r="6377" spans="1:11" x14ac:dyDescent="0.3">
      <c r="A6377" t="s">
        <v>84</v>
      </c>
      <c r="B6377">
        <v>1001</v>
      </c>
      <c r="C6377" t="s">
        <v>81</v>
      </c>
      <c r="D6377">
        <v>5.1840599999999999E-3</v>
      </c>
      <c r="E6377" t="s">
        <v>74</v>
      </c>
      <c r="F6377">
        <v>5.1840599999999997</v>
      </c>
      <c r="G6377" t="s">
        <v>75</v>
      </c>
      <c r="H6377">
        <v>5184.0619999999999</v>
      </c>
      <c r="I6377" t="s">
        <v>76</v>
      </c>
      <c r="J6377" t="s">
        <v>82</v>
      </c>
      <c r="K6377">
        <v>192.89892320000001</v>
      </c>
    </row>
    <row r="6378" spans="1:11" x14ac:dyDescent="0.3">
      <c r="A6378" t="s">
        <v>85</v>
      </c>
      <c r="B6378">
        <v>1001</v>
      </c>
      <c r="C6378" t="s">
        <v>86</v>
      </c>
      <c r="D6378">
        <v>5.1843200000000001E-3</v>
      </c>
      <c r="E6378" t="s">
        <v>74</v>
      </c>
      <c r="F6378">
        <v>5.1843199999999996</v>
      </c>
      <c r="G6378" t="s">
        <v>75</v>
      </c>
      <c r="H6378">
        <v>5184.3159999999998</v>
      </c>
      <c r="I6378" t="s">
        <v>76</v>
      </c>
      <c r="J6378" t="s">
        <v>82</v>
      </c>
      <c r="K6378">
        <v>192.8894761</v>
      </c>
    </row>
    <row r="6379" spans="1:11" x14ac:dyDescent="0.3">
      <c r="A6379" t="s">
        <v>141</v>
      </c>
    </row>
    <row r="6380" spans="1:11" x14ac:dyDescent="0.3">
      <c r="A6380" t="s">
        <v>281</v>
      </c>
    </row>
    <row r="6381" spans="1:11" x14ac:dyDescent="0.3">
      <c r="A6381" t="s">
        <v>72</v>
      </c>
      <c r="B6381">
        <v>1</v>
      </c>
      <c r="C6381" t="s">
        <v>73</v>
      </c>
      <c r="D6381">
        <v>4.5000000000000001E-6</v>
      </c>
      <c r="E6381" t="s">
        <v>74</v>
      </c>
      <c r="F6381">
        <v>4.4999999999999997E-3</v>
      </c>
      <c r="G6381" t="s">
        <v>75</v>
      </c>
      <c r="H6381">
        <v>4.5</v>
      </c>
      <c r="I6381" t="s">
        <v>76</v>
      </c>
      <c r="J6381" t="s">
        <v>77</v>
      </c>
    </row>
    <row r="6382" spans="1:11" x14ac:dyDescent="0.3">
      <c r="A6382" t="s">
        <v>72</v>
      </c>
      <c r="B6382">
        <v>1</v>
      </c>
      <c r="C6382" t="s">
        <v>78</v>
      </c>
      <c r="D6382">
        <v>9.98E-5</v>
      </c>
      <c r="E6382" t="s">
        <v>74</v>
      </c>
      <c r="F6382">
        <v>9.98E-2</v>
      </c>
      <c r="G6382" t="s">
        <v>75</v>
      </c>
      <c r="H6382">
        <v>99.8</v>
      </c>
      <c r="I6382" t="s">
        <v>76</v>
      </c>
      <c r="J6382" t="s">
        <v>77</v>
      </c>
    </row>
    <row r="6383" spans="1:11" x14ac:dyDescent="0.3">
      <c r="A6383" t="s">
        <v>72</v>
      </c>
      <c r="B6383">
        <v>1</v>
      </c>
      <c r="C6383" t="s">
        <v>79</v>
      </c>
      <c r="D6383">
        <v>4.4621000000000001E-3</v>
      </c>
      <c r="E6383" t="s">
        <v>74</v>
      </c>
      <c r="F6383">
        <v>4.4621000000000004</v>
      </c>
      <c r="G6383" t="s">
        <v>75</v>
      </c>
      <c r="H6383">
        <v>4462.1000000000004</v>
      </c>
      <c r="I6383" t="s">
        <v>76</v>
      </c>
      <c r="J6383" t="s">
        <v>77</v>
      </c>
    </row>
    <row r="6384" spans="1:11" x14ac:dyDescent="0.3">
      <c r="A6384" t="s">
        <v>72</v>
      </c>
      <c r="B6384">
        <v>1</v>
      </c>
      <c r="C6384" t="s">
        <v>94</v>
      </c>
      <c r="D6384">
        <v>2.6600999999999999E-3</v>
      </c>
      <c r="E6384" t="s">
        <v>74</v>
      </c>
      <c r="F6384">
        <v>2.6600999999999999</v>
      </c>
      <c r="G6384" t="s">
        <v>75</v>
      </c>
      <c r="H6384">
        <v>2660.1</v>
      </c>
      <c r="I6384" t="s">
        <v>76</v>
      </c>
      <c r="J6384" t="s">
        <v>77</v>
      </c>
    </row>
    <row r="6385" spans="1:11" x14ac:dyDescent="0.3">
      <c r="A6385" t="s">
        <v>72</v>
      </c>
      <c r="B6385">
        <v>1</v>
      </c>
      <c r="C6385" t="s">
        <v>80</v>
      </c>
      <c r="D6385">
        <v>2.8739E-3</v>
      </c>
      <c r="E6385" t="s">
        <v>74</v>
      </c>
      <c r="F6385">
        <v>2.8738999999999999</v>
      </c>
      <c r="G6385" t="s">
        <v>75</v>
      </c>
      <c r="H6385">
        <v>2873.9</v>
      </c>
      <c r="I6385" t="s">
        <v>76</v>
      </c>
      <c r="J6385" t="s">
        <v>77</v>
      </c>
    </row>
    <row r="6386" spans="1:11" x14ac:dyDescent="0.3">
      <c r="A6386" t="s">
        <v>72</v>
      </c>
      <c r="B6386">
        <v>1</v>
      </c>
      <c r="C6386" t="s">
        <v>81</v>
      </c>
      <c r="D6386">
        <v>7.3372999999999997E-3</v>
      </c>
      <c r="E6386" t="s">
        <v>74</v>
      </c>
      <c r="F6386">
        <v>7.3372999999999999</v>
      </c>
      <c r="G6386" t="s">
        <v>75</v>
      </c>
      <c r="H6386">
        <v>7337.3</v>
      </c>
      <c r="I6386" t="s">
        <v>76</v>
      </c>
      <c r="J6386" t="s">
        <v>82</v>
      </c>
      <c r="K6386">
        <v>136.28991389999999</v>
      </c>
    </row>
    <row r="6387" spans="1:11" x14ac:dyDescent="0.3">
      <c r="A6387" t="s">
        <v>83</v>
      </c>
      <c r="B6387">
        <v>1000</v>
      </c>
      <c r="C6387" t="s">
        <v>79</v>
      </c>
      <c r="D6387">
        <v>2.6152599999999999E-3</v>
      </c>
      <c r="E6387" t="s">
        <v>74</v>
      </c>
      <c r="F6387">
        <v>2.6152600000000001</v>
      </c>
      <c r="G6387" t="s">
        <v>75</v>
      </c>
      <c r="H6387">
        <v>2615.2559999999999</v>
      </c>
      <c r="I6387" t="s">
        <v>76</v>
      </c>
      <c r="J6387" t="s">
        <v>77</v>
      </c>
    </row>
    <row r="6388" spans="1:11" x14ac:dyDescent="0.3">
      <c r="A6388" t="s">
        <v>83</v>
      </c>
      <c r="B6388">
        <v>1000</v>
      </c>
      <c r="C6388" t="s">
        <v>94</v>
      </c>
      <c r="D6388">
        <v>2.6605600000000002E-3</v>
      </c>
      <c r="E6388" t="s">
        <v>74</v>
      </c>
      <c r="F6388">
        <v>2.6605599999999998</v>
      </c>
      <c r="G6388" t="s">
        <v>75</v>
      </c>
      <c r="H6388">
        <v>2660.5639999999999</v>
      </c>
      <c r="I6388" t="s">
        <v>76</v>
      </c>
      <c r="J6388" t="s">
        <v>77</v>
      </c>
    </row>
    <row r="6389" spans="1:11" x14ac:dyDescent="0.3">
      <c r="A6389" t="s">
        <v>83</v>
      </c>
      <c r="B6389">
        <v>1000</v>
      </c>
      <c r="C6389" t="s">
        <v>80</v>
      </c>
      <c r="D6389">
        <v>2.81985E-3</v>
      </c>
      <c r="E6389" t="s">
        <v>74</v>
      </c>
      <c r="F6389">
        <v>2.8198500000000002</v>
      </c>
      <c r="G6389" t="s">
        <v>75</v>
      </c>
      <c r="H6389">
        <v>2819.8470000000002</v>
      </c>
      <c r="I6389" t="s">
        <v>76</v>
      </c>
      <c r="J6389" t="s">
        <v>77</v>
      </c>
    </row>
    <row r="6390" spans="1:11" x14ac:dyDescent="0.3">
      <c r="A6390" t="s">
        <v>83</v>
      </c>
      <c r="B6390">
        <v>1000</v>
      </c>
      <c r="C6390" t="s">
        <v>81</v>
      </c>
      <c r="D6390">
        <v>5.4362500000000001E-3</v>
      </c>
      <c r="E6390" t="s">
        <v>74</v>
      </c>
      <c r="F6390">
        <v>5.4362500000000002</v>
      </c>
      <c r="G6390" t="s">
        <v>75</v>
      </c>
      <c r="H6390">
        <v>5436.2520000000004</v>
      </c>
      <c r="I6390" t="s">
        <v>76</v>
      </c>
      <c r="J6390" t="s">
        <v>82</v>
      </c>
      <c r="K6390">
        <v>183.95026179999999</v>
      </c>
    </row>
    <row r="6391" spans="1:11" x14ac:dyDescent="0.3">
      <c r="A6391" t="s">
        <v>84</v>
      </c>
      <c r="B6391">
        <v>1001</v>
      </c>
      <c r="C6391" t="s">
        <v>79</v>
      </c>
      <c r="D6391">
        <v>2.6170999999999998E-3</v>
      </c>
      <c r="E6391" t="s">
        <v>74</v>
      </c>
      <c r="F6391">
        <v>2.6171000000000002</v>
      </c>
      <c r="G6391" t="s">
        <v>75</v>
      </c>
      <c r="H6391">
        <v>2617.1019999999999</v>
      </c>
      <c r="I6391" t="s">
        <v>76</v>
      </c>
      <c r="J6391" t="s">
        <v>77</v>
      </c>
    </row>
    <row r="6392" spans="1:11" x14ac:dyDescent="0.3">
      <c r="A6392" t="s">
        <v>84</v>
      </c>
      <c r="B6392">
        <v>1001</v>
      </c>
      <c r="C6392" t="s">
        <v>94</v>
      </c>
      <c r="D6392">
        <v>2.6605600000000002E-3</v>
      </c>
      <c r="E6392" t="s">
        <v>74</v>
      </c>
      <c r="F6392">
        <v>2.6605599999999998</v>
      </c>
      <c r="G6392" t="s">
        <v>75</v>
      </c>
      <c r="H6392">
        <v>2660.5639999999999</v>
      </c>
      <c r="I6392" t="s">
        <v>76</v>
      </c>
      <c r="J6392" t="s">
        <v>77</v>
      </c>
    </row>
    <row r="6393" spans="1:11" x14ac:dyDescent="0.3">
      <c r="A6393" t="s">
        <v>84</v>
      </c>
      <c r="B6393">
        <v>1001</v>
      </c>
      <c r="C6393" t="s">
        <v>80</v>
      </c>
      <c r="D6393">
        <v>2.8199000000000002E-3</v>
      </c>
      <c r="E6393" t="s">
        <v>74</v>
      </c>
      <c r="F6393">
        <v>2.8199000000000001</v>
      </c>
      <c r="G6393" t="s">
        <v>75</v>
      </c>
      <c r="H6393">
        <v>2819.9009999999998</v>
      </c>
      <c r="I6393" t="s">
        <v>76</v>
      </c>
      <c r="J6393" t="s">
        <v>77</v>
      </c>
    </row>
    <row r="6394" spans="1:11" x14ac:dyDescent="0.3">
      <c r="A6394" t="s">
        <v>84</v>
      </c>
      <c r="B6394">
        <v>1001</v>
      </c>
      <c r="C6394" t="s">
        <v>81</v>
      </c>
      <c r="D6394">
        <v>5.4381500000000001E-3</v>
      </c>
      <c r="E6394" t="s">
        <v>74</v>
      </c>
      <c r="F6394">
        <v>5.4381500000000003</v>
      </c>
      <c r="G6394" t="s">
        <v>75</v>
      </c>
      <c r="H6394">
        <v>5438.1509999999998</v>
      </c>
      <c r="I6394" t="s">
        <v>76</v>
      </c>
      <c r="J6394" t="s">
        <v>82</v>
      </c>
      <c r="K6394">
        <v>183.88602839999999</v>
      </c>
    </row>
    <row r="6395" spans="1:11" x14ac:dyDescent="0.3">
      <c r="A6395" t="s">
        <v>85</v>
      </c>
      <c r="B6395">
        <v>1001</v>
      </c>
      <c r="C6395" t="s">
        <v>86</v>
      </c>
      <c r="D6395">
        <v>5.4384200000000002E-3</v>
      </c>
      <c r="E6395" t="s">
        <v>74</v>
      </c>
      <c r="F6395">
        <v>5.4384199999999998</v>
      </c>
      <c r="G6395" t="s">
        <v>75</v>
      </c>
      <c r="H6395">
        <v>5438.4160000000002</v>
      </c>
      <c r="I6395" t="s">
        <v>76</v>
      </c>
      <c r="J6395" t="s">
        <v>82</v>
      </c>
      <c r="K6395">
        <v>183.87705679999999</v>
      </c>
    </row>
    <row r="6396" spans="1:11" x14ac:dyDescent="0.3">
      <c r="A6396" t="s">
        <v>115</v>
      </c>
    </row>
    <row r="6397" spans="1:11" x14ac:dyDescent="0.3">
      <c r="A6397" t="s">
        <v>127</v>
      </c>
    </row>
    <row r="6398" spans="1:11" x14ac:dyDescent="0.3">
      <c r="A6398" t="s">
        <v>87</v>
      </c>
    </row>
    <row r="6399" spans="1:11" x14ac:dyDescent="0.3">
      <c r="A6399" t="s">
        <v>282</v>
      </c>
    </row>
    <row r="6400" spans="1:11" x14ac:dyDescent="0.3">
      <c r="A6400" t="s">
        <v>72</v>
      </c>
      <c r="B6400">
        <v>1</v>
      </c>
      <c r="C6400" t="s">
        <v>81</v>
      </c>
      <c r="D6400">
        <v>0.1411645</v>
      </c>
      <c r="E6400" t="s">
        <v>74</v>
      </c>
      <c r="F6400">
        <v>141.1645</v>
      </c>
      <c r="G6400" t="s">
        <v>75</v>
      </c>
      <c r="H6400">
        <v>141164.497</v>
      </c>
      <c r="I6400" t="s">
        <v>76</v>
      </c>
      <c r="J6400" t="s">
        <v>82</v>
      </c>
      <c r="K6400">
        <v>7.0839341999999998</v>
      </c>
    </row>
    <row r="6401" spans="1:11" x14ac:dyDescent="0.3">
      <c r="A6401" t="s">
        <v>83</v>
      </c>
      <c r="B6401">
        <v>1000</v>
      </c>
      <c r="C6401" t="s">
        <v>81</v>
      </c>
      <c r="D6401">
        <v>5.0480799999999999E-3</v>
      </c>
      <c r="E6401" t="s">
        <v>74</v>
      </c>
      <c r="F6401">
        <v>5.0480799999999997</v>
      </c>
      <c r="G6401" t="s">
        <v>75</v>
      </c>
      <c r="H6401">
        <v>5048.08</v>
      </c>
      <c r="I6401" t="s">
        <v>76</v>
      </c>
      <c r="J6401" t="s">
        <v>82</v>
      </c>
      <c r="K6401">
        <v>198.09509990000001</v>
      </c>
    </row>
    <row r="6402" spans="1:11" x14ac:dyDescent="0.3">
      <c r="A6402" t="s">
        <v>85</v>
      </c>
      <c r="B6402">
        <v>1001</v>
      </c>
      <c r="C6402" t="s">
        <v>86</v>
      </c>
      <c r="D6402">
        <v>5.1843200000000001E-3</v>
      </c>
      <c r="E6402" t="s">
        <v>74</v>
      </c>
      <c r="F6402">
        <v>5.1843199999999996</v>
      </c>
      <c r="G6402" t="s">
        <v>75</v>
      </c>
      <c r="H6402">
        <v>5184.3159999999998</v>
      </c>
      <c r="I6402" t="s">
        <v>76</v>
      </c>
      <c r="J6402" t="s">
        <v>82</v>
      </c>
      <c r="K6402">
        <v>192.8894761</v>
      </c>
    </row>
    <row r="6404" spans="1:11" x14ac:dyDescent="0.3">
      <c r="A6404" t="s">
        <v>283</v>
      </c>
    </row>
    <row r="6405" spans="1:11" x14ac:dyDescent="0.3">
      <c r="A6405" t="s">
        <v>72</v>
      </c>
      <c r="B6405">
        <v>1</v>
      </c>
      <c r="C6405" t="s">
        <v>81</v>
      </c>
      <c r="D6405">
        <v>7.3372999999999997E-3</v>
      </c>
      <c r="E6405" t="s">
        <v>74</v>
      </c>
      <c r="F6405">
        <v>7.3372999999999999</v>
      </c>
      <c r="G6405" t="s">
        <v>75</v>
      </c>
      <c r="H6405">
        <v>7337.3</v>
      </c>
      <c r="I6405" t="s">
        <v>76</v>
      </c>
      <c r="J6405" t="s">
        <v>82</v>
      </c>
      <c r="K6405">
        <v>136.28991389999999</v>
      </c>
    </row>
    <row r="6406" spans="1:11" x14ac:dyDescent="0.3">
      <c r="A6406" t="s">
        <v>83</v>
      </c>
      <c r="B6406">
        <v>1000</v>
      </c>
      <c r="C6406" t="s">
        <v>81</v>
      </c>
      <c r="D6406">
        <v>5.4362500000000001E-3</v>
      </c>
      <c r="E6406" t="s">
        <v>74</v>
      </c>
      <c r="F6406">
        <v>5.4362500000000002</v>
      </c>
      <c r="G6406" t="s">
        <v>75</v>
      </c>
      <c r="H6406">
        <v>5436.2520000000004</v>
      </c>
      <c r="I6406" t="s">
        <v>76</v>
      </c>
      <c r="J6406" t="s">
        <v>82</v>
      </c>
      <c r="K6406">
        <v>183.95026179999999</v>
      </c>
    </row>
    <row r="6407" spans="1:11" x14ac:dyDescent="0.3">
      <c r="A6407" t="s">
        <v>85</v>
      </c>
      <c r="B6407">
        <v>1001</v>
      </c>
      <c r="C6407" t="s">
        <v>86</v>
      </c>
      <c r="D6407">
        <v>5.4384200000000002E-3</v>
      </c>
      <c r="E6407" t="s">
        <v>74</v>
      </c>
      <c r="F6407">
        <v>5.4384199999999998</v>
      </c>
      <c r="G6407" t="s">
        <v>75</v>
      </c>
      <c r="H6407">
        <v>5438.4160000000002</v>
      </c>
      <c r="I6407" t="s">
        <v>76</v>
      </c>
      <c r="J6407" t="s">
        <v>82</v>
      </c>
      <c r="K6407">
        <v>183.87705679999999</v>
      </c>
    </row>
    <row r="6409" spans="1:11" x14ac:dyDescent="0.3">
      <c r="A6409" t="s">
        <v>66</v>
      </c>
    </row>
    <row r="6411" spans="1:11" x14ac:dyDescent="0.3">
      <c r="A6411" t="s">
        <v>366</v>
      </c>
    </row>
    <row r="6412" spans="1:11" x14ac:dyDescent="0.3">
      <c r="A6412" t="s">
        <v>68</v>
      </c>
    </row>
    <row r="6413" spans="1:11" x14ac:dyDescent="0.3">
      <c r="A6413" t="s">
        <v>69</v>
      </c>
    </row>
    <row r="6414" spans="1:11" x14ac:dyDescent="0.3">
      <c r="A6414" t="s">
        <v>70</v>
      </c>
    </row>
    <row r="6415" spans="1:11" x14ac:dyDescent="0.3">
      <c r="A6415" t="s">
        <v>115</v>
      </c>
    </row>
    <row r="6416" spans="1:11" x14ac:dyDescent="0.3">
      <c r="A6416" t="s">
        <v>266</v>
      </c>
    </row>
    <row r="6417" spans="1:10" x14ac:dyDescent="0.3">
      <c r="A6417" t="s">
        <v>267</v>
      </c>
    </row>
    <row r="6418" spans="1:10" x14ac:dyDescent="0.3">
      <c r="A6418" t="s">
        <v>118</v>
      </c>
    </row>
    <row r="6419" spans="1:10" x14ac:dyDescent="0.3">
      <c r="A6419" t="s">
        <v>119</v>
      </c>
    </row>
    <row r="6420" spans="1:10" x14ac:dyDescent="0.3">
      <c r="A6420" t="s">
        <v>268</v>
      </c>
    </row>
    <row r="6421" spans="1:10" x14ac:dyDescent="0.3">
      <c r="A6421" t="s">
        <v>269</v>
      </c>
    </row>
    <row r="6422" spans="1:10" x14ac:dyDescent="0.3">
      <c r="A6422" t="s">
        <v>122</v>
      </c>
    </row>
    <row r="6423" spans="1:10" x14ac:dyDescent="0.3">
      <c r="A6423" t="s">
        <v>270</v>
      </c>
    </row>
    <row r="6424" spans="1:10" x14ac:dyDescent="0.3">
      <c r="A6424" t="s">
        <v>271</v>
      </c>
    </row>
    <row r="6425" spans="1:10" x14ac:dyDescent="0.3">
      <c r="A6425" t="s">
        <v>125</v>
      </c>
    </row>
    <row r="6426" spans="1:10" x14ac:dyDescent="0.3">
      <c r="A6426" t="s">
        <v>126</v>
      </c>
    </row>
    <row r="6427" spans="1:10" x14ac:dyDescent="0.3">
      <c r="A6427" t="s">
        <v>127</v>
      </c>
    </row>
    <row r="6428" spans="1:10" x14ac:dyDescent="0.3">
      <c r="A6428" t="s">
        <v>146</v>
      </c>
    </row>
    <row r="6429" spans="1:10" x14ac:dyDescent="0.3">
      <c r="A6429" t="s">
        <v>285</v>
      </c>
    </row>
    <row r="6430" spans="1:10" x14ac:dyDescent="0.3">
      <c r="A6430" t="s">
        <v>72</v>
      </c>
      <c r="B6430">
        <v>1</v>
      </c>
      <c r="C6430" t="s">
        <v>73</v>
      </c>
      <c r="D6430">
        <v>4.4000000000000002E-6</v>
      </c>
      <c r="E6430" t="s">
        <v>74</v>
      </c>
      <c r="F6430">
        <v>4.4000000000000003E-3</v>
      </c>
      <c r="G6430" t="s">
        <v>75</v>
      </c>
      <c r="H6430">
        <v>4.4000000000000004</v>
      </c>
      <c r="I6430" t="s">
        <v>76</v>
      </c>
      <c r="J6430" t="s">
        <v>77</v>
      </c>
    </row>
    <row r="6431" spans="1:10" x14ac:dyDescent="0.3">
      <c r="A6431" t="s">
        <v>72</v>
      </c>
      <c r="B6431">
        <v>1</v>
      </c>
      <c r="C6431" t="s">
        <v>78</v>
      </c>
      <c r="D6431">
        <v>0.1163352</v>
      </c>
      <c r="E6431" t="s">
        <v>74</v>
      </c>
      <c r="F6431">
        <v>116.3352</v>
      </c>
      <c r="G6431" t="s">
        <v>75</v>
      </c>
      <c r="H6431">
        <v>116335.198</v>
      </c>
      <c r="I6431" t="s">
        <v>76</v>
      </c>
      <c r="J6431" t="s">
        <v>77</v>
      </c>
    </row>
    <row r="6432" spans="1:10" x14ac:dyDescent="0.3">
      <c r="A6432" t="s">
        <v>72</v>
      </c>
      <c r="B6432">
        <v>1</v>
      </c>
      <c r="C6432" t="s">
        <v>79</v>
      </c>
      <c r="D6432">
        <v>0.10169549999999999</v>
      </c>
      <c r="E6432" t="s">
        <v>74</v>
      </c>
      <c r="F6432">
        <v>101.6955</v>
      </c>
      <c r="G6432" t="s">
        <v>75</v>
      </c>
      <c r="H6432">
        <v>101695.5</v>
      </c>
      <c r="I6432" t="s">
        <v>76</v>
      </c>
      <c r="J6432" t="s">
        <v>77</v>
      </c>
    </row>
    <row r="6433" spans="1:11" x14ac:dyDescent="0.3">
      <c r="A6433" t="s">
        <v>72</v>
      </c>
      <c r="B6433">
        <v>1</v>
      </c>
      <c r="C6433" t="s">
        <v>94</v>
      </c>
      <c r="D6433">
        <v>9.2197000000000008E-3</v>
      </c>
      <c r="E6433" t="s">
        <v>74</v>
      </c>
      <c r="F6433">
        <v>9.2196999999999996</v>
      </c>
      <c r="G6433" t="s">
        <v>75</v>
      </c>
      <c r="H6433">
        <v>9219.7000000000007</v>
      </c>
      <c r="I6433" t="s">
        <v>76</v>
      </c>
      <c r="J6433" t="s">
        <v>77</v>
      </c>
    </row>
    <row r="6434" spans="1:11" x14ac:dyDescent="0.3">
      <c r="A6434" t="s">
        <v>72</v>
      </c>
      <c r="B6434">
        <v>1</v>
      </c>
      <c r="C6434" t="s">
        <v>80</v>
      </c>
      <c r="D6434">
        <v>9.2373999999999998E-3</v>
      </c>
      <c r="E6434" t="s">
        <v>74</v>
      </c>
      <c r="F6434">
        <v>9.2373999999999992</v>
      </c>
      <c r="G6434" t="s">
        <v>75</v>
      </c>
      <c r="H6434">
        <v>9237.4</v>
      </c>
      <c r="I6434" t="s">
        <v>76</v>
      </c>
      <c r="J6434" t="s">
        <v>77</v>
      </c>
    </row>
    <row r="6435" spans="1:11" x14ac:dyDescent="0.3">
      <c r="A6435" t="s">
        <v>72</v>
      </c>
      <c r="B6435">
        <v>1</v>
      </c>
      <c r="C6435" t="s">
        <v>81</v>
      </c>
      <c r="D6435">
        <v>0.1109349</v>
      </c>
      <c r="E6435" t="s">
        <v>74</v>
      </c>
      <c r="F6435">
        <v>110.9349</v>
      </c>
      <c r="G6435" t="s">
        <v>75</v>
      </c>
      <c r="H6435">
        <v>110934.898</v>
      </c>
      <c r="I6435" t="s">
        <v>76</v>
      </c>
      <c r="J6435" t="s">
        <v>82</v>
      </c>
      <c r="K6435">
        <v>9.0142959000000005</v>
      </c>
    </row>
    <row r="6436" spans="1:11" x14ac:dyDescent="0.3">
      <c r="A6436" t="s">
        <v>83</v>
      </c>
      <c r="B6436">
        <v>1000</v>
      </c>
      <c r="C6436" t="s">
        <v>79</v>
      </c>
      <c r="D6436">
        <v>3.3275000000000002E-3</v>
      </c>
      <c r="E6436" t="s">
        <v>74</v>
      </c>
      <c r="F6436">
        <v>3.3275000000000001</v>
      </c>
      <c r="G6436" t="s">
        <v>75</v>
      </c>
      <c r="H6436">
        <v>3327.4969999999998</v>
      </c>
      <c r="I6436" t="s">
        <v>76</v>
      </c>
      <c r="J6436" t="s">
        <v>77</v>
      </c>
    </row>
    <row r="6437" spans="1:11" x14ac:dyDescent="0.3">
      <c r="A6437" t="s">
        <v>83</v>
      </c>
      <c r="B6437">
        <v>1000</v>
      </c>
      <c r="C6437" t="s">
        <v>94</v>
      </c>
      <c r="D6437">
        <v>2.6037299999999998E-3</v>
      </c>
      <c r="E6437" t="s">
        <v>74</v>
      </c>
      <c r="F6437">
        <v>2.6037300000000001</v>
      </c>
      <c r="G6437" t="s">
        <v>75</v>
      </c>
      <c r="H6437">
        <v>2603.7260000000001</v>
      </c>
      <c r="I6437" t="s">
        <v>76</v>
      </c>
      <c r="J6437" t="s">
        <v>77</v>
      </c>
    </row>
    <row r="6438" spans="1:11" x14ac:dyDescent="0.3">
      <c r="A6438" t="s">
        <v>83</v>
      </c>
      <c r="B6438">
        <v>1000</v>
      </c>
      <c r="C6438" t="s">
        <v>80</v>
      </c>
      <c r="D6438">
        <v>2.7827500000000001E-3</v>
      </c>
      <c r="E6438" t="s">
        <v>74</v>
      </c>
      <c r="F6438">
        <v>2.7827500000000001</v>
      </c>
      <c r="G6438" t="s">
        <v>75</v>
      </c>
      <c r="H6438">
        <v>2782.7449999999999</v>
      </c>
      <c r="I6438" t="s">
        <v>76</v>
      </c>
      <c r="J6438" t="s">
        <v>77</v>
      </c>
    </row>
    <row r="6439" spans="1:11" x14ac:dyDescent="0.3">
      <c r="A6439" t="s">
        <v>83</v>
      </c>
      <c r="B6439">
        <v>1000</v>
      </c>
      <c r="C6439" t="s">
        <v>81</v>
      </c>
      <c r="D6439">
        <v>6.1109900000000002E-3</v>
      </c>
      <c r="E6439" t="s">
        <v>74</v>
      </c>
      <c r="F6439">
        <v>6.1109900000000001</v>
      </c>
      <c r="G6439" t="s">
        <v>75</v>
      </c>
      <c r="H6439">
        <v>6110.9849999999997</v>
      </c>
      <c r="I6439" t="s">
        <v>76</v>
      </c>
      <c r="J6439" t="s">
        <v>82</v>
      </c>
      <c r="K6439">
        <v>163.6397331</v>
      </c>
    </row>
    <row r="6440" spans="1:11" x14ac:dyDescent="0.3">
      <c r="A6440" t="s">
        <v>84</v>
      </c>
      <c r="B6440">
        <v>1001</v>
      </c>
      <c r="C6440" t="s">
        <v>79</v>
      </c>
      <c r="D6440">
        <v>3.4257699999999999E-3</v>
      </c>
      <c r="E6440" t="s">
        <v>74</v>
      </c>
      <c r="F6440">
        <v>3.42577</v>
      </c>
      <c r="G6440" t="s">
        <v>75</v>
      </c>
      <c r="H6440">
        <v>3425.7669999999998</v>
      </c>
      <c r="I6440" t="s">
        <v>76</v>
      </c>
      <c r="J6440" t="s">
        <v>77</v>
      </c>
    </row>
    <row r="6441" spans="1:11" x14ac:dyDescent="0.3">
      <c r="A6441" t="s">
        <v>84</v>
      </c>
      <c r="B6441">
        <v>1001</v>
      </c>
      <c r="C6441" t="s">
        <v>94</v>
      </c>
      <c r="D6441">
        <v>2.6103400000000001E-3</v>
      </c>
      <c r="E6441" t="s">
        <v>74</v>
      </c>
      <c r="F6441">
        <v>2.6103399999999999</v>
      </c>
      <c r="G6441" t="s">
        <v>75</v>
      </c>
      <c r="H6441">
        <v>2610.335</v>
      </c>
      <c r="I6441" t="s">
        <v>76</v>
      </c>
      <c r="J6441" t="s">
        <v>77</v>
      </c>
    </row>
    <row r="6442" spans="1:11" x14ac:dyDescent="0.3">
      <c r="A6442" t="s">
        <v>84</v>
      </c>
      <c r="B6442">
        <v>1001</v>
      </c>
      <c r="C6442" t="s">
        <v>80</v>
      </c>
      <c r="D6442">
        <v>2.78919E-3</v>
      </c>
      <c r="E6442" t="s">
        <v>74</v>
      </c>
      <c r="F6442">
        <v>2.7891900000000001</v>
      </c>
      <c r="G6442" t="s">
        <v>75</v>
      </c>
      <c r="H6442">
        <v>2789.194</v>
      </c>
      <c r="I6442" t="s">
        <v>76</v>
      </c>
      <c r="J6442" t="s">
        <v>77</v>
      </c>
    </row>
    <row r="6443" spans="1:11" x14ac:dyDescent="0.3">
      <c r="A6443" t="s">
        <v>84</v>
      </c>
      <c r="B6443">
        <v>1001</v>
      </c>
      <c r="C6443" t="s">
        <v>81</v>
      </c>
      <c r="D6443">
        <v>6.2157000000000002E-3</v>
      </c>
      <c r="E6443" t="s">
        <v>74</v>
      </c>
      <c r="F6443">
        <v>6.2157</v>
      </c>
      <c r="G6443" t="s">
        <v>75</v>
      </c>
      <c r="H6443">
        <v>6215.7049999999999</v>
      </c>
      <c r="I6443" t="s">
        <v>76</v>
      </c>
      <c r="J6443" t="s">
        <v>82</v>
      </c>
      <c r="K6443">
        <v>160.88280159999999</v>
      </c>
    </row>
    <row r="6444" spans="1:11" x14ac:dyDescent="0.3">
      <c r="A6444" t="s">
        <v>85</v>
      </c>
      <c r="B6444">
        <v>1001</v>
      </c>
      <c r="C6444" t="s">
        <v>86</v>
      </c>
      <c r="D6444">
        <v>6.2160000000000002E-3</v>
      </c>
      <c r="E6444" t="s">
        <v>74</v>
      </c>
      <c r="F6444">
        <v>6.2160000000000002</v>
      </c>
      <c r="G6444" t="s">
        <v>75</v>
      </c>
      <c r="H6444">
        <v>6215.9960000000001</v>
      </c>
      <c r="I6444" t="s">
        <v>76</v>
      </c>
      <c r="J6444" t="s">
        <v>82</v>
      </c>
      <c r="K6444">
        <v>160.8752562</v>
      </c>
    </row>
    <row r="6445" spans="1:11" x14ac:dyDescent="0.3">
      <c r="A6445" t="s">
        <v>148</v>
      </c>
    </row>
    <row r="6446" spans="1:11" x14ac:dyDescent="0.3">
      <c r="A6446" t="s">
        <v>286</v>
      </c>
    </row>
    <row r="6447" spans="1:11" x14ac:dyDescent="0.3">
      <c r="A6447" t="s">
        <v>72</v>
      </c>
      <c r="B6447">
        <v>1</v>
      </c>
      <c r="C6447" t="s">
        <v>73</v>
      </c>
      <c r="D6447">
        <v>4.4000000000000002E-6</v>
      </c>
      <c r="E6447" t="s">
        <v>74</v>
      </c>
      <c r="F6447">
        <v>4.4000000000000003E-3</v>
      </c>
      <c r="G6447" t="s">
        <v>75</v>
      </c>
      <c r="H6447">
        <v>4.4000000000000004</v>
      </c>
      <c r="I6447" t="s">
        <v>76</v>
      </c>
      <c r="J6447" t="s">
        <v>77</v>
      </c>
    </row>
    <row r="6448" spans="1:11" x14ac:dyDescent="0.3">
      <c r="A6448" t="s">
        <v>72</v>
      </c>
      <c r="B6448">
        <v>1</v>
      </c>
      <c r="C6448" t="s">
        <v>78</v>
      </c>
      <c r="D6448">
        <v>9.5699999999999995E-5</v>
      </c>
      <c r="E6448" t="s">
        <v>74</v>
      </c>
      <c r="F6448">
        <v>9.5699999999999993E-2</v>
      </c>
      <c r="G6448" t="s">
        <v>75</v>
      </c>
      <c r="H6448">
        <v>95.7</v>
      </c>
      <c r="I6448" t="s">
        <v>76</v>
      </c>
      <c r="J6448" t="s">
        <v>77</v>
      </c>
    </row>
    <row r="6449" spans="1:11" x14ac:dyDescent="0.3">
      <c r="A6449" t="s">
        <v>72</v>
      </c>
      <c r="B6449">
        <v>1</v>
      </c>
      <c r="C6449" t="s">
        <v>79</v>
      </c>
      <c r="D6449">
        <v>5.7375999999999998E-3</v>
      </c>
      <c r="E6449" t="s">
        <v>74</v>
      </c>
      <c r="F6449">
        <v>5.7375999999999996</v>
      </c>
      <c r="G6449" t="s">
        <v>75</v>
      </c>
      <c r="H6449">
        <v>5737.6</v>
      </c>
      <c r="I6449" t="s">
        <v>76</v>
      </c>
      <c r="J6449" t="s">
        <v>77</v>
      </c>
    </row>
    <row r="6450" spans="1:11" x14ac:dyDescent="0.3">
      <c r="A6450" t="s">
        <v>72</v>
      </c>
      <c r="B6450">
        <v>1</v>
      </c>
      <c r="C6450" t="s">
        <v>94</v>
      </c>
      <c r="D6450">
        <v>2.6832000000000002E-3</v>
      </c>
      <c r="E6450" t="s">
        <v>74</v>
      </c>
      <c r="F6450">
        <v>2.6831999999999998</v>
      </c>
      <c r="G6450" t="s">
        <v>75</v>
      </c>
      <c r="H6450">
        <v>2683.2</v>
      </c>
      <c r="I6450" t="s">
        <v>76</v>
      </c>
      <c r="J6450" t="s">
        <v>77</v>
      </c>
    </row>
    <row r="6451" spans="1:11" x14ac:dyDescent="0.3">
      <c r="A6451" t="s">
        <v>72</v>
      </c>
      <c r="B6451">
        <v>1</v>
      </c>
      <c r="C6451" t="s">
        <v>80</v>
      </c>
      <c r="D6451">
        <v>2.8895000000000001E-3</v>
      </c>
      <c r="E6451" t="s">
        <v>74</v>
      </c>
      <c r="F6451">
        <v>2.8895</v>
      </c>
      <c r="G6451" t="s">
        <v>75</v>
      </c>
      <c r="H6451">
        <v>2889.5</v>
      </c>
      <c r="I6451" t="s">
        <v>76</v>
      </c>
      <c r="J6451" t="s">
        <v>77</v>
      </c>
    </row>
    <row r="6452" spans="1:11" x14ac:dyDescent="0.3">
      <c r="A6452" t="s">
        <v>72</v>
      </c>
      <c r="B6452">
        <v>1</v>
      </c>
      <c r="C6452" t="s">
        <v>81</v>
      </c>
      <c r="D6452">
        <v>8.6283999999999996E-3</v>
      </c>
      <c r="E6452" t="s">
        <v>74</v>
      </c>
      <c r="F6452">
        <v>8.6283999999999992</v>
      </c>
      <c r="G6452" t="s">
        <v>75</v>
      </c>
      <c r="H6452">
        <v>8628.4</v>
      </c>
      <c r="I6452" t="s">
        <v>76</v>
      </c>
      <c r="J6452" t="s">
        <v>82</v>
      </c>
      <c r="K6452">
        <v>115.89634169999999</v>
      </c>
    </row>
    <row r="6453" spans="1:11" x14ac:dyDescent="0.3">
      <c r="A6453" t="s">
        <v>83</v>
      </c>
      <c r="B6453">
        <v>1000</v>
      </c>
      <c r="C6453" t="s">
        <v>79</v>
      </c>
      <c r="D6453">
        <v>3.8089600000000001E-3</v>
      </c>
      <c r="E6453" t="s">
        <v>74</v>
      </c>
      <c r="F6453">
        <v>3.8089599999999999</v>
      </c>
      <c r="G6453" t="s">
        <v>75</v>
      </c>
      <c r="H6453">
        <v>3808.9589999999998</v>
      </c>
      <c r="I6453" t="s">
        <v>76</v>
      </c>
      <c r="J6453" t="s">
        <v>77</v>
      </c>
    </row>
    <row r="6454" spans="1:11" x14ac:dyDescent="0.3">
      <c r="A6454" t="s">
        <v>83</v>
      </c>
      <c r="B6454">
        <v>1000</v>
      </c>
      <c r="C6454" t="s">
        <v>94</v>
      </c>
      <c r="D6454">
        <v>2.65694E-3</v>
      </c>
      <c r="E6454" t="s">
        <v>74</v>
      </c>
      <c r="F6454">
        <v>2.6569400000000001</v>
      </c>
      <c r="G6454" t="s">
        <v>75</v>
      </c>
      <c r="H6454">
        <v>2656.9360000000001</v>
      </c>
      <c r="I6454" t="s">
        <v>76</v>
      </c>
      <c r="J6454" t="s">
        <v>77</v>
      </c>
    </row>
    <row r="6455" spans="1:11" x14ac:dyDescent="0.3">
      <c r="A6455" t="s">
        <v>83</v>
      </c>
      <c r="B6455">
        <v>1000</v>
      </c>
      <c r="C6455" t="s">
        <v>80</v>
      </c>
      <c r="D6455">
        <v>2.8220099999999998E-3</v>
      </c>
      <c r="E6455" t="s">
        <v>74</v>
      </c>
      <c r="F6455">
        <v>2.8220100000000001</v>
      </c>
      <c r="G6455" t="s">
        <v>75</v>
      </c>
      <c r="H6455">
        <v>2822.0059999999999</v>
      </c>
      <c r="I6455" t="s">
        <v>76</v>
      </c>
      <c r="J6455" t="s">
        <v>77</v>
      </c>
    </row>
    <row r="6456" spans="1:11" x14ac:dyDescent="0.3">
      <c r="A6456" t="s">
        <v>83</v>
      </c>
      <c r="B6456">
        <v>1000</v>
      </c>
      <c r="C6456" t="s">
        <v>81</v>
      </c>
      <c r="D6456">
        <v>6.63227E-3</v>
      </c>
      <c r="E6456" t="s">
        <v>74</v>
      </c>
      <c r="F6456">
        <v>6.6322700000000001</v>
      </c>
      <c r="G6456" t="s">
        <v>75</v>
      </c>
      <c r="H6456">
        <v>6632.2669999999998</v>
      </c>
      <c r="I6456" t="s">
        <v>76</v>
      </c>
      <c r="J6456" t="s">
        <v>82</v>
      </c>
      <c r="K6456">
        <v>150.778007</v>
      </c>
    </row>
    <row r="6457" spans="1:11" x14ac:dyDescent="0.3">
      <c r="A6457" t="s">
        <v>84</v>
      </c>
      <c r="B6457">
        <v>1001</v>
      </c>
      <c r="C6457" t="s">
        <v>79</v>
      </c>
      <c r="D6457">
        <v>3.8108899999999999E-3</v>
      </c>
      <c r="E6457" t="s">
        <v>74</v>
      </c>
      <c r="F6457">
        <v>3.8108900000000001</v>
      </c>
      <c r="G6457" t="s">
        <v>75</v>
      </c>
      <c r="H6457">
        <v>3810.886</v>
      </c>
      <c r="I6457" t="s">
        <v>76</v>
      </c>
      <c r="J6457" t="s">
        <v>77</v>
      </c>
    </row>
    <row r="6458" spans="1:11" x14ac:dyDescent="0.3">
      <c r="A6458" t="s">
        <v>84</v>
      </c>
      <c r="B6458">
        <v>1001</v>
      </c>
      <c r="C6458" t="s">
        <v>94</v>
      </c>
      <c r="D6458">
        <v>2.6569599999999999E-3</v>
      </c>
      <c r="E6458" t="s">
        <v>74</v>
      </c>
      <c r="F6458">
        <v>2.6569600000000002</v>
      </c>
      <c r="G6458" t="s">
        <v>75</v>
      </c>
      <c r="H6458">
        <v>2656.962</v>
      </c>
      <c r="I6458" t="s">
        <v>76</v>
      </c>
      <c r="J6458" t="s">
        <v>77</v>
      </c>
    </row>
    <row r="6459" spans="1:11" x14ac:dyDescent="0.3">
      <c r="A6459" t="s">
        <v>84</v>
      </c>
      <c r="B6459">
        <v>1001</v>
      </c>
      <c r="C6459" t="s">
        <v>80</v>
      </c>
      <c r="D6459">
        <v>2.8220699999999999E-3</v>
      </c>
      <c r="E6459" t="s">
        <v>74</v>
      </c>
      <c r="F6459">
        <v>2.8220700000000001</v>
      </c>
      <c r="G6459" t="s">
        <v>75</v>
      </c>
      <c r="H6459">
        <v>2822.0729999999999</v>
      </c>
      <c r="I6459" t="s">
        <v>76</v>
      </c>
      <c r="J6459" t="s">
        <v>77</v>
      </c>
    </row>
    <row r="6460" spans="1:11" x14ac:dyDescent="0.3">
      <c r="A6460" t="s">
        <v>84</v>
      </c>
      <c r="B6460">
        <v>1001</v>
      </c>
      <c r="C6460" t="s">
        <v>81</v>
      </c>
      <c r="D6460">
        <v>6.6342600000000003E-3</v>
      </c>
      <c r="E6460" t="s">
        <v>74</v>
      </c>
      <c r="F6460">
        <v>6.6342600000000003</v>
      </c>
      <c r="G6460" t="s">
        <v>75</v>
      </c>
      <c r="H6460">
        <v>6634.2619999999997</v>
      </c>
      <c r="I6460" t="s">
        <v>76</v>
      </c>
      <c r="J6460" t="s">
        <v>82</v>
      </c>
      <c r="K6460">
        <v>150.73267580000001</v>
      </c>
    </row>
    <row r="6461" spans="1:11" x14ac:dyDescent="0.3">
      <c r="A6461" t="s">
        <v>85</v>
      </c>
      <c r="B6461">
        <v>1001</v>
      </c>
      <c r="C6461" t="s">
        <v>86</v>
      </c>
      <c r="D6461">
        <v>6.6344799999999999E-3</v>
      </c>
      <c r="E6461" t="s">
        <v>74</v>
      </c>
      <c r="F6461">
        <v>6.6344799999999999</v>
      </c>
      <c r="G6461" t="s">
        <v>75</v>
      </c>
      <c r="H6461">
        <v>6634.4809999999998</v>
      </c>
      <c r="I6461" t="s">
        <v>76</v>
      </c>
      <c r="J6461" t="s">
        <v>82</v>
      </c>
      <c r="K6461">
        <v>150.72769729999999</v>
      </c>
    </row>
    <row r="6462" spans="1:11" x14ac:dyDescent="0.3">
      <c r="A6462" t="s">
        <v>115</v>
      </c>
    </row>
    <row r="6463" spans="1:11" x14ac:dyDescent="0.3">
      <c r="A6463" t="s">
        <v>127</v>
      </c>
    </row>
    <row r="6464" spans="1:11" x14ac:dyDescent="0.3">
      <c r="A6464" t="s">
        <v>87</v>
      </c>
    </row>
    <row r="6465" spans="1:11" x14ac:dyDescent="0.3">
      <c r="A6465" t="s">
        <v>287</v>
      </c>
    </row>
    <row r="6466" spans="1:11" x14ac:dyDescent="0.3">
      <c r="A6466" t="s">
        <v>72</v>
      </c>
      <c r="B6466">
        <v>1</v>
      </c>
      <c r="C6466" t="s">
        <v>81</v>
      </c>
      <c r="D6466">
        <v>0.1109349</v>
      </c>
      <c r="E6466" t="s">
        <v>74</v>
      </c>
      <c r="F6466">
        <v>110.9349</v>
      </c>
      <c r="G6466" t="s">
        <v>75</v>
      </c>
      <c r="H6466">
        <v>110934.898</v>
      </c>
      <c r="I6466" t="s">
        <v>76</v>
      </c>
      <c r="J6466" t="s">
        <v>82</v>
      </c>
      <c r="K6466">
        <v>9.0142959000000005</v>
      </c>
    </row>
    <row r="6467" spans="1:11" x14ac:dyDescent="0.3">
      <c r="A6467" t="s">
        <v>83</v>
      </c>
      <c r="B6467">
        <v>1000</v>
      </c>
      <c r="C6467" t="s">
        <v>81</v>
      </c>
      <c r="D6467">
        <v>6.1109900000000002E-3</v>
      </c>
      <c r="E6467" t="s">
        <v>74</v>
      </c>
      <c r="F6467">
        <v>6.1109900000000001</v>
      </c>
      <c r="G6467" t="s">
        <v>75</v>
      </c>
      <c r="H6467">
        <v>6110.9849999999997</v>
      </c>
      <c r="I6467" t="s">
        <v>76</v>
      </c>
      <c r="J6467" t="s">
        <v>82</v>
      </c>
      <c r="K6467">
        <v>163.6397331</v>
      </c>
    </row>
    <row r="6468" spans="1:11" x14ac:dyDescent="0.3">
      <c r="A6468" t="s">
        <v>85</v>
      </c>
      <c r="B6468">
        <v>1001</v>
      </c>
      <c r="C6468" t="s">
        <v>86</v>
      </c>
      <c r="D6468">
        <v>6.2160000000000002E-3</v>
      </c>
      <c r="E6468" t="s">
        <v>74</v>
      </c>
      <c r="F6468">
        <v>6.2160000000000002</v>
      </c>
      <c r="G6468" t="s">
        <v>75</v>
      </c>
      <c r="H6468">
        <v>6215.9960000000001</v>
      </c>
      <c r="I6468" t="s">
        <v>76</v>
      </c>
      <c r="J6468" t="s">
        <v>82</v>
      </c>
      <c r="K6468">
        <v>160.8752562</v>
      </c>
    </row>
    <row r="6470" spans="1:11" x14ac:dyDescent="0.3">
      <c r="A6470" t="s">
        <v>288</v>
      </c>
    </row>
    <row r="6471" spans="1:11" x14ac:dyDescent="0.3">
      <c r="A6471" t="s">
        <v>72</v>
      </c>
      <c r="B6471">
        <v>1</v>
      </c>
      <c r="C6471" t="s">
        <v>81</v>
      </c>
      <c r="D6471">
        <v>8.6283999999999996E-3</v>
      </c>
      <c r="E6471" t="s">
        <v>74</v>
      </c>
      <c r="F6471">
        <v>8.6283999999999992</v>
      </c>
      <c r="G6471" t="s">
        <v>75</v>
      </c>
      <c r="H6471">
        <v>8628.4</v>
      </c>
      <c r="I6471" t="s">
        <v>76</v>
      </c>
      <c r="J6471" t="s">
        <v>82</v>
      </c>
      <c r="K6471">
        <v>115.89634169999999</v>
      </c>
    </row>
    <row r="6472" spans="1:11" x14ac:dyDescent="0.3">
      <c r="A6472" t="s">
        <v>83</v>
      </c>
      <c r="B6472">
        <v>1000</v>
      </c>
      <c r="C6472" t="s">
        <v>81</v>
      </c>
      <c r="D6472">
        <v>6.63227E-3</v>
      </c>
      <c r="E6472" t="s">
        <v>74</v>
      </c>
      <c r="F6472">
        <v>6.6322700000000001</v>
      </c>
      <c r="G6472" t="s">
        <v>75</v>
      </c>
      <c r="H6472">
        <v>6632.2669999999998</v>
      </c>
      <c r="I6472" t="s">
        <v>76</v>
      </c>
      <c r="J6472" t="s">
        <v>82</v>
      </c>
      <c r="K6472">
        <v>150.778007</v>
      </c>
    </row>
    <row r="6473" spans="1:11" x14ac:dyDescent="0.3">
      <c r="A6473" t="s">
        <v>85</v>
      </c>
      <c r="B6473">
        <v>1001</v>
      </c>
      <c r="C6473" t="s">
        <v>86</v>
      </c>
      <c r="D6473">
        <v>6.6344799999999999E-3</v>
      </c>
      <c r="E6473" t="s">
        <v>74</v>
      </c>
      <c r="F6473">
        <v>6.6344799999999999</v>
      </c>
      <c r="G6473" t="s">
        <v>75</v>
      </c>
      <c r="H6473">
        <v>6634.4809999999998</v>
      </c>
      <c r="I6473" t="s">
        <v>76</v>
      </c>
      <c r="J6473" t="s">
        <v>82</v>
      </c>
      <c r="K6473">
        <v>150.72769729999999</v>
      </c>
    </row>
    <row r="6475" spans="1:11" x14ac:dyDescent="0.3">
      <c r="A6475" t="s">
        <v>66</v>
      </c>
    </row>
    <row r="6477" spans="1:11" x14ac:dyDescent="0.3">
      <c r="A6477" t="s">
        <v>367</v>
      </c>
    </row>
    <row r="6478" spans="1:11" x14ac:dyDescent="0.3">
      <c r="A6478" t="s">
        <v>68</v>
      </c>
    </row>
    <row r="6479" spans="1:11" x14ac:dyDescent="0.3">
      <c r="A6479" t="s">
        <v>69</v>
      </c>
    </row>
    <row r="6480" spans="1:11" x14ac:dyDescent="0.3">
      <c r="A6480" t="s">
        <v>70</v>
      </c>
    </row>
    <row r="6481" spans="1:10" x14ac:dyDescent="0.3">
      <c r="A6481" t="s">
        <v>115</v>
      </c>
    </row>
    <row r="6482" spans="1:10" x14ac:dyDescent="0.3">
      <c r="A6482" t="s">
        <v>266</v>
      </c>
    </row>
    <row r="6483" spans="1:10" x14ac:dyDescent="0.3">
      <c r="A6483" t="s">
        <v>267</v>
      </c>
    </row>
    <row r="6484" spans="1:10" x14ac:dyDescent="0.3">
      <c r="A6484" t="s">
        <v>118</v>
      </c>
    </row>
    <row r="6485" spans="1:10" x14ac:dyDescent="0.3">
      <c r="A6485" t="s">
        <v>119</v>
      </c>
    </row>
    <row r="6486" spans="1:10" x14ac:dyDescent="0.3">
      <c r="A6486" t="s">
        <v>268</v>
      </c>
    </row>
    <row r="6487" spans="1:10" x14ac:dyDescent="0.3">
      <c r="A6487" t="s">
        <v>269</v>
      </c>
    </row>
    <row r="6488" spans="1:10" x14ac:dyDescent="0.3">
      <c r="A6488" t="s">
        <v>122</v>
      </c>
    </row>
    <row r="6489" spans="1:10" x14ac:dyDescent="0.3">
      <c r="A6489" t="s">
        <v>270</v>
      </c>
    </row>
    <row r="6490" spans="1:10" x14ac:dyDescent="0.3">
      <c r="A6490" t="s">
        <v>271</v>
      </c>
    </row>
    <row r="6491" spans="1:10" x14ac:dyDescent="0.3">
      <c r="A6491" t="s">
        <v>125</v>
      </c>
    </row>
    <row r="6492" spans="1:10" x14ac:dyDescent="0.3">
      <c r="A6492" t="s">
        <v>126</v>
      </c>
    </row>
    <row r="6493" spans="1:10" x14ac:dyDescent="0.3">
      <c r="A6493" t="s">
        <v>127</v>
      </c>
    </row>
    <row r="6494" spans="1:10" x14ac:dyDescent="0.3">
      <c r="A6494" t="s">
        <v>153</v>
      </c>
    </row>
    <row r="6495" spans="1:10" x14ac:dyDescent="0.3">
      <c r="A6495" t="s">
        <v>290</v>
      </c>
    </row>
    <row r="6496" spans="1:10" x14ac:dyDescent="0.3">
      <c r="A6496" t="s">
        <v>72</v>
      </c>
      <c r="B6496">
        <v>1</v>
      </c>
      <c r="C6496" t="s">
        <v>73</v>
      </c>
      <c r="D6496">
        <v>3.8999999999999999E-6</v>
      </c>
      <c r="E6496" t="s">
        <v>74</v>
      </c>
      <c r="F6496">
        <v>3.8999999999999998E-3</v>
      </c>
      <c r="G6496" t="s">
        <v>75</v>
      </c>
      <c r="H6496">
        <v>3.9</v>
      </c>
      <c r="I6496" t="s">
        <v>76</v>
      </c>
      <c r="J6496" t="s">
        <v>77</v>
      </c>
    </row>
    <row r="6497" spans="1:11" x14ac:dyDescent="0.3">
      <c r="A6497" t="s">
        <v>72</v>
      </c>
      <c r="B6497">
        <v>1</v>
      </c>
      <c r="C6497" t="s">
        <v>78</v>
      </c>
      <c r="D6497">
        <v>0.1093957</v>
      </c>
      <c r="E6497" t="s">
        <v>74</v>
      </c>
      <c r="F6497">
        <v>109.39570000000001</v>
      </c>
      <c r="G6497" t="s">
        <v>75</v>
      </c>
      <c r="H6497">
        <v>109395.698</v>
      </c>
      <c r="I6497" t="s">
        <v>76</v>
      </c>
      <c r="J6497" t="s">
        <v>77</v>
      </c>
    </row>
    <row r="6498" spans="1:11" x14ac:dyDescent="0.3">
      <c r="A6498" t="s">
        <v>72</v>
      </c>
      <c r="B6498">
        <v>1</v>
      </c>
      <c r="C6498" t="s">
        <v>79</v>
      </c>
      <c r="D6498">
        <v>0.16888089000000001</v>
      </c>
      <c r="E6498" t="s">
        <v>74</v>
      </c>
      <c r="F6498">
        <v>168.88088999999999</v>
      </c>
      <c r="G6498" t="s">
        <v>75</v>
      </c>
      <c r="H6498">
        <v>168880.89499999999</v>
      </c>
      <c r="I6498" t="s">
        <v>76</v>
      </c>
      <c r="J6498" t="s">
        <v>77</v>
      </c>
    </row>
    <row r="6499" spans="1:11" x14ac:dyDescent="0.3">
      <c r="A6499" t="s">
        <v>72</v>
      </c>
      <c r="B6499">
        <v>1</v>
      </c>
      <c r="C6499" t="s">
        <v>94</v>
      </c>
      <c r="D6499">
        <v>1.7746499999999998E-2</v>
      </c>
      <c r="E6499" t="s">
        <v>74</v>
      </c>
      <c r="F6499">
        <v>17.746500000000001</v>
      </c>
      <c r="G6499" t="s">
        <v>75</v>
      </c>
      <c r="H6499">
        <v>17746.501</v>
      </c>
      <c r="I6499" t="s">
        <v>76</v>
      </c>
      <c r="J6499" t="s">
        <v>77</v>
      </c>
    </row>
    <row r="6500" spans="1:11" x14ac:dyDescent="0.3">
      <c r="A6500" t="s">
        <v>72</v>
      </c>
      <c r="B6500">
        <v>1</v>
      </c>
      <c r="C6500" t="s">
        <v>80</v>
      </c>
      <c r="D6500">
        <v>1.7747099999999998E-2</v>
      </c>
      <c r="E6500" t="s">
        <v>74</v>
      </c>
      <c r="F6500">
        <v>17.7471</v>
      </c>
      <c r="G6500" t="s">
        <v>75</v>
      </c>
      <c r="H6500">
        <v>17747.099999999999</v>
      </c>
      <c r="I6500" t="s">
        <v>76</v>
      </c>
      <c r="J6500" t="s">
        <v>77</v>
      </c>
    </row>
    <row r="6501" spans="1:11" x14ac:dyDescent="0.3">
      <c r="A6501" t="s">
        <v>72</v>
      </c>
      <c r="B6501">
        <v>1</v>
      </c>
      <c r="C6501" t="s">
        <v>81</v>
      </c>
      <c r="D6501">
        <v>0.18663061</v>
      </c>
      <c r="E6501" t="s">
        <v>74</v>
      </c>
      <c r="F6501">
        <v>186.63060999999999</v>
      </c>
      <c r="G6501" t="s">
        <v>75</v>
      </c>
      <c r="H6501">
        <v>186630.60699999999</v>
      </c>
      <c r="I6501" t="s">
        <v>76</v>
      </c>
      <c r="J6501" t="s">
        <v>82</v>
      </c>
      <c r="K6501">
        <v>5.3581779000000003</v>
      </c>
    </row>
    <row r="6502" spans="1:11" x14ac:dyDescent="0.3">
      <c r="A6502" t="s">
        <v>83</v>
      </c>
      <c r="B6502">
        <v>1000</v>
      </c>
      <c r="C6502" t="s">
        <v>79</v>
      </c>
      <c r="D6502">
        <v>5.0394000000000003E-4</v>
      </c>
      <c r="E6502" t="s">
        <v>74</v>
      </c>
      <c r="F6502">
        <v>0.50394000000000005</v>
      </c>
      <c r="G6502" t="s">
        <v>75</v>
      </c>
      <c r="H6502">
        <v>503.93599999999998</v>
      </c>
      <c r="I6502" t="s">
        <v>76</v>
      </c>
      <c r="J6502" t="s">
        <v>77</v>
      </c>
    </row>
    <row r="6503" spans="1:11" x14ac:dyDescent="0.3">
      <c r="A6503" t="s">
        <v>83</v>
      </c>
      <c r="B6503">
        <v>1000</v>
      </c>
      <c r="C6503" t="s">
        <v>94</v>
      </c>
      <c r="D6503">
        <v>1.7488110000000001E-2</v>
      </c>
      <c r="E6503" t="s">
        <v>74</v>
      </c>
      <c r="F6503">
        <v>17.488109999999999</v>
      </c>
      <c r="G6503" t="s">
        <v>75</v>
      </c>
      <c r="H6503">
        <v>17488.11</v>
      </c>
      <c r="I6503" t="s">
        <v>76</v>
      </c>
      <c r="J6503" t="s">
        <v>77</v>
      </c>
    </row>
    <row r="6504" spans="1:11" x14ac:dyDescent="0.3">
      <c r="A6504" t="s">
        <v>83</v>
      </c>
      <c r="B6504">
        <v>1000</v>
      </c>
      <c r="C6504" t="s">
        <v>80</v>
      </c>
      <c r="D6504">
        <v>1.7488380000000001E-2</v>
      </c>
      <c r="E6504" t="s">
        <v>74</v>
      </c>
      <c r="F6504">
        <v>17.488379999999999</v>
      </c>
      <c r="G6504" t="s">
        <v>75</v>
      </c>
      <c r="H6504">
        <v>17488.379000000001</v>
      </c>
      <c r="I6504" t="s">
        <v>76</v>
      </c>
      <c r="J6504" t="s">
        <v>77</v>
      </c>
    </row>
    <row r="6505" spans="1:11" x14ac:dyDescent="0.3">
      <c r="A6505" t="s">
        <v>83</v>
      </c>
      <c r="B6505">
        <v>1000</v>
      </c>
      <c r="C6505" t="s">
        <v>81</v>
      </c>
      <c r="D6505">
        <v>1.7992999999999999E-2</v>
      </c>
      <c r="E6505" t="s">
        <v>74</v>
      </c>
      <c r="F6505">
        <v>17.992999999999999</v>
      </c>
      <c r="G6505" t="s">
        <v>75</v>
      </c>
      <c r="H6505">
        <v>17992.995999999999</v>
      </c>
      <c r="I6505" t="s">
        <v>76</v>
      </c>
      <c r="J6505" t="s">
        <v>82</v>
      </c>
      <c r="K6505">
        <v>55.577180599999998</v>
      </c>
    </row>
    <row r="6506" spans="1:11" x14ac:dyDescent="0.3">
      <c r="A6506" t="s">
        <v>84</v>
      </c>
      <c r="B6506">
        <v>1001</v>
      </c>
      <c r="C6506" t="s">
        <v>79</v>
      </c>
      <c r="D6506">
        <v>6.7215000000000005E-4</v>
      </c>
      <c r="E6506" t="s">
        <v>74</v>
      </c>
      <c r="F6506">
        <v>0.67215000000000003</v>
      </c>
      <c r="G6506" t="s">
        <v>75</v>
      </c>
      <c r="H6506">
        <v>672.14499999999998</v>
      </c>
      <c r="I6506" t="s">
        <v>76</v>
      </c>
      <c r="J6506" t="s">
        <v>77</v>
      </c>
    </row>
    <row r="6507" spans="1:11" x14ac:dyDescent="0.3">
      <c r="A6507" t="s">
        <v>84</v>
      </c>
      <c r="B6507">
        <v>1001</v>
      </c>
      <c r="C6507" t="s">
        <v>94</v>
      </c>
      <c r="D6507">
        <v>1.748837E-2</v>
      </c>
      <c r="E6507" t="s">
        <v>74</v>
      </c>
      <c r="F6507">
        <v>17.48837</v>
      </c>
      <c r="G6507" t="s">
        <v>75</v>
      </c>
      <c r="H6507">
        <v>17488.368999999999</v>
      </c>
      <c r="I6507" t="s">
        <v>76</v>
      </c>
      <c r="J6507" t="s">
        <v>77</v>
      </c>
    </row>
    <row r="6508" spans="1:11" x14ac:dyDescent="0.3">
      <c r="A6508" t="s">
        <v>84</v>
      </c>
      <c r="B6508">
        <v>1001</v>
      </c>
      <c r="C6508" t="s">
        <v>80</v>
      </c>
      <c r="D6508">
        <v>1.748864E-2</v>
      </c>
      <c r="E6508" t="s">
        <v>74</v>
      </c>
      <c r="F6508">
        <v>17.48864</v>
      </c>
      <c r="G6508" t="s">
        <v>75</v>
      </c>
      <c r="H6508">
        <v>17488.637999999999</v>
      </c>
      <c r="I6508" t="s">
        <v>76</v>
      </c>
      <c r="J6508" t="s">
        <v>77</v>
      </c>
    </row>
    <row r="6509" spans="1:11" x14ac:dyDescent="0.3">
      <c r="A6509" t="s">
        <v>84</v>
      </c>
      <c r="B6509">
        <v>1001</v>
      </c>
      <c r="C6509" t="s">
        <v>81</v>
      </c>
      <c r="D6509">
        <v>1.8161460000000001E-2</v>
      </c>
      <c r="E6509" t="s">
        <v>74</v>
      </c>
      <c r="F6509">
        <v>18.161460000000002</v>
      </c>
      <c r="G6509" t="s">
        <v>75</v>
      </c>
      <c r="H6509">
        <v>18161.465</v>
      </c>
      <c r="I6509" t="s">
        <v>76</v>
      </c>
      <c r="J6509" t="s">
        <v>82</v>
      </c>
      <c r="K6509">
        <v>55.061637400000002</v>
      </c>
    </row>
    <row r="6510" spans="1:11" x14ac:dyDescent="0.3">
      <c r="A6510" t="s">
        <v>85</v>
      </c>
      <c r="B6510">
        <v>1001</v>
      </c>
      <c r="C6510" t="s">
        <v>86</v>
      </c>
      <c r="D6510">
        <v>1.8161699999999999E-2</v>
      </c>
      <c r="E6510" t="s">
        <v>74</v>
      </c>
      <c r="F6510">
        <v>18.1617</v>
      </c>
      <c r="G6510" t="s">
        <v>75</v>
      </c>
      <c r="H6510">
        <v>18161.696</v>
      </c>
      <c r="I6510" t="s">
        <v>76</v>
      </c>
      <c r="J6510" t="s">
        <v>82</v>
      </c>
      <c r="K6510">
        <v>55.060938399999998</v>
      </c>
    </row>
    <row r="6511" spans="1:11" x14ac:dyDescent="0.3">
      <c r="A6511" t="s">
        <v>155</v>
      </c>
    </row>
    <row r="6512" spans="1:11" x14ac:dyDescent="0.3">
      <c r="A6512" t="s">
        <v>291</v>
      </c>
    </row>
    <row r="6513" spans="1:11" x14ac:dyDescent="0.3">
      <c r="A6513" t="s">
        <v>72</v>
      </c>
      <c r="B6513">
        <v>1</v>
      </c>
      <c r="C6513" t="s">
        <v>73</v>
      </c>
      <c r="D6513">
        <v>3.8999999999999999E-6</v>
      </c>
      <c r="E6513" t="s">
        <v>74</v>
      </c>
      <c r="F6513">
        <v>3.8999999999999998E-3</v>
      </c>
      <c r="G6513" t="s">
        <v>75</v>
      </c>
      <c r="H6513">
        <v>3.9</v>
      </c>
      <c r="I6513" t="s">
        <v>76</v>
      </c>
      <c r="J6513" t="s">
        <v>77</v>
      </c>
    </row>
    <row r="6514" spans="1:11" x14ac:dyDescent="0.3">
      <c r="A6514" t="s">
        <v>72</v>
      </c>
      <c r="B6514">
        <v>1</v>
      </c>
      <c r="C6514" t="s">
        <v>78</v>
      </c>
      <c r="D6514">
        <v>1.0563E-3</v>
      </c>
      <c r="E6514" t="s">
        <v>74</v>
      </c>
      <c r="F6514">
        <v>1.0563</v>
      </c>
      <c r="G6514" t="s">
        <v>75</v>
      </c>
      <c r="H6514">
        <v>1056.3</v>
      </c>
      <c r="I6514" t="s">
        <v>76</v>
      </c>
      <c r="J6514" t="s">
        <v>77</v>
      </c>
    </row>
    <row r="6515" spans="1:11" x14ac:dyDescent="0.3">
      <c r="A6515" t="s">
        <v>72</v>
      </c>
      <c r="B6515">
        <v>1</v>
      </c>
      <c r="C6515" t="s">
        <v>79</v>
      </c>
      <c r="D6515">
        <v>9.0656999999999995E-3</v>
      </c>
      <c r="E6515" t="s">
        <v>74</v>
      </c>
      <c r="F6515">
        <v>9.0656999999999996</v>
      </c>
      <c r="G6515" t="s">
        <v>75</v>
      </c>
      <c r="H6515">
        <v>9065.7000000000007</v>
      </c>
      <c r="I6515" t="s">
        <v>76</v>
      </c>
      <c r="J6515" t="s">
        <v>77</v>
      </c>
    </row>
    <row r="6516" spans="1:11" x14ac:dyDescent="0.3">
      <c r="A6516" t="s">
        <v>72</v>
      </c>
      <c r="B6516">
        <v>1</v>
      </c>
      <c r="C6516" t="s">
        <v>94</v>
      </c>
      <c r="D6516">
        <v>2.912E-2</v>
      </c>
      <c r="E6516" t="s">
        <v>74</v>
      </c>
      <c r="F6516">
        <v>29.12</v>
      </c>
      <c r="G6516" t="s">
        <v>75</v>
      </c>
      <c r="H6516">
        <v>29120</v>
      </c>
      <c r="I6516" t="s">
        <v>76</v>
      </c>
      <c r="J6516" t="s">
        <v>77</v>
      </c>
    </row>
    <row r="6517" spans="1:11" x14ac:dyDescent="0.3">
      <c r="A6517" t="s">
        <v>72</v>
      </c>
      <c r="B6517">
        <v>1</v>
      </c>
      <c r="C6517" t="s">
        <v>80</v>
      </c>
      <c r="D6517">
        <v>2.9120500000000001E-2</v>
      </c>
      <c r="E6517" t="s">
        <v>74</v>
      </c>
      <c r="F6517">
        <v>29.1205</v>
      </c>
      <c r="G6517" t="s">
        <v>75</v>
      </c>
      <c r="H6517">
        <v>29120.499</v>
      </c>
      <c r="I6517" t="s">
        <v>76</v>
      </c>
      <c r="J6517" t="s">
        <v>77</v>
      </c>
    </row>
    <row r="6518" spans="1:11" x14ac:dyDescent="0.3">
      <c r="A6518" t="s">
        <v>72</v>
      </c>
      <c r="B6518">
        <v>1</v>
      </c>
      <c r="C6518" t="s">
        <v>81</v>
      </c>
      <c r="D6518">
        <v>3.8187699999999998E-2</v>
      </c>
      <c r="E6518" t="s">
        <v>74</v>
      </c>
      <c r="F6518">
        <v>38.1877</v>
      </c>
      <c r="G6518" t="s">
        <v>75</v>
      </c>
      <c r="H6518">
        <v>38187.701000000001</v>
      </c>
      <c r="I6518" t="s">
        <v>76</v>
      </c>
      <c r="J6518" t="s">
        <v>82</v>
      </c>
      <c r="K6518">
        <v>26.1864414</v>
      </c>
    </row>
    <row r="6519" spans="1:11" x14ac:dyDescent="0.3">
      <c r="A6519" t="s">
        <v>83</v>
      </c>
      <c r="B6519">
        <v>1000</v>
      </c>
      <c r="C6519" t="s">
        <v>79</v>
      </c>
      <c r="D6519">
        <v>6.6138000000000004E-4</v>
      </c>
      <c r="E6519" t="s">
        <v>74</v>
      </c>
      <c r="F6519">
        <v>0.66137999999999997</v>
      </c>
      <c r="G6519" t="s">
        <v>75</v>
      </c>
      <c r="H6519">
        <v>661.38400000000001</v>
      </c>
      <c r="I6519" t="s">
        <v>76</v>
      </c>
      <c r="J6519" t="s">
        <v>77</v>
      </c>
    </row>
    <row r="6520" spans="1:11" x14ac:dyDescent="0.3">
      <c r="A6520" t="s">
        <v>83</v>
      </c>
      <c r="B6520">
        <v>1000</v>
      </c>
      <c r="C6520" t="s">
        <v>94</v>
      </c>
      <c r="D6520">
        <v>2.6122630000000001E-2</v>
      </c>
      <c r="E6520" t="s">
        <v>74</v>
      </c>
      <c r="F6520">
        <v>26.122630000000001</v>
      </c>
      <c r="G6520" t="s">
        <v>75</v>
      </c>
      <c r="H6520">
        <v>26122.631000000001</v>
      </c>
      <c r="I6520" t="s">
        <v>76</v>
      </c>
      <c r="J6520" t="s">
        <v>77</v>
      </c>
    </row>
    <row r="6521" spans="1:11" x14ac:dyDescent="0.3">
      <c r="A6521" t="s">
        <v>83</v>
      </c>
      <c r="B6521">
        <v>1000</v>
      </c>
      <c r="C6521" t="s">
        <v>80</v>
      </c>
      <c r="D6521">
        <v>2.6379730000000001E-2</v>
      </c>
      <c r="E6521" t="s">
        <v>74</v>
      </c>
      <c r="F6521">
        <v>26.379729999999999</v>
      </c>
      <c r="G6521" t="s">
        <v>75</v>
      </c>
      <c r="H6521">
        <v>26379.732</v>
      </c>
      <c r="I6521" t="s">
        <v>76</v>
      </c>
      <c r="J6521" t="s">
        <v>77</v>
      </c>
    </row>
    <row r="6522" spans="1:11" x14ac:dyDescent="0.3">
      <c r="A6522" t="s">
        <v>83</v>
      </c>
      <c r="B6522">
        <v>1000</v>
      </c>
      <c r="C6522" t="s">
        <v>81</v>
      </c>
      <c r="D6522">
        <v>2.7042190000000001E-2</v>
      </c>
      <c r="E6522" t="s">
        <v>74</v>
      </c>
      <c r="F6522">
        <v>27.042190000000002</v>
      </c>
      <c r="G6522" t="s">
        <v>75</v>
      </c>
      <c r="H6522">
        <v>27042.194</v>
      </c>
      <c r="I6522" t="s">
        <v>76</v>
      </c>
      <c r="J6522" t="s">
        <v>82</v>
      </c>
      <c r="K6522">
        <v>36.979247600000001</v>
      </c>
    </row>
    <row r="6523" spans="1:11" x14ac:dyDescent="0.3">
      <c r="A6523" t="s">
        <v>84</v>
      </c>
      <c r="B6523">
        <v>1001</v>
      </c>
      <c r="C6523" t="s">
        <v>79</v>
      </c>
      <c r="D6523">
        <v>6.6978000000000003E-4</v>
      </c>
      <c r="E6523" t="s">
        <v>74</v>
      </c>
      <c r="F6523">
        <v>0.66978000000000004</v>
      </c>
      <c r="G6523" t="s">
        <v>75</v>
      </c>
      <c r="H6523">
        <v>669.78</v>
      </c>
      <c r="I6523" t="s">
        <v>76</v>
      </c>
      <c r="J6523" t="s">
        <v>77</v>
      </c>
    </row>
    <row r="6524" spans="1:11" x14ac:dyDescent="0.3">
      <c r="A6524" t="s">
        <v>84</v>
      </c>
      <c r="B6524">
        <v>1001</v>
      </c>
      <c r="C6524" t="s">
        <v>94</v>
      </c>
      <c r="D6524">
        <v>2.6125619999999999E-2</v>
      </c>
      <c r="E6524" t="s">
        <v>74</v>
      </c>
      <c r="F6524">
        <v>26.125620000000001</v>
      </c>
      <c r="G6524" t="s">
        <v>75</v>
      </c>
      <c r="H6524">
        <v>26125.625</v>
      </c>
      <c r="I6524" t="s">
        <v>76</v>
      </c>
      <c r="J6524" t="s">
        <v>77</v>
      </c>
    </row>
    <row r="6525" spans="1:11" x14ac:dyDescent="0.3">
      <c r="A6525" t="s">
        <v>84</v>
      </c>
      <c r="B6525">
        <v>1001</v>
      </c>
      <c r="C6525" t="s">
        <v>80</v>
      </c>
      <c r="D6525">
        <v>2.6382470000000002E-2</v>
      </c>
      <c r="E6525" t="s">
        <v>74</v>
      </c>
      <c r="F6525">
        <v>26.382470000000001</v>
      </c>
      <c r="G6525" t="s">
        <v>75</v>
      </c>
      <c r="H6525">
        <v>26382.471000000001</v>
      </c>
      <c r="I6525" t="s">
        <v>76</v>
      </c>
      <c r="J6525" t="s">
        <v>77</v>
      </c>
    </row>
    <row r="6526" spans="1:11" x14ac:dyDescent="0.3">
      <c r="A6526" t="s">
        <v>84</v>
      </c>
      <c r="B6526">
        <v>1001</v>
      </c>
      <c r="C6526" t="s">
        <v>81</v>
      </c>
      <c r="D6526">
        <v>2.705333E-2</v>
      </c>
      <c r="E6526" t="s">
        <v>74</v>
      </c>
      <c r="F6526">
        <v>27.053329999999999</v>
      </c>
      <c r="G6526" t="s">
        <v>75</v>
      </c>
      <c r="H6526">
        <v>27053.328000000001</v>
      </c>
      <c r="I6526" t="s">
        <v>76</v>
      </c>
      <c r="J6526" t="s">
        <v>82</v>
      </c>
      <c r="K6526">
        <v>36.964028900000002</v>
      </c>
    </row>
    <row r="6527" spans="1:11" x14ac:dyDescent="0.3">
      <c r="A6527" t="s">
        <v>85</v>
      </c>
      <c r="B6527">
        <v>1001</v>
      </c>
      <c r="C6527" t="s">
        <v>86</v>
      </c>
      <c r="D6527">
        <v>2.705403E-2</v>
      </c>
      <c r="E6527" t="s">
        <v>74</v>
      </c>
      <c r="F6527">
        <v>27.054030000000001</v>
      </c>
      <c r="G6527" t="s">
        <v>75</v>
      </c>
      <c r="H6527">
        <v>27054.028999999999</v>
      </c>
      <c r="I6527" t="s">
        <v>76</v>
      </c>
      <c r="J6527" t="s">
        <v>82</v>
      </c>
      <c r="K6527">
        <v>36.963070799999997</v>
      </c>
    </row>
    <row r="6528" spans="1:11" x14ac:dyDescent="0.3">
      <c r="A6528" t="s">
        <v>115</v>
      </c>
    </row>
    <row r="6529" spans="1:11" x14ac:dyDescent="0.3">
      <c r="A6529" t="s">
        <v>127</v>
      </c>
    </row>
    <row r="6530" spans="1:11" x14ac:dyDescent="0.3">
      <c r="A6530" t="s">
        <v>87</v>
      </c>
    </row>
    <row r="6531" spans="1:11" x14ac:dyDescent="0.3">
      <c r="A6531" t="s">
        <v>292</v>
      </c>
    </row>
    <row r="6532" spans="1:11" x14ac:dyDescent="0.3">
      <c r="A6532" t="s">
        <v>72</v>
      </c>
      <c r="B6532">
        <v>1</v>
      </c>
      <c r="C6532" t="s">
        <v>81</v>
      </c>
      <c r="D6532">
        <v>0.18663061</v>
      </c>
      <c r="E6532" t="s">
        <v>74</v>
      </c>
      <c r="F6532">
        <v>186.63060999999999</v>
      </c>
      <c r="G6532" t="s">
        <v>75</v>
      </c>
      <c r="H6532">
        <v>186630.60699999999</v>
      </c>
      <c r="I6532" t="s">
        <v>76</v>
      </c>
      <c r="J6532" t="s">
        <v>82</v>
      </c>
      <c r="K6532">
        <v>5.3581779000000003</v>
      </c>
    </row>
    <row r="6533" spans="1:11" x14ac:dyDescent="0.3">
      <c r="A6533" t="s">
        <v>83</v>
      </c>
      <c r="B6533">
        <v>1000</v>
      </c>
      <c r="C6533" t="s">
        <v>81</v>
      </c>
      <c r="D6533">
        <v>1.7992999999999999E-2</v>
      </c>
      <c r="E6533" t="s">
        <v>74</v>
      </c>
      <c r="F6533">
        <v>17.992999999999999</v>
      </c>
      <c r="G6533" t="s">
        <v>75</v>
      </c>
      <c r="H6533">
        <v>17992.995999999999</v>
      </c>
      <c r="I6533" t="s">
        <v>76</v>
      </c>
      <c r="J6533" t="s">
        <v>82</v>
      </c>
      <c r="K6533">
        <v>55.577180599999998</v>
      </c>
    </row>
    <row r="6534" spans="1:11" x14ac:dyDescent="0.3">
      <c r="A6534" t="s">
        <v>85</v>
      </c>
      <c r="B6534">
        <v>1001</v>
      </c>
      <c r="C6534" t="s">
        <v>86</v>
      </c>
      <c r="D6534">
        <v>1.8161699999999999E-2</v>
      </c>
      <c r="E6534" t="s">
        <v>74</v>
      </c>
      <c r="F6534">
        <v>18.1617</v>
      </c>
      <c r="G6534" t="s">
        <v>75</v>
      </c>
      <c r="H6534">
        <v>18161.696</v>
      </c>
      <c r="I6534" t="s">
        <v>76</v>
      </c>
      <c r="J6534" t="s">
        <v>82</v>
      </c>
      <c r="K6534">
        <v>55.060938399999998</v>
      </c>
    </row>
    <row r="6536" spans="1:11" x14ac:dyDescent="0.3">
      <c r="A6536" t="s">
        <v>293</v>
      </c>
    </row>
    <row r="6537" spans="1:11" x14ac:dyDescent="0.3">
      <c r="A6537" t="s">
        <v>72</v>
      </c>
      <c r="B6537">
        <v>1</v>
      </c>
      <c r="C6537" t="s">
        <v>81</v>
      </c>
      <c r="D6537">
        <v>3.8187699999999998E-2</v>
      </c>
      <c r="E6537" t="s">
        <v>74</v>
      </c>
      <c r="F6537">
        <v>38.1877</v>
      </c>
      <c r="G6537" t="s">
        <v>75</v>
      </c>
      <c r="H6537">
        <v>38187.701000000001</v>
      </c>
      <c r="I6537" t="s">
        <v>76</v>
      </c>
      <c r="J6537" t="s">
        <v>82</v>
      </c>
      <c r="K6537">
        <v>26.1864414</v>
      </c>
    </row>
    <row r="6538" spans="1:11" x14ac:dyDescent="0.3">
      <c r="A6538" t="s">
        <v>83</v>
      </c>
      <c r="B6538">
        <v>1000</v>
      </c>
      <c r="C6538" t="s">
        <v>81</v>
      </c>
      <c r="D6538">
        <v>2.7042190000000001E-2</v>
      </c>
      <c r="E6538" t="s">
        <v>74</v>
      </c>
      <c r="F6538">
        <v>27.042190000000002</v>
      </c>
      <c r="G6538" t="s">
        <v>75</v>
      </c>
      <c r="H6538">
        <v>27042.194</v>
      </c>
      <c r="I6538" t="s">
        <v>76</v>
      </c>
      <c r="J6538" t="s">
        <v>82</v>
      </c>
      <c r="K6538">
        <v>36.979247600000001</v>
      </c>
    </row>
    <row r="6539" spans="1:11" x14ac:dyDescent="0.3">
      <c r="A6539" t="s">
        <v>85</v>
      </c>
      <c r="B6539">
        <v>1001</v>
      </c>
      <c r="C6539" t="s">
        <v>86</v>
      </c>
      <c r="D6539">
        <v>2.705403E-2</v>
      </c>
      <c r="E6539" t="s">
        <v>74</v>
      </c>
      <c r="F6539">
        <v>27.054030000000001</v>
      </c>
      <c r="G6539" t="s">
        <v>75</v>
      </c>
      <c r="H6539">
        <v>27054.028999999999</v>
      </c>
      <c r="I6539" t="s">
        <v>76</v>
      </c>
      <c r="J6539" t="s">
        <v>82</v>
      </c>
      <c r="K6539">
        <v>36.963070799999997</v>
      </c>
    </row>
    <row r="6541" spans="1:11" x14ac:dyDescent="0.3">
      <c r="A6541" t="s">
        <v>66</v>
      </c>
    </row>
    <row r="6543" spans="1:11" x14ac:dyDescent="0.3">
      <c r="A6543" t="s">
        <v>368</v>
      </c>
    </row>
    <row r="6544" spans="1:11" x14ac:dyDescent="0.3">
      <c r="A6544" t="s">
        <v>68</v>
      </c>
    </row>
    <row r="6545" spans="1:1" x14ac:dyDescent="0.3">
      <c r="A6545" t="s">
        <v>69</v>
      </c>
    </row>
    <row r="6546" spans="1:1" x14ac:dyDescent="0.3">
      <c r="A6546" t="s">
        <v>70</v>
      </c>
    </row>
    <row r="6547" spans="1:1" x14ac:dyDescent="0.3">
      <c r="A6547" t="s">
        <v>115</v>
      </c>
    </row>
    <row r="6548" spans="1:1" x14ac:dyDescent="0.3">
      <c r="A6548" t="s">
        <v>266</v>
      </c>
    </row>
    <row r="6549" spans="1:1" x14ac:dyDescent="0.3">
      <c r="A6549" t="s">
        <v>267</v>
      </c>
    </row>
    <row r="6550" spans="1:1" x14ac:dyDescent="0.3">
      <c r="A6550" t="s">
        <v>118</v>
      </c>
    </row>
    <row r="6551" spans="1:1" x14ac:dyDescent="0.3">
      <c r="A6551" t="s">
        <v>119</v>
      </c>
    </row>
    <row r="6552" spans="1:1" x14ac:dyDescent="0.3">
      <c r="A6552" t="s">
        <v>268</v>
      </c>
    </row>
    <row r="6553" spans="1:1" x14ac:dyDescent="0.3">
      <c r="A6553" t="s">
        <v>269</v>
      </c>
    </row>
    <row r="6554" spans="1:1" x14ac:dyDescent="0.3">
      <c r="A6554" t="s">
        <v>122</v>
      </c>
    </row>
    <row r="6555" spans="1:1" x14ac:dyDescent="0.3">
      <c r="A6555" t="s">
        <v>270</v>
      </c>
    </row>
    <row r="6556" spans="1:1" x14ac:dyDescent="0.3">
      <c r="A6556" t="s">
        <v>271</v>
      </c>
    </row>
    <row r="6557" spans="1:1" x14ac:dyDescent="0.3">
      <c r="A6557" t="s">
        <v>125</v>
      </c>
    </row>
    <row r="6558" spans="1:1" x14ac:dyDescent="0.3">
      <c r="A6558" t="s">
        <v>126</v>
      </c>
    </row>
    <row r="6559" spans="1:1" x14ac:dyDescent="0.3">
      <c r="A6559" t="s">
        <v>127</v>
      </c>
    </row>
    <row r="6560" spans="1:1" x14ac:dyDescent="0.3">
      <c r="A6560" t="s">
        <v>160</v>
      </c>
    </row>
    <row r="6561" spans="1:11" x14ac:dyDescent="0.3">
      <c r="A6561" t="s">
        <v>295</v>
      </c>
    </row>
    <row r="6562" spans="1:11" x14ac:dyDescent="0.3">
      <c r="A6562" t="s">
        <v>72</v>
      </c>
      <c r="B6562">
        <v>1</v>
      </c>
      <c r="C6562" t="s">
        <v>73</v>
      </c>
      <c r="D6562">
        <v>3.5999999999999998E-6</v>
      </c>
      <c r="E6562" t="s">
        <v>74</v>
      </c>
      <c r="F6562">
        <v>3.5999999999999999E-3</v>
      </c>
      <c r="G6562" t="s">
        <v>75</v>
      </c>
      <c r="H6562">
        <v>3.6</v>
      </c>
      <c r="I6562" t="s">
        <v>76</v>
      </c>
      <c r="J6562" t="s">
        <v>77</v>
      </c>
    </row>
    <row r="6563" spans="1:11" x14ac:dyDescent="0.3">
      <c r="A6563" t="s">
        <v>72</v>
      </c>
      <c r="B6563">
        <v>1</v>
      </c>
      <c r="C6563" t="s">
        <v>78</v>
      </c>
      <c r="D6563">
        <v>0.14160021</v>
      </c>
      <c r="E6563" t="s">
        <v>74</v>
      </c>
      <c r="F6563">
        <v>141.60021</v>
      </c>
      <c r="G6563" t="s">
        <v>75</v>
      </c>
      <c r="H6563">
        <v>141600.20600000001</v>
      </c>
      <c r="I6563" t="s">
        <v>76</v>
      </c>
      <c r="J6563" t="s">
        <v>77</v>
      </c>
    </row>
    <row r="6564" spans="1:11" x14ac:dyDescent="0.3">
      <c r="A6564" t="s">
        <v>72</v>
      </c>
      <c r="B6564">
        <v>1</v>
      </c>
      <c r="C6564" t="s">
        <v>79</v>
      </c>
      <c r="D6564">
        <v>0.1188299</v>
      </c>
      <c r="E6564" t="s">
        <v>74</v>
      </c>
      <c r="F6564">
        <v>118.82989999999999</v>
      </c>
      <c r="G6564" t="s">
        <v>75</v>
      </c>
      <c r="H6564">
        <v>118829.899</v>
      </c>
      <c r="I6564" t="s">
        <v>76</v>
      </c>
      <c r="J6564" t="s">
        <v>77</v>
      </c>
    </row>
    <row r="6565" spans="1:11" x14ac:dyDescent="0.3">
      <c r="A6565" t="s">
        <v>72</v>
      </c>
      <c r="B6565">
        <v>1</v>
      </c>
      <c r="C6565" t="s">
        <v>94</v>
      </c>
      <c r="D6565">
        <v>0.102592</v>
      </c>
      <c r="E6565" t="s">
        <v>74</v>
      </c>
      <c r="F6565">
        <v>102.592</v>
      </c>
      <c r="G6565" t="s">
        <v>75</v>
      </c>
      <c r="H6565">
        <v>102591.999</v>
      </c>
      <c r="I6565" t="s">
        <v>76</v>
      </c>
      <c r="J6565" t="s">
        <v>77</v>
      </c>
    </row>
    <row r="6566" spans="1:11" x14ac:dyDescent="0.3">
      <c r="A6566" t="s">
        <v>72</v>
      </c>
      <c r="B6566">
        <v>1</v>
      </c>
      <c r="C6566" t="s">
        <v>80</v>
      </c>
      <c r="D6566">
        <v>0.1025932</v>
      </c>
      <c r="E6566" t="s">
        <v>74</v>
      </c>
      <c r="F6566">
        <v>102.5932</v>
      </c>
      <c r="G6566" t="s">
        <v>75</v>
      </c>
      <c r="H6566">
        <v>102593.198</v>
      </c>
      <c r="I6566" t="s">
        <v>76</v>
      </c>
      <c r="J6566" t="s">
        <v>77</v>
      </c>
    </row>
    <row r="6567" spans="1:11" x14ac:dyDescent="0.3">
      <c r="A6567" t="s">
        <v>72</v>
      </c>
      <c r="B6567">
        <v>1</v>
      </c>
      <c r="C6567" t="s">
        <v>81</v>
      </c>
      <c r="D6567">
        <v>0.22142559000000001</v>
      </c>
      <c r="E6567" t="s">
        <v>74</v>
      </c>
      <c r="F6567">
        <v>221.42559</v>
      </c>
      <c r="G6567" t="s">
        <v>75</v>
      </c>
      <c r="H6567">
        <v>221425.59299999999</v>
      </c>
      <c r="I6567" t="s">
        <v>76</v>
      </c>
      <c r="J6567" t="s">
        <v>82</v>
      </c>
      <c r="K6567">
        <v>4.5161898000000003</v>
      </c>
    </row>
    <row r="6568" spans="1:11" x14ac:dyDescent="0.3">
      <c r="A6568" t="s">
        <v>83</v>
      </c>
      <c r="B6568">
        <v>1000</v>
      </c>
      <c r="C6568" t="s">
        <v>79</v>
      </c>
      <c r="D6568">
        <v>4.9863000000000002E-4</v>
      </c>
      <c r="E6568" t="s">
        <v>74</v>
      </c>
      <c r="F6568">
        <v>0.49863000000000002</v>
      </c>
      <c r="G6568" t="s">
        <v>75</v>
      </c>
      <c r="H6568">
        <v>498.63499999999999</v>
      </c>
      <c r="I6568" t="s">
        <v>76</v>
      </c>
      <c r="J6568" t="s">
        <v>77</v>
      </c>
    </row>
    <row r="6569" spans="1:11" x14ac:dyDescent="0.3">
      <c r="A6569" t="s">
        <v>83</v>
      </c>
      <c r="B6569">
        <v>1000</v>
      </c>
      <c r="C6569" t="s">
        <v>94</v>
      </c>
      <c r="D6569">
        <v>1.669445E-2</v>
      </c>
      <c r="E6569" t="s">
        <v>74</v>
      </c>
      <c r="F6569">
        <v>16.69445</v>
      </c>
      <c r="G6569" t="s">
        <v>75</v>
      </c>
      <c r="H6569">
        <v>16694.447</v>
      </c>
      <c r="I6569" t="s">
        <v>76</v>
      </c>
      <c r="J6569" t="s">
        <v>77</v>
      </c>
    </row>
    <row r="6570" spans="1:11" x14ac:dyDescent="0.3">
      <c r="A6570" t="s">
        <v>83</v>
      </c>
      <c r="B6570">
        <v>1000</v>
      </c>
      <c r="C6570" t="s">
        <v>80</v>
      </c>
      <c r="D6570">
        <v>1.6694919999999999E-2</v>
      </c>
      <c r="E6570" t="s">
        <v>74</v>
      </c>
      <c r="F6570">
        <v>16.69492</v>
      </c>
      <c r="G6570" t="s">
        <v>75</v>
      </c>
      <c r="H6570">
        <v>16694.920999999998</v>
      </c>
      <c r="I6570" t="s">
        <v>76</v>
      </c>
      <c r="J6570" t="s">
        <v>77</v>
      </c>
    </row>
    <row r="6571" spans="1:11" x14ac:dyDescent="0.3">
      <c r="A6571" t="s">
        <v>83</v>
      </c>
      <c r="B6571">
        <v>1000</v>
      </c>
      <c r="C6571" t="s">
        <v>81</v>
      </c>
      <c r="D6571">
        <v>1.7194310000000001E-2</v>
      </c>
      <c r="E6571" t="s">
        <v>74</v>
      </c>
      <c r="F6571">
        <v>17.194310000000002</v>
      </c>
      <c r="G6571" t="s">
        <v>75</v>
      </c>
      <c r="H6571">
        <v>17194.305</v>
      </c>
      <c r="I6571" t="s">
        <v>76</v>
      </c>
      <c r="J6571" t="s">
        <v>82</v>
      </c>
      <c r="K6571">
        <v>58.158790099999997</v>
      </c>
    </row>
    <row r="6572" spans="1:11" x14ac:dyDescent="0.3">
      <c r="A6572" t="s">
        <v>84</v>
      </c>
      <c r="B6572">
        <v>1001</v>
      </c>
      <c r="C6572" t="s">
        <v>79</v>
      </c>
      <c r="D6572">
        <v>6.1684999999999995E-4</v>
      </c>
      <c r="E6572" t="s">
        <v>74</v>
      </c>
      <c r="F6572">
        <v>0.61685000000000001</v>
      </c>
      <c r="G6572" t="s">
        <v>75</v>
      </c>
      <c r="H6572">
        <v>616.84799999999996</v>
      </c>
      <c r="I6572" t="s">
        <v>76</v>
      </c>
      <c r="J6572" t="s">
        <v>77</v>
      </c>
    </row>
    <row r="6573" spans="1:11" x14ac:dyDescent="0.3">
      <c r="A6573" t="s">
        <v>84</v>
      </c>
      <c r="B6573">
        <v>1001</v>
      </c>
      <c r="C6573" t="s">
        <v>94</v>
      </c>
      <c r="D6573">
        <v>1.6780260000000002E-2</v>
      </c>
      <c r="E6573" t="s">
        <v>74</v>
      </c>
      <c r="F6573">
        <v>16.780259999999998</v>
      </c>
      <c r="G6573" t="s">
        <v>75</v>
      </c>
      <c r="H6573">
        <v>16780.260999999999</v>
      </c>
      <c r="I6573" t="s">
        <v>76</v>
      </c>
      <c r="J6573" t="s">
        <v>77</v>
      </c>
    </row>
    <row r="6574" spans="1:11" x14ac:dyDescent="0.3">
      <c r="A6574" t="s">
        <v>84</v>
      </c>
      <c r="B6574">
        <v>1001</v>
      </c>
      <c r="C6574" t="s">
        <v>80</v>
      </c>
      <c r="D6574">
        <v>1.6780730000000001E-2</v>
      </c>
      <c r="E6574" t="s">
        <v>74</v>
      </c>
      <c r="F6574">
        <v>16.780729999999998</v>
      </c>
      <c r="G6574" t="s">
        <v>75</v>
      </c>
      <c r="H6574">
        <v>16780.733</v>
      </c>
      <c r="I6574" t="s">
        <v>76</v>
      </c>
      <c r="J6574" t="s">
        <v>77</v>
      </c>
    </row>
    <row r="6575" spans="1:11" x14ac:dyDescent="0.3">
      <c r="A6575" t="s">
        <v>84</v>
      </c>
      <c r="B6575">
        <v>1001</v>
      </c>
      <c r="C6575" t="s">
        <v>81</v>
      </c>
      <c r="D6575">
        <v>1.7398340000000002E-2</v>
      </c>
      <c r="E6575" t="s">
        <v>74</v>
      </c>
      <c r="F6575">
        <v>17.398340000000001</v>
      </c>
      <c r="G6575" t="s">
        <v>75</v>
      </c>
      <c r="H6575">
        <v>17398.341</v>
      </c>
      <c r="I6575" t="s">
        <v>76</v>
      </c>
      <c r="J6575" t="s">
        <v>82</v>
      </c>
      <c r="K6575">
        <v>57.476745399999999</v>
      </c>
    </row>
    <row r="6576" spans="1:11" x14ac:dyDescent="0.3">
      <c r="A6576" t="s">
        <v>85</v>
      </c>
      <c r="B6576">
        <v>1001</v>
      </c>
      <c r="C6576" t="s">
        <v>86</v>
      </c>
      <c r="D6576">
        <v>1.73986E-2</v>
      </c>
      <c r="E6576" t="s">
        <v>74</v>
      </c>
      <c r="F6576">
        <v>17.398599999999998</v>
      </c>
      <c r="G6576" t="s">
        <v>75</v>
      </c>
      <c r="H6576">
        <v>17398.601999999999</v>
      </c>
      <c r="I6576" t="s">
        <v>76</v>
      </c>
      <c r="J6576" t="s">
        <v>82</v>
      </c>
      <c r="K6576">
        <v>57.475883000000003</v>
      </c>
    </row>
    <row r="6577" spans="1:11" x14ac:dyDescent="0.3">
      <c r="A6577" t="s">
        <v>162</v>
      </c>
    </row>
    <row r="6578" spans="1:11" x14ac:dyDescent="0.3">
      <c r="A6578" t="s">
        <v>296</v>
      </c>
    </row>
    <row r="6579" spans="1:11" x14ac:dyDescent="0.3">
      <c r="A6579" t="s">
        <v>72</v>
      </c>
      <c r="B6579">
        <v>1</v>
      </c>
      <c r="C6579" t="s">
        <v>73</v>
      </c>
      <c r="D6579">
        <v>3.5999999999999998E-6</v>
      </c>
      <c r="E6579" t="s">
        <v>74</v>
      </c>
      <c r="F6579">
        <v>3.5999999999999999E-3</v>
      </c>
      <c r="G6579" t="s">
        <v>75</v>
      </c>
      <c r="H6579">
        <v>3.6</v>
      </c>
      <c r="I6579" t="s">
        <v>76</v>
      </c>
      <c r="J6579" t="s">
        <v>77</v>
      </c>
    </row>
    <row r="6580" spans="1:11" x14ac:dyDescent="0.3">
      <c r="A6580" t="s">
        <v>72</v>
      </c>
      <c r="B6580">
        <v>1</v>
      </c>
      <c r="C6580" t="s">
        <v>78</v>
      </c>
      <c r="D6580">
        <v>7.0419999999999999E-4</v>
      </c>
      <c r="E6580" t="s">
        <v>74</v>
      </c>
      <c r="F6580">
        <v>0.70420000000000005</v>
      </c>
      <c r="G6580" t="s">
        <v>75</v>
      </c>
      <c r="H6580">
        <v>704.2</v>
      </c>
      <c r="I6580" t="s">
        <v>76</v>
      </c>
      <c r="J6580" t="s">
        <v>77</v>
      </c>
    </row>
    <row r="6581" spans="1:11" x14ac:dyDescent="0.3">
      <c r="A6581" t="s">
        <v>72</v>
      </c>
      <c r="B6581">
        <v>1</v>
      </c>
      <c r="C6581" t="s">
        <v>79</v>
      </c>
      <c r="D6581">
        <v>7.5824999999999998E-3</v>
      </c>
      <c r="E6581" t="s">
        <v>74</v>
      </c>
      <c r="F6581">
        <v>7.5824999999999996</v>
      </c>
      <c r="G6581" t="s">
        <v>75</v>
      </c>
      <c r="H6581">
        <v>7582.5</v>
      </c>
      <c r="I6581" t="s">
        <v>76</v>
      </c>
      <c r="J6581" t="s">
        <v>77</v>
      </c>
    </row>
    <row r="6582" spans="1:11" x14ac:dyDescent="0.3">
      <c r="A6582" t="s">
        <v>72</v>
      </c>
      <c r="B6582">
        <v>1</v>
      </c>
      <c r="C6582" t="s">
        <v>94</v>
      </c>
      <c r="D6582">
        <v>2.9027399999999998E-2</v>
      </c>
      <c r="E6582" t="s">
        <v>74</v>
      </c>
      <c r="F6582">
        <v>29.0274</v>
      </c>
      <c r="G6582" t="s">
        <v>75</v>
      </c>
      <c r="H6582">
        <v>29027.401000000002</v>
      </c>
      <c r="I6582" t="s">
        <v>76</v>
      </c>
      <c r="J6582" t="s">
        <v>77</v>
      </c>
    </row>
    <row r="6583" spans="1:11" x14ac:dyDescent="0.3">
      <c r="A6583" t="s">
        <v>72</v>
      </c>
      <c r="B6583">
        <v>1</v>
      </c>
      <c r="C6583" t="s">
        <v>80</v>
      </c>
      <c r="D6583">
        <v>2.9027899999999999E-2</v>
      </c>
      <c r="E6583" t="s">
        <v>74</v>
      </c>
      <c r="F6583">
        <v>29.027899999999999</v>
      </c>
      <c r="G6583" t="s">
        <v>75</v>
      </c>
      <c r="H6583">
        <v>29027.9</v>
      </c>
      <c r="I6583" t="s">
        <v>76</v>
      </c>
      <c r="J6583" t="s">
        <v>77</v>
      </c>
    </row>
    <row r="6584" spans="1:11" x14ac:dyDescent="0.3">
      <c r="A6584" t="s">
        <v>72</v>
      </c>
      <c r="B6584">
        <v>1</v>
      </c>
      <c r="C6584" t="s">
        <v>81</v>
      </c>
      <c r="D6584">
        <v>3.6611200000000003E-2</v>
      </c>
      <c r="E6584" t="s">
        <v>74</v>
      </c>
      <c r="F6584">
        <v>36.611199999999997</v>
      </c>
      <c r="G6584" t="s">
        <v>75</v>
      </c>
      <c r="H6584">
        <v>36611.199000000001</v>
      </c>
      <c r="I6584" t="s">
        <v>76</v>
      </c>
      <c r="J6584" t="s">
        <v>82</v>
      </c>
      <c r="K6584">
        <v>27.314046399999999</v>
      </c>
    </row>
    <row r="6585" spans="1:11" x14ac:dyDescent="0.3">
      <c r="A6585" t="s">
        <v>83</v>
      </c>
      <c r="B6585">
        <v>1000</v>
      </c>
      <c r="C6585" t="s">
        <v>79</v>
      </c>
      <c r="D6585">
        <v>6.6735000000000004E-4</v>
      </c>
      <c r="E6585" t="s">
        <v>74</v>
      </c>
      <c r="F6585">
        <v>0.66735</v>
      </c>
      <c r="G6585" t="s">
        <v>75</v>
      </c>
      <c r="H6585">
        <v>667.35199999999998</v>
      </c>
      <c r="I6585" t="s">
        <v>76</v>
      </c>
      <c r="J6585" t="s">
        <v>77</v>
      </c>
    </row>
    <row r="6586" spans="1:11" x14ac:dyDescent="0.3">
      <c r="A6586" t="s">
        <v>83</v>
      </c>
      <c r="B6586">
        <v>1000</v>
      </c>
      <c r="C6586" t="s">
        <v>94</v>
      </c>
      <c r="D6586">
        <v>2.6151580000000001E-2</v>
      </c>
      <c r="E6586" t="s">
        <v>74</v>
      </c>
      <c r="F6586">
        <v>26.151579999999999</v>
      </c>
      <c r="G6586" t="s">
        <v>75</v>
      </c>
      <c r="H6586">
        <v>26151.575000000001</v>
      </c>
      <c r="I6586" t="s">
        <v>76</v>
      </c>
      <c r="J6586" t="s">
        <v>77</v>
      </c>
    </row>
    <row r="6587" spans="1:11" x14ac:dyDescent="0.3">
      <c r="A6587" t="s">
        <v>83</v>
      </c>
      <c r="B6587">
        <v>1000</v>
      </c>
      <c r="C6587" t="s">
        <v>80</v>
      </c>
      <c r="D6587">
        <v>2.6404529999999999E-2</v>
      </c>
      <c r="E6587" t="s">
        <v>74</v>
      </c>
      <c r="F6587">
        <v>26.404530000000001</v>
      </c>
      <c r="G6587" t="s">
        <v>75</v>
      </c>
      <c r="H6587">
        <v>26404.532999999999</v>
      </c>
      <c r="I6587" t="s">
        <v>76</v>
      </c>
      <c r="J6587" t="s">
        <v>77</v>
      </c>
    </row>
    <row r="6588" spans="1:11" x14ac:dyDescent="0.3">
      <c r="A6588" t="s">
        <v>83</v>
      </c>
      <c r="B6588">
        <v>1000</v>
      </c>
      <c r="C6588" t="s">
        <v>81</v>
      </c>
      <c r="D6588">
        <v>2.70729E-2</v>
      </c>
      <c r="E6588" t="s">
        <v>74</v>
      </c>
      <c r="F6588">
        <v>27.072900000000001</v>
      </c>
      <c r="G6588" t="s">
        <v>75</v>
      </c>
      <c r="H6588">
        <v>27072.904999999999</v>
      </c>
      <c r="I6588" t="s">
        <v>76</v>
      </c>
      <c r="J6588" t="s">
        <v>82</v>
      </c>
      <c r="K6588">
        <v>36.937300100000002</v>
      </c>
    </row>
    <row r="6589" spans="1:11" x14ac:dyDescent="0.3">
      <c r="A6589" t="s">
        <v>84</v>
      </c>
      <c r="B6589">
        <v>1001</v>
      </c>
      <c r="C6589" t="s">
        <v>79</v>
      </c>
      <c r="D6589">
        <v>6.7425999999999999E-4</v>
      </c>
      <c r="E6589" t="s">
        <v>74</v>
      </c>
      <c r="F6589">
        <v>0.67425999999999997</v>
      </c>
      <c r="G6589" t="s">
        <v>75</v>
      </c>
      <c r="H6589">
        <v>674.26099999999997</v>
      </c>
      <c r="I6589" t="s">
        <v>76</v>
      </c>
      <c r="J6589" t="s">
        <v>77</v>
      </c>
    </row>
    <row r="6590" spans="1:11" x14ac:dyDescent="0.3">
      <c r="A6590" t="s">
        <v>84</v>
      </c>
      <c r="B6590">
        <v>1001</v>
      </c>
      <c r="C6590" t="s">
        <v>94</v>
      </c>
      <c r="D6590">
        <v>2.6154449999999999E-2</v>
      </c>
      <c r="E6590" t="s">
        <v>74</v>
      </c>
      <c r="F6590">
        <v>26.154450000000001</v>
      </c>
      <c r="G6590" t="s">
        <v>75</v>
      </c>
      <c r="H6590">
        <v>26154.447</v>
      </c>
      <c r="I6590" t="s">
        <v>76</v>
      </c>
      <c r="J6590" t="s">
        <v>77</v>
      </c>
    </row>
    <row r="6591" spans="1:11" x14ac:dyDescent="0.3">
      <c r="A6591" t="s">
        <v>84</v>
      </c>
      <c r="B6591">
        <v>1001</v>
      </c>
      <c r="C6591" t="s">
        <v>80</v>
      </c>
      <c r="D6591">
        <v>2.6407150000000001E-2</v>
      </c>
      <c r="E6591" t="s">
        <v>74</v>
      </c>
      <c r="F6591">
        <v>26.407150000000001</v>
      </c>
      <c r="G6591" t="s">
        <v>75</v>
      </c>
      <c r="H6591">
        <v>26407.153999999999</v>
      </c>
      <c r="I6591" t="s">
        <v>76</v>
      </c>
      <c r="J6591" t="s">
        <v>77</v>
      </c>
    </row>
    <row r="6592" spans="1:11" x14ac:dyDescent="0.3">
      <c r="A6592" t="s">
        <v>84</v>
      </c>
      <c r="B6592">
        <v>1001</v>
      </c>
      <c r="C6592" t="s">
        <v>81</v>
      </c>
      <c r="D6592">
        <v>2.7082439999999999E-2</v>
      </c>
      <c r="E6592" t="s">
        <v>74</v>
      </c>
      <c r="F6592">
        <v>27.082439999999998</v>
      </c>
      <c r="G6592" t="s">
        <v>75</v>
      </c>
      <c r="H6592">
        <v>27082.436000000002</v>
      </c>
      <c r="I6592" t="s">
        <v>76</v>
      </c>
      <c r="J6592" t="s">
        <v>82</v>
      </c>
      <c r="K6592">
        <v>36.924300799999997</v>
      </c>
    </row>
    <row r="6593" spans="1:11" x14ac:dyDescent="0.3">
      <c r="A6593" t="s">
        <v>85</v>
      </c>
      <c r="B6593">
        <v>1001</v>
      </c>
      <c r="C6593" t="s">
        <v>86</v>
      </c>
      <c r="D6593">
        <v>2.7083099999999999E-2</v>
      </c>
      <c r="E6593" t="s">
        <v>74</v>
      </c>
      <c r="F6593">
        <v>27.083100000000002</v>
      </c>
      <c r="G6593" t="s">
        <v>75</v>
      </c>
      <c r="H6593">
        <v>27083.103999999999</v>
      </c>
      <c r="I6593" t="s">
        <v>76</v>
      </c>
      <c r="J6593" t="s">
        <v>82</v>
      </c>
      <c r="K6593">
        <v>36.923389</v>
      </c>
    </row>
    <row r="6594" spans="1:11" x14ac:dyDescent="0.3">
      <c r="A6594" t="s">
        <v>115</v>
      </c>
    </row>
    <row r="6595" spans="1:11" x14ac:dyDescent="0.3">
      <c r="A6595" t="s">
        <v>127</v>
      </c>
    </row>
    <row r="6596" spans="1:11" x14ac:dyDescent="0.3">
      <c r="A6596" t="s">
        <v>87</v>
      </c>
    </row>
    <row r="6597" spans="1:11" x14ac:dyDescent="0.3">
      <c r="A6597" t="s">
        <v>297</v>
      </c>
    </row>
    <row r="6598" spans="1:11" x14ac:dyDescent="0.3">
      <c r="A6598" t="s">
        <v>72</v>
      </c>
      <c r="B6598">
        <v>1</v>
      </c>
      <c r="C6598" t="s">
        <v>81</v>
      </c>
      <c r="D6598">
        <v>0.22142559000000001</v>
      </c>
      <c r="E6598" t="s">
        <v>74</v>
      </c>
      <c r="F6598">
        <v>221.42559</v>
      </c>
      <c r="G6598" t="s">
        <v>75</v>
      </c>
      <c r="H6598">
        <v>221425.59299999999</v>
      </c>
      <c r="I6598" t="s">
        <v>76</v>
      </c>
      <c r="J6598" t="s">
        <v>82</v>
      </c>
      <c r="K6598">
        <v>4.5161898000000003</v>
      </c>
    </row>
    <row r="6599" spans="1:11" x14ac:dyDescent="0.3">
      <c r="A6599" t="s">
        <v>83</v>
      </c>
      <c r="B6599">
        <v>1000</v>
      </c>
      <c r="C6599" t="s">
        <v>81</v>
      </c>
      <c r="D6599">
        <v>1.7194310000000001E-2</v>
      </c>
      <c r="E6599" t="s">
        <v>74</v>
      </c>
      <c r="F6599">
        <v>17.194310000000002</v>
      </c>
      <c r="G6599" t="s">
        <v>75</v>
      </c>
      <c r="H6599">
        <v>17194.305</v>
      </c>
      <c r="I6599" t="s">
        <v>76</v>
      </c>
      <c r="J6599" t="s">
        <v>82</v>
      </c>
      <c r="K6599">
        <v>58.158790099999997</v>
      </c>
    </row>
    <row r="6600" spans="1:11" x14ac:dyDescent="0.3">
      <c r="A6600" t="s">
        <v>85</v>
      </c>
      <c r="B6600">
        <v>1001</v>
      </c>
      <c r="C6600" t="s">
        <v>86</v>
      </c>
      <c r="D6600">
        <v>1.73986E-2</v>
      </c>
      <c r="E6600" t="s">
        <v>74</v>
      </c>
      <c r="F6600">
        <v>17.398599999999998</v>
      </c>
      <c r="G6600" t="s">
        <v>75</v>
      </c>
      <c r="H6600">
        <v>17398.601999999999</v>
      </c>
      <c r="I6600" t="s">
        <v>76</v>
      </c>
      <c r="J6600" t="s">
        <v>82</v>
      </c>
      <c r="K6600">
        <v>57.475883000000003</v>
      </c>
    </row>
    <row r="6602" spans="1:11" x14ac:dyDescent="0.3">
      <c r="A6602" t="s">
        <v>298</v>
      </c>
    </row>
    <row r="6603" spans="1:11" x14ac:dyDescent="0.3">
      <c r="A6603" t="s">
        <v>72</v>
      </c>
      <c r="B6603">
        <v>1</v>
      </c>
      <c r="C6603" t="s">
        <v>81</v>
      </c>
      <c r="D6603">
        <v>3.6611200000000003E-2</v>
      </c>
      <c r="E6603" t="s">
        <v>74</v>
      </c>
      <c r="F6603">
        <v>36.611199999999997</v>
      </c>
      <c r="G6603" t="s">
        <v>75</v>
      </c>
      <c r="H6603">
        <v>36611.199000000001</v>
      </c>
      <c r="I6603" t="s">
        <v>76</v>
      </c>
      <c r="J6603" t="s">
        <v>82</v>
      </c>
      <c r="K6603">
        <v>27.314046399999999</v>
      </c>
    </row>
    <row r="6604" spans="1:11" x14ac:dyDescent="0.3">
      <c r="A6604" t="s">
        <v>83</v>
      </c>
      <c r="B6604">
        <v>1000</v>
      </c>
      <c r="C6604" t="s">
        <v>81</v>
      </c>
      <c r="D6604">
        <v>2.70729E-2</v>
      </c>
      <c r="E6604" t="s">
        <v>74</v>
      </c>
      <c r="F6604">
        <v>27.072900000000001</v>
      </c>
      <c r="G6604" t="s">
        <v>75</v>
      </c>
      <c r="H6604">
        <v>27072.904999999999</v>
      </c>
      <c r="I6604" t="s">
        <v>76</v>
      </c>
      <c r="J6604" t="s">
        <v>82</v>
      </c>
      <c r="K6604">
        <v>36.937300100000002</v>
      </c>
    </row>
    <row r="6605" spans="1:11" x14ac:dyDescent="0.3">
      <c r="A6605" t="s">
        <v>85</v>
      </c>
      <c r="B6605">
        <v>1001</v>
      </c>
      <c r="C6605" t="s">
        <v>86</v>
      </c>
      <c r="D6605">
        <v>2.7083099999999999E-2</v>
      </c>
      <c r="E6605" t="s">
        <v>74</v>
      </c>
      <c r="F6605">
        <v>27.083100000000002</v>
      </c>
      <c r="G6605" t="s">
        <v>75</v>
      </c>
      <c r="H6605">
        <v>27083.103999999999</v>
      </c>
      <c r="I6605" t="s">
        <v>76</v>
      </c>
      <c r="J6605" t="s">
        <v>82</v>
      </c>
      <c r="K6605">
        <v>36.923389</v>
      </c>
    </row>
    <row r="6607" spans="1:11" x14ac:dyDescent="0.3">
      <c r="A6607" t="s">
        <v>66</v>
      </c>
    </row>
    <row r="6609" spans="1:1" x14ac:dyDescent="0.3">
      <c r="A6609" t="s">
        <v>369</v>
      </c>
    </row>
    <row r="6610" spans="1:1" x14ac:dyDescent="0.3">
      <c r="A6610" t="s">
        <v>68</v>
      </c>
    </row>
    <row r="6611" spans="1:1" x14ac:dyDescent="0.3">
      <c r="A6611" t="s">
        <v>69</v>
      </c>
    </row>
    <row r="6612" spans="1:1" x14ac:dyDescent="0.3">
      <c r="A6612" t="s">
        <v>70</v>
      </c>
    </row>
    <row r="6613" spans="1:1" x14ac:dyDescent="0.3">
      <c r="A6613" t="s">
        <v>115</v>
      </c>
    </row>
    <row r="6614" spans="1:1" x14ac:dyDescent="0.3">
      <c r="A6614" t="s">
        <v>266</v>
      </c>
    </row>
    <row r="6615" spans="1:1" x14ac:dyDescent="0.3">
      <c r="A6615" t="s">
        <v>267</v>
      </c>
    </row>
    <row r="6616" spans="1:1" x14ac:dyDescent="0.3">
      <c r="A6616" t="s">
        <v>118</v>
      </c>
    </row>
    <row r="6617" spans="1:1" x14ac:dyDescent="0.3">
      <c r="A6617" t="s">
        <v>119</v>
      </c>
    </row>
    <row r="6618" spans="1:1" x14ac:dyDescent="0.3">
      <c r="A6618" t="s">
        <v>268</v>
      </c>
    </row>
    <row r="6619" spans="1:1" x14ac:dyDescent="0.3">
      <c r="A6619" t="s">
        <v>269</v>
      </c>
    </row>
    <row r="6620" spans="1:1" x14ac:dyDescent="0.3">
      <c r="A6620" t="s">
        <v>122</v>
      </c>
    </row>
    <row r="6621" spans="1:1" x14ac:dyDescent="0.3">
      <c r="A6621" t="s">
        <v>270</v>
      </c>
    </row>
    <row r="6622" spans="1:1" x14ac:dyDescent="0.3">
      <c r="A6622" t="s">
        <v>271</v>
      </c>
    </row>
    <row r="6623" spans="1:1" x14ac:dyDescent="0.3">
      <c r="A6623" t="s">
        <v>125</v>
      </c>
    </row>
    <row r="6624" spans="1:1" x14ac:dyDescent="0.3">
      <c r="A6624" t="s">
        <v>126</v>
      </c>
    </row>
    <row r="6625" spans="1:11" x14ac:dyDescent="0.3">
      <c r="A6625" t="s">
        <v>127</v>
      </c>
    </row>
    <row r="6626" spans="1:11" x14ac:dyDescent="0.3">
      <c r="A6626" t="s">
        <v>167</v>
      </c>
    </row>
    <row r="6627" spans="1:11" x14ac:dyDescent="0.3">
      <c r="A6627" t="s">
        <v>300</v>
      </c>
    </row>
    <row r="6628" spans="1:11" x14ac:dyDescent="0.3">
      <c r="A6628" t="s">
        <v>72</v>
      </c>
      <c r="B6628">
        <v>1</v>
      </c>
      <c r="C6628" t="s">
        <v>73</v>
      </c>
      <c r="D6628">
        <v>3.9999999999999998E-6</v>
      </c>
      <c r="E6628" t="s">
        <v>74</v>
      </c>
      <c r="F6628">
        <v>4.0000000000000001E-3</v>
      </c>
      <c r="G6628" t="s">
        <v>75</v>
      </c>
      <c r="H6628">
        <v>4</v>
      </c>
      <c r="I6628" t="s">
        <v>76</v>
      </c>
      <c r="J6628" t="s">
        <v>77</v>
      </c>
    </row>
    <row r="6629" spans="1:11" x14ac:dyDescent="0.3">
      <c r="A6629" t="s">
        <v>72</v>
      </c>
      <c r="B6629">
        <v>1</v>
      </c>
      <c r="C6629" t="s">
        <v>78</v>
      </c>
      <c r="D6629">
        <v>0.11661920000000001</v>
      </c>
      <c r="E6629" t="s">
        <v>74</v>
      </c>
      <c r="F6629">
        <v>116.61920000000001</v>
      </c>
      <c r="G6629" t="s">
        <v>75</v>
      </c>
      <c r="H6629">
        <v>116619.2</v>
      </c>
      <c r="I6629" t="s">
        <v>76</v>
      </c>
      <c r="J6629" t="s">
        <v>77</v>
      </c>
    </row>
    <row r="6630" spans="1:11" x14ac:dyDescent="0.3">
      <c r="A6630" t="s">
        <v>72</v>
      </c>
      <c r="B6630">
        <v>1</v>
      </c>
      <c r="C6630" t="s">
        <v>79</v>
      </c>
      <c r="D6630">
        <v>0.11966</v>
      </c>
      <c r="E6630" t="s">
        <v>74</v>
      </c>
      <c r="F6630">
        <v>119.66</v>
      </c>
      <c r="G6630" t="s">
        <v>75</v>
      </c>
      <c r="H6630">
        <v>119659.99800000001</v>
      </c>
      <c r="I6630" t="s">
        <v>76</v>
      </c>
      <c r="J6630" t="s">
        <v>77</v>
      </c>
    </row>
    <row r="6631" spans="1:11" x14ac:dyDescent="0.3">
      <c r="A6631" t="s">
        <v>72</v>
      </c>
      <c r="B6631">
        <v>1</v>
      </c>
      <c r="C6631" t="s">
        <v>94</v>
      </c>
      <c r="D6631">
        <v>0.1022436</v>
      </c>
      <c r="E6631" t="s">
        <v>74</v>
      </c>
      <c r="F6631">
        <v>102.2436</v>
      </c>
      <c r="G6631" t="s">
        <v>75</v>
      </c>
      <c r="H6631">
        <v>102243.602</v>
      </c>
      <c r="I6631" t="s">
        <v>76</v>
      </c>
      <c r="J6631" t="s">
        <v>77</v>
      </c>
    </row>
    <row r="6632" spans="1:11" x14ac:dyDescent="0.3">
      <c r="A6632" t="s">
        <v>72</v>
      </c>
      <c r="B6632">
        <v>1</v>
      </c>
      <c r="C6632" t="s">
        <v>80</v>
      </c>
      <c r="D6632">
        <v>0.1022444</v>
      </c>
      <c r="E6632" t="s">
        <v>74</v>
      </c>
      <c r="F6632">
        <v>102.2444</v>
      </c>
      <c r="G6632" t="s">
        <v>75</v>
      </c>
      <c r="H6632">
        <v>102244.399</v>
      </c>
      <c r="I6632" t="s">
        <v>76</v>
      </c>
      <c r="J6632" t="s">
        <v>77</v>
      </c>
    </row>
    <row r="6633" spans="1:11" x14ac:dyDescent="0.3">
      <c r="A6633" t="s">
        <v>72</v>
      </c>
      <c r="B6633">
        <v>1</v>
      </c>
      <c r="C6633" t="s">
        <v>81</v>
      </c>
      <c r="D6633">
        <v>0.22190709</v>
      </c>
      <c r="E6633" t="s">
        <v>74</v>
      </c>
      <c r="F6633">
        <v>221.90709000000001</v>
      </c>
      <c r="G6633" t="s">
        <v>75</v>
      </c>
      <c r="H6633">
        <v>221907.09400000001</v>
      </c>
      <c r="I6633" t="s">
        <v>76</v>
      </c>
      <c r="J6633" t="s">
        <v>82</v>
      </c>
      <c r="K6633">
        <v>4.5063903999999999</v>
      </c>
    </row>
    <row r="6634" spans="1:11" x14ac:dyDescent="0.3">
      <c r="A6634" t="s">
        <v>83</v>
      </c>
      <c r="B6634">
        <v>1000</v>
      </c>
      <c r="C6634" t="s">
        <v>79</v>
      </c>
      <c r="D6634">
        <v>4.9974000000000004E-4</v>
      </c>
      <c r="E6634" t="s">
        <v>74</v>
      </c>
      <c r="F6634">
        <v>0.49974000000000002</v>
      </c>
      <c r="G6634" t="s">
        <v>75</v>
      </c>
      <c r="H6634">
        <v>499.74099999999999</v>
      </c>
      <c r="I6634" t="s">
        <v>76</v>
      </c>
      <c r="J6634" t="s">
        <v>77</v>
      </c>
    </row>
    <row r="6635" spans="1:11" x14ac:dyDescent="0.3">
      <c r="A6635" t="s">
        <v>83</v>
      </c>
      <c r="B6635">
        <v>1000</v>
      </c>
      <c r="C6635" t="s">
        <v>94</v>
      </c>
      <c r="D6635">
        <v>1.6705230000000001E-2</v>
      </c>
      <c r="E6635" t="s">
        <v>74</v>
      </c>
      <c r="F6635">
        <v>16.70523</v>
      </c>
      <c r="G6635" t="s">
        <v>75</v>
      </c>
      <c r="H6635">
        <v>16705.228999999999</v>
      </c>
      <c r="I6635" t="s">
        <v>76</v>
      </c>
      <c r="J6635" t="s">
        <v>77</v>
      </c>
    </row>
    <row r="6636" spans="1:11" x14ac:dyDescent="0.3">
      <c r="A6636" t="s">
        <v>83</v>
      </c>
      <c r="B6636">
        <v>1000</v>
      </c>
      <c r="C6636" t="s">
        <v>80</v>
      </c>
      <c r="D6636">
        <v>1.670551E-2</v>
      </c>
      <c r="E6636" t="s">
        <v>74</v>
      </c>
      <c r="F6636">
        <v>16.70551</v>
      </c>
      <c r="G6636" t="s">
        <v>75</v>
      </c>
      <c r="H6636">
        <v>16705.512999999999</v>
      </c>
      <c r="I6636" t="s">
        <v>76</v>
      </c>
      <c r="J6636" t="s">
        <v>77</v>
      </c>
    </row>
    <row r="6637" spans="1:11" x14ac:dyDescent="0.3">
      <c r="A6637" t="s">
        <v>83</v>
      </c>
      <c r="B6637">
        <v>1000</v>
      </c>
      <c r="C6637" t="s">
        <v>81</v>
      </c>
      <c r="D6637">
        <v>1.720586E-2</v>
      </c>
      <c r="E6637" t="s">
        <v>74</v>
      </c>
      <c r="F6637">
        <v>17.205860000000001</v>
      </c>
      <c r="G6637" t="s">
        <v>75</v>
      </c>
      <c r="H6637">
        <v>17205.862000000001</v>
      </c>
      <c r="I6637" t="s">
        <v>76</v>
      </c>
      <c r="J6637" t="s">
        <v>82</v>
      </c>
      <c r="K6637">
        <v>58.119726700000001</v>
      </c>
    </row>
    <row r="6638" spans="1:11" x14ac:dyDescent="0.3">
      <c r="A6638" t="s">
        <v>84</v>
      </c>
      <c r="B6638">
        <v>1001</v>
      </c>
      <c r="C6638" t="s">
        <v>79</v>
      </c>
      <c r="D6638">
        <v>6.1877999999999998E-4</v>
      </c>
      <c r="E6638" t="s">
        <v>74</v>
      </c>
      <c r="F6638">
        <v>0.61878</v>
      </c>
      <c r="G6638" t="s">
        <v>75</v>
      </c>
      <c r="H6638">
        <v>618.78200000000004</v>
      </c>
      <c r="I6638" t="s">
        <v>76</v>
      </c>
      <c r="J6638" t="s">
        <v>77</v>
      </c>
    </row>
    <row r="6639" spans="1:11" x14ac:dyDescent="0.3">
      <c r="A6639" t="s">
        <v>84</v>
      </c>
      <c r="B6639">
        <v>1001</v>
      </c>
      <c r="C6639" t="s">
        <v>94</v>
      </c>
      <c r="D6639">
        <v>1.679069E-2</v>
      </c>
      <c r="E6639" t="s">
        <v>74</v>
      </c>
      <c r="F6639">
        <v>16.790690000000001</v>
      </c>
      <c r="G6639" t="s">
        <v>75</v>
      </c>
      <c r="H6639">
        <v>16790.685000000001</v>
      </c>
      <c r="I6639" t="s">
        <v>76</v>
      </c>
      <c r="J6639" t="s">
        <v>77</v>
      </c>
    </row>
    <row r="6640" spans="1:11" x14ac:dyDescent="0.3">
      <c r="A6640" t="s">
        <v>84</v>
      </c>
      <c r="B6640">
        <v>1001</v>
      </c>
      <c r="C6640" t="s">
        <v>80</v>
      </c>
      <c r="D6640">
        <v>1.6790960000000001E-2</v>
      </c>
      <c r="E6640" t="s">
        <v>74</v>
      </c>
      <c r="F6640">
        <v>16.790959999999998</v>
      </c>
      <c r="G6640" t="s">
        <v>75</v>
      </c>
      <c r="H6640">
        <v>16790.964</v>
      </c>
      <c r="I6640" t="s">
        <v>76</v>
      </c>
      <c r="J6640" t="s">
        <v>77</v>
      </c>
    </row>
    <row r="6641" spans="1:11" x14ac:dyDescent="0.3">
      <c r="A6641" t="s">
        <v>84</v>
      </c>
      <c r="B6641">
        <v>1001</v>
      </c>
      <c r="C6641" t="s">
        <v>81</v>
      </c>
      <c r="D6641">
        <v>1.741036E-2</v>
      </c>
      <c r="E6641" t="s">
        <v>74</v>
      </c>
      <c r="F6641">
        <v>17.410360000000001</v>
      </c>
      <c r="G6641" t="s">
        <v>75</v>
      </c>
      <c r="H6641">
        <v>17410.358</v>
      </c>
      <c r="I6641" t="s">
        <v>76</v>
      </c>
      <c r="J6641" t="s">
        <v>82</v>
      </c>
      <c r="K6641">
        <v>57.437071699999997</v>
      </c>
    </row>
    <row r="6642" spans="1:11" x14ac:dyDescent="0.3">
      <c r="A6642" t="s">
        <v>85</v>
      </c>
      <c r="B6642">
        <v>1001</v>
      </c>
      <c r="C6642" t="s">
        <v>86</v>
      </c>
      <c r="D6642">
        <v>1.741067E-2</v>
      </c>
      <c r="E6642" t="s">
        <v>74</v>
      </c>
      <c r="F6642">
        <v>17.41067</v>
      </c>
      <c r="G6642" t="s">
        <v>75</v>
      </c>
      <c r="H6642">
        <v>17410.669000000002</v>
      </c>
      <c r="I6642" t="s">
        <v>76</v>
      </c>
      <c r="J6642" t="s">
        <v>82</v>
      </c>
      <c r="K6642">
        <v>57.436047000000002</v>
      </c>
    </row>
    <row r="6643" spans="1:11" x14ac:dyDescent="0.3">
      <c r="A6643" t="s">
        <v>169</v>
      </c>
    </row>
    <row r="6644" spans="1:11" x14ac:dyDescent="0.3">
      <c r="A6644" t="s">
        <v>301</v>
      </c>
    </row>
    <row r="6645" spans="1:11" x14ac:dyDescent="0.3">
      <c r="A6645" t="s">
        <v>72</v>
      </c>
      <c r="B6645">
        <v>1</v>
      </c>
      <c r="C6645" t="s">
        <v>73</v>
      </c>
      <c r="D6645">
        <v>3.9999999999999998E-6</v>
      </c>
      <c r="E6645" t="s">
        <v>74</v>
      </c>
      <c r="F6645">
        <v>4.0000000000000001E-3</v>
      </c>
      <c r="G6645" t="s">
        <v>75</v>
      </c>
      <c r="H6645">
        <v>4</v>
      </c>
      <c r="I6645" t="s">
        <v>76</v>
      </c>
      <c r="J6645" t="s">
        <v>77</v>
      </c>
    </row>
    <row r="6646" spans="1:11" x14ac:dyDescent="0.3">
      <c r="A6646" t="s">
        <v>72</v>
      </c>
      <c r="B6646">
        <v>1</v>
      </c>
      <c r="C6646" t="s">
        <v>78</v>
      </c>
      <c r="D6646">
        <v>7.2610000000000003E-4</v>
      </c>
      <c r="E6646" t="s">
        <v>74</v>
      </c>
      <c r="F6646">
        <v>0.72609999999999997</v>
      </c>
      <c r="G6646" t="s">
        <v>75</v>
      </c>
      <c r="H6646">
        <v>726.1</v>
      </c>
      <c r="I6646" t="s">
        <v>76</v>
      </c>
      <c r="J6646" t="s">
        <v>77</v>
      </c>
    </row>
    <row r="6647" spans="1:11" x14ac:dyDescent="0.3">
      <c r="A6647" t="s">
        <v>72</v>
      </c>
      <c r="B6647">
        <v>1</v>
      </c>
      <c r="C6647" t="s">
        <v>79</v>
      </c>
      <c r="D6647">
        <v>7.7425000000000003E-3</v>
      </c>
      <c r="E6647" t="s">
        <v>74</v>
      </c>
      <c r="F6647">
        <v>7.7424999999999997</v>
      </c>
      <c r="G6647" t="s">
        <v>75</v>
      </c>
      <c r="H6647">
        <v>7742.5</v>
      </c>
      <c r="I6647" t="s">
        <v>76</v>
      </c>
      <c r="J6647" t="s">
        <v>77</v>
      </c>
    </row>
    <row r="6648" spans="1:11" x14ac:dyDescent="0.3">
      <c r="A6648" t="s">
        <v>72</v>
      </c>
      <c r="B6648">
        <v>1</v>
      </c>
      <c r="C6648" t="s">
        <v>94</v>
      </c>
      <c r="D6648">
        <v>2.8985400000000001E-2</v>
      </c>
      <c r="E6648" t="s">
        <v>74</v>
      </c>
      <c r="F6648">
        <v>28.985399999999998</v>
      </c>
      <c r="G6648" t="s">
        <v>75</v>
      </c>
      <c r="H6648">
        <v>28985.4</v>
      </c>
      <c r="I6648" t="s">
        <v>76</v>
      </c>
      <c r="J6648" t="s">
        <v>77</v>
      </c>
    </row>
    <row r="6649" spans="1:11" x14ac:dyDescent="0.3">
      <c r="A6649" t="s">
        <v>72</v>
      </c>
      <c r="B6649">
        <v>1</v>
      </c>
      <c r="C6649" t="s">
        <v>80</v>
      </c>
      <c r="D6649">
        <v>2.8986000000000001E-2</v>
      </c>
      <c r="E6649" t="s">
        <v>74</v>
      </c>
      <c r="F6649">
        <v>28.986000000000001</v>
      </c>
      <c r="G6649" t="s">
        <v>75</v>
      </c>
      <c r="H6649">
        <v>28986</v>
      </c>
      <c r="I6649" t="s">
        <v>76</v>
      </c>
      <c r="J6649" t="s">
        <v>77</v>
      </c>
    </row>
    <row r="6650" spans="1:11" x14ac:dyDescent="0.3">
      <c r="A6650" t="s">
        <v>72</v>
      </c>
      <c r="B6650">
        <v>1</v>
      </c>
      <c r="C6650" t="s">
        <v>81</v>
      </c>
      <c r="D6650">
        <v>3.6729600000000001E-2</v>
      </c>
      <c r="E6650" t="s">
        <v>74</v>
      </c>
      <c r="F6650">
        <v>36.729599999999998</v>
      </c>
      <c r="G6650" t="s">
        <v>75</v>
      </c>
      <c r="H6650">
        <v>36729.599999999999</v>
      </c>
      <c r="I6650" t="s">
        <v>76</v>
      </c>
      <c r="J6650" t="s">
        <v>82</v>
      </c>
      <c r="K6650">
        <v>27.225997400000001</v>
      </c>
    </row>
    <row r="6651" spans="1:11" x14ac:dyDescent="0.3">
      <c r="A6651" t="s">
        <v>83</v>
      </c>
      <c r="B6651">
        <v>1000</v>
      </c>
      <c r="C6651" t="s">
        <v>79</v>
      </c>
      <c r="D6651">
        <v>6.7044999999999995E-4</v>
      </c>
      <c r="E6651" t="s">
        <v>74</v>
      </c>
      <c r="F6651">
        <v>0.67044999999999999</v>
      </c>
      <c r="G6651" t="s">
        <v>75</v>
      </c>
      <c r="H6651">
        <v>670.45399999999995</v>
      </c>
      <c r="I6651" t="s">
        <v>76</v>
      </c>
      <c r="J6651" t="s">
        <v>77</v>
      </c>
    </row>
    <row r="6652" spans="1:11" x14ac:dyDescent="0.3">
      <c r="A6652" t="s">
        <v>83</v>
      </c>
      <c r="B6652">
        <v>1000</v>
      </c>
      <c r="C6652" t="s">
        <v>94</v>
      </c>
      <c r="D6652">
        <v>2.6130939999999998E-2</v>
      </c>
      <c r="E6652" t="s">
        <v>74</v>
      </c>
      <c r="F6652">
        <v>26.130939999999999</v>
      </c>
      <c r="G6652" t="s">
        <v>75</v>
      </c>
      <c r="H6652">
        <v>26130.936000000002</v>
      </c>
      <c r="I6652" t="s">
        <v>76</v>
      </c>
      <c r="J6652" t="s">
        <v>77</v>
      </c>
    </row>
    <row r="6653" spans="1:11" x14ac:dyDescent="0.3">
      <c r="A6653" t="s">
        <v>83</v>
      </c>
      <c r="B6653">
        <v>1000</v>
      </c>
      <c r="C6653" t="s">
        <v>80</v>
      </c>
      <c r="D6653">
        <v>2.638544E-2</v>
      </c>
      <c r="E6653" t="s">
        <v>74</v>
      </c>
      <c r="F6653">
        <v>26.385439999999999</v>
      </c>
      <c r="G6653" t="s">
        <v>75</v>
      </c>
      <c r="H6653">
        <v>26385.440999999999</v>
      </c>
      <c r="I6653" t="s">
        <v>76</v>
      </c>
      <c r="J6653" t="s">
        <v>77</v>
      </c>
    </row>
    <row r="6654" spans="1:11" x14ac:dyDescent="0.3">
      <c r="A6654" t="s">
        <v>83</v>
      </c>
      <c r="B6654">
        <v>1000</v>
      </c>
      <c r="C6654" t="s">
        <v>81</v>
      </c>
      <c r="D6654">
        <v>2.705699E-2</v>
      </c>
      <c r="E6654" t="s">
        <v>74</v>
      </c>
      <c r="F6654">
        <v>27.056989999999999</v>
      </c>
      <c r="G6654" t="s">
        <v>75</v>
      </c>
      <c r="H6654">
        <v>27056.992999999999</v>
      </c>
      <c r="I6654" t="s">
        <v>76</v>
      </c>
      <c r="J6654" t="s">
        <v>82</v>
      </c>
      <c r="K6654">
        <v>36.959021399999997</v>
      </c>
    </row>
    <row r="6655" spans="1:11" x14ac:dyDescent="0.3">
      <c r="A6655" t="s">
        <v>84</v>
      </c>
      <c r="B6655">
        <v>1001</v>
      </c>
      <c r="C6655" t="s">
        <v>79</v>
      </c>
      <c r="D6655">
        <v>6.7752000000000003E-4</v>
      </c>
      <c r="E6655" t="s">
        <v>74</v>
      </c>
      <c r="F6655">
        <v>0.67752000000000001</v>
      </c>
      <c r="G6655" t="s">
        <v>75</v>
      </c>
      <c r="H6655">
        <v>677.51900000000001</v>
      </c>
      <c r="I6655" t="s">
        <v>76</v>
      </c>
      <c r="J6655" t="s">
        <v>77</v>
      </c>
    </row>
    <row r="6656" spans="1:11" x14ac:dyDescent="0.3">
      <c r="A6656" t="s">
        <v>84</v>
      </c>
      <c r="B6656">
        <v>1001</v>
      </c>
      <c r="C6656" t="s">
        <v>94</v>
      </c>
      <c r="D6656">
        <v>2.613379E-2</v>
      </c>
      <c r="E6656" t="s">
        <v>74</v>
      </c>
      <c r="F6656">
        <v>26.133790000000001</v>
      </c>
      <c r="G6656" t="s">
        <v>75</v>
      </c>
      <c r="H6656">
        <v>26133.79</v>
      </c>
      <c r="I6656" t="s">
        <v>76</v>
      </c>
      <c r="J6656" t="s">
        <v>77</v>
      </c>
    </row>
    <row r="6657" spans="1:11" x14ac:dyDescent="0.3">
      <c r="A6657" t="s">
        <v>84</v>
      </c>
      <c r="B6657">
        <v>1001</v>
      </c>
      <c r="C6657" t="s">
        <v>80</v>
      </c>
      <c r="D6657">
        <v>2.6388040000000001E-2</v>
      </c>
      <c r="E6657" t="s">
        <v>74</v>
      </c>
      <c r="F6657">
        <v>26.38804</v>
      </c>
      <c r="G6657" t="s">
        <v>75</v>
      </c>
      <c r="H6657">
        <v>26388.039000000001</v>
      </c>
      <c r="I6657" t="s">
        <v>76</v>
      </c>
      <c r="J6657" t="s">
        <v>77</v>
      </c>
    </row>
    <row r="6658" spans="1:11" x14ac:dyDescent="0.3">
      <c r="A6658" t="s">
        <v>84</v>
      </c>
      <c r="B6658">
        <v>1001</v>
      </c>
      <c r="C6658" t="s">
        <v>81</v>
      </c>
      <c r="D6658">
        <v>2.7066650000000001E-2</v>
      </c>
      <c r="E6658" t="s">
        <v>74</v>
      </c>
      <c r="F6658">
        <v>27.066649999999999</v>
      </c>
      <c r="G6658" t="s">
        <v>75</v>
      </c>
      <c r="H6658">
        <v>27066.654999999999</v>
      </c>
      <c r="I6658" t="s">
        <v>76</v>
      </c>
      <c r="J6658" t="s">
        <v>82</v>
      </c>
      <c r="K6658">
        <v>36.945829099999997</v>
      </c>
    </row>
    <row r="6659" spans="1:11" x14ac:dyDescent="0.3">
      <c r="A6659" t="s">
        <v>85</v>
      </c>
      <c r="B6659">
        <v>1001</v>
      </c>
      <c r="C6659" t="s">
        <v>86</v>
      </c>
      <c r="D6659">
        <v>2.7067580000000001E-2</v>
      </c>
      <c r="E6659" t="s">
        <v>74</v>
      </c>
      <c r="F6659">
        <v>27.06758</v>
      </c>
      <c r="G6659" t="s">
        <v>75</v>
      </c>
      <c r="H6659">
        <v>27067.575000000001</v>
      </c>
      <c r="I6659" t="s">
        <v>76</v>
      </c>
      <c r="J6659" t="s">
        <v>82</v>
      </c>
      <c r="K6659">
        <v>36.944572899999997</v>
      </c>
    </row>
    <row r="6660" spans="1:11" x14ac:dyDescent="0.3">
      <c r="A6660" t="s">
        <v>115</v>
      </c>
    </row>
    <row r="6661" spans="1:11" x14ac:dyDescent="0.3">
      <c r="A6661" t="s">
        <v>127</v>
      </c>
    </row>
    <row r="6662" spans="1:11" x14ac:dyDescent="0.3">
      <c r="A6662" t="s">
        <v>87</v>
      </c>
    </row>
    <row r="6663" spans="1:11" x14ac:dyDescent="0.3">
      <c r="A6663" t="s">
        <v>302</v>
      </c>
    </row>
    <row r="6664" spans="1:11" x14ac:dyDescent="0.3">
      <c r="A6664" t="s">
        <v>72</v>
      </c>
      <c r="B6664">
        <v>1</v>
      </c>
      <c r="C6664" t="s">
        <v>81</v>
      </c>
      <c r="D6664">
        <v>0.22190709</v>
      </c>
      <c r="E6664" t="s">
        <v>74</v>
      </c>
      <c r="F6664">
        <v>221.90709000000001</v>
      </c>
      <c r="G6664" t="s">
        <v>75</v>
      </c>
      <c r="H6664">
        <v>221907.09400000001</v>
      </c>
      <c r="I6664" t="s">
        <v>76</v>
      </c>
      <c r="J6664" t="s">
        <v>82</v>
      </c>
      <c r="K6664">
        <v>4.5063903999999999</v>
      </c>
    </row>
    <row r="6665" spans="1:11" x14ac:dyDescent="0.3">
      <c r="A6665" t="s">
        <v>83</v>
      </c>
      <c r="B6665">
        <v>1000</v>
      </c>
      <c r="C6665" t="s">
        <v>81</v>
      </c>
      <c r="D6665">
        <v>1.720586E-2</v>
      </c>
      <c r="E6665" t="s">
        <v>74</v>
      </c>
      <c r="F6665">
        <v>17.205860000000001</v>
      </c>
      <c r="G6665" t="s">
        <v>75</v>
      </c>
      <c r="H6665">
        <v>17205.862000000001</v>
      </c>
      <c r="I6665" t="s">
        <v>76</v>
      </c>
      <c r="J6665" t="s">
        <v>82</v>
      </c>
      <c r="K6665">
        <v>58.119726700000001</v>
      </c>
    </row>
    <row r="6666" spans="1:11" x14ac:dyDescent="0.3">
      <c r="A6666" t="s">
        <v>85</v>
      </c>
      <c r="B6666">
        <v>1001</v>
      </c>
      <c r="C6666" t="s">
        <v>86</v>
      </c>
      <c r="D6666">
        <v>1.741067E-2</v>
      </c>
      <c r="E6666" t="s">
        <v>74</v>
      </c>
      <c r="F6666">
        <v>17.41067</v>
      </c>
      <c r="G6666" t="s">
        <v>75</v>
      </c>
      <c r="H6666">
        <v>17410.669000000002</v>
      </c>
      <c r="I6666" t="s">
        <v>76</v>
      </c>
      <c r="J6666" t="s">
        <v>82</v>
      </c>
      <c r="K6666">
        <v>57.436047000000002</v>
      </c>
    </row>
    <row r="6668" spans="1:11" x14ac:dyDescent="0.3">
      <c r="A6668" t="s">
        <v>303</v>
      </c>
    </row>
    <row r="6669" spans="1:11" x14ac:dyDescent="0.3">
      <c r="A6669" t="s">
        <v>72</v>
      </c>
      <c r="B6669">
        <v>1</v>
      </c>
      <c r="C6669" t="s">
        <v>81</v>
      </c>
      <c r="D6669">
        <v>3.6729600000000001E-2</v>
      </c>
      <c r="E6669" t="s">
        <v>74</v>
      </c>
      <c r="F6669">
        <v>36.729599999999998</v>
      </c>
      <c r="G6669" t="s">
        <v>75</v>
      </c>
      <c r="H6669">
        <v>36729.599999999999</v>
      </c>
      <c r="I6669" t="s">
        <v>76</v>
      </c>
      <c r="J6669" t="s">
        <v>82</v>
      </c>
      <c r="K6669">
        <v>27.225997400000001</v>
      </c>
    </row>
    <row r="6670" spans="1:11" x14ac:dyDescent="0.3">
      <c r="A6670" t="s">
        <v>83</v>
      </c>
      <c r="B6670">
        <v>1000</v>
      </c>
      <c r="C6670" t="s">
        <v>81</v>
      </c>
      <c r="D6670">
        <v>2.705699E-2</v>
      </c>
      <c r="E6670" t="s">
        <v>74</v>
      </c>
      <c r="F6670">
        <v>27.056989999999999</v>
      </c>
      <c r="G6670" t="s">
        <v>75</v>
      </c>
      <c r="H6670">
        <v>27056.992999999999</v>
      </c>
      <c r="I6670" t="s">
        <v>76</v>
      </c>
      <c r="J6670" t="s">
        <v>82</v>
      </c>
      <c r="K6670">
        <v>36.959021399999997</v>
      </c>
    </row>
    <row r="6671" spans="1:11" x14ac:dyDescent="0.3">
      <c r="A6671" t="s">
        <v>85</v>
      </c>
      <c r="B6671">
        <v>1001</v>
      </c>
      <c r="C6671" t="s">
        <v>86</v>
      </c>
      <c r="D6671">
        <v>2.7067580000000001E-2</v>
      </c>
      <c r="E6671" t="s">
        <v>74</v>
      </c>
      <c r="F6671">
        <v>27.06758</v>
      </c>
      <c r="G6671" t="s">
        <v>75</v>
      </c>
      <c r="H6671">
        <v>27067.575000000001</v>
      </c>
      <c r="I6671" t="s">
        <v>76</v>
      </c>
      <c r="J6671" t="s">
        <v>82</v>
      </c>
      <c r="K6671">
        <v>36.944572899999997</v>
      </c>
    </row>
    <row r="6673" spans="1:1" x14ac:dyDescent="0.3">
      <c r="A6673" t="s">
        <v>66</v>
      </c>
    </row>
    <row r="6675" spans="1:1" x14ac:dyDescent="0.3">
      <c r="A6675" t="s">
        <v>370</v>
      </c>
    </row>
    <row r="6676" spans="1:1" x14ac:dyDescent="0.3">
      <c r="A6676" t="s">
        <v>68</v>
      </c>
    </row>
    <row r="6677" spans="1:1" x14ac:dyDescent="0.3">
      <c r="A6677" t="s">
        <v>69</v>
      </c>
    </row>
    <row r="6678" spans="1:1" x14ac:dyDescent="0.3">
      <c r="A6678" t="s">
        <v>70</v>
      </c>
    </row>
    <row r="6679" spans="1:1" x14ac:dyDescent="0.3">
      <c r="A6679" t="s">
        <v>115</v>
      </c>
    </row>
    <row r="6680" spans="1:1" x14ac:dyDescent="0.3">
      <c r="A6680" t="s">
        <v>266</v>
      </c>
    </row>
    <row r="6681" spans="1:1" x14ac:dyDescent="0.3">
      <c r="A6681" t="s">
        <v>267</v>
      </c>
    </row>
    <row r="6682" spans="1:1" x14ac:dyDescent="0.3">
      <c r="A6682" t="s">
        <v>118</v>
      </c>
    </row>
    <row r="6683" spans="1:1" x14ac:dyDescent="0.3">
      <c r="A6683" t="s">
        <v>119</v>
      </c>
    </row>
    <row r="6684" spans="1:1" x14ac:dyDescent="0.3">
      <c r="A6684" t="s">
        <v>268</v>
      </c>
    </row>
    <row r="6685" spans="1:1" x14ac:dyDescent="0.3">
      <c r="A6685" t="s">
        <v>269</v>
      </c>
    </row>
    <row r="6686" spans="1:1" x14ac:dyDescent="0.3">
      <c r="A6686" t="s">
        <v>122</v>
      </c>
    </row>
    <row r="6687" spans="1:1" x14ac:dyDescent="0.3">
      <c r="A6687" t="s">
        <v>270</v>
      </c>
    </row>
    <row r="6688" spans="1:1" x14ac:dyDescent="0.3">
      <c r="A6688" t="s">
        <v>271</v>
      </c>
    </row>
    <row r="6689" spans="1:11" x14ac:dyDescent="0.3">
      <c r="A6689" t="s">
        <v>125</v>
      </c>
    </row>
    <row r="6690" spans="1:11" x14ac:dyDescent="0.3">
      <c r="A6690" t="s">
        <v>126</v>
      </c>
    </row>
    <row r="6691" spans="1:11" x14ac:dyDescent="0.3">
      <c r="A6691" t="s">
        <v>127</v>
      </c>
    </row>
    <row r="6692" spans="1:11" x14ac:dyDescent="0.3">
      <c r="A6692" t="s">
        <v>174</v>
      </c>
    </row>
    <row r="6693" spans="1:11" x14ac:dyDescent="0.3">
      <c r="A6693" t="s">
        <v>305</v>
      </c>
    </row>
    <row r="6694" spans="1:11" x14ac:dyDescent="0.3">
      <c r="A6694" t="s">
        <v>72</v>
      </c>
      <c r="B6694">
        <v>1</v>
      </c>
      <c r="C6694" t="s">
        <v>73</v>
      </c>
      <c r="D6694">
        <v>3.9999999999999998E-6</v>
      </c>
      <c r="E6694" t="s">
        <v>74</v>
      </c>
      <c r="F6694">
        <v>4.0000000000000001E-3</v>
      </c>
      <c r="G6694" t="s">
        <v>75</v>
      </c>
      <c r="H6694">
        <v>4</v>
      </c>
      <c r="I6694" t="s">
        <v>76</v>
      </c>
      <c r="J6694" t="s">
        <v>77</v>
      </c>
    </row>
    <row r="6695" spans="1:11" x14ac:dyDescent="0.3">
      <c r="A6695" t="s">
        <v>72</v>
      </c>
      <c r="B6695">
        <v>1</v>
      </c>
      <c r="C6695" t="s">
        <v>78</v>
      </c>
      <c r="D6695">
        <v>0.1173106</v>
      </c>
      <c r="E6695" t="s">
        <v>74</v>
      </c>
      <c r="F6695">
        <v>117.31059999999999</v>
      </c>
      <c r="G6695" t="s">
        <v>75</v>
      </c>
      <c r="H6695">
        <v>117310.598</v>
      </c>
      <c r="I6695" t="s">
        <v>76</v>
      </c>
      <c r="J6695" t="s">
        <v>77</v>
      </c>
    </row>
    <row r="6696" spans="1:11" x14ac:dyDescent="0.3">
      <c r="A6696" t="s">
        <v>72</v>
      </c>
      <c r="B6696">
        <v>1</v>
      </c>
      <c r="C6696" t="s">
        <v>91</v>
      </c>
      <c r="D6696">
        <v>0.11060680000000001</v>
      </c>
      <c r="E6696" t="s">
        <v>74</v>
      </c>
      <c r="F6696">
        <v>110.60680000000001</v>
      </c>
      <c r="G6696" t="s">
        <v>75</v>
      </c>
      <c r="H6696">
        <v>110606.79700000001</v>
      </c>
      <c r="I6696" t="s">
        <v>76</v>
      </c>
      <c r="J6696" t="s">
        <v>77</v>
      </c>
    </row>
    <row r="6697" spans="1:11" x14ac:dyDescent="0.3">
      <c r="A6697" t="s">
        <v>72</v>
      </c>
      <c r="B6697">
        <v>1</v>
      </c>
      <c r="C6697" t="s">
        <v>92</v>
      </c>
      <c r="D6697">
        <v>6.5419999999999996E-4</v>
      </c>
      <c r="E6697" t="s">
        <v>74</v>
      </c>
      <c r="F6697">
        <v>0.6542</v>
      </c>
      <c r="G6697" t="s">
        <v>75</v>
      </c>
      <c r="H6697">
        <v>654.20000000000005</v>
      </c>
      <c r="I6697" t="s">
        <v>76</v>
      </c>
      <c r="J6697" t="s">
        <v>77</v>
      </c>
    </row>
    <row r="6698" spans="1:11" x14ac:dyDescent="0.3">
      <c r="A6698" t="s">
        <v>72</v>
      </c>
      <c r="B6698">
        <v>1</v>
      </c>
      <c r="C6698" t="s">
        <v>93</v>
      </c>
      <c r="D6698">
        <v>4.5239999999999999E-4</v>
      </c>
      <c r="E6698" t="s">
        <v>74</v>
      </c>
      <c r="F6698">
        <v>0.45240000000000002</v>
      </c>
      <c r="G6698" t="s">
        <v>75</v>
      </c>
      <c r="H6698">
        <v>452.4</v>
      </c>
      <c r="I6698" t="s">
        <v>76</v>
      </c>
      <c r="J6698" t="s">
        <v>77</v>
      </c>
    </row>
    <row r="6699" spans="1:11" x14ac:dyDescent="0.3">
      <c r="A6699" t="s">
        <v>72</v>
      </c>
      <c r="B6699">
        <v>1</v>
      </c>
      <c r="C6699" t="s">
        <v>79</v>
      </c>
      <c r="D6699">
        <v>0.1117142</v>
      </c>
      <c r="E6699" t="s">
        <v>74</v>
      </c>
      <c r="F6699">
        <v>111.71420000000001</v>
      </c>
      <c r="G6699" t="s">
        <v>75</v>
      </c>
      <c r="H6699">
        <v>111714.19899999999</v>
      </c>
      <c r="I6699" t="s">
        <v>76</v>
      </c>
      <c r="J6699" t="s">
        <v>77</v>
      </c>
    </row>
    <row r="6700" spans="1:11" x14ac:dyDescent="0.3">
      <c r="A6700" t="s">
        <v>72</v>
      </c>
      <c r="B6700">
        <v>1</v>
      </c>
      <c r="C6700" t="s">
        <v>94</v>
      </c>
      <c r="D6700">
        <v>9.5823999999999996E-3</v>
      </c>
      <c r="E6700" t="s">
        <v>74</v>
      </c>
      <c r="F6700">
        <v>9.5823999999999998</v>
      </c>
      <c r="G6700" t="s">
        <v>75</v>
      </c>
      <c r="H6700">
        <v>9582.4</v>
      </c>
      <c r="I6700" t="s">
        <v>76</v>
      </c>
      <c r="J6700" t="s">
        <v>77</v>
      </c>
    </row>
    <row r="6701" spans="1:11" x14ac:dyDescent="0.3">
      <c r="A6701" t="s">
        <v>72</v>
      </c>
      <c r="B6701">
        <v>1</v>
      </c>
      <c r="C6701" t="s">
        <v>80</v>
      </c>
      <c r="D6701">
        <v>9.5831000000000006E-3</v>
      </c>
      <c r="E6701" t="s">
        <v>74</v>
      </c>
      <c r="F6701">
        <v>9.5831</v>
      </c>
      <c r="G6701" t="s">
        <v>75</v>
      </c>
      <c r="H6701">
        <v>9583.1</v>
      </c>
      <c r="I6701" t="s">
        <v>76</v>
      </c>
      <c r="J6701" t="s">
        <v>77</v>
      </c>
    </row>
    <row r="6702" spans="1:11" x14ac:dyDescent="0.3">
      <c r="A6702" t="s">
        <v>72</v>
      </c>
      <c r="B6702">
        <v>1</v>
      </c>
      <c r="C6702" t="s">
        <v>81</v>
      </c>
      <c r="D6702">
        <v>0.1212985</v>
      </c>
      <c r="E6702" t="s">
        <v>74</v>
      </c>
      <c r="F6702">
        <v>121.2985</v>
      </c>
      <c r="G6702" t="s">
        <v>75</v>
      </c>
      <c r="H6702">
        <v>121298.499</v>
      </c>
      <c r="I6702" t="s">
        <v>76</v>
      </c>
      <c r="J6702" t="s">
        <v>82</v>
      </c>
      <c r="K6702">
        <v>8.2441250999999998</v>
      </c>
    </row>
    <row r="6703" spans="1:11" x14ac:dyDescent="0.3">
      <c r="A6703" t="s">
        <v>83</v>
      </c>
      <c r="B6703">
        <v>1000</v>
      </c>
      <c r="C6703" t="s">
        <v>91</v>
      </c>
      <c r="D6703">
        <v>6.7312999999999997E-4</v>
      </c>
      <c r="E6703" t="s">
        <v>74</v>
      </c>
      <c r="F6703">
        <v>0.67313000000000001</v>
      </c>
      <c r="G6703" t="s">
        <v>75</v>
      </c>
      <c r="H6703">
        <v>673.13400000000001</v>
      </c>
      <c r="I6703" t="s">
        <v>76</v>
      </c>
      <c r="J6703" t="s">
        <v>77</v>
      </c>
    </row>
    <row r="6704" spans="1:11" x14ac:dyDescent="0.3">
      <c r="A6704" t="s">
        <v>83</v>
      </c>
      <c r="B6704">
        <v>1000</v>
      </c>
      <c r="C6704" t="s">
        <v>92</v>
      </c>
      <c r="D6704">
        <v>4.8658000000000002E-4</v>
      </c>
      <c r="E6704" t="s">
        <v>74</v>
      </c>
      <c r="F6704">
        <v>0.48658000000000001</v>
      </c>
      <c r="G6704" t="s">
        <v>75</v>
      </c>
      <c r="H6704">
        <v>486.58</v>
      </c>
      <c r="I6704" t="s">
        <v>76</v>
      </c>
      <c r="J6704" t="s">
        <v>77</v>
      </c>
    </row>
    <row r="6705" spans="1:11" x14ac:dyDescent="0.3">
      <c r="A6705" t="s">
        <v>83</v>
      </c>
      <c r="B6705">
        <v>1000</v>
      </c>
      <c r="C6705" t="s">
        <v>93</v>
      </c>
      <c r="D6705">
        <v>3.9784E-4</v>
      </c>
      <c r="E6705" t="s">
        <v>74</v>
      </c>
      <c r="F6705">
        <v>0.39784000000000003</v>
      </c>
      <c r="G6705" t="s">
        <v>75</v>
      </c>
      <c r="H6705">
        <v>397.84500000000003</v>
      </c>
      <c r="I6705" t="s">
        <v>76</v>
      </c>
      <c r="J6705" t="s">
        <v>77</v>
      </c>
    </row>
    <row r="6706" spans="1:11" x14ac:dyDescent="0.3">
      <c r="A6706" t="s">
        <v>83</v>
      </c>
      <c r="B6706">
        <v>1000</v>
      </c>
      <c r="C6706" t="s">
        <v>79</v>
      </c>
      <c r="D6706">
        <v>1.55849E-3</v>
      </c>
      <c r="E6706" t="s">
        <v>74</v>
      </c>
      <c r="F6706">
        <v>1.5584899999999999</v>
      </c>
      <c r="G6706" t="s">
        <v>75</v>
      </c>
      <c r="H6706">
        <v>1558.492</v>
      </c>
      <c r="I6706" t="s">
        <v>76</v>
      </c>
      <c r="J6706" t="s">
        <v>77</v>
      </c>
    </row>
    <row r="6707" spans="1:11" x14ac:dyDescent="0.3">
      <c r="A6707" t="s">
        <v>83</v>
      </c>
      <c r="B6707">
        <v>1000</v>
      </c>
      <c r="C6707" t="s">
        <v>94</v>
      </c>
      <c r="D6707">
        <v>2.71331E-3</v>
      </c>
      <c r="E6707" t="s">
        <v>74</v>
      </c>
      <c r="F6707">
        <v>2.7133099999999999</v>
      </c>
      <c r="G6707" t="s">
        <v>75</v>
      </c>
      <c r="H6707">
        <v>2713.3139999999999</v>
      </c>
      <c r="I6707" t="s">
        <v>76</v>
      </c>
      <c r="J6707" t="s">
        <v>77</v>
      </c>
    </row>
    <row r="6708" spans="1:11" x14ac:dyDescent="0.3">
      <c r="A6708" t="s">
        <v>83</v>
      </c>
      <c r="B6708">
        <v>1000</v>
      </c>
      <c r="C6708" t="s">
        <v>80</v>
      </c>
      <c r="D6708">
        <v>2.86477E-3</v>
      </c>
      <c r="E6708" t="s">
        <v>74</v>
      </c>
      <c r="F6708">
        <v>2.86477</v>
      </c>
      <c r="G6708" t="s">
        <v>75</v>
      </c>
      <c r="H6708">
        <v>2864.7730000000001</v>
      </c>
      <c r="I6708" t="s">
        <v>76</v>
      </c>
      <c r="J6708" t="s">
        <v>77</v>
      </c>
    </row>
    <row r="6709" spans="1:11" x14ac:dyDescent="0.3">
      <c r="A6709" t="s">
        <v>83</v>
      </c>
      <c r="B6709">
        <v>1000</v>
      </c>
      <c r="C6709" t="s">
        <v>81</v>
      </c>
      <c r="D6709">
        <v>4.4248400000000002E-3</v>
      </c>
      <c r="E6709" t="s">
        <v>74</v>
      </c>
      <c r="F6709">
        <v>4.4248399999999997</v>
      </c>
      <c r="G6709" t="s">
        <v>75</v>
      </c>
      <c r="H6709">
        <v>4424.8389999999999</v>
      </c>
      <c r="I6709" t="s">
        <v>76</v>
      </c>
      <c r="J6709" t="s">
        <v>82</v>
      </c>
      <c r="K6709">
        <v>225.99689789999999</v>
      </c>
    </row>
    <row r="6710" spans="1:11" x14ac:dyDescent="0.3">
      <c r="A6710" t="s">
        <v>84</v>
      </c>
      <c r="B6710">
        <v>1001</v>
      </c>
      <c r="C6710" t="s">
        <v>91</v>
      </c>
      <c r="D6710">
        <v>7.8295999999999997E-4</v>
      </c>
      <c r="E6710" t="s">
        <v>74</v>
      </c>
      <c r="F6710">
        <v>0.78295999999999999</v>
      </c>
      <c r="G6710" t="s">
        <v>75</v>
      </c>
      <c r="H6710">
        <v>782.95799999999997</v>
      </c>
      <c r="I6710" t="s">
        <v>76</v>
      </c>
      <c r="J6710" t="s">
        <v>77</v>
      </c>
    </row>
    <row r="6711" spans="1:11" x14ac:dyDescent="0.3">
      <c r="A6711" t="s">
        <v>84</v>
      </c>
      <c r="B6711">
        <v>1001</v>
      </c>
      <c r="C6711" t="s">
        <v>92</v>
      </c>
      <c r="D6711">
        <v>4.8674999999999999E-4</v>
      </c>
      <c r="E6711" t="s">
        <v>74</v>
      </c>
      <c r="F6711">
        <v>0.48675000000000002</v>
      </c>
      <c r="G6711" t="s">
        <v>75</v>
      </c>
      <c r="H6711">
        <v>486.74700000000001</v>
      </c>
      <c r="I6711" t="s">
        <v>76</v>
      </c>
      <c r="J6711" t="s">
        <v>77</v>
      </c>
    </row>
    <row r="6712" spans="1:11" x14ac:dyDescent="0.3">
      <c r="A6712" t="s">
        <v>84</v>
      </c>
      <c r="B6712">
        <v>1001</v>
      </c>
      <c r="C6712" t="s">
        <v>93</v>
      </c>
      <c r="D6712">
        <v>3.9790000000000002E-4</v>
      </c>
      <c r="E6712" t="s">
        <v>74</v>
      </c>
      <c r="F6712">
        <v>0.39789999999999998</v>
      </c>
      <c r="G6712" t="s">
        <v>75</v>
      </c>
      <c r="H6712">
        <v>397.899</v>
      </c>
      <c r="I6712" t="s">
        <v>76</v>
      </c>
      <c r="J6712" t="s">
        <v>77</v>
      </c>
    </row>
    <row r="6713" spans="1:11" x14ac:dyDescent="0.3">
      <c r="A6713" t="s">
        <v>84</v>
      </c>
      <c r="B6713">
        <v>1001</v>
      </c>
      <c r="C6713" t="s">
        <v>79</v>
      </c>
      <c r="D6713">
        <v>1.66854E-3</v>
      </c>
      <c r="E6713" t="s">
        <v>74</v>
      </c>
      <c r="F6713">
        <v>1.6685399999999999</v>
      </c>
      <c r="G6713" t="s">
        <v>75</v>
      </c>
      <c r="H6713">
        <v>1668.539</v>
      </c>
      <c r="I6713" t="s">
        <v>76</v>
      </c>
      <c r="J6713" t="s">
        <v>77</v>
      </c>
    </row>
    <row r="6714" spans="1:11" x14ac:dyDescent="0.3">
      <c r="A6714" t="s">
        <v>84</v>
      </c>
      <c r="B6714">
        <v>1001</v>
      </c>
      <c r="C6714" t="s">
        <v>94</v>
      </c>
      <c r="D6714">
        <v>2.72018E-3</v>
      </c>
      <c r="E6714" t="s">
        <v>74</v>
      </c>
      <c r="F6714">
        <v>2.72018</v>
      </c>
      <c r="G6714" t="s">
        <v>75</v>
      </c>
      <c r="H6714">
        <v>2720.1759999999999</v>
      </c>
      <c r="I6714" t="s">
        <v>76</v>
      </c>
      <c r="J6714" t="s">
        <v>77</v>
      </c>
    </row>
    <row r="6715" spans="1:11" x14ac:dyDescent="0.3">
      <c r="A6715" t="s">
        <v>84</v>
      </c>
      <c r="B6715">
        <v>1001</v>
      </c>
      <c r="C6715" t="s">
        <v>80</v>
      </c>
      <c r="D6715">
        <v>2.87149E-3</v>
      </c>
      <c r="E6715" t="s">
        <v>74</v>
      </c>
      <c r="F6715">
        <v>2.8714900000000001</v>
      </c>
      <c r="G6715" t="s">
        <v>75</v>
      </c>
      <c r="H6715">
        <v>2871.4850000000001</v>
      </c>
      <c r="I6715" t="s">
        <v>76</v>
      </c>
      <c r="J6715" t="s">
        <v>77</v>
      </c>
    </row>
    <row r="6716" spans="1:11" x14ac:dyDescent="0.3">
      <c r="A6716" t="s">
        <v>84</v>
      </c>
      <c r="B6716">
        <v>1001</v>
      </c>
      <c r="C6716" t="s">
        <v>81</v>
      </c>
      <c r="D6716">
        <v>4.5415999999999998E-3</v>
      </c>
      <c r="E6716" t="s">
        <v>74</v>
      </c>
      <c r="F6716">
        <v>4.5415999999999999</v>
      </c>
      <c r="G6716" t="s">
        <v>75</v>
      </c>
      <c r="H6716">
        <v>4541.5959999999995</v>
      </c>
      <c r="I6716" t="s">
        <v>76</v>
      </c>
      <c r="J6716" t="s">
        <v>82</v>
      </c>
      <c r="K6716">
        <v>220.18690190000001</v>
      </c>
    </row>
    <row r="6717" spans="1:11" x14ac:dyDescent="0.3">
      <c r="A6717" t="s">
        <v>85</v>
      </c>
      <c r="B6717">
        <v>1001</v>
      </c>
      <c r="C6717" t="s">
        <v>86</v>
      </c>
      <c r="D6717">
        <v>4.5418899999999998E-3</v>
      </c>
      <c r="E6717" t="s">
        <v>74</v>
      </c>
      <c r="F6717">
        <v>4.5418900000000004</v>
      </c>
      <c r="G6717" t="s">
        <v>75</v>
      </c>
      <c r="H6717">
        <v>4541.8940000000002</v>
      </c>
      <c r="I6717" t="s">
        <v>76</v>
      </c>
      <c r="J6717" t="s">
        <v>82</v>
      </c>
      <c r="K6717">
        <v>220.17244539999999</v>
      </c>
    </row>
    <row r="6718" spans="1:11" x14ac:dyDescent="0.3">
      <c r="A6718" t="s">
        <v>115</v>
      </c>
    </row>
    <row r="6719" spans="1:11" x14ac:dyDescent="0.3">
      <c r="A6719" t="s">
        <v>127</v>
      </c>
    </row>
    <row r="6720" spans="1:11" x14ac:dyDescent="0.3">
      <c r="A6720" t="s">
        <v>87</v>
      </c>
    </row>
    <row r="6721" spans="1:11" x14ac:dyDescent="0.3">
      <c r="A6721" t="s">
        <v>306</v>
      </c>
    </row>
    <row r="6722" spans="1:11" x14ac:dyDescent="0.3">
      <c r="A6722" t="s">
        <v>72</v>
      </c>
      <c r="B6722">
        <v>1</v>
      </c>
      <c r="C6722" t="s">
        <v>81</v>
      </c>
      <c r="D6722">
        <v>0.1212985</v>
      </c>
      <c r="E6722" t="s">
        <v>74</v>
      </c>
      <c r="F6722">
        <v>121.2985</v>
      </c>
      <c r="G6722" t="s">
        <v>75</v>
      </c>
      <c r="H6722">
        <v>121298.499</v>
      </c>
      <c r="I6722" t="s">
        <v>76</v>
      </c>
      <c r="J6722" t="s">
        <v>82</v>
      </c>
      <c r="K6722">
        <v>8.2441250999999998</v>
      </c>
    </row>
    <row r="6723" spans="1:11" x14ac:dyDescent="0.3">
      <c r="A6723" t="s">
        <v>83</v>
      </c>
      <c r="B6723">
        <v>1000</v>
      </c>
      <c r="C6723" t="s">
        <v>81</v>
      </c>
      <c r="D6723">
        <v>4.4248400000000002E-3</v>
      </c>
      <c r="E6723" t="s">
        <v>74</v>
      </c>
      <c r="F6723">
        <v>4.4248399999999997</v>
      </c>
      <c r="G6723" t="s">
        <v>75</v>
      </c>
      <c r="H6723">
        <v>4424.8389999999999</v>
      </c>
      <c r="I6723" t="s">
        <v>76</v>
      </c>
      <c r="J6723" t="s">
        <v>82</v>
      </c>
      <c r="K6723">
        <v>225.99689789999999</v>
      </c>
    </row>
    <row r="6724" spans="1:11" x14ac:dyDescent="0.3">
      <c r="A6724" t="s">
        <v>85</v>
      </c>
      <c r="B6724">
        <v>1001</v>
      </c>
      <c r="C6724" t="s">
        <v>86</v>
      </c>
      <c r="D6724">
        <v>4.5418899999999998E-3</v>
      </c>
      <c r="E6724" t="s">
        <v>74</v>
      </c>
      <c r="F6724">
        <v>4.5418900000000004</v>
      </c>
      <c r="G6724" t="s">
        <v>75</v>
      </c>
      <c r="H6724">
        <v>4541.8940000000002</v>
      </c>
      <c r="I6724" t="s">
        <v>76</v>
      </c>
      <c r="J6724" t="s">
        <v>82</v>
      </c>
      <c r="K6724">
        <v>220.17244539999999</v>
      </c>
    </row>
    <row r="6726" spans="1:11" x14ac:dyDescent="0.3">
      <c r="A6726" t="s">
        <v>66</v>
      </c>
    </row>
    <row r="6728" spans="1:11" x14ac:dyDescent="0.3">
      <c r="A6728" t="s">
        <v>371</v>
      </c>
    </row>
    <row r="6729" spans="1:11" x14ac:dyDescent="0.3">
      <c r="A6729" t="s">
        <v>68</v>
      </c>
    </row>
    <row r="6730" spans="1:11" x14ac:dyDescent="0.3">
      <c r="A6730" t="s">
        <v>69</v>
      </c>
    </row>
    <row r="6731" spans="1:11" x14ac:dyDescent="0.3">
      <c r="A6731" t="s">
        <v>70</v>
      </c>
    </row>
    <row r="6732" spans="1:11" x14ac:dyDescent="0.3">
      <c r="A6732" t="s">
        <v>115</v>
      </c>
    </row>
    <row r="6733" spans="1:11" x14ac:dyDescent="0.3">
      <c r="A6733" t="s">
        <v>266</v>
      </c>
    </row>
    <row r="6734" spans="1:11" x14ac:dyDescent="0.3">
      <c r="A6734" t="s">
        <v>267</v>
      </c>
    </row>
    <row r="6735" spans="1:11" x14ac:dyDescent="0.3">
      <c r="A6735" t="s">
        <v>118</v>
      </c>
    </row>
    <row r="6736" spans="1:11" x14ac:dyDescent="0.3">
      <c r="A6736" t="s">
        <v>119</v>
      </c>
    </row>
    <row r="6737" spans="1:11" x14ac:dyDescent="0.3">
      <c r="A6737" t="s">
        <v>268</v>
      </c>
    </row>
    <row r="6738" spans="1:11" x14ac:dyDescent="0.3">
      <c r="A6738" t="s">
        <v>269</v>
      </c>
    </row>
    <row r="6739" spans="1:11" x14ac:dyDescent="0.3">
      <c r="A6739" t="s">
        <v>122</v>
      </c>
    </row>
    <row r="6740" spans="1:11" x14ac:dyDescent="0.3">
      <c r="A6740" t="s">
        <v>270</v>
      </c>
    </row>
    <row r="6741" spans="1:11" x14ac:dyDescent="0.3">
      <c r="A6741" t="s">
        <v>271</v>
      </c>
    </row>
    <row r="6742" spans="1:11" x14ac:dyDescent="0.3">
      <c r="A6742" t="s">
        <v>125</v>
      </c>
    </row>
    <row r="6743" spans="1:11" x14ac:dyDescent="0.3">
      <c r="A6743" t="s">
        <v>126</v>
      </c>
    </row>
    <row r="6744" spans="1:11" x14ac:dyDescent="0.3">
      <c r="A6744" t="s">
        <v>127</v>
      </c>
    </row>
    <row r="6745" spans="1:11" x14ac:dyDescent="0.3">
      <c r="A6745" t="s">
        <v>178</v>
      </c>
    </row>
    <row r="6746" spans="1:11" x14ac:dyDescent="0.3">
      <c r="A6746" t="s">
        <v>308</v>
      </c>
    </row>
    <row r="6747" spans="1:11" x14ac:dyDescent="0.3">
      <c r="A6747" t="s">
        <v>72</v>
      </c>
      <c r="B6747">
        <v>1</v>
      </c>
      <c r="C6747" t="s">
        <v>73</v>
      </c>
      <c r="D6747">
        <v>3.8E-6</v>
      </c>
      <c r="E6747" t="s">
        <v>74</v>
      </c>
      <c r="F6747">
        <v>3.8E-3</v>
      </c>
      <c r="G6747" t="s">
        <v>75</v>
      </c>
      <c r="H6747">
        <v>3.8</v>
      </c>
      <c r="I6747" t="s">
        <v>76</v>
      </c>
      <c r="J6747" t="s">
        <v>77</v>
      </c>
    </row>
    <row r="6748" spans="1:11" x14ac:dyDescent="0.3">
      <c r="A6748" t="s">
        <v>72</v>
      </c>
      <c r="B6748">
        <v>1</v>
      </c>
      <c r="C6748" t="s">
        <v>78</v>
      </c>
      <c r="D6748">
        <v>0.1127401</v>
      </c>
      <c r="E6748" t="s">
        <v>74</v>
      </c>
      <c r="F6748">
        <v>112.7401</v>
      </c>
      <c r="G6748" t="s">
        <v>75</v>
      </c>
      <c r="H6748">
        <v>112740.099</v>
      </c>
      <c r="I6748" t="s">
        <v>76</v>
      </c>
      <c r="J6748" t="s">
        <v>77</v>
      </c>
    </row>
    <row r="6749" spans="1:11" x14ac:dyDescent="0.3">
      <c r="A6749" t="s">
        <v>72</v>
      </c>
      <c r="B6749">
        <v>1</v>
      </c>
      <c r="C6749" t="s">
        <v>79</v>
      </c>
      <c r="D6749">
        <v>0.1095892</v>
      </c>
      <c r="E6749" t="s">
        <v>74</v>
      </c>
      <c r="F6749">
        <v>109.58920000000001</v>
      </c>
      <c r="G6749" t="s">
        <v>75</v>
      </c>
      <c r="H6749">
        <v>109589.197</v>
      </c>
      <c r="I6749" t="s">
        <v>76</v>
      </c>
      <c r="J6749" t="s">
        <v>77</v>
      </c>
    </row>
    <row r="6750" spans="1:11" x14ac:dyDescent="0.3">
      <c r="A6750" t="s">
        <v>72</v>
      </c>
      <c r="B6750">
        <v>1</v>
      </c>
      <c r="C6750" t="s">
        <v>94</v>
      </c>
      <c r="D6750">
        <v>9.5111999999999992E-3</v>
      </c>
      <c r="E6750" t="s">
        <v>74</v>
      </c>
      <c r="F6750">
        <v>9.5112000000000005</v>
      </c>
      <c r="G6750" t="s">
        <v>75</v>
      </c>
      <c r="H6750">
        <v>9511.2000000000007</v>
      </c>
      <c r="I6750" t="s">
        <v>76</v>
      </c>
      <c r="J6750" t="s">
        <v>77</v>
      </c>
    </row>
    <row r="6751" spans="1:11" x14ac:dyDescent="0.3">
      <c r="A6751" t="s">
        <v>72</v>
      </c>
      <c r="B6751">
        <v>1</v>
      </c>
      <c r="C6751" t="s">
        <v>80</v>
      </c>
      <c r="D6751">
        <v>9.5119000000000002E-3</v>
      </c>
      <c r="E6751" t="s">
        <v>74</v>
      </c>
      <c r="F6751">
        <v>9.5119000000000007</v>
      </c>
      <c r="G6751" t="s">
        <v>75</v>
      </c>
      <c r="H6751">
        <v>9511.9</v>
      </c>
      <c r="I6751" t="s">
        <v>76</v>
      </c>
      <c r="J6751" t="s">
        <v>77</v>
      </c>
    </row>
    <row r="6752" spans="1:11" x14ac:dyDescent="0.3">
      <c r="A6752" t="s">
        <v>72</v>
      </c>
      <c r="B6752">
        <v>1</v>
      </c>
      <c r="C6752" t="s">
        <v>81</v>
      </c>
      <c r="D6752">
        <v>0.1191034</v>
      </c>
      <c r="E6752" t="s">
        <v>74</v>
      </c>
      <c r="F6752">
        <v>119.10339999999999</v>
      </c>
      <c r="G6752" t="s">
        <v>75</v>
      </c>
      <c r="H6752">
        <v>119103.402</v>
      </c>
      <c r="I6752" t="s">
        <v>76</v>
      </c>
      <c r="J6752" t="s">
        <v>82</v>
      </c>
      <c r="K6752">
        <v>8.3960658000000006</v>
      </c>
    </row>
    <row r="6753" spans="1:11" x14ac:dyDescent="0.3">
      <c r="A6753" t="s">
        <v>83</v>
      </c>
      <c r="B6753">
        <v>1000</v>
      </c>
      <c r="C6753" t="s">
        <v>79</v>
      </c>
      <c r="D6753">
        <v>6.2379000000000004E-4</v>
      </c>
      <c r="E6753" t="s">
        <v>74</v>
      </c>
      <c r="F6753">
        <v>0.62378999999999996</v>
      </c>
      <c r="G6753" t="s">
        <v>75</v>
      </c>
      <c r="H6753">
        <v>623.79300000000001</v>
      </c>
      <c r="I6753" t="s">
        <v>76</v>
      </c>
      <c r="J6753" t="s">
        <v>77</v>
      </c>
    </row>
    <row r="6754" spans="1:11" x14ac:dyDescent="0.3">
      <c r="A6754" t="s">
        <v>83</v>
      </c>
      <c r="B6754">
        <v>1000</v>
      </c>
      <c r="C6754" t="s">
        <v>94</v>
      </c>
      <c r="D6754">
        <v>2.5727599999999999E-3</v>
      </c>
      <c r="E6754" t="s">
        <v>74</v>
      </c>
      <c r="F6754">
        <v>2.5727600000000002</v>
      </c>
      <c r="G6754" t="s">
        <v>75</v>
      </c>
      <c r="H6754">
        <v>2572.7579999999998</v>
      </c>
      <c r="I6754" t="s">
        <v>76</v>
      </c>
      <c r="J6754" t="s">
        <v>77</v>
      </c>
    </row>
    <row r="6755" spans="1:11" x14ac:dyDescent="0.3">
      <c r="A6755" t="s">
        <v>83</v>
      </c>
      <c r="B6755">
        <v>1000</v>
      </c>
      <c r="C6755" t="s">
        <v>80</v>
      </c>
      <c r="D6755">
        <v>2.6980300000000001E-3</v>
      </c>
      <c r="E6755" t="s">
        <v>74</v>
      </c>
      <c r="F6755">
        <v>2.6980300000000002</v>
      </c>
      <c r="G6755" t="s">
        <v>75</v>
      </c>
      <c r="H6755">
        <v>2698.0340000000001</v>
      </c>
      <c r="I6755" t="s">
        <v>76</v>
      </c>
      <c r="J6755" t="s">
        <v>77</v>
      </c>
    </row>
    <row r="6756" spans="1:11" x14ac:dyDescent="0.3">
      <c r="A6756" t="s">
        <v>83</v>
      </c>
      <c r="B6756">
        <v>1000</v>
      </c>
      <c r="C6756" t="s">
        <v>81</v>
      </c>
      <c r="D6756">
        <v>3.3225500000000001E-3</v>
      </c>
      <c r="E6756" t="s">
        <v>74</v>
      </c>
      <c r="F6756">
        <v>3.3225500000000001</v>
      </c>
      <c r="G6756" t="s">
        <v>75</v>
      </c>
      <c r="H6756">
        <v>3322.5540000000001</v>
      </c>
      <c r="I6756" t="s">
        <v>76</v>
      </c>
      <c r="J6756" t="s">
        <v>82</v>
      </c>
      <c r="K6756">
        <v>300.97327730000001</v>
      </c>
    </row>
    <row r="6757" spans="1:11" x14ac:dyDescent="0.3">
      <c r="A6757" t="s">
        <v>84</v>
      </c>
      <c r="B6757">
        <v>1001</v>
      </c>
      <c r="C6757" t="s">
        <v>79</v>
      </c>
      <c r="D6757">
        <v>7.3264999999999995E-4</v>
      </c>
      <c r="E6757" t="s">
        <v>74</v>
      </c>
      <c r="F6757">
        <v>0.73265000000000002</v>
      </c>
      <c r="G6757" t="s">
        <v>75</v>
      </c>
      <c r="H6757">
        <v>732.649</v>
      </c>
      <c r="I6757" t="s">
        <v>76</v>
      </c>
      <c r="J6757" t="s">
        <v>77</v>
      </c>
    </row>
    <row r="6758" spans="1:11" x14ac:dyDescent="0.3">
      <c r="A6758" t="s">
        <v>84</v>
      </c>
      <c r="B6758">
        <v>1001</v>
      </c>
      <c r="C6758" t="s">
        <v>94</v>
      </c>
      <c r="D6758">
        <v>2.5796899999999999E-3</v>
      </c>
      <c r="E6758" t="s">
        <v>74</v>
      </c>
      <c r="F6758">
        <v>2.5796899999999998</v>
      </c>
      <c r="G6758" t="s">
        <v>75</v>
      </c>
      <c r="H6758">
        <v>2579.69</v>
      </c>
      <c r="I6758" t="s">
        <v>76</v>
      </c>
      <c r="J6758" t="s">
        <v>77</v>
      </c>
    </row>
    <row r="6759" spans="1:11" x14ac:dyDescent="0.3">
      <c r="A6759" t="s">
        <v>84</v>
      </c>
      <c r="B6759">
        <v>1001</v>
      </c>
      <c r="C6759" t="s">
        <v>80</v>
      </c>
      <c r="D6759">
        <v>2.70484E-3</v>
      </c>
      <c r="E6759" t="s">
        <v>74</v>
      </c>
      <c r="F6759">
        <v>2.7048399999999999</v>
      </c>
      <c r="G6759" t="s">
        <v>75</v>
      </c>
      <c r="H6759">
        <v>2704.8409999999999</v>
      </c>
      <c r="I6759" t="s">
        <v>76</v>
      </c>
      <c r="J6759" t="s">
        <v>77</v>
      </c>
    </row>
    <row r="6760" spans="1:11" x14ac:dyDescent="0.3">
      <c r="A6760" t="s">
        <v>84</v>
      </c>
      <c r="B6760">
        <v>1001</v>
      </c>
      <c r="C6760" t="s">
        <v>81</v>
      </c>
      <c r="D6760">
        <v>3.4382200000000001E-3</v>
      </c>
      <c r="E6760" t="s">
        <v>74</v>
      </c>
      <c r="F6760">
        <v>3.4382199999999998</v>
      </c>
      <c r="G6760" t="s">
        <v>75</v>
      </c>
      <c r="H6760">
        <v>3438.2190000000001</v>
      </c>
      <c r="I6760" t="s">
        <v>76</v>
      </c>
      <c r="J6760" t="s">
        <v>82</v>
      </c>
      <c r="K6760">
        <v>290.84826889999999</v>
      </c>
    </row>
    <row r="6761" spans="1:11" x14ac:dyDescent="0.3">
      <c r="A6761" t="s">
        <v>85</v>
      </c>
      <c r="B6761">
        <v>1001</v>
      </c>
      <c r="C6761" t="s">
        <v>86</v>
      </c>
      <c r="D6761">
        <v>3.43838E-3</v>
      </c>
      <c r="E6761" t="s">
        <v>74</v>
      </c>
      <c r="F6761">
        <v>3.43838</v>
      </c>
      <c r="G6761" t="s">
        <v>75</v>
      </c>
      <c r="H6761">
        <v>3438.375</v>
      </c>
      <c r="I6761" t="s">
        <v>76</v>
      </c>
      <c r="J6761" t="s">
        <v>82</v>
      </c>
      <c r="K6761">
        <v>290.83505220000001</v>
      </c>
    </row>
    <row r="6762" spans="1:11" x14ac:dyDescent="0.3">
      <c r="A6762" t="s">
        <v>180</v>
      </c>
    </row>
    <row r="6763" spans="1:11" x14ac:dyDescent="0.3">
      <c r="A6763" t="s">
        <v>309</v>
      </c>
    </row>
    <row r="6764" spans="1:11" x14ac:dyDescent="0.3">
      <c r="A6764" t="s">
        <v>72</v>
      </c>
      <c r="B6764">
        <v>1</v>
      </c>
      <c r="C6764" t="s">
        <v>73</v>
      </c>
      <c r="D6764">
        <v>3.8E-6</v>
      </c>
      <c r="E6764" t="s">
        <v>74</v>
      </c>
      <c r="F6764">
        <v>3.8E-3</v>
      </c>
      <c r="G6764" t="s">
        <v>75</v>
      </c>
      <c r="H6764">
        <v>3.8</v>
      </c>
      <c r="I6764" t="s">
        <v>76</v>
      </c>
      <c r="J6764" t="s">
        <v>77</v>
      </c>
    </row>
    <row r="6765" spans="1:11" x14ac:dyDescent="0.3">
      <c r="A6765" t="s">
        <v>72</v>
      </c>
      <c r="B6765">
        <v>1</v>
      </c>
      <c r="C6765" t="s">
        <v>78</v>
      </c>
      <c r="D6765">
        <v>1.2909999999999999E-4</v>
      </c>
      <c r="E6765" t="s">
        <v>74</v>
      </c>
      <c r="F6765">
        <v>0.12909999999999999</v>
      </c>
      <c r="G6765" t="s">
        <v>75</v>
      </c>
      <c r="H6765">
        <v>129.1</v>
      </c>
      <c r="I6765" t="s">
        <v>76</v>
      </c>
      <c r="J6765" t="s">
        <v>77</v>
      </c>
    </row>
    <row r="6766" spans="1:11" x14ac:dyDescent="0.3">
      <c r="A6766" t="s">
        <v>72</v>
      </c>
      <c r="B6766">
        <v>1</v>
      </c>
      <c r="C6766" t="s">
        <v>79</v>
      </c>
      <c r="D6766">
        <v>2.9199E-3</v>
      </c>
      <c r="E6766" t="s">
        <v>74</v>
      </c>
      <c r="F6766">
        <v>2.9199000000000002</v>
      </c>
      <c r="G6766" t="s">
        <v>75</v>
      </c>
      <c r="H6766">
        <v>2919.9</v>
      </c>
      <c r="I6766" t="s">
        <v>76</v>
      </c>
      <c r="J6766" t="s">
        <v>77</v>
      </c>
    </row>
    <row r="6767" spans="1:11" x14ac:dyDescent="0.3">
      <c r="A6767" t="s">
        <v>72</v>
      </c>
      <c r="B6767">
        <v>1</v>
      </c>
      <c r="C6767" t="s">
        <v>94</v>
      </c>
      <c r="D6767">
        <v>2.7361E-3</v>
      </c>
      <c r="E6767" t="s">
        <v>74</v>
      </c>
      <c r="F6767">
        <v>2.7361</v>
      </c>
      <c r="G6767" t="s">
        <v>75</v>
      </c>
      <c r="H6767">
        <v>2736.1</v>
      </c>
      <c r="I6767" t="s">
        <v>76</v>
      </c>
      <c r="J6767" t="s">
        <v>77</v>
      </c>
    </row>
    <row r="6768" spans="1:11" x14ac:dyDescent="0.3">
      <c r="A6768" t="s">
        <v>72</v>
      </c>
      <c r="B6768">
        <v>1</v>
      </c>
      <c r="C6768" t="s">
        <v>80</v>
      </c>
      <c r="D6768">
        <v>2.9434999999999999E-3</v>
      </c>
      <c r="E6768" t="s">
        <v>74</v>
      </c>
      <c r="F6768">
        <v>2.9434999999999998</v>
      </c>
      <c r="G6768" t="s">
        <v>75</v>
      </c>
      <c r="H6768">
        <v>2943.5</v>
      </c>
      <c r="I6768" t="s">
        <v>76</v>
      </c>
      <c r="J6768" t="s">
        <v>77</v>
      </c>
    </row>
    <row r="6769" spans="1:11" x14ac:dyDescent="0.3">
      <c r="A6769" t="s">
        <v>72</v>
      </c>
      <c r="B6769">
        <v>1</v>
      </c>
      <c r="C6769" t="s">
        <v>81</v>
      </c>
      <c r="D6769">
        <v>5.8646999999999996E-3</v>
      </c>
      <c r="E6769" t="s">
        <v>74</v>
      </c>
      <c r="F6769">
        <v>5.8647</v>
      </c>
      <c r="G6769" t="s">
        <v>75</v>
      </c>
      <c r="H6769">
        <v>5864.7</v>
      </c>
      <c r="I6769" t="s">
        <v>76</v>
      </c>
      <c r="J6769" t="s">
        <v>82</v>
      </c>
      <c r="K6769">
        <v>170.5117104</v>
      </c>
    </row>
    <row r="6770" spans="1:11" x14ac:dyDescent="0.3">
      <c r="A6770" t="s">
        <v>83</v>
      </c>
      <c r="B6770">
        <v>1000</v>
      </c>
      <c r="C6770" t="s">
        <v>79</v>
      </c>
      <c r="D6770">
        <v>9.9150999999999992E-4</v>
      </c>
      <c r="E6770" t="s">
        <v>74</v>
      </c>
      <c r="F6770">
        <v>0.99151</v>
      </c>
      <c r="G6770" t="s">
        <v>75</v>
      </c>
      <c r="H6770">
        <v>991.50900000000001</v>
      </c>
      <c r="I6770" t="s">
        <v>76</v>
      </c>
      <c r="J6770" t="s">
        <v>77</v>
      </c>
    </row>
    <row r="6771" spans="1:11" x14ac:dyDescent="0.3">
      <c r="A6771" t="s">
        <v>83</v>
      </c>
      <c r="B6771">
        <v>1000</v>
      </c>
      <c r="C6771" t="s">
        <v>94</v>
      </c>
      <c r="D6771">
        <v>2.6733500000000001E-3</v>
      </c>
      <c r="E6771" t="s">
        <v>74</v>
      </c>
      <c r="F6771">
        <v>2.6733500000000001</v>
      </c>
      <c r="G6771" t="s">
        <v>75</v>
      </c>
      <c r="H6771">
        <v>2673.355</v>
      </c>
      <c r="I6771" t="s">
        <v>76</v>
      </c>
      <c r="J6771" t="s">
        <v>77</v>
      </c>
    </row>
    <row r="6772" spans="1:11" x14ac:dyDescent="0.3">
      <c r="A6772" t="s">
        <v>83</v>
      </c>
      <c r="B6772">
        <v>1000</v>
      </c>
      <c r="C6772" t="s">
        <v>80</v>
      </c>
      <c r="D6772">
        <v>2.8230099999999999E-3</v>
      </c>
      <c r="E6772" t="s">
        <v>74</v>
      </c>
      <c r="F6772">
        <v>2.82301</v>
      </c>
      <c r="G6772" t="s">
        <v>75</v>
      </c>
      <c r="H6772">
        <v>2823.0059999999999</v>
      </c>
      <c r="I6772" t="s">
        <v>76</v>
      </c>
      <c r="J6772" t="s">
        <v>77</v>
      </c>
    </row>
    <row r="6773" spans="1:11" x14ac:dyDescent="0.3">
      <c r="A6773" t="s">
        <v>83</v>
      </c>
      <c r="B6773">
        <v>1000</v>
      </c>
      <c r="C6773" t="s">
        <v>81</v>
      </c>
      <c r="D6773">
        <v>3.8159000000000001E-3</v>
      </c>
      <c r="E6773" t="s">
        <v>74</v>
      </c>
      <c r="F6773">
        <v>3.8159000000000001</v>
      </c>
      <c r="G6773" t="s">
        <v>75</v>
      </c>
      <c r="H6773">
        <v>3815.8980000000001</v>
      </c>
      <c r="I6773" t="s">
        <v>76</v>
      </c>
      <c r="J6773" t="s">
        <v>82</v>
      </c>
      <c r="K6773">
        <v>262.06149979999998</v>
      </c>
    </row>
    <row r="6774" spans="1:11" x14ac:dyDescent="0.3">
      <c r="A6774" t="s">
        <v>84</v>
      </c>
      <c r="B6774">
        <v>1001</v>
      </c>
      <c r="C6774" t="s">
        <v>79</v>
      </c>
      <c r="D6774">
        <v>9.9343000000000001E-4</v>
      </c>
      <c r="E6774" t="s">
        <v>74</v>
      </c>
      <c r="F6774">
        <v>0.99343000000000004</v>
      </c>
      <c r="G6774" t="s">
        <v>75</v>
      </c>
      <c r="H6774">
        <v>993.43499999999995</v>
      </c>
      <c r="I6774" t="s">
        <v>76</v>
      </c>
      <c r="J6774" t="s">
        <v>77</v>
      </c>
    </row>
    <row r="6775" spans="1:11" x14ac:dyDescent="0.3">
      <c r="A6775" t="s">
        <v>84</v>
      </c>
      <c r="B6775">
        <v>1001</v>
      </c>
      <c r="C6775" t="s">
        <v>94</v>
      </c>
      <c r="D6775">
        <v>2.6734200000000001E-3</v>
      </c>
      <c r="E6775" t="s">
        <v>74</v>
      </c>
      <c r="F6775">
        <v>2.6734200000000001</v>
      </c>
      <c r="G6775" t="s">
        <v>75</v>
      </c>
      <c r="H6775">
        <v>2673.4169999999999</v>
      </c>
      <c r="I6775" t="s">
        <v>76</v>
      </c>
      <c r="J6775" t="s">
        <v>77</v>
      </c>
    </row>
    <row r="6776" spans="1:11" x14ac:dyDescent="0.3">
      <c r="A6776" t="s">
        <v>84</v>
      </c>
      <c r="B6776">
        <v>1001</v>
      </c>
      <c r="C6776" t="s">
        <v>80</v>
      </c>
      <c r="D6776">
        <v>2.8231300000000001E-3</v>
      </c>
      <c r="E6776" t="s">
        <v>74</v>
      </c>
      <c r="F6776">
        <v>2.8231299999999999</v>
      </c>
      <c r="G6776" t="s">
        <v>75</v>
      </c>
      <c r="H6776">
        <v>2823.127</v>
      </c>
      <c r="I6776" t="s">
        <v>76</v>
      </c>
      <c r="J6776" t="s">
        <v>77</v>
      </c>
    </row>
    <row r="6777" spans="1:11" x14ac:dyDescent="0.3">
      <c r="A6777" t="s">
        <v>84</v>
      </c>
      <c r="B6777">
        <v>1001</v>
      </c>
      <c r="C6777" t="s">
        <v>81</v>
      </c>
      <c r="D6777">
        <v>3.8179400000000001E-3</v>
      </c>
      <c r="E6777" t="s">
        <v>74</v>
      </c>
      <c r="F6777">
        <v>3.8179400000000001</v>
      </c>
      <c r="G6777" t="s">
        <v>75</v>
      </c>
      <c r="H6777">
        <v>3817.944</v>
      </c>
      <c r="I6777" t="s">
        <v>76</v>
      </c>
      <c r="J6777" t="s">
        <v>82</v>
      </c>
      <c r="K6777">
        <v>261.92104979999999</v>
      </c>
    </row>
    <row r="6778" spans="1:11" x14ac:dyDescent="0.3">
      <c r="A6778" t="s">
        <v>85</v>
      </c>
      <c r="B6778">
        <v>1001</v>
      </c>
      <c r="C6778" t="s">
        <v>86</v>
      </c>
      <c r="D6778">
        <v>3.81819E-3</v>
      </c>
      <c r="E6778" t="s">
        <v>74</v>
      </c>
      <c r="F6778">
        <v>3.81819</v>
      </c>
      <c r="G6778" t="s">
        <v>75</v>
      </c>
      <c r="H6778">
        <v>3818.19</v>
      </c>
      <c r="I6778" t="s">
        <v>76</v>
      </c>
      <c r="J6778" t="s">
        <v>82</v>
      </c>
      <c r="K6778">
        <v>261.90422089999998</v>
      </c>
    </row>
    <row r="6779" spans="1:11" x14ac:dyDescent="0.3">
      <c r="A6779" t="s">
        <v>115</v>
      </c>
    </row>
    <row r="6780" spans="1:11" x14ac:dyDescent="0.3">
      <c r="A6780" t="s">
        <v>127</v>
      </c>
    </row>
    <row r="6781" spans="1:11" x14ac:dyDescent="0.3">
      <c r="A6781" t="s">
        <v>87</v>
      </c>
    </row>
    <row r="6782" spans="1:11" x14ac:dyDescent="0.3">
      <c r="A6782" t="s">
        <v>310</v>
      </c>
    </row>
    <row r="6783" spans="1:11" x14ac:dyDescent="0.3">
      <c r="A6783" t="s">
        <v>72</v>
      </c>
      <c r="B6783">
        <v>1</v>
      </c>
      <c r="C6783" t="s">
        <v>81</v>
      </c>
      <c r="D6783">
        <v>0.1191034</v>
      </c>
      <c r="E6783" t="s">
        <v>74</v>
      </c>
      <c r="F6783">
        <v>119.10339999999999</v>
      </c>
      <c r="G6783" t="s">
        <v>75</v>
      </c>
      <c r="H6783">
        <v>119103.402</v>
      </c>
      <c r="I6783" t="s">
        <v>76</v>
      </c>
      <c r="J6783" t="s">
        <v>82</v>
      </c>
      <c r="K6783">
        <v>8.3960658000000006</v>
      </c>
    </row>
    <row r="6784" spans="1:11" x14ac:dyDescent="0.3">
      <c r="A6784" t="s">
        <v>83</v>
      </c>
      <c r="B6784">
        <v>1000</v>
      </c>
      <c r="C6784" t="s">
        <v>81</v>
      </c>
      <c r="D6784">
        <v>3.3225500000000001E-3</v>
      </c>
      <c r="E6784" t="s">
        <v>74</v>
      </c>
      <c r="F6784">
        <v>3.3225500000000001</v>
      </c>
      <c r="G6784" t="s">
        <v>75</v>
      </c>
      <c r="H6784">
        <v>3322.5540000000001</v>
      </c>
      <c r="I6784" t="s">
        <v>76</v>
      </c>
      <c r="J6784" t="s">
        <v>82</v>
      </c>
      <c r="K6784">
        <v>300.97327730000001</v>
      </c>
    </row>
    <row r="6785" spans="1:11" x14ac:dyDescent="0.3">
      <c r="A6785" t="s">
        <v>85</v>
      </c>
      <c r="B6785">
        <v>1001</v>
      </c>
      <c r="C6785" t="s">
        <v>86</v>
      </c>
      <c r="D6785">
        <v>3.43838E-3</v>
      </c>
      <c r="E6785" t="s">
        <v>74</v>
      </c>
      <c r="F6785">
        <v>3.43838</v>
      </c>
      <c r="G6785" t="s">
        <v>75</v>
      </c>
      <c r="H6785">
        <v>3438.375</v>
      </c>
      <c r="I6785" t="s">
        <v>76</v>
      </c>
      <c r="J6785" t="s">
        <v>82</v>
      </c>
      <c r="K6785">
        <v>290.83505220000001</v>
      </c>
    </row>
    <row r="6787" spans="1:11" x14ac:dyDescent="0.3">
      <c r="A6787" t="s">
        <v>311</v>
      </c>
    </row>
    <row r="6788" spans="1:11" x14ac:dyDescent="0.3">
      <c r="A6788" t="s">
        <v>72</v>
      </c>
      <c r="B6788">
        <v>1</v>
      </c>
      <c r="C6788" t="s">
        <v>81</v>
      </c>
      <c r="D6788">
        <v>5.8646999999999996E-3</v>
      </c>
      <c r="E6788" t="s">
        <v>74</v>
      </c>
      <c r="F6788">
        <v>5.8647</v>
      </c>
      <c r="G6788" t="s">
        <v>75</v>
      </c>
      <c r="H6788">
        <v>5864.7</v>
      </c>
      <c r="I6788" t="s">
        <v>76</v>
      </c>
      <c r="J6788" t="s">
        <v>82</v>
      </c>
      <c r="K6788">
        <v>170.5117104</v>
      </c>
    </row>
    <row r="6789" spans="1:11" x14ac:dyDescent="0.3">
      <c r="A6789" t="s">
        <v>83</v>
      </c>
      <c r="B6789">
        <v>1000</v>
      </c>
      <c r="C6789" t="s">
        <v>81</v>
      </c>
      <c r="D6789">
        <v>3.8159000000000001E-3</v>
      </c>
      <c r="E6789" t="s">
        <v>74</v>
      </c>
      <c r="F6789">
        <v>3.8159000000000001</v>
      </c>
      <c r="G6789" t="s">
        <v>75</v>
      </c>
      <c r="H6789">
        <v>3815.8980000000001</v>
      </c>
      <c r="I6789" t="s">
        <v>76</v>
      </c>
      <c r="J6789" t="s">
        <v>82</v>
      </c>
      <c r="K6789">
        <v>262.06149979999998</v>
      </c>
    </row>
    <row r="6790" spans="1:11" x14ac:dyDescent="0.3">
      <c r="A6790" t="s">
        <v>85</v>
      </c>
      <c r="B6790">
        <v>1001</v>
      </c>
      <c r="C6790" t="s">
        <v>86</v>
      </c>
      <c r="D6790">
        <v>3.81819E-3</v>
      </c>
      <c r="E6790" t="s">
        <v>74</v>
      </c>
      <c r="F6790">
        <v>3.81819</v>
      </c>
      <c r="G6790" t="s">
        <v>75</v>
      </c>
      <c r="H6790">
        <v>3818.19</v>
      </c>
      <c r="I6790" t="s">
        <v>76</v>
      </c>
      <c r="J6790" t="s">
        <v>82</v>
      </c>
      <c r="K6790">
        <v>261.90422089999998</v>
      </c>
    </row>
    <row r="6792" spans="1:11" x14ac:dyDescent="0.3">
      <c r="A6792" t="s">
        <v>66</v>
      </c>
    </row>
    <row r="6794" spans="1:11" x14ac:dyDescent="0.3">
      <c r="A6794" t="s">
        <v>372</v>
      </c>
    </row>
    <row r="6795" spans="1:11" x14ac:dyDescent="0.3">
      <c r="A6795" t="s">
        <v>68</v>
      </c>
    </row>
    <row r="6796" spans="1:11" x14ac:dyDescent="0.3">
      <c r="A6796" t="s">
        <v>69</v>
      </c>
    </row>
    <row r="6797" spans="1:11" x14ac:dyDescent="0.3">
      <c r="A6797" t="s">
        <v>70</v>
      </c>
    </row>
    <row r="6798" spans="1:11" x14ac:dyDescent="0.3">
      <c r="A6798" t="s">
        <v>115</v>
      </c>
    </row>
    <row r="6799" spans="1:11" x14ac:dyDescent="0.3">
      <c r="A6799" t="s">
        <v>266</v>
      </c>
    </row>
    <row r="6800" spans="1:11" x14ac:dyDescent="0.3">
      <c r="A6800" t="s">
        <v>267</v>
      </c>
    </row>
    <row r="6801" spans="1:10" x14ac:dyDescent="0.3">
      <c r="A6801" t="s">
        <v>118</v>
      </c>
    </row>
    <row r="6802" spans="1:10" x14ac:dyDescent="0.3">
      <c r="A6802" t="s">
        <v>119</v>
      </c>
    </row>
    <row r="6803" spans="1:10" x14ac:dyDescent="0.3">
      <c r="A6803" t="s">
        <v>268</v>
      </c>
    </row>
    <row r="6804" spans="1:10" x14ac:dyDescent="0.3">
      <c r="A6804" t="s">
        <v>269</v>
      </c>
    </row>
    <row r="6805" spans="1:10" x14ac:dyDescent="0.3">
      <c r="A6805" t="s">
        <v>122</v>
      </c>
    </row>
    <row r="6806" spans="1:10" x14ac:dyDescent="0.3">
      <c r="A6806" t="s">
        <v>270</v>
      </c>
    </row>
    <row r="6807" spans="1:10" x14ac:dyDescent="0.3">
      <c r="A6807" t="s">
        <v>271</v>
      </c>
    </row>
    <row r="6808" spans="1:10" x14ac:dyDescent="0.3">
      <c r="A6808" t="s">
        <v>125</v>
      </c>
    </row>
    <row r="6809" spans="1:10" x14ac:dyDescent="0.3">
      <c r="A6809" t="s">
        <v>126</v>
      </c>
    </row>
    <row r="6810" spans="1:10" x14ac:dyDescent="0.3">
      <c r="A6810" t="s">
        <v>127</v>
      </c>
    </row>
    <row r="6811" spans="1:10" x14ac:dyDescent="0.3">
      <c r="A6811" t="s">
        <v>185</v>
      </c>
    </row>
    <row r="6812" spans="1:10" x14ac:dyDescent="0.3">
      <c r="A6812" t="s">
        <v>313</v>
      </c>
    </row>
    <row r="6813" spans="1:10" x14ac:dyDescent="0.3">
      <c r="A6813" t="s">
        <v>72</v>
      </c>
      <c r="B6813">
        <v>1</v>
      </c>
      <c r="C6813" t="s">
        <v>73</v>
      </c>
      <c r="D6813">
        <v>5.1000000000000003E-6</v>
      </c>
      <c r="E6813" t="s">
        <v>74</v>
      </c>
      <c r="F6813">
        <v>5.1000000000000004E-3</v>
      </c>
      <c r="G6813" t="s">
        <v>75</v>
      </c>
      <c r="H6813">
        <v>5.0999999999999996</v>
      </c>
      <c r="I6813" t="s">
        <v>76</v>
      </c>
      <c r="J6813" t="s">
        <v>77</v>
      </c>
    </row>
    <row r="6814" spans="1:10" x14ac:dyDescent="0.3">
      <c r="A6814" t="s">
        <v>72</v>
      </c>
      <c r="B6814">
        <v>1</v>
      </c>
      <c r="C6814" t="s">
        <v>78</v>
      </c>
      <c r="D6814">
        <v>0.14441999999999999</v>
      </c>
      <c r="E6814" t="s">
        <v>74</v>
      </c>
      <c r="F6814">
        <v>144.41999999999999</v>
      </c>
      <c r="G6814" t="s">
        <v>75</v>
      </c>
      <c r="H6814">
        <v>144419.99799999999</v>
      </c>
      <c r="I6814" t="s">
        <v>76</v>
      </c>
      <c r="J6814" t="s">
        <v>77</v>
      </c>
    </row>
    <row r="6815" spans="1:10" x14ac:dyDescent="0.3">
      <c r="A6815" t="s">
        <v>72</v>
      </c>
      <c r="B6815">
        <v>1</v>
      </c>
      <c r="C6815" t="s">
        <v>79</v>
      </c>
      <c r="D6815">
        <v>0.12977300999999999</v>
      </c>
      <c r="E6815" t="s">
        <v>74</v>
      </c>
      <c r="F6815">
        <v>129.77301</v>
      </c>
      <c r="G6815" t="s">
        <v>75</v>
      </c>
      <c r="H6815">
        <v>129773.00599999999</v>
      </c>
      <c r="I6815" t="s">
        <v>76</v>
      </c>
      <c r="J6815" t="s">
        <v>77</v>
      </c>
    </row>
    <row r="6816" spans="1:10" x14ac:dyDescent="0.3">
      <c r="A6816" t="s">
        <v>72</v>
      </c>
      <c r="B6816">
        <v>1</v>
      </c>
      <c r="C6816" t="s">
        <v>94</v>
      </c>
      <c r="D6816">
        <v>9.4421999999999996E-3</v>
      </c>
      <c r="E6816" t="s">
        <v>74</v>
      </c>
      <c r="F6816">
        <v>9.4421999999999997</v>
      </c>
      <c r="G6816" t="s">
        <v>75</v>
      </c>
      <c r="H6816">
        <v>9442.2000000000007</v>
      </c>
      <c r="I6816" t="s">
        <v>76</v>
      </c>
      <c r="J6816" t="s">
        <v>77</v>
      </c>
    </row>
    <row r="6817" spans="1:11" x14ac:dyDescent="0.3">
      <c r="A6817" t="s">
        <v>72</v>
      </c>
      <c r="B6817">
        <v>1</v>
      </c>
      <c r="C6817" t="s">
        <v>80</v>
      </c>
      <c r="D6817">
        <v>9.4427999999999995E-3</v>
      </c>
      <c r="E6817" t="s">
        <v>74</v>
      </c>
      <c r="F6817">
        <v>9.4428000000000001</v>
      </c>
      <c r="G6817" t="s">
        <v>75</v>
      </c>
      <c r="H6817">
        <v>9442.7999999999993</v>
      </c>
      <c r="I6817" t="s">
        <v>76</v>
      </c>
      <c r="J6817" t="s">
        <v>77</v>
      </c>
    </row>
    <row r="6818" spans="1:11" x14ac:dyDescent="0.3">
      <c r="A6818" t="s">
        <v>72</v>
      </c>
      <c r="B6818">
        <v>1</v>
      </c>
      <c r="C6818" t="s">
        <v>81</v>
      </c>
      <c r="D6818">
        <v>0.1392186</v>
      </c>
      <c r="E6818" t="s">
        <v>74</v>
      </c>
      <c r="F6818">
        <v>139.21860000000001</v>
      </c>
      <c r="G6818" t="s">
        <v>75</v>
      </c>
      <c r="H6818">
        <v>139218.59899999999</v>
      </c>
      <c r="I6818" t="s">
        <v>76</v>
      </c>
      <c r="J6818" t="s">
        <v>82</v>
      </c>
      <c r="K6818">
        <v>7.1829482999999996</v>
      </c>
    </row>
    <row r="6819" spans="1:11" x14ac:dyDescent="0.3">
      <c r="A6819" t="s">
        <v>83</v>
      </c>
      <c r="B6819">
        <v>1000</v>
      </c>
      <c r="C6819" t="s">
        <v>79</v>
      </c>
      <c r="D6819">
        <v>2.18279E-3</v>
      </c>
      <c r="E6819" t="s">
        <v>74</v>
      </c>
      <c r="F6819">
        <v>2.1827899999999998</v>
      </c>
      <c r="G6819" t="s">
        <v>75</v>
      </c>
      <c r="H6819">
        <v>2182.7910000000002</v>
      </c>
      <c r="I6819" t="s">
        <v>76</v>
      </c>
      <c r="J6819" t="s">
        <v>77</v>
      </c>
    </row>
    <row r="6820" spans="1:11" x14ac:dyDescent="0.3">
      <c r="A6820" t="s">
        <v>83</v>
      </c>
      <c r="B6820">
        <v>1000</v>
      </c>
      <c r="C6820" t="s">
        <v>94</v>
      </c>
      <c r="D6820">
        <v>2.5964E-3</v>
      </c>
      <c r="E6820" t="s">
        <v>74</v>
      </c>
      <c r="F6820">
        <v>2.5964</v>
      </c>
      <c r="G6820" t="s">
        <v>75</v>
      </c>
      <c r="H6820">
        <v>2596.4029999999998</v>
      </c>
      <c r="I6820" t="s">
        <v>76</v>
      </c>
      <c r="J6820" t="s">
        <v>77</v>
      </c>
    </row>
    <row r="6821" spans="1:11" x14ac:dyDescent="0.3">
      <c r="A6821" t="s">
        <v>83</v>
      </c>
      <c r="B6821">
        <v>1000</v>
      </c>
      <c r="C6821" t="s">
        <v>80</v>
      </c>
      <c r="D6821">
        <v>2.7812399999999999E-3</v>
      </c>
      <c r="E6821" t="s">
        <v>74</v>
      </c>
      <c r="F6821">
        <v>2.7812399999999999</v>
      </c>
      <c r="G6821" t="s">
        <v>75</v>
      </c>
      <c r="H6821">
        <v>2781.2370000000001</v>
      </c>
      <c r="I6821" t="s">
        <v>76</v>
      </c>
      <c r="J6821" t="s">
        <v>77</v>
      </c>
    </row>
    <row r="6822" spans="1:11" x14ac:dyDescent="0.3">
      <c r="A6822" t="s">
        <v>83</v>
      </c>
      <c r="B6822">
        <v>1000</v>
      </c>
      <c r="C6822" t="s">
        <v>81</v>
      </c>
      <c r="D6822">
        <v>4.9647700000000003E-3</v>
      </c>
      <c r="E6822" t="s">
        <v>74</v>
      </c>
      <c r="F6822">
        <v>4.9647699999999997</v>
      </c>
      <c r="G6822" t="s">
        <v>75</v>
      </c>
      <c r="H6822">
        <v>4964.7700000000004</v>
      </c>
      <c r="I6822" t="s">
        <v>76</v>
      </c>
      <c r="J6822" t="s">
        <v>82</v>
      </c>
      <c r="K6822">
        <v>201.41918680000001</v>
      </c>
    </row>
    <row r="6823" spans="1:11" x14ac:dyDescent="0.3">
      <c r="A6823" t="s">
        <v>84</v>
      </c>
      <c r="B6823">
        <v>1001</v>
      </c>
      <c r="C6823" t="s">
        <v>79</v>
      </c>
      <c r="D6823">
        <v>2.3102499999999998E-3</v>
      </c>
      <c r="E6823" t="s">
        <v>74</v>
      </c>
      <c r="F6823">
        <v>2.3102499999999999</v>
      </c>
      <c r="G6823" t="s">
        <v>75</v>
      </c>
      <c r="H6823">
        <v>2310.2550000000001</v>
      </c>
      <c r="I6823" t="s">
        <v>76</v>
      </c>
      <c r="J6823" t="s">
        <v>77</v>
      </c>
    </row>
    <row r="6824" spans="1:11" x14ac:dyDescent="0.3">
      <c r="A6824" t="s">
        <v>84</v>
      </c>
      <c r="B6824">
        <v>1001</v>
      </c>
      <c r="C6824" t="s">
        <v>94</v>
      </c>
      <c r="D6824">
        <v>2.6032400000000002E-3</v>
      </c>
      <c r="E6824" t="s">
        <v>74</v>
      </c>
      <c r="F6824">
        <v>2.60324</v>
      </c>
      <c r="G6824" t="s">
        <v>75</v>
      </c>
      <c r="H6824">
        <v>2603.2420000000002</v>
      </c>
      <c r="I6824" t="s">
        <v>76</v>
      </c>
      <c r="J6824" t="s">
        <v>77</v>
      </c>
    </row>
    <row r="6825" spans="1:11" x14ac:dyDescent="0.3">
      <c r="A6825" t="s">
        <v>84</v>
      </c>
      <c r="B6825">
        <v>1001</v>
      </c>
      <c r="C6825" t="s">
        <v>80</v>
      </c>
      <c r="D6825">
        <v>2.7878899999999999E-3</v>
      </c>
      <c r="E6825" t="s">
        <v>74</v>
      </c>
      <c r="F6825">
        <v>2.78789</v>
      </c>
      <c r="G6825" t="s">
        <v>75</v>
      </c>
      <c r="H6825">
        <v>2787.8919999999998</v>
      </c>
      <c r="I6825" t="s">
        <v>76</v>
      </c>
      <c r="J6825" t="s">
        <v>77</v>
      </c>
    </row>
    <row r="6826" spans="1:11" x14ac:dyDescent="0.3">
      <c r="A6826" t="s">
        <v>84</v>
      </c>
      <c r="B6826">
        <v>1001</v>
      </c>
      <c r="C6826" t="s">
        <v>81</v>
      </c>
      <c r="D6826">
        <v>5.09889E-3</v>
      </c>
      <c r="E6826" t="s">
        <v>74</v>
      </c>
      <c r="F6826">
        <v>5.0988899999999999</v>
      </c>
      <c r="G6826" t="s">
        <v>75</v>
      </c>
      <c r="H6826">
        <v>5098.8909999999996</v>
      </c>
      <c r="I6826" t="s">
        <v>76</v>
      </c>
      <c r="J6826" t="s">
        <v>82</v>
      </c>
      <c r="K6826">
        <v>196.1210892</v>
      </c>
    </row>
    <row r="6827" spans="1:11" x14ac:dyDescent="0.3">
      <c r="A6827" t="s">
        <v>85</v>
      </c>
      <c r="B6827">
        <v>1001</v>
      </c>
      <c r="C6827" t="s">
        <v>86</v>
      </c>
      <c r="D6827">
        <v>5.0990999999999996E-3</v>
      </c>
      <c r="E6827" t="s">
        <v>74</v>
      </c>
      <c r="F6827">
        <v>5.0991</v>
      </c>
      <c r="G6827" t="s">
        <v>75</v>
      </c>
      <c r="H6827">
        <v>5099.1030000000001</v>
      </c>
      <c r="I6827" t="s">
        <v>76</v>
      </c>
      <c r="J6827" t="s">
        <v>82</v>
      </c>
      <c r="K6827">
        <v>196.1129177</v>
      </c>
    </row>
    <row r="6828" spans="1:11" x14ac:dyDescent="0.3">
      <c r="A6828" t="s">
        <v>187</v>
      </c>
    </row>
    <row r="6829" spans="1:11" x14ac:dyDescent="0.3">
      <c r="A6829" t="s">
        <v>314</v>
      </c>
    </row>
    <row r="6830" spans="1:11" x14ac:dyDescent="0.3">
      <c r="A6830" t="s">
        <v>72</v>
      </c>
      <c r="B6830">
        <v>1</v>
      </c>
      <c r="C6830" t="s">
        <v>73</v>
      </c>
      <c r="D6830">
        <v>5.1000000000000003E-6</v>
      </c>
      <c r="E6830" t="s">
        <v>74</v>
      </c>
      <c r="F6830">
        <v>5.1000000000000004E-3</v>
      </c>
      <c r="G6830" t="s">
        <v>75</v>
      </c>
      <c r="H6830">
        <v>5.0999999999999996</v>
      </c>
      <c r="I6830" t="s">
        <v>76</v>
      </c>
      <c r="J6830" t="s">
        <v>77</v>
      </c>
    </row>
    <row r="6831" spans="1:11" x14ac:dyDescent="0.3">
      <c r="A6831" t="s">
        <v>72</v>
      </c>
      <c r="B6831">
        <v>1</v>
      </c>
      <c r="C6831" t="s">
        <v>78</v>
      </c>
      <c r="D6831">
        <v>1.03E-4</v>
      </c>
      <c r="E6831" t="s">
        <v>74</v>
      </c>
      <c r="F6831">
        <v>0.10299999999999999</v>
      </c>
      <c r="G6831" t="s">
        <v>75</v>
      </c>
      <c r="H6831">
        <v>103</v>
      </c>
      <c r="I6831" t="s">
        <v>76</v>
      </c>
      <c r="J6831" t="s">
        <v>77</v>
      </c>
    </row>
    <row r="6832" spans="1:11" x14ac:dyDescent="0.3">
      <c r="A6832" t="s">
        <v>72</v>
      </c>
      <c r="B6832">
        <v>1</v>
      </c>
      <c r="C6832" t="s">
        <v>79</v>
      </c>
      <c r="D6832">
        <v>4.3671999999999999E-3</v>
      </c>
      <c r="E6832" t="s">
        <v>74</v>
      </c>
      <c r="F6832">
        <v>4.3672000000000004</v>
      </c>
      <c r="G6832" t="s">
        <v>75</v>
      </c>
      <c r="H6832">
        <v>4367.2</v>
      </c>
      <c r="I6832" t="s">
        <v>76</v>
      </c>
      <c r="J6832" t="s">
        <v>77</v>
      </c>
    </row>
    <row r="6833" spans="1:11" x14ac:dyDescent="0.3">
      <c r="A6833" t="s">
        <v>72</v>
      </c>
      <c r="B6833">
        <v>1</v>
      </c>
      <c r="C6833" t="s">
        <v>94</v>
      </c>
      <c r="D6833">
        <v>2.6554E-3</v>
      </c>
      <c r="E6833" t="s">
        <v>74</v>
      </c>
      <c r="F6833">
        <v>2.6554000000000002</v>
      </c>
      <c r="G6833" t="s">
        <v>75</v>
      </c>
      <c r="H6833">
        <v>2655.4</v>
      </c>
      <c r="I6833" t="s">
        <v>76</v>
      </c>
      <c r="J6833" t="s">
        <v>77</v>
      </c>
    </row>
    <row r="6834" spans="1:11" x14ac:dyDescent="0.3">
      <c r="A6834" t="s">
        <v>72</v>
      </c>
      <c r="B6834">
        <v>1</v>
      </c>
      <c r="C6834" t="s">
        <v>80</v>
      </c>
      <c r="D6834">
        <v>2.7945999999999999E-3</v>
      </c>
      <c r="E6834" t="s">
        <v>74</v>
      </c>
      <c r="F6834">
        <v>2.7946</v>
      </c>
      <c r="G6834" t="s">
        <v>75</v>
      </c>
      <c r="H6834">
        <v>2794.6</v>
      </c>
      <c r="I6834" t="s">
        <v>76</v>
      </c>
      <c r="J6834" t="s">
        <v>77</v>
      </c>
    </row>
    <row r="6835" spans="1:11" x14ac:dyDescent="0.3">
      <c r="A6835" t="s">
        <v>72</v>
      </c>
      <c r="B6835">
        <v>1</v>
      </c>
      <c r="C6835" t="s">
        <v>81</v>
      </c>
      <c r="D6835">
        <v>7.1634999999999997E-3</v>
      </c>
      <c r="E6835" t="s">
        <v>74</v>
      </c>
      <c r="F6835">
        <v>7.1635</v>
      </c>
      <c r="G6835" t="s">
        <v>75</v>
      </c>
      <c r="H6835">
        <v>7163.5</v>
      </c>
      <c r="I6835" t="s">
        <v>76</v>
      </c>
      <c r="J6835" t="s">
        <v>82</v>
      </c>
      <c r="K6835">
        <v>139.5965669</v>
      </c>
    </row>
    <row r="6836" spans="1:11" x14ac:dyDescent="0.3">
      <c r="A6836" t="s">
        <v>83</v>
      </c>
      <c r="B6836">
        <v>1000</v>
      </c>
      <c r="C6836" t="s">
        <v>79</v>
      </c>
      <c r="D6836">
        <v>2.5645300000000002E-3</v>
      </c>
      <c r="E6836" t="s">
        <v>74</v>
      </c>
      <c r="F6836">
        <v>2.56453</v>
      </c>
      <c r="G6836" t="s">
        <v>75</v>
      </c>
      <c r="H6836">
        <v>2564.529</v>
      </c>
      <c r="I6836" t="s">
        <v>76</v>
      </c>
      <c r="J6836" t="s">
        <v>77</v>
      </c>
    </row>
    <row r="6837" spans="1:11" x14ac:dyDescent="0.3">
      <c r="A6837" t="s">
        <v>83</v>
      </c>
      <c r="B6837">
        <v>1000</v>
      </c>
      <c r="C6837" t="s">
        <v>94</v>
      </c>
      <c r="D6837">
        <v>2.6607499999999999E-3</v>
      </c>
      <c r="E6837" t="s">
        <v>74</v>
      </c>
      <c r="F6837">
        <v>2.6607500000000002</v>
      </c>
      <c r="G6837" t="s">
        <v>75</v>
      </c>
      <c r="H6837">
        <v>2660.7489999999998</v>
      </c>
      <c r="I6837" t="s">
        <v>76</v>
      </c>
      <c r="J6837" t="s">
        <v>77</v>
      </c>
    </row>
    <row r="6838" spans="1:11" x14ac:dyDescent="0.3">
      <c r="A6838" t="s">
        <v>83</v>
      </c>
      <c r="B6838">
        <v>1000</v>
      </c>
      <c r="C6838" t="s">
        <v>80</v>
      </c>
      <c r="D6838">
        <v>2.8263199999999998E-3</v>
      </c>
      <c r="E6838" t="s">
        <v>74</v>
      </c>
      <c r="F6838">
        <v>2.8263199999999999</v>
      </c>
      <c r="G6838" t="s">
        <v>75</v>
      </c>
      <c r="H6838">
        <v>2826.3240000000001</v>
      </c>
      <c r="I6838" t="s">
        <v>76</v>
      </c>
      <c r="J6838" t="s">
        <v>77</v>
      </c>
    </row>
    <row r="6839" spans="1:11" x14ac:dyDescent="0.3">
      <c r="A6839" t="s">
        <v>83</v>
      </c>
      <c r="B6839">
        <v>1000</v>
      </c>
      <c r="C6839" t="s">
        <v>81</v>
      </c>
      <c r="D6839">
        <v>5.3920699999999997E-3</v>
      </c>
      <c r="E6839" t="s">
        <v>74</v>
      </c>
      <c r="F6839">
        <v>5.3920700000000004</v>
      </c>
      <c r="G6839" t="s">
        <v>75</v>
      </c>
      <c r="H6839">
        <v>5392.0730000000003</v>
      </c>
      <c r="I6839" t="s">
        <v>76</v>
      </c>
      <c r="J6839" t="s">
        <v>82</v>
      </c>
      <c r="K6839">
        <v>185.4574245</v>
      </c>
    </row>
    <row r="6840" spans="1:11" x14ac:dyDescent="0.3">
      <c r="A6840" t="s">
        <v>84</v>
      </c>
      <c r="B6840">
        <v>1001</v>
      </c>
      <c r="C6840" t="s">
        <v>79</v>
      </c>
      <c r="D6840">
        <v>2.5663299999999999E-3</v>
      </c>
      <c r="E6840" t="s">
        <v>74</v>
      </c>
      <c r="F6840">
        <v>2.5663299999999998</v>
      </c>
      <c r="G6840" t="s">
        <v>75</v>
      </c>
      <c r="H6840">
        <v>2566.33</v>
      </c>
      <c r="I6840" t="s">
        <v>76</v>
      </c>
      <c r="J6840" t="s">
        <v>77</v>
      </c>
    </row>
    <row r="6841" spans="1:11" x14ac:dyDescent="0.3">
      <c r="A6841" t="s">
        <v>84</v>
      </c>
      <c r="B6841">
        <v>1001</v>
      </c>
      <c r="C6841" t="s">
        <v>94</v>
      </c>
      <c r="D6841">
        <v>2.66074E-3</v>
      </c>
      <c r="E6841" t="s">
        <v>74</v>
      </c>
      <c r="F6841">
        <v>2.6607400000000001</v>
      </c>
      <c r="G6841" t="s">
        <v>75</v>
      </c>
      <c r="H6841">
        <v>2660.7440000000001</v>
      </c>
      <c r="I6841" t="s">
        <v>76</v>
      </c>
      <c r="J6841" t="s">
        <v>77</v>
      </c>
    </row>
    <row r="6842" spans="1:11" x14ac:dyDescent="0.3">
      <c r="A6842" t="s">
        <v>84</v>
      </c>
      <c r="B6842">
        <v>1001</v>
      </c>
      <c r="C6842" t="s">
        <v>80</v>
      </c>
      <c r="D6842">
        <v>2.82629E-3</v>
      </c>
      <c r="E6842" t="s">
        <v>74</v>
      </c>
      <c r="F6842">
        <v>2.8262900000000002</v>
      </c>
      <c r="G6842" t="s">
        <v>75</v>
      </c>
      <c r="H6842">
        <v>2826.2919999999999</v>
      </c>
      <c r="I6842" t="s">
        <v>76</v>
      </c>
      <c r="J6842" t="s">
        <v>77</v>
      </c>
    </row>
    <row r="6843" spans="1:11" x14ac:dyDescent="0.3">
      <c r="A6843" t="s">
        <v>84</v>
      </c>
      <c r="B6843">
        <v>1001</v>
      </c>
      <c r="C6843" t="s">
        <v>81</v>
      </c>
      <c r="D6843">
        <v>5.3938399999999996E-3</v>
      </c>
      <c r="E6843" t="s">
        <v>74</v>
      </c>
      <c r="F6843">
        <v>5.39384</v>
      </c>
      <c r="G6843" t="s">
        <v>75</v>
      </c>
      <c r="H6843">
        <v>5393.8419999999996</v>
      </c>
      <c r="I6843" t="s">
        <v>76</v>
      </c>
      <c r="J6843" t="s">
        <v>82</v>
      </c>
      <c r="K6843">
        <v>185.39659359999999</v>
      </c>
    </row>
    <row r="6844" spans="1:11" x14ac:dyDescent="0.3">
      <c r="A6844" t="s">
        <v>85</v>
      </c>
      <c r="B6844">
        <v>1001</v>
      </c>
      <c r="C6844" t="s">
        <v>86</v>
      </c>
      <c r="D6844">
        <v>5.3940799999999999E-3</v>
      </c>
      <c r="E6844" t="s">
        <v>74</v>
      </c>
      <c r="F6844">
        <v>5.3940799999999998</v>
      </c>
      <c r="G6844" t="s">
        <v>75</v>
      </c>
      <c r="H6844">
        <v>5394.08</v>
      </c>
      <c r="I6844" t="s">
        <v>76</v>
      </c>
      <c r="J6844" t="s">
        <v>82</v>
      </c>
      <c r="K6844">
        <v>185.38842360000001</v>
      </c>
    </row>
    <row r="6845" spans="1:11" x14ac:dyDescent="0.3">
      <c r="A6845" t="s">
        <v>115</v>
      </c>
    </row>
    <row r="6846" spans="1:11" x14ac:dyDescent="0.3">
      <c r="A6846" t="s">
        <v>127</v>
      </c>
    </row>
    <row r="6847" spans="1:11" x14ac:dyDescent="0.3">
      <c r="A6847" t="s">
        <v>87</v>
      </c>
    </row>
    <row r="6848" spans="1:11" x14ac:dyDescent="0.3">
      <c r="A6848" t="s">
        <v>315</v>
      </c>
    </row>
    <row r="6849" spans="1:11" x14ac:dyDescent="0.3">
      <c r="A6849" t="s">
        <v>72</v>
      </c>
      <c r="B6849">
        <v>1</v>
      </c>
      <c r="C6849" t="s">
        <v>81</v>
      </c>
      <c r="D6849">
        <v>0.1392186</v>
      </c>
      <c r="E6849" t="s">
        <v>74</v>
      </c>
      <c r="F6849">
        <v>139.21860000000001</v>
      </c>
      <c r="G6849" t="s">
        <v>75</v>
      </c>
      <c r="H6849">
        <v>139218.59899999999</v>
      </c>
      <c r="I6849" t="s">
        <v>76</v>
      </c>
      <c r="J6849" t="s">
        <v>82</v>
      </c>
      <c r="K6849">
        <v>7.1829482999999996</v>
      </c>
    </row>
    <row r="6850" spans="1:11" x14ac:dyDescent="0.3">
      <c r="A6850" t="s">
        <v>83</v>
      </c>
      <c r="B6850">
        <v>1000</v>
      </c>
      <c r="C6850" t="s">
        <v>81</v>
      </c>
      <c r="D6850">
        <v>4.9647700000000003E-3</v>
      </c>
      <c r="E6850" t="s">
        <v>74</v>
      </c>
      <c r="F6850">
        <v>4.9647699999999997</v>
      </c>
      <c r="G6850" t="s">
        <v>75</v>
      </c>
      <c r="H6850">
        <v>4964.7700000000004</v>
      </c>
      <c r="I6850" t="s">
        <v>76</v>
      </c>
      <c r="J6850" t="s">
        <v>82</v>
      </c>
      <c r="K6850">
        <v>201.41918680000001</v>
      </c>
    </row>
    <row r="6851" spans="1:11" x14ac:dyDescent="0.3">
      <c r="A6851" t="s">
        <v>85</v>
      </c>
      <c r="B6851">
        <v>1001</v>
      </c>
      <c r="C6851" t="s">
        <v>86</v>
      </c>
      <c r="D6851">
        <v>5.0990999999999996E-3</v>
      </c>
      <c r="E6851" t="s">
        <v>74</v>
      </c>
      <c r="F6851">
        <v>5.0991</v>
      </c>
      <c r="G6851" t="s">
        <v>75</v>
      </c>
      <c r="H6851">
        <v>5099.1030000000001</v>
      </c>
      <c r="I6851" t="s">
        <v>76</v>
      </c>
      <c r="J6851" t="s">
        <v>82</v>
      </c>
      <c r="K6851">
        <v>196.1129177</v>
      </c>
    </row>
    <row r="6853" spans="1:11" x14ac:dyDescent="0.3">
      <c r="A6853" t="s">
        <v>316</v>
      </c>
    </row>
    <row r="6854" spans="1:11" x14ac:dyDescent="0.3">
      <c r="A6854" t="s">
        <v>72</v>
      </c>
      <c r="B6854">
        <v>1</v>
      </c>
      <c r="C6854" t="s">
        <v>81</v>
      </c>
      <c r="D6854">
        <v>7.1634999999999997E-3</v>
      </c>
      <c r="E6854" t="s">
        <v>74</v>
      </c>
      <c r="F6854">
        <v>7.1635</v>
      </c>
      <c r="G6854" t="s">
        <v>75</v>
      </c>
      <c r="H6854">
        <v>7163.5</v>
      </c>
      <c r="I6854" t="s">
        <v>76</v>
      </c>
      <c r="J6854" t="s">
        <v>82</v>
      </c>
      <c r="K6854">
        <v>139.5965669</v>
      </c>
    </row>
    <row r="6855" spans="1:11" x14ac:dyDescent="0.3">
      <c r="A6855" t="s">
        <v>83</v>
      </c>
      <c r="B6855">
        <v>1000</v>
      </c>
      <c r="C6855" t="s">
        <v>81</v>
      </c>
      <c r="D6855">
        <v>5.3920699999999997E-3</v>
      </c>
      <c r="E6855" t="s">
        <v>74</v>
      </c>
      <c r="F6855">
        <v>5.3920700000000004</v>
      </c>
      <c r="G6855" t="s">
        <v>75</v>
      </c>
      <c r="H6855">
        <v>5392.0730000000003</v>
      </c>
      <c r="I6855" t="s">
        <v>76</v>
      </c>
      <c r="J6855" t="s">
        <v>82</v>
      </c>
      <c r="K6855">
        <v>185.4574245</v>
      </c>
    </row>
    <row r="6856" spans="1:11" x14ac:dyDescent="0.3">
      <c r="A6856" t="s">
        <v>85</v>
      </c>
      <c r="B6856">
        <v>1001</v>
      </c>
      <c r="C6856" t="s">
        <v>86</v>
      </c>
      <c r="D6856">
        <v>5.3940799999999999E-3</v>
      </c>
      <c r="E6856" t="s">
        <v>74</v>
      </c>
      <c r="F6856">
        <v>5.3940799999999998</v>
      </c>
      <c r="G6856" t="s">
        <v>75</v>
      </c>
      <c r="H6856">
        <v>5394.08</v>
      </c>
      <c r="I6856" t="s">
        <v>76</v>
      </c>
      <c r="J6856" t="s">
        <v>82</v>
      </c>
      <c r="K6856">
        <v>185.38842360000001</v>
      </c>
    </row>
    <row r="6858" spans="1:11" x14ac:dyDescent="0.3">
      <c r="A6858" t="s">
        <v>66</v>
      </c>
    </row>
    <row r="6860" spans="1:11" x14ac:dyDescent="0.3">
      <c r="A6860" t="s">
        <v>373</v>
      </c>
    </row>
    <row r="6861" spans="1:11" x14ac:dyDescent="0.3">
      <c r="A6861" t="s">
        <v>68</v>
      </c>
    </row>
    <row r="6862" spans="1:11" x14ac:dyDescent="0.3">
      <c r="A6862" t="s">
        <v>69</v>
      </c>
    </row>
    <row r="6863" spans="1:11" x14ac:dyDescent="0.3">
      <c r="A6863" t="s">
        <v>70</v>
      </c>
    </row>
    <row r="6864" spans="1:11" x14ac:dyDescent="0.3">
      <c r="A6864" t="s">
        <v>115</v>
      </c>
    </row>
    <row r="6865" spans="1:10" x14ac:dyDescent="0.3">
      <c r="A6865" t="s">
        <v>266</v>
      </c>
    </row>
    <row r="6866" spans="1:10" x14ac:dyDescent="0.3">
      <c r="A6866" t="s">
        <v>267</v>
      </c>
    </row>
    <row r="6867" spans="1:10" x14ac:dyDescent="0.3">
      <c r="A6867" t="s">
        <v>118</v>
      </c>
    </row>
    <row r="6868" spans="1:10" x14ac:dyDescent="0.3">
      <c r="A6868" t="s">
        <v>119</v>
      </c>
    </row>
    <row r="6869" spans="1:10" x14ac:dyDescent="0.3">
      <c r="A6869" t="s">
        <v>268</v>
      </c>
    </row>
    <row r="6870" spans="1:10" x14ac:dyDescent="0.3">
      <c r="A6870" t="s">
        <v>269</v>
      </c>
    </row>
    <row r="6871" spans="1:10" x14ac:dyDescent="0.3">
      <c r="A6871" t="s">
        <v>122</v>
      </c>
    </row>
    <row r="6872" spans="1:10" x14ac:dyDescent="0.3">
      <c r="A6872" t="s">
        <v>270</v>
      </c>
    </row>
    <row r="6873" spans="1:10" x14ac:dyDescent="0.3">
      <c r="A6873" t="s">
        <v>271</v>
      </c>
    </row>
    <row r="6874" spans="1:10" x14ac:dyDescent="0.3">
      <c r="A6874" t="s">
        <v>125</v>
      </c>
    </row>
    <row r="6875" spans="1:10" x14ac:dyDescent="0.3">
      <c r="A6875" t="s">
        <v>126</v>
      </c>
    </row>
    <row r="6876" spans="1:10" x14ac:dyDescent="0.3">
      <c r="A6876" t="s">
        <v>127</v>
      </c>
    </row>
    <row r="6877" spans="1:10" x14ac:dyDescent="0.3">
      <c r="A6877" t="s">
        <v>192</v>
      </c>
    </row>
    <row r="6878" spans="1:10" x14ac:dyDescent="0.3">
      <c r="A6878" t="s">
        <v>318</v>
      </c>
    </row>
    <row r="6879" spans="1:10" x14ac:dyDescent="0.3">
      <c r="A6879" t="s">
        <v>72</v>
      </c>
      <c r="B6879">
        <v>1</v>
      </c>
      <c r="C6879" t="s">
        <v>73</v>
      </c>
      <c r="D6879">
        <v>3.7000000000000002E-6</v>
      </c>
      <c r="E6879" t="s">
        <v>74</v>
      </c>
      <c r="F6879">
        <v>3.7000000000000002E-3</v>
      </c>
      <c r="G6879" t="s">
        <v>75</v>
      </c>
      <c r="H6879">
        <v>3.7</v>
      </c>
      <c r="I6879" t="s">
        <v>76</v>
      </c>
      <c r="J6879" t="s">
        <v>77</v>
      </c>
    </row>
    <row r="6880" spans="1:10" x14ac:dyDescent="0.3">
      <c r="A6880" t="s">
        <v>72</v>
      </c>
      <c r="B6880">
        <v>1</v>
      </c>
      <c r="C6880" t="s">
        <v>78</v>
      </c>
      <c r="D6880">
        <v>0.14059541</v>
      </c>
      <c r="E6880" t="s">
        <v>74</v>
      </c>
      <c r="F6880">
        <v>140.59540999999999</v>
      </c>
      <c r="G6880" t="s">
        <v>75</v>
      </c>
      <c r="H6880">
        <v>140595.40599999999</v>
      </c>
      <c r="I6880" t="s">
        <v>76</v>
      </c>
      <c r="J6880" t="s">
        <v>77</v>
      </c>
    </row>
    <row r="6881" spans="1:11" x14ac:dyDescent="0.3">
      <c r="A6881" t="s">
        <v>72</v>
      </c>
      <c r="B6881">
        <v>1</v>
      </c>
      <c r="C6881" t="s">
        <v>79</v>
      </c>
      <c r="D6881">
        <v>0.1008994</v>
      </c>
      <c r="E6881" t="s">
        <v>74</v>
      </c>
      <c r="F6881">
        <v>100.8994</v>
      </c>
      <c r="G6881" t="s">
        <v>75</v>
      </c>
      <c r="H6881">
        <v>100899.398</v>
      </c>
      <c r="I6881" t="s">
        <v>76</v>
      </c>
      <c r="J6881" t="s">
        <v>77</v>
      </c>
    </row>
    <row r="6882" spans="1:11" x14ac:dyDescent="0.3">
      <c r="A6882" t="s">
        <v>72</v>
      </c>
      <c r="B6882">
        <v>1</v>
      </c>
      <c r="C6882" t="s">
        <v>94</v>
      </c>
      <c r="D6882">
        <v>9.3147999999999998E-3</v>
      </c>
      <c r="E6882" t="s">
        <v>74</v>
      </c>
      <c r="F6882">
        <v>9.3148</v>
      </c>
      <c r="G6882" t="s">
        <v>75</v>
      </c>
      <c r="H6882">
        <v>9314.7999999999993</v>
      </c>
      <c r="I6882" t="s">
        <v>76</v>
      </c>
      <c r="J6882" t="s">
        <v>77</v>
      </c>
    </row>
    <row r="6883" spans="1:11" x14ac:dyDescent="0.3">
      <c r="A6883" t="s">
        <v>72</v>
      </c>
      <c r="B6883">
        <v>1</v>
      </c>
      <c r="C6883" t="s">
        <v>80</v>
      </c>
      <c r="D6883">
        <v>9.3153999999999997E-3</v>
      </c>
      <c r="E6883" t="s">
        <v>74</v>
      </c>
      <c r="F6883">
        <v>9.3154000000000003</v>
      </c>
      <c r="G6883" t="s">
        <v>75</v>
      </c>
      <c r="H6883">
        <v>9315.4</v>
      </c>
      <c r="I6883" t="s">
        <v>76</v>
      </c>
      <c r="J6883" t="s">
        <v>77</v>
      </c>
    </row>
    <row r="6884" spans="1:11" x14ac:dyDescent="0.3">
      <c r="A6884" t="s">
        <v>72</v>
      </c>
      <c r="B6884">
        <v>1</v>
      </c>
      <c r="C6884" t="s">
        <v>81</v>
      </c>
      <c r="D6884">
        <v>0.11021739999999999</v>
      </c>
      <c r="E6884" t="s">
        <v>74</v>
      </c>
      <c r="F6884">
        <v>110.2174</v>
      </c>
      <c r="G6884" t="s">
        <v>75</v>
      </c>
      <c r="H6884">
        <v>110217.4</v>
      </c>
      <c r="I6884" t="s">
        <v>76</v>
      </c>
      <c r="J6884" t="s">
        <v>82</v>
      </c>
      <c r="K6884">
        <v>9.0729775999999998</v>
      </c>
    </row>
    <row r="6885" spans="1:11" x14ac:dyDescent="0.3">
      <c r="A6885" t="s">
        <v>83</v>
      </c>
      <c r="B6885">
        <v>1000</v>
      </c>
      <c r="C6885" t="s">
        <v>79</v>
      </c>
      <c r="D6885">
        <v>2.5824400000000001E-3</v>
      </c>
      <c r="E6885" t="s">
        <v>74</v>
      </c>
      <c r="F6885">
        <v>2.5824400000000001</v>
      </c>
      <c r="G6885" t="s">
        <v>75</v>
      </c>
      <c r="H6885">
        <v>2582.44</v>
      </c>
      <c r="I6885" t="s">
        <v>76</v>
      </c>
      <c r="J6885" t="s">
        <v>77</v>
      </c>
    </row>
    <row r="6886" spans="1:11" x14ac:dyDescent="0.3">
      <c r="A6886" t="s">
        <v>83</v>
      </c>
      <c r="B6886">
        <v>1000</v>
      </c>
      <c r="C6886" t="s">
        <v>94</v>
      </c>
      <c r="D6886">
        <v>2.6071900000000001E-3</v>
      </c>
      <c r="E6886" t="s">
        <v>74</v>
      </c>
      <c r="F6886">
        <v>2.6071900000000001</v>
      </c>
      <c r="G6886" t="s">
        <v>75</v>
      </c>
      <c r="H6886">
        <v>2607.1869999999999</v>
      </c>
      <c r="I6886" t="s">
        <v>76</v>
      </c>
      <c r="J6886" t="s">
        <v>77</v>
      </c>
    </row>
    <row r="6887" spans="1:11" x14ac:dyDescent="0.3">
      <c r="A6887" t="s">
        <v>83</v>
      </c>
      <c r="B6887">
        <v>1000</v>
      </c>
      <c r="C6887" t="s">
        <v>80</v>
      </c>
      <c r="D6887">
        <v>2.7831900000000001E-3</v>
      </c>
      <c r="E6887" t="s">
        <v>74</v>
      </c>
      <c r="F6887">
        <v>2.7831899999999998</v>
      </c>
      <c r="G6887" t="s">
        <v>75</v>
      </c>
      <c r="H6887">
        <v>2783.1869999999999</v>
      </c>
      <c r="I6887" t="s">
        <v>76</v>
      </c>
      <c r="J6887" t="s">
        <v>77</v>
      </c>
    </row>
    <row r="6888" spans="1:11" x14ac:dyDescent="0.3">
      <c r="A6888" t="s">
        <v>83</v>
      </c>
      <c r="B6888">
        <v>1000</v>
      </c>
      <c r="C6888" t="s">
        <v>81</v>
      </c>
      <c r="D6888">
        <v>5.3664799999999999E-3</v>
      </c>
      <c r="E6888" t="s">
        <v>74</v>
      </c>
      <c r="F6888">
        <v>5.3664800000000001</v>
      </c>
      <c r="G6888" t="s">
        <v>75</v>
      </c>
      <c r="H6888">
        <v>5366.4830000000002</v>
      </c>
      <c r="I6888" t="s">
        <v>76</v>
      </c>
      <c r="J6888" t="s">
        <v>82</v>
      </c>
      <c r="K6888">
        <v>186.34179019999999</v>
      </c>
    </row>
    <row r="6889" spans="1:11" x14ac:dyDescent="0.3">
      <c r="A6889" t="s">
        <v>84</v>
      </c>
      <c r="B6889">
        <v>1001</v>
      </c>
      <c r="C6889" t="s">
        <v>79</v>
      </c>
      <c r="D6889">
        <v>2.6806600000000001E-3</v>
      </c>
      <c r="E6889" t="s">
        <v>74</v>
      </c>
      <c r="F6889">
        <v>2.68066</v>
      </c>
      <c r="G6889" t="s">
        <v>75</v>
      </c>
      <c r="H6889">
        <v>2680.6579999999999</v>
      </c>
      <c r="I6889" t="s">
        <v>76</v>
      </c>
      <c r="J6889" t="s">
        <v>77</v>
      </c>
    </row>
    <row r="6890" spans="1:11" x14ac:dyDescent="0.3">
      <c r="A6890" t="s">
        <v>84</v>
      </c>
      <c r="B6890">
        <v>1001</v>
      </c>
      <c r="C6890" t="s">
        <v>94</v>
      </c>
      <c r="D6890">
        <v>2.6138899999999998E-3</v>
      </c>
      <c r="E6890" t="s">
        <v>74</v>
      </c>
      <c r="F6890">
        <v>2.61389</v>
      </c>
      <c r="G6890" t="s">
        <v>75</v>
      </c>
      <c r="H6890">
        <v>2613.8870000000002</v>
      </c>
      <c r="I6890" t="s">
        <v>76</v>
      </c>
      <c r="J6890" t="s">
        <v>77</v>
      </c>
    </row>
    <row r="6891" spans="1:11" x14ac:dyDescent="0.3">
      <c r="A6891" t="s">
        <v>84</v>
      </c>
      <c r="B6891">
        <v>1001</v>
      </c>
      <c r="C6891" t="s">
        <v>80</v>
      </c>
      <c r="D6891">
        <v>2.7897099999999999E-3</v>
      </c>
      <c r="E6891" t="s">
        <v>74</v>
      </c>
      <c r="F6891">
        <v>2.7897099999999999</v>
      </c>
      <c r="G6891" t="s">
        <v>75</v>
      </c>
      <c r="H6891">
        <v>2789.7130000000002</v>
      </c>
      <c r="I6891" t="s">
        <v>76</v>
      </c>
      <c r="J6891" t="s">
        <v>77</v>
      </c>
    </row>
    <row r="6892" spans="1:11" x14ac:dyDescent="0.3">
      <c r="A6892" t="s">
        <v>84</v>
      </c>
      <c r="B6892">
        <v>1001</v>
      </c>
      <c r="C6892" t="s">
        <v>81</v>
      </c>
      <c r="D6892">
        <v>5.4712299999999997E-3</v>
      </c>
      <c r="E6892" t="s">
        <v>74</v>
      </c>
      <c r="F6892">
        <v>5.4712300000000003</v>
      </c>
      <c r="G6892" t="s">
        <v>75</v>
      </c>
      <c r="H6892">
        <v>5471.2290000000003</v>
      </c>
      <c r="I6892" t="s">
        <v>76</v>
      </c>
      <c r="J6892" t="s">
        <v>82</v>
      </c>
      <c r="K6892">
        <v>182.77430409999999</v>
      </c>
    </row>
    <row r="6893" spans="1:11" x14ac:dyDescent="0.3">
      <c r="A6893" t="s">
        <v>85</v>
      </c>
      <c r="B6893">
        <v>1001</v>
      </c>
      <c r="C6893" t="s">
        <v>86</v>
      </c>
      <c r="D6893">
        <v>5.4714400000000002E-3</v>
      </c>
      <c r="E6893" t="s">
        <v>74</v>
      </c>
      <c r="F6893">
        <v>5.4714400000000003</v>
      </c>
      <c r="G6893" t="s">
        <v>75</v>
      </c>
      <c r="H6893">
        <v>5471.4440000000004</v>
      </c>
      <c r="I6893" t="s">
        <v>76</v>
      </c>
      <c r="J6893" t="s">
        <v>82</v>
      </c>
      <c r="K6893">
        <v>182.7670956</v>
      </c>
    </row>
    <row r="6894" spans="1:11" x14ac:dyDescent="0.3">
      <c r="A6894" t="s">
        <v>194</v>
      </c>
    </row>
    <row r="6895" spans="1:11" x14ac:dyDescent="0.3">
      <c r="A6895" t="s">
        <v>319</v>
      </c>
    </row>
    <row r="6896" spans="1:11" x14ac:dyDescent="0.3">
      <c r="A6896" t="s">
        <v>72</v>
      </c>
      <c r="B6896">
        <v>1</v>
      </c>
      <c r="C6896" t="s">
        <v>73</v>
      </c>
      <c r="D6896">
        <v>3.7000000000000002E-6</v>
      </c>
      <c r="E6896" t="s">
        <v>74</v>
      </c>
      <c r="F6896">
        <v>3.7000000000000002E-3</v>
      </c>
      <c r="G6896" t="s">
        <v>75</v>
      </c>
      <c r="H6896">
        <v>3.7</v>
      </c>
      <c r="I6896" t="s">
        <v>76</v>
      </c>
      <c r="J6896" t="s">
        <v>77</v>
      </c>
    </row>
    <row r="6897" spans="1:11" x14ac:dyDescent="0.3">
      <c r="A6897" t="s">
        <v>72</v>
      </c>
      <c r="B6897">
        <v>1</v>
      </c>
      <c r="C6897" t="s">
        <v>78</v>
      </c>
      <c r="D6897">
        <v>1.0170000000000001E-4</v>
      </c>
      <c r="E6897" t="s">
        <v>74</v>
      </c>
      <c r="F6897">
        <v>0.1017</v>
      </c>
      <c r="G6897" t="s">
        <v>75</v>
      </c>
      <c r="H6897">
        <v>101.7</v>
      </c>
      <c r="I6897" t="s">
        <v>76</v>
      </c>
      <c r="J6897" t="s">
        <v>77</v>
      </c>
    </row>
    <row r="6898" spans="1:11" x14ac:dyDescent="0.3">
      <c r="A6898" t="s">
        <v>72</v>
      </c>
      <c r="B6898">
        <v>1</v>
      </c>
      <c r="C6898" t="s">
        <v>79</v>
      </c>
      <c r="D6898">
        <v>4.9887999999999998E-3</v>
      </c>
      <c r="E6898" t="s">
        <v>74</v>
      </c>
      <c r="F6898">
        <v>4.9888000000000003</v>
      </c>
      <c r="G6898" t="s">
        <v>75</v>
      </c>
      <c r="H6898">
        <v>4988.8</v>
      </c>
      <c r="I6898" t="s">
        <v>76</v>
      </c>
      <c r="J6898" t="s">
        <v>77</v>
      </c>
    </row>
    <row r="6899" spans="1:11" x14ac:dyDescent="0.3">
      <c r="A6899" t="s">
        <v>72</v>
      </c>
      <c r="B6899">
        <v>1</v>
      </c>
      <c r="C6899" t="s">
        <v>94</v>
      </c>
      <c r="D6899">
        <v>2.8281000000000001E-3</v>
      </c>
      <c r="E6899" t="s">
        <v>74</v>
      </c>
      <c r="F6899">
        <v>2.8281000000000001</v>
      </c>
      <c r="G6899" t="s">
        <v>75</v>
      </c>
      <c r="H6899">
        <v>2828.1</v>
      </c>
      <c r="I6899" t="s">
        <v>76</v>
      </c>
      <c r="J6899" t="s">
        <v>77</v>
      </c>
    </row>
    <row r="6900" spans="1:11" x14ac:dyDescent="0.3">
      <c r="A6900" t="s">
        <v>72</v>
      </c>
      <c r="B6900">
        <v>1</v>
      </c>
      <c r="C6900" t="s">
        <v>80</v>
      </c>
      <c r="D6900">
        <v>3.0182999999999998E-3</v>
      </c>
      <c r="E6900" t="s">
        <v>74</v>
      </c>
      <c r="F6900">
        <v>3.0183</v>
      </c>
      <c r="G6900" t="s">
        <v>75</v>
      </c>
      <c r="H6900">
        <v>3018.3</v>
      </c>
      <c r="I6900" t="s">
        <v>76</v>
      </c>
      <c r="J6900" t="s">
        <v>77</v>
      </c>
    </row>
    <row r="6901" spans="1:11" x14ac:dyDescent="0.3">
      <c r="A6901" t="s">
        <v>72</v>
      </c>
      <c r="B6901">
        <v>1</v>
      </c>
      <c r="C6901" t="s">
        <v>81</v>
      </c>
      <c r="D6901">
        <v>8.0084000000000006E-3</v>
      </c>
      <c r="E6901" t="s">
        <v>74</v>
      </c>
      <c r="F6901">
        <v>8.0084</v>
      </c>
      <c r="G6901" t="s">
        <v>75</v>
      </c>
      <c r="H6901">
        <v>8008.4</v>
      </c>
      <c r="I6901" t="s">
        <v>76</v>
      </c>
      <c r="J6901" t="s">
        <v>82</v>
      </c>
      <c r="K6901">
        <v>124.868888</v>
      </c>
    </row>
    <row r="6902" spans="1:11" x14ac:dyDescent="0.3">
      <c r="A6902" t="s">
        <v>83</v>
      </c>
      <c r="B6902">
        <v>1000</v>
      </c>
      <c r="C6902" t="s">
        <v>79</v>
      </c>
      <c r="D6902">
        <v>3.0897099999999999E-3</v>
      </c>
      <c r="E6902" t="s">
        <v>74</v>
      </c>
      <c r="F6902">
        <v>3.0897100000000002</v>
      </c>
      <c r="G6902" t="s">
        <v>75</v>
      </c>
      <c r="H6902">
        <v>3089.7080000000001</v>
      </c>
      <c r="I6902" t="s">
        <v>76</v>
      </c>
      <c r="J6902" t="s">
        <v>77</v>
      </c>
    </row>
    <row r="6903" spans="1:11" x14ac:dyDescent="0.3">
      <c r="A6903" t="s">
        <v>83</v>
      </c>
      <c r="B6903">
        <v>1000</v>
      </c>
      <c r="C6903" t="s">
        <v>94</v>
      </c>
      <c r="D6903">
        <v>2.6681500000000002E-3</v>
      </c>
      <c r="E6903" t="s">
        <v>74</v>
      </c>
      <c r="F6903">
        <v>2.6681499999999998</v>
      </c>
      <c r="G6903" t="s">
        <v>75</v>
      </c>
      <c r="H6903">
        <v>2668.152</v>
      </c>
      <c r="I6903" t="s">
        <v>76</v>
      </c>
      <c r="J6903" t="s">
        <v>77</v>
      </c>
    </row>
    <row r="6904" spans="1:11" x14ac:dyDescent="0.3">
      <c r="A6904" t="s">
        <v>83</v>
      </c>
      <c r="B6904">
        <v>1000</v>
      </c>
      <c r="C6904" t="s">
        <v>80</v>
      </c>
      <c r="D6904">
        <v>2.8398999999999998E-3</v>
      </c>
      <c r="E6904" t="s">
        <v>74</v>
      </c>
      <c r="F6904">
        <v>2.8399000000000001</v>
      </c>
      <c r="G6904" t="s">
        <v>75</v>
      </c>
      <c r="H6904">
        <v>2839.9029999999998</v>
      </c>
      <c r="I6904" t="s">
        <v>76</v>
      </c>
      <c r="J6904" t="s">
        <v>77</v>
      </c>
    </row>
    <row r="6905" spans="1:11" x14ac:dyDescent="0.3">
      <c r="A6905" t="s">
        <v>83</v>
      </c>
      <c r="B6905">
        <v>1000</v>
      </c>
      <c r="C6905" t="s">
        <v>81</v>
      </c>
      <c r="D6905">
        <v>5.9308599999999996E-3</v>
      </c>
      <c r="E6905" t="s">
        <v>74</v>
      </c>
      <c r="F6905">
        <v>5.93086</v>
      </c>
      <c r="G6905" t="s">
        <v>75</v>
      </c>
      <c r="H6905">
        <v>5930.8630000000003</v>
      </c>
      <c r="I6905" t="s">
        <v>76</v>
      </c>
      <c r="J6905" t="s">
        <v>82</v>
      </c>
      <c r="K6905">
        <v>168.6095153</v>
      </c>
    </row>
    <row r="6906" spans="1:11" x14ac:dyDescent="0.3">
      <c r="A6906" t="s">
        <v>84</v>
      </c>
      <c r="B6906">
        <v>1001</v>
      </c>
      <c r="C6906" t="s">
        <v>79</v>
      </c>
      <c r="D6906">
        <v>3.0916099999999998E-3</v>
      </c>
      <c r="E6906" t="s">
        <v>74</v>
      </c>
      <c r="F6906">
        <v>3.0916100000000002</v>
      </c>
      <c r="G6906" t="s">
        <v>75</v>
      </c>
      <c r="H6906">
        <v>3091.605</v>
      </c>
      <c r="I6906" t="s">
        <v>76</v>
      </c>
      <c r="J6906" t="s">
        <v>77</v>
      </c>
    </row>
    <row r="6907" spans="1:11" x14ac:dyDescent="0.3">
      <c r="A6907" t="s">
        <v>84</v>
      </c>
      <c r="B6907">
        <v>1001</v>
      </c>
      <c r="C6907" t="s">
        <v>94</v>
      </c>
      <c r="D6907">
        <v>2.6683100000000001E-3</v>
      </c>
      <c r="E6907" t="s">
        <v>74</v>
      </c>
      <c r="F6907">
        <v>2.66831</v>
      </c>
      <c r="G6907" t="s">
        <v>75</v>
      </c>
      <c r="H6907">
        <v>2668.3119999999999</v>
      </c>
      <c r="I6907" t="s">
        <v>76</v>
      </c>
      <c r="J6907" t="s">
        <v>77</v>
      </c>
    </row>
    <row r="6908" spans="1:11" x14ac:dyDescent="0.3">
      <c r="A6908" t="s">
        <v>84</v>
      </c>
      <c r="B6908">
        <v>1001</v>
      </c>
      <c r="C6908" t="s">
        <v>80</v>
      </c>
      <c r="D6908">
        <v>2.84008E-3</v>
      </c>
      <c r="E6908" t="s">
        <v>74</v>
      </c>
      <c r="F6908">
        <v>2.8400799999999999</v>
      </c>
      <c r="G6908" t="s">
        <v>75</v>
      </c>
      <c r="H6908">
        <v>2840.0810000000001</v>
      </c>
      <c r="I6908" t="s">
        <v>76</v>
      </c>
      <c r="J6908" t="s">
        <v>77</v>
      </c>
    </row>
    <row r="6909" spans="1:11" x14ac:dyDescent="0.3">
      <c r="A6909" t="s">
        <v>84</v>
      </c>
      <c r="B6909">
        <v>1001</v>
      </c>
      <c r="C6909" t="s">
        <v>81</v>
      </c>
      <c r="D6909">
        <v>5.9329400000000003E-3</v>
      </c>
      <c r="E6909" t="s">
        <v>74</v>
      </c>
      <c r="F6909">
        <v>5.9329400000000003</v>
      </c>
      <c r="G6909" t="s">
        <v>75</v>
      </c>
      <c r="H6909">
        <v>5932.9390000000003</v>
      </c>
      <c r="I6909" t="s">
        <v>76</v>
      </c>
      <c r="J6909" t="s">
        <v>82</v>
      </c>
      <c r="K6909">
        <v>168.5505301</v>
      </c>
    </row>
    <row r="6910" spans="1:11" x14ac:dyDescent="0.3">
      <c r="A6910" t="s">
        <v>85</v>
      </c>
      <c r="B6910">
        <v>1001</v>
      </c>
      <c r="C6910" t="s">
        <v>86</v>
      </c>
      <c r="D6910">
        <v>5.9332400000000002E-3</v>
      </c>
      <c r="E6910" t="s">
        <v>74</v>
      </c>
      <c r="F6910">
        <v>5.9332399999999996</v>
      </c>
      <c r="G6910" t="s">
        <v>75</v>
      </c>
      <c r="H6910">
        <v>5933.2439999999997</v>
      </c>
      <c r="I6910" t="s">
        <v>76</v>
      </c>
      <c r="J6910" t="s">
        <v>82</v>
      </c>
      <c r="K6910">
        <v>168.5418693</v>
      </c>
    </row>
    <row r="6911" spans="1:11" x14ac:dyDescent="0.3">
      <c r="A6911" t="s">
        <v>115</v>
      </c>
    </row>
    <row r="6912" spans="1:11" x14ac:dyDescent="0.3">
      <c r="A6912" t="s">
        <v>127</v>
      </c>
    </row>
    <row r="6913" spans="1:11" x14ac:dyDescent="0.3">
      <c r="A6913" t="s">
        <v>87</v>
      </c>
    </row>
    <row r="6914" spans="1:11" x14ac:dyDescent="0.3">
      <c r="A6914" t="s">
        <v>320</v>
      </c>
    </row>
    <row r="6915" spans="1:11" x14ac:dyDescent="0.3">
      <c r="A6915" t="s">
        <v>72</v>
      </c>
      <c r="B6915">
        <v>1</v>
      </c>
      <c r="C6915" t="s">
        <v>81</v>
      </c>
      <c r="D6915">
        <v>0.11021739999999999</v>
      </c>
      <c r="E6915" t="s">
        <v>74</v>
      </c>
      <c r="F6915">
        <v>110.2174</v>
      </c>
      <c r="G6915" t="s">
        <v>75</v>
      </c>
      <c r="H6915">
        <v>110217.4</v>
      </c>
      <c r="I6915" t="s">
        <v>76</v>
      </c>
      <c r="J6915" t="s">
        <v>82</v>
      </c>
      <c r="K6915">
        <v>9.0729775999999998</v>
      </c>
    </row>
    <row r="6916" spans="1:11" x14ac:dyDescent="0.3">
      <c r="A6916" t="s">
        <v>83</v>
      </c>
      <c r="B6916">
        <v>1000</v>
      </c>
      <c r="C6916" t="s">
        <v>81</v>
      </c>
      <c r="D6916">
        <v>5.3664799999999999E-3</v>
      </c>
      <c r="E6916" t="s">
        <v>74</v>
      </c>
      <c r="F6916">
        <v>5.3664800000000001</v>
      </c>
      <c r="G6916" t="s">
        <v>75</v>
      </c>
      <c r="H6916">
        <v>5366.4830000000002</v>
      </c>
      <c r="I6916" t="s">
        <v>76</v>
      </c>
      <c r="J6916" t="s">
        <v>82</v>
      </c>
      <c r="K6916">
        <v>186.34179019999999</v>
      </c>
    </row>
    <row r="6917" spans="1:11" x14ac:dyDescent="0.3">
      <c r="A6917" t="s">
        <v>85</v>
      </c>
      <c r="B6917">
        <v>1001</v>
      </c>
      <c r="C6917" t="s">
        <v>86</v>
      </c>
      <c r="D6917">
        <v>5.4714400000000002E-3</v>
      </c>
      <c r="E6917" t="s">
        <v>74</v>
      </c>
      <c r="F6917">
        <v>5.4714400000000003</v>
      </c>
      <c r="G6917" t="s">
        <v>75</v>
      </c>
      <c r="H6917">
        <v>5471.4440000000004</v>
      </c>
      <c r="I6917" t="s">
        <v>76</v>
      </c>
      <c r="J6917" t="s">
        <v>82</v>
      </c>
      <c r="K6917">
        <v>182.7670956</v>
      </c>
    </row>
    <row r="6919" spans="1:11" x14ac:dyDescent="0.3">
      <c r="A6919" t="s">
        <v>321</v>
      </c>
    </row>
    <row r="6920" spans="1:11" x14ac:dyDescent="0.3">
      <c r="A6920" t="s">
        <v>72</v>
      </c>
      <c r="B6920">
        <v>1</v>
      </c>
      <c r="C6920" t="s">
        <v>81</v>
      </c>
      <c r="D6920">
        <v>8.0084000000000006E-3</v>
      </c>
      <c r="E6920" t="s">
        <v>74</v>
      </c>
      <c r="F6920">
        <v>8.0084</v>
      </c>
      <c r="G6920" t="s">
        <v>75</v>
      </c>
      <c r="H6920">
        <v>8008.4</v>
      </c>
      <c r="I6920" t="s">
        <v>76</v>
      </c>
      <c r="J6920" t="s">
        <v>82</v>
      </c>
      <c r="K6920">
        <v>124.868888</v>
      </c>
    </row>
    <row r="6921" spans="1:11" x14ac:dyDescent="0.3">
      <c r="A6921" t="s">
        <v>83</v>
      </c>
      <c r="B6921">
        <v>1000</v>
      </c>
      <c r="C6921" t="s">
        <v>81</v>
      </c>
      <c r="D6921">
        <v>5.9308599999999996E-3</v>
      </c>
      <c r="E6921" t="s">
        <v>74</v>
      </c>
      <c r="F6921">
        <v>5.93086</v>
      </c>
      <c r="G6921" t="s">
        <v>75</v>
      </c>
      <c r="H6921">
        <v>5930.8630000000003</v>
      </c>
      <c r="I6921" t="s">
        <v>76</v>
      </c>
      <c r="J6921" t="s">
        <v>82</v>
      </c>
      <c r="K6921">
        <v>168.6095153</v>
      </c>
    </row>
    <row r="6922" spans="1:11" x14ac:dyDescent="0.3">
      <c r="A6922" t="s">
        <v>85</v>
      </c>
      <c r="B6922">
        <v>1001</v>
      </c>
      <c r="C6922" t="s">
        <v>86</v>
      </c>
      <c r="D6922">
        <v>5.9332400000000002E-3</v>
      </c>
      <c r="E6922" t="s">
        <v>74</v>
      </c>
      <c r="F6922">
        <v>5.9332399999999996</v>
      </c>
      <c r="G6922" t="s">
        <v>75</v>
      </c>
      <c r="H6922">
        <v>5933.2439999999997</v>
      </c>
      <c r="I6922" t="s">
        <v>76</v>
      </c>
      <c r="J6922" t="s">
        <v>82</v>
      </c>
      <c r="K6922">
        <v>168.5418693</v>
      </c>
    </row>
    <row r="6924" spans="1:11" x14ac:dyDescent="0.3">
      <c r="A6924" t="s">
        <v>66</v>
      </c>
    </row>
    <row r="6926" spans="1:11" x14ac:dyDescent="0.3">
      <c r="A6926" t="s">
        <v>374</v>
      </c>
    </row>
    <row r="6927" spans="1:11" x14ac:dyDescent="0.3">
      <c r="A6927" t="s">
        <v>68</v>
      </c>
    </row>
    <row r="6928" spans="1:11" x14ac:dyDescent="0.3">
      <c r="A6928" t="s">
        <v>69</v>
      </c>
    </row>
    <row r="6929" spans="1:1" x14ac:dyDescent="0.3">
      <c r="A6929" t="s">
        <v>70</v>
      </c>
    </row>
    <row r="6930" spans="1:1" x14ac:dyDescent="0.3">
      <c r="A6930" t="s">
        <v>115</v>
      </c>
    </row>
    <row r="6931" spans="1:1" x14ac:dyDescent="0.3">
      <c r="A6931" t="s">
        <v>266</v>
      </c>
    </row>
    <row r="6932" spans="1:1" x14ac:dyDescent="0.3">
      <c r="A6932" t="s">
        <v>267</v>
      </c>
    </row>
    <row r="6933" spans="1:1" x14ac:dyDescent="0.3">
      <c r="A6933" t="s">
        <v>118</v>
      </c>
    </row>
    <row r="6934" spans="1:1" x14ac:dyDescent="0.3">
      <c r="A6934" t="s">
        <v>119</v>
      </c>
    </row>
    <row r="6935" spans="1:1" x14ac:dyDescent="0.3">
      <c r="A6935" t="s">
        <v>268</v>
      </c>
    </row>
    <row r="6936" spans="1:1" x14ac:dyDescent="0.3">
      <c r="A6936" t="s">
        <v>269</v>
      </c>
    </row>
    <row r="6937" spans="1:1" x14ac:dyDescent="0.3">
      <c r="A6937" t="s">
        <v>122</v>
      </c>
    </row>
    <row r="6938" spans="1:1" x14ac:dyDescent="0.3">
      <c r="A6938" t="s">
        <v>270</v>
      </c>
    </row>
    <row r="6939" spans="1:1" x14ac:dyDescent="0.3">
      <c r="A6939" t="s">
        <v>271</v>
      </c>
    </row>
    <row r="6940" spans="1:1" x14ac:dyDescent="0.3">
      <c r="A6940" t="s">
        <v>125</v>
      </c>
    </row>
    <row r="6941" spans="1:1" x14ac:dyDescent="0.3">
      <c r="A6941" t="s">
        <v>126</v>
      </c>
    </row>
    <row r="6942" spans="1:1" x14ac:dyDescent="0.3">
      <c r="A6942" t="s">
        <v>127</v>
      </c>
    </row>
    <row r="6943" spans="1:1" x14ac:dyDescent="0.3">
      <c r="A6943" t="s">
        <v>199</v>
      </c>
    </row>
    <row r="6944" spans="1:1" x14ac:dyDescent="0.3">
      <c r="A6944" t="s">
        <v>323</v>
      </c>
    </row>
    <row r="6945" spans="1:11" x14ac:dyDescent="0.3">
      <c r="A6945" t="s">
        <v>72</v>
      </c>
      <c r="B6945">
        <v>1</v>
      </c>
      <c r="C6945" t="s">
        <v>73</v>
      </c>
      <c r="D6945">
        <v>3.8999999999999999E-6</v>
      </c>
      <c r="E6945" t="s">
        <v>74</v>
      </c>
      <c r="F6945">
        <v>3.8999999999999998E-3</v>
      </c>
      <c r="G6945" t="s">
        <v>75</v>
      </c>
      <c r="H6945">
        <v>3.9</v>
      </c>
      <c r="I6945" t="s">
        <v>76</v>
      </c>
      <c r="J6945" t="s">
        <v>77</v>
      </c>
    </row>
    <row r="6946" spans="1:11" x14ac:dyDescent="0.3">
      <c r="A6946" t="s">
        <v>72</v>
      </c>
      <c r="B6946">
        <v>1</v>
      </c>
      <c r="C6946" t="s">
        <v>78</v>
      </c>
      <c r="D6946">
        <v>0.11203539999999999</v>
      </c>
      <c r="E6946" t="s">
        <v>74</v>
      </c>
      <c r="F6946">
        <v>112.0354</v>
      </c>
      <c r="G6946" t="s">
        <v>75</v>
      </c>
      <c r="H6946">
        <v>112035.401</v>
      </c>
      <c r="I6946" t="s">
        <v>76</v>
      </c>
      <c r="J6946" t="s">
        <v>77</v>
      </c>
    </row>
    <row r="6947" spans="1:11" x14ac:dyDescent="0.3">
      <c r="A6947" t="s">
        <v>72</v>
      </c>
      <c r="B6947">
        <v>1</v>
      </c>
      <c r="C6947" t="s">
        <v>79</v>
      </c>
      <c r="D6947">
        <v>0.1353298</v>
      </c>
      <c r="E6947" t="s">
        <v>74</v>
      </c>
      <c r="F6947">
        <v>135.32980000000001</v>
      </c>
      <c r="G6947" t="s">
        <v>75</v>
      </c>
      <c r="H6947">
        <v>135329.79800000001</v>
      </c>
      <c r="I6947" t="s">
        <v>76</v>
      </c>
      <c r="J6947" t="s">
        <v>77</v>
      </c>
    </row>
    <row r="6948" spans="1:11" x14ac:dyDescent="0.3">
      <c r="A6948" t="s">
        <v>72</v>
      </c>
      <c r="B6948">
        <v>1</v>
      </c>
      <c r="C6948" t="s">
        <v>94</v>
      </c>
      <c r="D6948">
        <v>1.7855200000000002E-2</v>
      </c>
      <c r="E6948" t="s">
        <v>74</v>
      </c>
      <c r="F6948">
        <v>17.8552</v>
      </c>
      <c r="G6948" t="s">
        <v>75</v>
      </c>
      <c r="H6948">
        <v>17855.201000000001</v>
      </c>
      <c r="I6948" t="s">
        <v>76</v>
      </c>
      <c r="J6948" t="s">
        <v>77</v>
      </c>
    </row>
    <row r="6949" spans="1:11" x14ac:dyDescent="0.3">
      <c r="A6949" t="s">
        <v>72</v>
      </c>
      <c r="B6949">
        <v>1</v>
      </c>
      <c r="C6949" t="s">
        <v>80</v>
      </c>
      <c r="D6949">
        <v>1.7858300000000001E-2</v>
      </c>
      <c r="E6949" t="s">
        <v>74</v>
      </c>
      <c r="F6949">
        <v>17.8583</v>
      </c>
      <c r="G6949" t="s">
        <v>75</v>
      </c>
      <c r="H6949">
        <v>17858.3</v>
      </c>
      <c r="I6949" t="s">
        <v>76</v>
      </c>
      <c r="J6949" t="s">
        <v>77</v>
      </c>
    </row>
    <row r="6950" spans="1:11" x14ac:dyDescent="0.3">
      <c r="A6950" t="s">
        <v>72</v>
      </c>
      <c r="B6950">
        <v>1</v>
      </c>
      <c r="C6950" t="s">
        <v>81</v>
      </c>
      <c r="D6950">
        <v>0.15319070000000001</v>
      </c>
      <c r="E6950" t="s">
        <v>74</v>
      </c>
      <c r="F6950">
        <v>153.19069999999999</v>
      </c>
      <c r="G6950" t="s">
        <v>75</v>
      </c>
      <c r="H6950">
        <v>153190.70199999999</v>
      </c>
      <c r="I6950" t="s">
        <v>76</v>
      </c>
      <c r="J6950" t="s">
        <v>82</v>
      </c>
      <c r="K6950">
        <v>6.5278112999999998</v>
      </c>
    </row>
    <row r="6951" spans="1:11" x14ac:dyDescent="0.3">
      <c r="A6951" t="s">
        <v>83</v>
      </c>
      <c r="B6951">
        <v>1000</v>
      </c>
      <c r="C6951" t="s">
        <v>79</v>
      </c>
      <c r="D6951">
        <v>4.1221999999999998E-4</v>
      </c>
      <c r="E6951" t="s">
        <v>74</v>
      </c>
      <c r="F6951">
        <v>0.41221999999999998</v>
      </c>
      <c r="G6951" t="s">
        <v>75</v>
      </c>
      <c r="H6951">
        <v>412.22</v>
      </c>
      <c r="I6951" t="s">
        <v>76</v>
      </c>
      <c r="J6951" t="s">
        <v>77</v>
      </c>
    </row>
    <row r="6952" spans="1:11" x14ac:dyDescent="0.3">
      <c r="A6952" t="s">
        <v>83</v>
      </c>
      <c r="B6952">
        <v>1000</v>
      </c>
      <c r="C6952" t="s">
        <v>94</v>
      </c>
      <c r="D6952">
        <v>1.8229240000000001E-2</v>
      </c>
      <c r="E6952" t="s">
        <v>74</v>
      </c>
      <c r="F6952">
        <v>18.229240000000001</v>
      </c>
      <c r="G6952" t="s">
        <v>75</v>
      </c>
      <c r="H6952">
        <v>18229.241999999998</v>
      </c>
      <c r="I6952" t="s">
        <v>76</v>
      </c>
      <c r="J6952" t="s">
        <v>77</v>
      </c>
    </row>
    <row r="6953" spans="1:11" x14ac:dyDescent="0.3">
      <c r="A6953" t="s">
        <v>83</v>
      </c>
      <c r="B6953">
        <v>1000</v>
      </c>
      <c r="C6953" t="s">
        <v>80</v>
      </c>
      <c r="D6953">
        <v>1.8229519999999999E-2</v>
      </c>
      <c r="E6953" t="s">
        <v>74</v>
      </c>
      <c r="F6953">
        <v>18.229520000000001</v>
      </c>
      <c r="G6953" t="s">
        <v>75</v>
      </c>
      <c r="H6953">
        <v>18229.523000000001</v>
      </c>
      <c r="I6953" t="s">
        <v>76</v>
      </c>
      <c r="J6953" t="s">
        <v>77</v>
      </c>
    </row>
    <row r="6954" spans="1:11" x14ac:dyDescent="0.3">
      <c r="A6954" t="s">
        <v>83</v>
      </c>
      <c r="B6954">
        <v>1000</v>
      </c>
      <c r="C6954" t="s">
        <v>81</v>
      </c>
      <c r="D6954">
        <v>1.864236E-2</v>
      </c>
      <c r="E6954" t="s">
        <v>74</v>
      </c>
      <c r="F6954">
        <v>18.64236</v>
      </c>
      <c r="G6954" t="s">
        <v>75</v>
      </c>
      <c r="H6954">
        <v>18642.357</v>
      </c>
      <c r="I6954" t="s">
        <v>76</v>
      </c>
      <c r="J6954" t="s">
        <v>82</v>
      </c>
      <c r="K6954">
        <v>53.641286200000003</v>
      </c>
    </row>
    <row r="6955" spans="1:11" x14ac:dyDescent="0.3">
      <c r="A6955" t="s">
        <v>84</v>
      </c>
      <c r="B6955">
        <v>1001</v>
      </c>
      <c r="C6955" t="s">
        <v>79</v>
      </c>
      <c r="D6955">
        <v>5.4699999999999996E-4</v>
      </c>
      <c r="E6955" t="s">
        <v>74</v>
      </c>
      <c r="F6955">
        <v>0.54700000000000004</v>
      </c>
      <c r="G6955" t="s">
        <v>75</v>
      </c>
      <c r="H6955">
        <v>547.00300000000004</v>
      </c>
      <c r="I6955" t="s">
        <v>76</v>
      </c>
      <c r="J6955" t="s">
        <v>77</v>
      </c>
    </row>
    <row r="6956" spans="1:11" x14ac:dyDescent="0.3">
      <c r="A6956" t="s">
        <v>84</v>
      </c>
      <c r="B6956">
        <v>1001</v>
      </c>
      <c r="C6956" t="s">
        <v>94</v>
      </c>
      <c r="D6956">
        <v>1.8228870000000001E-2</v>
      </c>
      <c r="E6956" t="s">
        <v>74</v>
      </c>
      <c r="F6956">
        <v>18.228870000000001</v>
      </c>
      <c r="G6956" t="s">
        <v>75</v>
      </c>
      <c r="H6956">
        <v>18228.87</v>
      </c>
      <c r="I6956" t="s">
        <v>76</v>
      </c>
      <c r="J6956" t="s">
        <v>77</v>
      </c>
    </row>
    <row r="6957" spans="1:11" x14ac:dyDescent="0.3">
      <c r="A6957" t="s">
        <v>84</v>
      </c>
      <c r="B6957">
        <v>1001</v>
      </c>
      <c r="C6957" t="s">
        <v>80</v>
      </c>
      <c r="D6957">
        <v>1.822915E-2</v>
      </c>
      <c r="E6957" t="s">
        <v>74</v>
      </c>
      <c r="F6957">
        <v>18.229150000000001</v>
      </c>
      <c r="G6957" t="s">
        <v>75</v>
      </c>
      <c r="H6957">
        <v>18229.151999999998</v>
      </c>
      <c r="I6957" t="s">
        <v>76</v>
      </c>
      <c r="J6957" t="s">
        <v>77</v>
      </c>
    </row>
    <row r="6958" spans="1:11" x14ac:dyDescent="0.3">
      <c r="A6958" t="s">
        <v>84</v>
      </c>
      <c r="B6958">
        <v>1001</v>
      </c>
      <c r="C6958" t="s">
        <v>81</v>
      </c>
      <c r="D6958">
        <v>1.8776770000000002E-2</v>
      </c>
      <c r="E6958" t="s">
        <v>74</v>
      </c>
      <c r="F6958">
        <v>18.776769999999999</v>
      </c>
      <c r="G6958" t="s">
        <v>75</v>
      </c>
      <c r="H6958">
        <v>18776.769</v>
      </c>
      <c r="I6958" t="s">
        <v>76</v>
      </c>
      <c r="J6958" t="s">
        <v>82</v>
      </c>
      <c r="K6958">
        <v>53.257299500000002</v>
      </c>
    </row>
    <row r="6959" spans="1:11" x14ac:dyDescent="0.3">
      <c r="A6959" t="s">
        <v>85</v>
      </c>
      <c r="B6959">
        <v>1001</v>
      </c>
      <c r="C6959" t="s">
        <v>86</v>
      </c>
      <c r="D6959">
        <v>1.8777080000000002E-2</v>
      </c>
      <c r="E6959" t="s">
        <v>74</v>
      </c>
      <c r="F6959">
        <v>18.777080000000002</v>
      </c>
      <c r="G6959" t="s">
        <v>75</v>
      </c>
      <c r="H6959">
        <v>18777.082999999999</v>
      </c>
      <c r="I6959" t="s">
        <v>76</v>
      </c>
      <c r="J6959" t="s">
        <v>82</v>
      </c>
      <c r="K6959">
        <v>53.256407799999998</v>
      </c>
    </row>
    <row r="6960" spans="1:11" x14ac:dyDescent="0.3">
      <c r="A6960" t="s">
        <v>201</v>
      </c>
    </row>
    <row r="6961" spans="1:11" x14ac:dyDescent="0.3">
      <c r="A6961" t="s">
        <v>324</v>
      </c>
    </row>
    <row r="6962" spans="1:11" x14ac:dyDescent="0.3">
      <c r="A6962" t="s">
        <v>72</v>
      </c>
      <c r="B6962">
        <v>1</v>
      </c>
      <c r="C6962" t="s">
        <v>73</v>
      </c>
      <c r="D6962">
        <v>3.8999999999999999E-6</v>
      </c>
      <c r="E6962" t="s">
        <v>74</v>
      </c>
      <c r="F6962">
        <v>3.8999999999999998E-3</v>
      </c>
      <c r="G6962" t="s">
        <v>75</v>
      </c>
      <c r="H6962">
        <v>3.9</v>
      </c>
      <c r="I6962" t="s">
        <v>76</v>
      </c>
      <c r="J6962" t="s">
        <v>77</v>
      </c>
    </row>
    <row r="6963" spans="1:11" x14ac:dyDescent="0.3">
      <c r="A6963" t="s">
        <v>72</v>
      </c>
      <c r="B6963">
        <v>1</v>
      </c>
      <c r="C6963" t="s">
        <v>78</v>
      </c>
      <c r="D6963">
        <v>1.1777999999999999E-3</v>
      </c>
      <c r="E6963" t="s">
        <v>74</v>
      </c>
      <c r="F6963">
        <v>1.1778</v>
      </c>
      <c r="G6963" t="s">
        <v>75</v>
      </c>
      <c r="H6963">
        <v>1177.8</v>
      </c>
      <c r="I6963" t="s">
        <v>76</v>
      </c>
      <c r="J6963" t="s">
        <v>77</v>
      </c>
    </row>
    <row r="6964" spans="1:11" x14ac:dyDescent="0.3">
      <c r="A6964" t="s">
        <v>72</v>
      </c>
      <c r="B6964">
        <v>1</v>
      </c>
      <c r="C6964" t="s">
        <v>79</v>
      </c>
      <c r="D6964">
        <v>8.8214999999999995E-3</v>
      </c>
      <c r="E6964" t="s">
        <v>74</v>
      </c>
      <c r="F6964">
        <v>8.8215000000000003</v>
      </c>
      <c r="G6964" t="s">
        <v>75</v>
      </c>
      <c r="H6964">
        <v>8821.5</v>
      </c>
      <c r="I6964" t="s">
        <v>76</v>
      </c>
      <c r="J6964" t="s">
        <v>77</v>
      </c>
    </row>
    <row r="6965" spans="1:11" x14ac:dyDescent="0.3">
      <c r="A6965" t="s">
        <v>72</v>
      </c>
      <c r="B6965">
        <v>1</v>
      </c>
      <c r="C6965" t="s">
        <v>94</v>
      </c>
      <c r="D6965">
        <v>0.1134444</v>
      </c>
      <c r="E6965" t="s">
        <v>74</v>
      </c>
      <c r="F6965">
        <v>113.4444</v>
      </c>
      <c r="G6965" t="s">
        <v>75</v>
      </c>
      <c r="H6965">
        <v>113444.40300000001</v>
      </c>
      <c r="I6965" t="s">
        <v>76</v>
      </c>
      <c r="J6965" t="s">
        <v>77</v>
      </c>
    </row>
    <row r="6966" spans="1:11" x14ac:dyDescent="0.3">
      <c r="A6966" t="s">
        <v>72</v>
      </c>
      <c r="B6966">
        <v>1</v>
      </c>
      <c r="C6966" t="s">
        <v>80</v>
      </c>
      <c r="D6966">
        <v>0.1134457</v>
      </c>
      <c r="E6966" t="s">
        <v>74</v>
      </c>
      <c r="F6966">
        <v>113.4457</v>
      </c>
      <c r="G6966" t="s">
        <v>75</v>
      </c>
      <c r="H6966">
        <v>113445.69899999999</v>
      </c>
      <c r="I6966" t="s">
        <v>76</v>
      </c>
      <c r="J6966" t="s">
        <v>77</v>
      </c>
    </row>
    <row r="6967" spans="1:11" x14ac:dyDescent="0.3">
      <c r="A6967" t="s">
        <v>72</v>
      </c>
      <c r="B6967">
        <v>1</v>
      </c>
      <c r="C6967" t="s">
        <v>81</v>
      </c>
      <c r="D6967">
        <v>0.12226819999999999</v>
      </c>
      <c r="E6967" t="s">
        <v>74</v>
      </c>
      <c r="F6967">
        <v>122.26819999999999</v>
      </c>
      <c r="G6967" t="s">
        <v>75</v>
      </c>
      <c r="H6967">
        <v>122268.2</v>
      </c>
      <c r="I6967" t="s">
        <v>76</v>
      </c>
      <c r="J6967" t="s">
        <v>82</v>
      </c>
      <c r="K6967">
        <v>8.1787414999999992</v>
      </c>
    </row>
    <row r="6968" spans="1:11" x14ac:dyDescent="0.3">
      <c r="A6968" t="s">
        <v>83</v>
      </c>
      <c r="B6968">
        <v>1000</v>
      </c>
      <c r="C6968" t="s">
        <v>79</v>
      </c>
      <c r="D6968">
        <v>5.7507000000000001E-4</v>
      </c>
      <c r="E6968" t="s">
        <v>74</v>
      </c>
      <c r="F6968">
        <v>0.57506999999999997</v>
      </c>
      <c r="G6968" t="s">
        <v>75</v>
      </c>
      <c r="H6968">
        <v>575.06899999999996</v>
      </c>
      <c r="I6968" t="s">
        <v>76</v>
      </c>
      <c r="J6968" t="s">
        <v>77</v>
      </c>
    </row>
    <row r="6969" spans="1:11" x14ac:dyDescent="0.3">
      <c r="A6969" t="s">
        <v>83</v>
      </c>
      <c r="B6969">
        <v>1000</v>
      </c>
      <c r="C6969" t="s">
        <v>94</v>
      </c>
      <c r="D6969">
        <v>2.6071560000000001E-2</v>
      </c>
      <c r="E6969" t="s">
        <v>74</v>
      </c>
      <c r="F6969">
        <v>26.071560000000002</v>
      </c>
      <c r="G6969" t="s">
        <v>75</v>
      </c>
      <c r="H6969">
        <v>26071.556</v>
      </c>
      <c r="I6969" t="s">
        <v>76</v>
      </c>
      <c r="J6969" t="s">
        <v>77</v>
      </c>
    </row>
    <row r="6970" spans="1:11" x14ac:dyDescent="0.3">
      <c r="A6970" t="s">
        <v>83</v>
      </c>
      <c r="B6970">
        <v>1000</v>
      </c>
      <c r="C6970" t="s">
        <v>80</v>
      </c>
      <c r="D6970">
        <v>2.6314359999999998E-2</v>
      </c>
      <c r="E6970" t="s">
        <v>74</v>
      </c>
      <c r="F6970">
        <v>26.314360000000001</v>
      </c>
      <c r="G6970" t="s">
        <v>75</v>
      </c>
      <c r="H6970">
        <v>26314.363000000001</v>
      </c>
      <c r="I6970" t="s">
        <v>76</v>
      </c>
      <c r="J6970" t="s">
        <v>77</v>
      </c>
    </row>
    <row r="6971" spans="1:11" x14ac:dyDescent="0.3">
      <c r="A6971" t="s">
        <v>83</v>
      </c>
      <c r="B6971">
        <v>1000</v>
      </c>
      <c r="C6971" t="s">
        <v>81</v>
      </c>
      <c r="D6971">
        <v>2.6890560000000001E-2</v>
      </c>
      <c r="E6971" t="s">
        <v>74</v>
      </c>
      <c r="F6971">
        <v>26.890560000000001</v>
      </c>
      <c r="G6971" t="s">
        <v>75</v>
      </c>
      <c r="H6971">
        <v>26890.563999999998</v>
      </c>
      <c r="I6971" t="s">
        <v>76</v>
      </c>
      <c r="J6971" t="s">
        <v>82</v>
      </c>
      <c r="K6971">
        <v>37.187766000000003</v>
      </c>
    </row>
    <row r="6972" spans="1:11" x14ac:dyDescent="0.3">
      <c r="A6972" t="s">
        <v>84</v>
      </c>
      <c r="B6972">
        <v>1001</v>
      </c>
      <c r="C6972" t="s">
        <v>79</v>
      </c>
      <c r="D6972">
        <v>5.8330999999999997E-4</v>
      </c>
      <c r="E6972" t="s">
        <v>74</v>
      </c>
      <c r="F6972">
        <v>0.58331</v>
      </c>
      <c r="G6972" t="s">
        <v>75</v>
      </c>
      <c r="H6972">
        <v>583.30700000000002</v>
      </c>
      <c r="I6972" t="s">
        <v>76</v>
      </c>
      <c r="J6972" t="s">
        <v>77</v>
      </c>
    </row>
    <row r="6973" spans="1:11" x14ac:dyDescent="0.3">
      <c r="A6973" t="s">
        <v>84</v>
      </c>
      <c r="B6973">
        <v>1001</v>
      </c>
      <c r="C6973" t="s">
        <v>94</v>
      </c>
      <c r="D6973">
        <v>2.6158839999999999E-2</v>
      </c>
      <c r="E6973" t="s">
        <v>74</v>
      </c>
      <c r="F6973">
        <v>26.158840000000001</v>
      </c>
      <c r="G6973" t="s">
        <v>75</v>
      </c>
      <c r="H6973">
        <v>26158.843000000001</v>
      </c>
      <c r="I6973" t="s">
        <v>76</v>
      </c>
      <c r="J6973" t="s">
        <v>77</v>
      </c>
    </row>
    <row r="6974" spans="1:11" x14ac:dyDescent="0.3">
      <c r="A6974" t="s">
        <v>84</v>
      </c>
      <c r="B6974">
        <v>1001</v>
      </c>
      <c r="C6974" t="s">
        <v>80</v>
      </c>
      <c r="D6974">
        <v>2.640141E-2</v>
      </c>
      <c r="E6974" t="s">
        <v>74</v>
      </c>
      <c r="F6974">
        <v>26.401409999999998</v>
      </c>
      <c r="G6974" t="s">
        <v>75</v>
      </c>
      <c r="H6974">
        <v>26401.411</v>
      </c>
      <c r="I6974" t="s">
        <v>76</v>
      </c>
      <c r="J6974" t="s">
        <v>77</v>
      </c>
    </row>
    <row r="6975" spans="1:11" x14ac:dyDescent="0.3">
      <c r="A6975" t="s">
        <v>84</v>
      </c>
      <c r="B6975">
        <v>1001</v>
      </c>
      <c r="C6975" t="s">
        <v>81</v>
      </c>
      <c r="D6975">
        <v>2.6985849999999999E-2</v>
      </c>
      <c r="E6975" t="s">
        <v>74</v>
      </c>
      <c r="F6975">
        <v>26.985849999999999</v>
      </c>
      <c r="G6975" t="s">
        <v>75</v>
      </c>
      <c r="H6975">
        <v>26985.848999999998</v>
      </c>
      <c r="I6975" t="s">
        <v>76</v>
      </c>
      <c r="J6975" t="s">
        <v>82</v>
      </c>
      <c r="K6975">
        <v>37.056459199999999</v>
      </c>
    </row>
    <row r="6976" spans="1:11" x14ac:dyDescent="0.3">
      <c r="A6976" t="s">
        <v>85</v>
      </c>
      <c r="B6976">
        <v>1001</v>
      </c>
      <c r="C6976" t="s">
        <v>86</v>
      </c>
      <c r="D6976">
        <v>2.6986420000000001E-2</v>
      </c>
      <c r="E6976" t="s">
        <v>74</v>
      </c>
      <c r="F6976">
        <v>26.986419999999999</v>
      </c>
      <c r="G6976" t="s">
        <v>75</v>
      </c>
      <c r="H6976">
        <v>26986.423999999999</v>
      </c>
      <c r="I6976" t="s">
        <v>76</v>
      </c>
      <c r="J6976" t="s">
        <v>82</v>
      </c>
      <c r="K6976">
        <v>37.055669000000002</v>
      </c>
    </row>
    <row r="6977" spans="1:11" x14ac:dyDescent="0.3">
      <c r="A6977" t="s">
        <v>115</v>
      </c>
    </row>
    <row r="6978" spans="1:11" x14ac:dyDescent="0.3">
      <c r="A6978" t="s">
        <v>127</v>
      </c>
    </row>
    <row r="6979" spans="1:11" x14ac:dyDescent="0.3">
      <c r="A6979" t="s">
        <v>87</v>
      </c>
    </row>
    <row r="6980" spans="1:11" x14ac:dyDescent="0.3">
      <c r="A6980" t="s">
        <v>325</v>
      </c>
    </row>
    <row r="6981" spans="1:11" x14ac:dyDescent="0.3">
      <c r="A6981" t="s">
        <v>72</v>
      </c>
      <c r="B6981">
        <v>1</v>
      </c>
      <c r="C6981" t="s">
        <v>81</v>
      </c>
      <c r="D6981">
        <v>0.15319070000000001</v>
      </c>
      <c r="E6981" t="s">
        <v>74</v>
      </c>
      <c r="F6981">
        <v>153.19069999999999</v>
      </c>
      <c r="G6981" t="s">
        <v>75</v>
      </c>
      <c r="H6981">
        <v>153190.70199999999</v>
      </c>
      <c r="I6981" t="s">
        <v>76</v>
      </c>
      <c r="J6981" t="s">
        <v>82</v>
      </c>
      <c r="K6981">
        <v>6.5278112999999998</v>
      </c>
    </row>
    <row r="6982" spans="1:11" x14ac:dyDescent="0.3">
      <c r="A6982" t="s">
        <v>83</v>
      </c>
      <c r="B6982">
        <v>1000</v>
      </c>
      <c r="C6982" t="s">
        <v>81</v>
      </c>
      <c r="D6982">
        <v>1.864236E-2</v>
      </c>
      <c r="E6982" t="s">
        <v>74</v>
      </c>
      <c r="F6982">
        <v>18.64236</v>
      </c>
      <c r="G6982" t="s">
        <v>75</v>
      </c>
      <c r="H6982">
        <v>18642.357</v>
      </c>
      <c r="I6982" t="s">
        <v>76</v>
      </c>
      <c r="J6982" t="s">
        <v>82</v>
      </c>
      <c r="K6982">
        <v>53.641286200000003</v>
      </c>
    </row>
    <row r="6983" spans="1:11" x14ac:dyDescent="0.3">
      <c r="A6983" t="s">
        <v>85</v>
      </c>
      <c r="B6983">
        <v>1001</v>
      </c>
      <c r="C6983" t="s">
        <v>86</v>
      </c>
      <c r="D6983">
        <v>1.8777080000000002E-2</v>
      </c>
      <c r="E6983" t="s">
        <v>74</v>
      </c>
      <c r="F6983">
        <v>18.777080000000002</v>
      </c>
      <c r="G6983" t="s">
        <v>75</v>
      </c>
      <c r="H6983">
        <v>18777.082999999999</v>
      </c>
      <c r="I6983" t="s">
        <v>76</v>
      </c>
      <c r="J6983" t="s">
        <v>82</v>
      </c>
      <c r="K6983">
        <v>53.256407799999998</v>
      </c>
    </row>
    <row r="6985" spans="1:11" x14ac:dyDescent="0.3">
      <c r="A6985" t="s">
        <v>326</v>
      </c>
    </row>
    <row r="6986" spans="1:11" x14ac:dyDescent="0.3">
      <c r="A6986" t="s">
        <v>72</v>
      </c>
      <c r="B6986">
        <v>1</v>
      </c>
      <c r="C6986" t="s">
        <v>81</v>
      </c>
      <c r="D6986">
        <v>0.12226819999999999</v>
      </c>
      <c r="E6986" t="s">
        <v>74</v>
      </c>
      <c r="F6986">
        <v>122.26819999999999</v>
      </c>
      <c r="G6986" t="s">
        <v>75</v>
      </c>
      <c r="H6986">
        <v>122268.2</v>
      </c>
      <c r="I6986" t="s">
        <v>76</v>
      </c>
      <c r="J6986" t="s">
        <v>82</v>
      </c>
      <c r="K6986">
        <v>8.1787414999999992</v>
      </c>
    </row>
    <row r="6987" spans="1:11" x14ac:dyDescent="0.3">
      <c r="A6987" t="s">
        <v>83</v>
      </c>
      <c r="B6987">
        <v>1000</v>
      </c>
      <c r="C6987" t="s">
        <v>81</v>
      </c>
      <c r="D6987">
        <v>2.6890560000000001E-2</v>
      </c>
      <c r="E6987" t="s">
        <v>74</v>
      </c>
      <c r="F6987">
        <v>26.890560000000001</v>
      </c>
      <c r="G6987" t="s">
        <v>75</v>
      </c>
      <c r="H6987">
        <v>26890.563999999998</v>
      </c>
      <c r="I6987" t="s">
        <v>76</v>
      </c>
      <c r="J6987" t="s">
        <v>82</v>
      </c>
      <c r="K6987">
        <v>37.187766000000003</v>
      </c>
    </row>
    <row r="6988" spans="1:11" x14ac:dyDescent="0.3">
      <c r="A6988" t="s">
        <v>85</v>
      </c>
      <c r="B6988">
        <v>1001</v>
      </c>
      <c r="C6988" t="s">
        <v>86</v>
      </c>
      <c r="D6988">
        <v>2.6986420000000001E-2</v>
      </c>
      <c r="E6988" t="s">
        <v>74</v>
      </c>
      <c r="F6988">
        <v>26.986419999999999</v>
      </c>
      <c r="G6988" t="s">
        <v>75</v>
      </c>
      <c r="H6988">
        <v>26986.423999999999</v>
      </c>
      <c r="I6988" t="s">
        <v>76</v>
      </c>
      <c r="J6988" t="s">
        <v>82</v>
      </c>
      <c r="K6988">
        <v>37.055669000000002</v>
      </c>
    </row>
    <row r="6990" spans="1:11" x14ac:dyDescent="0.3">
      <c r="A6990" t="s">
        <v>66</v>
      </c>
    </row>
    <row r="6992" spans="1:11" x14ac:dyDescent="0.3">
      <c r="A6992" t="s">
        <v>375</v>
      </c>
    </row>
    <row r="6993" spans="1:1" x14ac:dyDescent="0.3">
      <c r="A6993" t="s">
        <v>68</v>
      </c>
    </row>
    <row r="6994" spans="1:1" x14ac:dyDescent="0.3">
      <c r="A6994" t="s">
        <v>69</v>
      </c>
    </row>
    <row r="6995" spans="1:1" x14ac:dyDescent="0.3">
      <c r="A6995" t="s">
        <v>70</v>
      </c>
    </row>
    <row r="6996" spans="1:1" x14ac:dyDescent="0.3">
      <c r="A6996" t="s">
        <v>115</v>
      </c>
    </row>
    <row r="6997" spans="1:1" x14ac:dyDescent="0.3">
      <c r="A6997" t="s">
        <v>266</v>
      </c>
    </row>
    <row r="6998" spans="1:1" x14ac:dyDescent="0.3">
      <c r="A6998" t="s">
        <v>267</v>
      </c>
    </row>
    <row r="6999" spans="1:1" x14ac:dyDescent="0.3">
      <c r="A6999" t="s">
        <v>118</v>
      </c>
    </row>
    <row r="7000" spans="1:1" x14ac:dyDescent="0.3">
      <c r="A7000" t="s">
        <v>119</v>
      </c>
    </row>
    <row r="7001" spans="1:1" x14ac:dyDescent="0.3">
      <c r="A7001" t="s">
        <v>268</v>
      </c>
    </row>
    <row r="7002" spans="1:1" x14ac:dyDescent="0.3">
      <c r="A7002" t="s">
        <v>269</v>
      </c>
    </row>
    <row r="7003" spans="1:1" x14ac:dyDescent="0.3">
      <c r="A7003" t="s">
        <v>122</v>
      </c>
    </row>
    <row r="7004" spans="1:1" x14ac:dyDescent="0.3">
      <c r="A7004" t="s">
        <v>270</v>
      </c>
    </row>
    <row r="7005" spans="1:1" x14ac:dyDescent="0.3">
      <c r="A7005" t="s">
        <v>271</v>
      </c>
    </row>
    <row r="7006" spans="1:1" x14ac:dyDescent="0.3">
      <c r="A7006" t="s">
        <v>125</v>
      </c>
    </row>
    <row r="7007" spans="1:1" x14ac:dyDescent="0.3">
      <c r="A7007" t="s">
        <v>126</v>
      </c>
    </row>
    <row r="7008" spans="1:1" x14ac:dyDescent="0.3">
      <c r="A7008" t="s">
        <v>127</v>
      </c>
    </row>
    <row r="7009" spans="1:11" x14ac:dyDescent="0.3">
      <c r="A7009" t="s">
        <v>206</v>
      </c>
    </row>
    <row r="7010" spans="1:11" x14ac:dyDescent="0.3">
      <c r="A7010" t="s">
        <v>328</v>
      </c>
    </row>
    <row r="7011" spans="1:11" x14ac:dyDescent="0.3">
      <c r="A7011" t="s">
        <v>72</v>
      </c>
      <c r="B7011">
        <v>1</v>
      </c>
      <c r="C7011" t="s">
        <v>73</v>
      </c>
      <c r="D7011">
        <v>4.0999999999999997E-6</v>
      </c>
      <c r="E7011" t="s">
        <v>74</v>
      </c>
      <c r="F7011">
        <v>4.1000000000000003E-3</v>
      </c>
      <c r="G7011" t="s">
        <v>75</v>
      </c>
      <c r="H7011">
        <v>4.0999999999999996</v>
      </c>
      <c r="I7011" t="s">
        <v>76</v>
      </c>
      <c r="J7011" t="s">
        <v>77</v>
      </c>
    </row>
    <row r="7012" spans="1:11" x14ac:dyDescent="0.3">
      <c r="A7012" t="s">
        <v>72</v>
      </c>
      <c r="B7012">
        <v>1</v>
      </c>
      <c r="C7012" t="s">
        <v>78</v>
      </c>
      <c r="D7012">
        <v>0.1243867</v>
      </c>
      <c r="E7012" t="s">
        <v>74</v>
      </c>
      <c r="F7012">
        <v>124.3867</v>
      </c>
      <c r="G7012" t="s">
        <v>75</v>
      </c>
      <c r="H7012">
        <v>124386.698</v>
      </c>
      <c r="I7012" t="s">
        <v>76</v>
      </c>
      <c r="J7012" t="s">
        <v>77</v>
      </c>
    </row>
    <row r="7013" spans="1:11" x14ac:dyDescent="0.3">
      <c r="A7013" t="s">
        <v>72</v>
      </c>
      <c r="B7013">
        <v>1</v>
      </c>
      <c r="C7013" t="s">
        <v>79</v>
      </c>
      <c r="D7013">
        <v>0.13816719999999999</v>
      </c>
      <c r="E7013" t="s">
        <v>74</v>
      </c>
      <c r="F7013">
        <v>138.16720000000001</v>
      </c>
      <c r="G7013" t="s">
        <v>75</v>
      </c>
      <c r="H7013">
        <v>138167.20199999999</v>
      </c>
      <c r="I7013" t="s">
        <v>76</v>
      </c>
      <c r="J7013" t="s">
        <v>77</v>
      </c>
    </row>
    <row r="7014" spans="1:11" x14ac:dyDescent="0.3">
      <c r="A7014" t="s">
        <v>72</v>
      </c>
      <c r="B7014">
        <v>1</v>
      </c>
      <c r="C7014" t="s">
        <v>94</v>
      </c>
      <c r="D7014">
        <v>1.8712400000000001E-2</v>
      </c>
      <c r="E7014" t="s">
        <v>74</v>
      </c>
      <c r="F7014">
        <v>18.712399999999999</v>
      </c>
      <c r="G7014" t="s">
        <v>75</v>
      </c>
      <c r="H7014">
        <v>18712.400000000001</v>
      </c>
      <c r="I7014" t="s">
        <v>76</v>
      </c>
      <c r="J7014" t="s">
        <v>77</v>
      </c>
    </row>
    <row r="7015" spans="1:11" x14ac:dyDescent="0.3">
      <c r="A7015" t="s">
        <v>72</v>
      </c>
      <c r="B7015">
        <v>1</v>
      </c>
      <c r="C7015" t="s">
        <v>80</v>
      </c>
      <c r="D7015">
        <v>1.8713199999999999E-2</v>
      </c>
      <c r="E7015" t="s">
        <v>74</v>
      </c>
      <c r="F7015">
        <v>18.713200000000001</v>
      </c>
      <c r="G7015" t="s">
        <v>75</v>
      </c>
      <c r="H7015">
        <v>18713.2</v>
      </c>
      <c r="I7015" t="s">
        <v>76</v>
      </c>
      <c r="J7015" t="s">
        <v>77</v>
      </c>
    </row>
    <row r="7016" spans="1:11" x14ac:dyDescent="0.3">
      <c r="A7016" t="s">
        <v>72</v>
      </c>
      <c r="B7016">
        <v>1</v>
      </c>
      <c r="C7016" t="s">
        <v>81</v>
      </c>
      <c r="D7016">
        <v>0.15688270000000001</v>
      </c>
      <c r="E7016" t="s">
        <v>74</v>
      </c>
      <c r="F7016">
        <v>156.8827</v>
      </c>
      <c r="G7016" t="s">
        <v>75</v>
      </c>
      <c r="H7016">
        <v>156882.70300000001</v>
      </c>
      <c r="I7016" t="s">
        <v>76</v>
      </c>
      <c r="J7016" t="s">
        <v>82</v>
      </c>
      <c r="K7016">
        <v>6.3741890000000003</v>
      </c>
    </row>
    <row r="7017" spans="1:11" x14ac:dyDescent="0.3">
      <c r="A7017" t="s">
        <v>83</v>
      </c>
      <c r="B7017">
        <v>1000</v>
      </c>
      <c r="C7017" t="s">
        <v>79</v>
      </c>
      <c r="D7017">
        <v>4.0498999999999998E-4</v>
      </c>
      <c r="E7017" t="s">
        <v>74</v>
      </c>
      <c r="F7017">
        <v>0.40499000000000002</v>
      </c>
      <c r="G7017" t="s">
        <v>75</v>
      </c>
      <c r="H7017">
        <v>404.99200000000002</v>
      </c>
      <c r="I7017" t="s">
        <v>76</v>
      </c>
      <c r="J7017" t="s">
        <v>77</v>
      </c>
    </row>
    <row r="7018" spans="1:11" x14ac:dyDescent="0.3">
      <c r="A7018" t="s">
        <v>83</v>
      </c>
      <c r="B7018">
        <v>1000</v>
      </c>
      <c r="C7018" t="s">
        <v>94</v>
      </c>
      <c r="D7018">
        <v>1.7730369999999999E-2</v>
      </c>
      <c r="E7018" t="s">
        <v>74</v>
      </c>
      <c r="F7018">
        <v>17.730370000000001</v>
      </c>
      <c r="G7018" t="s">
        <v>75</v>
      </c>
      <c r="H7018">
        <v>17730.37</v>
      </c>
      <c r="I7018" t="s">
        <v>76</v>
      </c>
      <c r="J7018" t="s">
        <v>77</v>
      </c>
    </row>
    <row r="7019" spans="1:11" x14ac:dyDescent="0.3">
      <c r="A7019" t="s">
        <v>83</v>
      </c>
      <c r="B7019">
        <v>1000</v>
      </c>
      <c r="C7019" t="s">
        <v>80</v>
      </c>
      <c r="D7019">
        <v>1.7730820000000001E-2</v>
      </c>
      <c r="E7019" t="s">
        <v>74</v>
      </c>
      <c r="F7019">
        <v>17.730820000000001</v>
      </c>
      <c r="G7019" t="s">
        <v>75</v>
      </c>
      <c r="H7019">
        <v>17730.817999999999</v>
      </c>
      <c r="I7019" t="s">
        <v>76</v>
      </c>
      <c r="J7019" t="s">
        <v>77</v>
      </c>
    </row>
    <row r="7020" spans="1:11" x14ac:dyDescent="0.3">
      <c r="A7020" t="s">
        <v>83</v>
      </c>
      <c r="B7020">
        <v>1000</v>
      </c>
      <c r="C7020" t="s">
        <v>81</v>
      </c>
      <c r="D7020">
        <v>1.8136490000000002E-2</v>
      </c>
      <c r="E7020" t="s">
        <v>74</v>
      </c>
      <c r="F7020">
        <v>18.136489999999998</v>
      </c>
      <c r="G7020" t="s">
        <v>75</v>
      </c>
      <c r="H7020">
        <v>18136.491999999998</v>
      </c>
      <c r="I7020" t="s">
        <v>76</v>
      </c>
      <c r="J7020" t="s">
        <v>82</v>
      </c>
      <c r="K7020">
        <v>55.137455000000003</v>
      </c>
    </row>
    <row r="7021" spans="1:11" x14ac:dyDescent="0.3">
      <c r="A7021" t="s">
        <v>84</v>
      </c>
      <c r="B7021">
        <v>1001</v>
      </c>
      <c r="C7021" t="s">
        <v>79</v>
      </c>
      <c r="D7021">
        <v>5.4261999999999995E-4</v>
      </c>
      <c r="E7021" t="s">
        <v>74</v>
      </c>
      <c r="F7021">
        <v>0.54261999999999999</v>
      </c>
      <c r="G7021" t="s">
        <v>75</v>
      </c>
      <c r="H7021">
        <v>542.61699999999996</v>
      </c>
      <c r="I7021" t="s">
        <v>76</v>
      </c>
      <c r="J7021" t="s">
        <v>77</v>
      </c>
    </row>
    <row r="7022" spans="1:11" x14ac:dyDescent="0.3">
      <c r="A7022" t="s">
        <v>84</v>
      </c>
      <c r="B7022">
        <v>1001</v>
      </c>
      <c r="C7022" t="s">
        <v>94</v>
      </c>
      <c r="D7022">
        <v>1.773135E-2</v>
      </c>
      <c r="E7022" t="s">
        <v>74</v>
      </c>
      <c r="F7022">
        <v>17.731349999999999</v>
      </c>
      <c r="G7022" t="s">
        <v>75</v>
      </c>
      <c r="H7022">
        <v>17731.348999999998</v>
      </c>
      <c r="I7022" t="s">
        <v>76</v>
      </c>
      <c r="J7022" t="s">
        <v>77</v>
      </c>
    </row>
    <row r="7023" spans="1:11" x14ac:dyDescent="0.3">
      <c r="A7023" t="s">
        <v>84</v>
      </c>
      <c r="B7023">
        <v>1001</v>
      </c>
      <c r="C7023" t="s">
        <v>80</v>
      </c>
      <c r="D7023">
        <v>1.7731799999999999E-2</v>
      </c>
      <c r="E7023" t="s">
        <v>74</v>
      </c>
      <c r="F7023">
        <v>17.7318</v>
      </c>
      <c r="G7023" t="s">
        <v>75</v>
      </c>
      <c r="H7023">
        <v>17731.798999999999</v>
      </c>
      <c r="I7023" t="s">
        <v>76</v>
      </c>
      <c r="J7023" t="s">
        <v>77</v>
      </c>
    </row>
    <row r="7024" spans="1:11" x14ac:dyDescent="0.3">
      <c r="A7024" t="s">
        <v>84</v>
      </c>
      <c r="B7024">
        <v>1001</v>
      </c>
      <c r="C7024" t="s">
        <v>81</v>
      </c>
      <c r="D7024">
        <v>1.8275099999999999E-2</v>
      </c>
      <c r="E7024" t="s">
        <v>74</v>
      </c>
      <c r="F7024">
        <v>18.275099999999998</v>
      </c>
      <c r="G7024" t="s">
        <v>75</v>
      </c>
      <c r="H7024">
        <v>18275.101999999999</v>
      </c>
      <c r="I7024" t="s">
        <v>76</v>
      </c>
      <c r="J7024" t="s">
        <v>82</v>
      </c>
      <c r="K7024">
        <v>54.719257399999996</v>
      </c>
    </row>
    <row r="7025" spans="1:11" x14ac:dyDescent="0.3">
      <c r="A7025" t="s">
        <v>85</v>
      </c>
      <c r="B7025">
        <v>1001</v>
      </c>
      <c r="C7025" t="s">
        <v>86</v>
      </c>
      <c r="D7025">
        <v>1.827548E-2</v>
      </c>
      <c r="E7025" t="s">
        <v>74</v>
      </c>
      <c r="F7025">
        <v>18.275480000000002</v>
      </c>
      <c r="G7025" t="s">
        <v>75</v>
      </c>
      <c r="H7025">
        <v>18275.478999999999</v>
      </c>
      <c r="I7025" t="s">
        <v>76</v>
      </c>
      <c r="J7025" t="s">
        <v>82</v>
      </c>
      <c r="K7025">
        <v>54.718127699999997</v>
      </c>
    </row>
    <row r="7026" spans="1:11" x14ac:dyDescent="0.3">
      <c r="A7026" t="s">
        <v>208</v>
      </c>
    </row>
    <row r="7027" spans="1:11" x14ac:dyDescent="0.3">
      <c r="A7027" t="s">
        <v>329</v>
      </c>
    </row>
    <row r="7028" spans="1:11" x14ac:dyDescent="0.3">
      <c r="A7028" t="s">
        <v>72</v>
      </c>
      <c r="B7028">
        <v>1</v>
      </c>
      <c r="C7028" t="s">
        <v>73</v>
      </c>
      <c r="D7028">
        <v>4.0999999999999997E-6</v>
      </c>
      <c r="E7028" t="s">
        <v>74</v>
      </c>
      <c r="F7028">
        <v>4.1000000000000003E-3</v>
      </c>
      <c r="G7028" t="s">
        <v>75</v>
      </c>
      <c r="H7028">
        <v>4.0999999999999996</v>
      </c>
      <c r="I7028" t="s">
        <v>76</v>
      </c>
      <c r="J7028" t="s">
        <v>77</v>
      </c>
    </row>
    <row r="7029" spans="1:11" x14ac:dyDescent="0.3">
      <c r="A7029" t="s">
        <v>72</v>
      </c>
      <c r="B7029">
        <v>1</v>
      </c>
      <c r="C7029" t="s">
        <v>78</v>
      </c>
      <c r="D7029">
        <v>1.0287E-3</v>
      </c>
      <c r="E7029" t="s">
        <v>74</v>
      </c>
      <c r="F7029">
        <v>1.0286999999999999</v>
      </c>
      <c r="G7029" t="s">
        <v>75</v>
      </c>
      <c r="H7029">
        <v>1028.7</v>
      </c>
      <c r="I7029" t="s">
        <v>76</v>
      </c>
      <c r="J7029" t="s">
        <v>77</v>
      </c>
    </row>
    <row r="7030" spans="1:11" x14ac:dyDescent="0.3">
      <c r="A7030" t="s">
        <v>72</v>
      </c>
      <c r="B7030">
        <v>1</v>
      </c>
      <c r="C7030" t="s">
        <v>79</v>
      </c>
      <c r="D7030">
        <v>8.7693000000000007E-3</v>
      </c>
      <c r="E7030" t="s">
        <v>74</v>
      </c>
      <c r="F7030">
        <v>8.7692999999999994</v>
      </c>
      <c r="G7030" t="s">
        <v>75</v>
      </c>
      <c r="H7030">
        <v>8769.2999999999993</v>
      </c>
      <c r="I7030" t="s">
        <v>76</v>
      </c>
      <c r="J7030" t="s">
        <v>77</v>
      </c>
    </row>
    <row r="7031" spans="1:11" x14ac:dyDescent="0.3">
      <c r="A7031" t="s">
        <v>72</v>
      </c>
      <c r="B7031">
        <v>1</v>
      </c>
      <c r="C7031" t="s">
        <v>94</v>
      </c>
      <c r="D7031">
        <v>2.8965999999999999E-2</v>
      </c>
      <c r="E7031" t="s">
        <v>74</v>
      </c>
      <c r="F7031">
        <v>28.966000000000001</v>
      </c>
      <c r="G7031" t="s">
        <v>75</v>
      </c>
      <c r="H7031">
        <v>28966</v>
      </c>
      <c r="I7031" t="s">
        <v>76</v>
      </c>
      <c r="J7031" t="s">
        <v>77</v>
      </c>
    </row>
    <row r="7032" spans="1:11" x14ac:dyDescent="0.3">
      <c r="A7032" t="s">
        <v>72</v>
      </c>
      <c r="B7032">
        <v>1</v>
      </c>
      <c r="C7032" t="s">
        <v>80</v>
      </c>
      <c r="D7032">
        <v>2.89669E-2</v>
      </c>
      <c r="E7032" t="s">
        <v>74</v>
      </c>
      <c r="F7032">
        <v>28.966899999999999</v>
      </c>
      <c r="G7032" t="s">
        <v>75</v>
      </c>
      <c r="H7032">
        <v>28966.9</v>
      </c>
      <c r="I7032" t="s">
        <v>76</v>
      </c>
      <c r="J7032" t="s">
        <v>77</v>
      </c>
    </row>
    <row r="7033" spans="1:11" x14ac:dyDescent="0.3">
      <c r="A7033" t="s">
        <v>72</v>
      </c>
      <c r="B7033">
        <v>1</v>
      </c>
      <c r="C7033" t="s">
        <v>81</v>
      </c>
      <c r="D7033">
        <v>3.7737600000000003E-2</v>
      </c>
      <c r="E7033" t="s">
        <v>74</v>
      </c>
      <c r="F7033">
        <v>37.7376</v>
      </c>
      <c r="G7033" t="s">
        <v>75</v>
      </c>
      <c r="H7033">
        <v>37737.601000000002</v>
      </c>
      <c r="I7033" t="s">
        <v>76</v>
      </c>
      <c r="J7033" t="s">
        <v>82</v>
      </c>
      <c r="K7033">
        <v>26.498770100000002</v>
      </c>
    </row>
    <row r="7034" spans="1:11" x14ac:dyDescent="0.3">
      <c r="A7034" t="s">
        <v>83</v>
      </c>
      <c r="B7034">
        <v>1000</v>
      </c>
      <c r="C7034" t="s">
        <v>79</v>
      </c>
      <c r="D7034">
        <v>5.6296999999999999E-4</v>
      </c>
      <c r="E7034" t="s">
        <v>74</v>
      </c>
      <c r="F7034">
        <v>0.56296999999999997</v>
      </c>
      <c r="G7034" t="s">
        <v>75</v>
      </c>
      <c r="H7034">
        <v>562.96900000000005</v>
      </c>
      <c r="I7034" t="s">
        <v>76</v>
      </c>
      <c r="J7034" t="s">
        <v>77</v>
      </c>
    </row>
    <row r="7035" spans="1:11" x14ac:dyDescent="0.3">
      <c r="A7035" t="s">
        <v>83</v>
      </c>
      <c r="B7035">
        <v>1000</v>
      </c>
      <c r="C7035" t="s">
        <v>94</v>
      </c>
      <c r="D7035">
        <v>2.6195510000000002E-2</v>
      </c>
      <c r="E7035" t="s">
        <v>74</v>
      </c>
      <c r="F7035">
        <v>26.195509999999999</v>
      </c>
      <c r="G7035" t="s">
        <v>75</v>
      </c>
      <c r="H7035">
        <v>26195.505000000001</v>
      </c>
      <c r="I7035" t="s">
        <v>76</v>
      </c>
      <c r="J7035" t="s">
        <v>77</v>
      </c>
    </row>
    <row r="7036" spans="1:11" x14ac:dyDescent="0.3">
      <c r="A7036" t="s">
        <v>83</v>
      </c>
      <c r="B7036">
        <v>1000</v>
      </c>
      <c r="C7036" t="s">
        <v>80</v>
      </c>
      <c r="D7036">
        <v>2.645014E-2</v>
      </c>
      <c r="E7036" t="s">
        <v>74</v>
      </c>
      <c r="F7036">
        <v>26.450140000000001</v>
      </c>
      <c r="G7036" t="s">
        <v>75</v>
      </c>
      <c r="H7036">
        <v>26450.144</v>
      </c>
      <c r="I7036" t="s">
        <v>76</v>
      </c>
      <c r="J7036" t="s">
        <v>77</v>
      </c>
    </row>
    <row r="7037" spans="1:11" x14ac:dyDescent="0.3">
      <c r="A7037" t="s">
        <v>83</v>
      </c>
      <c r="B7037">
        <v>1000</v>
      </c>
      <c r="C7037" t="s">
        <v>81</v>
      </c>
      <c r="D7037">
        <v>2.7014150000000001E-2</v>
      </c>
      <c r="E7037" t="s">
        <v>74</v>
      </c>
      <c r="F7037">
        <v>27.014150000000001</v>
      </c>
      <c r="G7037" t="s">
        <v>75</v>
      </c>
      <c r="H7037">
        <v>27014.147000000001</v>
      </c>
      <c r="I7037" t="s">
        <v>76</v>
      </c>
      <c r="J7037" t="s">
        <v>82</v>
      </c>
      <c r="K7037">
        <v>37.017641400000002</v>
      </c>
    </row>
    <row r="7038" spans="1:11" x14ac:dyDescent="0.3">
      <c r="A7038" t="s">
        <v>84</v>
      </c>
      <c r="B7038">
        <v>1001</v>
      </c>
      <c r="C7038" t="s">
        <v>79</v>
      </c>
      <c r="D7038">
        <v>5.7116999999999997E-4</v>
      </c>
      <c r="E7038" t="s">
        <v>74</v>
      </c>
      <c r="F7038">
        <v>0.57116999999999996</v>
      </c>
      <c r="G7038" t="s">
        <v>75</v>
      </c>
      <c r="H7038">
        <v>571.16700000000003</v>
      </c>
      <c r="I7038" t="s">
        <v>76</v>
      </c>
      <c r="J7038" t="s">
        <v>77</v>
      </c>
    </row>
    <row r="7039" spans="1:11" x14ac:dyDescent="0.3">
      <c r="A7039" t="s">
        <v>84</v>
      </c>
      <c r="B7039">
        <v>1001</v>
      </c>
      <c r="C7039" t="s">
        <v>94</v>
      </c>
      <c r="D7039">
        <v>2.6198269999999999E-2</v>
      </c>
      <c r="E7039" t="s">
        <v>74</v>
      </c>
      <c r="F7039">
        <v>26.198270000000001</v>
      </c>
      <c r="G7039" t="s">
        <v>75</v>
      </c>
      <c r="H7039">
        <v>26198.272000000001</v>
      </c>
      <c r="I7039" t="s">
        <v>76</v>
      </c>
      <c r="J7039" t="s">
        <v>77</v>
      </c>
    </row>
    <row r="7040" spans="1:11" x14ac:dyDescent="0.3">
      <c r="A7040" t="s">
        <v>84</v>
      </c>
      <c r="B7040">
        <v>1001</v>
      </c>
      <c r="C7040" t="s">
        <v>80</v>
      </c>
      <c r="D7040">
        <v>2.6452659999999999E-2</v>
      </c>
      <c r="E7040" t="s">
        <v>74</v>
      </c>
      <c r="F7040">
        <v>26.452660000000002</v>
      </c>
      <c r="G7040" t="s">
        <v>75</v>
      </c>
      <c r="H7040">
        <v>26452.655999999999</v>
      </c>
      <c r="I7040" t="s">
        <v>76</v>
      </c>
      <c r="J7040" t="s">
        <v>77</v>
      </c>
    </row>
    <row r="7041" spans="1:11" x14ac:dyDescent="0.3">
      <c r="A7041" t="s">
        <v>84</v>
      </c>
      <c r="B7041">
        <v>1001</v>
      </c>
      <c r="C7041" t="s">
        <v>81</v>
      </c>
      <c r="D7041">
        <v>2.7024860000000001E-2</v>
      </c>
      <c r="E7041" t="s">
        <v>74</v>
      </c>
      <c r="F7041">
        <v>27.02486</v>
      </c>
      <c r="G7041" t="s">
        <v>75</v>
      </c>
      <c r="H7041">
        <v>27024.863000000001</v>
      </c>
      <c r="I7041" t="s">
        <v>76</v>
      </c>
      <c r="J7041" t="s">
        <v>82</v>
      </c>
      <c r="K7041">
        <v>37.002963299999998</v>
      </c>
    </row>
    <row r="7042" spans="1:11" x14ac:dyDescent="0.3">
      <c r="A7042" t="s">
        <v>85</v>
      </c>
      <c r="B7042">
        <v>1001</v>
      </c>
      <c r="C7042" t="s">
        <v>86</v>
      </c>
      <c r="D7042">
        <v>2.7025739999999999E-2</v>
      </c>
      <c r="E7042" t="s">
        <v>74</v>
      </c>
      <c r="F7042">
        <v>27.025739999999999</v>
      </c>
      <c r="G7042" t="s">
        <v>75</v>
      </c>
      <c r="H7042">
        <v>27025.741000000002</v>
      </c>
      <c r="I7042" t="s">
        <v>76</v>
      </c>
      <c r="J7042" t="s">
        <v>82</v>
      </c>
      <c r="K7042">
        <v>37.001760599999997</v>
      </c>
    </row>
    <row r="7043" spans="1:11" x14ac:dyDescent="0.3">
      <c r="A7043" t="s">
        <v>115</v>
      </c>
    </row>
    <row r="7044" spans="1:11" x14ac:dyDescent="0.3">
      <c r="A7044" t="s">
        <v>127</v>
      </c>
    </row>
    <row r="7045" spans="1:11" x14ac:dyDescent="0.3">
      <c r="A7045" t="s">
        <v>87</v>
      </c>
    </row>
    <row r="7046" spans="1:11" x14ac:dyDescent="0.3">
      <c r="A7046" t="s">
        <v>330</v>
      </c>
    </row>
    <row r="7047" spans="1:11" x14ac:dyDescent="0.3">
      <c r="A7047" t="s">
        <v>72</v>
      </c>
      <c r="B7047">
        <v>1</v>
      </c>
      <c r="C7047" t="s">
        <v>81</v>
      </c>
      <c r="D7047">
        <v>0.15688270000000001</v>
      </c>
      <c r="E7047" t="s">
        <v>74</v>
      </c>
      <c r="F7047">
        <v>156.8827</v>
      </c>
      <c r="G7047" t="s">
        <v>75</v>
      </c>
      <c r="H7047">
        <v>156882.70300000001</v>
      </c>
      <c r="I7047" t="s">
        <v>76</v>
      </c>
      <c r="J7047" t="s">
        <v>82</v>
      </c>
      <c r="K7047">
        <v>6.3741890000000003</v>
      </c>
    </row>
    <row r="7048" spans="1:11" x14ac:dyDescent="0.3">
      <c r="A7048" t="s">
        <v>83</v>
      </c>
      <c r="B7048">
        <v>1000</v>
      </c>
      <c r="C7048" t="s">
        <v>81</v>
      </c>
      <c r="D7048">
        <v>1.8136490000000002E-2</v>
      </c>
      <c r="E7048" t="s">
        <v>74</v>
      </c>
      <c r="F7048">
        <v>18.136489999999998</v>
      </c>
      <c r="G7048" t="s">
        <v>75</v>
      </c>
      <c r="H7048">
        <v>18136.491999999998</v>
      </c>
      <c r="I7048" t="s">
        <v>76</v>
      </c>
      <c r="J7048" t="s">
        <v>82</v>
      </c>
      <c r="K7048">
        <v>55.137455000000003</v>
      </c>
    </row>
    <row r="7049" spans="1:11" x14ac:dyDescent="0.3">
      <c r="A7049" t="s">
        <v>85</v>
      </c>
      <c r="B7049">
        <v>1001</v>
      </c>
      <c r="C7049" t="s">
        <v>86</v>
      </c>
      <c r="D7049">
        <v>1.827548E-2</v>
      </c>
      <c r="E7049" t="s">
        <v>74</v>
      </c>
      <c r="F7049">
        <v>18.275480000000002</v>
      </c>
      <c r="G7049" t="s">
        <v>75</v>
      </c>
      <c r="H7049">
        <v>18275.478999999999</v>
      </c>
      <c r="I7049" t="s">
        <v>76</v>
      </c>
      <c r="J7049" t="s">
        <v>82</v>
      </c>
      <c r="K7049">
        <v>54.718127699999997</v>
      </c>
    </row>
    <row r="7051" spans="1:11" x14ac:dyDescent="0.3">
      <c r="A7051" t="s">
        <v>331</v>
      </c>
    </row>
    <row r="7052" spans="1:11" x14ac:dyDescent="0.3">
      <c r="A7052" t="s">
        <v>72</v>
      </c>
      <c r="B7052">
        <v>1</v>
      </c>
      <c r="C7052" t="s">
        <v>81</v>
      </c>
      <c r="D7052">
        <v>3.7737600000000003E-2</v>
      </c>
      <c r="E7052" t="s">
        <v>74</v>
      </c>
      <c r="F7052">
        <v>37.7376</v>
      </c>
      <c r="G7052" t="s">
        <v>75</v>
      </c>
      <c r="H7052">
        <v>37737.601000000002</v>
      </c>
      <c r="I7052" t="s">
        <v>76</v>
      </c>
      <c r="J7052" t="s">
        <v>82</v>
      </c>
      <c r="K7052">
        <v>26.498770100000002</v>
      </c>
    </row>
    <row r="7053" spans="1:11" x14ac:dyDescent="0.3">
      <c r="A7053" t="s">
        <v>83</v>
      </c>
      <c r="B7053">
        <v>1000</v>
      </c>
      <c r="C7053" t="s">
        <v>81</v>
      </c>
      <c r="D7053">
        <v>2.7014150000000001E-2</v>
      </c>
      <c r="E7053" t="s">
        <v>74</v>
      </c>
      <c r="F7053">
        <v>27.014150000000001</v>
      </c>
      <c r="G7053" t="s">
        <v>75</v>
      </c>
      <c r="H7053">
        <v>27014.147000000001</v>
      </c>
      <c r="I7053" t="s">
        <v>76</v>
      </c>
      <c r="J7053" t="s">
        <v>82</v>
      </c>
      <c r="K7053">
        <v>37.017641400000002</v>
      </c>
    </row>
    <row r="7054" spans="1:11" x14ac:dyDescent="0.3">
      <c r="A7054" t="s">
        <v>85</v>
      </c>
      <c r="B7054">
        <v>1001</v>
      </c>
      <c r="C7054" t="s">
        <v>86</v>
      </c>
      <c r="D7054">
        <v>2.7025739999999999E-2</v>
      </c>
      <c r="E7054" t="s">
        <v>74</v>
      </c>
      <c r="F7054">
        <v>27.025739999999999</v>
      </c>
      <c r="G7054" t="s">
        <v>75</v>
      </c>
      <c r="H7054">
        <v>27025.741000000002</v>
      </c>
      <c r="I7054" t="s">
        <v>76</v>
      </c>
      <c r="J7054" t="s">
        <v>82</v>
      </c>
      <c r="K7054">
        <v>37.001760599999997</v>
      </c>
    </row>
    <row r="7056" spans="1:11" x14ac:dyDescent="0.3">
      <c r="A7056" t="s">
        <v>66</v>
      </c>
    </row>
    <row r="7058" spans="1:1" x14ac:dyDescent="0.3">
      <c r="A7058" t="s">
        <v>376</v>
      </c>
    </row>
    <row r="7059" spans="1:1" x14ac:dyDescent="0.3">
      <c r="A7059" t="s">
        <v>68</v>
      </c>
    </row>
    <row r="7060" spans="1:1" x14ac:dyDescent="0.3">
      <c r="A7060" t="s">
        <v>69</v>
      </c>
    </row>
    <row r="7061" spans="1:1" x14ac:dyDescent="0.3">
      <c r="A7061" t="s">
        <v>70</v>
      </c>
    </row>
    <row r="7062" spans="1:1" x14ac:dyDescent="0.3">
      <c r="A7062" t="s">
        <v>115</v>
      </c>
    </row>
    <row r="7063" spans="1:1" x14ac:dyDescent="0.3">
      <c r="A7063" t="s">
        <v>266</v>
      </c>
    </row>
    <row r="7064" spans="1:1" x14ac:dyDescent="0.3">
      <c r="A7064" t="s">
        <v>267</v>
      </c>
    </row>
    <row r="7065" spans="1:1" x14ac:dyDescent="0.3">
      <c r="A7065" t="s">
        <v>118</v>
      </c>
    </row>
    <row r="7066" spans="1:1" x14ac:dyDescent="0.3">
      <c r="A7066" t="s">
        <v>119</v>
      </c>
    </row>
    <row r="7067" spans="1:1" x14ac:dyDescent="0.3">
      <c r="A7067" t="s">
        <v>268</v>
      </c>
    </row>
    <row r="7068" spans="1:1" x14ac:dyDescent="0.3">
      <c r="A7068" t="s">
        <v>269</v>
      </c>
    </row>
    <row r="7069" spans="1:1" x14ac:dyDescent="0.3">
      <c r="A7069" t="s">
        <v>122</v>
      </c>
    </row>
    <row r="7070" spans="1:1" x14ac:dyDescent="0.3">
      <c r="A7070" t="s">
        <v>270</v>
      </c>
    </row>
    <row r="7071" spans="1:1" x14ac:dyDescent="0.3">
      <c r="A7071" t="s">
        <v>271</v>
      </c>
    </row>
    <row r="7072" spans="1:1" x14ac:dyDescent="0.3">
      <c r="A7072" t="s">
        <v>125</v>
      </c>
    </row>
    <row r="7073" spans="1:11" x14ac:dyDescent="0.3">
      <c r="A7073" t="s">
        <v>126</v>
      </c>
    </row>
    <row r="7074" spans="1:11" x14ac:dyDescent="0.3">
      <c r="A7074" t="s">
        <v>127</v>
      </c>
    </row>
    <row r="7075" spans="1:11" x14ac:dyDescent="0.3">
      <c r="A7075" t="s">
        <v>213</v>
      </c>
    </row>
    <row r="7076" spans="1:11" x14ac:dyDescent="0.3">
      <c r="A7076" t="s">
        <v>333</v>
      </c>
    </row>
    <row r="7077" spans="1:11" x14ac:dyDescent="0.3">
      <c r="A7077" t="s">
        <v>72</v>
      </c>
      <c r="B7077">
        <v>1</v>
      </c>
      <c r="C7077" t="s">
        <v>73</v>
      </c>
      <c r="D7077">
        <v>4.3000000000000003E-6</v>
      </c>
      <c r="E7077" t="s">
        <v>74</v>
      </c>
      <c r="F7077">
        <v>4.3E-3</v>
      </c>
      <c r="G7077" t="s">
        <v>75</v>
      </c>
      <c r="H7077">
        <v>4.3</v>
      </c>
      <c r="I7077" t="s">
        <v>76</v>
      </c>
      <c r="J7077" t="s">
        <v>77</v>
      </c>
    </row>
    <row r="7078" spans="1:11" x14ac:dyDescent="0.3">
      <c r="A7078" t="s">
        <v>72</v>
      </c>
      <c r="B7078">
        <v>1</v>
      </c>
      <c r="C7078" t="s">
        <v>78</v>
      </c>
      <c r="D7078">
        <v>0.11395569999999999</v>
      </c>
      <c r="E7078" t="s">
        <v>74</v>
      </c>
      <c r="F7078">
        <v>113.95569999999999</v>
      </c>
      <c r="G7078" t="s">
        <v>75</v>
      </c>
      <c r="H7078">
        <v>113955.69899999999</v>
      </c>
      <c r="I7078" t="s">
        <v>76</v>
      </c>
      <c r="J7078" t="s">
        <v>77</v>
      </c>
    </row>
    <row r="7079" spans="1:11" x14ac:dyDescent="0.3">
      <c r="A7079" t="s">
        <v>72</v>
      </c>
      <c r="B7079">
        <v>1</v>
      </c>
      <c r="C7079" t="s">
        <v>79</v>
      </c>
      <c r="D7079">
        <v>0.1385074</v>
      </c>
      <c r="E7079" t="s">
        <v>74</v>
      </c>
      <c r="F7079">
        <v>138.50739999999999</v>
      </c>
      <c r="G7079" t="s">
        <v>75</v>
      </c>
      <c r="H7079">
        <v>138507.39600000001</v>
      </c>
      <c r="I7079" t="s">
        <v>76</v>
      </c>
      <c r="J7079" t="s">
        <v>77</v>
      </c>
    </row>
    <row r="7080" spans="1:11" x14ac:dyDescent="0.3">
      <c r="A7080" t="s">
        <v>72</v>
      </c>
      <c r="B7080">
        <v>1</v>
      </c>
      <c r="C7080" t="s">
        <v>94</v>
      </c>
      <c r="D7080">
        <v>1.6611799999999999E-2</v>
      </c>
      <c r="E7080" t="s">
        <v>74</v>
      </c>
      <c r="F7080">
        <v>16.611799999999999</v>
      </c>
      <c r="G7080" t="s">
        <v>75</v>
      </c>
      <c r="H7080">
        <v>16611.8</v>
      </c>
      <c r="I7080" t="s">
        <v>76</v>
      </c>
      <c r="J7080" t="s">
        <v>77</v>
      </c>
    </row>
    <row r="7081" spans="1:11" x14ac:dyDescent="0.3">
      <c r="A7081" t="s">
        <v>72</v>
      </c>
      <c r="B7081">
        <v>1</v>
      </c>
      <c r="C7081" t="s">
        <v>80</v>
      </c>
      <c r="D7081">
        <v>1.6612399999999999E-2</v>
      </c>
      <c r="E7081" t="s">
        <v>74</v>
      </c>
      <c r="F7081">
        <v>16.612400000000001</v>
      </c>
      <c r="G7081" t="s">
        <v>75</v>
      </c>
      <c r="H7081">
        <v>16612.399000000001</v>
      </c>
      <c r="I7081" t="s">
        <v>76</v>
      </c>
      <c r="J7081" t="s">
        <v>77</v>
      </c>
    </row>
    <row r="7082" spans="1:11" x14ac:dyDescent="0.3">
      <c r="A7082" t="s">
        <v>72</v>
      </c>
      <c r="B7082">
        <v>1</v>
      </c>
      <c r="C7082" t="s">
        <v>81</v>
      </c>
      <c r="D7082">
        <v>0.15512210000000001</v>
      </c>
      <c r="E7082" t="s">
        <v>74</v>
      </c>
      <c r="F7082">
        <v>155.12209999999999</v>
      </c>
      <c r="G7082" t="s">
        <v>75</v>
      </c>
      <c r="H7082">
        <v>155122.101</v>
      </c>
      <c r="I7082" t="s">
        <v>76</v>
      </c>
      <c r="J7082" t="s">
        <v>82</v>
      </c>
      <c r="K7082">
        <v>6.4465345999999997</v>
      </c>
    </row>
    <row r="7083" spans="1:11" x14ac:dyDescent="0.3">
      <c r="A7083" t="s">
        <v>83</v>
      </c>
      <c r="B7083">
        <v>1000</v>
      </c>
      <c r="C7083" t="s">
        <v>79</v>
      </c>
      <c r="D7083">
        <v>4.0517999999999999E-4</v>
      </c>
      <c r="E7083" t="s">
        <v>74</v>
      </c>
      <c r="F7083">
        <v>0.40517999999999998</v>
      </c>
      <c r="G7083" t="s">
        <v>75</v>
      </c>
      <c r="H7083">
        <v>405.18200000000002</v>
      </c>
      <c r="I7083" t="s">
        <v>76</v>
      </c>
      <c r="J7083" t="s">
        <v>77</v>
      </c>
    </row>
    <row r="7084" spans="1:11" x14ac:dyDescent="0.3">
      <c r="A7084" t="s">
        <v>83</v>
      </c>
      <c r="B7084">
        <v>1000</v>
      </c>
      <c r="C7084" t="s">
        <v>94</v>
      </c>
      <c r="D7084">
        <v>1.6415030000000001E-2</v>
      </c>
      <c r="E7084" t="s">
        <v>74</v>
      </c>
      <c r="F7084">
        <v>16.415030000000002</v>
      </c>
      <c r="G7084" t="s">
        <v>75</v>
      </c>
      <c r="H7084">
        <v>16415.03</v>
      </c>
      <c r="I7084" t="s">
        <v>76</v>
      </c>
      <c r="J7084" t="s">
        <v>77</v>
      </c>
    </row>
    <row r="7085" spans="1:11" x14ac:dyDescent="0.3">
      <c r="A7085" t="s">
        <v>83</v>
      </c>
      <c r="B7085">
        <v>1000</v>
      </c>
      <c r="C7085" t="s">
        <v>80</v>
      </c>
      <c r="D7085">
        <v>1.641538E-2</v>
      </c>
      <c r="E7085" t="s">
        <v>74</v>
      </c>
      <c r="F7085">
        <v>16.415379999999999</v>
      </c>
      <c r="G7085" t="s">
        <v>75</v>
      </c>
      <c r="H7085">
        <v>16415.38</v>
      </c>
      <c r="I7085" t="s">
        <v>76</v>
      </c>
      <c r="J7085" t="s">
        <v>77</v>
      </c>
    </row>
    <row r="7086" spans="1:11" x14ac:dyDescent="0.3">
      <c r="A7086" t="s">
        <v>83</v>
      </c>
      <c r="B7086">
        <v>1000</v>
      </c>
      <c r="C7086" t="s">
        <v>81</v>
      </c>
      <c r="D7086">
        <v>1.682117E-2</v>
      </c>
      <c r="E7086" t="s">
        <v>74</v>
      </c>
      <c r="F7086">
        <v>16.821169999999999</v>
      </c>
      <c r="G7086" t="s">
        <v>75</v>
      </c>
      <c r="H7086">
        <v>16821.170999999998</v>
      </c>
      <c r="I7086" t="s">
        <v>76</v>
      </c>
      <c r="J7086" t="s">
        <v>82</v>
      </c>
      <c r="K7086">
        <v>59.448894000000003</v>
      </c>
    </row>
    <row r="7087" spans="1:11" x14ac:dyDescent="0.3">
      <c r="A7087" t="s">
        <v>84</v>
      </c>
      <c r="B7087">
        <v>1001</v>
      </c>
      <c r="C7087" t="s">
        <v>79</v>
      </c>
      <c r="D7087">
        <v>5.4314999999999995E-4</v>
      </c>
      <c r="E7087" t="s">
        <v>74</v>
      </c>
      <c r="F7087">
        <v>0.54315000000000002</v>
      </c>
      <c r="G7087" t="s">
        <v>75</v>
      </c>
      <c r="H7087">
        <v>543.14599999999996</v>
      </c>
      <c r="I7087" t="s">
        <v>76</v>
      </c>
      <c r="J7087" t="s">
        <v>77</v>
      </c>
    </row>
    <row r="7088" spans="1:11" x14ac:dyDescent="0.3">
      <c r="A7088" t="s">
        <v>84</v>
      </c>
      <c r="B7088">
        <v>1001</v>
      </c>
      <c r="C7088" t="s">
        <v>94</v>
      </c>
      <c r="D7088">
        <v>1.6415229999999999E-2</v>
      </c>
      <c r="E7088" t="s">
        <v>74</v>
      </c>
      <c r="F7088">
        <v>16.415230000000001</v>
      </c>
      <c r="G7088" t="s">
        <v>75</v>
      </c>
      <c r="H7088">
        <v>16415.226999999999</v>
      </c>
      <c r="I7088" t="s">
        <v>76</v>
      </c>
      <c r="J7088" t="s">
        <v>77</v>
      </c>
    </row>
    <row r="7089" spans="1:11" x14ac:dyDescent="0.3">
      <c r="A7089" t="s">
        <v>84</v>
      </c>
      <c r="B7089">
        <v>1001</v>
      </c>
      <c r="C7089" t="s">
        <v>80</v>
      </c>
      <c r="D7089">
        <v>1.6415579999999999E-2</v>
      </c>
      <c r="E7089" t="s">
        <v>74</v>
      </c>
      <c r="F7089">
        <v>16.415579999999999</v>
      </c>
      <c r="G7089" t="s">
        <v>75</v>
      </c>
      <c r="H7089">
        <v>16415.578000000001</v>
      </c>
      <c r="I7089" t="s">
        <v>76</v>
      </c>
      <c r="J7089" t="s">
        <v>77</v>
      </c>
    </row>
    <row r="7090" spans="1:11" x14ac:dyDescent="0.3">
      <c r="A7090" t="s">
        <v>84</v>
      </c>
      <c r="B7090">
        <v>1001</v>
      </c>
      <c r="C7090" t="s">
        <v>81</v>
      </c>
      <c r="D7090">
        <v>1.6959330000000002E-2</v>
      </c>
      <c r="E7090" t="s">
        <v>74</v>
      </c>
      <c r="F7090">
        <v>16.959330000000001</v>
      </c>
      <c r="G7090" t="s">
        <v>75</v>
      </c>
      <c r="H7090">
        <v>16959.330000000002</v>
      </c>
      <c r="I7090" t="s">
        <v>76</v>
      </c>
      <c r="J7090" t="s">
        <v>82</v>
      </c>
      <c r="K7090">
        <v>58.964592099999997</v>
      </c>
    </row>
    <row r="7091" spans="1:11" x14ac:dyDescent="0.3">
      <c r="A7091" t="s">
        <v>85</v>
      </c>
      <c r="B7091">
        <v>1001</v>
      </c>
      <c r="C7091" t="s">
        <v>86</v>
      </c>
      <c r="D7091">
        <v>1.695957E-2</v>
      </c>
      <c r="E7091" t="s">
        <v>74</v>
      </c>
      <c r="F7091">
        <v>16.959569999999999</v>
      </c>
      <c r="G7091" t="s">
        <v>75</v>
      </c>
      <c r="H7091">
        <v>16959.571</v>
      </c>
      <c r="I7091" t="s">
        <v>76</v>
      </c>
      <c r="J7091" t="s">
        <v>82</v>
      </c>
      <c r="K7091">
        <v>58.963757399999999</v>
      </c>
    </row>
    <row r="7092" spans="1:11" x14ac:dyDescent="0.3">
      <c r="A7092" t="s">
        <v>215</v>
      </c>
    </row>
    <row r="7093" spans="1:11" x14ac:dyDescent="0.3">
      <c r="A7093" t="s">
        <v>334</v>
      </c>
    </row>
    <row r="7094" spans="1:11" x14ac:dyDescent="0.3">
      <c r="A7094" t="s">
        <v>72</v>
      </c>
      <c r="B7094">
        <v>1</v>
      </c>
      <c r="C7094" t="s">
        <v>73</v>
      </c>
      <c r="D7094">
        <v>4.3000000000000003E-6</v>
      </c>
      <c r="E7094" t="s">
        <v>74</v>
      </c>
      <c r="F7094">
        <v>4.3E-3</v>
      </c>
      <c r="G7094" t="s">
        <v>75</v>
      </c>
      <c r="H7094">
        <v>4.3</v>
      </c>
      <c r="I7094" t="s">
        <v>76</v>
      </c>
      <c r="J7094" t="s">
        <v>77</v>
      </c>
    </row>
    <row r="7095" spans="1:11" x14ac:dyDescent="0.3">
      <c r="A7095" t="s">
        <v>72</v>
      </c>
      <c r="B7095">
        <v>1</v>
      </c>
      <c r="C7095" t="s">
        <v>78</v>
      </c>
      <c r="D7095">
        <v>1.1023000000000001E-3</v>
      </c>
      <c r="E7095" t="s">
        <v>74</v>
      </c>
      <c r="F7095">
        <v>1.1023000000000001</v>
      </c>
      <c r="G7095" t="s">
        <v>75</v>
      </c>
      <c r="H7095">
        <v>1102.3</v>
      </c>
      <c r="I7095" t="s">
        <v>76</v>
      </c>
      <c r="J7095" t="s">
        <v>77</v>
      </c>
    </row>
    <row r="7096" spans="1:11" x14ac:dyDescent="0.3">
      <c r="A7096" t="s">
        <v>72</v>
      </c>
      <c r="B7096">
        <v>1</v>
      </c>
      <c r="C7096" t="s">
        <v>79</v>
      </c>
      <c r="D7096">
        <v>8.8088000000000003E-3</v>
      </c>
      <c r="E7096" t="s">
        <v>74</v>
      </c>
      <c r="F7096">
        <v>8.8087999999999997</v>
      </c>
      <c r="G7096" t="s">
        <v>75</v>
      </c>
      <c r="H7096">
        <v>8808.7999999999993</v>
      </c>
      <c r="I7096" t="s">
        <v>76</v>
      </c>
      <c r="J7096" t="s">
        <v>77</v>
      </c>
    </row>
    <row r="7097" spans="1:11" x14ac:dyDescent="0.3">
      <c r="A7097" t="s">
        <v>72</v>
      </c>
      <c r="B7097">
        <v>1</v>
      </c>
      <c r="C7097" t="s">
        <v>94</v>
      </c>
      <c r="D7097">
        <v>2.9031399999999999E-2</v>
      </c>
      <c r="E7097" t="s">
        <v>74</v>
      </c>
      <c r="F7097">
        <v>29.031400000000001</v>
      </c>
      <c r="G7097" t="s">
        <v>75</v>
      </c>
      <c r="H7097">
        <v>29031.4</v>
      </c>
      <c r="I7097" t="s">
        <v>76</v>
      </c>
      <c r="J7097" t="s">
        <v>77</v>
      </c>
    </row>
    <row r="7098" spans="1:11" x14ac:dyDescent="0.3">
      <c r="A7098" t="s">
        <v>72</v>
      </c>
      <c r="B7098">
        <v>1</v>
      </c>
      <c r="C7098" t="s">
        <v>80</v>
      </c>
      <c r="D7098">
        <v>2.9031899999999999E-2</v>
      </c>
      <c r="E7098" t="s">
        <v>74</v>
      </c>
      <c r="F7098">
        <v>29.0319</v>
      </c>
      <c r="G7098" t="s">
        <v>75</v>
      </c>
      <c r="H7098">
        <v>29031.901000000002</v>
      </c>
      <c r="I7098" t="s">
        <v>76</v>
      </c>
      <c r="J7098" t="s">
        <v>77</v>
      </c>
    </row>
    <row r="7099" spans="1:11" x14ac:dyDescent="0.3">
      <c r="A7099" t="s">
        <v>72</v>
      </c>
      <c r="B7099">
        <v>1</v>
      </c>
      <c r="C7099" t="s">
        <v>81</v>
      </c>
      <c r="D7099">
        <v>3.7841800000000002E-2</v>
      </c>
      <c r="E7099" t="s">
        <v>74</v>
      </c>
      <c r="F7099">
        <v>37.841799999999999</v>
      </c>
      <c r="G7099" t="s">
        <v>75</v>
      </c>
      <c r="H7099">
        <v>37841.800999999999</v>
      </c>
      <c r="I7099" t="s">
        <v>76</v>
      </c>
      <c r="J7099" t="s">
        <v>82</v>
      </c>
      <c r="K7099">
        <v>26.425803899999998</v>
      </c>
    </row>
    <row r="7100" spans="1:11" x14ac:dyDescent="0.3">
      <c r="A7100" t="s">
        <v>83</v>
      </c>
      <c r="B7100">
        <v>1000</v>
      </c>
      <c r="C7100" t="s">
        <v>79</v>
      </c>
      <c r="D7100">
        <v>5.6433000000000004E-4</v>
      </c>
      <c r="E7100" t="s">
        <v>74</v>
      </c>
      <c r="F7100">
        <v>0.56433</v>
      </c>
      <c r="G7100" t="s">
        <v>75</v>
      </c>
      <c r="H7100">
        <v>564.32899999999995</v>
      </c>
      <c r="I7100" t="s">
        <v>76</v>
      </c>
      <c r="J7100" t="s">
        <v>77</v>
      </c>
    </row>
    <row r="7101" spans="1:11" x14ac:dyDescent="0.3">
      <c r="A7101" t="s">
        <v>83</v>
      </c>
      <c r="B7101">
        <v>1000</v>
      </c>
      <c r="C7101" t="s">
        <v>94</v>
      </c>
      <c r="D7101">
        <v>2.6157039999999999E-2</v>
      </c>
      <c r="E7101" t="s">
        <v>74</v>
      </c>
      <c r="F7101">
        <v>26.157039999999999</v>
      </c>
      <c r="G7101" t="s">
        <v>75</v>
      </c>
      <c r="H7101">
        <v>26157.038</v>
      </c>
      <c r="I7101" t="s">
        <v>76</v>
      </c>
      <c r="J7101" t="s">
        <v>77</v>
      </c>
    </row>
    <row r="7102" spans="1:11" x14ac:dyDescent="0.3">
      <c r="A7102" t="s">
        <v>83</v>
      </c>
      <c r="B7102">
        <v>1000</v>
      </c>
      <c r="C7102" t="s">
        <v>80</v>
      </c>
      <c r="D7102">
        <v>2.638238E-2</v>
      </c>
      <c r="E7102" t="s">
        <v>74</v>
      </c>
      <c r="F7102">
        <v>26.382380000000001</v>
      </c>
      <c r="G7102" t="s">
        <v>75</v>
      </c>
      <c r="H7102">
        <v>26382.383000000002</v>
      </c>
      <c r="I7102" t="s">
        <v>76</v>
      </c>
      <c r="J7102" t="s">
        <v>77</v>
      </c>
    </row>
    <row r="7103" spans="1:11" x14ac:dyDescent="0.3">
      <c r="A7103" t="s">
        <v>83</v>
      </c>
      <c r="B7103">
        <v>1000</v>
      </c>
      <c r="C7103" t="s">
        <v>81</v>
      </c>
      <c r="D7103">
        <v>2.694773E-2</v>
      </c>
      <c r="E7103" t="s">
        <v>74</v>
      </c>
      <c r="F7103">
        <v>26.94773</v>
      </c>
      <c r="G7103" t="s">
        <v>75</v>
      </c>
      <c r="H7103">
        <v>26947.733</v>
      </c>
      <c r="I7103" t="s">
        <v>76</v>
      </c>
      <c r="J7103" t="s">
        <v>82</v>
      </c>
      <c r="K7103">
        <v>37.108873000000003</v>
      </c>
    </row>
    <row r="7104" spans="1:11" x14ac:dyDescent="0.3">
      <c r="A7104" t="s">
        <v>84</v>
      </c>
      <c r="B7104">
        <v>1001</v>
      </c>
      <c r="C7104" t="s">
        <v>79</v>
      </c>
      <c r="D7104">
        <v>5.7257E-4</v>
      </c>
      <c r="E7104" t="s">
        <v>74</v>
      </c>
      <c r="F7104">
        <v>0.57257000000000002</v>
      </c>
      <c r="G7104" t="s">
        <v>75</v>
      </c>
      <c r="H7104">
        <v>572.56500000000005</v>
      </c>
      <c r="I7104" t="s">
        <v>76</v>
      </c>
      <c r="J7104" t="s">
        <v>77</v>
      </c>
    </row>
    <row r="7105" spans="1:11" x14ac:dyDescent="0.3">
      <c r="A7105" t="s">
        <v>84</v>
      </c>
      <c r="B7105">
        <v>1001</v>
      </c>
      <c r="C7105" t="s">
        <v>94</v>
      </c>
      <c r="D7105">
        <v>2.6159910000000001E-2</v>
      </c>
      <c r="E7105" t="s">
        <v>74</v>
      </c>
      <c r="F7105">
        <v>26.15991</v>
      </c>
      <c r="G7105" t="s">
        <v>75</v>
      </c>
      <c r="H7105">
        <v>26159.91</v>
      </c>
      <c r="I7105" t="s">
        <v>76</v>
      </c>
      <c r="J7105" t="s">
        <v>77</v>
      </c>
    </row>
    <row r="7106" spans="1:11" x14ac:dyDescent="0.3">
      <c r="A7106" t="s">
        <v>84</v>
      </c>
      <c r="B7106">
        <v>1001</v>
      </c>
      <c r="C7106" t="s">
        <v>80</v>
      </c>
      <c r="D7106">
        <v>2.638503E-2</v>
      </c>
      <c r="E7106" t="s">
        <v>74</v>
      </c>
      <c r="F7106">
        <v>26.38503</v>
      </c>
      <c r="G7106" t="s">
        <v>75</v>
      </c>
      <c r="H7106">
        <v>26385.03</v>
      </c>
      <c r="I7106" t="s">
        <v>76</v>
      </c>
      <c r="J7106" t="s">
        <v>77</v>
      </c>
    </row>
    <row r="7107" spans="1:11" x14ac:dyDescent="0.3">
      <c r="A7107" t="s">
        <v>84</v>
      </c>
      <c r="B7107">
        <v>1001</v>
      </c>
      <c r="C7107" t="s">
        <v>81</v>
      </c>
      <c r="D7107">
        <v>2.6958619999999999E-2</v>
      </c>
      <c r="E7107" t="s">
        <v>74</v>
      </c>
      <c r="F7107">
        <v>26.95862</v>
      </c>
      <c r="G7107" t="s">
        <v>75</v>
      </c>
      <c r="H7107">
        <v>26958.616000000002</v>
      </c>
      <c r="I7107" t="s">
        <v>76</v>
      </c>
      <c r="J7107" t="s">
        <v>82</v>
      </c>
      <c r="K7107">
        <v>37.093892199999999</v>
      </c>
    </row>
    <row r="7108" spans="1:11" x14ac:dyDescent="0.3">
      <c r="A7108" t="s">
        <v>85</v>
      </c>
      <c r="B7108">
        <v>1001</v>
      </c>
      <c r="C7108" t="s">
        <v>86</v>
      </c>
      <c r="D7108">
        <v>2.6959420000000001E-2</v>
      </c>
      <c r="E7108" t="s">
        <v>74</v>
      </c>
      <c r="F7108">
        <v>26.959420000000001</v>
      </c>
      <c r="G7108" t="s">
        <v>75</v>
      </c>
      <c r="H7108">
        <v>26959.423999999999</v>
      </c>
      <c r="I7108" t="s">
        <v>76</v>
      </c>
      <c r="J7108" t="s">
        <v>82</v>
      </c>
      <c r="K7108">
        <v>37.092780599999998</v>
      </c>
    </row>
    <row r="7109" spans="1:11" x14ac:dyDescent="0.3">
      <c r="A7109" t="s">
        <v>115</v>
      </c>
    </row>
    <row r="7110" spans="1:11" x14ac:dyDescent="0.3">
      <c r="A7110" t="s">
        <v>127</v>
      </c>
    </row>
    <row r="7111" spans="1:11" x14ac:dyDescent="0.3">
      <c r="A7111" t="s">
        <v>87</v>
      </c>
    </row>
    <row r="7112" spans="1:11" x14ac:dyDescent="0.3">
      <c r="A7112" t="s">
        <v>335</v>
      </c>
    </row>
    <row r="7113" spans="1:11" x14ac:dyDescent="0.3">
      <c r="A7113" t="s">
        <v>72</v>
      </c>
      <c r="B7113">
        <v>1</v>
      </c>
      <c r="C7113" t="s">
        <v>81</v>
      </c>
      <c r="D7113">
        <v>0.15512210000000001</v>
      </c>
      <c r="E7113" t="s">
        <v>74</v>
      </c>
      <c r="F7113">
        <v>155.12209999999999</v>
      </c>
      <c r="G7113" t="s">
        <v>75</v>
      </c>
      <c r="H7113">
        <v>155122.101</v>
      </c>
      <c r="I7113" t="s">
        <v>76</v>
      </c>
      <c r="J7113" t="s">
        <v>82</v>
      </c>
      <c r="K7113">
        <v>6.4465345999999997</v>
      </c>
    </row>
    <row r="7114" spans="1:11" x14ac:dyDescent="0.3">
      <c r="A7114" t="s">
        <v>83</v>
      </c>
      <c r="B7114">
        <v>1000</v>
      </c>
      <c r="C7114" t="s">
        <v>81</v>
      </c>
      <c r="D7114">
        <v>1.682117E-2</v>
      </c>
      <c r="E7114" t="s">
        <v>74</v>
      </c>
      <c r="F7114">
        <v>16.821169999999999</v>
      </c>
      <c r="G7114" t="s">
        <v>75</v>
      </c>
      <c r="H7114">
        <v>16821.170999999998</v>
      </c>
      <c r="I7114" t="s">
        <v>76</v>
      </c>
      <c r="J7114" t="s">
        <v>82</v>
      </c>
      <c r="K7114">
        <v>59.448894000000003</v>
      </c>
    </row>
    <row r="7115" spans="1:11" x14ac:dyDescent="0.3">
      <c r="A7115" t="s">
        <v>85</v>
      </c>
      <c r="B7115">
        <v>1001</v>
      </c>
      <c r="C7115" t="s">
        <v>86</v>
      </c>
      <c r="D7115">
        <v>1.695957E-2</v>
      </c>
      <c r="E7115" t="s">
        <v>74</v>
      </c>
      <c r="F7115">
        <v>16.959569999999999</v>
      </c>
      <c r="G7115" t="s">
        <v>75</v>
      </c>
      <c r="H7115">
        <v>16959.571</v>
      </c>
      <c r="I7115" t="s">
        <v>76</v>
      </c>
      <c r="J7115" t="s">
        <v>82</v>
      </c>
      <c r="K7115">
        <v>58.963757399999999</v>
      </c>
    </row>
    <row r="7117" spans="1:11" x14ac:dyDescent="0.3">
      <c r="A7117" t="s">
        <v>336</v>
      </c>
    </row>
    <row r="7118" spans="1:11" x14ac:dyDescent="0.3">
      <c r="A7118" t="s">
        <v>72</v>
      </c>
      <c r="B7118">
        <v>1</v>
      </c>
      <c r="C7118" t="s">
        <v>81</v>
      </c>
      <c r="D7118">
        <v>3.7841800000000002E-2</v>
      </c>
      <c r="E7118" t="s">
        <v>74</v>
      </c>
      <c r="F7118">
        <v>37.841799999999999</v>
      </c>
      <c r="G7118" t="s">
        <v>75</v>
      </c>
      <c r="H7118">
        <v>37841.800999999999</v>
      </c>
      <c r="I7118" t="s">
        <v>76</v>
      </c>
      <c r="J7118" t="s">
        <v>82</v>
      </c>
      <c r="K7118">
        <v>26.425803899999998</v>
      </c>
    </row>
    <row r="7119" spans="1:11" x14ac:dyDescent="0.3">
      <c r="A7119" t="s">
        <v>83</v>
      </c>
      <c r="B7119">
        <v>1000</v>
      </c>
      <c r="C7119" t="s">
        <v>81</v>
      </c>
      <c r="D7119">
        <v>2.694773E-2</v>
      </c>
      <c r="E7119" t="s">
        <v>74</v>
      </c>
      <c r="F7119">
        <v>26.94773</v>
      </c>
      <c r="G7119" t="s">
        <v>75</v>
      </c>
      <c r="H7119">
        <v>26947.733</v>
      </c>
      <c r="I7119" t="s">
        <v>76</v>
      </c>
      <c r="J7119" t="s">
        <v>82</v>
      </c>
      <c r="K7119">
        <v>37.108873000000003</v>
      </c>
    </row>
    <row r="7120" spans="1:11" x14ac:dyDescent="0.3">
      <c r="A7120" t="s">
        <v>85</v>
      </c>
      <c r="B7120">
        <v>1001</v>
      </c>
      <c r="C7120" t="s">
        <v>86</v>
      </c>
      <c r="D7120">
        <v>2.6959420000000001E-2</v>
      </c>
      <c r="E7120" t="s">
        <v>74</v>
      </c>
      <c r="F7120">
        <v>26.959420000000001</v>
      </c>
      <c r="G7120" t="s">
        <v>75</v>
      </c>
      <c r="H7120">
        <v>26959.423999999999</v>
      </c>
      <c r="I7120" t="s">
        <v>76</v>
      </c>
      <c r="J7120" t="s">
        <v>82</v>
      </c>
      <c r="K7120">
        <v>37.092780599999998</v>
      </c>
    </row>
    <row r="7122" spans="1:11" x14ac:dyDescent="0.3">
      <c r="A7122" t="s">
        <v>64</v>
      </c>
    </row>
    <row r="7123" spans="1:11" x14ac:dyDescent="0.3">
      <c r="A7123" t="s">
        <v>377</v>
      </c>
    </row>
    <row r="7125" spans="1:11" x14ac:dyDescent="0.3">
      <c r="A7125" t="s">
        <v>378</v>
      </c>
    </row>
    <row r="7126" spans="1:11" x14ac:dyDescent="0.3">
      <c r="A7126" t="s">
        <v>68</v>
      </c>
    </row>
    <row r="7127" spans="1:11" x14ac:dyDescent="0.3">
      <c r="A7127" t="s">
        <v>69</v>
      </c>
    </row>
    <row r="7128" spans="1:11" x14ac:dyDescent="0.3">
      <c r="A7128" t="s">
        <v>70</v>
      </c>
    </row>
    <row r="7129" spans="1:11" x14ac:dyDescent="0.3">
      <c r="A7129" t="s">
        <v>71</v>
      </c>
    </row>
    <row r="7130" spans="1:11" x14ac:dyDescent="0.3">
      <c r="A7130" t="s">
        <v>72</v>
      </c>
      <c r="B7130">
        <v>1</v>
      </c>
      <c r="C7130" t="s">
        <v>73</v>
      </c>
      <c r="D7130">
        <v>5.2510000000000002E-4</v>
      </c>
      <c r="E7130" t="s">
        <v>74</v>
      </c>
      <c r="F7130">
        <v>0.52510000000000001</v>
      </c>
      <c r="G7130" t="s">
        <v>75</v>
      </c>
      <c r="H7130">
        <v>525.1</v>
      </c>
      <c r="I7130" t="s">
        <v>76</v>
      </c>
      <c r="J7130" t="s">
        <v>77</v>
      </c>
    </row>
    <row r="7131" spans="1:11" x14ac:dyDescent="0.3">
      <c r="A7131" t="s">
        <v>72</v>
      </c>
      <c r="B7131">
        <v>1</v>
      </c>
      <c r="C7131" t="s">
        <v>78</v>
      </c>
      <c r="D7131">
        <v>2.6000000000000001E-6</v>
      </c>
      <c r="E7131" t="s">
        <v>74</v>
      </c>
      <c r="F7131">
        <v>2.5999999999999999E-3</v>
      </c>
      <c r="G7131" t="s">
        <v>75</v>
      </c>
      <c r="H7131">
        <v>2.6</v>
      </c>
      <c r="I7131" t="s">
        <v>76</v>
      </c>
      <c r="J7131" t="s">
        <v>77</v>
      </c>
    </row>
    <row r="7132" spans="1:11" x14ac:dyDescent="0.3">
      <c r="A7132" t="s">
        <v>72</v>
      </c>
      <c r="B7132">
        <v>1</v>
      </c>
      <c r="C7132" t="s">
        <v>79</v>
      </c>
      <c r="D7132">
        <v>6.7899999999999997E-5</v>
      </c>
      <c r="E7132" t="s">
        <v>74</v>
      </c>
      <c r="F7132">
        <v>6.7900000000000002E-2</v>
      </c>
      <c r="G7132" t="s">
        <v>75</v>
      </c>
      <c r="H7132">
        <v>67.900000000000006</v>
      </c>
      <c r="I7132" t="s">
        <v>76</v>
      </c>
      <c r="J7132" t="s">
        <v>77</v>
      </c>
    </row>
    <row r="7133" spans="1:11" x14ac:dyDescent="0.3">
      <c r="A7133" t="s">
        <v>72</v>
      </c>
      <c r="B7133">
        <v>1</v>
      </c>
      <c r="C7133" t="s">
        <v>80</v>
      </c>
      <c r="D7133">
        <v>1.0631145200000001</v>
      </c>
      <c r="E7133" t="s">
        <v>74</v>
      </c>
      <c r="F7133">
        <v>1063.1145200000001</v>
      </c>
      <c r="G7133" t="s">
        <v>75</v>
      </c>
      <c r="H7133">
        <v>1063114.524</v>
      </c>
      <c r="I7133" t="s">
        <v>76</v>
      </c>
      <c r="J7133" t="s">
        <v>77</v>
      </c>
    </row>
    <row r="7134" spans="1:11" x14ac:dyDescent="0.3">
      <c r="A7134" t="s">
        <v>72</v>
      </c>
      <c r="B7134">
        <v>1</v>
      </c>
      <c r="C7134" t="s">
        <v>81</v>
      </c>
      <c r="D7134">
        <v>1.06318486</v>
      </c>
      <c r="E7134" t="s">
        <v>74</v>
      </c>
      <c r="F7134">
        <v>1063.1848600000001</v>
      </c>
      <c r="G7134" t="s">
        <v>75</v>
      </c>
      <c r="H7134">
        <v>1063184.8570000001</v>
      </c>
      <c r="I7134" t="s">
        <v>76</v>
      </c>
      <c r="J7134" t="s">
        <v>82</v>
      </c>
      <c r="K7134">
        <v>0.94057020000000002</v>
      </c>
    </row>
    <row r="7135" spans="1:11" x14ac:dyDescent="0.3">
      <c r="A7135" t="s">
        <v>83</v>
      </c>
      <c r="B7135">
        <v>1000</v>
      </c>
      <c r="C7135" t="s">
        <v>79</v>
      </c>
      <c r="D7135">
        <v>4.2400000000000001E-6</v>
      </c>
      <c r="E7135" t="s">
        <v>74</v>
      </c>
      <c r="F7135">
        <v>4.2399999999999998E-3</v>
      </c>
      <c r="G7135" t="s">
        <v>75</v>
      </c>
      <c r="H7135">
        <v>4.2380000000000004</v>
      </c>
      <c r="I7135" t="s">
        <v>76</v>
      </c>
      <c r="J7135" t="s">
        <v>77</v>
      </c>
    </row>
    <row r="7136" spans="1:11" x14ac:dyDescent="0.3">
      <c r="A7136" t="s">
        <v>83</v>
      </c>
      <c r="B7136">
        <v>1000</v>
      </c>
      <c r="C7136" t="s">
        <v>80</v>
      </c>
      <c r="D7136">
        <v>1.06547412</v>
      </c>
      <c r="E7136" t="s">
        <v>74</v>
      </c>
      <c r="F7136">
        <v>1065.4741200000001</v>
      </c>
      <c r="G7136" t="s">
        <v>75</v>
      </c>
      <c r="H7136">
        <v>1065474.121</v>
      </c>
      <c r="I7136" t="s">
        <v>76</v>
      </c>
      <c r="J7136" t="s">
        <v>77</v>
      </c>
    </row>
    <row r="7137" spans="1:11" x14ac:dyDescent="0.3">
      <c r="A7137" t="s">
        <v>83</v>
      </c>
      <c r="B7137">
        <v>1000</v>
      </c>
      <c r="C7137" t="s">
        <v>81</v>
      </c>
      <c r="D7137">
        <v>1.0654798599999999</v>
      </c>
      <c r="E7137" t="s">
        <v>74</v>
      </c>
      <c r="F7137">
        <v>1065.4798599999999</v>
      </c>
      <c r="G7137" t="s">
        <v>75</v>
      </c>
      <c r="H7137">
        <v>1065479.858</v>
      </c>
      <c r="I7137" t="s">
        <v>76</v>
      </c>
      <c r="J7137" t="s">
        <v>82</v>
      </c>
      <c r="K7137">
        <v>0.9385443</v>
      </c>
    </row>
    <row r="7138" spans="1:11" x14ac:dyDescent="0.3">
      <c r="A7138" t="s">
        <v>84</v>
      </c>
      <c r="B7138">
        <v>1001</v>
      </c>
      <c r="C7138" t="s">
        <v>79</v>
      </c>
      <c r="D7138">
        <v>4.3000000000000003E-6</v>
      </c>
      <c r="E7138" t="s">
        <v>74</v>
      </c>
      <c r="F7138">
        <v>4.3E-3</v>
      </c>
      <c r="G7138" t="s">
        <v>75</v>
      </c>
      <c r="H7138">
        <v>4.3010000000000002</v>
      </c>
      <c r="I7138" t="s">
        <v>76</v>
      </c>
      <c r="J7138" t="s">
        <v>77</v>
      </c>
    </row>
    <row r="7139" spans="1:11" x14ac:dyDescent="0.3">
      <c r="A7139" t="s">
        <v>84</v>
      </c>
      <c r="B7139">
        <v>1001</v>
      </c>
      <c r="C7139" t="s">
        <v>80</v>
      </c>
      <c r="D7139">
        <v>1.0654716399999999</v>
      </c>
      <c r="E7139" t="s">
        <v>74</v>
      </c>
      <c r="F7139">
        <v>1065.47164</v>
      </c>
      <c r="G7139" t="s">
        <v>75</v>
      </c>
      <c r="H7139">
        <v>1065471.638</v>
      </c>
      <c r="I7139" t="s">
        <v>76</v>
      </c>
      <c r="J7139" t="s">
        <v>77</v>
      </c>
    </row>
    <row r="7140" spans="1:11" x14ac:dyDescent="0.3">
      <c r="A7140" t="s">
        <v>84</v>
      </c>
      <c r="B7140">
        <v>1001</v>
      </c>
      <c r="C7140" t="s">
        <v>81</v>
      </c>
      <c r="D7140">
        <v>1.0654776100000001</v>
      </c>
      <c r="E7140" t="s">
        <v>74</v>
      </c>
      <c r="F7140">
        <v>1065.4776099999999</v>
      </c>
      <c r="G7140" t="s">
        <v>75</v>
      </c>
      <c r="H7140">
        <v>1065477.6129999999</v>
      </c>
      <c r="I7140" t="s">
        <v>76</v>
      </c>
      <c r="J7140" t="s">
        <v>82</v>
      </c>
      <c r="K7140">
        <v>0.9385462</v>
      </c>
    </row>
    <row r="7141" spans="1:11" x14ac:dyDescent="0.3">
      <c r="A7141" t="s">
        <v>85</v>
      </c>
      <c r="B7141">
        <v>1001</v>
      </c>
      <c r="C7141" t="s">
        <v>86</v>
      </c>
      <c r="D7141">
        <v>1.06547774</v>
      </c>
      <c r="E7141" t="s">
        <v>74</v>
      </c>
      <c r="F7141">
        <v>1065.47774</v>
      </c>
      <c r="G7141" t="s">
        <v>75</v>
      </c>
      <c r="H7141">
        <v>1065477.7350000001</v>
      </c>
      <c r="I7141" t="s">
        <v>76</v>
      </c>
      <c r="J7141" t="s">
        <v>82</v>
      </c>
      <c r="K7141">
        <v>0.93854610000000005</v>
      </c>
    </row>
    <row r="7142" spans="1:11" x14ac:dyDescent="0.3">
      <c r="A7142" t="s">
        <v>87</v>
      </c>
    </row>
    <row r="7143" spans="1:11" x14ac:dyDescent="0.3">
      <c r="A7143" t="s">
        <v>88</v>
      </c>
    </row>
    <row r="7144" spans="1:11" x14ac:dyDescent="0.3">
      <c r="A7144" t="s">
        <v>72</v>
      </c>
      <c r="B7144">
        <v>1</v>
      </c>
      <c r="C7144" t="s">
        <v>81</v>
      </c>
      <c r="D7144">
        <v>1.06318486</v>
      </c>
      <c r="E7144" t="s">
        <v>74</v>
      </c>
      <c r="F7144">
        <v>1063.1848600000001</v>
      </c>
      <c r="G7144" t="s">
        <v>75</v>
      </c>
      <c r="H7144">
        <v>1063184.8570000001</v>
      </c>
      <c r="I7144" t="s">
        <v>76</v>
      </c>
      <c r="J7144" t="s">
        <v>82</v>
      </c>
      <c r="K7144">
        <v>0.94057020000000002</v>
      </c>
    </row>
    <row r="7145" spans="1:11" x14ac:dyDescent="0.3">
      <c r="A7145" t="s">
        <v>83</v>
      </c>
      <c r="B7145">
        <v>1000</v>
      </c>
      <c r="C7145" t="s">
        <v>81</v>
      </c>
      <c r="D7145">
        <v>1.0654798599999999</v>
      </c>
      <c r="E7145" t="s">
        <v>74</v>
      </c>
      <c r="F7145">
        <v>1065.4798599999999</v>
      </c>
      <c r="G7145" t="s">
        <v>75</v>
      </c>
      <c r="H7145">
        <v>1065479.858</v>
      </c>
      <c r="I7145" t="s">
        <v>76</v>
      </c>
      <c r="J7145" t="s">
        <v>82</v>
      </c>
      <c r="K7145">
        <v>0.9385443</v>
      </c>
    </row>
    <row r="7146" spans="1:11" x14ac:dyDescent="0.3">
      <c r="A7146" t="s">
        <v>85</v>
      </c>
      <c r="B7146">
        <v>1001</v>
      </c>
      <c r="C7146" t="s">
        <v>86</v>
      </c>
      <c r="D7146">
        <v>1.06547774</v>
      </c>
      <c r="E7146" t="s">
        <v>74</v>
      </c>
      <c r="F7146">
        <v>1065.47774</v>
      </c>
      <c r="G7146" t="s">
        <v>75</v>
      </c>
      <c r="H7146">
        <v>1065477.7350000001</v>
      </c>
      <c r="I7146" t="s">
        <v>76</v>
      </c>
      <c r="J7146" t="s">
        <v>82</v>
      </c>
      <c r="K7146">
        <v>0.93854610000000005</v>
      </c>
    </row>
    <row r="7148" spans="1:11" x14ac:dyDescent="0.3">
      <c r="A7148" t="s">
        <v>66</v>
      </c>
    </row>
    <row r="7150" spans="1:11" x14ac:dyDescent="0.3">
      <c r="A7150" t="s">
        <v>379</v>
      </c>
    </row>
    <row r="7151" spans="1:11" x14ac:dyDescent="0.3">
      <c r="A7151" t="s">
        <v>68</v>
      </c>
    </row>
    <row r="7152" spans="1:11" x14ac:dyDescent="0.3">
      <c r="A7152" t="s">
        <v>69</v>
      </c>
    </row>
    <row r="7153" spans="1:11" x14ac:dyDescent="0.3">
      <c r="A7153" t="s">
        <v>70</v>
      </c>
    </row>
    <row r="7154" spans="1:11" x14ac:dyDescent="0.3">
      <c r="A7154" t="s">
        <v>90</v>
      </c>
    </row>
    <row r="7155" spans="1:11" x14ac:dyDescent="0.3">
      <c r="A7155" t="s">
        <v>72</v>
      </c>
      <c r="B7155">
        <v>1</v>
      </c>
      <c r="C7155" t="s">
        <v>73</v>
      </c>
      <c r="D7155">
        <v>4.5000000000000001E-6</v>
      </c>
      <c r="E7155" t="s">
        <v>74</v>
      </c>
      <c r="F7155">
        <v>4.4999999999999997E-3</v>
      </c>
      <c r="G7155" t="s">
        <v>75</v>
      </c>
      <c r="H7155">
        <v>4.5</v>
      </c>
      <c r="I7155" t="s">
        <v>76</v>
      </c>
      <c r="J7155" t="s">
        <v>77</v>
      </c>
    </row>
    <row r="7156" spans="1:11" x14ac:dyDescent="0.3">
      <c r="A7156" t="s">
        <v>72</v>
      </c>
      <c r="B7156">
        <v>1</v>
      </c>
      <c r="C7156" t="s">
        <v>78</v>
      </c>
      <c r="D7156">
        <v>4.4199999999999997E-5</v>
      </c>
      <c r="E7156" t="s">
        <v>74</v>
      </c>
      <c r="F7156">
        <v>4.4200000000000003E-2</v>
      </c>
      <c r="G7156" t="s">
        <v>75</v>
      </c>
      <c r="H7156">
        <v>44.2</v>
      </c>
      <c r="I7156" t="s">
        <v>76</v>
      </c>
      <c r="J7156" t="s">
        <v>77</v>
      </c>
    </row>
    <row r="7157" spans="1:11" x14ac:dyDescent="0.3">
      <c r="A7157" t="s">
        <v>72</v>
      </c>
      <c r="B7157">
        <v>1</v>
      </c>
      <c r="C7157" t="s">
        <v>91</v>
      </c>
      <c r="D7157">
        <v>2.3123000000000002E-3</v>
      </c>
      <c r="E7157" t="s">
        <v>74</v>
      </c>
      <c r="F7157">
        <v>2.3123</v>
      </c>
      <c r="G7157" t="s">
        <v>75</v>
      </c>
      <c r="H7157">
        <v>2312.3000000000002</v>
      </c>
      <c r="I7157" t="s">
        <v>76</v>
      </c>
      <c r="J7157" t="s">
        <v>77</v>
      </c>
    </row>
    <row r="7158" spans="1:11" x14ac:dyDescent="0.3">
      <c r="A7158" t="s">
        <v>72</v>
      </c>
      <c r="B7158">
        <v>1</v>
      </c>
      <c r="C7158" t="s">
        <v>92</v>
      </c>
      <c r="D7158">
        <v>1.19639E-2</v>
      </c>
      <c r="E7158" t="s">
        <v>74</v>
      </c>
      <c r="F7158">
        <v>11.963900000000001</v>
      </c>
      <c r="G7158" t="s">
        <v>75</v>
      </c>
      <c r="H7158">
        <v>11963.9</v>
      </c>
      <c r="I7158" t="s">
        <v>76</v>
      </c>
      <c r="J7158" t="s">
        <v>77</v>
      </c>
    </row>
    <row r="7159" spans="1:11" x14ac:dyDescent="0.3">
      <c r="A7159" t="s">
        <v>72</v>
      </c>
      <c r="B7159">
        <v>1</v>
      </c>
      <c r="C7159" t="s">
        <v>93</v>
      </c>
      <c r="D7159">
        <v>1.5587999999999999E-3</v>
      </c>
      <c r="E7159" t="s">
        <v>74</v>
      </c>
      <c r="F7159">
        <v>1.5588</v>
      </c>
      <c r="G7159" t="s">
        <v>75</v>
      </c>
      <c r="H7159">
        <v>1558.8</v>
      </c>
      <c r="I7159" t="s">
        <v>76</v>
      </c>
      <c r="J7159" t="s">
        <v>77</v>
      </c>
    </row>
    <row r="7160" spans="1:11" x14ac:dyDescent="0.3">
      <c r="A7160" t="s">
        <v>72</v>
      </c>
      <c r="B7160">
        <v>1</v>
      </c>
      <c r="C7160" t="s">
        <v>79</v>
      </c>
      <c r="D7160">
        <v>1.5836900000000001E-2</v>
      </c>
      <c r="E7160" t="s">
        <v>74</v>
      </c>
      <c r="F7160">
        <v>15.8369</v>
      </c>
      <c r="G7160" t="s">
        <v>75</v>
      </c>
      <c r="H7160">
        <v>15836.9</v>
      </c>
      <c r="I7160" t="s">
        <v>76</v>
      </c>
      <c r="J7160" t="s">
        <v>77</v>
      </c>
    </row>
    <row r="7161" spans="1:11" x14ac:dyDescent="0.3">
      <c r="A7161" t="s">
        <v>72</v>
      </c>
      <c r="B7161">
        <v>1</v>
      </c>
      <c r="C7161" t="s">
        <v>94</v>
      </c>
      <c r="D7161">
        <v>9.4287999999999993E-3</v>
      </c>
      <c r="E7161" t="s">
        <v>74</v>
      </c>
      <c r="F7161">
        <v>9.4288000000000007</v>
      </c>
      <c r="G7161" t="s">
        <v>75</v>
      </c>
      <c r="H7161">
        <v>9428.7999999999993</v>
      </c>
      <c r="I7161" t="s">
        <v>76</v>
      </c>
      <c r="J7161" t="s">
        <v>77</v>
      </c>
    </row>
    <row r="7162" spans="1:11" x14ac:dyDescent="0.3">
      <c r="A7162" t="s">
        <v>72</v>
      </c>
      <c r="B7162">
        <v>1</v>
      </c>
      <c r="C7162" t="s">
        <v>80</v>
      </c>
      <c r="D7162">
        <v>9.4307000000000002E-3</v>
      </c>
      <c r="E7162" t="s">
        <v>74</v>
      </c>
      <c r="F7162">
        <v>9.4306999999999999</v>
      </c>
      <c r="G7162" t="s">
        <v>75</v>
      </c>
      <c r="H7162">
        <v>9430.7000000000007</v>
      </c>
      <c r="I7162" t="s">
        <v>76</v>
      </c>
      <c r="J7162" t="s">
        <v>77</v>
      </c>
    </row>
    <row r="7163" spans="1:11" x14ac:dyDescent="0.3">
      <c r="A7163" t="s">
        <v>72</v>
      </c>
      <c r="B7163">
        <v>1</v>
      </c>
      <c r="C7163" t="s">
        <v>81</v>
      </c>
      <c r="D7163">
        <v>2.5271499999999999E-2</v>
      </c>
      <c r="E7163" t="s">
        <v>74</v>
      </c>
      <c r="F7163">
        <v>25.2715</v>
      </c>
      <c r="G7163" t="s">
        <v>75</v>
      </c>
      <c r="H7163">
        <v>25271.5</v>
      </c>
      <c r="I7163" t="s">
        <v>76</v>
      </c>
      <c r="J7163" t="s">
        <v>82</v>
      </c>
      <c r="K7163">
        <v>39.570267600000001</v>
      </c>
    </row>
    <row r="7164" spans="1:11" x14ac:dyDescent="0.3">
      <c r="A7164" t="s">
        <v>83</v>
      </c>
      <c r="B7164">
        <v>1000</v>
      </c>
      <c r="C7164" t="s">
        <v>91</v>
      </c>
      <c r="D7164">
        <v>5.3613E-4</v>
      </c>
      <c r="E7164" t="s">
        <v>74</v>
      </c>
      <c r="F7164">
        <v>0.53613</v>
      </c>
      <c r="G7164" t="s">
        <v>75</v>
      </c>
      <c r="H7164">
        <v>536.13499999999999</v>
      </c>
      <c r="I7164" t="s">
        <v>76</v>
      </c>
      <c r="J7164" t="s">
        <v>77</v>
      </c>
    </row>
    <row r="7165" spans="1:11" x14ac:dyDescent="0.3">
      <c r="A7165" t="s">
        <v>83</v>
      </c>
      <c r="B7165">
        <v>1000</v>
      </c>
      <c r="C7165" t="s">
        <v>92</v>
      </c>
      <c r="D7165">
        <v>1.071628E-2</v>
      </c>
      <c r="E7165" t="s">
        <v>74</v>
      </c>
      <c r="F7165">
        <v>10.716279999999999</v>
      </c>
      <c r="G7165" t="s">
        <v>75</v>
      </c>
      <c r="H7165">
        <v>10716.284</v>
      </c>
      <c r="I7165" t="s">
        <v>76</v>
      </c>
      <c r="J7165" t="s">
        <v>77</v>
      </c>
    </row>
    <row r="7166" spans="1:11" x14ac:dyDescent="0.3">
      <c r="A7166" t="s">
        <v>83</v>
      </c>
      <c r="B7166">
        <v>1000</v>
      </c>
      <c r="C7166" t="s">
        <v>93</v>
      </c>
      <c r="D7166">
        <v>5.0591000000000004E-4</v>
      </c>
      <c r="E7166" t="s">
        <v>74</v>
      </c>
      <c r="F7166">
        <v>0.50590999999999997</v>
      </c>
      <c r="G7166" t="s">
        <v>75</v>
      </c>
      <c r="H7166">
        <v>505.90899999999999</v>
      </c>
      <c r="I7166" t="s">
        <v>76</v>
      </c>
      <c r="J7166" t="s">
        <v>77</v>
      </c>
    </row>
    <row r="7167" spans="1:11" x14ac:dyDescent="0.3">
      <c r="A7167" t="s">
        <v>83</v>
      </c>
      <c r="B7167">
        <v>1000</v>
      </c>
      <c r="C7167" t="s">
        <v>79</v>
      </c>
      <c r="D7167">
        <v>1.175873E-2</v>
      </c>
      <c r="E7167" t="s">
        <v>74</v>
      </c>
      <c r="F7167">
        <v>11.75873</v>
      </c>
      <c r="G7167" t="s">
        <v>75</v>
      </c>
      <c r="H7167">
        <v>11758.731</v>
      </c>
      <c r="I7167" t="s">
        <v>76</v>
      </c>
      <c r="J7167" t="s">
        <v>77</v>
      </c>
    </row>
    <row r="7168" spans="1:11" x14ac:dyDescent="0.3">
      <c r="A7168" t="s">
        <v>83</v>
      </c>
      <c r="B7168">
        <v>1000</v>
      </c>
      <c r="C7168" t="s">
        <v>94</v>
      </c>
      <c r="D7168">
        <v>2.6964599999999999E-3</v>
      </c>
      <c r="E7168" t="s">
        <v>74</v>
      </c>
      <c r="F7168">
        <v>2.6964600000000001</v>
      </c>
      <c r="G7168" t="s">
        <v>75</v>
      </c>
      <c r="H7168">
        <v>2696.4639999999999</v>
      </c>
      <c r="I7168" t="s">
        <v>76</v>
      </c>
      <c r="J7168" t="s">
        <v>77</v>
      </c>
    </row>
    <row r="7169" spans="1:11" x14ac:dyDescent="0.3">
      <c r="A7169" t="s">
        <v>83</v>
      </c>
      <c r="B7169">
        <v>1000</v>
      </c>
      <c r="C7169" t="s">
        <v>80</v>
      </c>
      <c r="D7169">
        <v>2.8751800000000002E-3</v>
      </c>
      <c r="E7169" t="s">
        <v>74</v>
      </c>
      <c r="F7169">
        <v>2.8751799999999998</v>
      </c>
      <c r="G7169" t="s">
        <v>75</v>
      </c>
      <c r="H7169">
        <v>2875.1849999999999</v>
      </c>
      <c r="I7169" t="s">
        <v>76</v>
      </c>
      <c r="J7169" t="s">
        <v>77</v>
      </c>
    </row>
    <row r="7170" spans="1:11" x14ac:dyDescent="0.3">
      <c r="A7170" t="s">
        <v>83</v>
      </c>
      <c r="B7170">
        <v>1000</v>
      </c>
      <c r="C7170" t="s">
        <v>81</v>
      </c>
      <c r="D7170">
        <v>1.4635280000000001E-2</v>
      </c>
      <c r="E7170" t="s">
        <v>74</v>
      </c>
      <c r="F7170">
        <v>14.63528</v>
      </c>
      <c r="G7170" t="s">
        <v>75</v>
      </c>
      <c r="H7170">
        <v>14635.276</v>
      </c>
      <c r="I7170" t="s">
        <v>76</v>
      </c>
      <c r="J7170" t="s">
        <v>82</v>
      </c>
      <c r="K7170">
        <v>68.328059600000003</v>
      </c>
    </row>
    <row r="7171" spans="1:11" x14ac:dyDescent="0.3">
      <c r="A7171" t="s">
        <v>84</v>
      </c>
      <c r="B7171">
        <v>1001</v>
      </c>
      <c r="C7171" t="s">
        <v>91</v>
      </c>
      <c r="D7171">
        <v>5.3790999999999995E-4</v>
      </c>
      <c r="E7171" t="s">
        <v>74</v>
      </c>
      <c r="F7171">
        <v>0.53791</v>
      </c>
      <c r="G7171" t="s">
        <v>75</v>
      </c>
      <c r="H7171">
        <v>537.90899999999999</v>
      </c>
      <c r="I7171" t="s">
        <v>76</v>
      </c>
      <c r="J7171" t="s">
        <v>77</v>
      </c>
    </row>
    <row r="7172" spans="1:11" x14ac:dyDescent="0.3">
      <c r="A7172" t="s">
        <v>84</v>
      </c>
      <c r="B7172">
        <v>1001</v>
      </c>
      <c r="C7172" t="s">
        <v>92</v>
      </c>
      <c r="D7172">
        <v>1.0717529999999999E-2</v>
      </c>
      <c r="E7172" t="s">
        <v>74</v>
      </c>
      <c r="F7172">
        <v>10.71753</v>
      </c>
      <c r="G7172" t="s">
        <v>75</v>
      </c>
      <c r="H7172">
        <v>10717.531000000001</v>
      </c>
      <c r="I7172" t="s">
        <v>76</v>
      </c>
      <c r="J7172" t="s">
        <v>77</v>
      </c>
    </row>
    <row r="7173" spans="1:11" x14ac:dyDescent="0.3">
      <c r="A7173" t="s">
        <v>84</v>
      </c>
      <c r="B7173">
        <v>1001</v>
      </c>
      <c r="C7173" t="s">
        <v>93</v>
      </c>
      <c r="D7173">
        <v>5.0695999999999998E-4</v>
      </c>
      <c r="E7173" t="s">
        <v>74</v>
      </c>
      <c r="F7173">
        <v>0.50695999999999997</v>
      </c>
      <c r="G7173" t="s">
        <v>75</v>
      </c>
      <c r="H7173">
        <v>506.96</v>
      </c>
      <c r="I7173" t="s">
        <v>76</v>
      </c>
      <c r="J7173" t="s">
        <v>77</v>
      </c>
    </row>
    <row r="7174" spans="1:11" x14ac:dyDescent="0.3">
      <c r="A7174" t="s">
        <v>84</v>
      </c>
      <c r="B7174">
        <v>1001</v>
      </c>
      <c r="C7174" t="s">
        <v>79</v>
      </c>
      <c r="D7174">
        <v>1.17628E-2</v>
      </c>
      <c r="E7174" t="s">
        <v>74</v>
      </c>
      <c r="F7174">
        <v>11.7628</v>
      </c>
      <c r="G7174" t="s">
        <v>75</v>
      </c>
      <c r="H7174">
        <v>11762.805</v>
      </c>
      <c r="I7174" t="s">
        <v>76</v>
      </c>
      <c r="J7174" t="s">
        <v>77</v>
      </c>
    </row>
    <row r="7175" spans="1:11" x14ac:dyDescent="0.3">
      <c r="A7175" t="s">
        <v>84</v>
      </c>
      <c r="B7175">
        <v>1001</v>
      </c>
      <c r="C7175" t="s">
        <v>94</v>
      </c>
      <c r="D7175">
        <v>2.7031899999999998E-3</v>
      </c>
      <c r="E7175" t="s">
        <v>74</v>
      </c>
      <c r="F7175">
        <v>2.7031900000000002</v>
      </c>
      <c r="G7175" t="s">
        <v>75</v>
      </c>
      <c r="H7175">
        <v>2703.1889999999999</v>
      </c>
      <c r="I7175" t="s">
        <v>76</v>
      </c>
      <c r="J7175" t="s">
        <v>77</v>
      </c>
    </row>
    <row r="7176" spans="1:11" x14ac:dyDescent="0.3">
      <c r="A7176" t="s">
        <v>84</v>
      </c>
      <c r="B7176">
        <v>1001</v>
      </c>
      <c r="C7176" t="s">
        <v>80</v>
      </c>
      <c r="D7176">
        <v>2.8817299999999999E-3</v>
      </c>
      <c r="E7176" t="s">
        <v>74</v>
      </c>
      <c r="F7176">
        <v>2.8817300000000001</v>
      </c>
      <c r="G7176" t="s">
        <v>75</v>
      </c>
      <c r="H7176">
        <v>2881.7330000000002</v>
      </c>
      <c r="I7176" t="s">
        <v>76</v>
      </c>
      <c r="J7176" t="s">
        <v>77</v>
      </c>
    </row>
    <row r="7177" spans="1:11" x14ac:dyDescent="0.3">
      <c r="A7177" t="s">
        <v>84</v>
      </c>
      <c r="B7177">
        <v>1001</v>
      </c>
      <c r="C7177" t="s">
        <v>81</v>
      </c>
      <c r="D7177">
        <v>1.46459E-2</v>
      </c>
      <c r="E7177" t="s">
        <v>74</v>
      </c>
      <c r="F7177">
        <v>14.645899999999999</v>
      </c>
      <c r="G7177" t="s">
        <v>75</v>
      </c>
      <c r="H7177">
        <v>14645.901</v>
      </c>
      <c r="I7177" t="s">
        <v>76</v>
      </c>
      <c r="J7177" t="s">
        <v>82</v>
      </c>
      <c r="K7177">
        <v>68.278487999999996</v>
      </c>
    </row>
    <row r="7178" spans="1:11" x14ac:dyDescent="0.3">
      <c r="A7178" t="s">
        <v>85</v>
      </c>
      <c r="B7178">
        <v>1001</v>
      </c>
      <c r="C7178" t="s">
        <v>86</v>
      </c>
      <c r="D7178">
        <v>1.46461E-2</v>
      </c>
      <c r="E7178" t="s">
        <v>74</v>
      </c>
      <c r="F7178">
        <v>14.646100000000001</v>
      </c>
      <c r="G7178" t="s">
        <v>75</v>
      </c>
      <c r="H7178">
        <v>14646.1</v>
      </c>
      <c r="I7178" t="s">
        <v>76</v>
      </c>
      <c r="J7178" t="s">
        <v>82</v>
      </c>
      <c r="K7178">
        <v>68.2775642</v>
      </c>
    </row>
    <row r="7179" spans="1:11" x14ac:dyDescent="0.3">
      <c r="A7179" t="s">
        <v>95</v>
      </c>
    </row>
    <row r="7180" spans="1:11" x14ac:dyDescent="0.3">
      <c r="A7180" t="s">
        <v>72</v>
      </c>
      <c r="B7180">
        <v>1</v>
      </c>
      <c r="C7180" t="s">
        <v>73</v>
      </c>
      <c r="D7180">
        <v>4.5000000000000001E-6</v>
      </c>
      <c r="E7180" t="s">
        <v>74</v>
      </c>
      <c r="F7180">
        <v>4.4999999999999997E-3</v>
      </c>
      <c r="G7180" t="s">
        <v>75</v>
      </c>
      <c r="H7180">
        <v>4.5</v>
      </c>
      <c r="I7180" t="s">
        <v>76</v>
      </c>
      <c r="J7180" t="s">
        <v>77</v>
      </c>
    </row>
    <row r="7181" spans="1:11" x14ac:dyDescent="0.3">
      <c r="A7181" t="s">
        <v>72</v>
      </c>
      <c r="B7181">
        <v>1</v>
      </c>
      <c r="C7181" t="s">
        <v>78</v>
      </c>
      <c r="D7181">
        <v>4.0899999999999998E-5</v>
      </c>
      <c r="E7181" t="s">
        <v>74</v>
      </c>
      <c r="F7181">
        <v>4.0899999999999999E-2</v>
      </c>
      <c r="G7181" t="s">
        <v>75</v>
      </c>
      <c r="H7181">
        <v>40.9</v>
      </c>
      <c r="I7181" t="s">
        <v>76</v>
      </c>
      <c r="J7181" t="s">
        <v>77</v>
      </c>
    </row>
    <row r="7182" spans="1:11" x14ac:dyDescent="0.3">
      <c r="A7182" t="s">
        <v>72</v>
      </c>
      <c r="B7182">
        <v>1</v>
      </c>
      <c r="C7182" t="s">
        <v>91</v>
      </c>
      <c r="D7182">
        <v>2.0879000000000002E-3</v>
      </c>
      <c r="E7182" t="s">
        <v>74</v>
      </c>
      <c r="F7182">
        <v>2.0878999999999999</v>
      </c>
      <c r="G7182" t="s">
        <v>75</v>
      </c>
      <c r="H7182">
        <v>2087.9</v>
      </c>
      <c r="I7182" t="s">
        <v>76</v>
      </c>
      <c r="J7182" t="s">
        <v>77</v>
      </c>
    </row>
    <row r="7183" spans="1:11" x14ac:dyDescent="0.3">
      <c r="A7183" t="s">
        <v>72</v>
      </c>
      <c r="B7183">
        <v>1</v>
      </c>
      <c r="C7183" t="s">
        <v>92</v>
      </c>
      <c r="D7183">
        <v>1.1653699999999999E-2</v>
      </c>
      <c r="E7183" t="s">
        <v>74</v>
      </c>
      <c r="F7183">
        <v>11.653700000000001</v>
      </c>
      <c r="G7183" t="s">
        <v>75</v>
      </c>
      <c r="H7183">
        <v>11653.7</v>
      </c>
      <c r="I7183" t="s">
        <v>76</v>
      </c>
      <c r="J7183" t="s">
        <v>77</v>
      </c>
    </row>
    <row r="7184" spans="1:11" x14ac:dyDescent="0.3">
      <c r="A7184" t="s">
        <v>72</v>
      </c>
      <c r="B7184">
        <v>1</v>
      </c>
      <c r="C7184" t="s">
        <v>93</v>
      </c>
      <c r="D7184">
        <v>1.5991E-3</v>
      </c>
      <c r="E7184" t="s">
        <v>74</v>
      </c>
      <c r="F7184">
        <v>1.5991</v>
      </c>
      <c r="G7184" t="s">
        <v>75</v>
      </c>
      <c r="H7184">
        <v>1599.1</v>
      </c>
      <c r="I7184" t="s">
        <v>76</v>
      </c>
      <c r="J7184" t="s">
        <v>77</v>
      </c>
    </row>
    <row r="7185" spans="1:11" x14ac:dyDescent="0.3">
      <c r="A7185" t="s">
        <v>72</v>
      </c>
      <c r="B7185">
        <v>1</v>
      </c>
      <c r="C7185" t="s">
        <v>79</v>
      </c>
      <c r="D7185">
        <v>1.5341E-2</v>
      </c>
      <c r="E7185" t="s">
        <v>74</v>
      </c>
      <c r="F7185">
        <v>15.340999999999999</v>
      </c>
      <c r="G7185" t="s">
        <v>75</v>
      </c>
      <c r="H7185">
        <v>15341</v>
      </c>
      <c r="I7185" t="s">
        <v>76</v>
      </c>
      <c r="J7185" t="s">
        <v>77</v>
      </c>
    </row>
    <row r="7186" spans="1:11" x14ac:dyDescent="0.3">
      <c r="A7186" t="s">
        <v>72</v>
      </c>
      <c r="B7186">
        <v>1</v>
      </c>
      <c r="C7186" t="s">
        <v>96</v>
      </c>
      <c r="D7186">
        <v>2.0181000000000001E-3</v>
      </c>
      <c r="E7186" t="s">
        <v>74</v>
      </c>
      <c r="F7186">
        <v>2.0181</v>
      </c>
      <c r="G7186" t="s">
        <v>75</v>
      </c>
      <c r="H7186">
        <v>2018.1</v>
      </c>
      <c r="I7186" t="s">
        <v>76</v>
      </c>
      <c r="J7186" t="s">
        <v>77</v>
      </c>
    </row>
    <row r="7187" spans="1:11" x14ac:dyDescent="0.3">
      <c r="A7187" t="s">
        <v>72</v>
      </c>
      <c r="B7187">
        <v>1</v>
      </c>
      <c r="C7187" t="s">
        <v>94</v>
      </c>
      <c r="D7187">
        <v>3.0783E-3</v>
      </c>
      <c r="E7187" t="s">
        <v>74</v>
      </c>
      <c r="F7187">
        <v>3.0783</v>
      </c>
      <c r="G7187" t="s">
        <v>75</v>
      </c>
      <c r="H7187">
        <v>3078.3</v>
      </c>
      <c r="I7187" t="s">
        <v>76</v>
      </c>
      <c r="J7187" t="s">
        <v>77</v>
      </c>
    </row>
    <row r="7188" spans="1:11" x14ac:dyDescent="0.3">
      <c r="A7188" t="s">
        <v>72</v>
      </c>
      <c r="B7188">
        <v>1</v>
      </c>
      <c r="C7188" t="s">
        <v>80</v>
      </c>
      <c r="D7188">
        <v>5.2249000000000002E-3</v>
      </c>
      <c r="E7188" t="s">
        <v>74</v>
      </c>
      <c r="F7188">
        <v>5.2248999999999999</v>
      </c>
      <c r="G7188" t="s">
        <v>75</v>
      </c>
      <c r="H7188">
        <v>5224.8999999999996</v>
      </c>
      <c r="I7188" t="s">
        <v>76</v>
      </c>
      <c r="J7188" t="s">
        <v>77</v>
      </c>
    </row>
    <row r="7189" spans="1:11" x14ac:dyDescent="0.3">
      <c r="A7189" t="s">
        <v>72</v>
      </c>
      <c r="B7189">
        <v>1</v>
      </c>
      <c r="C7189" t="s">
        <v>81</v>
      </c>
      <c r="D7189">
        <v>2.05667E-2</v>
      </c>
      <c r="E7189" t="s">
        <v>74</v>
      </c>
      <c r="F7189">
        <v>20.566700000000001</v>
      </c>
      <c r="G7189" t="s">
        <v>75</v>
      </c>
      <c r="H7189">
        <v>20566.7</v>
      </c>
      <c r="I7189" t="s">
        <v>76</v>
      </c>
      <c r="J7189" t="s">
        <v>82</v>
      </c>
      <c r="K7189">
        <v>48.622287399999998</v>
      </c>
    </row>
    <row r="7190" spans="1:11" x14ac:dyDescent="0.3">
      <c r="A7190" t="s">
        <v>83</v>
      </c>
      <c r="B7190">
        <v>1000</v>
      </c>
      <c r="C7190" t="s">
        <v>91</v>
      </c>
      <c r="D7190">
        <v>5.3903999999999996E-4</v>
      </c>
      <c r="E7190" t="s">
        <v>74</v>
      </c>
      <c r="F7190">
        <v>0.53903999999999996</v>
      </c>
      <c r="G7190" t="s">
        <v>75</v>
      </c>
      <c r="H7190">
        <v>539.04100000000005</v>
      </c>
      <c r="I7190" t="s">
        <v>76</v>
      </c>
      <c r="J7190" t="s">
        <v>77</v>
      </c>
    </row>
    <row r="7191" spans="1:11" x14ac:dyDescent="0.3">
      <c r="A7191" t="s">
        <v>83</v>
      </c>
      <c r="B7191">
        <v>1000</v>
      </c>
      <c r="C7191" t="s">
        <v>92</v>
      </c>
      <c r="D7191">
        <v>1.064825E-2</v>
      </c>
      <c r="E7191" t="s">
        <v>74</v>
      </c>
      <c r="F7191">
        <v>10.648250000000001</v>
      </c>
      <c r="G7191" t="s">
        <v>75</v>
      </c>
      <c r="H7191">
        <v>10648.253000000001</v>
      </c>
      <c r="I7191" t="s">
        <v>76</v>
      </c>
      <c r="J7191" t="s">
        <v>77</v>
      </c>
    </row>
    <row r="7192" spans="1:11" x14ac:dyDescent="0.3">
      <c r="A7192" t="s">
        <v>83</v>
      </c>
      <c r="B7192">
        <v>1000</v>
      </c>
      <c r="C7192" t="s">
        <v>93</v>
      </c>
      <c r="D7192">
        <v>5.0429999999999995E-4</v>
      </c>
      <c r="E7192" t="s">
        <v>74</v>
      </c>
      <c r="F7192">
        <v>0.50429999999999997</v>
      </c>
      <c r="G7192" t="s">
        <v>75</v>
      </c>
      <c r="H7192">
        <v>504.30399999999997</v>
      </c>
      <c r="I7192" t="s">
        <v>76</v>
      </c>
      <c r="J7192" t="s">
        <v>77</v>
      </c>
    </row>
    <row r="7193" spans="1:11" x14ac:dyDescent="0.3">
      <c r="A7193" t="s">
        <v>83</v>
      </c>
      <c r="B7193">
        <v>1000</v>
      </c>
      <c r="C7193" t="s">
        <v>79</v>
      </c>
      <c r="D7193">
        <v>1.1691999999999999E-2</v>
      </c>
      <c r="E7193" t="s">
        <v>74</v>
      </c>
      <c r="F7193">
        <v>11.692</v>
      </c>
      <c r="G7193" t="s">
        <v>75</v>
      </c>
      <c r="H7193">
        <v>11692.002</v>
      </c>
      <c r="I7193" t="s">
        <v>76</v>
      </c>
      <c r="J7193" t="s">
        <v>77</v>
      </c>
    </row>
    <row r="7194" spans="1:11" x14ac:dyDescent="0.3">
      <c r="A7194" t="s">
        <v>83</v>
      </c>
      <c r="B7194">
        <v>1000</v>
      </c>
      <c r="C7194" t="s">
        <v>96</v>
      </c>
      <c r="D7194">
        <v>1.77673E-3</v>
      </c>
      <c r="E7194" t="s">
        <v>74</v>
      </c>
      <c r="F7194">
        <v>1.7767299999999999</v>
      </c>
      <c r="G7194" t="s">
        <v>75</v>
      </c>
      <c r="H7194">
        <v>1776.7260000000001</v>
      </c>
      <c r="I7194" t="s">
        <v>76</v>
      </c>
      <c r="J7194" t="s">
        <v>77</v>
      </c>
    </row>
    <row r="7195" spans="1:11" x14ac:dyDescent="0.3">
      <c r="A7195" t="s">
        <v>83</v>
      </c>
      <c r="B7195">
        <v>1000</v>
      </c>
      <c r="C7195" t="s">
        <v>94</v>
      </c>
      <c r="D7195">
        <v>3.0549599999999998E-3</v>
      </c>
      <c r="E7195" t="s">
        <v>74</v>
      </c>
      <c r="F7195">
        <v>3.0549599999999999</v>
      </c>
      <c r="G7195" t="s">
        <v>75</v>
      </c>
      <c r="H7195">
        <v>3054.9560000000001</v>
      </c>
      <c r="I7195" t="s">
        <v>76</v>
      </c>
      <c r="J7195" t="s">
        <v>77</v>
      </c>
    </row>
    <row r="7196" spans="1:11" x14ac:dyDescent="0.3">
      <c r="A7196" t="s">
        <v>83</v>
      </c>
      <c r="B7196">
        <v>1000</v>
      </c>
      <c r="C7196" t="s">
        <v>80</v>
      </c>
      <c r="D7196">
        <v>4.9630300000000002E-3</v>
      </c>
      <c r="E7196" t="s">
        <v>74</v>
      </c>
      <c r="F7196">
        <v>4.9630299999999998</v>
      </c>
      <c r="G7196" t="s">
        <v>75</v>
      </c>
      <c r="H7196">
        <v>4963.027</v>
      </c>
      <c r="I7196" t="s">
        <v>76</v>
      </c>
      <c r="J7196" t="s">
        <v>77</v>
      </c>
    </row>
    <row r="7197" spans="1:11" x14ac:dyDescent="0.3">
      <c r="A7197" t="s">
        <v>83</v>
      </c>
      <c r="B7197">
        <v>1000</v>
      </c>
      <c r="C7197" t="s">
        <v>81</v>
      </c>
      <c r="D7197">
        <v>1.6656790000000001E-2</v>
      </c>
      <c r="E7197" t="s">
        <v>74</v>
      </c>
      <c r="F7197">
        <v>16.656790000000001</v>
      </c>
      <c r="G7197" t="s">
        <v>75</v>
      </c>
      <c r="H7197">
        <v>16656.794000000002</v>
      </c>
      <c r="I7197" t="s">
        <v>76</v>
      </c>
      <c r="J7197" t="s">
        <v>82</v>
      </c>
      <c r="K7197">
        <v>60.035564100000002</v>
      </c>
    </row>
    <row r="7198" spans="1:11" x14ac:dyDescent="0.3">
      <c r="A7198" t="s">
        <v>84</v>
      </c>
      <c r="B7198">
        <v>1001</v>
      </c>
      <c r="C7198" t="s">
        <v>91</v>
      </c>
      <c r="D7198">
        <v>5.4058999999999997E-4</v>
      </c>
      <c r="E7198" t="s">
        <v>74</v>
      </c>
      <c r="F7198">
        <v>0.54059000000000001</v>
      </c>
      <c r="G7198" t="s">
        <v>75</v>
      </c>
      <c r="H7198">
        <v>540.58799999999997</v>
      </c>
      <c r="I7198" t="s">
        <v>76</v>
      </c>
      <c r="J7198" t="s">
        <v>77</v>
      </c>
    </row>
    <row r="7199" spans="1:11" x14ac:dyDescent="0.3">
      <c r="A7199" t="s">
        <v>84</v>
      </c>
      <c r="B7199">
        <v>1001</v>
      </c>
      <c r="C7199" t="s">
        <v>92</v>
      </c>
      <c r="D7199">
        <v>1.0649260000000001E-2</v>
      </c>
      <c r="E7199" t="s">
        <v>74</v>
      </c>
      <c r="F7199">
        <v>10.64926</v>
      </c>
      <c r="G7199" t="s">
        <v>75</v>
      </c>
      <c r="H7199">
        <v>10649.258</v>
      </c>
      <c r="I7199" t="s">
        <v>76</v>
      </c>
      <c r="J7199" t="s">
        <v>77</v>
      </c>
    </row>
    <row r="7200" spans="1:11" x14ac:dyDescent="0.3">
      <c r="A7200" t="s">
        <v>84</v>
      </c>
      <c r="B7200">
        <v>1001</v>
      </c>
      <c r="C7200" t="s">
        <v>93</v>
      </c>
      <c r="D7200">
        <v>5.0540000000000003E-4</v>
      </c>
      <c r="E7200" t="s">
        <v>74</v>
      </c>
      <c r="F7200">
        <v>0.50539999999999996</v>
      </c>
      <c r="G7200" t="s">
        <v>75</v>
      </c>
      <c r="H7200">
        <v>505.39800000000002</v>
      </c>
      <c r="I7200" t="s">
        <v>76</v>
      </c>
      <c r="J7200" t="s">
        <v>77</v>
      </c>
    </row>
    <row r="7201" spans="1:11" x14ac:dyDescent="0.3">
      <c r="A7201" t="s">
        <v>84</v>
      </c>
      <c r="B7201">
        <v>1001</v>
      </c>
      <c r="C7201" t="s">
        <v>79</v>
      </c>
      <c r="D7201">
        <v>1.169565E-2</v>
      </c>
      <c r="E7201" t="s">
        <v>74</v>
      </c>
      <c r="F7201">
        <v>11.695650000000001</v>
      </c>
      <c r="G7201" t="s">
        <v>75</v>
      </c>
      <c r="H7201">
        <v>11695.647000000001</v>
      </c>
      <c r="I7201" t="s">
        <v>76</v>
      </c>
      <c r="J7201" t="s">
        <v>77</v>
      </c>
    </row>
    <row r="7202" spans="1:11" x14ac:dyDescent="0.3">
      <c r="A7202" t="s">
        <v>84</v>
      </c>
      <c r="B7202">
        <v>1001</v>
      </c>
      <c r="C7202" t="s">
        <v>96</v>
      </c>
      <c r="D7202">
        <v>1.7769699999999999E-3</v>
      </c>
      <c r="E7202" t="s">
        <v>74</v>
      </c>
      <c r="F7202">
        <v>1.7769699999999999</v>
      </c>
      <c r="G7202" t="s">
        <v>75</v>
      </c>
      <c r="H7202">
        <v>1776.9670000000001</v>
      </c>
      <c r="I7202" t="s">
        <v>76</v>
      </c>
      <c r="J7202" t="s">
        <v>77</v>
      </c>
    </row>
    <row r="7203" spans="1:11" x14ac:dyDescent="0.3">
      <c r="A7203" t="s">
        <v>84</v>
      </c>
      <c r="B7203">
        <v>1001</v>
      </c>
      <c r="C7203" t="s">
        <v>94</v>
      </c>
      <c r="D7203">
        <v>3.0549800000000001E-3</v>
      </c>
      <c r="E7203" t="s">
        <v>74</v>
      </c>
      <c r="F7203">
        <v>3.05498</v>
      </c>
      <c r="G7203" t="s">
        <v>75</v>
      </c>
      <c r="H7203">
        <v>3054.9789999999998</v>
      </c>
      <c r="I7203" t="s">
        <v>76</v>
      </c>
      <c r="J7203" t="s">
        <v>77</v>
      </c>
    </row>
    <row r="7204" spans="1:11" x14ac:dyDescent="0.3">
      <c r="A7204" t="s">
        <v>84</v>
      </c>
      <c r="B7204">
        <v>1001</v>
      </c>
      <c r="C7204" t="s">
        <v>80</v>
      </c>
      <c r="D7204">
        <v>4.9632900000000004E-3</v>
      </c>
      <c r="E7204" t="s">
        <v>74</v>
      </c>
      <c r="F7204">
        <v>4.9632899999999998</v>
      </c>
      <c r="G7204" t="s">
        <v>75</v>
      </c>
      <c r="H7204">
        <v>4963.2879999999996</v>
      </c>
      <c r="I7204" t="s">
        <v>76</v>
      </c>
      <c r="J7204" t="s">
        <v>77</v>
      </c>
    </row>
    <row r="7205" spans="1:11" x14ac:dyDescent="0.3">
      <c r="A7205" t="s">
        <v>84</v>
      </c>
      <c r="B7205">
        <v>1001</v>
      </c>
      <c r="C7205" t="s">
        <v>81</v>
      </c>
      <c r="D7205">
        <v>1.6660700000000001E-2</v>
      </c>
      <c r="E7205" t="s">
        <v>74</v>
      </c>
      <c r="F7205">
        <v>16.660699999999999</v>
      </c>
      <c r="G7205" t="s">
        <v>75</v>
      </c>
      <c r="H7205">
        <v>16660.7</v>
      </c>
      <c r="I7205" t="s">
        <v>76</v>
      </c>
      <c r="J7205" t="s">
        <v>82</v>
      </c>
      <c r="K7205">
        <v>60.021488300000001</v>
      </c>
    </row>
    <row r="7206" spans="1:11" x14ac:dyDescent="0.3">
      <c r="A7206" t="s">
        <v>85</v>
      </c>
      <c r="B7206">
        <v>1001</v>
      </c>
      <c r="C7206" t="s">
        <v>86</v>
      </c>
      <c r="D7206">
        <v>1.6660910000000001E-2</v>
      </c>
      <c r="E7206" t="s">
        <v>74</v>
      </c>
      <c r="F7206">
        <v>16.660910000000001</v>
      </c>
      <c r="G7206" t="s">
        <v>75</v>
      </c>
      <c r="H7206">
        <v>16660.913</v>
      </c>
      <c r="I7206" t="s">
        <v>76</v>
      </c>
      <c r="J7206" t="s">
        <v>82</v>
      </c>
      <c r="K7206">
        <v>60.020719499999998</v>
      </c>
    </row>
    <row r="7207" spans="1:11" x14ac:dyDescent="0.3">
      <c r="A7207" t="s">
        <v>87</v>
      </c>
    </row>
    <row r="7208" spans="1:11" x14ac:dyDescent="0.3">
      <c r="A7208" t="s">
        <v>97</v>
      </c>
    </row>
    <row r="7209" spans="1:11" x14ac:dyDescent="0.3">
      <c r="A7209" t="s">
        <v>72</v>
      </c>
      <c r="B7209">
        <v>1</v>
      </c>
      <c r="C7209" t="s">
        <v>81</v>
      </c>
      <c r="D7209">
        <v>2.5271499999999999E-2</v>
      </c>
      <c r="E7209" t="s">
        <v>74</v>
      </c>
      <c r="F7209">
        <v>25.2715</v>
      </c>
      <c r="G7209" t="s">
        <v>75</v>
      </c>
      <c r="H7209">
        <v>25271.5</v>
      </c>
      <c r="I7209" t="s">
        <v>76</v>
      </c>
      <c r="J7209" t="s">
        <v>82</v>
      </c>
      <c r="K7209">
        <v>39.570267600000001</v>
      </c>
    </row>
    <row r="7210" spans="1:11" x14ac:dyDescent="0.3">
      <c r="A7210" t="s">
        <v>83</v>
      </c>
      <c r="B7210">
        <v>1000</v>
      </c>
      <c r="C7210" t="s">
        <v>81</v>
      </c>
      <c r="D7210">
        <v>1.4635280000000001E-2</v>
      </c>
      <c r="E7210" t="s">
        <v>74</v>
      </c>
      <c r="F7210">
        <v>14.63528</v>
      </c>
      <c r="G7210" t="s">
        <v>75</v>
      </c>
      <c r="H7210">
        <v>14635.276</v>
      </c>
      <c r="I7210" t="s">
        <v>76</v>
      </c>
      <c r="J7210" t="s">
        <v>82</v>
      </c>
      <c r="K7210">
        <v>68.328059600000003</v>
      </c>
    </row>
    <row r="7211" spans="1:11" x14ac:dyDescent="0.3">
      <c r="A7211" t="s">
        <v>85</v>
      </c>
      <c r="B7211">
        <v>1001</v>
      </c>
      <c r="C7211" t="s">
        <v>86</v>
      </c>
      <c r="D7211">
        <v>1.46461E-2</v>
      </c>
      <c r="E7211" t="s">
        <v>74</v>
      </c>
      <c r="F7211">
        <v>14.646100000000001</v>
      </c>
      <c r="G7211" t="s">
        <v>75</v>
      </c>
      <c r="H7211">
        <v>14646.1</v>
      </c>
      <c r="I7211" t="s">
        <v>76</v>
      </c>
      <c r="J7211" t="s">
        <v>82</v>
      </c>
      <c r="K7211">
        <v>68.2775642</v>
      </c>
    </row>
    <row r="7213" spans="1:11" x14ac:dyDescent="0.3">
      <c r="A7213" t="s">
        <v>98</v>
      </c>
    </row>
    <row r="7214" spans="1:11" x14ac:dyDescent="0.3">
      <c r="A7214" t="s">
        <v>72</v>
      </c>
      <c r="B7214">
        <v>1</v>
      </c>
      <c r="C7214" t="s">
        <v>81</v>
      </c>
      <c r="D7214">
        <v>2.05667E-2</v>
      </c>
      <c r="E7214" t="s">
        <v>74</v>
      </c>
      <c r="F7214">
        <v>20.566700000000001</v>
      </c>
      <c r="G7214" t="s">
        <v>75</v>
      </c>
      <c r="H7214">
        <v>20566.7</v>
      </c>
      <c r="I7214" t="s">
        <v>76</v>
      </c>
      <c r="J7214" t="s">
        <v>82</v>
      </c>
      <c r="K7214">
        <v>48.622287399999998</v>
      </c>
    </row>
    <row r="7215" spans="1:11" x14ac:dyDescent="0.3">
      <c r="A7215" t="s">
        <v>83</v>
      </c>
      <c r="B7215">
        <v>1000</v>
      </c>
      <c r="C7215" t="s">
        <v>81</v>
      </c>
      <c r="D7215">
        <v>1.6656790000000001E-2</v>
      </c>
      <c r="E7215" t="s">
        <v>74</v>
      </c>
      <c r="F7215">
        <v>16.656790000000001</v>
      </c>
      <c r="G7215" t="s">
        <v>75</v>
      </c>
      <c r="H7215">
        <v>16656.794000000002</v>
      </c>
      <c r="I7215" t="s">
        <v>76</v>
      </c>
      <c r="J7215" t="s">
        <v>82</v>
      </c>
      <c r="K7215">
        <v>60.035564100000002</v>
      </c>
    </row>
    <row r="7216" spans="1:11" x14ac:dyDescent="0.3">
      <c r="A7216" t="s">
        <v>85</v>
      </c>
      <c r="B7216">
        <v>1001</v>
      </c>
      <c r="C7216" t="s">
        <v>86</v>
      </c>
      <c r="D7216">
        <v>1.6660910000000001E-2</v>
      </c>
      <c r="E7216" t="s">
        <v>74</v>
      </c>
      <c r="F7216">
        <v>16.660910000000001</v>
      </c>
      <c r="G7216" t="s">
        <v>75</v>
      </c>
      <c r="H7216">
        <v>16660.913</v>
      </c>
      <c r="I7216" t="s">
        <v>76</v>
      </c>
      <c r="J7216" t="s">
        <v>82</v>
      </c>
      <c r="K7216">
        <v>60.020719499999998</v>
      </c>
    </row>
    <row r="7218" spans="1:10" x14ac:dyDescent="0.3">
      <c r="A7218" t="s">
        <v>66</v>
      </c>
    </row>
    <row r="7220" spans="1:10" x14ac:dyDescent="0.3">
      <c r="A7220" t="s">
        <v>380</v>
      </c>
    </row>
    <row r="7221" spans="1:10" x14ac:dyDescent="0.3">
      <c r="A7221" t="s">
        <v>68</v>
      </c>
    </row>
    <row r="7222" spans="1:10" x14ac:dyDescent="0.3">
      <c r="A7222" t="s">
        <v>69</v>
      </c>
    </row>
    <row r="7223" spans="1:10" x14ac:dyDescent="0.3">
      <c r="A7223" t="s">
        <v>70</v>
      </c>
    </row>
    <row r="7224" spans="1:10" x14ac:dyDescent="0.3">
      <c r="A7224" t="s">
        <v>100</v>
      </c>
    </row>
    <row r="7225" spans="1:10" x14ac:dyDescent="0.3">
      <c r="A7225" t="s">
        <v>72</v>
      </c>
      <c r="B7225">
        <v>1</v>
      </c>
      <c r="C7225" t="s">
        <v>73</v>
      </c>
      <c r="D7225">
        <v>3.8E-6</v>
      </c>
      <c r="E7225" t="s">
        <v>74</v>
      </c>
      <c r="F7225">
        <v>3.8E-3</v>
      </c>
      <c r="G7225" t="s">
        <v>75</v>
      </c>
      <c r="H7225">
        <v>3.8</v>
      </c>
      <c r="I7225" t="s">
        <v>76</v>
      </c>
      <c r="J7225" t="s">
        <v>77</v>
      </c>
    </row>
    <row r="7226" spans="1:10" x14ac:dyDescent="0.3">
      <c r="A7226" t="s">
        <v>72</v>
      </c>
      <c r="B7226">
        <v>1</v>
      </c>
      <c r="C7226" t="s">
        <v>78</v>
      </c>
      <c r="D7226">
        <v>4.3900000000000003E-5</v>
      </c>
      <c r="E7226" t="s">
        <v>74</v>
      </c>
      <c r="F7226">
        <v>4.3900000000000002E-2</v>
      </c>
      <c r="G7226" t="s">
        <v>75</v>
      </c>
      <c r="H7226">
        <v>43.9</v>
      </c>
      <c r="I7226" t="s">
        <v>76</v>
      </c>
      <c r="J7226" t="s">
        <v>77</v>
      </c>
    </row>
    <row r="7227" spans="1:10" x14ac:dyDescent="0.3">
      <c r="A7227" t="s">
        <v>72</v>
      </c>
      <c r="B7227">
        <v>1</v>
      </c>
      <c r="C7227" t="s">
        <v>91</v>
      </c>
      <c r="D7227">
        <v>2.2504999999999999E-3</v>
      </c>
      <c r="E7227" t="s">
        <v>74</v>
      </c>
      <c r="F7227">
        <v>2.2505000000000002</v>
      </c>
      <c r="G7227" t="s">
        <v>75</v>
      </c>
      <c r="H7227">
        <v>2250.5</v>
      </c>
      <c r="I7227" t="s">
        <v>76</v>
      </c>
      <c r="J7227" t="s">
        <v>77</v>
      </c>
    </row>
    <row r="7228" spans="1:10" x14ac:dyDescent="0.3">
      <c r="A7228" t="s">
        <v>72</v>
      </c>
      <c r="B7228">
        <v>1</v>
      </c>
      <c r="C7228" t="s">
        <v>92</v>
      </c>
      <c r="D7228">
        <v>1.18747E-2</v>
      </c>
      <c r="E7228" t="s">
        <v>74</v>
      </c>
      <c r="F7228">
        <v>11.874700000000001</v>
      </c>
      <c r="G7228" t="s">
        <v>75</v>
      </c>
      <c r="H7228">
        <v>11874.7</v>
      </c>
      <c r="I7228" t="s">
        <v>76</v>
      </c>
      <c r="J7228" t="s">
        <v>77</v>
      </c>
    </row>
    <row r="7229" spans="1:10" x14ac:dyDescent="0.3">
      <c r="A7229" t="s">
        <v>72</v>
      </c>
      <c r="B7229">
        <v>1</v>
      </c>
      <c r="C7229" t="s">
        <v>93</v>
      </c>
      <c r="D7229">
        <v>1.7003999999999999E-3</v>
      </c>
      <c r="E7229" t="s">
        <v>74</v>
      </c>
      <c r="F7229">
        <v>1.7003999999999999</v>
      </c>
      <c r="G7229" t="s">
        <v>75</v>
      </c>
      <c r="H7229">
        <v>1700.4</v>
      </c>
      <c r="I7229" t="s">
        <v>76</v>
      </c>
      <c r="J7229" t="s">
        <v>77</v>
      </c>
    </row>
    <row r="7230" spans="1:10" x14ac:dyDescent="0.3">
      <c r="A7230" t="s">
        <v>72</v>
      </c>
      <c r="B7230">
        <v>1</v>
      </c>
      <c r="C7230" t="s">
        <v>79</v>
      </c>
      <c r="D7230">
        <v>1.5829200000000002E-2</v>
      </c>
      <c r="E7230" t="s">
        <v>74</v>
      </c>
      <c r="F7230">
        <v>15.8292</v>
      </c>
      <c r="G7230" t="s">
        <v>75</v>
      </c>
      <c r="H7230">
        <v>15829.2</v>
      </c>
      <c r="I7230" t="s">
        <v>76</v>
      </c>
      <c r="J7230" t="s">
        <v>77</v>
      </c>
    </row>
    <row r="7231" spans="1:10" x14ac:dyDescent="0.3">
      <c r="A7231" t="s">
        <v>72</v>
      </c>
      <c r="B7231">
        <v>1</v>
      </c>
      <c r="C7231" t="s">
        <v>94</v>
      </c>
      <c r="D7231">
        <v>9.5467E-3</v>
      </c>
      <c r="E7231" t="s">
        <v>74</v>
      </c>
      <c r="F7231">
        <v>9.5466999999999995</v>
      </c>
      <c r="G7231" t="s">
        <v>75</v>
      </c>
      <c r="H7231">
        <v>9546.7000000000007</v>
      </c>
      <c r="I7231" t="s">
        <v>76</v>
      </c>
      <c r="J7231" t="s">
        <v>77</v>
      </c>
    </row>
    <row r="7232" spans="1:10" x14ac:dyDescent="0.3">
      <c r="A7232" t="s">
        <v>72</v>
      </c>
      <c r="B7232">
        <v>1</v>
      </c>
      <c r="C7232" t="s">
        <v>80</v>
      </c>
      <c r="D7232">
        <v>9.5472000000000005E-3</v>
      </c>
      <c r="E7232" t="s">
        <v>74</v>
      </c>
      <c r="F7232">
        <v>9.5472000000000001</v>
      </c>
      <c r="G7232" t="s">
        <v>75</v>
      </c>
      <c r="H7232">
        <v>9547.2000000000007</v>
      </c>
      <c r="I7232" t="s">
        <v>76</v>
      </c>
      <c r="J7232" t="s">
        <v>77</v>
      </c>
    </row>
    <row r="7233" spans="1:11" x14ac:dyDescent="0.3">
      <c r="A7233" t="s">
        <v>72</v>
      </c>
      <c r="B7233">
        <v>1</v>
      </c>
      <c r="C7233" t="s">
        <v>81</v>
      </c>
      <c r="D7233">
        <v>2.5378999999999999E-2</v>
      </c>
      <c r="E7233" t="s">
        <v>74</v>
      </c>
      <c r="F7233">
        <v>25.379000000000001</v>
      </c>
      <c r="G7233" t="s">
        <v>75</v>
      </c>
      <c r="H7233">
        <v>25379</v>
      </c>
      <c r="I7233" t="s">
        <v>76</v>
      </c>
      <c r="J7233" t="s">
        <v>82</v>
      </c>
      <c r="K7233">
        <v>39.4026554</v>
      </c>
    </row>
    <row r="7234" spans="1:11" x14ac:dyDescent="0.3">
      <c r="A7234" t="s">
        <v>83</v>
      </c>
      <c r="B7234">
        <v>1000</v>
      </c>
      <c r="C7234" t="s">
        <v>91</v>
      </c>
      <c r="D7234">
        <v>5.4195999999999997E-4</v>
      </c>
      <c r="E7234" t="s">
        <v>74</v>
      </c>
      <c r="F7234">
        <v>0.54196</v>
      </c>
      <c r="G7234" t="s">
        <v>75</v>
      </c>
      <c r="H7234">
        <v>541.95899999999995</v>
      </c>
      <c r="I7234" t="s">
        <v>76</v>
      </c>
      <c r="J7234" t="s">
        <v>77</v>
      </c>
    </row>
    <row r="7235" spans="1:11" x14ac:dyDescent="0.3">
      <c r="A7235" t="s">
        <v>83</v>
      </c>
      <c r="B7235">
        <v>1000</v>
      </c>
      <c r="C7235" t="s">
        <v>92</v>
      </c>
      <c r="D7235">
        <v>1.072423E-2</v>
      </c>
      <c r="E7235" t="s">
        <v>74</v>
      </c>
      <c r="F7235">
        <v>10.72423</v>
      </c>
      <c r="G7235" t="s">
        <v>75</v>
      </c>
      <c r="H7235">
        <v>10724.228999999999</v>
      </c>
      <c r="I7235" t="s">
        <v>76</v>
      </c>
      <c r="J7235" t="s">
        <v>77</v>
      </c>
    </row>
    <row r="7236" spans="1:11" x14ac:dyDescent="0.3">
      <c r="A7236" t="s">
        <v>83</v>
      </c>
      <c r="B7236">
        <v>1000</v>
      </c>
      <c r="C7236" t="s">
        <v>93</v>
      </c>
      <c r="D7236">
        <v>5.0166999999999996E-4</v>
      </c>
      <c r="E7236" t="s">
        <v>74</v>
      </c>
      <c r="F7236">
        <v>0.50166999999999995</v>
      </c>
      <c r="G7236" t="s">
        <v>75</v>
      </c>
      <c r="H7236">
        <v>501.673</v>
      </c>
      <c r="I7236" t="s">
        <v>76</v>
      </c>
      <c r="J7236" t="s">
        <v>77</v>
      </c>
    </row>
    <row r="7237" spans="1:11" x14ac:dyDescent="0.3">
      <c r="A7237" t="s">
        <v>83</v>
      </c>
      <c r="B7237">
        <v>1000</v>
      </c>
      <c r="C7237" t="s">
        <v>79</v>
      </c>
      <c r="D7237">
        <v>1.1768229999999999E-2</v>
      </c>
      <c r="E7237" t="s">
        <v>74</v>
      </c>
      <c r="F7237">
        <v>11.768230000000001</v>
      </c>
      <c r="G7237" t="s">
        <v>75</v>
      </c>
      <c r="H7237">
        <v>11768.228999999999</v>
      </c>
      <c r="I7237" t="s">
        <v>76</v>
      </c>
      <c r="J7237" t="s">
        <v>77</v>
      </c>
    </row>
    <row r="7238" spans="1:11" x14ac:dyDescent="0.3">
      <c r="A7238" t="s">
        <v>83</v>
      </c>
      <c r="B7238">
        <v>1000</v>
      </c>
      <c r="C7238" t="s">
        <v>94</v>
      </c>
      <c r="D7238">
        <v>2.6960600000000001E-3</v>
      </c>
      <c r="E7238" t="s">
        <v>74</v>
      </c>
      <c r="F7238">
        <v>2.6960600000000001</v>
      </c>
      <c r="G7238" t="s">
        <v>75</v>
      </c>
      <c r="H7238">
        <v>2696.0630000000001</v>
      </c>
      <c r="I7238" t="s">
        <v>76</v>
      </c>
      <c r="J7238" t="s">
        <v>77</v>
      </c>
    </row>
    <row r="7239" spans="1:11" x14ac:dyDescent="0.3">
      <c r="A7239" t="s">
        <v>83</v>
      </c>
      <c r="B7239">
        <v>1000</v>
      </c>
      <c r="C7239" t="s">
        <v>80</v>
      </c>
      <c r="D7239">
        <v>2.8815799999999999E-3</v>
      </c>
      <c r="E7239" t="s">
        <v>74</v>
      </c>
      <c r="F7239">
        <v>2.88158</v>
      </c>
      <c r="G7239" t="s">
        <v>75</v>
      </c>
      <c r="H7239">
        <v>2881.5810000000001</v>
      </c>
      <c r="I7239" t="s">
        <v>76</v>
      </c>
      <c r="J7239" t="s">
        <v>77</v>
      </c>
    </row>
    <row r="7240" spans="1:11" x14ac:dyDescent="0.3">
      <c r="A7240" t="s">
        <v>83</v>
      </c>
      <c r="B7240">
        <v>1000</v>
      </c>
      <c r="C7240" t="s">
        <v>81</v>
      </c>
      <c r="D7240">
        <v>1.465117E-2</v>
      </c>
      <c r="E7240" t="s">
        <v>74</v>
      </c>
      <c r="F7240">
        <v>14.65117</v>
      </c>
      <c r="G7240" t="s">
        <v>75</v>
      </c>
      <c r="H7240">
        <v>14651.171</v>
      </c>
      <c r="I7240" t="s">
        <v>76</v>
      </c>
      <c r="J7240" t="s">
        <v>82</v>
      </c>
      <c r="K7240">
        <v>68.253931300000005</v>
      </c>
    </row>
    <row r="7241" spans="1:11" x14ac:dyDescent="0.3">
      <c r="A7241" t="s">
        <v>84</v>
      </c>
      <c r="B7241">
        <v>1001</v>
      </c>
      <c r="C7241" t="s">
        <v>91</v>
      </c>
      <c r="D7241">
        <v>5.4367E-4</v>
      </c>
      <c r="E7241" t="s">
        <v>74</v>
      </c>
      <c r="F7241">
        <v>0.54366999999999999</v>
      </c>
      <c r="G7241" t="s">
        <v>75</v>
      </c>
      <c r="H7241">
        <v>543.66600000000005</v>
      </c>
      <c r="I7241" t="s">
        <v>76</v>
      </c>
      <c r="J7241" t="s">
        <v>77</v>
      </c>
    </row>
    <row r="7242" spans="1:11" x14ac:dyDescent="0.3">
      <c r="A7242" t="s">
        <v>84</v>
      </c>
      <c r="B7242">
        <v>1001</v>
      </c>
      <c r="C7242" t="s">
        <v>92</v>
      </c>
      <c r="D7242">
        <v>1.072538E-2</v>
      </c>
      <c r="E7242" t="s">
        <v>74</v>
      </c>
      <c r="F7242">
        <v>10.725379999999999</v>
      </c>
      <c r="G7242" t="s">
        <v>75</v>
      </c>
      <c r="H7242">
        <v>10725.379000000001</v>
      </c>
      <c r="I7242" t="s">
        <v>76</v>
      </c>
      <c r="J7242" t="s">
        <v>77</v>
      </c>
    </row>
    <row r="7243" spans="1:11" x14ac:dyDescent="0.3">
      <c r="A7243" t="s">
        <v>84</v>
      </c>
      <c r="B7243">
        <v>1001</v>
      </c>
      <c r="C7243" t="s">
        <v>93</v>
      </c>
      <c r="D7243">
        <v>5.0286999999999999E-4</v>
      </c>
      <c r="E7243" t="s">
        <v>74</v>
      </c>
      <c r="F7243">
        <v>0.50287000000000004</v>
      </c>
      <c r="G7243" t="s">
        <v>75</v>
      </c>
      <c r="H7243">
        <v>502.87099999999998</v>
      </c>
      <c r="I7243" t="s">
        <v>76</v>
      </c>
      <c r="J7243" t="s">
        <v>77</v>
      </c>
    </row>
    <row r="7244" spans="1:11" x14ac:dyDescent="0.3">
      <c r="A7244" t="s">
        <v>84</v>
      </c>
      <c r="B7244">
        <v>1001</v>
      </c>
      <c r="C7244" t="s">
        <v>79</v>
      </c>
      <c r="D7244">
        <v>1.1772289999999999E-2</v>
      </c>
      <c r="E7244" t="s">
        <v>74</v>
      </c>
      <c r="F7244">
        <v>11.77229</v>
      </c>
      <c r="G7244" t="s">
        <v>75</v>
      </c>
      <c r="H7244">
        <v>11772.288</v>
      </c>
      <c r="I7244" t="s">
        <v>76</v>
      </c>
      <c r="J7244" t="s">
        <v>77</v>
      </c>
    </row>
    <row r="7245" spans="1:11" x14ac:dyDescent="0.3">
      <c r="A7245" t="s">
        <v>84</v>
      </c>
      <c r="B7245">
        <v>1001</v>
      </c>
      <c r="C7245" t="s">
        <v>94</v>
      </c>
      <c r="D7245">
        <v>2.7029100000000002E-3</v>
      </c>
      <c r="E7245" t="s">
        <v>74</v>
      </c>
      <c r="F7245">
        <v>2.7029100000000001</v>
      </c>
      <c r="G7245" t="s">
        <v>75</v>
      </c>
      <c r="H7245">
        <v>2702.9070000000002</v>
      </c>
      <c r="I7245" t="s">
        <v>76</v>
      </c>
      <c r="J7245" t="s">
        <v>77</v>
      </c>
    </row>
    <row r="7246" spans="1:11" x14ac:dyDescent="0.3">
      <c r="A7246" t="s">
        <v>84</v>
      </c>
      <c r="B7246">
        <v>1001</v>
      </c>
      <c r="C7246" t="s">
        <v>80</v>
      </c>
      <c r="D7246">
        <v>2.8882399999999998E-3</v>
      </c>
      <c r="E7246" t="s">
        <v>74</v>
      </c>
      <c r="F7246">
        <v>2.8882400000000001</v>
      </c>
      <c r="G7246" t="s">
        <v>75</v>
      </c>
      <c r="H7246">
        <v>2888.24</v>
      </c>
      <c r="I7246" t="s">
        <v>76</v>
      </c>
      <c r="J7246" t="s">
        <v>77</v>
      </c>
    </row>
    <row r="7247" spans="1:11" x14ac:dyDescent="0.3">
      <c r="A7247" t="s">
        <v>84</v>
      </c>
      <c r="B7247">
        <v>1001</v>
      </c>
      <c r="C7247" t="s">
        <v>81</v>
      </c>
      <c r="D7247">
        <v>1.466189E-2</v>
      </c>
      <c r="E7247" t="s">
        <v>74</v>
      </c>
      <c r="F7247">
        <v>14.66189</v>
      </c>
      <c r="G7247" t="s">
        <v>75</v>
      </c>
      <c r="H7247">
        <v>14661.888000000001</v>
      </c>
      <c r="I7247" t="s">
        <v>76</v>
      </c>
      <c r="J7247" t="s">
        <v>82</v>
      </c>
      <c r="K7247">
        <v>68.204040199999994</v>
      </c>
    </row>
    <row r="7248" spans="1:11" x14ac:dyDescent="0.3">
      <c r="A7248" t="s">
        <v>85</v>
      </c>
      <c r="B7248">
        <v>1001</v>
      </c>
      <c r="C7248" t="s">
        <v>86</v>
      </c>
      <c r="D7248">
        <v>1.4662089999999999E-2</v>
      </c>
      <c r="E7248" t="s">
        <v>74</v>
      </c>
      <c r="F7248">
        <v>14.662089999999999</v>
      </c>
      <c r="G7248" t="s">
        <v>75</v>
      </c>
      <c r="H7248">
        <v>14662.084999999999</v>
      </c>
      <c r="I7248" t="s">
        <v>76</v>
      </c>
      <c r="J7248" t="s">
        <v>82</v>
      </c>
      <c r="K7248">
        <v>68.203122800000003</v>
      </c>
    </row>
    <row r="7249" spans="1:11" x14ac:dyDescent="0.3">
      <c r="A7249" t="s">
        <v>101</v>
      </c>
    </row>
    <row r="7250" spans="1:11" x14ac:dyDescent="0.3">
      <c r="A7250" t="s">
        <v>72</v>
      </c>
      <c r="B7250">
        <v>1</v>
      </c>
      <c r="C7250" t="s">
        <v>73</v>
      </c>
      <c r="D7250">
        <v>3.8E-6</v>
      </c>
      <c r="E7250" t="s">
        <v>74</v>
      </c>
      <c r="F7250">
        <v>3.8E-3</v>
      </c>
      <c r="G7250" t="s">
        <v>75</v>
      </c>
      <c r="H7250">
        <v>3.8</v>
      </c>
      <c r="I7250" t="s">
        <v>76</v>
      </c>
      <c r="J7250" t="s">
        <v>77</v>
      </c>
    </row>
    <row r="7251" spans="1:11" x14ac:dyDescent="0.3">
      <c r="A7251" t="s">
        <v>72</v>
      </c>
      <c r="B7251">
        <v>1</v>
      </c>
      <c r="C7251" t="s">
        <v>78</v>
      </c>
      <c r="D7251">
        <v>3.9499999999999998E-5</v>
      </c>
      <c r="E7251" t="s">
        <v>74</v>
      </c>
      <c r="F7251">
        <v>3.95E-2</v>
      </c>
      <c r="G7251" t="s">
        <v>75</v>
      </c>
      <c r="H7251">
        <v>39.5</v>
      </c>
      <c r="I7251" t="s">
        <v>76</v>
      </c>
      <c r="J7251" t="s">
        <v>77</v>
      </c>
    </row>
    <row r="7252" spans="1:11" x14ac:dyDescent="0.3">
      <c r="A7252" t="s">
        <v>72</v>
      </c>
      <c r="B7252">
        <v>1</v>
      </c>
      <c r="C7252" t="s">
        <v>91</v>
      </c>
      <c r="D7252">
        <v>2.1445000000000001E-3</v>
      </c>
      <c r="E7252" t="s">
        <v>74</v>
      </c>
      <c r="F7252">
        <v>2.1444999999999999</v>
      </c>
      <c r="G7252" t="s">
        <v>75</v>
      </c>
      <c r="H7252">
        <v>2144.5</v>
      </c>
      <c r="I7252" t="s">
        <v>76</v>
      </c>
      <c r="J7252" t="s">
        <v>77</v>
      </c>
    </row>
    <row r="7253" spans="1:11" x14ac:dyDescent="0.3">
      <c r="A7253" t="s">
        <v>72</v>
      </c>
      <c r="B7253">
        <v>1</v>
      </c>
      <c r="C7253" t="s">
        <v>92</v>
      </c>
      <c r="D7253">
        <v>1.16623E-2</v>
      </c>
      <c r="E7253" t="s">
        <v>74</v>
      </c>
      <c r="F7253">
        <v>11.6623</v>
      </c>
      <c r="G7253" t="s">
        <v>75</v>
      </c>
      <c r="H7253">
        <v>11662.3</v>
      </c>
      <c r="I7253" t="s">
        <v>76</v>
      </c>
      <c r="J7253" t="s">
        <v>77</v>
      </c>
    </row>
    <row r="7254" spans="1:11" x14ac:dyDescent="0.3">
      <c r="A7254" t="s">
        <v>72</v>
      </c>
      <c r="B7254">
        <v>1</v>
      </c>
      <c r="C7254" t="s">
        <v>93</v>
      </c>
      <c r="D7254">
        <v>1.5991E-3</v>
      </c>
      <c r="E7254" t="s">
        <v>74</v>
      </c>
      <c r="F7254">
        <v>1.5991</v>
      </c>
      <c r="G7254" t="s">
        <v>75</v>
      </c>
      <c r="H7254">
        <v>1599.1</v>
      </c>
      <c r="I7254" t="s">
        <v>76</v>
      </c>
      <c r="J7254" t="s">
        <v>77</v>
      </c>
    </row>
    <row r="7255" spans="1:11" x14ac:dyDescent="0.3">
      <c r="A7255" t="s">
        <v>72</v>
      </c>
      <c r="B7255">
        <v>1</v>
      </c>
      <c r="C7255" t="s">
        <v>79</v>
      </c>
      <c r="D7255">
        <v>1.54059E-2</v>
      </c>
      <c r="E7255" t="s">
        <v>74</v>
      </c>
      <c r="F7255">
        <v>15.405900000000001</v>
      </c>
      <c r="G7255" t="s">
        <v>75</v>
      </c>
      <c r="H7255">
        <v>15405.9</v>
      </c>
      <c r="I7255" t="s">
        <v>76</v>
      </c>
      <c r="J7255" t="s">
        <v>77</v>
      </c>
    </row>
    <row r="7256" spans="1:11" x14ac:dyDescent="0.3">
      <c r="A7256" t="s">
        <v>72</v>
      </c>
      <c r="B7256">
        <v>1</v>
      </c>
      <c r="C7256" t="s">
        <v>96</v>
      </c>
      <c r="D7256">
        <v>1.9645000000000001E-3</v>
      </c>
      <c r="E7256" t="s">
        <v>74</v>
      </c>
      <c r="F7256">
        <v>1.9644999999999999</v>
      </c>
      <c r="G7256" t="s">
        <v>75</v>
      </c>
      <c r="H7256">
        <v>1964.5</v>
      </c>
      <c r="I7256" t="s">
        <v>76</v>
      </c>
      <c r="J7256" t="s">
        <v>77</v>
      </c>
    </row>
    <row r="7257" spans="1:11" x14ac:dyDescent="0.3">
      <c r="A7257" t="s">
        <v>72</v>
      </c>
      <c r="B7257">
        <v>1</v>
      </c>
      <c r="C7257" t="s">
        <v>94</v>
      </c>
      <c r="D7257">
        <v>3.1037999999999999E-3</v>
      </c>
      <c r="E7257" t="s">
        <v>74</v>
      </c>
      <c r="F7257">
        <v>3.1038000000000001</v>
      </c>
      <c r="G7257" t="s">
        <v>75</v>
      </c>
      <c r="H7257">
        <v>3103.8</v>
      </c>
      <c r="I7257" t="s">
        <v>76</v>
      </c>
      <c r="J7257" t="s">
        <v>77</v>
      </c>
    </row>
    <row r="7258" spans="1:11" x14ac:dyDescent="0.3">
      <c r="A7258" t="s">
        <v>72</v>
      </c>
      <c r="B7258">
        <v>1</v>
      </c>
      <c r="C7258" t="s">
        <v>80</v>
      </c>
      <c r="D7258">
        <v>5.1939000000000004E-3</v>
      </c>
      <c r="E7258" t="s">
        <v>74</v>
      </c>
      <c r="F7258">
        <v>5.1939000000000002</v>
      </c>
      <c r="G7258" t="s">
        <v>75</v>
      </c>
      <c r="H7258">
        <v>5193.8999999999996</v>
      </c>
      <c r="I7258" t="s">
        <v>76</v>
      </c>
      <c r="J7258" t="s">
        <v>77</v>
      </c>
    </row>
    <row r="7259" spans="1:11" x14ac:dyDescent="0.3">
      <c r="A7259" t="s">
        <v>72</v>
      </c>
      <c r="B7259">
        <v>1</v>
      </c>
      <c r="C7259" t="s">
        <v>81</v>
      </c>
      <c r="D7259">
        <v>2.06007E-2</v>
      </c>
      <c r="E7259" t="s">
        <v>74</v>
      </c>
      <c r="F7259">
        <v>20.6007</v>
      </c>
      <c r="G7259" t="s">
        <v>75</v>
      </c>
      <c r="H7259">
        <v>20600.701000000001</v>
      </c>
      <c r="I7259" t="s">
        <v>76</v>
      </c>
      <c r="J7259" t="s">
        <v>82</v>
      </c>
      <c r="K7259">
        <v>48.542038099999999</v>
      </c>
    </row>
    <row r="7260" spans="1:11" x14ac:dyDescent="0.3">
      <c r="A7260" t="s">
        <v>83</v>
      </c>
      <c r="B7260">
        <v>1000</v>
      </c>
      <c r="C7260" t="s">
        <v>91</v>
      </c>
      <c r="D7260">
        <v>5.4323000000000001E-4</v>
      </c>
      <c r="E7260" t="s">
        <v>74</v>
      </c>
      <c r="F7260">
        <v>0.54322999999999999</v>
      </c>
      <c r="G7260" t="s">
        <v>75</v>
      </c>
      <c r="H7260">
        <v>543.226</v>
      </c>
      <c r="I7260" t="s">
        <v>76</v>
      </c>
      <c r="J7260" t="s">
        <v>77</v>
      </c>
    </row>
    <row r="7261" spans="1:11" x14ac:dyDescent="0.3">
      <c r="A7261" t="s">
        <v>83</v>
      </c>
      <c r="B7261">
        <v>1000</v>
      </c>
      <c r="C7261" t="s">
        <v>92</v>
      </c>
      <c r="D7261">
        <v>1.0669359999999999E-2</v>
      </c>
      <c r="E7261" t="s">
        <v>74</v>
      </c>
      <c r="F7261">
        <v>10.669359999999999</v>
      </c>
      <c r="G7261" t="s">
        <v>75</v>
      </c>
      <c r="H7261">
        <v>10669.361000000001</v>
      </c>
      <c r="I7261" t="s">
        <v>76</v>
      </c>
      <c r="J7261" t="s">
        <v>77</v>
      </c>
    </row>
    <row r="7262" spans="1:11" x14ac:dyDescent="0.3">
      <c r="A7262" t="s">
        <v>83</v>
      </c>
      <c r="B7262">
        <v>1000</v>
      </c>
      <c r="C7262" t="s">
        <v>93</v>
      </c>
      <c r="D7262">
        <v>5.0639999999999995E-4</v>
      </c>
      <c r="E7262" t="s">
        <v>74</v>
      </c>
      <c r="F7262">
        <v>0.50639999999999996</v>
      </c>
      <c r="G7262" t="s">
        <v>75</v>
      </c>
      <c r="H7262">
        <v>506.4</v>
      </c>
      <c r="I7262" t="s">
        <v>76</v>
      </c>
      <c r="J7262" t="s">
        <v>77</v>
      </c>
    </row>
    <row r="7263" spans="1:11" x14ac:dyDescent="0.3">
      <c r="A7263" t="s">
        <v>83</v>
      </c>
      <c r="B7263">
        <v>1000</v>
      </c>
      <c r="C7263" t="s">
        <v>79</v>
      </c>
      <c r="D7263">
        <v>1.171939E-2</v>
      </c>
      <c r="E7263" t="s">
        <v>74</v>
      </c>
      <c r="F7263">
        <v>11.719390000000001</v>
      </c>
      <c r="G7263" t="s">
        <v>75</v>
      </c>
      <c r="H7263">
        <v>11719.387000000001</v>
      </c>
      <c r="I7263" t="s">
        <v>76</v>
      </c>
      <c r="J7263" t="s">
        <v>77</v>
      </c>
    </row>
    <row r="7264" spans="1:11" x14ac:dyDescent="0.3">
      <c r="A7264" t="s">
        <v>83</v>
      </c>
      <c r="B7264">
        <v>1000</v>
      </c>
      <c r="C7264" t="s">
        <v>96</v>
      </c>
      <c r="D7264">
        <v>1.78622E-3</v>
      </c>
      <c r="E7264" t="s">
        <v>74</v>
      </c>
      <c r="F7264">
        <v>1.7862199999999999</v>
      </c>
      <c r="G7264" t="s">
        <v>75</v>
      </c>
      <c r="H7264">
        <v>1786.223</v>
      </c>
      <c r="I7264" t="s">
        <v>76</v>
      </c>
      <c r="J7264" t="s">
        <v>77</v>
      </c>
    </row>
    <row r="7265" spans="1:11" x14ac:dyDescent="0.3">
      <c r="A7265" t="s">
        <v>83</v>
      </c>
      <c r="B7265">
        <v>1000</v>
      </c>
      <c r="C7265" t="s">
        <v>94</v>
      </c>
      <c r="D7265">
        <v>3.05675E-3</v>
      </c>
      <c r="E7265" t="s">
        <v>74</v>
      </c>
      <c r="F7265">
        <v>3.0567500000000001</v>
      </c>
      <c r="G7265" t="s">
        <v>75</v>
      </c>
      <c r="H7265">
        <v>3056.7489999999998</v>
      </c>
      <c r="I7265" t="s">
        <v>76</v>
      </c>
      <c r="J7265" t="s">
        <v>77</v>
      </c>
    </row>
    <row r="7266" spans="1:11" x14ac:dyDescent="0.3">
      <c r="A7266" t="s">
        <v>83</v>
      </c>
      <c r="B7266">
        <v>1000</v>
      </c>
      <c r="C7266" t="s">
        <v>80</v>
      </c>
      <c r="D7266">
        <v>4.9745299999999996E-3</v>
      </c>
      <c r="E7266" t="s">
        <v>74</v>
      </c>
      <c r="F7266">
        <v>4.9745299999999997</v>
      </c>
      <c r="G7266" t="s">
        <v>75</v>
      </c>
      <c r="H7266">
        <v>4974.5330000000004</v>
      </c>
      <c r="I7266" t="s">
        <v>76</v>
      </c>
      <c r="J7266" t="s">
        <v>77</v>
      </c>
    </row>
    <row r="7267" spans="1:11" x14ac:dyDescent="0.3">
      <c r="A7267" t="s">
        <v>83</v>
      </c>
      <c r="B7267">
        <v>1000</v>
      </c>
      <c r="C7267" t="s">
        <v>81</v>
      </c>
      <c r="D7267">
        <v>1.6695419999999999E-2</v>
      </c>
      <c r="E7267" t="s">
        <v>74</v>
      </c>
      <c r="F7267">
        <v>16.695419999999999</v>
      </c>
      <c r="G7267" t="s">
        <v>75</v>
      </c>
      <c r="H7267">
        <v>16695.417000000001</v>
      </c>
      <c r="I7267" t="s">
        <v>76</v>
      </c>
      <c r="J7267" t="s">
        <v>82</v>
      </c>
      <c r="K7267">
        <v>59.896675600000002</v>
      </c>
    </row>
    <row r="7268" spans="1:11" x14ac:dyDescent="0.3">
      <c r="A7268" t="s">
        <v>84</v>
      </c>
      <c r="B7268">
        <v>1001</v>
      </c>
      <c r="C7268" t="s">
        <v>91</v>
      </c>
      <c r="D7268">
        <v>5.4483000000000005E-4</v>
      </c>
      <c r="E7268" t="s">
        <v>74</v>
      </c>
      <c r="F7268">
        <v>0.54483000000000004</v>
      </c>
      <c r="G7268" t="s">
        <v>75</v>
      </c>
      <c r="H7268">
        <v>544.82500000000005</v>
      </c>
      <c r="I7268" t="s">
        <v>76</v>
      </c>
      <c r="J7268" t="s">
        <v>77</v>
      </c>
    </row>
    <row r="7269" spans="1:11" x14ac:dyDescent="0.3">
      <c r="A7269" t="s">
        <v>84</v>
      </c>
      <c r="B7269">
        <v>1001</v>
      </c>
      <c r="C7269" t="s">
        <v>92</v>
      </c>
      <c r="D7269">
        <v>1.067035E-2</v>
      </c>
      <c r="E7269" t="s">
        <v>74</v>
      </c>
      <c r="F7269">
        <v>10.670349999999999</v>
      </c>
      <c r="G7269" t="s">
        <v>75</v>
      </c>
      <c r="H7269">
        <v>10670.352000000001</v>
      </c>
      <c r="I7269" t="s">
        <v>76</v>
      </c>
      <c r="J7269" t="s">
        <v>77</v>
      </c>
    </row>
    <row r="7270" spans="1:11" x14ac:dyDescent="0.3">
      <c r="A7270" t="s">
        <v>84</v>
      </c>
      <c r="B7270">
        <v>1001</v>
      </c>
      <c r="C7270" t="s">
        <v>93</v>
      </c>
      <c r="D7270">
        <v>5.0748999999999998E-4</v>
      </c>
      <c r="E7270" t="s">
        <v>74</v>
      </c>
      <c r="F7270">
        <v>0.50749</v>
      </c>
      <c r="G7270" t="s">
        <v>75</v>
      </c>
      <c r="H7270">
        <v>507.49200000000002</v>
      </c>
      <c r="I7270" t="s">
        <v>76</v>
      </c>
      <c r="J7270" t="s">
        <v>77</v>
      </c>
    </row>
    <row r="7271" spans="1:11" x14ac:dyDescent="0.3">
      <c r="A7271" t="s">
        <v>84</v>
      </c>
      <c r="B7271">
        <v>1001</v>
      </c>
      <c r="C7271" t="s">
        <v>79</v>
      </c>
      <c r="D7271">
        <v>1.172307E-2</v>
      </c>
      <c r="E7271" t="s">
        <v>74</v>
      </c>
      <c r="F7271">
        <v>11.72307</v>
      </c>
      <c r="G7271" t="s">
        <v>75</v>
      </c>
      <c r="H7271">
        <v>11723.07</v>
      </c>
      <c r="I7271" t="s">
        <v>76</v>
      </c>
      <c r="J7271" t="s">
        <v>77</v>
      </c>
    </row>
    <row r="7272" spans="1:11" x14ac:dyDescent="0.3">
      <c r="A7272" t="s">
        <v>84</v>
      </c>
      <c r="B7272">
        <v>1001</v>
      </c>
      <c r="C7272" t="s">
        <v>96</v>
      </c>
      <c r="D7272">
        <v>1.7864000000000001E-3</v>
      </c>
      <c r="E7272" t="s">
        <v>74</v>
      </c>
      <c r="F7272">
        <v>1.7864</v>
      </c>
      <c r="G7272" t="s">
        <v>75</v>
      </c>
      <c r="H7272">
        <v>1786.4010000000001</v>
      </c>
      <c r="I7272" t="s">
        <v>76</v>
      </c>
      <c r="J7272" t="s">
        <v>77</v>
      </c>
    </row>
    <row r="7273" spans="1:11" x14ac:dyDescent="0.3">
      <c r="A7273" t="s">
        <v>84</v>
      </c>
      <c r="B7273">
        <v>1001</v>
      </c>
      <c r="C7273" t="s">
        <v>94</v>
      </c>
      <c r="D7273">
        <v>3.0568000000000001E-3</v>
      </c>
      <c r="E7273" t="s">
        <v>74</v>
      </c>
      <c r="F7273">
        <v>3.0568</v>
      </c>
      <c r="G7273" t="s">
        <v>75</v>
      </c>
      <c r="H7273">
        <v>3056.797</v>
      </c>
      <c r="I7273" t="s">
        <v>76</v>
      </c>
      <c r="J7273" t="s">
        <v>77</v>
      </c>
    </row>
    <row r="7274" spans="1:11" x14ac:dyDescent="0.3">
      <c r="A7274" t="s">
        <v>84</v>
      </c>
      <c r="B7274">
        <v>1001</v>
      </c>
      <c r="C7274" t="s">
        <v>80</v>
      </c>
      <c r="D7274">
        <v>4.97475E-3</v>
      </c>
      <c r="E7274" t="s">
        <v>74</v>
      </c>
      <c r="F7274">
        <v>4.9747500000000002</v>
      </c>
      <c r="G7274" t="s">
        <v>75</v>
      </c>
      <c r="H7274">
        <v>4974.7529999999997</v>
      </c>
      <c r="I7274" t="s">
        <v>76</v>
      </c>
      <c r="J7274" t="s">
        <v>77</v>
      </c>
    </row>
    <row r="7275" spans="1:11" x14ac:dyDescent="0.3">
      <c r="A7275" t="s">
        <v>84</v>
      </c>
      <c r="B7275">
        <v>1001</v>
      </c>
      <c r="C7275" t="s">
        <v>81</v>
      </c>
      <c r="D7275">
        <v>1.669932E-2</v>
      </c>
      <c r="E7275" t="s">
        <v>74</v>
      </c>
      <c r="F7275">
        <v>16.69932</v>
      </c>
      <c r="G7275" t="s">
        <v>75</v>
      </c>
      <c r="H7275">
        <v>16699.319</v>
      </c>
      <c r="I7275" t="s">
        <v>76</v>
      </c>
      <c r="J7275" t="s">
        <v>82</v>
      </c>
      <c r="K7275">
        <v>59.882680200000003</v>
      </c>
    </row>
    <row r="7276" spans="1:11" x14ac:dyDescent="0.3">
      <c r="A7276" t="s">
        <v>85</v>
      </c>
      <c r="B7276">
        <v>1001</v>
      </c>
      <c r="C7276" t="s">
        <v>86</v>
      </c>
      <c r="D7276">
        <v>1.6699470000000001E-2</v>
      </c>
      <c r="E7276" t="s">
        <v>74</v>
      </c>
      <c r="F7276">
        <v>16.699470000000002</v>
      </c>
      <c r="G7276" t="s">
        <v>75</v>
      </c>
      <c r="H7276">
        <v>16699.466</v>
      </c>
      <c r="I7276" t="s">
        <v>76</v>
      </c>
      <c r="J7276" t="s">
        <v>82</v>
      </c>
      <c r="K7276">
        <v>59.882154</v>
      </c>
    </row>
    <row r="7277" spans="1:11" x14ac:dyDescent="0.3">
      <c r="A7277" t="s">
        <v>87</v>
      </c>
    </row>
    <row r="7278" spans="1:11" x14ac:dyDescent="0.3">
      <c r="A7278" t="s">
        <v>102</v>
      </c>
    </row>
    <row r="7279" spans="1:11" x14ac:dyDescent="0.3">
      <c r="A7279" t="s">
        <v>72</v>
      </c>
      <c r="B7279">
        <v>1</v>
      </c>
      <c r="C7279" t="s">
        <v>81</v>
      </c>
      <c r="D7279">
        <v>2.5378999999999999E-2</v>
      </c>
      <c r="E7279" t="s">
        <v>74</v>
      </c>
      <c r="F7279">
        <v>25.379000000000001</v>
      </c>
      <c r="G7279" t="s">
        <v>75</v>
      </c>
      <c r="H7279">
        <v>25379</v>
      </c>
      <c r="I7279" t="s">
        <v>76</v>
      </c>
      <c r="J7279" t="s">
        <v>82</v>
      </c>
      <c r="K7279">
        <v>39.4026554</v>
      </c>
    </row>
    <row r="7280" spans="1:11" x14ac:dyDescent="0.3">
      <c r="A7280" t="s">
        <v>83</v>
      </c>
      <c r="B7280">
        <v>1000</v>
      </c>
      <c r="C7280" t="s">
        <v>81</v>
      </c>
      <c r="D7280">
        <v>1.465117E-2</v>
      </c>
      <c r="E7280" t="s">
        <v>74</v>
      </c>
      <c r="F7280">
        <v>14.65117</v>
      </c>
      <c r="G7280" t="s">
        <v>75</v>
      </c>
      <c r="H7280">
        <v>14651.171</v>
      </c>
      <c r="I7280" t="s">
        <v>76</v>
      </c>
      <c r="J7280" t="s">
        <v>82</v>
      </c>
      <c r="K7280">
        <v>68.253931300000005</v>
      </c>
    </row>
    <row r="7281" spans="1:11" x14ac:dyDescent="0.3">
      <c r="A7281" t="s">
        <v>85</v>
      </c>
      <c r="B7281">
        <v>1001</v>
      </c>
      <c r="C7281" t="s">
        <v>86</v>
      </c>
      <c r="D7281">
        <v>1.4662089999999999E-2</v>
      </c>
      <c r="E7281" t="s">
        <v>74</v>
      </c>
      <c r="F7281">
        <v>14.662089999999999</v>
      </c>
      <c r="G7281" t="s">
        <v>75</v>
      </c>
      <c r="H7281">
        <v>14662.084999999999</v>
      </c>
      <c r="I7281" t="s">
        <v>76</v>
      </c>
      <c r="J7281" t="s">
        <v>82</v>
      </c>
      <c r="K7281">
        <v>68.203122800000003</v>
      </c>
    </row>
    <row r="7283" spans="1:11" x14ac:dyDescent="0.3">
      <c r="A7283" t="s">
        <v>103</v>
      </c>
    </row>
    <row r="7284" spans="1:11" x14ac:dyDescent="0.3">
      <c r="A7284" t="s">
        <v>72</v>
      </c>
      <c r="B7284">
        <v>1</v>
      </c>
      <c r="C7284" t="s">
        <v>81</v>
      </c>
      <c r="D7284">
        <v>2.06007E-2</v>
      </c>
      <c r="E7284" t="s">
        <v>74</v>
      </c>
      <c r="F7284">
        <v>20.6007</v>
      </c>
      <c r="G7284" t="s">
        <v>75</v>
      </c>
      <c r="H7284">
        <v>20600.701000000001</v>
      </c>
      <c r="I7284" t="s">
        <v>76</v>
      </c>
      <c r="J7284" t="s">
        <v>82</v>
      </c>
      <c r="K7284">
        <v>48.542038099999999</v>
      </c>
    </row>
    <row r="7285" spans="1:11" x14ac:dyDescent="0.3">
      <c r="A7285" t="s">
        <v>83</v>
      </c>
      <c r="B7285">
        <v>1000</v>
      </c>
      <c r="C7285" t="s">
        <v>81</v>
      </c>
      <c r="D7285">
        <v>1.6695419999999999E-2</v>
      </c>
      <c r="E7285" t="s">
        <v>74</v>
      </c>
      <c r="F7285">
        <v>16.695419999999999</v>
      </c>
      <c r="G7285" t="s">
        <v>75</v>
      </c>
      <c r="H7285">
        <v>16695.417000000001</v>
      </c>
      <c r="I7285" t="s">
        <v>76</v>
      </c>
      <c r="J7285" t="s">
        <v>82</v>
      </c>
      <c r="K7285">
        <v>59.896675600000002</v>
      </c>
    </row>
    <row r="7286" spans="1:11" x14ac:dyDescent="0.3">
      <c r="A7286" t="s">
        <v>85</v>
      </c>
      <c r="B7286">
        <v>1001</v>
      </c>
      <c r="C7286" t="s">
        <v>86</v>
      </c>
      <c r="D7286">
        <v>1.6699470000000001E-2</v>
      </c>
      <c r="E7286" t="s">
        <v>74</v>
      </c>
      <c r="F7286">
        <v>16.699470000000002</v>
      </c>
      <c r="G7286" t="s">
        <v>75</v>
      </c>
      <c r="H7286">
        <v>16699.466</v>
      </c>
      <c r="I7286" t="s">
        <v>76</v>
      </c>
      <c r="J7286" t="s">
        <v>82</v>
      </c>
      <c r="K7286">
        <v>59.882154</v>
      </c>
    </row>
    <row r="7288" spans="1:11" x14ac:dyDescent="0.3">
      <c r="A7288" t="s">
        <v>66</v>
      </c>
    </row>
    <row r="7290" spans="1:11" x14ac:dyDescent="0.3">
      <c r="A7290" t="s">
        <v>381</v>
      </c>
    </row>
    <row r="7291" spans="1:11" x14ac:dyDescent="0.3">
      <c r="A7291" t="s">
        <v>68</v>
      </c>
    </row>
    <row r="7292" spans="1:11" x14ac:dyDescent="0.3">
      <c r="A7292" t="s">
        <v>69</v>
      </c>
    </row>
    <row r="7293" spans="1:11" x14ac:dyDescent="0.3">
      <c r="A7293" t="s">
        <v>70</v>
      </c>
    </row>
    <row r="7294" spans="1:11" x14ac:dyDescent="0.3">
      <c r="A7294" t="s">
        <v>105</v>
      </c>
    </row>
    <row r="7295" spans="1:11" x14ac:dyDescent="0.3">
      <c r="A7295" t="s">
        <v>72</v>
      </c>
      <c r="B7295">
        <v>1</v>
      </c>
      <c r="C7295" t="s">
        <v>73</v>
      </c>
      <c r="D7295">
        <v>4.9999999999999998E-7</v>
      </c>
      <c r="E7295" t="s">
        <v>74</v>
      </c>
      <c r="F7295">
        <v>5.0000000000000001E-4</v>
      </c>
      <c r="G7295" t="s">
        <v>75</v>
      </c>
      <c r="H7295">
        <v>0.5</v>
      </c>
      <c r="I7295" t="s">
        <v>76</v>
      </c>
      <c r="J7295" t="s">
        <v>77</v>
      </c>
    </row>
    <row r="7296" spans="1:11" x14ac:dyDescent="0.3">
      <c r="A7296" t="s">
        <v>72</v>
      </c>
      <c r="B7296">
        <v>1</v>
      </c>
      <c r="C7296" t="s">
        <v>78</v>
      </c>
      <c r="D7296">
        <v>4.49E-5</v>
      </c>
      <c r="E7296" t="s">
        <v>74</v>
      </c>
      <c r="F7296">
        <v>4.4900000000000002E-2</v>
      </c>
      <c r="G7296" t="s">
        <v>75</v>
      </c>
      <c r="H7296">
        <v>44.9</v>
      </c>
      <c r="I7296" t="s">
        <v>76</v>
      </c>
      <c r="J7296" t="s">
        <v>77</v>
      </c>
    </row>
    <row r="7297" spans="1:11" x14ac:dyDescent="0.3">
      <c r="A7297" t="s">
        <v>72</v>
      </c>
      <c r="B7297">
        <v>1</v>
      </c>
      <c r="C7297" t="s">
        <v>91</v>
      </c>
      <c r="D7297">
        <v>2.3027E-3</v>
      </c>
      <c r="E7297" t="s">
        <v>74</v>
      </c>
      <c r="F7297">
        <v>2.3027000000000002</v>
      </c>
      <c r="G7297" t="s">
        <v>75</v>
      </c>
      <c r="H7297">
        <v>2302.6999999999998</v>
      </c>
      <c r="I7297" t="s">
        <v>76</v>
      </c>
      <c r="J7297" t="s">
        <v>77</v>
      </c>
    </row>
    <row r="7298" spans="1:11" x14ac:dyDescent="0.3">
      <c r="A7298" t="s">
        <v>72</v>
      </c>
      <c r="B7298">
        <v>1</v>
      </c>
      <c r="C7298" t="s">
        <v>92</v>
      </c>
      <c r="D7298">
        <v>4.0790000000000002E-3</v>
      </c>
      <c r="E7298" t="s">
        <v>74</v>
      </c>
      <c r="F7298">
        <v>4.0789999999999997</v>
      </c>
      <c r="G7298" t="s">
        <v>75</v>
      </c>
      <c r="H7298">
        <v>4079</v>
      </c>
      <c r="I7298" t="s">
        <v>76</v>
      </c>
      <c r="J7298" t="s">
        <v>77</v>
      </c>
    </row>
    <row r="7299" spans="1:11" x14ac:dyDescent="0.3">
      <c r="A7299" t="s">
        <v>72</v>
      </c>
      <c r="B7299">
        <v>1</v>
      </c>
      <c r="C7299" t="s">
        <v>93</v>
      </c>
      <c r="D7299">
        <v>1.6829E-3</v>
      </c>
      <c r="E7299" t="s">
        <v>74</v>
      </c>
      <c r="F7299">
        <v>1.6829000000000001</v>
      </c>
      <c r="G7299" t="s">
        <v>75</v>
      </c>
      <c r="H7299">
        <v>1682.9</v>
      </c>
      <c r="I7299" t="s">
        <v>76</v>
      </c>
      <c r="J7299" t="s">
        <v>77</v>
      </c>
    </row>
    <row r="7300" spans="1:11" x14ac:dyDescent="0.3">
      <c r="A7300" t="s">
        <v>72</v>
      </c>
      <c r="B7300">
        <v>1</v>
      </c>
      <c r="C7300" t="s">
        <v>79</v>
      </c>
      <c r="D7300">
        <v>8.0663999999999996E-3</v>
      </c>
      <c r="E7300" t="s">
        <v>74</v>
      </c>
      <c r="F7300">
        <v>8.0663999999999998</v>
      </c>
      <c r="G7300" t="s">
        <v>75</v>
      </c>
      <c r="H7300">
        <v>8066.4</v>
      </c>
      <c r="I7300" t="s">
        <v>76</v>
      </c>
      <c r="J7300" t="s">
        <v>77</v>
      </c>
    </row>
    <row r="7301" spans="1:11" x14ac:dyDescent="0.3">
      <c r="A7301" t="s">
        <v>72</v>
      </c>
      <c r="B7301">
        <v>1</v>
      </c>
      <c r="C7301" t="s">
        <v>94</v>
      </c>
      <c r="D7301">
        <v>9.6559000000000002E-3</v>
      </c>
      <c r="E7301" t="s">
        <v>74</v>
      </c>
      <c r="F7301">
        <v>9.6559000000000008</v>
      </c>
      <c r="G7301" t="s">
        <v>75</v>
      </c>
      <c r="H7301">
        <v>9655.9</v>
      </c>
      <c r="I7301" t="s">
        <v>76</v>
      </c>
      <c r="J7301" t="s">
        <v>77</v>
      </c>
    </row>
    <row r="7302" spans="1:11" x14ac:dyDescent="0.3">
      <c r="A7302" t="s">
        <v>72</v>
      </c>
      <c r="B7302">
        <v>1</v>
      </c>
      <c r="C7302" t="s">
        <v>80</v>
      </c>
      <c r="D7302">
        <v>9.6579000000000005E-3</v>
      </c>
      <c r="E7302" t="s">
        <v>74</v>
      </c>
      <c r="F7302">
        <v>9.6578999999999997</v>
      </c>
      <c r="G7302" t="s">
        <v>75</v>
      </c>
      <c r="H7302">
        <v>9657.9</v>
      </c>
      <c r="I7302" t="s">
        <v>76</v>
      </c>
      <c r="J7302" t="s">
        <v>77</v>
      </c>
    </row>
    <row r="7303" spans="1:11" x14ac:dyDescent="0.3">
      <c r="A7303" t="s">
        <v>72</v>
      </c>
      <c r="B7303">
        <v>1</v>
      </c>
      <c r="C7303" t="s">
        <v>81</v>
      </c>
      <c r="D7303">
        <v>1.7727400000000001E-2</v>
      </c>
      <c r="E7303" t="s">
        <v>74</v>
      </c>
      <c r="F7303">
        <v>17.727399999999999</v>
      </c>
      <c r="G7303" t="s">
        <v>75</v>
      </c>
      <c r="H7303">
        <v>17727.399000000001</v>
      </c>
      <c r="I7303" t="s">
        <v>76</v>
      </c>
      <c r="J7303" t="s">
        <v>82</v>
      </c>
      <c r="K7303">
        <v>56.4098538</v>
      </c>
    </row>
    <row r="7304" spans="1:11" x14ac:dyDescent="0.3">
      <c r="A7304" t="s">
        <v>83</v>
      </c>
      <c r="B7304">
        <v>1000</v>
      </c>
      <c r="C7304" t="s">
        <v>91</v>
      </c>
      <c r="D7304">
        <v>5.5340999999999995E-4</v>
      </c>
      <c r="E7304" t="s">
        <v>74</v>
      </c>
      <c r="F7304">
        <v>0.55340999999999996</v>
      </c>
      <c r="G7304" t="s">
        <v>75</v>
      </c>
      <c r="H7304">
        <v>553.41499999999996</v>
      </c>
      <c r="I7304" t="s">
        <v>76</v>
      </c>
      <c r="J7304" t="s">
        <v>77</v>
      </c>
    </row>
    <row r="7305" spans="1:11" x14ac:dyDescent="0.3">
      <c r="A7305" t="s">
        <v>83</v>
      </c>
      <c r="B7305">
        <v>1000</v>
      </c>
      <c r="C7305" t="s">
        <v>92</v>
      </c>
      <c r="D7305">
        <v>2.9580600000000002E-3</v>
      </c>
      <c r="E7305" t="s">
        <v>74</v>
      </c>
      <c r="F7305">
        <v>2.9580600000000001</v>
      </c>
      <c r="G7305" t="s">
        <v>75</v>
      </c>
      <c r="H7305">
        <v>2958.0590000000002</v>
      </c>
      <c r="I7305" t="s">
        <v>76</v>
      </c>
      <c r="J7305" t="s">
        <v>77</v>
      </c>
    </row>
    <row r="7306" spans="1:11" x14ac:dyDescent="0.3">
      <c r="A7306" t="s">
        <v>83</v>
      </c>
      <c r="B7306">
        <v>1000</v>
      </c>
      <c r="C7306" t="s">
        <v>93</v>
      </c>
      <c r="D7306">
        <v>5.1646999999999999E-4</v>
      </c>
      <c r="E7306" t="s">
        <v>74</v>
      </c>
      <c r="F7306">
        <v>0.51646999999999998</v>
      </c>
      <c r="G7306" t="s">
        <v>75</v>
      </c>
      <c r="H7306">
        <v>516.471</v>
      </c>
      <c r="I7306" t="s">
        <v>76</v>
      </c>
      <c r="J7306" t="s">
        <v>77</v>
      </c>
    </row>
    <row r="7307" spans="1:11" x14ac:dyDescent="0.3">
      <c r="A7307" t="s">
        <v>83</v>
      </c>
      <c r="B7307">
        <v>1000</v>
      </c>
      <c r="C7307" t="s">
        <v>79</v>
      </c>
      <c r="D7307">
        <v>4.0283899999999997E-3</v>
      </c>
      <c r="E7307" t="s">
        <v>74</v>
      </c>
      <c r="F7307">
        <v>4.0283899999999999</v>
      </c>
      <c r="G7307" t="s">
        <v>75</v>
      </c>
      <c r="H7307">
        <v>4028.3870000000002</v>
      </c>
      <c r="I7307" t="s">
        <v>76</v>
      </c>
      <c r="J7307" t="s">
        <v>77</v>
      </c>
    </row>
    <row r="7308" spans="1:11" x14ac:dyDescent="0.3">
      <c r="A7308" t="s">
        <v>83</v>
      </c>
      <c r="B7308">
        <v>1000</v>
      </c>
      <c r="C7308" t="s">
        <v>94</v>
      </c>
      <c r="D7308">
        <v>2.6415399999999999E-3</v>
      </c>
      <c r="E7308" t="s">
        <v>74</v>
      </c>
      <c r="F7308">
        <v>2.64154</v>
      </c>
      <c r="G7308" t="s">
        <v>75</v>
      </c>
      <c r="H7308">
        <v>2641.5360000000001</v>
      </c>
      <c r="I7308" t="s">
        <v>76</v>
      </c>
      <c r="J7308" t="s">
        <v>77</v>
      </c>
    </row>
    <row r="7309" spans="1:11" x14ac:dyDescent="0.3">
      <c r="A7309" t="s">
        <v>83</v>
      </c>
      <c r="B7309">
        <v>1000</v>
      </c>
      <c r="C7309" t="s">
        <v>80</v>
      </c>
      <c r="D7309">
        <v>2.8378100000000001E-3</v>
      </c>
      <c r="E7309" t="s">
        <v>74</v>
      </c>
      <c r="F7309">
        <v>2.8378100000000002</v>
      </c>
      <c r="G7309" t="s">
        <v>75</v>
      </c>
      <c r="H7309">
        <v>2837.8069999999998</v>
      </c>
      <c r="I7309" t="s">
        <v>76</v>
      </c>
      <c r="J7309" t="s">
        <v>77</v>
      </c>
    </row>
    <row r="7310" spans="1:11" x14ac:dyDescent="0.3">
      <c r="A7310" t="s">
        <v>83</v>
      </c>
      <c r="B7310">
        <v>1000</v>
      </c>
      <c r="C7310" t="s">
        <v>81</v>
      </c>
      <c r="D7310">
        <v>6.8674399999999998E-3</v>
      </c>
      <c r="E7310" t="s">
        <v>74</v>
      </c>
      <c r="F7310">
        <v>6.8674400000000002</v>
      </c>
      <c r="G7310" t="s">
        <v>75</v>
      </c>
      <c r="H7310">
        <v>6867.44</v>
      </c>
      <c r="I7310" t="s">
        <v>76</v>
      </c>
      <c r="J7310" t="s">
        <v>82</v>
      </c>
      <c r="K7310">
        <v>145.61466390000001</v>
      </c>
    </row>
    <row r="7311" spans="1:11" x14ac:dyDescent="0.3">
      <c r="A7311" t="s">
        <v>84</v>
      </c>
      <c r="B7311">
        <v>1001</v>
      </c>
      <c r="C7311" t="s">
        <v>91</v>
      </c>
      <c r="D7311">
        <v>5.5515999999999996E-4</v>
      </c>
      <c r="E7311" t="s">
        <v>74</v>
      </c>
      <c r="F7311">
        <v>0.55515999999999999</v>
      </c>
      <c r="G7311" t="s">
        <v>75</v>
      </c>
      <c r="H7311">
        <v>555.16200000000003</v>
      </c>
      <c r="I7311" t="s">
        <v>76</v>
      </c>
      <c r="J7311" t="s">
        <v>77</v>
      </c>
    </row>
    <row r="7312" spans="1:11" x14ac:dyDescent="0.3">
      <c r="A7312" t="s">
        <v>84</v>
      </c>
      <c r="B7312">
        <v>1001</v>
      </c>
      <c r="C7312" t="s">
        <v>92</v>
      </c>
      <c r="D7312">
        <v>2.9591800000000001E-3</v>
      </c>
      <c r="E7312" t="s">
        <v>74</v>
      </c>
      <c r="F7312">
        <v>2.9591799999999999</v>
      </c>
      <c r="G7312" t="s">
        <v>75</v>
      </c>
      <c r="H7312">
        <v>2959.1790000000001</v>
      </c>
      <c r="I7312" t="s">
        <v>76</v>
      </c>
      <c r="J7312" t="s">
        <v>77</v>
      </c>
    </row>
    <row r="7313" spans="1:11" x14ac:dyDescent="0.3">
      <c r="A7313" t="s">
        <v>84</v>
      </c>
      <c r="B7313">
        <v>1001</v>
      </c>
      <c r="C7313" t="s">
        <v>93</v>
      </c>
      <c r="D7313">
        <v>5.1763999999999998E-4</v>
      </c>
      <c r="E7313" t="s">
        <v>74</v>
      </c>
      <c r="F7313">
        <v>0.51763999999999999</v>
      </c>
      <c r="G7313" t="s">
        <v>75</v>
      </c>
      <c r="H7313">
        <v>517.63599999999997</v>
      </c>
      <c r="I7313" t="s">
        <v>76</v>
      </c>
      <c r="J7313" t="s">
        <v>77</v>
      </c>
    </row>
    <row r="7314" spans="1:11" x14ac:dyDescent="0.3">
      <c r="A7314" t="s">
        <v>84</v>
      </c>
      <c r="B7314">
        <v>1001</v>
      </c>
      <c r="C7314" t="s">
        <v>79</v>
      </c>
      <c r="D7314">
        <v>4.0324200000000001E-3</v>
      </c>
      <c r="E7314" t="s">
        <v>74</v>
      </c>
      <c r="F7314">
        <v>4.0324200000000001</v>
      </c>
      <c r="G7314" t="s">
        <v>75</v>
      </c>
      <c r="H7314">
        <v>4032.4209999999998</v>
      </c>
      <c r="I7314" t="s">
        <v>76</v>
      </c>
      <c r="J7314" t="s">
        <v>77</v>
      </c>
    </row>
    <row r="7315" spans="1:11" x14ac:dyDescent="0.3">
      <c r="A7315" t="s">
        <v>84</v>
      </c>
      <c r="B7315">
        <v>1001</v>
      </c>
      <c r="C7315" t="s">
        <v>94</v>
      </c>
      <c r="D7315">
        <v>2.64854E-3</v>
      </c>
      <c r="E7315" t="s">
        <v>74</v>
      </c>
      <c r="F7315">
        <v>2.6485400000000001</v>
      </c>
      <c r="G7315" t="s">
        <v>75</v>
      </c>
      <c r="H7315">
        <v>2648.5430000000001</v>
      </c>
      <c r="I7315" t="s">
        <v>76</v>
      </c>
      <c r="J7315" t="s">
        <v>77</v>
      </c>
    </row>
    <row r="7316" spans="1:11" x14ac:dyDescent="0.3">
      <c r="A7316" t="s">
        <v>84</v>
      </c>
      <c r="B7316">
        <v>1001</v>
      </c>
      <c r="C7316" t="s">
        <v>80</v>
      </c>
      <c r="D7316">
        <v>2.84462E-3</v>
      </c>
      <c r="E7316" t="s">
        <v>74</v>
      </c>
      <c r="F7316">
        <v>2.8446199999999999</v>
      </c>
      <c r="G7316" t="s">
        <v>75</v>
      </c>
      <c r="H7316">
        <v>2844.6210000000001</v>
      </c>
      <c r="I7316" t="s">
        <v>76</v>
      </c>
      <c r="J7316" t="s">
        <v>77</v>
      </c>
    </row>
    <row r="7317" spans="1:11" x14ac:dyDescent="0.3">
      <c r="A7317" t="s">
        <v>84</v>
      </c>
      <c r="B7317">
        <v>1001</v>
      </c>
      <c r="C7317" t="s">
        <v>81</v>
      </c>
      <c r="D7317">
        <v>6.8782899999999996E-3</v>
      </c>
      <c r="E7317" t="s">
        <v>74</v>
      </c>
      <c r="F7317">
        <v>6.8782899999999998</v>
      </c>
      <c r="G7317" t="s">
        <v>75</v>
      </c>
      <c r="H7317">
        <v>6878.2889999999998</v>
      </c>
      <c r="I7317" t="s">
        <v>76</v>
      </c>
      <c r="J7317" t="s">
        <v>82</v>
      </c>
      <c r="K7317">
        <v>145.38498670000001</v>
      </c>
    </row>
    <row r="7318" spans="1:11" x14ac:dyDescent="0.3">
      <c r="A7318" t="s">
        <v>85</v>
      </c>
      <c r="B7318">
        <v>1001</v>
      </c>
      <c r="C7318" t="s">
        <v>86</v>
      </c>
      <c r="D7318">
        <v>6.8785000000000001E-3</v>
      </c>
      <c r="E7318" t="s">
        <v>74</v>
      </c>
      <c r="F7318">
        <v>6.8784999999999998</v>
      </c>
      <c r="G7318" t="s">
        <v>75</v>
      </c>
      <c r="H7318">
        <v>6878.4979999999996</v>
      </c>
      <c r="I7318" t="s">
        <v>76</v>
      </c>
      <c r="J7318" t="s">
        <v>82</v>
      </c>
      <c r="K7318">
        <v>145.3805768</v>
      </c>
    </row>
    <row r="7319" spans="1:11" x14ac:dyDescent="0.3">
      <c r="A7319" t="s">
        <v>106</v>
      </c>
    </row>
    <row r="7320" spans="1:11" x14ac:dyDescent="0.3">
      <c r="A7320" t="s">
        <v>72</v>
      </c>
      <c r="B7320">
        <v>1</v>
      </c>
      <c r="C7320" t="s">
        <v>73</v>
      </c>
      <c r="D7320">
        <v>4.9999999999999998E-7</v>
      </c>
      <c r="E7320" t="s">
        <v>74</v>
      </c>
      <c r="F7320">
        <v>5.0000000000000001E-4</v>
      </c>
      <c r="G7320" t="s">
        <v>75</v>
      </c>
      <c r="H7320">
        <v>0.5</v>
      </c>
      <c r="I7320" t="s">
        <v>76</v>
      </c>
      <c r="J7320" t="s">
        <v>77</v>
      </c>
    </row>
    <row r="7321" spans="1:11" x14ac:dyDescent="0.3">
      <c r="A7321" t="s">
        <v>72</v>
      </c>
      <c r="B7321">
        <v>1</v>
      </c>
      <c r="C7321" t="s">
        <v>78</v>
      </c>
      <c r="D7321">
        <v>4.2299999999999998E-5</v>
      </c>
      <c r="E7321" t="s">
        <v>74</v>
      </c>
      <c r="F7321">
        <v>4.2299999999999997E-2</v>
      </c>
      <c r="G7321" t="s">
        <v>75</v>
      </c>
      <c r="H7321">
        <v>42.3</v>
      </c>
      <c r="I7321" t="s">
        <v>76</v>
      </c>
      <c r="J7321" t="s">
        <v>77</v>
      </c>
    </row>
    <row r="7322" spans="1:11" x14ac:dyDescent="0.3">
      <c r="A7322" t="s">
        <v>72</v>
      </c>
      <c r="B7322">
        <v>1</v>
      </c>
      <c r="C7322" t="s">
        <v>91</v>
      </c>
      <c r="D7322">
        <v>2.173E-3</v>
      </c>
      <c r="E7322" t="s">
        <v>74</v>
      </c>
      <c r="F7322">
        <v>2.173</v>
      </c>
      <c r="G7322" t="s">
        <v>75</v>
      </c>
      <c r="H7322">
        <v>2173</v>
      </c>
      <c r="I7322" t="s">
        <v>76</v>
      </c>
      <c r="J7322" t="s">
        <v>77</v>
      </c>
    </row>
    <row r="7323" spans="1:11" x14ac:dyDescent="0.3">
      <c r="A7323" t="s">
        <v>72</v>
      </c>
      <c r="B7323">
        <v>1</v>
      </c>
      <c r="C7323" t="s">
        <v>92</v>
      </c>
      <c r="D7323">
        <v>4.0232000000000002E-3</v>
      </c>
      <c r="E7323" t="s">
        <v>74</v>
      </c>
      <c r="F7323">
        <v>4.0232000000000001</v>
      </c>
      <c r="G7323" t="s">
        <v>75</v>
      </c>
      <c r="H7323">
        <v>4023.2</v>
      </c>
      <c r="I7323" t="s">
        <v>76</v>
      </c>
      <c r="J7323" t="s">
        <v>77</v>
      </c>
    </row>
    <row r="7324" spans="1:11" x14ac:dyDescent="0.3">
      <c r="A7324" t="s">
        <v>72</v>
      </c>
      <c r="B7324">
        <v>1</v>
      </c>
      <c r="C7324" t="s">
        <v>93</v>
      </c>
      <c r="D7324">
        <v>1.6410000000000001E-3</v>
      </c>
      <c r="E7324" t="s">
        <v>74</v>
      </c>
      <c r="F7324">
        <v>1.641</v>
      </c>
      <c r="G7324" t="s">
        <v>75</v>
      </c>
      <c r="H7324">
        <v>1641</v>
      </c>
      <c r="I7324" t="s">
        <v>76</v>
      </c>
      <c r="J7324" t="s">
        <v>77</v>
      </c>
    </row>
    <row r="7325" spans="1:11" x14ac:dyDescent="0.3">
      <c r="A7325" t="s">
        <v>72</v>
      </c>
      <c r="B7325">
        <v>1</v>
      </c>
      <c r="C7325" t="s">
        <v>79</v>
      </c>
      <c r="D7325">
        <v>7.8376000000000001E-3</v>
      </c>
      <c r="E7325" t="s">
        <v>74</v>
      </c>
      <c r="F7325">
        <v>7.8376000000000001</v>
      </c>
      <c r="G7325" t="s">
        <v>75</v>
      </c>
      <c r="H7325">
        <v>7837.6</v>
      </c>
      <c r="I7325" t="s">
        <v>76</v>
      </c>
      <c r="J7325" t="s">
        <v>77</v>
      </c>
    </row>
    <row r="7326" spans="1:11" x14ac:dyDescent="0.3">
      <c r="A7326" t="s">
        <v>72</v>
      </c>
      <c r="B7326">
        <v>1</v>
      </c>
      <c r="C7326" t="s">
        <v>96</v>
      </c>
      <c r="D7326">
        <v>2.0772999999999998E-3</v>
      </c>
      <c r="E7326" t="s">
        <v>74</v>
      </c>
      <c r="F7326">
        <v>2.0773000000000001</v>
      </c>
      <c r="G7326" t="s">
        <v>75</v>
      </c>
      <c r="H7326">
        <v>2077.3000000000002</v>
      </c>
      <c r="I7326" t="s">
        <v>76</v>
      </c>
      <c r="J7326" t="s">
        <v>77</v>
      </c>
    </row>
    <row r="7327" spans="1:11" x14ac:dyDescent="0.3">
      <c r="A7327" t="s">
        <v>72</v>
      </c>
      <c r="B7327">
        <v>1</v>
      </c>
      <c r="C7327" t="s">
        <v>94</v>
      </c>
      <c r="D7327">
        <v>3.1513000000000001E-3</v>
      </c>
      <c r="E7327" t="s">
        <v>74</v>
      </c>
      <c r="F7327">
        <v>3.1513</v>
      </c>
      <c r="G7327" t="s">
        <v>75</v>
      </c>
      <c r="H7327">
        <v>3151.3</v>
      </c>
      <c r="I7327" t="s">
        <v>76</v>
      </c>
      <c r="J7327" t="s">
        <v>77</v>
      </c>
    </row>
    <row r="7328" spans="1:11" x14ac:dyDescent="0.3">
      <c r="A7328" t="s">
        <v>72</v>
      </c>
      <c r="B7328">
        <v>1</v>
      </c>
      <c r="C7328" t="s">
        <v>80</v>
      </c>
      <c r="D7328">
        <v>5.3600000000000002E-3</v>
      </c>
      <c r="E7328" t="s">
        <v>74</v>
      </c>
      <c r="F7328">
        <v>5.36</v>
      </c>
      <c r="G7328" t="s">
        <v>75</v>
      </c>
      <c r="H7328">
        <v>5360</v>
      </c>
      <c r="I7328" t="s">
        <v>76</v>
      </c>
      <c r="J7328" t="s">
        <v>77</v>
      </c>
    </row>
    <row r="7329" spans="1:11" x14ac:dyDescent="0.3">
      <c r="A7329" t="s">
        <v>72</v>
      </c>
      <c r="B7329">
        <v>1</v>
      </c>
      <c r="C7329" t="s">
        <v>81</v>
      </c>
      <c r="D7329">
        <v>1.31985E-2</v>
      </c>
      <c r="E7329" t="s">
        <v>74</v>
      </c>
      <c r="F7329">
        <v>13.198499999999999</v>
      </c>
      <c r="G7329" t="s">
        <v>75</v>
      </c>
      <c r="H7329">
        <v>13198.5</v>
      </c>
      <c r="I7329" t="s">
        <v>76</v>
      </c>
      <c r="J7329" t="s">
        <v>82</v>
      </c>
      <c r="K7329">
        <v>75.766188</v>
      </c>
    </row>
    <row r="7330" spans="1:11" x14ac:dyDescent="0.3">
      <c r="A7330" t="s">
        <v>83</v>
      </c>
      <c r="B7330">
        <v>1000</v>
      </c>
      <c r="C7330" t="s">
        <v>91</v>
      </c>
      <c r="D7330">
        <v>5.4093999999999995E-4</v>
      </c>
      <c r="E7330" t="s">
        <v>74</v>
      </c>
      <c r="F7330">
        <v>0.54093999999999998</v>
      </c>
      <c r="G7330" t="s">
        <v>75</v>
      </c>
      <c r="H7330">
        <v>540.93799999999999</v>
      </c>
      <c r="I7330" t="s">
        <v>76</v>
      </c>
      <c r="J7330" t="s">
        <v>77</v>
      </c>
    </row>
    <row r="7331" spans="1:11" x14ac:dyDescent="0.3">
      <c r="A7331" t="s">
        <v>83</v>
      </c>
      <c r="B7331">
        <v>1000</v>
      </c>
      <c r="C7331" t="s">
        <v>92</v>
      </c>
      <c r="D7331">
        <v>2.8492299999999999E-3</v>
      </c>
      <c r="E7331" t="s">
        <v>74</v>
      </c>
      <c r="F7331">
        <v>2.8492299999999999</v>
      </c>
      <c r="G7331" t="s">
        <v>75</v>
      </c>
      <c r="H7331">
        <v>2849.2339999999999</v>
      </c>
      <c r="I7331" t="s">
        <v>76</v>
      </c>
      <c r="J7331" t="s">
        <v>77</v>
      </c>
    </row>
    <row r="7332" spans="1:11" x14ac:dyDescent="0.3">
      <c r="A7332" t="s">
        <v>83</v>
      </c>
      <c r="B7332">
        <v>1000</v>
      </c>
      <c r="C7332" t="s">
        <v>93</v>
      </c>
      <c r="D7332">
        <v>5.0783000000000002E-4</v>
      </c>
      <c r="E7332" t="s">
        <v>74</v>
      </c>
      <c r="F7332">
        <v>0.50783</v>
      </c>
      <c r="G7332" t="s">
        <v>75</v>
      </c>
      <c r="H7332">
        <v>507.82600000000002</v>
      </c>
      <c r="I7332" t="s">
        <v>76</v>
      </c>
      <c r="J7332" t="s">
        <v>77</v>
      </c>
    </row>
    <row r="7333" spans="1:11" x14ac:dyDescent="0.3">
      <c r="A7333" t="s">
        <v>83</v>
      </c>
      <c r="B7333">
        <v>1000</v>
      </c>
      <c r="C7333" t="s">
        <v>79</v>
      </c>
      <c r="D7333">
        <v>3.8984100000000002E-3</v>
      </c>
      <c r="E7333" t="s">
        <v>74</v>
      </c>
      <c r="F7333">
        <v>3.8984100000000002</v>
      </c>
      <c r="G7333" t="s">
        <v>75</v>
      </c>
      <c r="H7333">
        <v>3898.4059999999999</v>
      </c>
      <c r="I7333" t="s">
        <v>76</v>
      </c>
      <c r="J7333" t="s">
        <v>77</v>
      </c>
    </row>
    <row r="7334" spans="1:11" x14ac:dyDescent="0.3">
      <c r="A7334" t="s">
        <v>83</v>
      </c>
      <c r="B7334">
        <v>1000</v>
      </c>
      <c r="C7334" t="s">
        <v>96</v>
      </c>
      <c r="D7334">
        <v>1.79047E-3</v>
      </c>
      <c r="E7334" t="s">
        <v>74</v>
      </c>
      <c r="F7334">
        <v>1.79047</v>
      </c>
      <c r="G7334" t="s">
        <v>75</v>
      </c>
      <c r="H7334">
        <v>1790.473</v>
      </c>
      <c r="I7334" t="s">
        <v>76</v>
      </c>
      <c r="J7334" t="s">
        <v>77</v>
      </c>
    </row>
    <row r="7335" spans="1:11" x14ac:dyDescent="0.3">
      <c r="A7335" t="s">
        <v>83</v>
      </c>
      <c r="B7335">
        <v>1000</v>
      </c>
      <c r="C7335" t="s">
        <v>94</v>
      </c>
      <c r="D7335">
        <v>3.0598700000000001E-3</v>
      </c>
      <c r="E7335" t="s">
        <v>74</v>
      </c>
      <c r="F7335">
        <v>3.0598700000000001</v>
      </c>
      <c r="G7335" t="s">
        <v>75</v>
      </c>
      <c r="H7335">
        <v>3059.8679999999999</v>
      </c>
      <c r="I7335" t="s">
        <v>76</v>
      </c>
      <c r="J7335" t="s">
        <v>77</v>
      </c>
    </row>
    <row r="7336" spans="1:11" x14ac:dyDescent="0.3">
      <c r="A7336" t="s">
        <v>83</v>
      </c>
      <c r="B7336">
        <v>1000</v>
      </c>
      <c r="C7336" t="s">
        <v>80</v>
      </c>
      <c r="D7336">
        <v>4.9811999999999999E-3</v>
      </c>
      <c r="E7336" t="s">
        <v>74</v>
      </c>
      <c r="F7336">
        <v>4.9812000000000003</v>
      </c>
      <c r="G7336" t="s">
        <v>75</v>
      </c>
      <c r="H7336">
        <v>4981.1989999999996</v>
      </c>
      <c r="I7336" t="s">
        <v>76</v>
      </c>
      <c r="J7336" t="s">
        <v>77</v>
      </c>
    </row>
    <row r="7337" spans="1:11" x14ac:dyDescent="0.3">
      <c r="A7337" t="s">
        <v>83</v>
      </c>
      <c r="B7337">
        <v>1000</v>
      </c>
      <c r="C7337" t="s">
        <v>81</v>
      </c>
      <c r="D7337">
        <v>8.8810999999999994E-3</v>
      </c>
      <c r="E7337" t="s">
        <v>74</v>
      </c>
      <c r="F7337">
        <v>8.8811</v>
      </c>
      <c r="G7337" t="s">
        <v>75</v>
      </c>
      <c r="H7337">
        <v>8881.0969999999998</v>
      </c>
      <c r="I7337" t="s">
        <v>76</v>
      </c>
      <c r="J7337" t="s">
        <v>82</v>
      </c>
      <c r="K7337">
        <v>112.5987046</v>
      </c>
    </row>
    <row r="7338" spans="1:11" x14ac:dyDescent="0.3">
      <c r="A7338" t="s">
        <v>84</v>
      </c>
      <c r="B7338">
        <v>1001</v>
      </c>
      <c r="C7338" t="s">
        <v>91</v>
      </c>
      <c r="D7338">
        <v>5.4257000000000003E-4</v>
      </c>
      <c r="E7338" t="s">
        <v>74</v>
      </c>
      <c r="F7338">
        <v>0.54257</v>
      </c>
      <c r="G7338" t="s">
        <v>75</v>
      </c>
      <c r="H7338">
        <v>542.56899999999996</v>
      </c>
      <c r="I7338" t="s">
        <v>76</v>
      </c>
      <c r="J7338" t="s">
        <v>77</v>
      </c>
    </row>
    <row r="7339" spans="1:11" x14ac:dyDescent="0.3">
      <c r="A7339" t="s">
        <v>84</v>
      </c>
      <c r="B7339">
        <v>1001</v>
      </c>
      <c r="C7339" t="s">
        <v>92</v>
      </c>
      <c r="D7339">
        <v>2.8504099999999998E-3</v>
      </c>
      <c r="E7339" t="s">
        <v>74</v>
      </c>
      <c r="F7339">
        <v>2.8504100000000001</v>
      </c>
      <c r="G7339" t="s">
        <v>75</v>
      </c>
      <c r="H7339">
        <v>2850.4070000000002</v>
      </c>
      <c r="I7339" t="s">
        <v>76</v>
      </c>
      <c r="J7339" t="s">
        <v>77</v>
      </c>
    </row>
    <row r="7340" spans="1:11" x14ac:dyDescent="0.3">
      <c r="A7340" t="s">
        <v>84</v>
      </c>
      <c r="B7340">
        <v>1001</v>
      </c>
      <c r="C7340" t="s">
        <v>93</v>
      </c>
      <c r="D7340">
        <v>5.0896000000000003E-4</v>
      </c>
      <c r="E7340" t="s">
        <v>74</v>
      </c>
      <c r="F7340">
        <v>0.50895999999999997</v>
      </c>
      <c r="G7340" t="s">
        <v>75</v>
      </c>
      <c r="H7340">
        <v>508.95800000000003</v>
      </c>
      <c r="I7340" t="s">
        <v>76</v>
      </c>
      <c r="J7340" t="s">
        <v>77</v>
      </c>
    </row>
    <row r="7341" spans="1:11" x14ac:dyDescent="0.3">
      <c r="A7341" t="s">
        <v>84</v>
      </c>
      <c r="B7341">
        <v>1001</v>
      </c>
      <c r="C7341" t="s">
        <v>79</v>
      </c>
      <c r="D7341">
        <v>3.9023399999999998E-3</v>
      </c>
      <c r="E7341" t="s">
        <v>74</v>
      </c>
      <c r="F7341">
        <v>3.9023400000000001</v>
      </c>
      <c r="G7341" t="s">
        <v>75</v>
      </c>
      <c r="H7341">
        <v>3902.3409999999999</v>
      </c>
      <c r="I7341" t="s">
        <v>76</v>
      </c>
      <c r="J7341" t="s">
        <v>77</v>
      </c>
    </row>
    <row r="7342" spans="1:11" x14ac:dyDescent="0.3">
      <c r="A7342" t="s">
        <v>84</v>
      </c>
      <c r="B7342">
        <v>1001</v>
      </c>
      <c r="C7342" t="s">
        <v>96</v>
      </c>
      <c r="D7342">
        <v>1.79076E-3</v>
      </c>
      <c r="E7342" t="s">
        <v>74</v>
      </c>
      <c r="F7342">
        <v>1.7907599999999999</v>
      </c>
      <c r="G7342" t="s">
        <v>75</v>
      </c>
      <c r="H7342">
        <v>1790.759</v>
      </c>
      <c r="I7342" t="s">
        <v>76</v>
      </c>
      <c r="J7342" t="s">
        <v>77</v>
      </c>
    </row>
    <row r="7343" spans="1:11" x14ac:dyDescent="0.3">
      <c r="A7343" t="s">
        <v>84</v>
      </c>
      <c r="B7343">
        <v>1001</v>
      </c>
      <c r="C7343" t="s">
        <v>94</v>
      </c>
      <c r="D7343">
        <v>3.05996E-3</v>
      </c>
      <c r="E7343" t="s">
        <v>74</v>
      </c>
      <c r="F7343">
        <v>3.0599599999999998</v>
      </c>
      <c r="G7343" t="s">
        <v>75</v>
      </c>
      <c r="H7343">
        <v>3059.96</v>
      </c>
      <c r="I7343" t="s">
        <v>76</v>
      </c>
      <c r="J7343" t="s">
        <v>77</v>
      </c>
    </row>
    <row r="7344" spans="1:11" x14ac:dyDescent="0.3">
      <c r="A7344" t="s">
        <v>84</v>
      </c>
      <c r="B7344">
        <v>1001</v>
      </c>
      <c r="C7344" t="s">
        <v>80</v>
      </c>
      <c r="D7344">
        <v>4.9815800000000002E-3</v>
      </c>
      <c r="E7344" t="s">
        <v>74</v>
      </c>
      <c r="F7344">
        <v>4.9815800000000001</v>
      </c>
      <c r="G7344" t="s">
        <v>75</v>
      </c>
      <c r="H7344">
        <v>4981.5770000000002</v>
      </c>
      <c r="I7344" t="s">
        <v>76</v>
      </c>
      <c r="J7344" t="s">
        <v>77</v>
      </c>
    </row>
    <row r="7345" spans="1:11" x14ac:dyDescent="0.3">
      <c r="A7345" t="s">
        <v>84</v>
      </c>
      <c r="B7345">
        <v>1001</v>
      </c>
      <c r="C7345" t="s">
        <v>81</v>
      </c>
      <c r="D7345">
        <v>8.8854099999999998E-3</v>
      </c>
      <c r="E7345" t="s">
        <v>74</v>
      </c>
      <c r="F7345">
        <v>8.8854100000000003</v>
      </c>
      <c r="G7345" t="s">
        <v>75</v>
      </c>
      <c r="H7345">
        <v>8885.4089999999997</v>
      </c>
      <c r="I7345" t="s">
        <v>76</v>
      </c>
      <c r="J7345" t="s">
        <v>82</v>
      </c>
      <c r="K7345">
        <v>112.5440554</v>
      </c>
    </row>
    <row r="7346" spans="1:11" x14ac:dyDescent="0.3">
      <c r="A7346" t="s">
        <v>85</v>
      </c>
      <c r="B7346">
        <v>1001</v>
      </c>
      <c r="C7346" t="s">
        <v>86</v>
      </c>
      <c r="D7346">
        <v>8.8855800000000006E-3</v>
      </c>
      <c r="E7346" t="s">
        <v>74</v>
      </c>
      <c r="F7346">
        <v>8.8855799999999991</v>
      </c>
      <c r="G7346" t="s">
        <v>75</v>
      </c>
      <c r="H7346">
        <v>8885.5759999999991</v>
      </c>
      <c r="I7346" t="s">
        <v>76</v>
      </c>
      <c r="J7346" t="s">
        <v>82</v>
      </c>
      <c r="K7346">
        <v>112.5419437</v>
      </c>
    </row>
    <row r="7347" spans="1:11" x14ac:dyDescent="0.3">
      <c r="A7347" t="s">
        <v>87</v>
      </c>
    </row>
    <row r="7348" spans="1:11" x14ac:dyDescent="0.3">
      <c r="A7348" t="s">
        <v>107</v>
      </c>
    </row>
    <row r="7349" spans="1:11" x14ac:dyDescent="0.3">
      <c r="A7349" t="s">
        <v>72</v>
      </c>
      <c r="B7349">
        <v>1</v>
      </c>
      <c r="C7349" t="s">
        <v>81</v>
      </c>
      <c r="D7349">
        <v>1.7727400000000001E-2</v>
      </c>
      <c r="E7349" t="s">
        <v>74</v>
      </c>
      <c r="F7349">
        <v>17.727399999999999</v>
      </c>
      <c r="G7349" t="s">
        <v>75</v>
      </c>
      <c r="H7349">
        <v>17727.399000000001</v>
      </c>
      <c r="I7349" t="s">
        <v>76</v>
      </c>
      <c r="J7349" t="s">
        <v>82</v>
      </c>
      <c r="K7349">
        <v>56.4098538</v>
      </c>
    </row>
    <row r="7350" spans="1:11" x14ac:dyDescent="0.3">
      <c r="A7350" t="s">
        <v>83</v>
      </c>
      <c r="B7350">
        <v>1000</v>
      </c>
      <c r="C7350" t="s">
        <v>81</v>
      </c>
      <c r="D7350">
        <v>6.8674399999999998E-3</v>
      </c>
      <c r="E7350" t="s">
        <v>74</v>
      </c>
      <c r="F7350">
        <v>6.8674400000000002</v>
      </c>
      <c r="G7350" t="s">
        <v>75</v>
      </c>
      <c r="H7350">
        <v>6867.44</v>
      </c>
      <c r="I7350" t="s">
        <v>76</v>
      </c>
      <c r="J7350" t="s">
        <v>82</v>
      </c>
      <c r="K7350">
        <v>145.61466390000001</v>
      </c>
    </row>
    <row r="7351" spans="1:11" x14ac:dyDescent="0.3">
      <c r="A7351" t="s">
        <v>85</v>
      </c>
      <c r="B7351">
        <v>1001</v>
      </c>
      <c r="C7351" t="s">
        <v>86</v>
      </c>
      <c r="D7351">
        <v>6.8785000000000001E-3</v>
      </c>
      <c r="E7351" t="s">
        <v>74</v>
      </c>
      <c r="F7351">
        <v>6.8784999999999998</v>
      </c>
      <c r="G7351" t="s">
        <v>75</v>
      </c>
      <c r="H7351">
        <v>6878.4979999999996</v>
      </c>
      <c r="I7351" t="s">
        <v>76</v>
      </c>
      <c r="J7351" t="s">
        <v>82</v>
      </c>
      <c r="K7351">
        <v>145.3805768</v>
      </c>
    </row>
    <row r="7353" spans="1:11" x14ac:dyDescent="0.3">
      <c r="A7353" t="s">
        <v>108</v>
      </c>
    </row>
    <row r="7354" spans="1:11" x14ac:dyDescent="0.3">
      <c r="A7354" t="s">
        <v>72</v>
      </c>
      <c r="B7354">
        <v>1</v>
      </c>
      <c r="C7354" t="s">
        <v>81</v>
      </c>
      <c r="D7354">
        <v>1.31985E-2</v>
      </c>
      <c r="E7354" t="s">
        <v>74</v>
      </c>
      <c r="F7354">
        <v>13.198499999999999</v>
      </c>
      <c r="G7354" t="s">
        <v>75</v>
      </c>
      <c r="H7354">
        <v>13198.5</v>
      </c>
      <c r="I7354" t="s">
        <v>76</v>
      </c>
      <c r="J7354" t="s">
        <v>82</v>
      </c>
      <c r="K7354">
        <v>75.766188</v>
      </c>
    </row>
    <row r="7355" spans="1:11" x14ac:dyDescent="0.3">
      <c r="A7355" t="s">
        <v>83</v>
      </c>
      <c r="B7355">
        <v>1000</v>
      </c>
      <c r="C7355" t="s">
        <v>81</v>
      </c>
      <c r="D7355">
        <v>8.8810999999999994E-3</v>
      </c>
      <c r="E7355" t="s">
        <v>74</v>
      </c>
      <c r="F7355">
        <v>8.8811</v>
      </c>
      <c r="G7355" t="s">
        <v>75</v>
      </c>
      <c r="H7355">
        <v>8881.0969999999998</v>
      </c>
      <c r="I7355" t="s">
        <v>76</v>
      </c>
      <c r="J7355" t="s">
        <v>82</v>
      </c>
      <c r="K7355">
        <v>112.5987046</v>
      </c>
    </row>
    <row r="7356" spans="1:11" x14ac:dyDescent="0.3">
      <c r="A7356" t="s">
        <v>85</v>
      </c>
      <c r="B7356">
        <v>1001</v>
      </c>
      <c r="C7356" t="s">
        <v>86</v>
      </c>
      <c r="D7356">
        <v>8.8855800000000006E-3</v>
      </c>
      <c r="E7356" t="s">
        <v>74</v>
      </c>
      <c r="F7356">
        <v>8.8855799999999991</v>
      </c>
      <c r="G7356" t="s">
        <v>75</v>
      </c>
      <c r="H7356">
        <v>8885.5759999999991</v>
      </c>
      <c r="I7356" t="s">
        <v>76</v>
      </c>
      <c r="J7356" t="s">
        <v>82</v>
      </c>
      <c r="K7356">
        <v>112.5419437</v>
      </c>
    </row>
    <row r="7358" spans="1:11" x14ac:dyDescent="0.3">
      <c r="A7358" t="s">
        <v>66</v>
      </c>
    </row>
    <row r="7360" spans="1:11" x14ac:dyDescent="0.3">
      <c r="A7360" t="s">
        <v>382</v>
      </c>
    </row>
    <row r="7361" spans="1:11" x14ac:dyDescent="0.3">
      <c r="A7361" t="s">
        <v>68</v>
      </c>
    </row>
    <row r="7362" spans="1:11" x14ac:dyDescent="0.3">
      <c r="A7362" t="s">
        <v>69</v>
      </c>
    </row>
    <row r="7363" spans="1:11" x14ac:dyDescent="0.3">
      <c r="A7363" t="s">
        <v>70</v>
      </c>
    </row>
    <row r="7364" spans="1:11" x14ac:dyDescent="0.3">
      <c r="A7364" t="s">
        <v>110</v>
      </c>
    </row>
    <row r="7365" spans="1:11" x14ac:dyDescent="0.3">
      <c r="A7365" t="s">
        <v>72</v>
      </c>
      <c r="B7365">
        <v>1</v>
      </c>
      <c r="C7365" t="s">
        <v>73</v>
      </c>
      <c r="D7365">
        <v>9.9999999999999995E-7</v>
      </c>
      <c r="E7365" t="s">
        <v>74</v>
      </c>
      <c r="F7365">
        <v>1E-3</v>
      </c>
      <c r="G7365" t="s">
        <v>75</v>
      </c>
      <c r="H7365">
        <v>1</v>
      </c>
      <c r="I7365" t="s">
        <v>76</v>
      </c>
      <c r="J7365" t="s">
        <v>77</v>
      </c>
    </row>
    <row r="7366" spans="1:11" x14ac:dyDescent="0.3">
      <c r="A7366" t="s">
        <v>72</v>
      </c>
      <c r="B7366">
        <v>1</v>
      </c>
      <c r="C7366" t="s">
        <v>78</v>
      </c>
      <c r="D7366">
        <v>1.9899999999999999E-5</v>
      </c>
      <c r="E7366" t="s">
        <v>74</v>
      </c>
      <c r="F7366">
        <v>1.9900000000000001E-2</v>
      </c>
      <c r="G7366" t="s">
        <v>75</v>
      </c>
      <c r="H7366">
        <v>19.899999999999999</v>
      </c>
      <c r="I7366" t="s">
        <v>76</v>
      </c>
      <c r="J7366" t="s">
        <v>77</v>
      </c>
    </row>
    <row r="7367" spans="1:11" x14ac:dyDescent="0.3">
      <c r="A7367" t="s">
        <v>72</v>
      </c>
      <c r="B7367">
        <v>1</v>
      </c>
      <c r="C7367" t="s">
        <v>79</v>
      </c>
      <c r="D7367">
        <v>4.3744999999999999E-3</v>
      </c>
      <c r="E7367" t="s">
        <v>74</v>
      </c>
      <c r="F7367">
        <v>4.3745000000000003</v>
      </c>
      <c r="G7367" t="s">
        <v>75</v>
      </c>
      <c r="H7367">
        <v>4374.5</v>
      </c>
      <c r="I7367" t="s">
        <v>76</v>
      </c>
      <c r="J7367" t="s">
        <v>77</v>
      </c>
    </row>
    <row r="7368" spans="1:11" x14ac:dyDescent="0.3">
      <c r="A7368" t="s">
        <v>72</v>
      </c>
      <c r="B7368">
        <v>1</v>
      </c>
      <c r="C7368" t="s">
        <v>94</v>
      </c>
      <c r="D7368">
        <v>9.1325E-3</v>
      </c>
      <c r="E7368" t="s">
        <v>74</v>
      </c>
      <c r="F7368">
        <v>9.1325000000000003</v>
      </c>
      <c r="G7368" t="s">
        <v>75</v>
      </c>
      <c r="H7368">
        <v>9132.5</v>
      </c>
      <c r="I7368" t="s">
        <v>76</v>
      </c>
      <c r="J7368" t="s">
        <v>77</v>
      </c>
    </row>
    <row r="7369" spans="1:11" x14ac:dyDescent="0.3">
      <c r="A7369" t="s">
        <v>72</v>
      </c>
      <c r="B7369">
        <v>1</v>
      </c>
      <c r="C7369" t="s">
        <v>80</v>
      </c>
      <c r="D7369">
        <v>9.1330999999999999E-3</v>
      </c>
      <c r="E7369" t="s">
        <v>74</v>
      </c>
      <c r="F7369">
        <v>9.1331000000000007</v>
      </c>
      <c r="G7369" t="s">
        <v>75</v>
      </c>
      <c r="H7369">
        <v>9133.1</v>
      </c>
      <c r="I7369" t="s">
        <v>76</v>
      </c>
      <c r="J7369" t="s">
        <v>77</v>
      </c>
    </row>
    <row r="7370" spans="1:11" x14ac:dyDescent="0.3">
      <c r="A7370" t="s">
        <v>72</v>
      </c>
      <c r="B7370">
        <v>1</v>
      </c>
      <c r="C7370" t="s">
        <v>81</v>
      </c>
      <c r="D7370">
        <v>1.3510400000000001E-2</v>
      </c>
      <c r="E7370" t="s">
        <v>74</v>
      </c>
      <c r="F7370">
        <v>13.510400000000001</v>
      </c>
      <c r="G7370" t="s">
        <v>75</v>
      </c>
      <c r="H7370">
        <v>13510.4</v>
      </c>
      <c r="I7370" t="s">
        <v>76</v>
      </c>
      <c r="J7370" t="s">
        <v>82</v>
      </c>
      <c r="K7370">
        <v>74.017051199999997</v>
      </c>
    </row>
    <row r="7371" spans="1:11" x14ac:dyDescent="0.3">
      <c r="A7371" t="s">
        <v>83</v>
      </c>
      <c r="B7371">
        <v>1000</v>
      </c>
      <c r="C7371" t="s">
        <v>79</v>
      </c>
      <c r="D7371">
        <v>3.13489E-3</v>
      </c>
      <c r="E7371" t="s">
        <v>74</v>
      </c>
      <c r="F7371">
        <v>3.13489</v>
      </c>
      <c r="G7371" t="s">
        <v>75</v>
      </c>
      <c r="H7371">
        <v>3134.8919999999998</v>
      </c>
      <c r="I7371" t="s">
        <v>76</v>
      </c>
      <c r="J7371" t="s">
        <v>77</v>
      </c>
    </row>
    <row r="7372" spans="1:11" x14ac:dyDescent="0.3">
      <c r="A7372" t="s">
        <v>83</v>
      </c>
      <c r="B7372">
        <v>1000</v>
      </c>
      <c r="C7372" t="s">
        <v>94</v>
      </c>
      <c r="D7372">
        <v>2.58808E-3</v>
      </c>
      <c r="E7372" t="s">
        <v>74</v>
      </c>
      <c r="F7372">
        <v>2.5880800000000002</v>
      </c>
      <c r="G7372" t="s">
        <v>75</v>
      </c>
      <c r="H7372">
        <v>2588.0770000000002</v>
      </c>
      <c r="I7372" t="s">
        <v>76</v>
      </c>
      <c r="J7372" t="s">
        <v>77</v>
      </c>
    </row>
    <row r="7373" spans="1:11" x14ac:dyDescent="0.3">
      <c r="A7373" t="s">
        <v>83</v>
      </c>
      <c r="B7373">
        <v>1000</v>
      </c>
      <c r="C7373" t="s">
        <v>80</v>
      </c>
      <c r="D7373">
        <v>2.7164899999999998E-3</v>
      </c>
      <c r="E7373" t="s">
        <v>74</v>
      </c>
      <c r="F7373">
        <v>2.7164899999999998</v>
      </c>
      <c r="G7373" t="s">
        <v>75</v>
      </c>
      <c r="H7373">
        <v>2716.4879999999998</v>
      </c>
      <c r="I7373" t="s">
        <v>76</v>
      </c>
      <c r="J7373" t="s">
        <v>77</v>
      </c>
    </row>
    <row r="7374" spans="1:11" x14ac:dyDescent="0.3">
      <c r="A7374" t="s">
        <v>83</v>
      </c>
      <c r="B7374">
        <v>1000</v>
      </c>
      <c r="C7374" t="s">
        <v>81</v>
      </c>
      <c r="D7374">
        <v>5.8521800000000002E-3</v>
      </c>
      <c r="E7374" t="s">
        <v>74</v>
      </c>
      <c r="F7374">
        <v>5.8521799999999997</v>
      </c>
      <c r="G7374" t="s">
        <v>75</v>
      </c>
      <c r="H7374">
        <v>5852.1809999999996</v>
      </c>
      <c r="I7374" t="s">
        <v>76</v>
      </c>
      <c r="J7374" t="s">
        <v>82</v>
      </c>
      <c r="K7374">
        <v>170.876452</v>
      </c>
    </row>
    <row r="7375" spans="1:11" x14ac:dyDescent="0.3">
      <c r="A7375" t="s">
        <v>84</v>
      </c>
      <c r="B7375">
        <v>1001</v>
      </c>
      <c r="C7375" t="s">
        <v>79</v>
      </c>
      <c r="D7375">
        <v>3.13613E-3</v>
      </c>
      <c r="E7375" t="s">
        <v>74</v>
      </c>
      <c r="F7375">
        <v>3.1361300000000001</v>
      </c>
      <c r="G7375" t="s">
        <v>75</v>
      </c>
      <c r="H7375">
        <v>3136.13</v>
      </c>
      <c r="I7375" t="s">
        <v>76</v>
      </c>
      <c r="J7375" t="s">
        <v>77</v>
      </c>
    </row>
    <row r="7376" spans="1:11" x14ac:dyDescent="0.3">
      <c r="A7376" t="s">
        <v>84</v>
      </c>
      <c r="B7376">
        <v>1001</v>
      </c>
      <c r="C7376" t="s">
        <v>94</v>
      </c>
      <c r="D7376">
        <v>2.5946099999999998E-3</v>
      </c>
      <c r="E7376" t="s">
        <v>74</v>
      </c>
      <c r="F7376">
        <v>2.5946099999999999</v>
      </c>
      <c r="G7376" t="s">
        <v>75</v>
      </c>
      <c r="H7376">
        <v>2594.6149999999998</v>
      </c>
      <c r="I7376" t="s">
        <v>76</v>
      </c>
      <c r="J7376" t="s">
        <v>77</v>
      </c>
    </row>
    <row r="7377" spans="1:11" x14ac:dyDescent="0.3">
      <c r="A7377" t="s">
        <v>84</v>
      </c>
      <c r="B7377">
        <v>1001</v>
      </c>
      <c r="C7377" t="s">
        <v>80</v>
      </c>
      <c r="D7377">
        <v>2.7228999999999999E-3</v>
      </c>
      <c r="E7377" t="s">
        <v>74</v>
      </c>
      <c r="F7377">
        <v>2.7229000000000001</v>
      </c>
      <c r="G7377" t="s">
        <v>75</v>
      </c>
      <c r="H7377">
        <v>2722.8980000000001</v>
      </c>
      <c r="I7377" t="s">
        <v>76</v>
      </c>
      <c r="J7377" t="s">
        <v>77</v>
      </c>
    </row>
    <row r="7378" spans="1:11" x14ac:dyDescent="0.3">
      <c r="A7378" t="s">
        <v>84</v>
      </c>
      <c r="B7378">
        <v>1001</v>
      </c>
      <c r="C7378" t="s">
        <v>81</v>
      </c>
      <c r="D7378">
        <v>5.8598299999999999E-3</v>
      </c>
      <c r="E7378" t="s">
        <v>74</v>
      </c>
      <c r="F7378">
        <v>5.8598299999999997</v>
      </c>
      <c r="G7378" t="s">
        <v>75</v>
      </c>
      <c r="H7378">
        <v>5859.8320000000003</v>
      </c>
      <c r="I7378" t="s">
        <v>76</v>
      </c>
      <c r="J7378" t="s">
        <v>82</v>
      </c>
      <c r="K7378">
        <v>170.65334770000001</v>
      </c>
    </row>
    <row r="7379" spans="1:11" x14ac:dyDescent="0.3">
      <c r="A7379" t="s">
        <v>85</v>
      </c>
      <c r="B7379">
        <v>1001</v>
      </c>
      <c r="C7379" t="s">
        <v>86</v>
      </c>
      <c r="D7379">
        <v>5.8599999999999998E-3</v>
      </c>
      <c r="E7379" t="s">
        <v>74</v>
      </c>
      <c r="F7379">
        <v>5.86</v>
      </c>
      <c r="G7379" t="s">
        <v>75</v>
      </c>
      <c r="H7379">
        <v>5860.0039999999999</v>
      </c>
      <c r="I7379" t="s">
        <v>76</v>
      </c>
      <c r="J7379" t="s">
        <v>82</v>
      </c>
      <c r="K7379">
        <v>170.64833970000001</v>
      </c>
    </row>
    <row r="7380" spans="1:11" x14ac:dyDescent="0.3">
      <c r="A7380" t="s">
        <v>111</v>
      </c>
    </row>
    <row r="7381" spans="1:11" x14ac:dyDescent="0.3">
      <c r="A7381" t="s">
        <v>72</v>
      </c>
      <c r="B7381">
        <v>1</v>
      </c>
      <c r="C7381" t="s">
        <v>73</v>
      </c>
      <c r="D7381">
        <v>9.9999999999999995E-7</v>
      </c>
      <c r="E7381" t="s">
        <v>74</v>
      </c>
      <c r="F7381">
        <v>1E-3</v>
      </c>
      <c r="G7381" t="s">
        <v>75</v>
      </c>
      <c r="H7381">
        <v>1</v>
      </c>
      <c r="I7381" t="s">
        <v>76</v>
      </c>
      <c r="J7381" t="s">
        <v>77</v>
      </c>
    </row>
    <row r="7382" spans="1:11" x14ac:dyDescent="0.3">
      <c r="A7382" t="s">
        <v>72</v>
      </c>
      <c r="B7382">
        <v>1</v>
      </c>
      <c r="C7382" t="s">
        <v>78</v>
      </c>
      <c r="D7382">
        <v>2.02E-5</v>
      </c>
      <c r="E7382" t="s">
        <v>74</v>
      </c>
      <c r="F7382">
        <v>2.0199999999999999E-2</v>
      </c>
      <c r="G7382" t="s">
        <v>75</v>
      </c>
      <c r="H7382">
        <v>20.2</v>
      </c>
      <c r="I7382" t="s">
        <v>76</v>
      </c>
      <c r="J7382" t="s">
        <v>77</v>
      </c>
    </row>
    <row r="7383" spans="1:11" x14ac:dyDescent="0.3">
      <c r="A7383" t="s">
        <v>72</v>
      </c>
      <c r="B7383">
        <v>1</v>
      </c>
      <c r="C7383" t="s">
        <v>79</v>
      </c>
      <c r="D7383">
        <v>4.1716000000000001E-3</v>
      </c>
      <c r="E7383" t="s">
        <v>74</v>
      </c>
      <c r="F7383">
        <v>4.1715999999999998</v>
      </c>
      <c r="G7383" t="s">
        <v>75</v>
      </c>
      <c r="H7383">
        <v>4171.6000000000004</v>
      </c>
      <c r="I7383" t="s">
        <v>76</v>
      </c>
      <c r="J7383" t="s">
        <v>77</v>
      </c>
    </row>
    <row r="7384" spans="1:11" x14ac:dyDescent="0.3">
      <c r="A7384" t="s">
        <v>72</v>
      </c>
      <c r="B7384">
        <v>1</v>
      </c>
      <c r="C7384" t="s">
        <v>94</v>
      </c>
      <c r="D7384">
        <v>2.6232E-3</v>
      </c>
      <c r="E7384" t="s">
        <v>74</v>
      </c>
      <c r="F7384">
        <v>2.6232000000000002</v>
      </c>
      <c r="G7384" t="s">
        <v>75</v>
      </c>
      <c r="H7384">
        <v>2623.2</v>
      </c>
      <c r="I7384" t="s">
        <v>76</v>
      </c>
      <c r="J7384" t="s">
        <v>77</v>
      </c>
    </row>
    <row r="7385" spans="1:11" x14ac:dyDescent="0.3">
      <c r="A7385" t="s">
        <v>72</v>
      </c>
      <c r="B7385">
        <v>1</v>
      </c>
      <c r="C7385" t="s">
        <v>80</v>
      </c>
      <c r="D7385">
        <v>2.7921999999999999E-3</v>
      </c>
      <c r="E7385" t="s">
        <v>74</v>
      </c>
      <c r="F7385">
        <v>2.7921999999999998</v>
      </c>
      <c r="G7385" t="s">
        <v>75</v>
      </c>
      <c r="H7385">
        <v>2792.2</v>
      </c>
      <c r="I7385" t="s">
        <v>76</v>
      </c>
      <c r="J7385" t="s">
        <v>77</v>
      </c>
    </row>
    <row r="7386" spans="1:11" x14ac:dyDescent="0.3">
      <c r="A7386" t="s">
        <v>72</v>
      </c>
      <c r="B7386">
        <v>1</v>
      </c>
      <c r="C7386" t="s">
        <v>81</v>
      </c>
      <c r="D7386">
        <v>6.9643999999999999E-3</v>
      </c>
      <c r="E7386" t="s">
        <v>74</v>
      </c>
      <c r="F7386">
        <v>6.9644000000000004</v>
      </c>
      <c r="G7386" t="s">
        <v>75</v>
      </c>
      <c r="H7386">
        <v>6964.4</v>
      </c>
      <c r="I7386" t="s">
        <v>76</v>
      </c>
      <c r="J7386" t="s">
        <v>82</v>
      </c>
      <c r="K7386">
        <v>143.58738840000001</v>
      </c>
    </row>
    <row r="7387" spans="1:11" x14ac:dyDescent="0.3">
      <c r="A7387" t="s">
        <v>83</v>
      </c>
      <c r="B7387">
        <v>1000</v>
      </c>
      <c r="C7387" t="s">
        <v>79</v>
      </c>
      <c r="D7387">
        <v>3.1521399999999999E-3</v>
      </c>
      <c r="E7387" t="s">
        <v>74</v>
      </c>
      <c r="F7387">
        <v>3.1521400000000002</v>
      </c>
      <c r="G7387" t="s">
        <v>75</v>
      </c>
      <c r="H7387">
        <v>3152.1379999999999</v>
      </c>
      <c r="I7387" t="s">
        <v>76</v>
      </c>
      <c r="J7387" t="s">
        <v>77</v>
      </c>
    </row>
    <row r="7388" spans="1:11" x14ac:dyDescent="0.3">
      <c r="A7388" t="s">
        <v>83</v>
      </c>
      <c r="B7388">
        <v>1000</v>
      </c>
      <c r="C7388" t="s">
        <v>94</v>
      </c>
      <c r="D7388">
        <v>2.4989399999999998E-3</v>
      </c>
      <c r="E7388" t="s">
        <v>74</v>
      </c>
      <c r="F7388">
        <v>2.4989400000000002</v>
      </c>
      <c r="G7388" t="s">
        <v>75</v>
      </c>
      <c r="H7388">
        <v>2498.9380000000001</v>
      </c>
      <c r="I7388" t="s">
        <v>76</v>
      </c>
      <c r="J7388" t="s">
        <v>77</v>
      </c>
    </row>
    <row r="7389" spans="1:11" x14ac:dyDescent="0.3">
      <c r="A7389" t="s">
        <v>83</v>
      </c>
      <c r="B7389">
        <v>1000</v>
      </c>
      <c r="C7389" t="s">
        <v>80</v>
      </c>
      <c r="D7389">
        <v>2.6322400000000001E-3</v>
      </c>
      <c r="E7389" t="s">
        <v>74</v>
      </c>
      <c r="F7389">
        <v>2.6322399999999999</v>
      </c>
      <c r="G7389" t="s">
        <v>75</v>
      </c>
      <c r="H7389">
        <v>2632.2440000000001</v>
      </c>
      <c r="I7389" t="s">
        <v>76</v>
      </c>
      <c r="J7389" t="s">
        <v>77</v>
      </c>
    </row>
    <row r="7390" spans="1:11" x14ac:dyDescent="0.3">
      <c r="A7390" t="s">
        <v>83</v>
      </c>
      <c r="B7390">
        <v>1000</v>
      </c>
      <c r="C7390" t="s">
        <v>81</v>
      </c>
      <c r="D7390">
        <v>5.7852199999999998E-3</v>
      </c>
      <c r="E7390" t="s">
        <v>74</v>
      </c>
      <c r="F7390">
        <v>5.7852199999999998</v>
      </c>
      <c r="G7390" t="s">
        <v>75</v>
      </c>
      <c r="H7390">
        <v>5785.2240000000002</v>
      </c>
      <c r="I7390" t="s">
        <v>76</v>
      </c>
      <c r="J7390" t="s">
        <v>82</v>
      </c>
      <c r="K7390">
        <v>172.85415510000001</v>
      </c>
    </row>
    <row r="7391" spans="1:11" x14ac:dyDescent="0.3">
      <c r="A7391" t="s">
        <v>84</v>
      </c>
      <c r="B7391">
        <v>1001</v>
      </c>
      <c r="C7391" t="s">
        <v>79</v>
      </c>
      <c r="D7391">
        <v>3.1531599999999999E-3</v>
      </c>
      <c r="E7391" t="s">
        <v>74</v>
      </c>
      <c r="F7391">
        <v>3.1531600000000002</v>
      </c>
      <c r="G7391" t="s">
        <v>75</v>
      </c>
      <c r="H7391">
        <v>3153.1559999999999</v>
      </c>
      <c r="I7391" t="s">
        <v>76</v>
      </c>
      <c r="J7391" t="s">
        <v>77</v>
      </c>
    </row>
    <row r="7392" spans="1:11" x14ac:dyDescent="0.3">
      <c r="A7392" t="s">
        <v>84</v>
      </c>
      <c r="B7392">
        <v>1001</v>
      </c>
      <c r="C7392" t="s">
        <v>94</v>
      </c>
      <c r="D7392">
        <v>2.49906E-3</v>
      </c>
      <c r="E7392" t="s">
        <v>74</v>
      </c>
      <c r="F7392">
        <v>2.4990600000000001</v>
      </c>
      <c r="G7392" t="s">
        <v>75</v>
      </c>
      <c r="H7392">
        <v>2499.0619999999999</v>
      </c>
      <c r="I7392" t="s">
        <v>76</v>
      </c>
      <c r="J7392" t="s">
        <v>77</v>
      </c>
    </row>
    <row r="7393" spans="1:11" x14ac:dyDescent="0.3">
      <c r="A7393" t="s">
        <v>84</v>
      </c>
      <c r="B7393">
        <v>1001</v>
      </c>
      <c r="C7393" t="s">
        <v>80</v>
      </c>
      <c r="D7393">
        <v>2.6324E-3</v>
      </c>
      <c r="E7393" t="s">
        <v>74</v>
      </c>
      <c r="F7393">
        <v>2.6324000000000001</v>
      </c>
      <c r="G7393" t="s">
        <v>75</v>
      </c>
      <c r="H7393">
        <v>2632.4029999999998</v>
      </c>
      <c r="I7393" t="s">
        <v>76</v>
      </c>
      <c r="J7393" t="s">
        <v>77</v>
      </c>
    </row>
    <row r="7394" spans="1:11" x14ac:dyDescent="0.3">
      <c r="A7394" t="s">
        <v>84</v>
      </c>
      <c r="B7394">
        <v>1001</v>
      </c>
      <c r="C7394" t="s">
        <v>81</v>
      </c>
      <c r="D7394">
        <v>5.7863999999999997E-3</v>
      </c>
      <c r="E7394" t="s">
        <v>74</v>
      </c>
      <c r="F7394">
        <v>5.7864000000000004</v>
      </c>
      <c r="G7394" t="s">
        <v>75</v>
      </c>
      <c r="H7394">
        <v>5786.402</v>
      </c>
      <c r="I7394" t="s">
        <v>76</v>
      </c>
      <c r="J7394" t="s">
        <v>82</v>
      </c>
      <c r="K7394">
        <v>172.81895700000001</v>
      </c>
    </row>
    <row r="7395" spans="1:11" x14ac:dyDescent="0.3">
      <c r="A7395" t="s">
        <v>85</v>
      </c>
      <c r="B7395">
        <v>1001</v>
      </c>
      <c r="C7395" t="s">
        <v>86</v>
      </c>
      <c r="D7395">
        <v>5.7865299999999998E-3</v>
      </c>
      <c r="E7395" t="s">
        <v>74</v>
      </c>
      <c r="F7395">
        <v>5.78653</v>
      </c>
      <c r="G7395" t="s">
        <v>75</v>
      </c>
      <c r="H7395">
        <v>5786.527</v>
      </c>
      <c r="I7395" t="s">
        <v>76</v>
      </c>
      <c r="J7395" t="s">
        <v>82</v>
      </c>
      <c r="K7395">
        <v>172.81522949999999</v>
      </c>
    </row>
    <row r="7396" spans="1:11" x14ac:dyDescent="0.3">
      <c r="A7396" t="s">
        <v>87</v>
      </c>
    </row>
    <row r="7397" spans="1:11" x14ac:dyDescent="0.3">
      <c r="A7397" t="s">
        <v>112</v>
      </c>
    </row>
    <row r="7398" spans="1:11" x14ac:dyDescent="0.3">
      <c r="A7398" t="s">
        <v>72</v>
      </c>
      <c r="B7398">
        <v>1</v>
      </c>
      <c r="C7398" t="s">
        <v>81</v>
      </c>
      <c r="D7398">
        <v>1.3510400000000001E-2</v>
      </c>
      <c r="E7398" t="s">
        <v>74</v>
      </c>
      <c r="F7398">
        <v>13.510400000000001</v>
      </c>
      <c r="G7398" t="s">
        <v>75</v>
      </c>
      <c r="H7398">
        <v>13510.4</v>
      </c>
      <c r="I7398" t="s">
        <v>76</v>
      </c>
      <c r="J7398" t="s">
        <v>82</v>
      </c>
      <c r="K7398">
        <v>74.017051199999997</v>
      </c>
    </row>
    <row r="7399" spans="1:11" x14ac:dyDescent="0.3">
      <c r="A7399" t="s">
        <v>83</v>
      </c>
      <c r="B7399">
        <v>1000</v>
      </c>
      <c r="C7399" t="s">
        <v>81</v>
      </c>
      <c r="D7399">
        <v>5.8521800000000002E-3</v>
      </c>
      <c r="E7399" t="s">
        <v>74</v>
      </c>
      <c r="F7399">
        <v>5.8521799999999997</v>
      </c>
      <c r="G7399" t="s">
        <v>75</v>
      </c>
      <c r="H7399">
        <v>5852.1809999999996</v>
      </c>
      <c r="I7399" t="s">
        <v>76</v>
      </c>
      <c r="J7399" t="s">
        <v>82</v>
      </c>
      <c r="K7399">
        <v>170.876452</v>
      </c>
    </row>
    <row r="7400" spans="1:11" x14ac:dyDescent="0.3">
      <c r="A7400" t="s">
        <v>85</v>
      </c>
      <c r="B7400">
        <v>1001</v>
      </c>
      <c r="C7400" t="s">
        <v>86</v>
      </c>
      <c r="D7400">
        <v>5.8599999999999998E-3</v>
      </c>
      <c r="E7400" t="s">
        <v>74</v>
      </c>
      <c r="F7400">
        <v>5.86</v>
      </c>
      <c r="G7400" t="s">
        <v>75</v>
      </c>
      <c r="H7400">
        <v>5860.0039999999999</v>
      </c>
      <c r="I7400" t="s">
        <v>76</v>
      </c>
      <c r="J7400" t="s">
        <v>82</v>
      </c>
      <c r="K7400">
        <v>170.64833970000001</v>
      </c>
    </row>
    <row r="7402" spans="1:11" x14ac:dyDescent="0.3">
      <c r="A7402" t="s">
        <v>113</v>
      </c>
    </row>
    <row r="7403" spans="1:11" x14ac:dyDescent="0.3">
      <c r="A7403" t="s">
        <v>72</v>
      </c>
      <c r="B7403">
        <v>1</v>
      </c>
      <c r="C7403" t="s">
        <v>81</v>
      </c>
      <c r="D7403">
        <v>6.9643999999999999E-3</v>
      </c>
      <c r="E7403" t="s">
        <v>74</v>
      </c>
      <c r="F7403">
        <v>6.9644000000000004</v>
      </c>
      <c r="G7403" t="s">
        <v>75</v>
      </c>
      <c r="H7403">
        <v>6964.4</v>
      </c>
      <c r="I7403" t="s">
        <v>76</v>
      </c>
      <c r="J7403" t="s">
        <v>82</v>
      </c>
      <c r="K7403">
        <v>143.58738840000001</v>
      </c>
    </row>
    <row r="7404" spans="1:11" x14ac:dyDescent="0.3">
      <c r="A7404" t="s">
        <v>83</v>
      </c>
      <c r="B7404">
        <v>1000</v>
      </c>
      <c r="C7404" t="s">
        <v>81</v>
      </c>
      <c r="D7404">
        <v>5.7852199999999998E-3</v>
      </c>
      <c r="E7404" t="s">
        <v>74</v>
      </c>
      <c r="F7404">
        <v>5.7852199999999998</v>
      </c>
      <c r="G7404" t="s">
        <v>75</v>
      </c>
      <c r="H7404">
        <v>5785.2240000000002</v>
      </c>
      <c r="I7404" t="s">
        <v>76</v>
      </c>
      <c r="J7404" t="s">
        <v>82</v>
      </c>
      <c r="K7404">
        <v>172.85415510000001</v>
      </c>
    </row>
    <row r="7405" spans="1:11" x14ac:dyDescent="0.3">
      <c r="A7405" t="s">
        <v>85</v>
      </c>
      <c r="B7405">
        <v>1001</v>
      </c>
      <c r="C7405" t="s">
        <v>86</v>
      </c>
      <c r="D7405">
        <v>5.7865299999999998E-3</v>
      </c>
      <c r="E7405" t="s">
        <v>74</v>
      </c>
      <c r="F7405">
        <v>5.78653</v>
      </c>
      <c r="G7405" t="s">
        <v>75</v>
      </c>
      <c r="H7405">
        <v>5786.527</v>
      </c>
      <c r="I7405" t="s">
        <v>76</v>
      </c>
      <c r="J7405" t="s">
        <v>82</v>
      </c>
      <c r="K7405">
        <v>172.81522949999999</v>
      </c>
    </row>
    <row r="7407" spans="1:11" x14ac:dyDescent="0.3">
      <c r="A7407" t="s">
        <v>66</v>
      </c>
    </row>
    <row r="7409" spans="1:1" x14ac:dyDescent="0.3">
      <c r="A7409" t="s">
        <v>383</v>
      </c>
    </row>
    <row r="7410" spans="1:1" x14ac:dyDescent="0.3">
      <c r="A7410" t="s">
        <v>68</v>
      </c>
    </row>
    <row r="7411" spans="1:1" x14ac:dyDescent="0.3">
      <c r="A7411" t="s">
        <v>69</v>
      </c>
    </row>
    <row r="7412" spans="1:1" x14ac:dyDescent="0.3">
      <c r="A7412" t="s">
        <v>70</v>
      </c>
    </row>
    <row r="7413" spans="1:1" x14ac:dyDescent="0.3">
      <c r="A7413" t="s">
        <v>115</v>
      </c>
    </row>
    <row r="7414" spans="1:1" x14ac:dyDescent="0.3">
      <c r="A7414" t="s">
        <v>384</v>
      </c>
    </row>
    <row r="7415" spans="1:1" x14ac:dyDescent="0.3">
      <c r="A7415" t="s">
        <v>385</v>
      </c>
    </row>
    <row r="7416" spans="1:1" x14ac:dyDescent="0.3">
      <c r="A7416" t="s">
        <v>118</v>
      </c>
    </row>
    <row r="7417" spans="1:1" x14ac:dyDescent="0.3">
      <c r="A7417" t="s">
        <v>119</v>
      </c>
    </row>
    <row r="7418" spans="1:1" x14ac:dyDescent="0.3">
      <c r="A7418" t="s">
        <v>268</v>
      </c>
    </row>
    <row r="7419" spans="1:1" x14ac:dyDescent="0.3">
      <c r="A7419" t="s">
        <v>269</v>
      </c>
    </row>
    <row r="7420" spans="1:1" x14ac:dyDescent="0.3">
      <c r="A7420" t="s">
        <v>386</v>
      </c>
    </row>
    <row r="7421" spans="1:1" x14ac:dyDescent="0.3">
      <c r="A7421" t="s">
        <v>387</v>
      </c>
    </row>
    <row r="7422" spans="1:1" x14ac:dyDescent="0.3">
      <c r="A7422" t="s">
        <v>271</v>
      </c>
    </row>
    <row r="7423" spans="1:1" x14ac:dyDescent="0.3">
      <c r="A7423" t="s">
        <v>125</v>
      </c>
    </row>
    <row r="7424" spans="1:1" x14ac:dyDescent="0.3">
      <c r="A7424" t="s">
        <v>126</v>
      </c>
    </row>
    <row r="7425" spans="1:11" x14ac:dyDescent="0.3">
      <c r="A7425" t="s">
        <v>127</v>
      </c>
    </row>
    <row r="7426" spans="1:11" x14ac:dyDescent="0.3">
      <c r="A7426" t="s">
        <v>128</v>
      </c>
    </row>
    <row r="7427" spans="1:11" x14ac:dyDescent="0.3">
      <c r="A7427" t="s">
        <v>388</v>
      </c>
    </row>
    <row r="7428" spans="1:11" x14ac:dyDescent="0.3">
      <c r="A7428" t="s">
        <v>72</v>
      </c>
      <c r="B7428">
        <v>1</v>
      </c>
      <c r="C7428" t="s">
        <v>73</v>
      </c>
      <c r="D7428">
        <v>4.5000000000000001E-6</v>
      </c>
      <c r="E7428" t="s">
        <v>74</v>
      </c>
      <c r="F7428">
        <v>4.4999999999999997E-3</v>
      </c>
      <c r="G7428" t="s">
        <v>75</v>
      </c>
      <c r="H7428">
        <v>4.5</v>
      </c>
      <c r="I7428" t="s">
        <v>76</v>
      </c>
      <c r="J7428" t="s">
        <v>77</v>
      </c>
    </row>
    <row r="7429" spans="1:11" x14ac:dyDescent="0.3">
      <c r="A7429" t="s">
        <v>72</v>
      </c>
      <c r="B7429">
        <v>1</v>
      </c>
      <c r="C7429" t="s">
        <v>78</v>
      </c>
      <c r="D7429">
        <v>0.1135125</v>
      </c>
      <c r="E7429" t="s">
        <v>74</v>
      </c>
      <c r="F7429">
        <v>113.5125</v>
      </c>
      <c r="G7429" t="s">
        <v>75</v>
      </c>
      <c r="H7429">
        <v>113512.501</v>
      </c>
      <c r="I7429" t="s">
        <v>76</v>
      </c>
      <c r="J7429" t="s">
        <v>77</v>
      </c>
    </row>
    <row r="7430" spans="1:11" x14ac:dyDescent="0.3">
      <c r="A7430" t="s">
        <v>72</v>
      </c>
      <c r="B7430">
        <v>1</v>
      </c>
      <c r="C7430" t="s">
        <v>91</v>
      </c>
      <c r="D7430">
        <v>0.1063598</v>
      </c>
      <c r="E7430" t="s">
        <v>74</v>
      </c>
      <c r="F7430">
        <v>106.35980000000001</v>
      </c>
      <c r="G7430" t="s">
        <v>75</v>
      </c>
      <c r="H7430">
        <v>106359.802</v>
      </c>
      <c r="I7430" t="s">
        <v>76</v>
      </c>
      <c r="J7430" t="s">
        <v>77</v>
      </c>
    </row>
    <row r="7431" spans="1:11" x14ac:dyDescent="0.3">
      <c r="A7431" t="s">
        <v>72</v>
      </c>
      <c r="B7431">
        <v>1</v>
      </c>
      <c r="C7431" t="s">
        <v>92</v>
      </c>
      <c r="D7431">
        <v>5.955E-4</v>
      </c>
      <c r="E7431" t="s">
        <v>74</v>
      </c>
      <c r="F7431">
        <v>0.59550000000000003</v>
      </c>
      <c r="G7431" t="s">
        <v>75</v>
      </c>
      <c r="H7431">
        <v>595.5</v>
      </c>
      <c r="I7431" t="s">
        <v>76</v>
      </c>
      <c r="J7431" t="s">
        <v>77</v>
      </c>
    </row>
    <row r="7432" spans="1:11" x14ac:dyDescent="0.3">
      <c r="A7432" t="s">
        <v>72</v>
      </c>
      <c r="B7432">
        <v>1</v>
      </c>
      <c r="C7432" t="s">
        <v>93</v>
      </c>
      <c r="D7432">
        <v>8.0207200000000006E-2</v>
      </c>
      <c r="E7432" t="s">
        <v>74</v>
      </c>
      <c r="F7432">
        <v>80.2072</v>
      </c>
      <c r="G7432" t="s">
        <v>75</v>
      </c>
      <c r="H7432">
        <v>80207.198999999993</v>
      </c>
      <c r="I7432" t="s">
        <v>76</v>
      </c>
      <c r="J7432" t="s">
        <v>77</v>
      </c>
    </row>
    <row r="7433" spans="1:11" x14ac:dyDescent="0.3">
      <c r="A7433" t="s">
        <v>72</v>
      </c>
      <c r="B7433">
        <v>1</v>
      </c>
      <c r="C7433" t="s">
        <v>79</v>
      </c>
      <c r="D7433">
        <v>0.187163</v>
      </c>
      <c r="E7433" t="s">
        <v>74</v>
      </c>
      <c r="F7433">
        <v>187.16300000000001</v>
      </c>
      <c r="G7433" t="s">
        <v>75</v>
      </c>
      <c r="H7433">
        <v>187162.995</v>
      </c>
      <c r="I7433" t="s">
        <v>76</v>
      </c>
      <c r="J7433" t="s">
        <v>77</v>
      </c>
    </row>
    <row r="7434" spans="1:11" x14ac:dyDescent="0.3">
      <c r="A7434" t="s">
        <v>72</v>
      </c>
      <c r="B7434">
        <v>1</v>
      </c>
      <c r="C7434" t="s">
        <v>94</v>
      </c>
      <c r="D7434">
        <v>9.5695999999999993E-3</v>
      </c>
      <c r="E7434" t="s">
        <v>74</v>
      </c>
      <c r="F7434">
        <v>9.5695999999999994</v>
      </c>
      <c r="G7434" t="s">
        <v>75</v>
      </c>
      <c r="H7434">
        <v>9569.6</v>
      </c>
      <c r="I7434" t="s">
        <v>76</v>
      </c>
      <c r="J7434" t="s">
        <v>77</v>
      </c>
    </row>
    <row r="7435" spans="1:11" x14ac:dyDescent="0.3">
      <c r="A7435" t="s">
        <v>72</v>
      </c>
      <c r="B7435">
        <v>1</v>
      </c>
      <c r="C7435" t="s">
        <v>80</v>
      </c>
      <c r="D7435">
        <v>9.5701999999999992E-3</v>
      </c>
      <c r="E7435" t="s">
        <v>74</v>
      </c>
      <c r="F7435">
        <v>9.5701999999999998</v>
      </c>
      <c r="G7435" t="s">
        <v>75</v>
      </c>
      <c r="H7435">
        <v>9570.2000000000007</v>
      </c>
      <c r="I7435" t="s">
        <v>76</v>
      </c>
      <c r="J7435" t="s">
        <v>77</v>
      </c>
    </row>
    <row r="7436" spans="1:11" x14ac:dyDescent="0.3">
      <c r="A7436" t="s">
        <v>72</v>
      </c>
      <c r="B7436">
        <v>1</v>
      </c>
      <c r="C7436" t="s">
        <v>81</v>
      </c>
      <c r="D7436">
        <v>0.1967351</v>
      </c>
      <c r="E7436" t="s">
        <v>74</v>
      </c>
      <c r="F7436">
        <v>196.73509999999999</v>
      </c>
      <c r="G7436" t="s">
        <v>75</v>
      </c>
      <c r="H7436">
        <v>196735.09899999999</v>
      </c>
      <c r="I7436" t="s">
        <v>76</v>
      </c>
      <c r="J7436" t="s">
        <v>82</v>
      </c>
      <c r="K7436">
        <v>5.0829770999999999</v>
      </c>
    </row>
    <row r="7437" spans="1:11" x14ac:dyDescent="0.3">
      <c r="A7437" t="s">
        <v>83</v>
      </c>
      <c r="B7437">
        <v>1000</v>
      </c>
      <c r="C7437" t="s">
        <v>91</v>
      </c>
      <c r="D7437">
        <v>7.4315000000000004E-4</v>
      </c>
      <c r="E7437" t="s">
        <v>74</v>
      </c>
      <c r="F7437">
        <v>0.74314999999999998</v>
      </c>
      <c r="G7437" t="s">
        <v>75</v>
      </c>
      <c r="H7437">
        <v>743.15099999999995</v>
      </c>
      <c r="I7437" t="s">
        <v>76</v>
      </c>
      <c r="J7437" t="s">
        <v>77</v>
      </c>
    </row>
    <row r="7438" spans="1:11" x14ac:dyDescent="0.3">
      <c r="A7438" t="s">
        <v>83</v>
      </c>
      <c r="B7438">
        <v>1000</v>
      </c>
      <c r="C7438" t="s">
        <v>92</v>
      </c>
      <c r="D7438">
        <v>4.8282000000000002E-4</v>
      </c>
      <c r="E7438" t="s">
        <v>74</v>
      </c>
      <c r="F7438">
        <v>0.48282000000000003</v>
      </c>
      <c r="G7438" t="s">
        <v>75</v>
      </c>
      <c r="H7438">
        <v>482.81900000000002</v>
      </c>
      <c r="I7438" t="s">
        <v>76</v>
      </c>
      <c r="J7438" t="s">
        <v>77</v>
      </c>
    </row>
    <row r="7439" spans="1:11" x14ac:dyDescent="0.3">
      <c r="A7439" t="s">
        <v>83</v>
      </c>
      <c r="B7439">
        <v>1000</v>
      </c>
      <c r="C7439" t="s">
        <v>93</v>
      </c>
      <c r="D7439">
        <v>3.8535000000000002E-4</v>
      </c>
      <c r="E7439" t="s">
        <v>74</v>
      </c>
      <c r="F7439">
        <v>0.38535000000000003</v>
      </c>
      <c r="G7439" t="s">
        <v>75</v>
      </c>
      <c r="H7439">
        <v>385.34699999999998</v>
      </c>
      <c r="I7439" t="s">
        <v>76</v>
      </c>
      <c r="J7439" t="s">
        <v>77</v>
      </c>
    </row>
    <row r="7440" spans="1:11" x14ac:dyDescent="0.3">
      <c r="A7440" t="s">
        <v>83</v>
      </c>
      <c r="B7440">
        <v>1000</v>
      </c>
      <c r="C7440" t="s">
        <v>79</v>
      </c>
      <c r="D7440">
        <v>1.61192E-3</v>
      </c>
      <c r="E7440" t="s">
        <v>74</v>
      </c>
      <c r="F7440">
        <v>1.61192</v>
      </c>
      <c r="G7440" t="s">
        <v>75</v>
      </c>
      <c r="H7440">
        <v>1611.9179999999999</v>
      </c>
      <c r="I7440" t="s">
        <v>76</v>
      </c>
      <c r="J7440" t="s">
        <v>77</v>
      </c>
    </row>
    <row r="7441" spans="1:11" x14ac:dyDescent="0.3">
      <c r="A7441" t="s">
        <v>83</v>
      </c>
      <c r="B7441">
        <v>1000</v>
      </c>
      <c r="C7441" t="s">
        <v>94</v>
      </c>
      <c r="D7441">
        <v>2.7159200000000001E-3</v>
      </c>
      <c r="E7441" t="s">
        <v>74</v>
      </c>
      <c r="F7441">
        <v>2.7159200000000001</v>
      </c>
      <c r="G7441" t="s">
        <v>75</v>
      </c>
      <c r="H7441">
        <v>2715.9180000000001</v>
      </c>
      <c r="I7441" t="s">
        <v>76</v>
      </c>
      <c r="J7441" t="s">
        <v>77</v>
      </c>
    </row>
    <row r="7442" spans="1:11" x14ac:dyDescent="0.3">
      <c r="A7442" t="s">
        <v>83</v>
      </c>
      <c r="B7442">
        <v>1000</v>
      </c>
      <c r="C7442" t="s">
        <v>80</v>
      </c>
      <c r="D7442">
        <v>2.8996600000000001E-3</v>
      </c>
      <c r="E7442" t="s">
        <v>74</v>
      </c>
      <c r="F7442">
        <v>2.8996599999999999</v>
      </c>
      <c r="G7442" t="s">
        <v>75</v>
      </c>
      <c r="H7442">
        <v>2899.6610000000001</v>
      </c>
      <c r="I7442" t="s">
        <v>76</v>
      </c>
      <c r="J7442" t="s">
        <v>77</v>
      </c>
    </row>
    <row r="7443" spans="1:11" x14ac:dyDescent="0.3">
      <c r="A7443" t="s">
        <v>83</v>
      </c>
      <c r="B7443">
        <v>1000</v>
      </c>
      <c r="C7443" t="s">
        <v>81</v>
      </c>
      <c r="D7443">
        <v>4.5131399999999997E-3</v>
      </c>
      <c r="E7443" t="s">
        <v>74</v>
      </c>
      <c r="F7443">
        <v>4.5131399999999999</v>
      </c>
      <c r="G7443" t="s">
        <v>75</v>
      </c>
      <c r="H7443">
        <v>4513.1369999999997</v>
      </c>
      <c r="I7443" t="s">
        <v>76</v>
      </c>
      <c r="J7443" t="s">
        <v>82</v>
      </c>
      <c r="K7443">
        <v>221.5753531</v>
      </c>
    </row>
    <row r="7444" spans="1:11" x14ac:dyDescent="0.3">
      <c r="A7444" t="s">
        <v>84</v>
      </c>
      <c r="B7444">
        <v>1001</v>
      </c>
      <c r="C7444" t="s">
        <v>91</v>
      </c>
      <c r="D7444">
        <v>8.4866E-4</v>
      </c>
      <c r="E7444" t="s">
        <v>74</v>
      </c>
      <c r="F7444">
        <v>0.84865999999999997</v>
      </c>
      <c r="G7444" t="s">
        <v>75</v>
      </c>
      <c r="H7444">
        <v>848.66200000000003</v>
      </c>
      <c r="I7444" t="s">
        <v>76</v>
      </c>
      <c r="J7444" t="s">
        <v>77</v>
      </c>
    </row>
    <row r="7445" spans="1:11" x14ac:dyDescent="0.3">
      <c r="A7445" t="s">
        <v>84</v>
      </c>
      <c r="B7445">
        <v>1001</v>
      </c>
      <c r="C7445" t="s">
        <v>92</v>
      </c>
      <c r="D7445">
        <v>4.8293000000000001E-4</v>
      </c>
      <c r="E7445" t="s">
        <v>74</v>
      </c>
      <c r="F7445">
        <v>0.48293000000000003</v>
      </c>
      <c r="G7445" t="s">
        <v>75</v>
      </c>
      <c r="H7445">
        <v>482.93200000000002</v>
      </c>
      <c r="I7445" t="s">
        <v>76</v>
      </c>
      <c r="J7445" t="s">
        <v>77</v>
      </c>
    </row>
    <row r="7446" spans="1:11" x14ac:dyDescent="0.3">
      <c r="A7446" t="s">
        <v>84</v>
      </c>
      <c r="B7446">
        <v>1001</v>
      </c>
      <c r="C7446" t="s">
        <v>93</v>
      </c>
      <c r="D7446">
        <v>4.6508999999999998E-4</v>
      </c>
      <c r="E7446" t="s">
        <v>74</v>
      </c>
      <c r="F7446">
        <v>0.46509</v>
      </c>
      <c r="G7446" t="s">
        <v>75</v>
      </c>
      <c r="H7446">
        <v>465.089</v>
      </c>
      <c r="I7446" t="s">
        <v>76</v>
      </c>
      <c r="J7446" t="s">
        <v>77</v>
      </c>
    </row>
    <row r="7447" spans="1:11" x14ac:dyDescent="0.3">
      <c r="A7447" t="s">
        <v>84</v>
      </c>
      <c r="B7447">
        <v>1001</v>
      </c>
      <c r="C7447" t="s">
        <v>79</v>
      </c>
      <c r="D7447">
        <v>1.7972800000000001E-3</v>
      </c>
      <c r="E7447" t="s">
        <v>74</v>
      </c>
      <c r="F7447">
        <v>1.79728</v>
      </c>
      <c r="G7447" t="s">
        <v>75</v>
      </c>
      <c r="H7447">
        <v>1797.2850000000001</v>
      </c>
      <c r="I7447" t="s">
        <v>76</v>
      </c>
      <c r="J7447" t="s">
        <v>77</v>
      </c>
    </row>
    <row r="7448" spans="1:11" x14ac:dyDescent="0.3">
      <c r="A7448" t="s">
        <v>84</v>
      </c>
      <c r="B7448">
        <v>1001</v>
      </c>
      <c r="C7448" t="s">
        <v>94</v>
      </c>
      <c r="D7448">
        <v>2.7227599999999999E-3</v>
      </c>
      <c r="E7448" t="s">
        <v>74</v>
      </c>
      <c r="F7448">
        <v>2.7227600000000001</v>
      </c>
      <c r="G7448" t="s">
        <v>75</v>
      </c>
      <c r="H7448">
        <v>2722.7640000000001</v>
      </c>
      <c r="I7448" t="s">
        <v>76</v>
      </c>
      <c r="J7448" t="s">
        <v>77</v>
      </c>
    </row>
    <row r="7449" spans="1:11" x14ac:dyDescent="0.3">
      <c r="A7449" t="s">
        <v>84</v>
      </c>
      <c r="B7449">
        <v>1001</v>
      </c>
      <c r="C7449" t="s">
        <v>80</v>
      </c>
      <c r="D7449">
        <v>2.90632E-3</v>
      </c>
      <c r="E7449" t="s">
        <v>74</v>
      </c>
      <c r="F7449">
        <v>2.90632</v>
      </c>
      <c r="G7449" t="s">
        <v>75</v>
      </c>
      <c r="H7449">
        <v>2906.3249999999998</v>
      </c>
      <c r="I7449" t="s">
        <v>76</v>
      </c>
      <c r="J7449" t="s">
        <v>77</v>
      </c>
    </row>
    <row r="7450" spans="1:11" x14ac:dyDescent="0.3">
      <c r="A7450" t="s">
        <v>84</v>
      </c>
      <c r="B7450">
        <v>1001</v>
      </c>
      <c r="C7450" t="s">
        <v>81</v>
      </c>
      <c r="D7450">
        <v>4.7051699999999998E-3</v>
      </c>
      <c r="E7450" t="s">
        <v>74</v>
      </c>
      <c r="F7450">
        <v>4.7051699999999999</v>
      </c>
      <c r="G7450" t="s">
        <v>75</v>
      </c>
      <c r="H7450">
        <v>4705.1670000000004</v>
      </c>
      <c r="I7450" t="s">
        <v>76</v>
      </c>
      <c r="J7450" t="s">
        <v>82</v>
      </c>
      <c r="K7450">
        <v>212.53230400000001</v>
      </c>
    </row>
    <row r="7451" spans="1:11" x14ac:dyDescent="0.3">
      <c r="A7451" t="s">
        <v>85</v>
      </c>
      <c r="B7451">
        <v>1001</v>
      </c>
      <c r="C7451" t="s">
        <v>86</v>
      </c>
      <c r="D7451">
        <v>4.7055400000000002E-3</v>
      </c>
      <c r="E7451" t="s">
        <v>74</v>
      </c>
      <c r="F7451">
        <v>4.7055400000000001</v>
      </c>
      <c r="G7451" t="s">
        <v>75</v>
      </c>
      <c r="H7451">
        <v>4705.54</v>
      </c>
      <c r="I7451" t="s">
        <v>76</v>
      </c>
      <c r="J7451" t="s">
        <v>82</v>
      </c>
      <c r="K7451">
        <v>212.5154574</v>
      </c>
    </row>
    <row r="7452" spans="1:11" x14ac:dyDescent="0.3">
      <c r="A7452" t="s">
        <v>115</v>
      </c>
    </row>
    <row r="7453" spans="1:11" x14ac:dyDescent="0.3">
      <c r="A7453" t="s">
        <v>127</v>
      </c>
    </row>
    <row r="7454" spans="1:11" x14ac:dyDescent="0.3">
      <c r="A7454" t="s">
        <v>87</v>
      </c>
    </row>
    <row r="7455" spans="1:11" x14ac:dyDescent="0.3">
      <c r="A7455" t="s">
        <v>389</v>
      </c>
    </row>
    <row r="7456" spans="1:11" x14ac:dyDescent="0.3">
      <c r="A7456" t="s">
        <v>72</v>
      </c>
      <c r="B7456">
        <v>1</v>
      </c>
      <c r="C7456" t="s">
        <v>81</v>
      </c>
      <c r="D7456">
        <v>0.1967351</v>
      </c>
      <c r="E7456" t="s">
        <v>74</v>
      </c>
      <c r="F7456">
        <v>196.73509999999999</v>
      </c>
      <c r="G7456" t="s">
        <v>75</v>
      </c>
      <c r="H7456">
        <v>196735.09899999999</v>
      </c>
      <c r="I7456" t="s">
        <v>76</v>
      </c>
      <c r="J7456" t="s">
        <v>82</v>
      </c>
      <c r="K7456">
        <v>5.0829770999999999</v>
      </c>
    </row>
    <row r="7457" spans="1:11" x14ac:dyDescent="0.3">
      <c r="A7457" t="s">
        <v>83</v>
      </c>
      <c r="B7457">
        <v>1000</v>
      </c>
      <c r="C7457" t="s">
        <v>81</v>
      </c>
      <c r="D7457">
        <v>4.5131399999999997E-3</v>
      </c>
      <c r="E7457" t="s">
        <v>74</v>
      </c>
      <c r="F7457">
        <v>4.5131399999999999</v>
      </c>
      <c r="G7457" t="s">
        <v>75</v>
      </c>
      <c r="H7457">
        <v>4513.1369999999997</v>
      </c>
      <c r="I7457" t="s">
        <v>76</v>
      </c>
      <c r="J7457" t="s">
        <v>82</v>
      </c>
      <c r="K7457">
        <v>221.5753531</v>
      </c>
    </row>
    <row r="7458" spans="1:11" x14ac:dyDescent="0.3">
      <c r="A7458" t="s">
        <v>85</v>
      </c>
      <c r="B7458">
        <v>1001</v>
      </c>
      <c r="C7458" t="s">
        <v>86</v>
      </c>
      <c r="D7458">
        <v>4.7055400000000002E-3</v>
      </c>
      <c r="E7458" t="s">
        <v>74</v>
      </c>
      <c r="F7458">
        <v>4.7055400000000001</v>
      </c>
      <c r="G7458" t="s">
        <v>75</v>
      </c>
      <c r="H7458">
        <v>4705.54</v>
      </c>
      <c r="I7458" t="s">
        <v>76</v>
      </c>
      <c r="J7458" t="s">
        <v>82</v>
      </c>
      <c r="K7458">
        <v>212.5154574</v>
      </c>
    </row>
    <row r="7460" spans="1:11" x14ac:dyDescent="0.3">
      <c r="A7460" t="s">
        <v>66</v>
      </c>
    </row>
    <row r="7462" spans="1:11" x14ac:dyDescent="0.3">
      <c r="A7462" t="s">
        <v>390</v>
      </c>
    </row>
    <row r="7463" spans="1:11" x14ac:dyDescent="0.3">
      <c r="A7463" t="s">
        <v>68</v>
      </c>
    </row>
    <row r="7464" spans="1:11" x14ac:dyDescent="0.3">
      <c r="A7464" t="s">
        <v>69</v>
      </c>
    </row>
    <row r="7465" spans="1:11" x14ac:dyDescent="0.3">
      <c r="A7465" t="s">
        <v>70</v>
      </c>
    </row>
    <row r="7466" spans="1:11" x14ac:dyDescent="0.3">
      <c r="A7466" t="s">
        <v>115</v>
      </c>
    </row>
    <row r="7467" spans="1:11" x14ac:dyDescent="0.3">
      <c r="A7467" t="s">
        <v>384</v>
      </c>
    </row>
    <row r="7468" spans="1:11" x14ac:dyDescent="0.3">
      <c r="A7468" t="s">
        <v>385</v>
      </c>
    </row>
    <row r="7469" spans="1:11" x14ac:dyDescent="0.3">
      <c r="A7469" t="s">
        <v>118</v>
      </c>
    </row>
    <row r="7470" spans="1:11" x14ac:dyDescent="0.3">
      <c r="A7470" t="s">
        <v>119</v>
      </c>
    </row>
    <row r="7471" spans="1:11" x14ac:dyDescent="0.3">
      <c r="A7471" t="s">
        <v>268</v>
      </c>
    </row>
    <row r="7472" spans="1:11" x14ac:dyDescent="0.3">
      <c r="A7472" t="s">
        <v>269</v>
      </c>
    </row>
    <row r="7473" spans="1:11" x14ac:dyDescent="0.3">
      <c r="A7473" t="s">
        <v>386</v>
      </c>
    </row>
    <row r="7474" spans="1:11" x14ac:dyDescent="0.3">
      <c r="A7474" t="s">
        <v>387</v>
      </c>
    </row>
    <row r="7475" spans="1:11" x14ac:dyDescent="0.3">
      <c r="A7475" t="s">
        <v>271</v>
      </c>
    </row>
    <row r="7476" spans="1:11" x14ac:dyDescent="0.3">
      <c r="A7476" t="s">
        <v>125</v>
      </c>
    </row>
    <row r="7477" spans="1:11" x14ac:dyDescent="0.3">
      <c r="A7477" t="s">
        <v>126</v>
      </c>
    </row>
    <row r="7478" spans="1:11" x14ac:dyDescent="0.3">
      <c r="A7478" t="s">
        <v>127</v>
      </c>
    </row>
    <row r="7479" spans="1:11" x14ac:dyDescent="0.3">
      <c r="A7479" t="s">
        <v>132</v>
      </c>
    </row>
    <row r="7480" spans="1:11" x14ac:dyDescent="0.3">
      <c r="A7480" t="s">
        <v>391</v>
      </c>
    </row>
    <row r="7481" spans="1:11" x14ac:dyDescent="0.3">
      <c r="A7481" t="s">
        <v>72</v>
      </c>
      <c r="B7481">
        <v>1</v>
      </c>
      <c r="C7481" t="s">
        <v>73</v>
      </c>
      <c r="D7481">
        <v>3.9999999999999998E-6</v>
      </c>
      <c r="E7481" t="s">
        <v>74</v>
      </c>
      <c r="F7481">
        <v>4.0000000000000001E-3</v>
      </c>
      <c r="G7481" t="s">
        <v>75</v>
      </c>
      <c r="H7481">
        <v>4</v>
      </c>
      <c r="I7481" t="s">
        <v>76</v>
      </c>
      <c r="J7481" t="s">
        <v>77</v>
      </c>
    </row>
    <row r="7482" spans="1:11" x14ac:dyDescent="0.3">
      <c r="A7482" t="s">
        <v>72</v>
      </c>
      <c r="B7482">
        <v>1</v>
      </c>
      <c r="C7482" t="s">
        <v>78</v>
      </c>
      <c r="D7482">
        <v>0.12220830000000001</v>
      </c>
      <c r="E7482" t="s">
        <v>74</v>
      </c>
      <c r="F7482">
        <v>122.20829999999999</v>
      </c>
      <c r="G7482" t="s">
        <v>75</v>
      </c>
      <c r="H7482">
        <v>122208.29700000001</v>
      </c>
      <c r="I7482" t="s">
        <v>76</v>
      </c>
      <c r="J7482" t="s">
        <v>77</v>
      </c>
    </row>
    <row r="7483" spans="1:11" x14ac:dyDescent="0.3">
      <c r="A7483" t="s">
        <v>72</v>
      </c>
      <c r="B7483">
        <v>1</v>
      </c>
      <c r="C7483" t="s">
        <v>79</v>
      </c>
      <c r="D7483">
        <v>0.1159472</v>
      </c>
      <c r="E7483" t="s">
        <v>74</v>
      </c>
      <c r="F7483">
        <v>115.9472</v>
      </c>
      <c r="G7483" t="s">
        <v>75</v>
      </c>
      <c r="H7483">
        <v>115947.202</v>
      </c>
      <c r="I7483" t="s">
        <v>76</v>
      </c>
      <c r="J7483" t="s">
        <v>77</v>
      </c>
    </row>
    <row r="7484" spans="1:11" x14ac:dyDescent="0.3">
      <c r="A7484" t="s">
        <v>72</v>
      </c>
      <c r="B7484">
        <v>1</v>
      </c>
      <c r="C7484" t="s">
        <v>94</v>
      </c>
      <c r="D7484">
        <v>9.6816000000000003E-3</v>
      </c>
      <c r="E7484" t="s">
        <v>74</v>
      </c>
      <c r="F7484">
        <v>9.6815999999999995</v>
      </c>
      <c r="G7484" t="s">
        <v>75</v>
      </c>
      <c r="H7484">
        <v>9681.6</v>
      </c>
      <c r="I7484" t="s">
        <v>76</v>
      </c>
      <c r="J7484" t="s">
        <v>77</v>
      </c>
    </row>
    <row r="7485" spans="1:11" x14ac:dyDescent="0.3">
      <c r="A7485" t="s">
        <v>72</v>
      </c>
      <c r="B7485">
        <v>1</v>
      </c>
      <c r="C7485" t="s">
        <v>80</v>
      </c>
      <c r="D7485">
        <v>9.6822000000000002E-3</v>
      </c>
      <c r="E7485" t="s">
        <v>74</v>
      </c>
      <c r="F7485">
        <v>9.6821999999999999</v>
      </c>
      <c r="G7485" t="s">
        <v>75</v>
      </c>
      <c r="H7485">
        <v>9682.2000000000007</v>
      </c>
      <c r="I7485" t="s">
        <v>76</v>
      </c>
      <c r="J7485" t="s">
        <v>77</v>
      </c>
    </row>
    <row r="7486" spans="1:11" x14ac:dyDescent="0.3">
      <c r="A7486" t="s">
        <v>72</v>
      </c>
      <c r="B7486">
        <v>1</v>
      </c>
      <c r="C7486" t="s">
        <v>81</v>
      </c>
      <c r="D7486">
        <v>0.12563178999999999</v>
      </c>
      <c r="E7486" t="s">
        <v>74</v>
      </c>
      <c r="F7486">
        <v>125.63179</v>
      </c>
      <c r="G7486" t="s">
        <v>75</v>
      </c>
      <c r="H7486">
        <v>125631.79399999999</v>
      </c>
      <c r="I7486" t="s">
        <v>76</v>
      </c>
      <c r="J7486" t="s">
        <v>82</v>
      </c>
      <c r="K7486">
        <v>7.9597685</v>
      </c>
    </row>
    <row r="7487" spans="1:11" x14ac:dyDescent="0.3">
      <c r="A7487" t="s">
        <v>83</v>
      </c>
      <c r="B7487">
        <v>1000</v>
      </c>
      <c r="C7487" t="s">
        <v>79</v>
      </c>
      <c r="D7487">
        <v>7.1482000000000002E-4</v>
      </c>
      <c r="E7487" t="s">
        <v>74</v>
      </c>
      <c r="F7487">
        <v>0.71482000000000001</v>
      </c>
      <c r="G7487" t="s">
        <v>75</v>
      </c>
      <c r="H7487">
        <v>714.822</v>
      </c>
      <c r="I7487" t="s">
        <v>76</v>
      </c>
      <c r="J7487" t="s">
        <v>77</v>
      </c>
    </row>
    <row r="7488" spans="1:11" x14ac:dyDescent="0.3">
      <c r="A7488" t="s">
        <v>83</v>
      </c>
      <c r="B7488">
        <v>1000</v>
      </c>
      <c r="C7488" t="s">
        <v>94</v>
      </c>
      <c r="D7488">
        <v>2.5346600000000002E-3</v>
      </c>
      <c r="E7488" t="s">
        <v>74</v>
      </c>
      <c r="F7488">
        <v>2.5346600000000001</v>
      </c>
      <c r="G7488" t="s">
        <v>75</v>
      </c>
      <c r="H7488">
        <v>2534.6559999999999</v>
      </c>
      <c r="I7488" t="s">
        <v>76</v>
      </c>
      <c r="J7488" t="s">
        <v>77</v>
      </c>
    </row>
    <row r="7489" spans="1:11" x14ac:dyDescent="0.3">
      <c r="A7489" t="s">
        <v>83</v>
      </c>
      <c r="B7489">
        <v>1000</v>
      </c>
      <c r="C7489" t="s">
        <v>80</v>
      </c>
      <c r="D7489">
        <v>2.65461E-3</v>
      </c>
      <c r="E7489" t="s">
        <v>74</v>
      </c>
      <c r="F7489">
        <v>2.6546099999999999</v>
      </c>
      <c r="G7489" t="s">
        <v>75</v>
      </c>
      <c r="H7489">
        <v>2654.6089999999999</v>
      </c>
      <c r="I7489" t="s">
        <v>76</v>
      </c>
      <c r="J7489" t="s">
        <v>77</v>
      </c>
    </row>
    <row r="7490" spans="1:11" x14ac:dyDescent="0.3">
      <c r="A7490" t="s">
        <v>83</v>
      </c>
      <c r="B7490">
        <v>1000</v>
      </c>
      <c r="C7490" t="s">
        <v>81</v>
      </c>
      <c r="D7490">
        <v>3.3701500000000001E-3</v>
      </c>
      <c r="E7490" t="s">
        <v>74</v>
      </c>
      <c r="F7490">
        <v>3.3701500000000002</v>
      </c>
      <c r="G7490" t="s">
        <v>75</v>
      </c>
      <c r="H7490">
        <v>3370.15</v>
      </c>
      <c r="I7490" t="s">
        <v>76</v>
      </c>
      <c r="J7490" t="s">
        <v>82</v>
      </c>
      <c r="K7490">
        <v>296.72273189999999</v>
      </c>
    </row>
    <row r="7491" spans="1:11" x14ac:dyDescent="0.3">
      <c r="A7491" t="s">
        <v>84</v>
      </c>
      <c r="B7491">
        <v>1001</v>
      </c>
      <c r="C7491" t="s">
        <v>79</v>
      </c>
      <c r="D7491">
        <v>8.2994000000000004E-4</v>
      </c>
      <c r="E7491" t="s">
        <v>74</v>
      </c>
      <c r="F7491">
        <v>0.82994000000000001</v>
      </c>
      <c r="G7491" t="s">
        <v>75</v>
      </c>
      <c r="H7491">
        <v>829.93899999999996</v>
      </c>
      <c r="I7491" t="s">
        <v>76</v>
      </c>
      <c r="J7491" t="s">
        <v>77</v>
      </c>
    </row>
    <row r="7492" spans="1:11" x14ac:dyDescent="0.3">
      <c r="A7492" t="s">
        <v>84</v>
      </c>
      <c r="B7492">
        <v>1001</v>
      </c>
      <c r="C7492" t="s">
        <v>94</v>
      </c>
      <c r="D7492">
        <v>2.5417999999999999E-3</v>
      </c>
      <c r="E7492" t="s">
        <v>74</v>
      </c>
      <c r="F7492">
        <v>2.5417999999999998</v>
      </c>
      <c r="G7492" t="s">
        <v>75</v>
      </c>
      <c r="H7492">
        <v>2541.7950000000001</v>
      </c>
      <c r="I7492" t="s">
        <v>76</v>
      </c>
      <c r="J7492" t="s">
        <v>77</v>
      </c>
    </row>
    <row r="7493" spans="1:11" x14ac:dyDescent="0.3">
      <c r="A7493" t="s">
        <v>84</v>
      </c>
      <c r="B7493">
        <v>1001</v>
      </c>
      <c r="C7493" t="s">
        <v>80</v>
      </c>
      <c r="D7493">
        <v>2.6616299999999999E-3</v>
      </c>
      <c r="E7493" t="s">
        <v>74</v>
      </c>
      <c r="F7493">
        <v>2.6616300000000002</v>
      </c>
      <c r="G7493" t="s">
        <v>75</v>
      </c>
      <c r="H7493">
        <v>2661.63</v>
      </c>
      <c r="I7493" t="s">
        <v>76</v>
      </c>
      <c r="J7493" t="s">
        <v>77</v>
      </c>
    </row>
    <row r="7494" spans="1:11" x14ac:dyDescent="0.3">
      <c r="A7494" t="s">
        <v>84</v>
      </c>
      <c r="B7494">
        <v>1001</v>
      </c>
      <c r="C7494" t="s">
        <v>81</v>
      </c>
      <c r="D7494">
        <v>3.4922899999999999E-3</v>
      </c>
      <c r="E7494" t="s">
        <v>74</v>
      </c>
      <c r="F7494">
        <v>3.4922900000000001</v>
      </c>
      <c r="G7494" t="s">
        <v>75</v>
      </c>
      <c r="H7494">
        <v>3492.29</v>
      </c>
      <c r="I7494" t="s">
        <v>76</v>
      </c>
      <c r="J7494" t="s">
        <v>82</v>
      </c>
      <c r="K7494">
        <v>286.34509509999998</v>
      </c>
    </row>
    <row r="7495" spans="1:11" x14ac:dyDescent="0.3">
      <c r="A7495" t="s">
        <v>85</v>
      </c>
      <c r="B7495">
        <v>1001</v>
      </c>
      <c r="C7495" t="s">
        <v>86</v>
      </c>
      <c r="D7495">
        <v>3.4924399999999999E-3</v>
      </c>
      <c r="E7495" t="s">
        <v>74</v>
      </c>
      <c r="F7495">
        <v>3.4924400000000002</v>
      </c>
      <c r="G7495" t="s">
        <v>75</v>
      </c>
      <c r="H7495">
        <v>3492.4380000000001</v>
      </c>
      <c r="I7495" t="s">
        <v>76</v>
      </c>
      <c r="J7495" t="s">
        <v>82</v>
      </c>
      <c r="K7495">
        <v>286.33290929999998</v>
      </c>
    </row>
    <row r="7496" spans="1:11" x14ac:dyDescent="0.3">
      <c r="A7496" t="s">
        <v>134</v>
      </c>
    </row>
    <row r="7497" spans="1:11" x14ac:dyDescent="0.3">
      <c r="A7497" t="s">
        <v>392</v>
      </c>
    </row>
    <row r="7498" spans="1:11" x14ac:dyDescent="0.3">
      <c r="A7498" t="s">
        <v>72</v>
      </c>
      <c r="B7498">
        <v>1</v>
      </c>
      <c r="C7498" t="s">
        <v>73</v>
      </c>
      <c r="D7498">
        <v>3.9999999999999998E-6</v>
      </c>
      <c r="E7498" t="s">
        <v>74</v>
      </c>
      <c r="F7498">
        <v>4.0000000000000001E-3</v>
      </c>
      <c r="G7498" t="s">
        <v>75</v>
      </c>
      <c r="H7498">
        <v>4</v>
      </c>
      <c r="I7498" t="s">
        <v>76</v>
      </c>
      <c r="J7498" t="s">
        <v>77</v>
      </c>
    </row>
    <row r="7499" spans="1:11" x14ac:dyDescent="0.3">
      <c r="A7499" t="s">
        <v>72</v>
      </c>
      <c r="B7499">
        <v>1</v>
      </c>
      <c r="C7499" t="s">
        <v>78</v>
      </c>
      <c r="D7499">
        <v>5.5429999999999998E-4</v>
      </c>
      <c r="E7499" t="s">
        <v>74</v>
      </c>
      <c r="F7499">
        <v>0.55430000000000001</v>
      </c>
      <c r="G7499" t="s">
        <v>75</v>
      </c>
      <c r="H7499">
        <v>554.29999999999995</v>
      </c>
      <c r="I7499" t="s">
        <v>76</v>
      </c>
      <c r="J7499" t="s">
        <v>77</v>
      </c>
    </row>
    <row r="7500" spans="1:11" x14ac:dyDescent="0.3">
      <c r="A7500" t="s">
        <v>72</v>
      </c>
      <c r="B7500">
        <v>1</v>
      </c>
      <c r="C7500" t="s">
        <v>79</v>
      </c>
      <c r="D7500">
        <v>2.5159000000000002E-3</v>
      </c>
      <c r="E7500" t="s">
        <v>74</v>
      </c>
      <c r="F7500">
        <v>2.5158999999999998</v>
      </c>
      <c r="G7500" t="s">
        <v>75</v>
      </c>
      <c r="H7500">
        <v>2515.9</v>
      </c>
      <c r="I7500" t="s">
        <v>76</v>
      </c>
      <c r="J7500" t="s">
        <v>77</v>
      </c>
    </row>
    <row r="7501" spans="1:11" x14ac:dyDescent="0.3">
      <c r="A7501" t="s">
        <v>72</v>
      </c>
      <c r="B7501">
        <v>1</v>
      </c>
      <c r="C7501" t="s">
        <v>94</v>
      </c>
      <c r="D7501">
        <v>2.8035999999999998E-3</v>
      </c>
      <c r="E7501" t="s">
        <v>74</v>
      </c>
      <c r="F7501">
        <v>2.8035999999999999</v>
      </c>
      <c r="G7501" t="s">
        <v>75</v>
      </c>
      <c r="H7501">
        <v>2803.6</v>
      </c>
      <c r="I7501" t="s">
        <v>76</v>
      </c>
      <c r="J7501" t="s">
        <v>77</v>
      </c>
    </row>
    <row r="7502" spans="1:11" x14ac:dyDescent="0.3">
      <c r="A7502" t="s">
        <v>72</v>
      </c>
      <c r="B7502">
        <v>1</v>
      </c>
      <c r="C7502" t="s">
        <v>80</v>
      </c>
      <c r="D7502">
        <v>2.9364E-3</v>
      </c>
      <c r="E7502" t="s">
        <v>74</v>
      </c>
      <c r="F7502">
        <v>2.9363999999999999</v>
      </c>
      <c r="G7502" t="s">
        <v>75</v>
      </c>
      <c r="H7502">
        <v>2936.4</v>
      </c>
      <c r="I7502" t="s">
        <v>76</v>
      </c>
      <c r="J7502" t="s">
        <v>77</v>
      </c>
    </row>
    <row r="7503" spans="1:11" x14ac:dyDescent="0.3">
      <c r="A7503" t="s">
        <v>72</v>
      </c>
      <c r="B7503">
        <v>1</v>
      </c>
      <c r="C7503" t="s">
        <v>81</v>
      </c>
      <c r="D7503">
        <v>5.4536999999999997E-3</v>
      </c>
      <c r="E7503" t="s">
        <v>74</v>
      </c>
      <c r="F7503">
        <v>5.4537000000000004</v>
      </c>
      <c r="G7503" t="s">
        <v>75</v>
      </c>
      <c r="H7503">
        <v>5453.7</v>
      </c>
      <c r="I7503" t="s">
        <v>76</v>
      </c>
      <c r="J7503" t="s">
        <v>82</v>
      </c>
      <c r="K7503">
        <v>183.3617477</v>
      </c>
    </row>
    <row r="7504" spans="1:11" x14ac:dyDescent="0.3">
      <c r="A7504" t="s">
        <v>83</v>
      </c>
      <c r="B7504">
        <v>1000</v>
      </c>
      <c r="C7504" t="s">
        <v>79</v>
      </c>
      <c r="D7504">
        <v>1.1688E-3</v>
      </c>
      <c r="E7504" t="s">
        <v>74</v>
      </c>
      <c r="F7504">
        <v>1.1688000000000001</v>
      </c>
      <c r="G7504" t="s">
        <v>75</v>
      </c>
      <c r="H7504">
        <v>1168.798</v>
      </c>
      <c r="I7504" t="s">
        <v>76</v>
      </c>
      <c r="J7504" t="s">
        <v>77</v>
      </c>
    </row>
    <row r="7505" spans="1:11" x14ac:dyDescent="0.3">
      <c r="A7505" t="s">
        <v>83</v>
      </c>
      <c r="B7505">
        <v>1000</v>
      </c>
      <c r="C7505" t="s">
        <v>94</v>
      </c>
      <c r="D7505">
        <v>2.65869E-3</v>
      </c>
      <c r="E7505" t="s">
        <v>74</v>
      </c>
      <c r="F7505">
        <v>2.65869</v>
      </c>
      <c r="G7505" t="s">
        <v>75</v>
      </c>
      <c r="H7505">
        <v>2658.6930000000002</v>
      </c>
      <c r="I7505" t="s">
        <v>76</v>
      </c>
      <c r="J7505" t="s">
        <v>77</v>
      </c>
    </row>
    <row r="7506" spans="1:11" x14ac:dyDescent="0.3">
      <c r="A7506" t="s">
        <v>83</v>
      </c>
      <c r="B7506">
        <v>1000</v>
      </c>
      <c r="C7506" t="s">
        <v>80</v>
      </c>
      <c r="D7506">
        <v>2.79934E-3</v>
      </c>
      <c r="E7506" t="s">
        <v>74</v>
      </c>
      <c r="F7506">
        <v>2.7993399999999999</v>
      </c>
      <c r="G7506" t="s">
        <v>75</v>
      </c>
      <c r="H7506">
        <v>2799.3429999999998</v>
      </c>
      <c r="I7506" t="s">
        <v>76</v>
      </c>
      <c r="J7506" t="s">
        <v>77</v>
      </c>
    </row>
    <row r="7507" spans="1:11" x14ac:dyDescent="0.3">
      <c r="A7507" t="s">
        <v>83</v>
      </c>
      <c r="B7507">
        <v>1000</v>
      </c>
      <c r="C7507" t="s">
        <v>81</v>
      </c>
      <c r="D7507">
        <v>3.9693599999999999E-3</v>
      </c>
      <c r="E7507" t="s">
        <v>74</v>
      </c>
      <c r="F7507">
        <v>3.96936</v>
      </c>
      <c r="G7507" t="s">
        <v>75</v>
      </c>
      <c r="H7507">
        <v>3969.3560000000002</v>
      </c>
      <c r="I7507" t="s">
        <v>76</v>
      </c>
      <c r="J7507" t="s">
        <v>82</v>
      </c>
      <c r="K7507">
        <v>251.93001709999999</v>
      </c>
    </row>
    <row r="7508" spans="1:11" x14ac:dyDescent="0.3">
      <c r="A7508" t="s">
        <v>84</v>
      </c>
      <c r="B7508">
        <v>1001</v>
      </c>
      <c r="C7508" t="s">
        <v>79</v>
      </c>
      <c r="D7508">
        <v>1.1701400000000001E-3</v>
      </c>
      <c r="E7508" t="s">
        <v>74</v>
      </c>
      <c r="F7508">
        <v>1.17014</v>
      </c>
      <c r="G7508" t="s">
        <v>75</v>
      </c>
      <c r="H7508">
        <v>1170.143</v>
      </c>
      <c r="I7508" t="s">
        <v>76</v>
      </c>
      <c r="J7508" t="s">
        <v>77</v>
      </c>
    </row>
    <row r="7509" spans="1:11" x14ac:dyDescent="0.3">
      <c r="A7509" t="s">
        <v>84</v>
      </c>
      <c r="B7509">
        <v>1001</v>
      </c>
      <c r="C7509" t="s">
        <v>94</v>
      </c>
      <c r="D7509">
        <v>2.65884E-3</v>
      </c>
      <c r="E7509" t="s">
        <v>74</v>
      </c>
      <c r="F7509">
        <v>2.6588400000000001</v>
      </c>
      <c r="G7509" t="s">
        <v>75</v>
      </c>
      <c r="H7509">
        <v>2658.837</v>
      </c>
      <c r="I7509" t="s">
        <v>76</v>
      </c>
      <c r="J7509" t="s">
        <v>77</v>
      </c>
    </row>
    <row r="7510" spans="1:11" x14ac:dyDescent="0.3">
      <c r="A7510" t="s">
        <v>84</v>
      </c>
      <c r="B7510">
        <v>1001</v>
      </c>
      <c r="C7510" t="s">
        <v>80</v>
      </c>
      <c r="D7510">
        <v>2.79948E-3</v>
      </c>
      <c r="E7510" t="s">
        <v>74</v>
      </c>
      <c r="F7510">
        <v>2.79948</v>
      </c>
      <c r="G7510" t="s">
        <v>75</v>
      </c>
      <c r="H7510">
        <v>2799.48</v>
      </c>
      <c r="I7510" t="s">
        <v>76</v>
      </c>
      <c r="J7510" t="s">
        <v>77</v>
      </c>
    </row>
    <row r="7511" spans="1:11" x14ac:dyDescent="0.3">
      <c r="A7511" t="s">
        <v>84</v>
      </c>
      <c r="B7511">
        <v>1001</v>
      </c>
      <c r="C7511" t="s">
        <v>81</v>
      </c>
      <c r="D7511">
        <v>3.9708399999999998E-3</v>
      </c>
      <c r="E7511" t="s">
        <v>74</v>
      </c>
      <c r="F7511">
        <v>3.9708399999999999</v>
      </c>
      <c r="G7511" t="s">
        <v>75</v>
      </c>
      <c r="H7511">
        <v>3970.8389999999999</v>
      </c>
      <c r="I7511" t="s">
        <v>76</v>
      </c>
      <c r="J7511" t="s">
        <v>82</v>
      </c>
      <c r="K7511">
        <v>251.83594410000001</v>
      </c>
    </row>
    <row r="7512" spans="1:11" x14ac:dyDescent="0.3">
      <c r="A7512" t="s">
        <v>85</v>
      </c>
      <c r="B7512">
        <v>1001</v>
      </c>
      <c r="C7512" t="s">
        <v>86</v>
      </c>
      <c r="D7512">
        <v>3.9710099999999996E-3</v>
      </c>
      <c r="E7512" t="s">
        <v>74</v>
      </c>
      <c r="F7512">
        <v>3.9710100000000002</v>
      </c>
      <c r="G7512" t="s">
        <v>75</v>
      </c>
      <c r="H7512">
        <v>3971.01</v>
      </c>
      <c r="I7512" t="s">
        <v>76</v>
      </c>
      <c r="J7512" t="s">
        <v>82</v>
      </c>
      <c r="K7512">
        <v>251.8250836</v>
      </c>
    </row>
    <row r="7513" spans="1:11" x14ac:dyDescent="0.3">
      <c r="A7513" t="s">
        <v>115</v>
      </c>
    </row>
    <row r="7514" spans="1:11" x14ac:dyDescent="0.3">
      <c r="A7514" t="s">
        <v>127</v>
      </c>
    </row>
    <row r="7515" spans="1:11" x14ac:dyDescent="0.3">
      <c r="A7515" t="s">
        <v>87</v>
      </c>
    </row>
    <row r="7516" spans="1:11" x14ac:dyDescent="0.3">
      <c r="A7516" t="s">
        <v>393</v>
      </c>
    </row>
    <row r="7517" spans="1:11" x14ac:dyDescent="0.3">
      <c r="A7517" t="s">
        <v>72</v>
      </c>
      <c r="B7517">
        <v>1</v>
      </c>
      <c r="C7517" t="s">
        <v>81</v>
      </c>
      <c r="D7517">
        <v>0.12563178999999999</v>
      </c>
      <c r="E7517" t="s">
        <v>74</v>
      </c>
      <c r="F7517">
        <v>125.63179</v>
      </c>
      <c r="G7517" t="s">
        <v>75</v>
      </c>
      <c r="H7517">
        <v>125631.79399999999</v>
      </c>
      <c r="I7517" t="s">
        <v>76</v>
      </c>
      <c r="J7517" t="s">
        <v>82</v>
      </c>
      <c r="K7517">
        <v>7.9597685</v>
      </c>
    </row>
    <row r="7518" spans="1:11" x14ac:dyDescent="0.3">
      <c r="A7518" t="s">
        <v>83</v>
      </c>
      <c r="B7518">
        <v>1000</v>
      </c>
      <c r="C7518" t="s">
        <v>81</v>
      </c>
      <c r="D7518">
        <v>3.3701500000000001E-3</v>
      </c>
      <c r="E7518" t="s">
        <v>74</v>
      </c>
      <c r="F7518">
        <v>3.3701500000000002</v>
      </c>
      <c r="G7518" t="s">
        <v>75</v>
      </c>
      <c r="H7518">
        <v>3370.15</v>
      </c>
      <c r="I7518" t="s">
        <v>76</v>
      </c>
      <c r="J7518" t="s">
        <v>82</v>
      </c>
      <c r="K7518">
        <v>296.72273189999999</v>
      </c>
    </row>
    <row r="7519" spans="1:11" x14ac:dyDescent="0.3">
      <c r="A7519" t="s">
        <v>85</v>
      </c>
      <c r="B7519">
        <v>1001</v>
      </c>
      <c r="C7519" t="s">
        <v>86</v>
      </c>
      <c r="D7519">
        <v>3.4924399999999999E-3</v>
      </c>
      <c r="E7519" t="s">
        <v>74</v>
      </c>
      <c r="F7519">
        <v>3.4924400000000002</v>
      </c>
      <c r="G7519" t="s">
        <v>75</v>
      </c>
      <c r="H7519">
        <v>3492.4380000000001</v>
      </c>
      <c r="I7519" t="s">
        <v>76</v>
      </c>
      <c r="J7519" t="s">
        <v>82</v>
      </c>
      <c r="K7519">
        <v>286.33290929999998</v>
      </c>
    </row>
    <row r="7521" spans="1:11" x14ac:dyDescent="0.3">
      <c r="A7521" t="s">
        <v>394</v>
      </c>
    </row>
    <row r="7522" spans="1:11" x14ac:dyDescent="0.3">
      <c r="A7522" t="s">
        <v>72</v>
      </c>
      <c r="B7522">
        <v>1</v>
      </c>
      <c r="C7522" t="s">
        <v>81</v>
      </c>
      <c r="D7522">
        <v>5.4536999999999997E-3</v>
      </c>
      <c r="E7522" t="s">
        <v>74</v>
      </c>
      <c r="F7522">
        <v>5.4537000000000004</v>
      </c>
      <c r="G7522" t="s">
        <v>75</v>
      </c>
      <c r="H7522">
        <v>5453.7</v>
      </c>
      <c r="I7522" t="s">
        <v>76</v>
      </c>
      <c r="J7522" t="s">
        <v>82</v>
      </c>
      <c r="K7522">
        <v>183.3617477</v>
      </c>
    </row>
    <row r="7523" spans="1:11" x14ac:dyDescent="0.3">
      <c r="A7523" t="s">
        <v>83</v>
      </c>
      <c r="B7523">
        <v>1000</v>
      </c>
      <c r="C7523" t="s">
        <v>81</v>
      </c>
      <c r="D7523">
        <v>3.9693599999999999E-3</v>
      </c>
      <c r="E7523" t="s">
        <v>74</v>
      </c>
      <c r="F7523">
        <v>3.96936</v>
      </c>
      <c r="G7523" t="s">
        <v>75</v>
      </c>
      <c r="H7523">
        <v>3969.3560000000002</v>
      </c>
      <c r="I7523" t="s">
        <v>76</v>
      </c>
      <c r="J7523" t="s">
        <v>82</v>
      </c>
      <c r="K7523">
        <v>251.93001709999999</v>
      </c>
    </row>
    <row r="7524" spans="1:11" x14ac:dyDescent="0.3">
      <c r="A7524" t="s">
        <v>85</v>
      </c>
      <c r="B7524">
        <v>1001</v>
      </c>
      <c r="C7524" t="s">
        <v>86</v>
      </c>
      <c r="D7524">
        <v>3.9710099999999996E-3</v>
      </c>
      <c r="E7524" t="s">
        <v>74</v>
      </c>
      <c r="F7524">
        <v>3.9710100000000002</v>
      </c>
      <c r="G7524" t="s">
        <v>75</v>
      </c>
      <c r="H7524">
        <v>3971.01</v>
      </c>
      <c r="I7524" t="s">
        <v>76</v>
      </c>
      <c r="J7524" t="s">
        <v>82</v>
      </c>
      <c r="K7524">
        <v>251.8250836</v>
      </c>
    </row>
    <row r="7526" spans="1:11" x14ac:dyDescent="0.3">
      <c r="A7526" t="s">
        <v>66</v>
      </c>
    </row>
    <row r="7528" spans="1:11" x14ac:dyDescent="0.3">
      <c r="A7528" t="s">
        <v>395</v>
      </c>
    </row>
    <row r="7529" spans="1:11" x14ac:dyDescent="0.3">
      <c r="A7529" t="s">
        <v>68</v>
      </c>
    </row>
    <row r="7530" spans="1:11" x14ac:dyDescent="0.3">
      <c r="A7530" t="s">
        <v>69</v>
      </c>
    </row>
    <row r="7531" spans="1:11" x14ac:dyDescent="0.3">
      <c r="A7531" t="s">
        <v>70</v>
      </c>
    </row>
    <row r="7532" spans="1:11" x14ac:dyDescent="0.3">
      <c r="A7532" t="s">
        <v>115</v>
      </c>
    </row>
    <row r="7533" spans="1:11" x14ac:dyDescent="0.3">
      <c r="A7533" t="s">
        <v>384</v>
      </c>
    </row>
    <row r="7534" spans="1:11" x14ac:dyDescent="0.3">
      <c r="A7534" t="s">
        <v>385</v>
      </c>
    </row>
    <row r="7535" spans="1:11" x14ac:dyDescent="0.3">
      <c r="A7535" t="s">
        <v>118</v>
      </c>
    </row>
    <row r="7536" spans="1:11" x14ac:dyDescent="0.3">
      <c r="A7536" t="s">
        <v>119</v>
      </c>
    </row>
    <row r="7537" spans="1:11" x14ac:dyDescent="0.3">
      <c r="A7537" t="s">
        <v>268</v>
      </c>
    </row>
    <row r="7538" spans="1:11" x14ac:dyDescent="0.3">
      <c r="A7538" t="s">
        <v>269</v>
      </c>
    </row>
    <row r="7539" spans="1:11" x14ac:dyDescent="0.3">
      <c r="A7539" t="s">
        <v>386</v>
      </c>
    </row>
    <row r="7540" spans="1:11" x14ac:dyDescent="0.3">
      <c r="A7540" t="s">
        <v>387</v>
      </c>
    </row>
    <row r="7541" spans="1:11" x14ac:dyDescent="0.3">
      <c r="A7541" t="s">
        <v>271</v>
      </c>
    </row>
    <row r="7542" spans="1:11" x14ac:dyDescent="0.3">
      <c r="A7542" t="s">
        <v>125</v>
      </c>
    </row>
    <row r="7543" spans="1:11" x14ac:dyDescent="0.3">
      <c r="A7543" t="s">
        <v>126</v>
      </c>
    </row>
    <row r="7544" spans="1:11" x14ac:dyDescent="0.3">
      <c r="A7544" t="s">
        <v>127</v>
      </c>
    </row>
    <row r="7545" spans="1:11" x14ac:dyDescent="0.3">
      <c r="A7545" t="s">
        <v>139</v>
      </c>
    </row>
    <row r="7546" spans="1:11" x14ac:dyDescent="0.3">
      <c r="A7546" t="s">
        <v>396</v>
      </c>
    </row>
    <row r="7547" spans="1:11" x14ac:dyDescent="0.3">
      <c r="A7547" t="s">
        <v>72</v>
      </c>
      <c r="B7547">
        <v>1</v>
      </c>
      <c r="C7547" t="s">
        <v>73</v>
      </c>
      <c r="D7547">
        <v>3.4999999999999999E-6</v>
      </c>
      <c r="E7547" t="s">
        <v>74</v>
      </c>
      <c r="F7547">
        <v>3.5000000000000001E-3</v>
      </c>
      <c r="G7547" t="s">
        <v>75</v>
      </c>
      <c r="H7547">
        <v>3.5</v>
      </c>
      <c r="I7547" t="s">
        <v>76</v>
      </c>
      <c r="J7547" t="s">
        <v>77</v>
      </c>
    </row>
    <row r="7548" spans="1:11" x14ac:dyDescent="0.3">
      <c r="A7548" t="s">
        <v>72</v>
      </c>
      <c r="B7548">
        <v>1</v>
      </c>
      <c r="C7548" t="s">
        <v>78</v>
      </c>
      <c r="D7548">
        <v>0.14073749999999999</v>
      </c>
      <c r="E7548" t="s">
        <v>74</v>
      </c>
      <c r="F7548">
        <v>140.73750000000001</v>
      </c>
      <c r="G7548" t="s">
        <v>75</v>
      </c>
      <c r="H7548">
        <v>140737.50399999999</v>
      </c>
      <c r="I7548" t="s">
        <v>76</v>
      </c>
      <c r="J7548" t="s">
        <v>77</v>
      </c>
    </row>
    <row r="7549" spans="1:11" x14ac:dyDescent="0.3">
      <c r="A7549" t="s">
        <v>72</v>
      </c>
      <c r="B7549">
        <v>1</v>
      </c>
      <c r="C7549" t="s">
        <v>79</v>
      </c>
      <c r="D7549">
        <v>0.1354477</v>
      </c>
      <c r="E7549" t="s">
        <v>74</v>
      </c>
      <c r="F7549">
        <v>135.4477</v>
      </c>
      <c r="G7549" t="s">
        <v>75</v>
      </c>
      <c r="H7549">
        <v>135447.696</v>
      </c>
      <c r="I7549" t="s">
        <v>76</v>
      </c>
      <c r="J7549" t="s">
        <v>77</v>
      </c>
    </row>
    <row r="7550" spans="1:11" x14ac:dyDescent="0.3">
      <c r="A7550" t="s">
        <v>72</v>
      </c>
      <c r="B7550">
        <v>1</v>
      </c>
      <c r="C7550" t="s">
        <v>94</v>
      </c>
      <c r="D7550">
        <v>9.6652000000000005E-3</v>
      </c>
      <c r="E7550" t="s">
        <v>74</v>
      </c>
      <c r="F7550">
        <v>9.6652000000000005</v>
      </c>
      <c r="G7550" t="s">
        <v>75</v>
      </c>
      <c r="H7550">
        <v>9665.2000000000007</v>
      </c>
      <c r="I7550" t="s">
        <v>76</v>
      </c>
      <c r="J7550" t="s">
        <v>77</v>
      </c>
    </row>
    <row r="7551" spans="1:11" x14ac:dyDescent="0.3">
      <c r="A7551" t="s">
        <v>72</v>
      </c>
      <c r="B7551">
        <v>1</v>
      </c>
      <c r="C7551" t="s">
        <v>80</v>
      </c>
      <c r="D7551">
        <v>9.6661000000000004E-3</v>
      </c>
      <c r="E7551" t="s">
        <v>74</v>
      </c>
      <c r="F7551">
        <v>9.6661000000000001</v>
      </c>
      <c r="G7551" t="s">
        <v>75</v>
      </c>
      <c r="H7551">
        <v>9666.1</v>
      </c>
      <c r="I7551" t="s">
        <v>76</v>
      </c>
      <c r="J7551" t="s">
        <v>77</v>
      </c>
    </row>
    <row r="7552" spans="1:11" x14ac:dyDescent="0.3">
      <c r="A7552" t="s">
        <v>72</v>
      </c>
      <c r="B7552">
        <v>1</v>
      </c>
      <c r="C7552" t="s">
        <v>81</v>
      </c>
      <c r="D7552">
        <v>0.1451162</v>
      </c>
      <c r="E7552" t="s">
        <v>74</v>
      </c>
      <c r="F7552">
        <v>145.11619999999999</v>
      </c>
      <c r="G7552" t="s">
        <v>75</v>
      </c>
      <c r="H7552">
        <v>145116.19500000001</v>
      </c>
      <c r="I7552" t="s">
        <v>76</v>
      </c>
      <c r="J7552" t="s">
        <v>82</v>
      </c>
      <c r="K7552">
        <v>6.8910296000000004</v>
      </c>
    </row>
    <row r="7553" spans="1:11" x14ac:dyDescent="0.3">
      <c r="A7553" t="s">
        <v>83</v>
      </c>
      <c r="B7553">
        <v>1000</v>
      </c>
      <c r="C7553" t="s">
        <v>79</v>
      </c>
      <c r="D7553">
        <v>2.2391899999999998E-3</v>
      </c>
      <c r="E7553" t="s">
        <v>74</v>
      </c>
      <c r="F7553">
        <v>2.2391899999999998</v>
      </c>
      <c r="G7553" t="s">
        <v>75</v>
      </c>
      <c r="H7553">
        <v>2239.1930000000002</v>
      </c>
      <c r="I7553" t="s">
        <v>76</v>
      </c>
      <c r="J7553" t="s">
        <v>77</v>
      </c>
    </row>
    <row r="7554" spans="1:11" x14ac:dyDescent="0.3">
      <c r="A7554" t="s">
        <v>83</v>
      </c>
      <c r="B7554">
        <v>1000</v>
      </c>
      <c r="C7554" t="s">
        <v>94</v>
      </c>
      <c r="D7554">
        <v>2.5370499999999999E-3</v>
      </c>
      <c r="E7554" t="s">
        <v>74</v>
      </c>
      <c r="F7554">
        <v>2.5370499999999998</v>
      </c>
      <c r="G7554" t="s">
        <v>75</v>
      </c>
      <c r="H7554">
        <v>2537.0520000000001</v>
      </c>
      <c r="I7554" t="s">
        <v>76</v>
      </c>
      <c r="J7554" t="s">
        <v>77</v>
      </c>
    </row>
    <row r="7555" spans="1:11" x14ac:dyDescent="0.3">
      <c r="A7555" t="s">
        <v>83</v>
      </c>
      <c r="B7555">
        <v>1000</v>
      </c>
      <c r="C7555" t="s">
        <v>80</v>
      </c>
      <c r="D7555">
        <v>2.6937799999999998E-3</v>
      </c>
      <c r="E7555" t="s">
        <v>74</v>
      </c>
      <c r="F7555">
        <v>2.6937799999999998</v>
      </c>
      <c r="G7555" t="s">
        <v>75</v>
      </c>
      <c r="H7555">
        <v>2693.7820000000002</v>
      </c>
      <c r="I7555" t="s">
        <v>76</v>
      </c>
      <c r="J7555" t="s">
        <v>77</v>
      </c>
    </row>
    <row r="7556" spans="1:11" x14ac:dyDescent="0.3">
      <c r="A7556" t="s">
        <v>83</v>
      </c>
      <c r="B7556">
        <v>1000</v>
      </c>
      <c r="C7556" t="s">
        <v>81</v>
      </c>
      <c r="D7556">
        <v>4.9339300000000004E-3</v>
      </c>
      <c r="E7556" t="s">
        <v>74</v>
      </c>
      <c r="F7556">
        <v>4.9339300000000001</v>
      </c>
      <c r="G7556" t="s">
        <v>75</v>
      </c>
      <c r="H7556">
        <v>4933.93</v>
      </c>
      <c r="I7556" t="s">
        <v>76</v>
      </c>
      <c r="J7556" t="s">
        <v>82</v>
      </c>
      <c r="K7556">
        <v>202.6781929</v>
      </c>
    </row>
    <row r="7557" spans="1:11" x14ac:dyDescent="0.3">
      <c r="A7557" t="s">
        <v>84</v>
      </c>
      <c r="B7557">
        <v>1001</v>
      </c>
      <c r="C7557" t="s">
        <v>79</v>
      </c>
      <c r="D7557">
        <v>2.3722700000000001E-3</v>
      </c>
      <c r="E7557" t="s">
        <v>74</v>
      </c>
      <c r="F7557">
        <v>2.3722699999999999</v>
      </c>
      <c r="G7557" t="s">
        <v>75</v>
      </c>
      <c r="H7557">
        <v>2372.2669999999998</v>
      </c>
      <c r="I7557" t="s">
        <v>76</v>
      </c>
      <c r="J7557" t="s">
        <v>77</v>
      </c>
    </row>
    <row r="7558" spans="1:11" x14ac:dyDescent="0.3">
      <c r="A7558" t="s">
        <v>84</v>
      </c>
      <c r="B7558">
        <v>1001</v>
      </c>
      <c r="C7558" t="s">
        <v>94</v>
      </c>
      <c r="D7558">
        <v>2.5441700000000001E-3</v>
      </c>
      <c r="E7558" t="s">
        <v>74</v>
      </c>
      <c r="F7558">
        <v>2.5441699999999998</v>
      </c>
      <c r="G7558" t="s">
        <v>75</v>
      </c>
      <c r="H7558">
        <v>2544.1729999999998</v>
      </c>
      <c r="I7558" t="s">
        <v>76</v>
      </c>
      <c r="J7558" t="s">
        <v>77</v>
      </c>
    </row>
    <row r="7559" spans="1:11" x14ac:dyDescent="0.3">
      <c r="A7559" t="s">
        <v>84</v>
      </c>
      <c r="B7559">
        <v>1001</v>
      </c>
      <c r="C7559" t="s">
        <v>80</v>
      </c>
      <c r="D7559">
        <v>2.70075E-3</v>
      </c>
      <c r="E7559" t="s">
        <v>74</v>
      </c>
      <c r="F7559">
        <v>2.7007500000000002</v>
      </c>
      <c r="G7559" t="s">
        <v>75</v>
      </c>
      <c r="H7559">
        <v>2700.7469999999998</v>
      </c>
      <c r="I7559" t="s">
        <v>76</v>
      </c>
      <c r="J7559" t="s">
        <v>77</v>
      </c>
    </row>
    <row r="7560" spans="1:11" x14ac:dyDescent="0.3">
      <c r="A7560" t="s">
        <v>84</v>
      </c>
      <c r="B7560">
        <v>1001</v>
      </c>
      <c r="C7560" t="s">
        <v>81</v>
      </c>
      <c r="D7560">
        <v>5.0739699999999997E-3</v>
      </c>
      <c r="E7560" t="s">
        <v>74</v>
      </c>
      <c r="F7560">
        <v>5.0739700000000001</v>
      </c>
      <c r="G7560" t="s">
        <v>75</v>
      </c>
      <c r="H7560">
        <v>5073.973</v>
      </c>
      <c r="I7560" t="s">
        <v>76</v>
      </c>
      <c r="J7560" t="s">
        <v>82</v>
      </c>
      <c r="K7560">
        <v>197.0842274</v>
      </c>
    </row>
    <row r="7561" spans="1:11" x14ac:dyDescent="0.3">
      <c r="A7561" t="s">
        <v>85</v>
      </c>
      <c r="B7561">
        <v>1001</v>
      </c>
      <c r="C7561" t="s">
        <v>86</v>
      </c>
      <c r="D7561">
        <v>5.0741700000000002E-3</v>
      </c>
      <c r="E7561" t="s">
        <v>74</v>
      </c>
      <c r="F7561">
        <v>5.0741699999999996</v>
      </c>
      <c r="G7561" t="s">
        <v>75</v>
      </c>
      <c r="H7561">
        <v>5074.1679999999997</v>
      </c>
      <c r="I7561" t="s">
        <v>76</v>
      </c>
      <c r="J7561" t="s">
        <v>82</v>
      </c>
      <c r="K7561">
        <v>197.07666</v>
      </c>
    </row>
    <row r="7562" spans="1:11" x14ac:dyDescent="0.3">
      <c r="A7562" t="s">
        <v>141</v>
      </c>
    </row>
    <row r="7563" spans="1:11" x14ac:dyDescent="0.3">
      <c r="A7563" t="s">
        <v>397</v>
      </c>
    </row>
    <row r="7564" spans="1:11" x14ac:dyDescent="0.3">
      <c r="A7564" t="s">
        <v>72</v>
      </c>
      <c r="B7564">
        <v>1</v>
      </c>
      <c r="C7564" t="s">
        <v>73</v>
      </c>
      <c r="D7564">
        <v>3.4999999999999999E-6</v>
      </c>
      <c r="E7564" t="s">
        <v>74</v>
      </c>
      <c r="F7564">
        <v>3.5000000000000001E-3</v>
      </c>
      <c r="G7564" t="s">
        <v>75</v>
      </c>
      <c r="H7564">
        <v>3.5</v>
      </c>
      <c r="I7564" t="s">
        <v>76</v>
      </c>
      <c r="J7564" t="s">
        <v>77</v>
      </c>
    </row>
    <row r="7565" spans="1:11" x14ac:dyDescent="0.3">
      <c r="A7565" t="s">
        <v>72</v>
      </c>
      <c r="B7565">
        <v>1</v>
      </c>
      <c r="C7565" t="s">
        <v>78</v>
      </c>
      <c r="D7565">
        <v>5.1190000000000003E-4</v>
      </c>
      <c r="E7565" t="s">
        <v>74</v>
      </c>
      <c r="F7565">
        <v>0.51190000000000002</v>
      </c>
      <c r="G7565" t="s">
        <v>75</v>
      </c>
      <c r="H7565">
        <v>511.9</v>
      </c>
      <c r="I7565" t="s">
        <v>76</v>
      </c>
      <c r="J7565" t="s">
        <v>77</v>
      </c>
    </row>
    <row r="7566" spans="1:11" x14ac:dyDescent="0.3">
      <c r="A7566" t="s">
        <v>72</v>
      </c>
      <c r="B7566">
        <v>1</v>
      </c>
      <c r="C7566" t="s">
        <v>79</v>
      </c>
      <c r="D7566">
        <v>4.0248000000000003E-3</v>
      </c>
      <c r="E7566" t="s">
        <v>74</v>
      </c>
      <c r="F7566">
        <v>4.0247999999999999</v>
      </c>
      <c r="G7566" t="s">
        <v>75</v>
      </c>
      <c r="H7566">
        <v>4024.8</v>
      </c>
      <c r="I7566" t="s">
        <v>76</v>
      </c>
      <c r="J7566" t="s">
        <v>77</v>
      </c>
    </row>
    <row r="7567" spans="1:11" x14ac:dyDescent="0.3">
      <c r="A7567" t="s">
        <v>72</v>
      </c>
      <c r="B7567">
        <v>1</v>
      </c>
      <c r="C7567" t="s">
        <v>94</v>
      </c>
      <c r="D7567">
        <v>2.7133999999999999E-3</v>
      </c>
      <c r="E7567" t="s">
        <v>74</v>
      </c>
      <c r="F7567">
        <v>2.7134</v>
      </c>
      <c r="G7567" t="s">
        <v>75</v>
      </c>
      <c r="H7567">
        <v>2713.4</v>
      </c>
      <c r="I7567" t="s">
        <v>76</v>
      </c>
      <c r="J7567" t="s">
        <v>77</v>
      </c>
    </row>
    <row r="7568" spans="1:11" x14ac:dyDescent="0.3">
      <c r="A7568" t="s">
        <v>72</v>
      </c>
      <c r="B7568">
        <v>1</v>
      </c>
      <c r="C7568" t="s">
        <v>80</v>
      </c>
      <c r="D7568">
        <v>2.8471E-3</v>
      </c>
      <c r="E7568" t="s">
        <v>74</v>
      </c>
      <c r="F7568">
        <v>2.8471000000000002</v>
      </c>
      <c r="G7568" t="s">
        <v>75</v>
      </c>
      <c r="H7568">
        <v>2847.1</v>
      </c>
      <c r="I7568" t="s">
        <v>76</v>
      </c>
      <c r="J7568" t="s">
        <v>77</v>
      </c>
    </row>
    <row r="7569" spans="1:11" x14ac:dyDescent="0.3">
      <c r="A7569" t="s">
        <v>72</v>
      </c>
      <c r="B7569">
        <v>1</v>
      </c>
      <c r="C7569" t="s">
        <v>81</v>
      </c>
      <c r="D7569">
        <v>6.8729000000000004E-3</v>
      </c>
      <c r="E7569" t="s">
        <v>74</v>
      </c>
      <c r="F7569">
        <v>6.8728999999999996</v>
      </c>
      <c r="G7569" t="s">
        <v>75</v>
      </c>
      <c r="H7569">
        <v>6872.9</v>
      </c>
      <c r="I7569" t="s">
        <v>76</v>
      </c>
      <c r="J7569" t="s">
        <v>82</v>
      </c>
      <c r="K7569">
        <v>145.49899239999999</v>
      </c>
    </row>
    <row r="7570" spans="1:11" x14ac:dyDescent="0.3">
      <c r="A7570" t="s">
        <v>83</v>
      </c>
      <c r="B7570">
        <v>1000</v>
      </c>
      <c r="C7570" t="s">
        <v>79</v>
      </c>
      <c r="D7570">
        <v>2.5743699999999999E-3</v>
      </c>
      <c r="E7570" t="s">
        <v>74</v>
      </c>
      <c r="F7570">
        <v>2.57437</v>
      </c>
      <c r="G7570" t="s">
        <v>75</v>
      </c>
      <c r="H7570">
        <v>2574.3670000000002</v>
      </c>
      <c r="I7570" t="s">
        <v>76</v>
      </c>
      <c r="J7570" t="s">
        <v>77</v>
      </c>
    </row>
    <row r="7571" spans="1:11" x14ac:dyDescent="0.3">
      <c r="A7571" t="s">
        <v>83</v>
      </c>
      <c r="B7571">
        <v>1000</v>
      </c>
      <c r="C7571" t="s">
        <v>94</v>
      </c>
      <c r="D7571">
        <v>2.6659399999999999E-3</v>
      </c>
      <c r="E7571" t="s">
        <v>74</v>
      </c>
      <c r="F7571">
        <v>2.66594</v>
      </c>
      <c r="G7571" t="s">
        <v>75</v>
      </c>
      <c r="H7571">
        <v>2665.9389999999999</v>
      </c>
      <c r="I7571" t="s">
        <v>76</v>
      </c>
      <c r="J7571" t="s">
        <v>77</v>
      </c>
    </row>
    <row r="7572" spans="1:11" x14ac:dyDescent="0.3">
      <c r="A7572" t="s">
        <v>83</v>
      </c>
      <c r="B7572">
        <v>1000</v>
      </c>
      <c r="C7572" t="s">
        <v>80</v>
      </c>
      <c r="D7572">
        <v>2.7977599999999998E-3</v>
      </c>
      <c r="E7572" t="s">
        <v>74</v>
      </c>
      <c r="F7572">
        <v>2.7977599999999998</v>
      </c>
      <c r="G7572" t="s">
        <v>75</v>
      </c>
      <c r="H7572">
        <v>2797.7570000000001</v>
      </c>
      <c r="I7572" t="s">
        <v>76</v>
      </c>
      <c r="J7572" t="s">
        <v>77</v>
      </c>
    </row>
    <row r="7573" spans="1:11" x14ac:dyDescent="0.3">
      <c r="A7573" t="s">
        <v>83</v>
      </c>
      <c r="B7573">
        <v>1000</v>
      </c>
      <c r="C7573" t="s">
        <v>81</v>
      </c>
      <c r="D7573">
        <v>5.3731400000000002E-3</v>
      </c>
      <c r="E7573" t="s">
        <v>74</v>
      </c>
      <c r="F7573">
        <v>5.3731400000000002</v>
      </c>
      <c r="G7573" t="s">
        <v>75</v>
      </c>
      <c r="H7573">
        <v>5373.1409999999996</v>
      </c>
      <c r="I7573" t="s">
        <v>76</v>
      </c>
      <c r="J7573" t="s">
        <v>82</v>
      </c>
      <c r="K7573">
        <v>186.11088649999999</v>
      </c>
    </row>
    <row r="7574" spans="1:11" x14ac:dyDescent="0.3">
      <c r="A7574" t="s">
        <v>84</v>
      </c>
      <c r="B7574">
        <v>1001</v>
      </c>
      <c r="C7574" t="s">
        <v>79</v>
      </c>
      <c r="D7574">
        <v>2.5758199999999999E-3</v>
      </c>
      <c r="E7574" t="s">
        <v>74</v>
      </c>
      <c r="F7574">
        <v>2.5758200000000002</v>
      </c>
      <c r="G7574" t="s">
        <v>75</v>
      </c>
      <c r="H7574">
        <v>2575.8150000000001</v>
      </c>
      <c r="I7574" t="s">
        <v>76</v>
      </c>
      <c r="J7574" t="s">
        <v>77</v>
      </c>
    </row>
    <row r="7575" spans="1:11" x14ac:dyDescent="0.3">
      <c r="A7575" t="s">
        <v>84</v>
      </c>
      <c r="B7575">
        <v>1001</v>
      </c>
      <c r="C7575" t="s">
        <v>94</v>
      </c>
      <c r="D7575">
        <v>2.66599E-3</v>
      </c>
      <c r="E7575" t="s">
        <v>74</v>
      </c>
      <c r="F7575">
        <v>2.6659899999999999</v>
      </c>
      <c r="G7575" t="s">
        <v>75</v>
      </c>
      <c r="H7575">
        <v>2665.9870000000001</v>
      </c>
      <c r="I7575" t="s">
        <v>76</v>
      </c>
      <c r="J7575" t="s">
        <v>77</v>
      </c>
    </row>
    <row r="7576" spans="1:11" x14ac:dyDescent="0.3">
      <c r="A7576" t="s">
        <v>84</v>
      </c>
      <c r="B7576">
        <v>1001</v>
      </c>
      <c r="C7576" t="s">
        <v>80</v>
      </c>
      <c r="D7576">
        <v>2.79781E-3</v>
      </c>
      <c r="E7576" t="s">
        <v>74</v>
      </c>
      <c r="F7576">
        <v>2.7978100000000001</v>
      </c>
      <c r="G7576" t="s">
        <v>75</v>
      </c>
      <c r="H7576">
        <v>2797.806</v>
      </c>
      <c r="I7576" t="s">
        <v>76</v>
      </c>
      <c r="J7576" t="s">
        <v>77</v>
      </c>
    </row>
    <row r="7577" spans="1:11" x14ac:dyDescent="0.3">
      <c r="A7577" t="s">
        <v>84</v>
      </c>
      <c r="B7577">
        <v>1001</v>
      </c>
      <c r="C7577" t="s">
        <v>81</v>
      </c>
      <c r="D7577">
        <v>5.37464E-3</v>
      </c>
      <c r="E7577" t="s">
        <v>74</v>
      </c>
      <c r="F7577">
        <v>5.3746400000000003</v>
      </c>
      <c r="G7577" t="s">
        <v>75</v>
      </c>
      <c r="H7577">
        <v>5374.6379999999999</v>
      </c>
      <c r="I7577" t="s">
        <v>76</v>
      </c>
      <c r="J7577" t="s">
        <v>82</v>
      </c>
      <c r="K7577">
        <v>186.05903029999999</v>
      </c>
    </row>
    <row r="7578" spans="1:11" x14ac:dyDescent="0.3">
      <c r="A7578" t="s">
        <v>85</v>
      </c>
      <c r="B7578">
        <v>1001</v>
      </c>
      <c r="C7578" t="s">
        <v>86</v>
      </c>
      <c r="D7578">
        <v>5.3748299999999997E-3</v>
      </c>
      <c r="E7578" t="s">
        <v>74</v>
      </c>
      <c r="F7578">
        <v>5.3748300000000002</v>
      </c>
      <c r="G7578" t="s">
        <v>75</v>
      </c>
      <c r="H7578">
        <v>5374.826</v>
      </c>
      <c r="I7578" t="s">
        <v>76</v>
      </c>
      <c r="J7578" t="s">
        <v>82</v>
      </c>
      <c r="K7578">
        <v>186.05254980000001</v>
      </c>
    </row>
    <row r="7579" spans="1:11" x14ac:dyDescent="0.3">
      <c r="A7579" t="s">
        <v>115</v>
      </c>
    </row>
    <row r="7580" spans="1:11" x14ac:dyDescent="0.3">
      <c r="A7580" t="s">
        <v>127</v>
      </c>
    </row>
    <row r="7581" spans="1:11" x14ac:dyDescent="0.3">
      <c r="A7581" t="s">
        <v>87</v>
      </c>
    </row>
    <row r="7582" spans="1:11" x14ac:dyDescent="0.3">
      <c r="A7582" t="s">
        <v>398</v>
      </c>
    </row>
    <row r="7583" spans="1:11" x14ac:dyDescent="0.3">
      <c r="A7583" t="s">
        <v>72</v>
      </c>
      <c r="B7583">
        <v>1</v>
      </c>
      <c r="C7583" t="s">
        <v>81</v>
      </c>
      <c r="D7583">
        <v>0.1451162</v>
      </c>
      <c r="E7583" t="s">
        <v>74</v>
      </c>
      <c r="F7583">
        <v>145.11619999999999</v>
      </c>
      <c r="G7583" t="s">
        <v>75</v>
      </c>
      <c r="H7583">
        <v>145116.19500000001</v>
      </c>
      <c r="I7583" t="s">
        <v>76</v>
      </c>
      <c r="J7583" t="s">
        <v>82</v>
      </c>
      <c r="K7583">
        <v>6.8910296000000004</v>
      </c>
    </row>
    <row r="7584" spans="1:11" x14ac:dyDescent="0.3">
      <c r="A7584" t="s">
        <v>83</v>
      </c>
      <c r="B7584">
        <v>1000</v>
      </c>
      <c r="C7584" t="s">
        <v>81</v>
      </c>
      <c r="D7584">
        <v>4.9339300000000004E-3</v>
      </c>
      <c r="E7584" t="s">
        <v>74</v>
      </c>
      <c r="F7584">
        <v>4.9339300000000001</v>
      </c>
      <c r="G7584" t="s">
        <v>75</v>
      </c>
      <c r="H7584">
        <v>4933.93</v>
      </c>
      <c r="I7584" t="s">
        <v>76</v>
      </c>
      <c r="J7584" t="s">
        <v>82</v>
      </c>
      <c r="K7584">
        <v>202.6781929</v>
      </c>
    </row>
    <row r="7585" spans="1:11" x14ac:dyDescent="0.3">
      <c r="A7585" t="s">
        <v>85</v>
      </c>
      <c r="B7585">
        <v>1001</v>
      </c>
      <c r="C7585" t="s">
        <v>86</v>
      </c>
      <c r="D7585">
        <v>5.0741700000000002E-3</v>
      </c>
      <c r="E7585" t="s">
        <v>74</v>
      </c>
      <c r="F7585">
        <v>5.0741699999999996</v>
      </c>
      <c r="G7585" t="s">
        <v>75</v>
      </c>
      <c r="H7585">
        <v>5074.1679999999997</v>
      </c>
      <c r="I7585" t="s">
        <v>76</v>
      </c>
      <c r="J7585" t="s">
        <v>82</v>
      </c>
      <c r="K7585">
        <v>197.07666</v>
      </c>
    </row>
    <row r="7587" spans="1:11" x14ac:dyDescent="0.3">
      <c r="A7587" t="s">
        <v>399</v>
      </c>
    </row>
    <row r="7588" spans="1:11" x14ac:dyDescent="0.3">
      <c r="A7588" t="s">
        <v>72</v>
      </c>
      <c r="B7588">
        <v>1</v>
      </c>
      <c r="C7588" t="s">
        <v>81</v>
      </c>
      <c r="D7588">
        <v>6.8729000000000004E-3</v>
      </c>
      <c r="E7588" t="s">
        <v>74</v>
      </c>
      <c r="F7588">
        <v>6.8728999999999996</v>
      </c>
      <c r="G7588" t="s">
        <v>75</v>
      </c>
      <c r="H7588">
        <v>6872.9</v>
      </c>
      <c r="I7588" t="s">
        <v>76</v>
      </c>
      <c r="J7588" t="s">
        <v>82</v>
      </c>
      <c r="K7588">
        <v>145.49899239999999</v>
      </c>
    </row>
    <row r="7589" spans="1:11" x14ac:dyDescent="0.3">
      <c r="A7589" t="s">
        <v>83</v>
      </c>
      <c r="B7589">
        <v>1000</v>
      </c>
      <c r="C7589" t="s">
        <v>81</v>
      </c>
      <c r="D7589">
        <v>5.3731400000000002E-3</v>
      </c>
      <c r="E7589" t="s">
        <v>74</v>
      </c>
      <c r="F7589">
        <v>5.3731400000000002</v>
      </c>
      <c r="G7589" t="s">
        <v>75</v>
      </c>
      <c r="H7589">
        <v>5373.1409999999996</v>
      </c>
      <c r="I7589" t="s">
        <v>76</v>
      </c>
      <c r="J7589" t="s">
        <v>82</v>
      </c>
      <c r="K7589">
        <v>186.11088649999999</v>
      </c>
    </row>
    <row r="7590" spans="1:11" x14ac:dyDescent="0.3">
      <c r="A7590" t="s">
        <v>85</v>
      </c>
      <c r="B7590">
        <v>1001</v>
      </c>
      <c r="C7590" t="s">
        <v>86</v>
      </c>
      <c r="D7590">
        <v>5.3748299999999997E-3</v>
      </c>
      <c r="E7590" t="s">
        <v>74</v>
      </c>
      <c r="F7590">
        <v>5.3748300000000002</v>
      </c>
      <c r="G7590" t="s">
        <v>75</v>
      </c>
      <c r="H7590">
        <v>5374.826</v>
      </c>
      <c r="I7590" t="s">
        <v>76</v>
      </c>
      <c r="J7590" t="s">
        <v>82</v>
      </c>
      <c r="K7590">
        <v>186.05254980000001</v>
      </c>
    </row>
    <row r="7592" spans="1:11" x14ac:dyDescent="0.3">
      <c r="A7592" t="s">
        <v>66</v>
      </c>
    </row>
    <row r="7594" spans="1:11" x14ac:dyDescent="0.3">
      <c r="A7594" t="s">
        <v>400</v>
      </c>
    </row>
    <row r="7595" spans="1:11" x14ac:dyDescent="0.3">
      <c r="A7595" t="s">
        <v>68</v>
      </c>
    </row>
    <row r="7596" spans="1:11" x14ac:dyDescent="0.3">
      <c r="A7596" t="s">
        <v>69</v>
      </c>
    </row>
    <row r="7597" spans="1:11" x14ac:dyDescent="0.3">
      <c r="A7597" t="s">
        <v>70</v>
      </c>
    </row>
    <row r="7598" spans="1:11" x14ac:dyDescent="0.3">
      <c r="A7598" t="s">
        <v>115</v>
      </c>
    </row>
    <row r="7599" spans="1:11" x14ac:dyDescent="0.3">
      <c r="A7599" t="s">
        <v>384</v>
      </c>
    </row>
    <row r="7600" spans="1:11" x14ac:dyDescent="0.3">
      <c r="A7600" t="s">
        <v>385</v>
      </c>
    </row>
    <row r="7601" spans="1:10" x14ac:dyDescent="0.3">
      <c r="A7601" t="s">
        <v>118</v>
      </c>
    </row>
    <row r="7602" spans="1:10" x14ac:dyDescent="0.3">
      <c r="A7602" t="s">
        <v>119</v>
      </c>
    </row>
    <row r="7603" spans="1:10" x14ac:dyDescent="0.3">
      <c r="A7603" t="s">
        <v>268</v>
      </c>
    </row>
    <row r="7604" spans="1:10" x14ac:dyDescent="0.3">
      <c r="A7604" t="s">
        <v>269</v>
      </c>
    </row>
    <row r="7605" spans="1:10" x14ac:dyDescent="0.3">
      <c r="A7605" t="s">
        <v>386</v>
      </c>
    </row>
    <row r="7606" spans="1:10" x14ac:dyDescent="0.3">
      <c r="A7606" t="s">
        <v>387</v>
      </c>
    </row>
    <row r="7607" spans="1:10" x14ac:dyDescent="0.3">
      <c r="A7607" t="s">
        <v>271</v>
      </c>
    </row>
    <row r="7608" spans="1:10" x14ac:dyDescent="0.3">
      <c r="A7608" t="s">
        <v>125</v>
      </c>
    </row>
    <row r="7609" spans="1:10" x14ac:dyDescent="0.3">
      <c r="A7609" t="s">
        <v>126</v>
      </c>
    </row>
    <row r="7610" spans="1:10" x14ac:dyDescent="0.3">
      <c r="A7610" t="s">
        <v>127</v>
      </c>
    </row>
    <row r="7611" spans="1:10" x14ac:dyDescent="0.3">
      <c r="A7611" t="s">
        <v>146</v>
      </c>
    </row>
    <row r="7612" spans="1:10" x14ac:dyDescent="0.3">
      <c r="A7612" t="s">
        <v>401</v>
      </c>
    </row>
    <row r="7613" spans="1:10" x14ac:dyDescent="0.3">
      <c r="A7613" t="s">
        <v>72</v>
      </c>
      <c r="B7613">
        <v>1</v>
      </c>
      <c r="C7613" t="s">
        <v>73</v>
      </c>
      <c r="D7613">
        <v>3.8999999999999999E-6</v>
      </c>
      <c r="E7613" t="s">
        <v>74</v>
      </c>
      <c r="F7613">
        <v>3.8999999999999998E-3</v>
      </c>
      <c r="G7613" t="s">
        <v>75</v>
      </c>
      <c r="H7613">
        <v>3.9</v>
      </c>
      <c r="I7613" t="s">
        <v>76</v>
      </c>
      <c r="J7613" t="s">
        <v>77</v>
      </c>
    </row>
    <row r="7614" spans="1:10" x14ac:dyDescent="0.3">
      <c r="A7614" t="s">
        <v>72</v>
      </c>
      <c r="B7614">
        <v>1</v>
      </c>
      <c r="C7614" t="s">
        <v>78</v>
      </c>
      <c r="D7614">
        <v>0.14386091000000001</v>
      </c>
      <c r="E7614" t="s">
        <v>74</v>
      </c>
      <c r="F7614">
        <v>143.86090999999999</v>
      </c>
      <c r="G7614" t="s">
        <v>75</v>
      </c>
      <c r="H7614">
        <v>143860.90599999999</v>
      </c>
      <c r="I7614" t="s">
        <v>76</v>
      </c>
      <c r="J7614" t="s">
        <v>77</v>
      </c>
    </row>
    <row r="7615" spans="1:10" x14ac:dyDescent="0.3">
      <c r="A7615" t="s">
        <v>72</v>
      </c>
      <c r="B7615">
        <v>1</v>
      </c>
      <c r="C7615" t="s">
        <v>79</v>
      </c>
      <c r="D7615">
        <v>0.10644389999999999</v>
      </c>
      <c r="E7615" t="s">
        <v>74</v>
      </c>
      <c r="F7615">
        <v>106.4439</v>
      </c>
      <c r="G7615" t="s">
        <v>75</v>
      </c>
      <c r="H7615">
        <v>106443.897</v>
      </c>
      <c r="I7615" t="s">
        <v>76</v>
      </c>
      <c r="J7615" t="s">
        <v>77</v>
      </c>
    </row>
    <row r="7616" spans="1:10" x14ac:dyDescent="0.3">
      <c r="A7616" t="s">
        <v>72</v>
      </c>
      <c r="B7616">
        <v>1</v>
      </c>
      <c r="C7616" t="s">
        <v>94</v>
      </c>
      <c r="D7616">
        <v>9.4882000000000005E-3</v>
      </c>
      <c r="E7616" t="s">
        <v>74</v>
      </c>
      <c r="F7616">
        <v>9.4882000000000009</v>
      </c>
      <c r="G7616" t="s">
        <v>75</v>
      </c>
      <c r="H7616">
        <v>9488.2000000000007</v>
      </c>
      <c r="I7616" t="s">
        <v>76</v>
      </c>
      <c r="J7616" t="s">
        <v>77</v>
      </c>
    </row>
    <row r="7617" spans="1:11" x14ac:dyDescent="0.3">
      <c r="A7617" t="s">
        <v>72</v>
      </c>
      <c r="B7617">
        <v>1</v>
      </c>
      <c r="C7617" t="s">
        <v>80</v>
      </c>
      <c r="D7617">
        <v>9.4889999999999992E-3</v>
      </c>
      <c r="E7617" t="s">
        <v>74</v>
      </c>
      <c r="F7617">
        <v>9.4890000000000008</v>
      </c>
      <c r="G7617" t="s">
        <v>75</v>
      </c>
      <c r="H7617">
        <v>9489</v>
      </c>
      <c r="I7617" t="s">
        <v>76</v>
      </c>
      <c r="J7617" t="s">
        <v>77</v>
      </c>
    </row>
    <row r="7618" spans="1:11" x14ac:dyDescent="0.3">
      <c r="A7618" t="s">
        <v>72</v>
      </c>
      <c r="B7618">
        <v>1</v>
      </c>
      <c r="C7618" t="s">
        <v>81</v>
      </c>
      <c r="D7618">
        <v>0.115935</v>
      </c>
      <c r="E7618" t="s">
        <v>74</v>
      </c>
      <c r="F7618">
        <v>115.935</v>
      </c>
      <c r="G7618" t="s">
        <v>75</v>
      </c>
      <c r="H7618">
        <v>115934.99800000001</v>
      </c>
      <c r="I7618" t="s">
        <v>76</v>
      </c>
      <c r="J7618" t="s">
        <v>82</v>
      </c>
      <c r="K7618">
        <v>8.6255231000000006</v>
      </c>
    </row>
    <row r="7619" spans="1:11" x14ac:dyDescent="0.3">
      <c r="A7619" t="s">
        <v>83</v>
      </c>
      <c r="B7619">
        <v>1000</v>
      </c>
      <c r="C7619" t="s">
        <v>79</v>
      </c>
      <c r="D7619">
        <v>3.3109799999999998E-3</v>
      </c>
      <c r="E7619" t="s">
        <v>74</v>
      </c>
      <c r="F7619">
        <v>3.3109799999999998</v>
      </c>
      <c r="G7619" t="s">
        <v>75</v>
      </c>
      <c r="H7619">
        <v>3310.982</v>
      </c>
      <c r="I7619" t="s">
        <v>76</v>
      </c>
      <c r="J7619" t="s">
        <v>77</v>
      </c>
    </row>
    <row r="7620" spans="1:11" x14ac:dyDescent="0.3">
      <c r="A7620" t="s">
        <v>83</v>
      </c>
      <c r="B7620">
        <v>1000</v>
      </c>
      <c r="C7620" t="s">
        <v>94</v>
      </c>
      <c r="D7620">
        <v>2.55923E-3</v>
      </c>
      <c r="E7620" t="s">
        <v>74</v>
      </c>
      <c r="F7620">
        <v>2.5592299999999999</v>
      </c>
      <c r="G7620" t="s">
        <v>75</v>
      </c>
      <c r="H7620">
        <v>2559.2269999999999</v>
      </c>
      <c r="I7620" t="s">
        <v>76</v>
      </c>
      <c r="J7620" t="s">
        <v>77</v>
      </c>
    </row>
    <row r="7621" spans="1:11" x14ac:dyDescent="0.3">
      <c r="A7621" t="s">
        <v>83</v>
      </c>
      <c r="B7621">
        <v>1000</v>
      </c>
      <c r="C7621" t="s">
        <v>80</v>
      </c>
      <c r="D7621">
        <v>2.70324E-3</v>
      </c>
      <c r="E7621" t="s">
        <v>74</v>
      </c>
      <c r="F7621">
        <v>2.7032400000000001</v>
      </c>
      <c r="G7621" t="s">
        <v>75</v>
      </c>
      <c r="H7621">
        <v>2703.239</v>
      </c>
      <c r="I7621" t="s">
        <v>76</v>
      </c>
      <c r="J7621" t="s">
        <v>77</v>
      </c>
    </row>
    <row r="7622" spans="1:11" x14ac:dyDescent="0.3">
      <c r="A7622" t="s">
        <v>83</v>
      </c>
      <c r="B7622">
        <v>1000</v>
      </c>
      <c r="C7622" t="s">
        <v>81</v>
      </c>
      <c r="D7622">
        <v>6.0151299999999996E-3</v>
      </c>
      <c r="E7622" t="s">
        <v>74</v>
      </c>
      <c r="F7622">
        <v>6.0151300000000001</v>
      </c>
      <c r="G7622" t="s">
        <v>75</v>
      </c>
      <c r="H7622">
        <v>6015.1260000000002</v>
      </c>
      <c r="I7622" t="s">
        <v>76</v>
      </c>
      <c r="J7622" t="s">
        <v>82</v>
      </c>
      <c r="K7622">
        <v>166.2475503</v>
      </c>
    </row>
    <row r="7623" spans="1:11" x14ac:dyDescent="0.3">
      <c r="A7623" t="s">
        <v>84</v>
      </c>
      <c r="B7623">
        <v>1001</v>
      </c>
      <c r="C7623" t="s">
        <v>79</v>
      </c>
      <c r="D7623">
        <v>3.4140099999999999E-3</v>
      </c>
      <c r="E7623" t="s">
        <v>74</v>
      </c>
      <c r="F7623">
        <v>3.4140100000000002</v>
      </c>
      <c r="G7623" t="s">
        <v>75</v>
      </c>
      <c r="H7623">
        <v>3414.0129999999999</v>
      </c>
      <c r="I7623" t="s">
        <v>76</v>
      </c>
      <c r="J7623" t="s">
        <v>77</v>
      </c>
    </row>
    <row r="7624" spans="1:11" x14ac:dyDescent="0.3">
      <c r="A7624" t="s">
        <v>84</v>
      </c>
      <c r="B7624">
        <v>1001</v>
      </c>
      <c r="C7624" t="s">
        <v>94</v>
      </c>
      <c r="D7624">
        <v>2.5661500000000001E-3</v>
      </c>
      <c r="E7624" t="s">
        <v>74</v>
      </c>
      <c r="F7624">
        <v>2.5661499999999999</v>
      </c>
      <c r="G7624" t="s">
        <v>75</v>
      </c>
      <c r="H7624">
        <v>2566.1489999999999</v>
      </c>
      <c r="I7624" t="s">
        <v>76</v>
      </c>
      <c r="J7624" t="s">
        <v>77</v>
      </c>
    </row>
    <row r="7625" spans="1:11" x14ac:dyDescent="0.3">
      <c r="A7625" t="s">
        <v>84</v>
      </c>
      <c r="B7625">
        <v>1001</v>
      </c>
      <c r="C7625" t="s">
        <v>80</v>
      </c>
      <c r="D7625">
        <v>2.7100200000000001E-3</v>
      </c>
      <c r="E7625" t="s">
        <v>74</v>
      </c>
      <c r="F7625">
        <v>2.7100200000000001</v>
      </c>
      <c r="G7625" t="s">
        <v>75</v>
      </c>
      <c r="H7625">
        <v>2710.018</v>
      </c>
      <c r="I7625" t="s">
        <v>76</v>
      </c>
      <c r="J7625" t="s">
        <v>77</v>
      </c>
    </row>
    <row r="7626" spans="1:11" x14ac:dyDescent="0.3">
      <c r="A7626" t="s">
        <v>84</v>
      </c>
      <c r="B7626">
        <v>1001</v>
      </c>
      <c r="C7626" t="s">
        <v>81</v>
      </c>
      <c r="D7626">
        <v>6.1249399999999997E-3</v>
      </c>
      <c r="E7626" t="s">
        <v>74</v>
      </c>
      <c r="F7626">
        <v>6.1249399999999996</v>
      </c>
      <c r="G7626" t="s">
        <v>75</v>
      </c>
      <c r="H7626">
        <v>6124.9369999999999</v>
      </c>
      <c r="I7626" t="s">
        <v>76</v>
      </c>
      <c r="J7626" t="s">
        <v>82</v>
      </c>
      <c r="K7626">
        <v>163.2669956</v>
      </c>
    </row>
    <row r="7627" spans="1:11" x14ac:dyDescent="0.3">
      <c r="A7627" t="s">
        <v>85</v>
      </c>
      <c r="B7627">
        <v>1001</v>
      </c>
      <c r="C7627" t="s">
        <v>86</v>
      </c>
      <c r="D7627">
        <v>6.1251200000000004E-3</v>
      </c>
      <c r="E7627" t="s">
        <v>74</v>
      </c>
      <c r="F7627">
        <v>6.1251199999999999</v>
      </c>
      <c r="G7627" t="s">
        <v>75</v>
      </c>
      <c r="H7627">
        <v>6125.1189999999997</v>
      </c>
      <c r="I7627" t="s">
        <v>76</v>
      </c>
      <c r="J7627" t="s">
        <v>82</v>
      </c>
      <c r="K7627">
        <v>163.26214519999999</v>
      </c>
    </row>
    <row r="7628" spans="1:11" x14ac:dyDescent="0.3">
      <c r="A7628" t="s">
        <v>148</v>
      </c>
    </row>
    <row r="7629" spans="1:11" x14ac:dyDescent="0.3">
      <c r="A7629" t="s">
        <v>402</v>
      </c>
    </row>
    <row r="7630" spans="1:11" x14ac:dyDescent="0.3">
      <c r="A7630" t="s">
        <v>72</v>
      </c>
      <c r="B7630">
        <v>1</v>
      </c>
      <c r="C7630" t="s">
        <v>73</v>
      </c>
      <c r="D7630">
        <v>3.8999999999999999E-6</v>
      </c>
      <c r="E7630" t="s">
        <v>74</v>
      </c>
      <c r="F7630">
        <v>3.8999999999999998E-3</v>
      </c>
      <c r="G7630" t="s">
        <v>75</v>
      </c>
      <c r="H7630">
        <v>3.9</v>
      </c>
      <c r="I7630" t="s">
        <v>76</v>
      </c>
      <c r="J7630" t="s">
        <v>77</v>
      </c>
    </row>
    <row r="7631" spans="1:11" x14ac:dyDescent="0.3">
      <c r="A7631" t="s">
        <v>72</v>
      </c>
      <c r="B7631">
        <v>1</v>
      </c>
      <c r="C7631" t="s">
        <v>78</v>
      </c>
      <c r="D7631">
        <v>5.9259999999999998E-4</v>
      </c>
      <c r="E7631" t="s">
        <v>74</v>
      </c>
      <c r="F7631">
        <v>0.59260000000000002</v>
      </c>
      <c r="G7631" t="s">
        <v>75</v>
      </c>
      <c r="H7631">
        <v>592.6</v>
      </c>
      <c r="I7631" t="s">
        <v>76</v>
      </c>
      <c r="J7631" t="s">
        <v>77</v>
      </c>
    </row>
    <row r="7632" spans="1:11" x14ac:dyDescent="0.3">
      <c r="A7632" t="s">
        <v>72</v>
      </c>
      <c r="B7632">
        <v>1</v>
      </c>
      <c r="C7632" t="s">
        <v>79</v>
      </c>
      <c r="D7632">
        <v>5.1485999999999997E-3</v>
      </c>
      <c r="E7632" t="s">
        <v>74</v>
      </c>
      <c r="F7632">
        <v>5.1486000000000001</v>
      </c>
      <c r="G7632" t="s">
        <v>75</v>
      </c>
      <c r="H7632">
        <v>5148.6000000000004</v>
      </c>
      <c r="I7632" t="s">
        <v>76</v>
      </c>
      <c r="J7632" t="s">
        <v>77</v>
      </c>
    </row>
    <row r="7633" spans="1:11" x14ac:dyDescent="0.3">
      <c r="A7633" t="s">
        <v>72</v>
      </c>
      <c r="B7633">
        <v>1</v>
      </c>
      <c r="C7633" t="s">
        <v>94</v>
      </c>
      <c r="D7633">
        <v>2.7612000000000001E-3</v>
      </c>
      <c r="E7633" t="s">
        <v>74</v>
      </c>
      <c r="F7633">
        <v>2.7612000000000001</v>
      </c>
      <c r="G7633" t="s">
        <v>75</v>
      </c>
      <c r="H7633">
        <v>2761.2</v>
      </c>
      <c r="I7633" t="s">
        <v>76</v>
      </c>
      <c r="J7633" t="s">
        <v>77</v>
      </c>
    </row>
    <row r="7634" spans="1:11" x14ac:dyDescent="0.3">
      <c r="A7634" t="s">
        <v>72</v>
      </c>
      <c r="B7634">
        <v>1</v>
      </c>
      <c r="C7634" t="s">
        <v>80</v>
      </c>
      <c r="D7634">
        <v>2.8907999999999998E-3</v>
      </c>
      <c r="E7634" t="s">
        <v>74</v>
      </c>
      <c r="F7634">
        <v>2.8908</v>
      </c>
      <c r="G7634" t="s">
        <v>75</v>
      </c>
      <c r="H7634">
        <v>2890.8</v>
      </c>
      <c r="I7634" t="s">
        <v>76</v>
      </c>
      <c r="J7634" t="s">
        <v>77</v>
      </c>
    </row>
    <row r="7635" spans="1:11" x14ac:dyDescent="0.3">
      <c r="A7635" t="s">
        <v>72</v>
      </c>
      <c r="B7635">
        <v>1</v>
      </c>
      <c r="C7635" t="s">
        <v>81</v>
      </c>
      <c r="D7635">
        <v>8.0411000000000007E-3</v>
      </c>
      <c r="E7635" t="s">
        <v>74</v>
      </c>
      <c r="F7635">
        <v>8.0411000000000001</v>
      </c>
      <c r="G7635" t="s">
        <v>75</v>
      </c>
      <c r="H7635">
        <v>8041.1</v>
      </c>
      <c r="I7635" t="s">
        <v>76</v>
      </c>
      <c r="J7635" t="s">
        <v>82</v>
      </c>
      <c r="K7635">
        <v>124.3611004</v>
      </c>
    </row>
    <row r="7636" spans="1:11" x14ac:dyDescent="0.3">
      <c r="A7636" t="s">
        <v>83</v>
      </c>
      <c r="B7636">
        <v>1000</v>
      </c>
      <c r="C7636" t="s">
        <v>79</v>
      </c>
      <c r="D7636">
        <v>3.8813900000000002E-3</v>
      </c>
      <c r="E7636" t="s">
        <v>74</v>
      </c>
      <c r="F7636">
        <v>3.8813900000000001</v>
      </c>
      <c r="G7636" t="s">
        <v>75</v>
      </c>
      <c r="H7636">
        <v>3881.39</v>
      </c>
      <c r="I7636" t="s">
        <v>76</v>
      </c>
      <c r="J7636" t="s">
        <v>77</v>
      </c>
    </row>
    <row r="7637" spans="1:11" x14ac:dyDescent="0.3">
      <c r="A7637" t="s">
        <v>83</v>
      </c>
      <c r="B7637">
        <v>1000</v>
      </c>
      <c r="C7637" t="s">
        <v>94</v>
      </c>
      <c r="D7637">
        <v>2.6532399999999999E-3</v>
      </c>
      <c r="E7637" t="s">
        <v>74</v>
      </c>
      <c r="F7637">
        <v>2.6532399999999998</v>
      </c>
      <c r="G7637" t="s">
        <v>75</v>
      </c>
      <c r="H7637">
        <v>2653.2420000000002</v>
      </c>
      <c r="I7637" t="s">
        <v>76</v>
      </c>
      <c r="J7637" t="s">
        <v>77</v>
      </c>
    </row>
    <row r="7638" spans="1:11" x14ac:dyDescent="0.3">
      <c r="A7638" t="s">
        <v>83</v>
      </c>
      <c r="B7638">
        <v>1000</v>
      </c>
      <c r="C7638" t="s">
        <v>80</v>
      </c>
      <c r="D7638">
        <v>2.7819699999999999E-3</v>
      </c>
      <c r="E7638" t="s">
        <v>74</v>
      </c>
      <c r="F7638">
        <v>2.7819699999999998</v>
      </c>
      <c r="G7638" t="s">
        <v>75</v>
      </c>
      <c r="H7638">
        <v>2781.9679999999998</v>
      </c>
      <c r="I7638" t="s">
        <v>76</v>
      </c>
      <c r="J7638" t="s">
        <v>77</v>
      </c>
    </row>
    <row r="7639" spans="1:11" x14ac:dyDescent="0.3">
      <c r="A7639" t="s">
        <v>83</v>
      </c>
      <c r="B7639">
        <v>1000</v>
      </c>
      <c r="C7639" t="s">
        <v>81</v>
      </c>
      <c r="D7639">
        <v>6.6646600000000002E-3</v>
      </c>
      <c r="E7639" t="s">
        <v>74</v>
      </c>
      <c r="F7639">
        <v>6.6646599999999996</v>
      </c>
      <c r="G7639" t="s">
        <v>75</v>
      </c>
      <c r="H7639">
        <v>6664.6580000000004</v>
      </c>
      <c r="I7639" t="s">
        <v>76</v>
      </c>
      <c r="J7639" t="s">
        <v>82</v>
      </c>
      <c r="K7639">
        <v>150.04521779999999</v>
      </c>
    </row>
    <row r="7640" spans="1:11" x14ac:dyDescent="0.3">
      <c r="A7640" t="s">
        <v>84</v>
      </c>
      <c r="B7640">
        <v>1001</v>
      </c>
      <c r="C7640" t="s">
        <v>79</v>
      </c>
      <c r="D7640">
        <v>3.88266E-3</v>
      </c>
      <c r="E7640" t="s">
        <v>74</v>
      </c>
      <c r="F7640">
        <v>3.88266</v>
      </c>
      <c r="G7640" t="s">
        <v>75</v>
      </c>
      <c r="H7640">
        <v>3882.6559999999999</v>
      </c>
      <c r="I7640" t="s">
        <v>76</v>
      </c>
      <c r="J7640" t="s">
        <v>77</v>
      </c>
    </row>
    <row r="7641" spans="1:11" x14ac:dyDescent="0.3">
      <c r="A7641" t="s">
        <v>84</v>
      </c>
      <c r="B7641">
        <v>1001</v>
      </c>
      <c r="C7641" t="s">
        <v>94</v>
      </c>
      <c r="D7641">
        <v>2.6533500000000001E-3</v>
      </c>
      <c r="E7641" t="s">
        <v>74</v>
      </c>
      <c r="F7641">
        <v>2.6533500000000001</v>
      </c>
      <c r="G7641" t="s">
        <v>75</v>
      </c>
      <c r="H7641">
        <v>2653.35</v>
      </c>
      <c r="I7641" t="s">
        <v>76</v>
      </c>
      <c r="J7641" t="s">
        <v>77</v>
      </c>
    </row>
    <row r="7642" spans="1:11" x14ac:dyDescent="0.3">
      <c r="A7642" t="s">
        <v>84</v>
      </c>
      <c r="B7642">
        <v>1001</v>
      </c>
      <c r="C7642" t="s">
        <v>80</v>
      </c>
      <c r="D7642">
        <v>2.7820800000000001E-3</v>
      </c>
      <c r="E7642" t="s">
        <v>74</v>
      </c>
      <c r="F7642">
        <v>2.7820800000000001</v>
      </c>
      <c r="G7642" t="s">
        <v>75</v>
      </c>
      <c r="H7642">
        <v>2782.0770000000002</v>
      </c>
      <c r="I7642" t="s">
        <v>76</v>
      </c>
      <c r="J7642" t="s">
        <v>77</v>
      </c>
    </row>
    <row r="7643" spans="1:11" x14ac:dyDescent="0.3">
      <c r="A7643" t="s">
        <v>84</v>
      </c>
      <c r="B7643">
        <v>1001</v>
      </c>
      <c r="C7643" t="s">
        <v>81</v>
      </c>
      <c r="D7643">
        <v>6.6660299999999999E-3</v>
      </c>
      <c r="E7643" t="s">
        <v>74</v>
      </c>
      <c r="F7643">
        <v>6.6660300000000001</v>
      </c>
      <c r="G7643" t="s">
        <v>75</v>
      </c>
      <c r="H7643">
        <v>6666.0320000000002</v>
      </c>
      <c r="I7643" t="s">
        <v>76</v>
      </c>
      <c r="J7643" t="s">
        <v>82</v>
      </c>
      <c r="K7643">
        <v>150.01427090000001</v>
      </c>
    </row>
    <row r="7644" spans="1:11" x14ac:dyDescent="0.3">
      <c r="A7644" t="s">
        <v>85</v>
      </c>
      <c r="B7644">
        <v>1001</v>
      </c>
      <c r="C7644" t="s">
        <v>86</v>
      </c>
      <c r="D7644">
        <v>6.6662600000000002E-3</v>
      </c>
      <c r="E7644" t="s">
        <v>74</v>
      </c>
      <c r="F7644">
        <v>6.6662600000000003</v>
      </c>
      <c r="G7644" t="s">
        <v>75</v>
      </c>
      <c r="H7644">
        <v>6666.26</v>
      </c>
      <c r="I7644" t="s">
        <v>76</v>
      </c>
      <c r="J7644" t="s">
        <v>82</v>
      </c>
      <c r="K7644">
        <v>150.0091468</v>
      </c>
    </row>
    <row r="7645" spans="1:11" x14ac:dyDescent="0.3">
      <c r="A7645" t="s">
        <v>115</v>
      </c>
    </row>
    <row r="7646" spans="1:11" x14ac:dyDescent="0.3">
      <c r="A7646" t="s">
        <v>127</v>
      </c>
    </row>
    <row r="7647" spans="1:11" x14ac:dyDescent="0.3">
      <c r="A7647" t="s">
        <v>87</v>
      </c>
    </row>
    <row r="7648" spans="1:11" x14ac:dyDescent="0.3">
      <c r="A7648" t="s">
        <v>403</v>
      </c>
    </row>
    <row r="7649" spans="1:11" x14ac:dyDescent="0.3">
      <c r="A7649" t="s">
        <v>72</v>
      </c>
      <c r="B7649">
        <v>1</v>
      </c>
      <c r="C7649" t="s">
        <v>81</v>
      </c>
      <c r="D7649">
        <v>0.115935</v>
      </c>
      <c r="E7649" t="s">
        <v>74</v>
      </c>
      <c r="F7649">
        <v>115.935</v>
      </c>
      <c r="G7649" t="s">
        <v>75</v>
      </c>
      <c r="H7649">
        <v>115934.99800000001</v>
      </c>
      <c r="I7649" t="s">
        <v>76</v>
      </c>
      <c r="J7649" t="s">
        <v>82</v>
      </c>
      <c r="K7649">
        <v>8.6255231000000006</v>
      </c>
    </row>
    <row r="7650" spans="1:11" x14ac:dyDescent="0.3">
      <c r="A7650" t="s">
        <v>83</v>
      </c>
      <c r="B7650">
        <v>1000</v>
      </c>
      <c r="C7650" t="s">
        <v>81</v>
      </c>
      <c r="D7650">
        <v>6.0151299999999996E-3</v>
      </c>
      <c r="E7650" t="s">
        <v>74</v>
      </c>
      <c r="F7650">
        <v>6.0151300000000001</v>
      </c>
      <c r="G7650" t="s">
        <v>75</v>
      </c>
      <c r="H7650">
        <v>6015.1260000000002</v>
      </c>
      <c r="I7650" t="s">
        <v>76</v>
      </c>
      <c r="J7650" t="s">
        <v>82</v>
      </c>
      <c r="K7650">
        <v>166.2475503</v>
      </c>
    </row>
    <row r="7651" spans="1:11" x14ac:dyDescent="0.3">
      <c r="A7651" t="s">
        <v>85</v>
      </c>
      <c r="B7651">
        <v>1001</v>
      </c>
      <c r="C7651" t="s">
        <v>86</v>
      </c>
      <c r="D7651">
        <v>6.1251200000000004E-3</v>
      </c>
      <c r="E7651" t="s">
        <v>74</v>
      </c>
      <c r="F7651">
        <v>6.1251199999999999</v>
      </c>
      <c r="G7651" t="s">
        <v>75</v>
      </c>
      <c r="H7651">
        <v>6125.1189999999997</v>
      </c>
      <c r="I7651" t="s">
        <v>76</v>
      </c>
      <c r="J7651" t="s">
        <v>82</v>
      </c>
      <c r="K7651">
        <v>163.26214519999999</v>
      </c>
    </row>
    <row r="7653" spans="1:11" x14ac:dyDescent="0.3">
      <c r="A7653" t="s">
        <v>404</v>
      </c>
    </row>
    <row r="7654" spans="1:11" x14ac:dyDescent="0.3">
      <c r="A7654" t="s">
        <v>72</v>
      </c>
      <c r="B7654">
        <v>1</v>
      </c>
      <c r="C7654" t="s">
        <v>81</v>
      </c>
      <c r="D7654">
        <v>8.0411000000000007E-3</v>
      </c>
      <c r="E7654" t="s">
        <v>74</v>
      </c>
      <c r="F7654">
        <v>8.0411000000000001</v>
      </c>
      <c r="G7654" t="s">
        <v>75</v>
      </c>
      <c r="H7654">
        <v>8041.1</v>
      </c>
      <c r="I7654" t="s">
        <v>76</v>
      </c>
      <c r="J7654" t="s">
        <v>82</v>
      </c>
      <c r="K7654">
        <v>124.3611004</v>
      </c>
    </row>
    <row r="7655" spans="1:11" x14ac:dyDescent="0.3">
      <c r="A7655" t="s">
        <v>83</v>
      </c>
      <c r="B7655">
        <v>1000</v>
      </c>
      <c r="C7655" t="s">
        <v>81</v>
      </c>
      <c r="D7655">
        <v>6.6646600000000002E-3</v>
      </c>
      <c r="E7655" t="s">
        <v>74</v>
      </c>
      <c r="F7655">
        <v>6.6646599999999996</v>
      </c>
      <c r="G7655" t="s">
        <v>75</v>
      </c>
      <c r="H7655">
        <v>6664.6580000000004</v>
      </c>
      <c r="I7655" t="s">
        <v>76</v>
      </c>
      <c r="J7655" t="s">
        <v>82</v>
      </c>
      <c r="K7655">
        <v>150.04521779999999</v>
      </c>
    </row>
    <row r="7656" spans="1:11" x14ac:dyDescent="0.3">
      <c r="A7656" t="s">
        <v>85</v>
      </c>
      <c r="B7656">
        <v>1001</v>
      </c>
      <c r="C7656" t="s">
        <v>86</v>
      </c>
      <c r="D7656">
        <v>6.6662600000000002E-3</v>
      </c>
      <c r="E7656" t="s">
        <v>74</v>
      </c>
      <c r="F7656">
        <v>6.6662600000000003</v>
      </c>
      <c r="G7656" t="s">
        <v>75</v>
      </c>
      <c r="H7656">
        <v>6666.26</v>
      </c>
      <c r="I7656" t="s">
        <v>76</v>
      </c>
      <c r="J7656" t="s">
        <v>82</v>
      </c>
      <c r="K7656">
        <v>150.0091468</v>
      </c>
    </row>
    <row r="7658" spans="1:11" x14ac:dyDescent="0.3">
      <c r="A7658" t="s">
        <v>66</v>
      </c>
    </row>
    <row r="7660" spans="1:11" x14ac:dyDescent="0.3">
      <c r="A7660" t="s">
        <v>405</v>
      </c>
    </row>
    <row r="7661" spans="1:11" x14ac:dyDescent="0.3">
      <c r="A7661" t="s">
        <v>68</v>
      </c>
    </row>
    <row r="7662" spans="1:11" x14ac:dyDescent="0.3">
      <c r="A7662" t="s">
        <v>69</v>
      </c>
    </row>
    <row r="7663" spans="1:11" x14ac:dyDescent="0.3">
      <c r="A7663" t="s">
        <v>70</v>
      </c>
    </row>
    <row r="7664" spans="1:11" x14ac:dyDescent="0.3">
      <c r="A7664" t="s">
        <v>115</v>
      </c>
    </row>
    <row r="7665" spans="1:10" x14ac:dyDescent="0.3">
      <c r="A7665" t="s">
        <v>384</v>
      </c>
    </row>
    <row r="7666" spans="1:10" x14ac:dyDescent="0.3">
      <c r="A7666" t="s">
        <v>385</v>
      </c>
    </row>
    <row r="7667" spans="1:10" x14ac:dyDescent="0.3">
      <c r="A7667" t="s">
        <v>118</v>
      </c>
    </row>
    <row r="7668" spans="1:10" x14ac:dyDescent="0.3">
      <c r="A7668" t="s">
        <v>119</v>
      </c>
    </row>
    <row r="7669" spans="1:10" x14ac:dyDescent="0.3">
      <c r="A7669" t="s">
        <v>268</v>
      </c>
    </row>
    <row r="7670" spans="1:10" x14ac:dyDescent="0.3">
      <c r="A7670" t="s">
        <v>269</v>
      </c>
    </row>
    <row r="7671" spans="1:10" x14ac:dyDescent="0.3">
      <c r="A7671" t="s">
        <v>386</v>
      </c>
    </row>
    <row r="7672" spans="1:10" x14ac:dyDescent="0.3">
      <c r="A7672" t="s">
        <v>387</v>
      </c>
    </row>
    <row r="7673" spans="1:10" x14ac:dyDescent="0.3">
      <c r="A7673" t="s">
        <v>271</v>
      </c>
    </row>
    <row r="7674" spans="1:10" x14ac:dyDescent="0.3">
      <c r="A7674" t="s">
        <v>125</v>
      </c>
    </row>
    <row r="7675" spans="1:10" x14ac:dyDescent="0.3">
      <c r="A7675" t="s">
        <v>126</v>
      </c>
    </row>
    <row r="7676" spans="1:10" x14ac:dyDescent="0.3">
      <c r="A7676" t="s">
        <v>127</v>
      </c>
    </row>
    <row r="7677" spans="1:10" x14ac:dyDescent="0.3">
      <c r="A7677" t="s">
        <v>153</v>
      </c>
    </row>
    <row r="7678" spans="1:10" x14ac:dyDescent="0.3">
      <c r="A7678" t="s">
        <v>406</v>
      </c>
    </row>
    <row r="7679" spans="1:10" x14ac:dyDescent="0.3">
      <c r="A7679" t="s">
        <v>72</v>
      </c>
      <c r="B7679">
        <v>1</v>
      </c>
      <c r="C7679" t="s">
        <v>73</v>
      </c>
      <c r="D7679">
        <v>4.4000000000000002E-6</v>
      </c>
      <c r="E7679" t="s">
        <v>74</v>
      </c>
      <c r="F7679">
        <v>4.4000000000000003E-3</v>
      </c>
      <c r="G7679" t="s">
        <v>75</v>
      </c>
      <c r="H7679">
        <v>4.4000000000000004</v>
      </c>
      <c r="I7679" t="s">
        <v>76</v>
      </c>
      <c r="J7679" t="s">
        <v>77</v>
      </c>
    </row>
    <row r="7680" spans="1:10" x14ac:dyDescent="0.3">
      <c r="A7680" t="s">
        <v>72</v>
      </c>
      <c r="B7680">
        <v>1</v>
      </c>
      <c r="C7680" t="s">
        <v>78</v>
      </c>
      <c r="D7680">
        <v>0.1325759</v>
      </c>
      <c r="E7680" t="s">
        <v>74</v>
      </c>
      <c r="F7680">
        <v>132.57589999999999</v>
      </c>
      <c r="G7680" t="s">
        <v>75</v>
      </c>
      <c r="H7680">
        <v>132575.899</v>
      </c>
      <c r="I7680" t="s">
        <v>76</v>
      </c>
      <c r="J7680" t="s">
        <v>77</v>
      </c>
    </row>
    <row r="7681" spans="1:11" x14ac:dyDescent="0.3">
      <c r="A7681" t="s">
        <v>72</v>
      </c>
      <c r="B7681">
        <v>1</v>
      </c>
      <c r="C7681" t="s">
        <v>79</v>
      </c>
      <c r="D7681">
        <v>0.16686029999999999</v>
      </c>
      <c r="E7681" t="s">
        <v>74</v>
      </c>
      <c r="F7681">
        <v>166.8603</v>
      </c>
      <c r="G7681" t="s">
        <v>75</v>
      </c>
      <c r="H7681">
        <v>166860.29699999999</v>
      </c>
      <c r="I7681" t="s">
        <v>76</v>
      </c>
      <c r="J7681" t="s">
        <v>77</v>
      </c>
    </row>
    <row r="7682" spans="1:11" x14ac:dyDescent="0.3">
      <c r="A7682" t="s">
        <v>72</v>
      </c>
      <c r="B7682">
        <v>1</v>
      </c>
      <c r="C7682" t="s">
        <v>94</v>
      </c>
      <c r="D7682">
        <v>1.94509E-2</v>
      </c>
      <c r="E7682" t="s">
        <v>74</v>
      </c>
      <c r="F7682">
        <v>19.450900000000001</v>
      </c>
      <c r="G7682" t="s">
        <v>75</v>
      </c>
      <c r="H7682">
        <v>19450.899000000001</v>
      </c>
      <c r="I7682" t="s">
        <v>76</v>
      </c>
      <c r="J7682" t="s">
        <v>77</v>
      </c>
    </row>
    <row r="7683" spans="1:11" x14ac:dyDescent="0.3">
      <c r="A7683" t="s">
        <v>72</v>
      </c>
      <c r="B7683">
        <v>1</v>
      </c>
      <c r="C7683" t="s">
        <v>80</v>
      </c>
      <c r="D7683">
        <v>1.94515E-2</v>
      </c>
      <c r="E7683" t="s">
        <v>74</v>
      </c>
      <c r="F7683">
        <v>19.451499999999999</v>
      </c>
      <c r="G7683" t="s">
        <v>75</v>
      </c>
      <c r="H7683">
        <v>19451.501</v>
      </c>
      <c r="I7683" t="s">
        <v>76</v>
      </c>
      <c r="J7683" t="s">
        <v>77</v>
      </c>
    </row>
    <row r="7684" spans="1:11" x14ac:dyDescent="0.3">
      <c r="A7684" t="s">
        <v>72</v>
      </c>
      <c r="B7684">
        <v>1</v>
      </c>
      <c r="C7684" t="s">
        <v>81</v>
      </c>
      <c r="D7684">
        <v>0.18631429999999999</v>
      </c>
      <c r="E7684" t="s">
        <v>74</v>
      </c>
      <c r="F7684">
        <v>186.3143</v>
      </c>
      <c r="G7684" t="s">
        <v>75</v>
      </c>
      <c r="H7684">
        <v>186314.3</v>
      </c>
      <c r="I7684" t="s">
        <v>76</v>
      </c>
      <c r="J7684" t="s">
        <v>82</v>
      </c>
      <c r="K7684">
        <v>5.3672746</v>
      </c>
    </row>
    <row r="7685" spans="1:11" x14ac:dyDescent="0.3">
      <c r="A7685" t="s">
        <v>83</v>
      </c>
      <c r="B7685">
        <v>1000</v>
      </c>
      <c r="C7685" t="s">
        <v>79</v>
      </c>
      <c r="D7685">
        <v>4.8897000000000003E-4</v>
      </c>
      <c r="E7685" t="s">
        <v>74</v>
      </c>
      <c r="F7685">
        <v>0.48897000000000002</v>
      </c>
      <c r="G7685" t="s">
        <v>75</v>
      </c>
      <c r="H7685">
        <v>488.96600000000001</v>
      </c>
      <c r="I7685" t="s">
        <v>76</v>
      </c>
      <c r="J7685" t="s">
        <v>77</v>
      </c>
    </row>
    <row r="7686" spans="1:11" x14ac:dyDescent="0.3">
      <c r="A7686" t="s">
        <v>83</v>
      </c>
      <c r="B7686">
        <v>1000</v>
      </c>
      <c r="C7686" t="s">
        <v>94</v>
      </c>
      <c r="D7686">
        <v>1.86229E-3</v>
      </c>
      <c r="E7686" t="s">
        <v>74</v>
      </c>
      <c r="F7686">
        <v>1.86229</v>
      </c>
      <c r="G7686" t="s">
        <v>75</v>
      </c>
      <c r="H7686">
        <v>1862.289</v>
      </c>
      <c r="I7686" t="s">
        <v>76</v>
      </c>
      <c r="J7686" t="s">
        <v>77</v>
      </c>
    </row>
    <row r="7687" spans="1:11" x14ac:dyDescent="0.3">
      <c r="A7687" t="s">
        <v>83</v>
      </c>
      <c r="B7687">
        <v>1000</v>
      </c>
      <c r="C7687" t="s">
        <v>80</v>
      </c>
      <c r="D7687">
        <v>1.8625200000000001E-3</v>
      </c>
      <c r="E7687" t="s">
        <v>74</v>
      </c>
      <c r="F7687">
        <v>1.86252</v>
      </c>
      <c r="G7687" t="s">
        <v>75</v>
      </c>
      <c r="H7687">
        <v>1862.5170000000001</v>
      </c>
      <c r="I7687" t="s">
        <v>76</v>
      </c>
      <c r="J7687" t="s">
        <v>77</v>
      </c>
    </row>
    <row r="7688" spans="1:11" x14ac:dyDescent="0.3">
      <c r="A7688" t="s">
        <v>83</v>
      </c>
      <c r="B7688">
        <v>1000</v>
      </c>
      <c r="C7688" t="s">
        <v>81</v>
      </c>
      <c r="D7688">
        <v>2.3519499999999998E-3</v>
      </c>
      <c r="E7688" t="s">
        <v>74</v>
      </c>
      <c r="F7688">
        <v>2.35195</v>
      </c>
      <c r="G7688" t="s">
        <v>75</v>
      </c>
      <c r="H7688">
        <v>2351.9479999999999</v>
      </c>
      <c r="I7688" t="s">
        <v>76</v>
      </c>
      <c r="J7688" t="s">
        <v>82</v>
      </c>
      <c r="K7688">
        <v>425.17946410000002</v>
      </c>
    </row>
    <row r="7689" spans="1:11" x14ac:dyDescent="0.3">
      <c r="A7689" t="s">
        <v>84</v>
      </c>
      <c r="B7689">
        <v>1001</v>
      </c>
      <c r="C7689" t="s">
        <v>79</v>
      </c>
      <c r="D7689">
        <v>6.5516999999999995E-4</v>
      </c>
      <c r="E7689" t="s">
        <v>74</v>
      </c>
      <c r="F7689">
        <v>0.65517000000000003</v>
      </c>
      <c r="G7689" t="s">
        <v>75</v>
      </c>
      <c r="H7689">
        <v>655.17100000000005</v>
      </c>
      <c r="I7689" t="s">
        <v>76</v>
      </c>
      <c r="J7689" t="s">
        <v>77</v>
      </c>
    </row>
    <row r="7690" spans="1:11" x14ac:dyDescent="0.3">
      <c r="A7690" t="s">
        <v>84</v>
      </c>
      <c r="B7690">
        <v>1001</v>
      </c>
      <c r="C7690" t="s">
        <v>94</v>
      </c>
      <c r="D7690">
        <v>1.8798599999999999E-3</v>
      </c>
      <c r="E7690" t="s">
        <v>74</v>
      </c>
      <c r="F7690">
        <v>1.8798600000000001</v>
      </c>
      <c r="G7690" t="s">
        <v>75</v>
      </c>
      <c r="H7690">
        <v>1879.86</v>
      </c>
      <c r="I7690" t="s">
        <v>76</v>
      </c>
      <c r="J7690" t="s">
        <v>77</v>
      </c>
    </row>
    <row r="7691" spans="1:11" x14ac:dyDescent="0.3">
      <c r="A7691" t="s">
        <v>84</v>
      </c>
      <c r="B7691">
        <v>1001</v>
      </c>
      <c r="C7691" t="s">
        <v>80</v>
      </c>
      <c r="D7691">
        <v>1.8800900000000001E-3</v>
      </c>
      <c r="E7691" t="s">
        <v>74</v>
      </c>
      <c r="F7691">
        <v>1.88009</v>
      </c>
      <c r="G7691" t="s">
        <v>75</v>
      </c>
      <c r="H7691">
        <v>1880.088</v>
      </c>
      <c r="I7691" t="s">
        <v>76</v>
      </c>
      <c r="J7691" t="s">
        <v>77</v>
      </c>
    </row>
    <row r="7692" spans="1:11" x14ac:dyDescent="0.3">
      <c r="A7692" t="s">
        <v>84</v>
      </c>
      <c r="B7692">
        <v>1001</v>
      </c>
      <c r="C7692" t="s">
        <v>81</v>
      </c>
      <c r="D7692">
        <v>2.53572E-3</v>
      </c>
      <c r="E7692" t="s">
        <v>74</v>
      </c>
      <c r="F7692">
        <v>2.53572</v>
      </c>
      <c r="G7692" t="s">
        <v>75</v>
      </c>
      <c r="H7692">
        <v>2535.7249999999999</v>
      </c>
      <c r="I7692" t="s">
        <v>76</v>
      </c>
      <c r="J7692" t="s">
        <v>82</v>
      </c>
      <c r="K7692">
        <v>394.36453499999999</v>
      </c>
    </row>
    <row r="7693" spans="1:11" x14ac:dyDescent="0.3">
      <c r="A7693" t="s">
        <v>85</v>
      </c>
      <c r="B7693">
        <v>1001</v>
      </c>
      <c r="C7693" t="s">
        <v>86</v>
      </c>
      <c r="D7693">
        <v>2.5359100000000002E-3</v>
      </c>
      <c r="E7693" t="s">
        <v>74</v>
      </c>
      <c r="F7693">
        <v>2.5359099999999999</v>
      </c>
      <c r="G7693" t="s">
        <v>75</v>
      </c>
      <c r="H7693">
        <v>2535.9050000000002</v>
      </c>
      <c r="I7693" t="s">
        <v>76</v>
      </c>
      <c r="J7693" t="s">
        <v>82</v>
      </c>
      <c r="K7693">
        <v>394.3364957</v>
      </c>
    </row>
    <row r="7694" spans="1:11" x14ac:dyDescent="0.3">
      <c r="A7694" t="s">
        <v>155</v>
      </c>
    </row>
    <row r="7695" spans="1:11" x14ac:dyDescent="0.3">
      <c r="A7695" t="s">
        <v>407</v>
      </c>
    </row>
    <row r="7696" spans="1:11" x14ac:dyDescent="0.3">
      <c r="A7696" t="s">
        <v>72</v>
      </c>
      <c r="B7696">
        <v>1</v>
      </c>
      <c r="C7696" t="s">
        <v>73</v>
      </c>
      <c r="D7696">
        <v>4.4000000000000002E-6</v>
      </c>
      <c r="E7696" t="s">
        <v>74</v>
      </c>
      <c r="F7696">
        <v>4.4000000000000003E-3</v>
      </c>
      <c r="G7696" t="s">
        <v>75</v>
      </c>
      <c r="H7696">
        <v>4.4000000000000004</v>
      </c>
      <c r="I7696" t="s">
        <v>76</v>
      </c>
      <c r="J7696" t="s">
        <v>77</v>
      </c>
    </row>
    <row r="7697" spans="1:11" x14ac:dyDescent="0.3">
      <c r="A7697" t="s">
        <v>72</v>
      </c>
      <c r="B7697">
        <v>1</v>
      </c>
      <c r="C7697" t="s">
        <v>78</v>
      </c>
      <c r="D7697">
        <v>9.1991E-3</v>
      </c>
      <c r="E7697" t="s">
        <v>74</v>
      </c>
      <c r="F7697">
        <v>9.1990999999999996</v>
      </c>
      <c r="G7697" t="s">
        <v>75</v>
      </c>
      <c r="H7697">
        <v>9199.1</v>
      </c>
      <c r="I7697" t="s">
        <v>76</v>
      </c>
      <c r="J7697" t="s">
        <v>77</v>
      </c>
    </row>
    <row r="7698" spans="1:11" x14ac:dyDescent="0.3">
      <c r="A7698" t="s">
        <v>72</v>
      </c>
      <c r="B7698">
        <v>1</v>
      </c>
      <c r="C7698" t="s">
        <v>79</v>
      </c>
      <c r="D7698">
        <v>6.7440000000000002E-4</v>
      </c>
      <c r="E7698" t="s">
        <v>74</v>
      </c>
      <c r="F7698">
        <v>0.6744</v>
      </c>
      <c r="G7698" t="s">
        <v>75</v>
      </c>
      <c r="H7698">
        <v>674.4</v>
      </c>
      <c r="I7698" t="s">
        <v>76</v>
      </c>
      <c r="J7698" t="s">
        <v>77</v>
      </c>
    </row>
    <row r="7699" spans="1:11" x14ac:dyDescent="0.3">
      <c r="A7699" t="s">
        <v>72</v>
      </c>
      <c r="B7699">
        <v>1</v>
      </c>
      <c r="C7699" t="s">
        <v>94</v>
      </c>
      <c r="D7699">
        <v>3.10333E-2</v>
      </c>
      <c r="E7699" t="s">
        <v>74</v>
      </c>
      <c r="F7699">
        <v>31.033300000000001</v>
      </c>
      <c r="G7699" t="s">
        <v>75</v>
      </c>
      <c r="H7699">
        <v>31033.3</v>
      </c>
      <c r="I7699" t="s">
        <v>76</v>
      </c>
      <c r="J7699" t="s">
        <v>77</v>
      </c>
    </row>
    <row r="7700" spans="1:11" x14ac:dyDescent="0.3">
      <c r="A7700" t="s">
        <v>72</v>
      </c>
      <c r="B7700">
        <v>1</v>
      </c>
      <c r="C7700" t="s">
        <v>80</v>
      </c>
      <c r="D7700">
        <v>3.10338E-2</v>
      </c>
      <c r="E7700" t="s">
        <v>74</v>
      </c>
      <c r="F7700">
        <v>31.033799999999999</v>
      </c>
      <c r="G7700" t="s">
        <v>75</v>
      </c>
      <c r="H7700">
        <v>31033.800999999999</v>
      </c>
      <c r="I7700" t="s">
        <v>76</v>
      </c>
      <c r="J7700" t="s">
        <v>77</v>
      </c>
    </row>
    <row r="7701" spans="1:11" x14ac:dyDescent="0.3">
      <c r="A7701" t="s">
        <v>72</v>
      </c>
      <c r="B7701">
        <v>1</v>
      </c>
      <c r="C7701" t="s">
        <v>81</v>
      </c>
      <c r="D7701">
        <v>3.17097E-2</v>
      </c>
      <c r="E7701" t="s">
        <v>74</v>
      </c>
      <c r="F7701">
        <v>31.709700000000002</v>
      </c>
      <c r="G7701" t="s">
        <v>75</v>
      </c>
      <c r="H7701">
        <v>31709.701000000001</v>
      </c>
      <c r="I7701" t="s">
        <v>76</v>
      </c>
      <c r="J7701" t="s">
        <v>82</v>
      </c>
      <c r="K7701">
        <v>31.536090699999999</v>
      </c>
    </row>
    <row r="7702" spans="1:11" x14ac:dyDescent="0.3">
      <c r="A7702" t="s">
        <v>83</v>
      </c>
      <c r="B7702">
        <v>1000</v>
      </c>
      <c r="C7702" t="s">
        <v>79</v>
      </c>
      <c r="D7702">
        <v>4.9456999999999995E-4</v>
      </c>
      <c r="E7702" t="s">
        <v>74</v>
      </c>
      <c r="F7702">
        <v>0.49457000000000001</v>
      </c>
      <c r="G7702" t="s">
        <v>75</v>
      </c>
      <c r="H7702">
        <v>494.56700000000001</v>
      </c>
      <c r="I7702" t="s">
        <v>76</v>
      </c>
      <c r="J7702" t="s">
        <v>77</v>
      </c>
    </row>
    <row r="7703" spans="1:11" x14ac:dyDescent="0.3">
      <c r="A7703" t="s">
        <v>83</v>
      </c>
      <c r="B7703">
        <v>1000</v>
      </c>
      <c r="C7703" t="s">
        <v>94</v>
      </c>
      <c r="D7703">
        <v>2.5723400000000002E-3</v>
      </c>
      <c r="E7703" t="s">
        <v>74</v>
      </c>
      <c r="F7703">
        <v>2.5723400000000001</v>
      </c>
      <c r="G7703" t="s">
        <v>75</v>
      </c>
      <c r="H7703">
        <v>2572.3440000000001</v>
      </c>
      <c r="I7703" t="s">
        <v>76</v>
      </c>
      <c r="J7703" t="s">
        <v>77</v>
      </c>
    </row>
    <row r="7704" spans="1:11" x14ac:dyDescent="0.3">
      <c r="A7704" t="s">
        <v>83</v>
      </c>
      <c r="B7704">
        <v>1000</v>
      </c>
      <c r="C7704" t="s">
        <v>80</v>
      </c>
      <c r="D7704">
        <v>2.6940499999999999E-3</v>
      </c>
      <c r="E7704" t="s">
        <v>74</v>
      </c>
      <c r="F7704">
        <v>2.6940499999999998</v>
      </c>
      <c r="G7704" t="s">
        <v>75</v>
      </c>
      <c r="H7704">
        <v>2694.0549999999998</v>
      </c>
      <c r="I7704" t="s">
        <v>76</v>
      </c>
      <c r="J7704" t="s">
        <v>77</v>
      </c>
    </row>
    <row r="7705" spans="1:11" x14ac:dyDescent="0.3">
      <c r="A7705" t="s">
        <v>83</v>
      </c>
      <c r="B7705">
        <v>1000</v>
      </c>
      <c r="C7705" t="s">
        <v>81</v>
      </c>
      <c r="D7705">
        <v>3.1894699999999998E-3</v>
      </c>
      <c r="E7705" t="s">
        <v>74</v>
      </c>
      <c r="F7705">
        <v>3.18947</v>
      </c>
      <c r="G7705" t="s">
        <v>75</v>
      </c>
      <c r="H7705">
        <v>3189.4740000000002</v>
      </c>
      <c r="I7705" t="s">
        <v>76</v>
      </c>
      <c r="J7705" t="s">
        <v>82</v>
      </c>
      <c r="K7705">
        <v>313.53133509999998</v>
      </c>
    </row>
    <row r="7706" spans="1:11" x14ac:dyDescent="0.3">
      <c r="A7706" t="s">
        <v>84</v>
      </c>
      <c r="B7706">
        <v>1001</v>
      </c>
      <c r="C7706" t="s">
        <v>79</v>
      </c>
      <c r="D7706">
        <v>4.9474999999999996E-4</v>
      </c>
      <c r="E7706" t="s">
        <v>74</v>
      </c>
      <c r="F7706">
        <v>0.49475000000000002</v>
      </c>
      <c r="G7706" t="s">
        <v>75</v>
      </c>
      <c r="H7706">
        <v>494.74700000000001</v>
      </c>
      <c r="I7706" t="s">
        <v>76</v>
      </c>
      <c r="J7706" t="s">
        <v>77</v>
      </c>
    </row>
    <row r="7707" spans="1:11" x14ac:dyDescent="0.3">
      <c r="A7707" t="s">
        <v>84</v>
      </c>
      <c r="B7707">
        <v>1001</v>
      </c>
      <c r="C7707" t="s">
        <v>94</v>
      </c>
      <c r="D7707">
        <v>2.60078E-3</v>
      </c>
      <c r="E7707" t="s">
        <v>74</v>
      </c>
      <c r="F7707">
        <v>2.6007799999999999</v>
      </c>
      <c r="G7707" t="s">
        <v>75</v>
      </c>
      <c r="H7707">
        <v>2600.7759999999998</v>
      </c>
      <c r="I7707" t="s">
        <v>76</v>
      </c>
      <c r="J7707" t="s">
        <v>77</v>
      </c>
    </row>
    <row r="7708" spans="1:11" x14ac:dyDescent="0.3">
      <c r="A7708" t="s">
        <v>84</v>
      </c>
      <c r="B7708">
        <v>1001</v>
      </c>
      <c r="C7708" t="s">
        <v>80</v>
      </c>
      <c r="D7708">
        <v>2.72237E-3</v>
      </c>
      <c r="E7708" t="s">
        <v>74</v>
      </c>
      <c r="F7708">
        <v>2.7223700000000002</v>
      </c>
      <c r="G7708" t="s">
        <v>75</v>
      </c>
      <c r="H7708">
        <v>2722.366</v>
      </c>
      <c r="I7708" t="s">
        <v>76</v>
      </c>
      <c r="J7708" t="s">
        <v>77</v>
      </c>
    </row>
    <row r="7709" spans="1:11" x14ac:dyDescent="0.3">
      <c r="A7709" t="s">
        <v>84</v>
      </c>
      <c r="B7709">
        <v>1001</v>
      </c>
      <c r="C7709" t="s">
        <v>81</v>
      </c>
      <c r="D7709">
        <v>3.2179700000000001E-3</v>
      </c>
      <c r="E7709" t="s">
        <v>74</v>
      </c>
      <c r="F7709">
        <v>3.2179700000000002</v>
      </c>
      <c r="G7709" t="s">
        <v>75</v>
      </c>
      <c r="H7709">
        <v>3217.9659999999999</v>
      </c>
      <c r="I7709" t="s">
        <v>76</v>
      </c>
      <c r="J7709" t="s">
        <v>82</v>
      </c>
      <c r="K7709">
        <v>310.75529840000002</v>
      </c>
    </row>
    <row r="7710" spans="1:11" x14ac:dyDescent="0.3">
      <c r="A7710" t="s">
        <v>85</v>
      </c>
      <c r="B7710">
        <v>1001</v>
      </c>
      <c r="C7710" t="s">
        <v>86</v>
      </c>
      <c r="D7710">
        <v>3.2181599999999999E-3</v>
      </c>
      <c r="E7710" t="s">
        <v>74</v>
      </c>
      <c r="F7710">
        <v>3.2181600000000001</v>
      </c>
      <c r="G7710" t="s">
        <v>75</v>
      </c>
      <c r="H7710">
        <v>3218.1640000000002</v>
      </c>
      <c r="I7710" t="s">
        <v>76</v>
      </c>
      <c r="J7710" t="s">
        <v>82</v>
      </c>
      <c r="K7710">
        <v>310.73618590000001</v>
      </c>
    </row>
    <row r="7711" spans="1:11" x14ac:dyDescent="0.3">
      <c r="A7711" t="s">
        <v>115</v>
      </c>
    </row>
    <row r="7712" spans="1:11" x14ac:dyDescent="0.3">
      <c r="A7712" t="s">
        <v>127</v>
      </c>
    </row>
    <row r="7713" spans="1:11" x14ac:dyDescent="0.3">
      <c r="A7713" t="s">
        <v>87</v>
      </c>
    </row>
    <row r="7714" spans="1:11" x14ac:dyDescent="0.3">
      <c r="A7714" t="s">
        <v>408</v>
      </c>
    </row>
    <row r="7715" spans="1:11" x14ac:dyDescent="0.3">
      <c r="A7715" t="s">
        <v>72</v>
      </c>
      <c r="B7715">
        <v>1</v>
      </c>
      <c r="C7715" t="s">
        <v>81</v>
      </c>
      <c r="D7715">
        <v>0.18631429999999999</v>
      </c>
      <c r="E7715" t="s">
        <v>74</v>
      </c>
      <c r="F7715">
        <v>186.3143</v>
      </c>
      <c r="G7715" t="s">
        <v>75</v>
      </c>
      <c r="H7715">
        <v>186314.3</v>
      </c>
      <c r="I7715" t="s">
        <v>76</v>
      </c>
      <c r="J7715" t="s">
        <v>82</v>
      </c>
      <c r="K7715">
        <v>5.3672746</v>
      </c>
    </row>
    <row r="7716" spans="1:11" x14ac:dyDescent="0.3">
      <c r="A7716" t="s">
        <v>83</v>
      </c>
      <c r="B7716">
        <v>1000</v>
      </c>
      <c r="C7716" t="s">
        <v>81</v>
      </c>
      <c r="D7716">
        <v>2.3519499999999998E-3</v>
      </c>
      <c r="E7716" t="s">
        <v>74</v>
      </c>
      <c r="F7716">
        <v>2.35195</v>
      </c>
      <c r="G7716" t="s">
        <v>75</v>
      </c>
      <c r="H7716">
        <v>2351.9479999999999</v>
      </c>
      <c r="I7716" t="s">
        <v>76</v>
      </c>
      <c r="J7716" t="s">
        <v>82</v>
      </c>
      <c r="K7716">
        <v>425.17946410000002</v>
      </c>
    </row>
    <row r="7717" spans="1:11" x14ac:dyDescent="0.3">
      <c r="A7717" t="s">
        <v>85</v>
      </c>
      <c r="B7717">
        <v>1001</v>
      </c>
      <c r="C7717" t="s">
        <v>86</v>
      </c>
      <c r="D7717">
        <v>2.5359100000000002E-3</v>
      </c>
      <c r="E7717" t="s">
        <v>74</v>
      </c>
      <c r="F7717">
        <v>2.5359099999999999</v>
      </c>
      <c r="G7717" t="s">
        <v>75</v>
      </c>
      <c r="H7717">
        <v>2535.9050000000002</v>
      </c>
      <c r="I7717" t="s">
        <v>76</v>
      </c>
      <c r="J7717" t="s">
        <v>82</v>
      </c>
      <c r="K7717">
        <v>394.3364957</v>
      </c>
    </row>
    <row r="7719" spans="1:11" x14ac:dyDescent="0.3">
      <c r="A7719" t="s">
        <v>409</v>
      </c>
    </row>
    <row r="7720" spans="1:11" x14ac:dyDescent="0.3">
      <c r="A7720" t="s">
        <v>72</v>
      </c>
      <c r="B7720">
        <v>1</v>
      </c>
      <c r="C7720" t="s">
        <v>81</v>
      </c>
      <c r="D7720">
        <v>3.17097E-2</v>
      </c>
      <c r="E7720" t="s">
        <v>74</v>
      </c>
      <c r="F7720">
        <v>31.709700000000002</v>
      </c>
      <c r="G7720" t="s">
        <v>75</v>
      </c>
      <c r="H7720">
        <v>31709.701000000001</v>
      </c>
      <c r="I7720" t="s">
        <v>76</v>
      </c>
      <c r="J7720" t="s">
        <v>82</v>
      </c>
      <c r="K7720">
        <v>31.536090699999999</v>
      </c>
    </row>
    <row r="7721" spans="1:11" x14ac:dyDescent="0.3">
      <c r="A7721" t="s">
        <v>83</v>
      </c>
      <c r="B7721">
        <v>1000</v>
      </c>
      <c r="C7721" t="s">
        <v>81</v>
      </c>
      <c r="D7721">
        <v>3.1894699999999998E-3</v>
      </c>
      <c r="E7721" t="s">
        <v>74</v>
      </c>
      <c r="F7721">
        <v>3.18947</v>
      </c>
      <c r="G7721" t="s">
        <v>75</v>
      </c>
      <c r="H7721">
        <v>3189.4740000000002</v>
      </c>
      <c r="I7721" t="s">
        <v>76</v>
      </c>
      <c r="J7721" t="s">
        <v>82</v>
      </c>
      <c r="K7721">
        <v>313.53133509999998</v>
      </c>
    </row>
    <row r="7722" spans="1:11" x14ac:dyDescent="0.3">
      <c r="A7722" t="s">
        <v>85</v>
      </c>
      <c r="B7722">
        <v>1001</v>
      </c>
      <c r="C7722" t="s">
        <v>86</v>
      </c>
      <c r="D7722">
        <v>3.2181599999999999E-3</v>
      </c>
      <c r="E7722" t="s">
        <v>74</v>
      </c>
      <c r="F7722">
        <v>3.2181600000000001</v>
      </c>
      <c r="G7722" t="s">
        <v>75</v>
      </c>
      <c r="H7722">
        <v>3218.1640000000002</v>
      </c>
      <c r="I7722" t="s">
        <v>76</v>
      </c>
      <c r="J7722" t="s">
        <v>82</v>
      </c>
      <c r="K7722">
        <v>310.73618590000001</v>
      </c>
    </row>
    <row r="7724" spans="1:11" x14ac:dyDescent="0.3">
      <c r="A7724" t="s">
        <v>66</v>
      </c>
    </row>
    <row r="7726" spans="1:11" x14ac:dyDescent="0.3">
      <c r="A7726" t="s">
        <v>410</v>
      </c>
    </row>
    <row r="7727" spans="1:11" x14ac:dyDescent="0.3">
      <c r="A7727" t="s">
        <v>68</v>
      </c>
    </row>
    <row r="7728" spans="1:11" x14ac:dyDescent="0.3">
      <c r="A7728" t="s">
        <v>69</v>
      </c>
    </row>
    <row r="7729" spans="1:1" x14ac:dyDescent="0.3">
      <c r="A7729" t="s">
        <v>70</v>
      </c>
    </row>
    <row r="7730" spans="1:1" x14ac:dyDescent="0.3">
      <c r="A7730" t="s">
        <v>115</v>
      </c>
    </row>
    <row r="7731" spans="1:1" x14ac:dyDescent="0.3">
      <c r="A7731" t="s">
        <v>384</v>
      </c>
    </row>
    <row r="7732" spans="1:1" x14ac:dyDescent="0.3">
      <c r="A7732" t="s">
        <v>385</v>
      </c>
    </row>
    <row r="7733" spans="1:1" x14ac:dyDescent="0.3">
      <c r="A7733" t="s">
        <v>118</v>
      </c>
    </row>
    <row r="7734" spans="1:1" x14ac:dyDescent="0.3">
      <c r="A7734" t="s">
        <v>119</v>
      </c>
    </row>
    <row r="7735" spans="1:1" x14ac:dyDescent="0.3">
      <c r="A7735" t="s">
        <v>268</v>
      </c>
    </row>
    <row r="7736" spans="1:1" x14ac:dyDescent="0.3">
      <c r="A7736" t="s">
        <v>269</v>
      </c>
    </row>
    <row r="7737" spans="1:1" x14ac:dyDescent="0.3">
      <c r="A7737" t="s">
        <v>386</v>
      </c>
    </row>
    <row r="7738" spans="1:1" x14ac:dyDescent="0.3">
      <c r="A7738" t="s">
        <v>387</v>
      </c>
    </row>
    <row r="7739" spans="1:1" x14ac:dyDescent="0.3">
      <c r="A7739" t="s">
        <v>271</v>
      </c>
    </row>
    <row r="7740" spans="1:1" x14ac:dyDescent="0.3">
      <c r="A7740" t="s">
        <v>125</v>
      </c>
    </row>
    <row r="7741" spans="1:1" x14ac:dyDescent="0.3">
      <c r="A7741" t="s">
        <v>126</v>
      </c>
    </row>
    <row r="7742" spans="1:1" x14ac:dyDescent="0.3">
      <c r="A7742" t="s">
        <v>127</v>
      </c>
    </row>
    <row r="7743" spans="1:1" x14ac:dyDescent="0.3">
      <c r="A7743" t="s">
        <v>160</v>
      </c>
    </row>
    <row r="7744" spans="1:1" x14ac:dyDescent="0.3">
      <c r="A7744" t="s">
        <v>411</v>
      </c>
    </row>
    <row r="7745" spans="1:11" x14ac:dyDescent="0.3">
      <c r="A7745" t="s">
        <v>72</v>
      </c>
      <c r="B7745">
        <v>1</v>
      </c>
      <c r="C7745" t="s">
        <v>73</v>
      </c>
      <c r="D7745">
        <v>3.7000000000000002E-6</v>
      </c>
      <c r="E7745" t="s">
        <v>74</v>
      </c>
      <c r="F7745">
        <v>3.7000000000000002E-3</v>
      </c>
      <c r="G7745" t="s">
        <v>75</v>
      </c>
      <c r="H7745">
        <v>3.7</v>
      </c>
      <c r="I7745" t="s">
        <v>76</v>
      </c>
      <c r="J7745" t="s">
        <v>77</v>
      </c>
    </row>
    <row r="7746" spans="1:11" x14ac:dyDescent="0.3">
      <c r="A7746" t="s">
        <v>72</v>
      </c>
      <c r="B7746">
        <v>1</v>
      </c>
      <c r="C7746" t="s">
        <v>78</v>
      </c>
      <c r="D7746">
        <v>0.1087732</v>
      </c>
      <c r="E7746" t="s">
        <v>74</v>
      </c>
      <c r="F7746">
        <v>108.7732</v>
      </c>
      <c r="G7746" t="s">
        <v>75</v>
      </c>
      <c r="H7746">
        <v>108773.202</v>
      </c>
      <c r="I7746" t="s">
        <v>76</v>
      </c>
      <c r="J7746" t="s">
        <v>77</v>
      </c>
    </row>
    <row r="7747" spans="1:11" x14ac:dyDescent="0.3">
      <c r="A7747" t="s">
        <v>72</v>
      </c>
      <c r="B7747">
        <v>1</v>
      </c>
      <c r="C7747" t="s">
        <v>79</v>
      </c>
      <c r="D7747">
        <v>0.12560940000000001</v>
      </c>
      <c r="E7747" t="s">
        <v>74</v>
      </c>
      <c r="F7747">
        <v>125.60939999999999</v>
      </c>
      <c r="G7747" t="s">
        <v>75</v>
      </c>
      <c r="H7747">
        <v>125609.398</v>
      </c>
      <c r="I7747" t="s">
        <v>76</v>
      </c>
      <c r="J7747" t="s">
        <v>77</v>
      </c>
    </row>
    <row r="7748" spans="1:11" x14ac:dyDescent="0.3">
      <c r="A7748" t="s">
        <v>72</v>
      </c>
      <c r="B7748">
        <v>1</v>
      </c>
      <c r="C7748" t="s">
        <v>94</v>
      </c>
      <c r="D7748">
        <v>0.10522570000000001</v>
      </c>
      <c r="E7748" t="s">
        <v>74</v>
      </c>
      <c r="F7748">
        <v>105.2257</v>
      </c>
      <c r="G7748" t="s">
        <v>75</v>
      </c>
      <c r="H7748">
        <v>105225.697</v>
      </c>
      <c r="I7748" t="s">
        <v>76</v>
      </c>
      <c r="J7748" t="s">
        <v>77</v>
      </c>
    </row>
    <row r="7749" spans="1:11" x14ac:dyDescent="0.3">
      <c r="A7749" t="s">
        <v>72</v>
      </c>
      <c r="B7749">
        <v>1</v>
      </c>
      <c r="C7749" t="s">
        <v>80</v>
      </c>
      <c r="D7749">
        <v>0.1052268</v>
      </c>
      <c r="E7749" t="s">
        <v>74</v>
      </c>
      <c r="F7749">
        <v>105.2268</v>
      </c>
      <c r="G7749" t="s">
        <v>75</v>
      </c>
      <c r="H7749">
        <v>105226.8</v>
      </c>
      <c r="I7749" t="s">
        <v>76</v>
      </c>
      <c r="J7749" t="s">
        <v>77</v>
      </c>
    </row>
    <row r="7750" spans="1:11" x14ac:dyDescent="0.3">
      <c r="A7750" t="s">
        <v>72</v>
      </c>
      <c r="B7750">
        <v>1</v>
      </c>
      <c r="C7750" t="s">
        <v>81</v>
      </c>
      <c r="D7750">
        <v>0.2308384</v>
      </c>
      <c r="E7750" t="s">
        <v>74</v>
      </c>
      <c r="F7750">
        <v>230.83840000000001</v>
      </c>
      <c r="G7750" t="s">
        <v>75</v>
      </c>
      <c r="H7750">
        <v>230838.40299999999</v>
      </c>
      <c r="I7750" t="s">
        <v>76</v>
      </c>
      <c r="J7750" t="s">
        <v>82</v>
      </c>
      <c r="K7750">
        <v>4.3320347999999997</v>
      </c>
    </row>
    <row r="7751" spans="1:11" x14ac:dyDescent="0.3">
      <c r="A7751" t="s">
        <v>83</v>
      </c>
      <c r="B7751">
        <v>1000</v>
      </c>
      <c r="C7751" t="s">
        <v>79</v>
      </c>
      <c r="D7751">
        <v>4.8295E-4</v>
      </c>
      <c r="E7751" t="s">
        <v>74</v>
      </c>
      <c r="F7751">
        <v>0.48294999999999999</v>
      </c>
      <c r="G7751" t="s">
        <v>75</v>
      </c>
      <c r="H7751">
        <v>482.95</v>
      </c>
      <c r="I7751" t="s">
        <v>76</v>
      </c>
      <c r="J7751" t="s">
        <v>77</v>
      </c>
    </row>
    <row r="7752" spans="1:11" x14ac:dyDescent="0.3">
      <c r="A7752" t="s">
        <v>83</v>
      </c>
      <c r="B7752">
        <v>1000</v>
      </c>
      <c r="C7752" t="s">
        <v>94</v>
      </c>
      <c r="D7752">
        <v>7.1487999999999999E-4</v>
      </c>
      <c r="E7752" t="s">
        <v>74</v>
      </c>
      <c r="F7752">
        <v>0.71487999999999996</v>
      </c>
      <c r="G7752" t="s">
        <v>75</v>
      </c>
      <c r="H7752">
        <v>714.88400000000001</v>
      </c>
      <c r="I7752" t="s">
        <v>76</v>
      </c>
      <c r="J7752" t="s">
        <v>77</v>
      </c>
    </row>
    <row r="7753" spans="1:11" x14ac:dyDescent="0.3">
      <c r="A7753" t="s">
        <v>83</v>
      </c>
      <c r="B7753">
        <v>1000</v>
      </c>
      <c r="C7753" t="s">
        <v>80</v>
      </c>
      <c r="D7753">
        <v>7.1515000000000001E-4</v>
      </c>
      <c r="E7753" t="s">
        <v>74</v>
      </c>
      <c r="F7753">
        <v>0.71514999999999995</v>
      </c>
      <c r="G7753" t="s">
        <v>75</v>
      </c>
      <c r="H7753">
        <v>715.15099999999995</v>
      </c>
      <c r="I7753" t="s">
        <v>76</v>
      </c>
      <c r="J7753" t="s">
        <v>77</v>
      </c>
    </row>
    <row r="7754" spans="1:11" x14ac:dyDescent="0.3">
      <c r="A7754" t="s">
        <v>83</v>
      </c>
      <c r="B7754">
        <v>1000</v>
      </c>
      <c r="C7754" t="s">
        <v>81</v>
      </c>
      <c r="D7754">
        <v>1.1985800000000001E-3</v>
      </c>
      <c r="E7754" t="s">
        <v>74</v>
      </c>
      <c r="F7754">
        <v>1.19858</v>
      </c>
      <c r="G7754" t="s">
        <v>75</v>
      </c>
      <c r="H7754">
        <v>1198.58</v>
      </c>
      <c r="I7754" t="s">
        <v>76</v>
      </c>
      <c r="J7754" t="s">
        <v>82</v>
      </c>
      <c r="K7754">
        <v>834.32034520000002</v>
      </c>
    </row>
    <row r="7755" spans="1:11" x14ac:dyDescent="0.3">
      <c r="A7755" t="s">
        <v>84</v>
      </c>
      <c r="B7755">
        <v>1001</v>
      </c>
      <c r="C7755" t="s">
        <v>79</v>
      </c>
      <c r="D7755">
        <v>6.0795000000000001E-4</v>
      </c>
      <c r="E7755" t="s">
        <v>74</v>
      </c>
      <c r="F7755">
        <v>0.60794999999999999</v>
      </c>
      <c r="G7755" t="s">
        <v>75</v>
      </c>
      <c r="H7755">
        <v>607.952</v>
      </c>
      <c r="I7755" t="s">
        <v>76</v>
      </c>
      <c r="J7755" t="s">
        <v>77</v>
      </c>
    </row>
    <row r="7756" spans="1:11" x14ac:dyDescent="0.3">
      <c r="A7756" t="s">
        <v>84</v>
      </c>
      <c r="B7756">
        <v>1001</v>
      </c>
      <c r="C7756" t="s">
        <v>94</v>
      </c>
      <c r="D7756">
        <v>8.1928999999999997E-4</v>
      </c>
      <c r="E7756" t="s">
        <v>74</v>
      </c>
      <c r="F7756">
        <v>0.81928999999999996</v>
      </c>
      <c r="G7756" t="s">
        <v>75</v>
      </c>
      <c r="H7756">
        <v>819.29</v>
      </c>
      <c r="I7756" t="s">
        <v>76</v>
      </c>
      <c r="J7756" t="s">
        <v>77</v>
      </c>
    </row>
    <row r="7757" spans="1:11" x14ac:dyDescent="0.3">
      <c r="A7757" t="s">
        <v>84</v>
      </c>
      <c r="B7757">
        <v>1001</v>
      </c>
      <c r="C7757" t="s">
        <v>80</v>
      </c>
      <c r="D7757">
        <v>8.1955999999999999E-4</v>
      </c>
      <c r="E7757" t="s">
        <v>74</v>
      </c>
      <c r="F7757">
        <v>0.81955999999999996</v>
      </c>
      <c r="G7757" t="s">
        <v>75</v>
      </c>
      <c r="H7757">
        <v>819.55799999999999</v>
      </c>
      <c r="I7757" t="s">
        <v>76</v>
      </c>
      <c r="J7757" t="s">
        <v>77</v>
      </c>
    </row>
    <row r="7758" spans="1:11" x14ac:dyDescent="0.3">
      <c r="A7758" t="s">
        <v>84</v>
      </c>
      <c r="B7758">
        <v>1001</v>
      </c>
      <c r="C7758" t="s">
        <v>81</v>
      </c>
      <c r="D7758">
        <v>1.4279900000000001E-3</v>
      </c>
      <c r="E7758" t="s">
        <v>74</v>
      </c>
      <c r="F7758">
        <v>1.4279900000000001</v>
      </c>
      <c r="G7758" t="s">
        <v>75</v>
      </c>
      <c r="H7758">
        <v>1427.991</v>
      </c>
      <c r="I7758" t="s">
        <v>76</v>
      </c>
      <c r="J7758" t="s">
        <v>82</v>
      </c>
      <c r="K7758">
        <v>700.28467650000005</v>
      </c>
    </row>
    <row r="7759" spans="1:11" x14ac:dyDescent="0.3">
      <c r="A7759" t="s">
        <v>85</v>
      </c>
      <c r="B7759">
        <v>1001</v>
      </c>
      <c r="C7759" t="s">
        <v>86</v>
      </c>
      <c r="D7759">
        <v>1.4281999999999999E-3</v>
      </c>
      <c r="E7759" t="s">
        <v>74</v>
      </c>
      <c r="F7759">
        <v>1.4281999999999999</v>
      </c>
      <c r="G7759" t="s">
        <v>75</v>
      </c>
      <c r="H7759">
        <v>1428.2049999999999</v>
      </c>
      <c r="I7759" t="s">
        <v>76</v>
      </c>
      <c r="J7759" t="s">
        <v>82</v>
      </c>
      <c r="K7759">
        <v>700.1797444</v>
      </c>
    </row>
    <row r="7760" spans="1:11" x14ac:dyDescent="0.3">
      <c r="A7760" t="s">
        <v>162</v>
      </c>
    </row>
    <row r="7761" spans="1:11" x14ac:dyDescent="0.3">
      <c r="A7761" t="s">
        <v>412</v>
      </c>
    </row>
    <row r="7762" spans="1:11" x14ac:dyDescent="0.3">
      <c r="A7762" t="s">
        <v>72</v>
      </c>
      <c r="B7762">
        <v>1</v>
      </c>
      <c r="C7762" t="s">
        <v>73</v>
      </c>
      <c r="D7762">
        <v>3.7000000000000002E-6</v>
      </c>
      <c r="E7762" t="s">
        <v>74</v>
      </c>
      <c r="F7762">
        <v>3.7000000000000002E-3</v>
      </c>
      <c r="G7762" t="s">
        <v>75</v>
      </c>
      <c r="H7762">
        <v>3.7</v>
      </c>
      <c r="I7762" t="s">
        <v>76</v>
      </c>
      <c r="J7762" t="s">
        <v>77</v>
      </c>
    </row>
    <row r="7763" spans="1:11" x14ac:dyDescent="0.3">
      <c r="A7763" t="s">
        <v>72</v>
      </c>
      <c r="B7763">
        <v>1</v>
      </c>
      <c r="C7763" t="s">
        <v>78</v>
      </c>
      <c r="D7763">
        <v>8.7118999999999999E-3</v>
      </c>
      <c r="E7763" t="s">
        <v>74</v>
      </c>
      <c r="F7763">
        <v>8.7119</v>
      </c>
      <c r="G7763" t="s">
        <v>75</v>
      </c>
      <c r="H7763">
        <v>8711.9</v>
      </c>
      <c r="I7763" t="s">
        <v>76</v>
      </c>
      <c r="J7763" t="s">
        <v>77</v>
      </c>
    </row>
    <row r="7764" spans="1:11" x14ac:dyDescent="0.3">
      <c r="A7764" t="s">
        <v>72</v>
      </c>
      <c r="B7764">
        <v>1</v>
      </c>
      <c r="C7764" t="s">
        <v>79</v>
      </c>
      <c r="D7764">
        <v>6.4749999999999996E-4</v>
      </c>
      <c r="E7764" t="s">
        <v>74</v>
      </c>
      <c r="F7764">
        <v>0.64749999999999996</v>
      </c>
      <c r="G7764" t="s">
        <v>75</v>
      </c>
      <c r="H7764">
        <v>647.5</v>
      </c>
      <c r="I7764" t="s">
        <v>76</v>
      </c>
      <c r="J7764" t="s">
        <v>77</v>
      </c>
    </row>
    <row r="7765" spans="1:11" x14ac:dyDescent="0.3">
      <c r="A7765" t="s">
        <v>72</v>
      </c>
      <c r="B7765">
        <v>1</v>
      </c>
      <c r="C7765" t="s">
        <v>94</v>
      </c>
      <c r="D7765">
        <v>2.9326000000000001E-2</v>
      </c>
      <c r="E7765" t="s">
        <v>74</v>
      </c>
      <c r="F7765">
        <v>29.326000000000001</v>
      </c>
      <c r="G7765" t="s">
        <v>75</v>
      </c>
      <c r="H7765">
        <v>29325.999</v>
      </c>
      <c r="I7765" t="s">
        <v>76</v>
      </c>
      <c r="J7765" t="s">
        <v>77</v>
      </c>
    </row>
    <row r="7766" spans="1:11" x14ac:dyDescent="0.3">
      <c r="A7766" t="s">
        <v>72</v>
      </c>
      <c r="B7766">
        <v>1</v>
      </c>
      <c r="C7766" t="s">
        <v>80</v>
      </c>
      <c r="D7766">
        <v>2.9326499999999998E-2</v>
      </c>
      <c r="E7766" t="s">
        <v>74</v>
      </c>
      <c r="F7766">
        <v>29.326499999999999</v>
      </c>
      <c r="G7766" t="s">
        <v>75</v>
      </c>
      <c r="H7766">
        <v>29326.5</v>
      </c>
      <c r="I7766" t="s">
        <v>76</v>
      </c>
      <c r="J7766" t="s">
        <v>77</v>
      </c>
    </row>
    <row r="7767" spans="1:11" x14ac:dyDescent="0.3">
      <c r="A7767" t="s">
        <v>72</v>
      </c>
      <c r="B7767">
        <v>1</v>
      </c>
      <c r="C7767" t="s">
        <v>81</v>
      </c>
      <c r="D7767">
        <v>2.9975399999999999E-2</v>
      </c>
      <c r="E7767" t="s">
        <v>74</v>
      </c>
      <c r="F7767">
        <v>29.9754</v>
      </c>
      <c r="G7767" t="s">
        <v>75</v>
      </c>
      <c r="H7767">
        <v>29975.399000000001</v>
      </c>
      <c r="I7767" t="s">
        <v>76</v>
      </c>
      <c r="J7767" t="s">
        <v>82</v>
      </c>
      <c r="K7767">
        <v>33.360689800000003</v>
      </c>
    </row>
    <row r="7768" spans="1:11" x14ac:dyDescent="0.3">
      <c r="A7768" t="s">
        <v>83</v>
      </c>
      <c r="B7768">
        <v>1000</v>
      </c>
      <c r="C7768" t="s">
        <v>79</v>
      </c>
      <c r="D7768">
        <v>4.9622000000000002E-4</v>
      </c>
      <c r="E7768" t="s">
        <v>74</v>
      </c>
      <c r="F7768">
        <v>0.49621999999999999</v>
      </c>
      <c r="G7768" t="s">
        <v>75</v>
      </c>
      <c r="H7768">
        <v>496.22399999999999</v>
      </c>
      <c r="I7768" t="s">
        <v>76</v>
      </c>
      <c r="J7768" t="s">
        <v>77</v>
      </c>
    </row>
    <row r="7769" spans="1:11" x14ac:dyDescent="0.3">
      <c r="A7769" t="s">
        <v>83</v>
      </c>
      <c r="B7769">
        <v>1000</v>
      </c>
      <c r="C7769" t="s">
        <v>94</v>
      </c>
      <c r="D7769">
        <v>1.4418300000000001E-3</v>
      </c>
      <c r="E7769" t="s">
        <v>74</v>
      </c>
      <c r="F7769">
        <v>1.4418299999999999</v>
      </c>
      <c r="G7769" t="s">
        <v>75</v>
      </c>
      <c r="H7769">
        <v>1441.8330000000001</v>
      </c>
      <c r="I7769" t="s">
        <v>76</v>
      </c>
      <c r="J7769" t="s">
        <v>77</v>
      </c>
    </row>
    <row r="7770" spans="1:11" x14ac:dyDescent="0.3">
      <c r="A7770" t="s">
        <v>83</v>
      </c>
      <c r="B7770">
        <v>1000</v>
      </c>
      <c r="C7770" t="s">
        <v>80</v>
      </c>
      <c r="D7770">
        <v>1.5590700000000001E-3</v>
      </c>
      <c r="E7770" t="s">
        <v>74</v>
      </c>
      <c r="F7770">
        <v>1.55907</v>
      </c>
      <c r="G7770" t="s">
        <v>75</v>
      </c>
      <c r="H7770">
        <v>1559.066</v>
      </c>
      <c r="I7770" t="s">
        <v>76</v>
      </c>
      <c r="J7770" t="s">
        <v>77</v>
      </c>
    </row>
    <row r="7771" spans="1:11" x14ac:dyDescent="0.3">
      <c r="A7771" t="s">
        <v>83</v>
      </c>
      <c r="B7771">
        <v>1000</v>
      </c>
      <c r="C7771" t="s">
        <v>81</v>
      </c>
      <c r="D7771">
        <v>2.0561199999999998E-3</v>
      </c>
      <c r="E7771" t="s">
        <v>74</v>
      </c>
      <c r="F7771">
        <v>2.0561199999999999</v>
      </c>
      <c r="G7771" t="s">
        <v>75</v>
      </c>
      <c r="H7771">
        <v>2056.1170000000002</v>
      </c>
      <c r="I7771" t="s">
        <v>76</v>
      </c>
      <c r="J7771" t="s">
        <v>82</v>
      </c>
      <c r="K7771">
        <v>486.35368890000001</v>
      </c>
    </row>
    <row r="7772" spans="1:11" x14ac:dyDescent="0.3">
      <c r="A7772" t="s">
        <v>84</v>
      </c>
      <c r="B7772">
        <v>1001</v>
      </c>
      <c r="C7772" t="s">
        <v>79</v>
      </c>
      <c r="D7772">
        <v>4.9638000000000004E-4</v>
      </c>
      <c r="E7772" t="s">
        <v>74</v>
      </c>
      <c r="F7772">
        <v>0.49637999999999999</v>
      </c>
      <c r="G7772" t="s">
        <v>75</v>
      </c>
      <c r="H7772">
        <v>496.375</v>
      </c>
      <c r="I7772" t="s">
        <v>76</v>
      </c>
      <c r="J7772" t="s">
        <v>77</v>
      </c>
    </row>
    <row r="7773" spans="1:11" x14ac:dyDescent="0.3">
      <c r="A7773" t="s">
        <v>84</v>
      </c>
      <c r="B7773">
        <v>1001</v>
      </c>
      <c r="C7773" t="s">
        <v>94</v>
      </c>
      <c r="D7773">
        <v>1.4696900000000001E-3</v>
      </c>
      <c r="E7773" t="s">
        <v>74</v>
      </c>
      <c r="F7773">
        <v>1.4696899999999999</v>
      </c>
      <c r="G7773" t="s">
        <v>75</v>
      </c>
      <c r="H7773">
        <v>1469.69</v>
      </c>
      <c r="I7773" t="s">
        <v>76</v>
      </c>
      <c r="J7773" t="s">
        <v>77</v>
      </c>
    </row>
    <row r="7774" spans="1:11" x14ac:dyDescent="0.3">
      <c r="A7774" t="s">
        <v>84</v>
      </c>
      <c r="B7774">
        <v>1001</v>
      </c>
      <c r="C7774" t="s">
        <v>80</v>
      </c>
      <c r="D7774">
        <v>1.5868099999999999E-3</v>
      </c>
      <c r="E7774" t="s">
        <v>74</v>
      </c>
      <c r="F7774">
        <v>1.5868100000000001</v>
      </c>
      <c r="G7774" t="s">
        <v>75</v>
      </c>
      <c r="H7774">
        <v>1586.806</v>
      </c>
      <c r="I7774" t="s">
        <v>76</v>
      </c>
      <c r="J7774" t="s">
        <v>77</v>
      </c>
    </row>
    <row r="7775" spans="1:11" x14ac:dyDescent="0.3">
      <c r="A7775" t="s">
        <v>84</v>
      </c>
      <c r="B7775">
        <v>1001</v>
      </c>
      <c r="C7775" t="s">
        <v>81</v>
      </c>
      <c r="D7775">
        <v>2.0840099999999999E-3</v>
      </c>
      <c r="E7775" t="s">
        <v>74</v>
      </c>
      <c r="F7775">
        <v>2.0840100000000001</v>
      </c>
      <c r="G7775" t="s">
        <v>75</v>
      </c>
      <c r="H7775">
        <v>2084.0079999999998</v>
      </c>
      <c r="I7775" t="s">
        <v>76</v>
      </c>
      <c r="J7775" t="s">
        <v>82</v>
      </c>
      <c r="K7775">
        <v>479.84461010000001</v>
      </c>
    </row>
    <row r="7776" spans="1:11" x14ac:dyDescent="0.3">
      <c r="A7776" t="s">
        <v>85</v>
      </c>
      <c r="B7776">
        <v>1001</v>
      </c>
      <c r="C7776" t="s">
        <v>86</v>
      </c>
      <c r="D7776">
        <v>2.0842299999999999E-3</v>
      </c>
      <c r="E7776" t="s">
        <v>74</v>
      </c>
      <c r="F7776">
        <v>2.0842299999999998</v>
      </c>
      <c r="G7776" t="s">
        <v>75</v>
      </c>
      <c r="H7776">
        <v>2084.2330000000002</v>
      </c>
      <c r="I7776" t="s">
        <v>76</v>
      </c>
      <c r="J7776" t="s">
        <v>82</v>
      </c>
      <c r="K7776">
        <v>479.79290029999999</v>
      </c>
    </row>
    <row r="7777" spans="1:11" x14ac:dyDescent="0.3">
      <c r="A7777" t="s">
        <v>115</v>
      </c>
    </row>
    <row r="7778" spans="1:11" x14ac:dyDescent="0.3">
      <c r="A7778" t="s">
        <v>127</v>
      </c>
    </row>
    <row r="7779" spans="1:11" x14ac:dyDescent="0.3">
      <c r="A7779" t="s">
        <v>87</v>
      </c>
    </row>
    <row r="7780" spans="1:11" x14ac:dyDescent="0.3">
      <c r="A7780" t="s">
        <v>413</v>
      </c>
    </row>
    <row r="7781" spans="1:11" x14ac:dyDescent="0.3">
      <c r="A7781" t="s">
        <v>72</v>
      </c>
      <c r="B7781">
        <v>1</v>
      </c>
      <c r="C7781" t="s">
        <v>81</v>
      </c>
      <c r="D7781">
        <v>0.2308384</v>
      </c>
      <c r="E7781" t="s">
        <v>74</v>
      </c>
      <c r="F7781">
        <v>230.83840000000001</v>
      </c>
      <c r="G7781" t="s">
        <v>75</v>
      </c>
      <c r="H7781">
        <v>230838.40299999999</v>
      </c>
      <c r="I7781" t="s">
        <v>76</v>
      </c>
      <c r="J7781" t="s">
        <v>82</v>
      </c>
      <c r="K7781">
        <v>4.3320347999999997</v>
      </c>
    </row>
    <row r="7782" spans="1:11" x14ac:dyDescent="0.3">
      <c r="A7782" t="s">
        <v>83</v>
      </c>
      <c r="B7782">
        <v>1000</v>
      </c>
      <c r="C7782" t="s">
        <v>81</v>
      </c>
      <c r="D7782">
        <v>1.1985800000000001E-3</v>
      </c>
      <c r="E7782" t="s">
        <v>74</v>
      </c>
      <c r="F7782">
        <v>1.19858</v>
      </c>
      <c r="G7782" t="s">
        <v>75</v>
      </c>
      <c r="H7782">
        <v>1198.58</v>
      </c>
      <c r="I7782" t="s">
        <v>76</v>
      </c>
      <c r="J7782" t="s">
        <v>82</v>
      </c>
      <c r="K7782">
        <v>834.32034520000002</v>
      </c>
    </row>
    <row r="7783" spans="1:11" x14ac:dyDescent="0.3">
      <c r="A7783" t="s">
        <v>85</v>
      </c>
      <c r="B7783">
        <v>1001</v>
      </c>
      <c r="C7783" t="s">
        <v>86</v>
      </c>
      <c r="D7783">
        <v>1.4281999999999999E-3</v>
      </c>
      <c r="E7783" t="s">
        <v>74</v>
      </c>
      <c r="F7783">
        <v>1.4281999999999999</v>
      </c>
      <c r="G7783" t="s">
        <v>75</v>
      </c>
      <c r="H7783">
        <v>1428.2049999999999</v>
      </c>
      <c r="I7783" t="s">
        <v>76</v>
      </c>
      <c r="J7783" t="s">
        <v>82</v>
      </c>
      <c r="K7783">
        <v>700.1797444</v>
      </c>
    </row>
    <row r="7785" spans="1:11" x14ac:dyDescent="0.3">
      <c r="A7785" t="s">
        <v>414</v>
      </c>
    </row>
    <row r="7786" spans="1:11" x14ac:dyDescent="0.3">
      <c r="A7786" t="s">
        <v>72</v>
      </c>
      <c r="B7786">
        <v>1</v>
      </c>
      <c r="C7786" t="s">
        <v>81</v>
      </c>
      <c r="D7786">
        <v>2.9975399999999999E-2</v>
      </c>
      <c r="E7786" t="s">
        <v>74</v>
      </c>
      <c r="F7786">
        <v>29.9754</v>
      </c>
      <c r="G7786" t="s">
        <v>75</v>
      </c>
      <c r="H7786">
        <v>29975.399000000001</v>
      </c>
      <c r="I7786" t="s">
        <v>76</v>
      </c>
      <c r="J7786" t="s">
        <v>82</v>
      </c>
      <c r="K7786">
        <v>33.360689800000003</v>
      </c>
    </row>
    <row r="7787" spans="1:11" x14ac:dyDescent="0.3">
      <c r="A7787" t="s">
        <v>83</v>
      </c>
      <c r="B7787">
        <v>1000</v>
      </c>
      <c r="C7787" t="s">
        <v>81</v>
      </c>
      <c r="D7787">
        <v>2.0561199999999998E-3</v>
      </c>
      <c r="E7787" t="s">
        <v>74</v>
      </c>
      <c r="F7787">
        <v>2.0561199999999999</v>
      </c>
      <c r="G7787" t="s">
        <v>75</v>
      </c>
      <c r="H7787">
        <v>2056.1170000000002</v>
      </c>
      <c r="I7787" t="s">
        <v>76</v>
      </c>
      <c r="J7787" t="s">
        <v>82</v>
      </c>
      <c r="K7787">
        <v>486.35368890000001</v>
      </c>
    </row>
    <row r="7788" spans="1:11" x14ac:dyDescent="0.3">
      <c r="A7788" t="s">
        <v>85</v>
      </c>
      <c r="B7788">
        <v>1001</v>
      </c>
      <c r="C7788" t="s">
        <v>86</v>
      </c>
      <c r="D7788">
        <v>2.0842299999999999E-3</v>
      </c>
      <c r="E7788" t="s">
        <v>74</v>
      </c>
      <c r="F7788">
        <v>2.0842299999999998</v>
      </c>
      <c r="G7788" t="s">
        <v>75</v>
      </c>
      <c r="H7788">
        <v>2084.2330000000002</v>
      </c>
      <c r="I7788" t="s">
        <v>76</v>
      </c>
      <c r="J7788" t="s">
        <v>82</v>
      </c>
      <c r="K7788">
        <v>479.79290029999999</v>
      </c>
    </row>
    <row r="7790" spans="1:11" x14ac:dyDescent="0.3">
      <c r="A7790" t="s">
        <v>66</v>
      </c>
    </row>
    <row r="7792" spans="1:11" x14ac:dyDescent="0.3">
      <c r="A7792" t="s">
        <v>415</v>
      </c>
    </row>
    <row r="7793" spans="1:1" x14ac:dyDescent="0.3">
      <c r="A7793" t="s">
        <v>68</v>
      </c>
    </row>
    <row r="7794" spans="1:1" x14ac:dyDescent="0.3">
      <c r="A7794" t="s">
        <v>69</v>
      </c>
    </row>
    <row r="7795" spans="1:1" x14ac:dyDescent="0.3">
      <c r="A7795" t="s">
        <v>70</v>
      </c>
    </row>
    <row r="7796" spans="1:1" x14ac:dyDescent="0.3">
      <c r="A7796" t="s">
        <v>115</v>
      </c>
    </row>
    <row r="7797" spans="1:1" x14ac:dyDescent="0.3">
      <c r="A7797" t="s">
        <v>384</v>
      </c>
    </row>
    <row r="7798" spans="1:1" x14ac:dyDescent="0.3">
      <c r="A7798" t="s">
        <v>385</v>
      </c>
    </row>
    <row r="7799" spans="1:1" x14ac:dyDescent="0.3">
      <c r="A7799" t="s">
        <v>118</v>
      </c>
    </row>
    <row r="7800" spans="1:1" x14ac:dyDescent="0.3">
      <c r="A7800" t="s">
        <v>119</v>
      </c>
    </row>
    <row r="7801" spans="1:1" x14ac:dyDescent="0.3">
      <c r="A7801" t="s">
        <v>268</v>
      </c>
    </row>
    <row r="7802" spans="1:1" x14ac:dyDescent="0.3">
      <c r="A7802" t="s">
        <v>269</v>
      </c>
    </row>
    <row r="7803" spans="1:1" x14ac:dyDescent="0.3">
      <c r="A7803" t="s">
        <v>386</v>
      </c>
    </row>
    <row r="7804" spans="1:1" x14ac:dyDescent="0.3">
      <c r="A7804" t="s">
        <v>387</v>
      </c>
    </row>
    <row r="7805" spans="1:1" x14ac:dyDescent="0.3">
      <c r="A7805" t="s">
        <v>271</v>
      </c>
    </row>
    <row r="7806" spans="1:1" x14ac:dyDescent="0.3">
      <c r="A7806" t="s">
        <v>125</v>
      </c>
    </row>
    <row r="7807" spans="1:1" x14ac:dyDescent="0.3">
      <c r="A7807" t="s">
        <v>126</v>
      </c>
    </row>
    <row r="7808" spans="1:1" x14ac:dyDescent="0.3">
      <c r="A7808" t="s">
        <v>127</v>
      </c>
    </row>
    <row r="7809" spans="1:11" x14ac:dyDescent="0.3">
      <c r="A7809" t="s">
        <v>167</v>
      </c>
    </row>
    <row r="7810" spans="1:11" x14ac:dyDescent="0.3">
      <c r="A7810" t="s">
        <v>416</v>
      </c>
    </row>
    <row r="7811" spans="1:11" x14ac:dyDescent="0.3">
      <c r="A7811" t="s">
        <v>72</v>
      </c>
      <c r="B7811">
        <v>1</v>
      </c>
      <c r="C7811" t="s">
        <v>73</v>
      </c>
      <c r="D7811">
        <v>4.5000000000000001E-6</v>
      </c>
      <c r="E7811" t="s">
        <v>74</v>
      </c>
      <c r="F7811">
        <v>4.4999999999999997E-3</v>
      </c>
      <c r="G7811" t="s">
        <v>75</v>
      </c>
      <c r="H7811">
        <v>4.5</v>
      </c>
      <c r="I7811" t="s">
        <v>76</v>
      </c>
      <c r="J7811" t="s">
        <v>77</v>
      </c>
    </row>
    <row r="7812" spans="1:11" x14ac:dyDescent="0.3">
      <c r="A7812" t="s">
        <v>72</v>
      </c>
      <c r="B7812">
        <v>1</v>
      </c>
      <c r="C7812" t="s">
        <v>78</v>
      </c>
      <c r="D7812">
        <v>0.1185373</v>
      </c>
      <c r="E7812" t="s">
        <v>74</v>
      </c>
      <c r="F7812">
        <v>118.5373</v>
      </c>
      <c r="G7812" t="s">
        <v>75</v>
      </c>
      <c r="H7812">
        <v>118537.299</v>
      </c>
      <c r="I7812" t="s">
        <v>76</v>
      </c>
      <c r="J7812" t="s">
        <v>77</v>
      </c>
    </row>
    <row r="7813" spans="1:11" x14ac:dyDescent="0.3">
      <c r="A7813" t="s">
        <v>72</v>
      </c>
      <c r="B7813">
        <v>1</v>
      </c>
      <c r="C7813" t="s">
        <v>79</v>
      </c>
      <c r="D7813">
        <v>0.1239237</v>
      </c>
      <c r="E7813" t="s">
        <v>74</v>
      </c>
      <c r="F7813">
        <v>123.9237</v>
      </c>
      <c r="G7813" t="s">
        <v>75</v>
      </c>
      <c r="H7813">
        <v>123923.697</v>
      </c>
      <c r="I7813" t="s">
        <v>76</v>
      </c>
      <c r="J7813" t="s">
        <v>77</v>
      </c>
    </row>
    <row r="7814" spans="1:11" x14ac:dyDescent="0.3">
      <c r="A7814" t="s">
        <v>72</v>
      </c>
      <c r="B7814">
        <v>1</v>
      </c>
      <c r="C7814" t="s">
        <v>94</v>
      </c>
      <c r="D7814">
        <v>0.1049887</v>
      </c>
      <c r="E7814" t="s">
        <v>74</v>
      </c>
      <c r="F7814">
        <v>104.98869999999999</v>
      </c>
      <c r="G7814" t="s">
        <v>75</v>
      </c>
      <c r="H7814">
        <v>104988.702</v>
      </c>
      <c r="I7814" t="s">
        <v>76</v>
      </c>
      <c r="J7814" t="s">
        <v>77</v>
      </c>
    </row>
    <row r="7815" spans="1:11" x14ac:dyDescent="0.3">
      <c r="A7815" t="s">
        <v>72</v>
      </c>
      <c r="B7815">
        <v>1</v>
      </c>
      <c r="C7815" t="s">
        <v>80</v>
      </c>
      <c r="D7815">
        <v>0.1049894</v>
      </c>
      <c r="E7815" t="s">
        <v>74</v>
      </c>
      <c r="F7815">
        <v>104.9894</v>
      </c>
      <c r="G7815" t="s">
        <v>75</v>
      </c>
      <c r="H7815">
        <v>104989.402</v>
      </c>
      <c r="I7815" t="s">
        <v>76</v>
      </c>
      <c r="J7815" t="s">
        <v>77</v>
      </c>
    </row>
    <row r="7816" spans="1:11" x14ac:dyDescent="0.3">
      <c r="A7816" t="s">
        <v>72</v>
      </c>
      <c r="B7816">
        <v>1</v>
      </c>
      <c r="C7816" t="s">
        <v>81</v>
      </c>
      <c r="D7816">
        <v>0.22891590000000001</v>
      </c>
      <c r="E7816" t="s">
        <v>74</v>
      </c>
      <c r="F7816">
        <v>228.91589999999999</v>
      </c>
      <c r="G7816" t="s">
        <v>75</v>
      </c>
      <c r="H7816">
        <v>228915.9</v>
      </c>
      <c r="I7816" t="s">
        <v>76</v>
      </c>
      <c r="J7816" t="s">
        <v>82</v>
      </c>
      <c r="K7816">
        <v>4.3684165000000004</v>
      </c>
    </row>
    <row r="7817" spans="1:11" x14ac:dyDescent="0.3">
      <c r="A7817" t="s">
        <v>83</v>
      </c>
      <c r="B7817">
        <v>1000</v>
      </c>
      <c r="C7817" t="s">
        <v>79</v>
      </c>
      <c r="D7817">
        <v>4.8034999999999999E-4</v>
      </c>
      <c r="E7817" t="s">
        <v>74</v>
      </c>
      <c r="F7817">
        <v>0.48035</v>
      </c>
      <c r="G7817" t="s">
        <v>75</v>
      </c>
      <c r="H7817">
        <v>480.35500000000002</v>
      </c>
      <c r="I7817" t="s">
        <v>76</v>
      </c>
      <c r="J7817" t="s">
        <v>77</v>
      </c>
    </row>
    <row r="7818" spans="1:11" x14ac:dyDescent="0.3">
      <c r="A7818" t="s">
        <v>83</v>
      </c>
      <c r="B7818">
        <v>1000</v>
      </c>
      <c r="C7818" t="s">
        <v>94</v>
      </c>
      <c r="D7818">
        <v>7.1482999999999996E-4</v>
      </c>
      <c r="E7818" t="s">
        <v>74</v>
      </c>
      <c r="F7818">
        <v>0.71482999999999997</v>
      </c>
      <c r="G7818" t="s">
        <v>75</v>
      </c>
      <c r="H7818">
        <v>714.83100000000002</v>
      </c>
      <c r="I7818" t="s">
        <v>76</v>
      </c>
      <c r="J7818" t="s">
        <v>77</v>
      </c>
    </row>
    <row r="7819" spans="1:11" x14ac:dyDescent="0.3">
      <c r="A7819" t="s">
        <v>83</v>
      </c>
      <c r="B7819">
        <v>1000</v>
      </c>
      <c r="C7819" t="s">
        <v>80</v>
      </c>
      <c r="D7819">
        <v>7.1509000000000004E-4</v>
      </c>
      <c r="E7819" t="s">
        <v>74</v>
      </c>
      <c r="F7819">
        <v>0.71509</v>
      </c>
      <c r="G7819" t="s">
        <v>75</v>
      </c>
      <c r="H7819">
        <v>715.09299999999996</v>
      </c>
      <c r="I7819" t="s">
        <v>76</v>
      </c>
      <c r="J7819" t="s">
        <v>77</v>
      </c>
    </row>
    <row r="7820" spans="1:11" x14ac:dyDescent="0.3">
      <c r="A7820" t="s">
        <v>83</v>
      </c>
      <c r="B7820">
        <v>1000</v>
      </c>
      <c r="C7820" t="s">
        <v>81</v>
      </c>
      <c r="D7820">
        <v>1.1959399999999999E-3</v>
      </c>
      <c r="E7820" t="s">
        <v>74</v>
      </c>
      <c r="F7820">
        <v>1.19594</v>
      </c>
      <c r="G7820" t="s">
        <v>75</v>
      </c>
      <c r="H7820">
        <v>1195.943</v>
      </c>
      <c r="I7820" t="s">
        <v>76</v>
      </c>
      <c r="J7820" t="s">
        <v>82</v>
      </c>
      <c r="K7820">
        <v>836.15991980000001</v>
      </c>
    </row>
    <row r="7821" spans="1:11" x14ac:dyDescent="0.3">
      <c r="A7821" t="s">
        <v>84</v>
      </c>
      <c r="B7821">
        <v>1001</v>
      </c>
      <c r="C7821" t="s">
        <v>79</v>
      </c>
      <c r="D7821">
        <v>6.0367000000000005E-4</v>
      </c>
      <c r="E7821" t="s">
        <v>74</v>
      </c>
      <c r="F7821">
        <v>0.60367000000000004</v>
      </c>
      <c r="G7821" t="s">
        <v>75</v>
      </c>
      <c r="H7821">
        <v>603.67399999999998</v>
      </c>
      <c r="I7821" t="s">
        <v>76</v>
      </c>
      <c r="J7821" t="s">
        <v>77</v>
      </c>
    </row>
    <row r="7822" spans="1:11" x14ac:dyDescent="0.3">
      <c r="A7822" t="s">
        <v>84</v>
      </c>
      <c r="B7822">
        <v>1001</v>
      </c>
      <c r="C7822" t="s">
        <v>94</v>
      </c>
      <c r="D7822">
        <v>8.1899999999999996E-4</v>
      </c>
      <c r="E7822" t="s">
        <v>74</v>
      </c>
      <c r="F7822">
        <v>0.81899999999999995</v>
      </c>
      <c r="G7822" t="s">
        <v>75</v>
      </c>
      <c r="H7822">
        <v>819.00199999999995</v>
      </c>
      <c r="I7822" t="s">
        <v>76</v>
      </c>
      <c r="J7822" t="s">
        <v>77</v>
      </c>
    </row>
    <row r="7823" spans="1:11" x14ac:dyDescent="0.3">
      <c r="A7823" t="s">
        <v>84</v>
      </c>
      <c r="B7823">
        <v>1001</v>
      </c>
      <c r="C7823" t="s">
        <v>80</v>
      </c>
      <c r="D7823">
        <v>8.1926000000000004E-4</v>
      </c>
      <c r="E7823" t="s">
        <v>74</v>
      </c>
      <c r="F7823">
        <v>0.81925999999999999</v>
      </c>
      <c r="G7823" t="s">
        <v>75</v>
      </c>
      <c r="H7823">
        <v>819.26300000000003</v>
      </c>
      <c r="I7823" t="s">
        <v>76</v>
      </c>
      <c r="J7823" t="s">
        <v>77</v>
      </c>
    </row>
    <row r="7824" spans="1:11" x14ac:dyDescent="0.3">
      <c r="A7824" t="s">
        <v>84</v>
      </c>
      <c r="B7824">
        <v>1001</v>
      </c>
      <c r="C7824" t="s">
        <v>81</v>
      </c>
      <c r="D7824">
        <v>1.42344E-3</v>
      </c>
      <c r="E7824" t="s">
        <v>74</v>
      </c>
      <c r="F7824">
        <v>1.42344</v>
      </c>
      <c r="G7824" t="s">
        <v>75</v>
      </c>
      <c r="H7824">
        <v>1423.4349999999999</v>
      </c>
      <c r="I7824" t="s">
        <v>76</v>
      </c>
      <c r="J7824" t="s">
        <v>82</v>
      </c>
      <c r="K7824">
        <v>702.52580660000001</v>
      </c>
    </row>
    <row r="7825" spans="1:11" x14ac:dyDescent="0.3">
      <c r="A7825" t="s">
        <v>85</v>
      </c>
      <c r="B7825">
        <v>1001</v>
      </c>
      <c r="C7825" t="s">
        <v>86</v>
      </c>
      <c r="D7825">
        <v>1.4237099999999999E-3</v>
      </c>
      <c r="E7825" t="s">
        <v>74</v>
      </c>
      <c r="F7825">
        <v>1.42371</v>
      </c>
      <c r="G7825" t="s">
        <v>75</v>
      </c>
      <c r="H7825">
        <v>1423.7149999999999</v>
      </c>
      <c r="I7825" t="s">
        <v>76</v>
      </c>
      <c r="J7825" t="s">
        <v>82</v>
      </c>
      <c r="K7825">
        <v>702.38800370000001</v>
      </c>
    </row>
    <row r="7826" spans="1:11" x14ac:dyDescent="0.3">
      <c r="A7826" t="s">
        <v>169</v>
      </c>
    </row>
    <row r="7827" spans="1:11" x14ac:dyDescent="0.3">
      <c r="A7827" t="s">
        <v>417</v>
      </c>
    </row>
    <row r="7828" spans="1:11" x14ac:dyDescent="0.3">
      <c r="A7828" t="s">
        <v>72</v>
      </c>
      <c r="B7828">
        <v>1</v>
      </c>
      <c r="C7828" t="s">
        <v>73</v>
      </c>
      <c r="D7828">
        <v>4.5000000000000001E-6</v>
      </c>
      <c r="E7828" t="s">
        <v>74</v>
      </c>
      <c r="F7828">
        <v>4.4999999999999997E-3</v>
      </c>
      <c r="G7828" t="s">
        <v>75</v>
      </c>
      <c r="H7828">
        <v>4.5</v>
      </c>
      <c r="I7828" t="s">
        <v>76</v>
      </c>
      <c r="J7828" t="s">
        <v>77</v>
      </c>
    </row>
    <row r="7829" spans="1:11" x14ac:dyDescent="0.3">
      <c r="A7829" t="s">
        <v>72</v>
      </c>
      <c r="B7829">
        <v>1</v>
      </c>
      <c r="C7829" t="s">
        <v>78</v>
      </c>
      <c r="D7829">
        <v>8.6446000000000005E-3</v>
      </c>
      <c r="E7829" t="s">
        <v>74</v>
      </c>
      <c r="F7829">
        <v>8.6446000000000005</v>
      </c>
      <c r="G7829" t="s">
        <v>75</v>
      </c>
      <c r="H7829">
        <v>8644.6</v>
      </c>
      <c r="I7829" t="s">
        <v>76</v>
      </c>
      <c r="J7829" t="s">
        <v>77</v>
      </c>
    </row>
    <row r="7830" spans="1:11" x14ac:dyDescent="0.3">
      <c r="A7830" t="s">
        <v>72</v>
      </c>
      <c r="B7830">
        <v>1</v>
      </c>
      <c r="C7830" t="s">
        <v>79</v>
      </c>
      <c r="D7830">
        <v>6.355E-4</v>
      </c>
      <c r="E7830" t="s">
        <v>74</v>
      </c>
      <c r="F7830">
        <v>0.63549999999999995</v>
      </c>
      <c r="G7830" t="s">
        <v>75</v>
      </c>
      <c r="H7830">
        <v>635.5</v>
      </c>
      <c r="I7830" t="s">
        <v>76</v>
      </c>
      <c r="J7830" t="s">
        <v>77</v>
      </c>
    </row>
    <row r="7831" spans="1:11" x14ac:dyDescent="0.3">
      <c r="A7831" t="s">
        <v>72</v>
      </c>
      <c r="B7831">
        <v>1</v>
      </c>
      <c r="C7831" t="s">
        <v>94</v>
      </c>
      <c r="D7831">
        <v>2.9232500000000002E-2</v>
      </c>
      <c r="E7831" t="s">
        <v>74</v>
      </c>
      <c r="F7831">
        <v>29.232500000000002</v>
      </c>
      <c r="G7831" t="s">
        <v>75</v>
      </c>
      <c r="H7831">
        <v>29232.5</v>
      </c>
      <c r="I7831" t="s">
        <v>76</v>
      </c>
      <c r="J7831" t="s">
        <v>77</v>
      </c>
    </row>
    <row r="7832" spans="1:11" x14ac:dyDescent="0.3">
      <c r="A7832" t="s">
        <v>72</v>
      </c>
      <c r="B7832">
        <v>1</v>
      </c>
      <c r="C7832" t="s">
        <v>80</v>
      </c>
      <c r="D7832">
        <v>2.9233200000000001E-2</v>
      </c>
      <c r="E7832" t="s">
        <v>74</v>
      </c>
      <c r="F7832">
        <v>29.2332</v>
      </c>
      <c r="G7832" t="s">
        <v>75</v>
      </c>
      <c r="H7832">
        <v>29233.200000000001</v>
      </c>
      <c r="I7832" t="s">
        <v>76</v>
      </c>
      <c r="J7832" t="s">
        <v>77</v>
      </c>
    </row>
    <row r="7833" spans="1:11" x14ac:dyDescent="0.3">
      <c r="A7833" t="s">
        <v>72</v>
      </c>
      <c r="B7833">
        <v>1</v>
      </c>
      <c r="C7833" t="s">
        <v>81</v>
      </c>
      <c r="D7833">
        <v>2.98701E-2</v>
      </c>
      <c r="E7833" t="s">
        <v>74</v>
      </c>
      <c r="F7833">
        <v>29.870100000000001</v>
      </c>
      <c r="G7833" t="s">
        <v>75</v>
      </c>
      <c r="H7833">
        <v>29870.1</v>
      </c>
      <c r="I7833" t="s">
        <v>76</v>
      </c>
      <c r="J7833" t="s">
        <v>82</v>
      </c>
      <c r="K7833">
        <v>33.478293999999998</v>
      </c>
    </row>
    <row r="7834" spans="1:11" x14ac:dyDescent="0.3">
      <c r="A7834" t="s">
        <v>83</v>
      </c>
      <c r="B7834">
        <v>1000</v>
      </c>
      <c r="C7834" t="s">
        <v>79</v>
      </c>
      <c r="D7834">
        <v>4.9392000000000001E-4</v>
      </c>
      <c r="E7834" t="s">
        <v>74</v>
      </c>
      <c r="F7834">
        <v>0.49392000000000003</v>
      </c>
      <c r="G7834" t="s">
        <v>75</v>
      </c>
      <c r="H7834">
        <v>493.92099999999999</v>
      </c>
      <c r="I7834" t="s">
        <v>76</v>
      </c>
      <c r="J7834" t="s">
        <v>77</v>
      </c>
    </row>
    <row r="7835" spans="1:11" x14ac:dyDescent="0.3">
      <c r="A7835" t="s">
        <v>83</v>
      </c>
      <c r="B7835">
        <v>1000</v>
      </c>
      <c r="C7835" t="s">
        <v>94</v>
      </c>
      <c r="D7835">
        <v>1.4686300000000001E-3</v>
      </c>
      <c r="E7835" t="s">
        <v>74</v>
      </c>
      <c r="F7835">
        <v>1.4686300000000001</v>
      </c>
      <c r="G7835" t="s">
        <v>75</v>
      </c>
      <c r="H7835">
        <v>1468.6289999999999</v>
      </c>
      <c r="I7835" t="s">
        <v>76</v>
      </c>
      <c r="J7835" t="s">
        <v>77</v>
      </c>
    </row>
    <row r="7836" spans="1:11" x14ac:dyDescent="0.3">
      <c r="A7836" t="s">
        <v>83</v>
      </c>
      <c r="B7836">
        <v>1000</v>
      </c>
      <c r="C7836" t="s">
        <v>80</v>
      </c>
      <c r="D7836">
        <v>1.59033E-3</v>
      </c>
      <c r="E7836" t="s">
        <v>74</v>
      </c>
      <c r="F7836">
        <v>1.59033</v>
      </c>
      <c r="G7836" t="s">
        <v>75</v>
      </c>
      <c r="H7836">
        <v>1590.3340000000001</v>
      </c>
      <c r="I7836" t="s">
        <v>76</v>
      </c>
      <c r="J7836" t="s">
        <v>77</v>
      </c>
    </row>
    <row r="7837" spans="1:11" x14ac:dyDescent="0.3">
      <c r="A7837" t="s">
        <v>83</v>
      </c>
      <c r="B7837">
        <v>1000</v>
      </c>
      <c r="C7837" t="s">
        <v>81</v>
      </c>
      <c r="D7837">
        <v>2.0851099999999998E-3</v>
      </c>
      <c r="E7837" t="s">
        <v>74</v>
      </c>
      <c r="F7837">
        <v>2.0851099999999998</v>
      </c>
      <c r="G7837" t="s">
        <v>75</v>
      </c>
      <c r="H7837">
        <v>2085.1129999999998</v>
      </c>
      <c r="I7837" t="s">
        <v>76</v>
      </c>
      <c r="J7837" t="s">
        <v>82</v>
      </c>
      <c r="K7837">
        <v>479.59035840000001</v>
      </c>
    </row>
    <row r="7838" spans="1:11" x14ac:dyDescent="0.3">
      <c r="A7838" t="s">
        <v>84</v>
      </c>
      <c r="B7838">
        <v>1001</v>
      </c>
      <c r="C7838" t="s">
        <v>79</v>
      </c>
      <c r="D7838">
        <v>4.9406000000000005E-4</v>
      </c>
      <c r="E7838" t="s">
        <v>74</v>
      </c>
      <c r="F7838">
        <v>0.49406</v>
      </c>
      <c r="G7838" t="s">
        <v>75</v>
      </c>
      <c r="H7838">
        <v>494.06299999999999</v>
      </c>
      <c r="I7838" t="s">
        <v>76</v>
      </c>
      <c r="J7838" t="s">
        <v>77</v>
      </c>
    </row>
    <row r="7839" spans="1:11" x14ac:dyDescent="0.3">
      <c r="A7839" t="s">
        <v>84</v>
      </c>
      <c r="B7839">
        <v>1001</v>
      </c>
      <c r="C7839" t="s">
        <v>94</v>
      </c>
      <c r="D7839">
        <v>1.49636E-3</v>
      </c>
      <c r="E7839" t="s">
        <v>74</v>
      </c>
      <c r="F7839">
        <v>1.4963599999999999</v>
      </c>
      <c r="G7839" t="s">
        <v>75</v>
      </c>
      <c r="H7839">
        <v>1496.364</v>
      </c>
      <c r="I7839" t="s">
        <v>76</v>
      </c>
      <c r="J7839" t="s">
        <v>77</v>
      </c>
    </row>
    <row r="7840" spans="1:11" x14ac:dyDescent="0.3">
      <c r="A7840" t="s">
        <v>84</v>
      </c>
      <c r="B7840">
        <v>1001</v>
      </c>
      <c r="C7840" t="s">
        <v>80</v>
      </c>
      <c r="D7840">
        <v>1.6179499999999999E-3</v>
      </c>
      <c r="E7840" t="s">
        <v>74</v>
      </c>
      <c r="F7840">
        <v>1.61795</v>
      </c>
      <c r="G7840" t="s">
        <v>75</v>
      </c>
      <c r="H7840">
        <v>1617.9490000000001</v>
      </c>
      <c r="I7840" t="s">
        <v>76</v>
      </c>
      <c r="J7840" t="s">
        <v>77</v>
      </c>
    </row>
    <row r="7841" spans="1:11" x14ac:dyDescent="0.3">
      <c r="A7841" t="s">
        <v>84</v>
      </c>
      <c r="B7841">
        <v>1001</v>
      </c>
      <c r="C7841" t="s">
        <v>81</v>
      </c>
      <c r="D7841">
        <v>2.1128700000000002E-3</v>
      </c>
      <c r="E7841" t="s">
        <v>74</v>
      </c>
      <c r="F7841">
        <v>2.11287</v>
      </c>
      <c r="G7841" t="s">
        <v>75</v>
      </c>
      <c r="H7841">
        <v>2112.87</v>
      </c>
      <c r="I7841" t="s">
        <v>76</v>
      </c>
      <c r="J7841" t="s">
        <v>82</v>
      </c>
      <c r="K7841">
        <v>473.28978460000002</v>
      </c>
    </row>
    <row r="7842" spans="1:11" x14ac:dyDescent="0.3">
      <c r="A7842" t="s">
        <v>85</v>
      </c>
      <c r="B7842">
        <v>1001</v>
      </c>
      <c r="C7842" t="s">
        <v>86</v>
      </c>
      <c r="D7842">
        <v>2.11319E-3</v>
      </c>
      <c r="E7842" t="s">
        <v>74</v>
      </c>
      <c r="F7842">
        <v>2.1131899999999999</v>
      </c>
      <c r="G7842" t="s">
        <v>75</v>
      </c>
      <c r="H7842">
        <v>2113.1930000000002</v>
      </c>
      <c r="I7842" t="s">
        <v>76</v>
      </c>
      <c r="J7842" t="s">
        <v>82</v>
      </c>
      <c r="K7842">
        <v>473.21750209999999</v>
      </c>
    </row>
    <row r="7843" spans="1:11" x14ac:dyDescent="0.3">
      <c r="A7843" t="s">
        <v>115</v>
      </c>
    </row>
    <row r="7844" spans="1:11" x14ac:dyDescent="0.3">
      <c r="A7844" t="s">
        <v>127</v>
      </c>
    </row>
    <row r="7845" spans="1:11" x14ac:dyDescent="0.3">
      <c r="A7845" t="s">
        <v>87</v>
      </c>
    </row>
    <row r="7846" spans="1:11" x14ac:dyDescent="0.3">
      <c r="A7846" t="s">
        <v>418</v>
      </c>
    </row>
    <row r="7847" spans="1:11" x14ac:dyDescent="0.3">
      <c r="A7847" t="s">
        <v>72</v>
      </c>
      <c r="B7847">
        <v>1</v>
      </c>
      <c r="C7847" t="s">
        <v>81</v>
      </c>
      <c r="D7847">
        <v>0.22891590000000001</v>
      </c>
      <c r="E7847" t="s">
        <v>74</v>
      </c>
      <c r="F7847">
        <v>228.91589999999999</v>
      </c>
      <c r="G7847" t="s">
        <v>75</v>
      </c>
      <c r="H7847">
        <v>228915.9</v>
      </c>
      <c r="I7847" t="s">
        <v>76</v>
      </c>
      <c r="J7847" t="s">
        <v>82</v>
      </c>
      <c r="K7847">
        <v>4.3684165000000004</v>
      </c>
    </row>
    <row r="7848" spans="1:11" x14ac:dyDescent="0.3">
      <c r="A7848" t="s">
        <v>83</v>
      </c>
      <c r="B7848">
        <v>1000</v>
      </c>
      <c r="C7848" t="s">
        <v>81</v>
      </c>
      <c r="D7848">
        <v>1.1959399999999999E-3</v>
      </c>
      <c r="E7848" t="s">
        <v>74</v>
      </c>
      <c r="F7848">
        <v>1.19594</v>
      </c>
      <c r="G7848" t="s">
        <v>75</v>
      </c>
      <c r="H7848">
        <v>1195.943</v>
      </c>
      <c r="I7848" t="s">
        <v>76</v>
      </c>
      <c r="J7848" t="s">
        <v>82</v>
      </c>
      <c r="K7848">
        <v>836.15991980000001</v>
      </c>
    </row>
    <row r="7849" spans="1:11" x14ac:dyDescent="0.3">
      <c r="A7849" t="s">
        <v>85</v>
      </c>
      <c r="B7849">
        <v>1001</v>
      </c>
      <c r="C7849" t="s">
        <v>86</v>
      </c>
      <c r="D7849">
        <v>1.4237099999999999E-3</v>
      </c>
      <c r="E7849" t="s">
        <v>74</v>
      </c>
      <c r="F7849">
        <v>1.42371</v>
      </c>
      <c r="G7849" t="s">
        <v>75</v>
      </c>
      <c r="H7849">
        <v>1423.7149999999999</v>
      </c>
      <c r="I7849" t="s">
        <v>76</v>
      </c>
      <c r="J7849" t="s">
        <v>82</v>
      </c>
      <c r="K7849">
        <v>702.38800370000001</v>
      </c>
    </row>
    <row r="7851" spans="1:11" x14ac:dyDescent="0.3">
      <c r="A7851" t="s">
        <v>419</v>
      </c>
    </row>
    <row r="7852" spans="1:11" x14ac:dyDescent="0.3">
      <c r="A7852" t="s">
        <v>72</v>
      </c>
      <c r="B7852">
        <v>1</v>
      </c>
      <c r="C7852" t="s">
        <v>81</v>
      </c>
      <c r="D7852">
        <v>2.98701E-2</v>
      </c>
      <c r="E7852" t="s">
        <v>74</v>
      </c>
      <c r="F7852">
        <v>29.870100000000001</v>
      </c>
      <c r="G7852" t="s">
        <v>75</v>
      </c>
      <c r="H7852">
        <v>29870.1</v>
      </c>
      <c r="I7852" t="s">
        <v>76</v>
      </c>
      <c r="J7852" t="s">
        <v>82</v>
      </c>
      <c r="K7852">
        <v>33.478293999999998</v>
      </c>
    </row>
    <row r="7853" spans="1:11" x14ac:dyDescent="0.3">
      <c r="A7853" t="s">
        <v>83</v>
      </c>
      <c r="B7853">
        <v>1000</v>
      </c>
      <c r="C7853" t="s">
        <v>81</v>
      </c>
      <c r="D7853">
        <v>2.0851099999999998E-3</v>
      </c>
      <c r="E7853" t="s">
        <v>74</v>
      </c>
      <c r="F7853">
        <v>2.0851099999999998</v>
      </c>
      <c r="G7853" t="s">
        <v>75</v>
      </c>
      <c r="H7853">
        <v>2085.1129999999998</v>
      </c>
      <c r="I7853" t="s">
        <v>76</v>
      </c>
      <c r="J7853" t="s">
        <v>82</v>
      </c>
      <c r="K7853">
        <v>479.59035840000001</v>
      </c>
    </row>
    <row r="7854" spans="1:11" x14ac:dyDescent="0.3">
      <c r="A7854" t="s">
        <v>85</v>
      </c>
      <c r="B7854">
        <v>1001</v>
      </c>
      <c r="C7854" t="s">
        <v>86</v>
      </c>
      <c r="D7854">
        <v>2.11319E-3</v>
      </c>
      <c r="E7854" t="s">
        <v>74</v>
      </c>
      <c r="F7854">
        <v>2.1131899999999999</v>
      </c>
      <c r="G7854" t="s">
        <v>75</v>
      </c>
      <c r="H7854">
        <v>2113.1930000000002</v>
      </c>
      <c r="I7854" t="s">
        <v>76</v>
      </c>
      <c r="J7854" t="s">
        <v>82</v>
      </c>
      <c r="K7854">
        <v>473.21750209999999</v>
      </c>
    </row>
    <row r="7856" spans="1:11" x14ac:dyDescent="0.3">
      <c r="A7856" t="s">
        <v>66</v>
      </c>
    </row>
    <row r="7858" spans="1:1" x14ac:dyDescent="0.3">
      <c r="A7858" t="s">
        <v>420</v>
      </c>
    </row>
    <row r="7859" spans="1:1" x14ac:dyDescent="0.3">
      <c r="A7859" t="s">
        <v>68</v>
      </c>
    </row>
    <row r="7860" spans="1:1" x14ac:dyDescent="0.3">
      <c r="A7860" t="s">
        <v>69</v>
      </c>
    </row>
    <row r="7861" spans="1:1" x14ac:dyDescent="0.3">
      <c r="A7861" t="s">
        <v>70</v>
      </c>
    </row>
    <row r="7862" spans="1:1" x14ac:dyDescent="0.3">
      <c r="A7862" t="s">
        <v>115</v>
      </c>
    </row>
    <row r="7863" spans="1:1" x14ac:dyDescent="0.3">
      <c r="A7863" t="s">
        <v>384</v>
      </c>
    </row>
    <row r="7864" spans="1:1" x14ac:dyDescent="0.3">
      <c r="A7864" t="s">
        <v>385</v>
      </c>
    </row>
    <row r="7865" spans="1:1" x14ac:dyDescent="0.3">
      <c r="A7865" t="s">
        <v>118</v>
      </c>
    </row>
    <row r="7866" spans="1:1" x14ac:dyDescent="0.3">
      <c r="A7866" t="s">
        <v>119</v>
      </c>
    </row>
    <row r="7867" spans="1:1" x14ac:dyDescent="0.3">
      <c r="A7867" t="s">
        <v>268</v>
      </c>
    </row>
    <row r="7868" spans="1:1" x14ac:dyDescent="0.3">
      <c r="A7868" t="s">
        <v>269</v>
      </c>
    </row>
    <row r="7869" spans="1:1" x14ac:dyDescent="0.3">
      <c r="A7869" t="s">
        <v>386</v>
      </c>
    </row>
    <row r="7870" spans="1:1" x14ac:dyDescent="0.3">
      <c r="A7870" t="s">
        <v>387</v>
      </c>
    </row>
    <row r="7871" spans="1:1" x14ac:dyDescent="0.3">
      <c r="A7871" t="s">
        <v>271</v>
      </c>
    </row>
    <row r="7872" spans="1:1" x14ac:dyDescent="0.3">
      <c r="A7872" t="s">
        <v>125</v>
      </c>
    </row>
    <row r="7873" spans="1:11" x14ac:dyDescent="0.3">
      <c r="A7873" t="s">
        <v>126</v>
      </c>
    </row>
    <row r="7874" spans="1:11" x14ac:dyDescent="0.3">
      <c r="A7874" t="s">
        <v>127</v>
      </c>
    </row>
    <row r="7875" spans="1:11" x14ac:dyDescent="0.3">
      <c r="A7875" t="s">
        <v>174</v>
      </c>
    </row>
    <row r="7876" spans="1:11" x14ac:dyDescent="0.3">
      <c r="A7876" t="s">
        <v>421</v>
      </c>
    </row>
    <row r="7877" spans="1:11" x14ac:dyDescent="0.3">
      <c r="A7877" t="s">
        <v>72</v>
      </c>
      <c r="B7877">
        <v>1</v>
      </c>
      <c r="C7877" t="s">
        <v>73</v>
      </c>
      <c r="D7877">
        <v>3.8E-6</v>
      </c>
      <c r="E7877" t="s">
        <v>74</v>
      </c>
      <c r="F7877">
        <v>3.8E-3</v>
      </c>
      <c r="G7877" t="s">
        <v>75</v>
      </c>
      <c r="H7877">
        <v>3.8</v>
      </c>
      <c r="I7877" t="s">
        <v>76</v>
      </c>
      <c r="J7877" t="s">
        <v>77</v>
      </c>
    </row>
    <row r="7878" spans="1:11" x14ac:dyDescent="0.3">
      <c r="A7878" t="s">
        <v>72</v>
      </c>
      <c r="B7878">
        <v>1</v>
      </c>
      <c r="C7878" t="s">
        <v>78</v>
      </c>
      <c r="D7878">
        <v>0.14240850999999999</v>
      </c>
      <c r="E7878" t="s">
        <v>74</v>
      </c>
      <c r="F7878">
        <v>142.40851000000001</v>
      </c>
      <c r="G7878" t="s">
        <v>75</v>
      </c>
      <c r="H7878">
        <v>142408.505</v>
      </c>
      <c r="I7878" t="s">
        <v>76</v>
      </c>
      <c r="J7878" t="s">
        <v>77</v>
      </c>
    </row>
    <row r="7879" spans="1:11" x14ac:dyDescent="0.3">
      <c r="A7879" t="s">
        <v>72</v>
      </c>
      <c r="B7879">
        <v>1</v>
      </c>
      <c r="C7879" t="s">
        <v>91</v>
      </c>
      <c r="D7879">
        <v>0.1116935</v>
      </c>
      <c r="E7879" t="s">
        <v>74</v>
      </c>
      <c r="F7879">
        <v>111.6935</v>
      </c>
      <c r="G7879" t="s">
        <v>75</v>
      </c>
      <c r="H7879">
        <v>111693.501</v>
      </c>
      <c r="I7879" t="s">
        <v>76</v>
      </c>
      <c r="J7879" t="s">
        <v>77</v>
      </c>
    </row>
    <row r="7880" spans="1:11" x14ac:dyDescent="0.3">
      <c r="A7880" t="s">
        <v>72</v>
      </c>
      <c r="B7880">
        <v>1</v>
      </c>
      <c r="C7880" t="s">
        <v>92</v>
      </c>
      <c r="D7880">
        <v>6.0930000000000001E-4</v>
      </c>
      <c r="E7880" t="s">
        <v>74</v>
      </c>
      <c r="F7880">
        <v>0.60929999999999995</v>
      </c>
      <c r="G7880" t="s">
        <v>75</v>
      </c>
      <c r="H7880">
        <v>609.29999999999995</v>
      </c>
      <c r="I7880" t="s">
        <v>76</v>
      </c>
      <c r="J7880" t="s">
        <v>77</v>
      </c>
    </row>
    <row r="7881" spans="1:11" x14ac:dyDescent="0.3">
      <c r="A7881" t="s">
        <v>72</v>
      </c>
      <c r="B7881">
        <v>1</v>
      </c>
      <c r="C7881" t="s">
        <v>93</v>
      </c>
      <c r="D7881">
        <v>4.2860000000000001E-4</v>
      </c>
      <c r="E7881" t="s">
        <v>74</v>
      </c>
      <c r="F7881">
        <v>0.42859999999999998</v>
      </c>
      <c r="G7881" t="s">
        <v>75</v>
      </c>
      <c r="H7881">
        <v>428.6</v>
      </c>
      <c r="I7881" t="s">
        <v>76</v>
      </c>
      <c r="J7881" t="s">
        <v>77</v>
      </c>
    </row>
    <row r="7882" spans="1:11" x14ac:dyDescent="0.3">
      <c r="A7882" t="s">
        <v>72</v>
      </c>
      <c r="B7882">
        <v>1</v>
      </c>
      <c r="C7882" t="s">
        <v>79</v>
      </c>
      <c r="D7882">
        <v>0.11273229999999999</v>
      </c>
      <c r="E7882" t="s">
        <v>74</v>
      </c>
      <c r="F7882">
        <v>112.7323</v>
      </c>
      <c r="G7882" t="s">
        <v>75</v>
      </c>
      <c r="H7882">
        <v>112732.299</v>
      </c>
      <c r="I7882" t="s">
        <v>76</v>
      </c>
      <c r="J7882" t="s">
        <v>77</v>
      </c>
    </row>
    <row r="7883" spans="1:11" x14ac:dyDescent="0.3">
      <c r="A7883" t="s">
        <v>72</v>
      </c>
      <c r="B7883">
        <v>1</v>
      </c>
      <c r="C7883" t="s">
        <v>94</v>
      </c>
      <c r="D7883">
        <v>9.7259000000000009E-3</v>
      </c>
      <c r="E7883" t="s">
        <v>74</v>
      </c>
      <c r="F7883">
        <v>9.7258999999999993</v>
      </c>
      <c r="G7883" t="s">
        <v>75</v>
      </c>
      <c r="H7883">
        <v>9725.9</v>
      </c>
      <c r="I7883" t="s">
        <v>76</v>
      </c>
      <c r="J7883" t="s">
        <v>77</v>
      </c>
    </row>
    <row r="7884" spans="1:11" x14ac:dyDescent="0.3">
      <c r="A7884" t="s">
        <v>72</v>
      </c>
      <c r="B7884">
        <v>1</v>
      </c>
      <c r="C7884" t="s">
        <v>80</v>
      </c>
      <c r="D7884">
        <v>9.7265000000000008E-3</v>
      </c>
      <c r="E7884" t="s">
        <v>74</v>
      </c>
      <c r="F7884">
        <v>9.7264999999999997</v>
      </c>
      <c r="G7884" t="s">
        <v>75</v>
      </c>
      <c r="H7884">
        <v>9726.5</v>
      </c>
      <c r="I7884" t="s">
        <v>76</v>
      </c>
      <c r="J7884" t="s">
        <v>77</v>
      </c>
    </row>
    <row r="7885" spans="1:11" x14ac:dyDescent="0.3">
      <c r="A7885" t="s">
        <v>72</v>
      </c>
      <c r="B7885">
        <v>1</v>
      </c>
      <c r="C7885" t="s">
        <v>81</v>
      </c>
      <c r="D7885">
        <v>0.1224609</v>
      </c>
      <c r="E7885" t="s">
        <v>74</v>
      </c>
      <c r="F7885">
        <v>122.4609</v>
      </c>
      <c r="G7885" t="s">
        <v>75</v>
      </c>
      <c r="H7885">
        <v>122460.902</v>
      </c>
      <c r="I7885" t="s">
        <v>76</v>
      </c>
      <c r="J7885" t="s">
        <v>82</v>
      </c>
      <c r="K7885">
        <v>8.1658715999999991</v>
      </c>
    </row>
    <row r="7886" spans="1:11" x14ac:dyDescent="0.3">
      <c r="A7886" t="s">
        <v>83</v>
      </c>
      <c r="B7886">
        <v>1000</v>
      </c>
      <c r="C7886" t="s">
        <v>91</v>
      </c>
      <c r="D7886">
        <v>7.4332000000000001E-4</v>
      </c>
      <c r="E7886" t="s">
        <v>74</v>
      </c>
      <c r="F7886">
        <v>0.74331999999999998</v>
      </c>
      <c r="G7886" t="s">
        <v>75</v>
      </c>
      <c r="H7886">
        <v>743.32399999999996</v>
      </c>
      <c r="I7886" t="s">
        <v>76</v>
      </c>
      <c r="J7886" t="s">
        <v>77</v>
      </c>
    </row>
    <row r="7887" spans="1:11" x14ac:dyDescent="0.3">
      <c r="A7887" t="s">
        <v>83</v>
      </c>
      <c r="B7887">
        <v>1000</v>
      </c>
      <c r="C7887" t="s">
        <v>92</v>
      </c>
      <c r="D7887">
        <v>4.8278999999999998E-4</v>
      </c>
      <c r="E7887" t="s">
        <v>74</v>
      </c>
      <c r="F7887">
        <v>0.48279</v>
      </c>
      <c r="G7887" t="s">
        <v>75</v>
      </c>
      <c r="H7887">
        <v>482.79300000000001</v>
      </c>
      <c r="I7887" t="s">
        <v>76</v>
      </c>
      <c r="J7887" t="s">
        <v>77</v>
      </c>
    </row>
    <row r="7888" spans="1:11" x14ac:dyDescent="0.3">
      <c r="A7888" t="s">
        <v>83</v>
      </c>
      <c r="B7888">
        <v>1000</v>
      </c>
      <c r="C7888" t="s">
        <v>93</v>
      </c>
      <c r="D7888">
        <v>3.8285000000000001E-4</v>
      </c>
      <c r="E7888" t="s">
        <v>74</v>
      </c>
      <c r="F7888">
        <v>0.38285000000000002</v>
      </c>
      <c r="G7888" t="s">
        <v>75</v>
      </c>
      <c r="H7888">
        <v>382.84800000000001</v>
      </c>
      <c r="I7888" t="s">
        <v>76</v>
      </c>
      <c r="J7888" t="s">
        <v>77</v>
      </c>
    </row>
    <row r="7889" spans="1:11" x14ac:dyDescent="0.3">
      <c r="A7889" t="s">
        <v>83</v>
      </c>
      <c r="B7889">
        <v>1000</v>
      </c>
      <c r="C7889" t="s">
        <v>79</v>
      </c>
      <c r="D7889">
        <v>1.60979E-3</v>
      </c>
      <c r="E7889" t="s">
        <v>74</v>
      </c>
      <c r="F7889">
        <v>1.6097900000000001</v>
      </c>
      <c r="G7889" t="s">
        <v>75</v>
      </c>
      <c r="H7889">
        <v>1609.7860000000001</v>
      </c>
      <c r="I7889" t="s">
        <v>76</v>
      </c>
      <c r="J7889" t="s">
        <v>77</v>
      </c>
    </row>
    <row r="7890" spans="1:11" x14ac:dyDescent="0.3">
      <c r="A7890" t="s">
        <v>83</v>
      </c>
      <c r="B7890">
        <v>1000</v>
      </c>
      <c r="C7890" t="s">
        <v>94</v>
      </c>
      <c r="D7890">
        <v>2.72288E-3</v>
      </c>
      <c r="E7890" t="s">
        <v>74</v>
      </c>
      <c r="F7890">
        <v>2.72288</v>
      </c>
      <c r="G7890" t="s">
        <v>75</v>
      </c>
      <c r="H7890">
        <v>2722.8829999999998</v>
      </c>
      <c r="I7890" t="s">
        <v>76</v>
      </c>
      <c r="J7890" t="s">
        <v>77</v>
      </c>
    </row>
    <row r="7891" spans="1:11" x14ac:dyDescent="0.3">
      <c r="A7891" t="s">
        <v>83</v>
      </c>
      <c r="B7891">
        <v>1000</v>
      </c>
      <c r="C7891" t="s">
        <v>80</v>
      </c>
      <c r="D7891">
        <v>2.8775300000000001E-3</v>
      </c>
      <c r="E7891" t="s">
        <v>74</v>
      </c>
      <c r="F7891">
        <v>2.8775300000000001</v>
      </c>
      <c r="G7891" t="s">
        <v>75</v>
      </c>
      <c r="H7891">
        <v>2877.529</v>
      </c>
      <c r="I7891" t="s">
        <v>76</v>
      </c>
      <c r="J7891" t="s">
        <v>77</v>
      </c>
    </row>
    <row r="7892" spans="1:11" x14ac:dyDescent="0.3">
      <c r="A7892" t="s">
        <v>83</v>
      </c>
      <c r="B7892">
        <v>1000</v>
      </c>
      <c r="C7892" t="s">
        <v>81</v>
      </c>
      <c r="D7892">
        <v>4.4891000000000002E-3</v>
      </c>
      <c r="E7892" t="s">
        <v>74</v>
      </c>
      <c r="F7892">
        <v>4.4890999999999996</v>
      </c>
      <c r="G7892" t="s">
        <v>75</v>
      </c>
      <c r="H7892">
        <v>4489.0959999999995</v>
      </c>
      <c r="I7892" t="s">
        <v>76</v>
      </c>
      <c r="J7892" t="s">
        <v>82</v>
      </c>
      <c r="K7892">
        <v>222.7620148</v>
      </c>
    </row>
    <row r="7893" spans="1:11" x14ac:dyDescent="0.3">
      <c r="A7893" t="s">
        <v>84</v>
      </c>
      <c r="B7893">
        <v>1001</v>
      </c>
      <c r="C7893" t="s">
        <v>91</v>
      </c>
      <c r="D7893">
        <v>8.5415999999999997E-4</v>
      </c>
      <c r="E7893" t="s">
        <v>74</v>
      </c>
      <c r="F7893">
        <v>0.85416000000000003</v>
      </c>
      <c r="G7893" t="s">
        <v>75</v>
      </c>
      <c r="H7893">
        <v>854.16399999999999</v>
      </c>
      <c r="I7893" t="s">
        <v>76</v>
      </c>
      <c r="J7893" t="s">
        <v>77</v>
      </c>
    </row>
    <row r="7894" spans="1:11" x14ac:dyDescent="0.3">
      <c r="A7894" t="s">
        <v>84</v>
      </c>
      <c r="B7894">
        <v>1001</v>
      </c>
      <c r="C7894" t="s">
        <v>92</v>
      </c>
      <c r="D7894">
        <v>4.8292000000000002E-4</v>
      </c>
      <c r="E7894" t="s">
        <v>74</v>
      </c>
      <c r="F7894">
        <v>0.48292000000000002</v>
      </c>
      <c r="G7894" t="s">
        <v>75</v>
      </c>
      <c r="H7894">
        <v>482.91899999999998</v>
      </c>
      <c r="I7894" t="s">
        <v>76</v>
      </c>
      <c r="J7894" t="s">
        <v>77</v>
      </c>
    </row>
    <row r="7895" spans="1:11" x14ac:dyDescent="0.3">
      <c r="A7895" t="s">
        <v>84</v>
      </c>
      <c r="B7895">
        <v>1001</v>
      </c>
      <c r="C7895" t="s">
        <v>93</v>
      </c>
      <c r="D7895">
        <v>3.8288999999999999E-4</v>
      </c>
      <c r="E7895" t="s">
        <v>74</v>
      </c>
      <c r="F7895">
        <v>0.38289000000000001</v>
      </c>
      <c r="G7895" t="s">
        <v>75</v>
      </c>
      <c r="H7895">
        <v>382.89299999999997</v>
      </c>
      <c r="I7895" t="s">
        <v>76</v>
      </c>
      <c r="J7895" t="s">
        <v>77</v>
      </c>
    </row>
    <row r="7896" spans="1:11" x14ac:dyDescent="0.3">
      <c r="A7896" t="s">
        <v>84</v>
      </c>
      <c r="B7896">
        <v>1001</v>
      </c>
      <c r="C7896" t="s">
        <v>79</v>
      </c>
      <c r="D7896">
        <v>1.7208E-3</v>
      </c>
      <c r="E7896" t="s">
        <v>74</v>
      </c>
      <c r="F7896">
        <v>1.7208000000000001</v>
      </c>
      <c r="G7896" t="s">
        <v>75</v>
      </c>
      <c r="H7896">
        <v>1720.798</v>
      </c>
      <c r="I7896" t="s">
        <v>76</v>
      </c>
      <c r="J7896" t="s">
        <v>77</v>
      </c>
    </row>
    <row r="7897" spans="1:11" x14ac:dyDescent="0.3">
      <c r="A7897" t="s">
        <v>84</v>
      </c>
      <c r="B7897">
        <v>1001</v>
      </c>
      <c r="C7897" t="s">
        <v>94</v>
      </c>
      <c r="D7897">
        <v>2.7298800000000001E-3</v>
      </c>
      <c r="E7897" t="s">
        <v>74</v>
      </c>
      <c r="F7897">
        <v>2.7298800000000001</v>
      </c>
      <c r="G7897" t="s">
        <v>75</v>
      </c>
      <c r="H7897">
        <v>2729.8789999999999</v>
      </c>
      <c r="I7897" t="s">
        <v>76</v>
      </c>
      <c r="J7897" t="s">
        <v>77</v>
      </c>
    </row>
    <row r="7898" spans="1:11" x14ac:dyDescent="0.3">
      <c r="A7898" t="s">
        <v>84</v>
      </c>
      <c r="B7898">
        <v>1001</v>
      </c>
      <c r="C7898" t="s">
        <v>80</v>
      </c>
      <c r="D7898">
        <v>2.8843699999999998E-3</v>
      </c>
      <c r="E7898" t="s">
        <v>74</v>
      </c>
      <c r="F7898">
        <v>2.8843700000000001</v>
      </c>
      <c r="G7898" t="s">
        <v>75</v>
      </c>
      <c r="H7898">
        <v>2884.3710000000001</v>
      </c>
      <c r="I7898" t="s">
        <v>76</v>
      </c>
      <c r="J7898" t="s">
        <v>77</v>
      </c>
    </row>
    <row r="7899" spans="1:11" x14ac:dyDescent="0.3">
      <c r="A7899" t="s">
        <v>84</v>
      </c>
      <c r="B7899">
        <v>1001</v>
      </c>
      <c r="C7899" t="s">
        <v>81</v>
      </c>
      <c r="D7899">
        <v>4.6069500000000003E-3</v>
      </c>
      <c r="E7899" t="s">
        <v>74</v>
      </c>
      <c r="F7899">
        <v>4.6069500000000003</v>
      </c>
      <c r="G7899" t="s">
        <v>75</v>
      </c>
      <c r="H7899">
        <v>4606.951</v>
      </c>
      <c r="I7899" t="s">
        <v>76</v>
      </c>
      <c r="J7899" t="s">
        <v>82</v>
      </c>
      <c r="K7899">
        <v>217.0633024</v>
      </c>
    </row>
    <row r="7900" spans="1:11" x14ac:dyDescent="0.3">
      <c r="A7900" t="s">
        <v>85</v>
      </c>
      <c r="B7900">
        <v>1001</v>
      </c>
      <c r="C7900" t="s">
        <v>86</v>
      </c>
      <c r="D7900">
        <v>4.6072600000000002E-3</v>
      </c>
      <c r="E7900" t="s">
        <v>74</v>
      </c>
      <c r="F7900">
        <v>4.6072600000000001</v>
      </c>
      <c r="G7900" t="s">
        <v>75</v>
      </c>
      <c r="H7900">
        <v>4607.259</v>
      </c>
      <c r="I7900" t="s">
        <v>76</v>
      </c>
      <c r="J7900" t="s">
        <v>82</v>
      </c>
      <c r="K7900">
        <v>217.04880420000001</v>
      </c>
    </row>
    <row r="7901" spans="1:11" x14ac:dyDescent="0.3">
      <c r="A7901" t="s">
        <v>115</v>
      </c>
    </row>
    <row r="7902" spans="1:11" x14ac:dyDescent="0.3">
      <c r="A7902" t="s">
        <v>127</v>
      </c>
    </row>
    <row r="7903" spans="1:11" x14ac:dyDescent="0.3">
      <c r="A7903" t="s">
        <v>87</v>
      </c>
    </row>
    <row r="7904" spans="1:11" x14ac:dyDescent="0.3">
      <c r="A7904" t="s">
        <v>422</v>
      </c>
    </row>
    <row r="7905" spans="1:11" x14ac:dyDescent="0.3">
      <c r="A7905" t="s">
        <v>72</v>
      </c>
      <c r="B7905">
        <v>1</v>
      </c>
      <c r="C7905" t="s">
        <v>81</v>
      </c>
      <c r="D7905">
        <v>0.1224609</v>
      </c>
      <c r="E7905" t="s">
        <v>74</v>
      </c>
      <c r="F7905">
        <v>122.4609</v>
      </c>
      <c r="G7905" t="s">
        <v>75</v>
      </c>
      <c r="H7905">
        <v>122460.902</v>
      </c>
      <c r="I7905" t="s">
        <v>76</v>
      </c>
      <c r="J7905" t="s">
        <v>82</v>
      </c>
      <c r="K7905">
        <v>8.1658715999999991</v>
      </c>
    </row>
    <row r="7906" spans="1:11" x14ac:dyDescent="0.3">
      <c r="A7906" t="s">
        <v>83</v>
      </c>
      <c r="B7906">
        <v>1000</v>
      </c>
      <c r="C7906" t="s">
        <v>81</v>
      </c>
      <c r="D7906">
        <v>4.4891000000000002E-3</v>
      </c>
      <c r="E7906" t="s">
        <v>74</v>
      </c>
      <c r="F7906">
        <v>4.4890999999999996</v>
      </c>
      <c r="G7906" t="s">
        <v>75</v>
      </c>
      <c r="H7906">
        <v>4489.0959999999995</v>
      </c>
      <c r="I7906" t="s">
        <v>76</v>
      </c>
      <c r="J7906" t="s">
        <v>82</v>
      </c>
      <c r="K7906">
        <v>222.7620148</v>
      </c>
    </row>
    <row r="7907" spans="1:11" x14ac:dyDescent="0.3">
      <c r="A7907" t="s">
        <v>85</v>
      </c>
      <c r="B7907">
        <v>1001</v>
      </c>
      <c r="C7907" t="s">
        <v>86</v>
      </c>
      <c r="D7907">
        <v>4.6072600000000002E-3</v>
      </c>
      <c r="E7907" t="s">
        <v>74</v>
      </c>
      <c r="F7907">
        <v>4.6072600000000001</v>
      </c>
      <c r="G7907" t="s">
        <v>75</v>
      </c>
      <c r="H7907">
        <v>4607.259</v>
      </c>
      <c r="I7907" t="s">
        <v>76</v>
      </c>
      <c r="J7907" t="s">
        <v>82</v>
      </c>
      <c r="K7907">
        <v>217.04880420000001</v>
      </c>
    </row>
    <row r="7909" spans="1:11" x14ac:dyDescent="0.3">
      <c r="A7909" t="s">
        <v>66</v>
      </c>
    </row>
    <row r="7911" spans="1:11" x14ac:dyDescent="0.3">
      <c r="A7911" t="s">
        <v>423</v>
      </c>
    </row>
    <row r="7912" spans="1:11" x14ac:dyDescent="0.3">
      <c r="A7912" t="s">
        <v>68</v>
      </c>
    </row>
    <row r="7913" spans="1:11" x14ac:dyDescent="0.3">
      <c r="A7913" t="s">
        <v>69</v>
      </c>
    </row>
    <row r="7914" spans="1:11" x14ac:dyDescent="0.3">
      <c r="A7914" t="s">
        <v>70</v>
      </c>
    </row>
    <row r="7915" spans="1:11" x14ac:dyDescent="0.3">
      <c r="A7915" t="s">
        <v>115</v>
      </c>
    </row>
    <row r="7916" spans="1:11" x14ac:dyDescent="0.3">
      <c r="A7916" t="s">
        <v>384</v>
      </c>
    </row>
    <row r="7917" spans="1:11" x14ac:dyDescent="0.3">
      <c r="A7917" t="s">
        <v>385</v>
      </c>
    </row>
    <row r="7918" spans="1:11" x14ac:dyDescent="0.3">
      <c r="A7918" t="s">
        <v>118</v>
      </c>
    </row>
    <row r="7919" spans="1:11" x14ac:dyDescent="0.3">
      <c r="A7919" t="s">
        <v>119</v>
      </c>
    </row>
    <row r="7920" spans="1:11" x14ac:dyDescent="0.3">
      <c r="A7920" t="s">
        <v>268</v>
      </c>
    </row>
    <row r="7921" spans="1:11" x14ac:dyDescent="0.3">
      <c r="A7921" t="s">
        <v>269</v>
      </c>
    </row>
    <row r="7922" spans="1:11" x14ac:dyDescent="0.3">
      <c r="A7922" t="s">
        <v>386</v>
      </c>
    </row>
    <row r="7923" spans="1:11" x14ac:dyDescent="0.3">
      <c r="A7923" t="s">
        <v>387</v>
      </c>
    </row>
    <row r="7924" spans="1:11" x14ac:dyDescent="0.3">
      <c r="A7924" t="s">
        <v>271</v>
      </c>
    </row>
    <row r="7925" spans="1:11" x14ac:dyDescent="0.3">
      <c r="A7925" t="s">
        <v>125</v>
      </c>
    </row>
    <row r="7926" spans="1:11" x14ac:dyDescent="0.3">
      <c r="A7926" t="s">
        <v>126</v>
      </c>
    </row>
    <row r="7927" spans="1:11" x14ac:dyDescent="0.3">
      <c r="A7927" t="s">
        <v>127</v>
      </c>
    </row>
    <row r="7928" spans="1:11" x14ac:dyDescent="0.3">
      <c r="A7928" t="s">
        <v>178</v>
      </c>
    </row>
    <row r="7929" spans="1:11" x14ac:dyDescent="0.3">
      <c r="A7929" t="s">
        <v>424</v>
      </c>
    </row>
    <row r="7930" spans="1:11" x14ac:dyDescent="0.3">
      <c r="A7930" t="s">
        <v>72</v>
      </c>
      <c r="B7930">
        <v>1</v>
      </c>
      <c r="C7930" t="s">
        <v>73</v>
      </c>
      <c r="D7930">
        <v>4.0999999999999997E-6</v>
      </c>
      <c r="E7930" t="s">
        <v>74</v>
      </c>
      <c r="F7930">
        <v>4.1000000000000003E-3</v>
      </c>
      <c r="G7930" t="s">
        <v>75</v>
      </c>
      <c r="H7930">
        <v>4.0999999999999996</v>
      </c>
      <c r="I7930" t="s">
        <v>76</v>
      </c>
      <c r="J7930" t="s">
        <v>77</v>
      </c>
    </row>
    <row r="7931" spans="1:11" x14ac:dyDescent="0.3">
      <c r="A7931" t="s">
        <v>72</v>
      </c>
      <c r="B7931">
        <v>1</v>
      </c>
      <c r="C7931" t="s">
        <v>78</v>
      </c>
      <c r="D7931">
        <v>0.1422493</v>
      </c>
      <c r="E7931" t="s">
        <v>74</v>
      </c>
      <c r="F7931">
        <v>142.24930000000001</v>
      </c>
      <c r="G7931" t="s">
        <v>75</v>
      </c>
      <c r="H7931">
        <v>142249.30100000001</v>
      </c>
      <c r="I7931" t="s">
        <v>76</v>
      </c>
      <c r="J7931" t="s">
        <v>77</v>
      </c>
    </row>
    <row r="7932" spans="1:11" x14ac:dyDescent="0.3">
      <c r="A7932" t="s">
        <v>72</v>
      </c>
      <c r="B7932">
        <v>1</v>
      </c>
      <c r="C7932" t="s">
        <v>79</v>
      </c>
      <c r="D7932">
        <v>0.1126003</v>
      </c>
      <c r="E7932" t="s">
        <v>74</v>
      </c>
      <c r="F7932">
        <v>112.6003</v>
      </c>
      <c r="G7932" t="s">
        <v>75</v>
      </c>
      <c r="H7932">
        <v>112600.29700000001</v>
      </c>
      <c r="I7932" t="s">
        <v>76</v>
      </c>
      <c r="J7932" t="s">
        <v>77</v>
      </c>
    </row>
    <row r="7933" spans="1:11" x14ac:dyDescent="0.3">
      <c r="A7933" t="s">
        <v>72</v>
      </c>
      <c r="B7933">
        <v>1</v>
      </c>
      <c r="C7933" t="s">
        <v>94</v>
      </c>
      <c r="D7933">
        <v>9.8548999999999998E-3</v>
      </c>
      <c r="E7933" t="s">
        <v>74</v>
      </c>
      <c r="F7933">
        <v>9.8549000000000007</v>
      </c>
      <c r="G7933" t="s">
        <v>75</v>
      </c>
      <c r="H7933">
        <v>9854.9</v>
      </c>
      <c r="I7933" t="s">
        <v>76</v>
      </c>
      <c r="J7933" t="s">
        <v>77</v>
      </c>
    </row>
    <row r="7934" spans="1:11" x14ac:dyDescent="0.3">
      <c r="A7934" t="s">
        <v>72</v>
      </c>
      <c r="B7934">
        <v>1</v>
      </c>
      <c r="C7934" t="s">
        <v>80</v>
      </c>
      <c r="D7934">
        <v>9.8554999999999997E-3</v>
      </c>
      <c r="E7934" t="s">
        <v>74</v>
      </c>
      <c r="F7934">
        <v>9.8554999999999993</v>
      </c>
      <c r="G7934" t="s">
        <v>75</v>
      </c>
      <c r="H7934">
        <v>9855.5</v>
      </c>
      <c r="I7934" t="s">
        <v>76</v>
      </c>
      <c r="J7934" t="s">
        <v>77</v>
      </c>
    </row>
    <row r="7935" spans="1:11" x14ac:dyDescent="0.3">
      <c r="A7935" t="s">
        <v>72</v>
      </c>
      <c r="B7935">
        <v>1</v>
      </c>
      <c r="C7935" t="s">
        <v>81</v>
      </c>
      <c r="D7935">
        <v>0.1224581</v>
      </c>
      <c r="E7935" t="s">
        <v>74</v>
      </c>
      <c r="F7935">
        <v>122.4581</v>
      </c>
      <c r="G7935" t="s">
        <v>75</v>
      </c>
      <c r="H7935">
        <v>122458.1</v>
      </c>
      <c r="I7935" t="s">
        <v>76</v>
      </c>
      <c r="J7935" t="s">
        <v>82</v>
      </c>
      <c r="K7935">
        <v>8.1660584000000007</v>
      </c>
    </row>
    <row r="7936" spans="1:11" x14ac:dyDescent="0.3">
      <c r="A7936" t="s">
        <v>83</v>
      </c>
      <c r="B7936">
        <v>1000</v>
      </c>
      <c r="C7936" t="s">
        <v>79</v>
      </c>
      <c r="D7936">
        <v>6.3845000000000004E-4</v>
      </c>
      <c r="E7936" t="s">
        <v>74</v>
      </c>
      <c r="F7936">
        <v>0.63844999999999996</v>
      </c>
      <c r="G7936" t="s">
        <v>75</v>
      </c>
      <c r="H7936">
        <v>638.45000000000005</v>
      </c>
      <c r="I7936" t="s">
        <v>76</v>
      </c>
      <c r="J7936" t="s">
        <v>77</v>
      </c>
    </row>
    <row r="7937" spans="1:11" x14ac:dyDescent="0.3">
      <c r="A7937" t="s">
        <v>83</v>
      </c>
      <c r="B7937">
        <v>1000</v>
      </c>
      <c r="C7937" t="s">
        <v>94</v>
      </c>
      <c r="D7937">
        <v>2.5389900000000001E-3</v>
      </c>
      <c r="E7937" t="s">
        <v>74</v>
      </c>
      <c r="F7937">
        <v>2.5389900000000001</v>
      </c>
      <c r="G7937" t="s">
        <v>75</v>
      </c>
      <c r="H7937">
        <v>2538.9879999999998</v>
      </c>
      <c r="I7937" t="s">
        <v>76</v>
      </c>
      <c r="J7937" t="s">
        <v>77</v>
      </c>
    </row>
    <row r="7938" spans="1:11" x14ac:dyDescent="0.3">
      <c r="A7938" t="s">
        <v>83</v>
      </c>
      <c r="B7938">
        <v>1000</v>
      </c>
      <c r="C7938" t="s">
        <v>80</v>
      </c>
      <c r="D7938">
        <v>2.6669200000000001E-3</v>
      </c>
      <c r="E7938" t="s">
        <v>74</v>
      </c>
      <c r="F7938">
        <v>2.6669200000000002</v>
      </c>
      <c r="G7938" t="s">
        <v>75</v>
      </c>
      <c r="H7938">
        <v>2666.9189999999999</v>
      </c>
      <c r="I7938" t="s">
        <v>76</v>
      </c>
      <c r="J7938" t="s">
        <v>77</v>
      </c>
    </row>
    <row r="7939" spans="1:11" x14ac:dyDescent="0.3">
      <c r="A7939" t="s">
        <v>83</v>
      </c>
      <c r="B7939">
        <v>1000</v>
      </c>
      <c r="C7939" t="s">
        <v>81</v>
      </c>
      <c r="D7939">
        <v>3.3062500000000002E-3</v>
      </c>
      <c r="E7939" t="s">
        <v>74</v>
      </c>
      <c r="F7939">
        <v>3.3062499999999999</v>
      </c>
      <c r="G7939" t="s">
        <v>75</v>
      </c>
      <c r="H7939">
        <v>3306.2510000000002</v>
      </c>
      <c r="I7939" t="s">
        <v>76</v>
      </c>
      <c r="J7939" t="s">
        <v>82</v>
      </c>
      <c r="K7939">
        <v>302.45741459999999</v>
      </c>
    </row>
    <row r="7940" spans="1:11" x14ac:dyDescent="0.3">
      <c r="A7940" t="s">
        <v>84</v>
      </c>
      <c r="B7940">
        <v>1001</v>
      </c>
      <c r="C7940" t="s">
        <v>79</v>
      </c>
      <c r="D7940">
        <v>7.5029999999999997E-4</v>
      </c>
      <c r="E7940" t="s">
        <v>74</v>
      </c>
      <c r="F7940">
        <v>0.75029999999999997</v>
      </c>
      <c r="G7940" t="s">
        <v>75</v>
      </c>
      <c r="H7940">
        <v>750.3</v>
      </c>
      <c r="I7940" t="s">
        <v>76</v>
      </c>
      <c r="J7940" t="s">
        <v>77</v>
      </c>
    </row>
    <row r="7941" spans="1:11" x14ac:dyDescent="0.3">
      <c r="A7941" t="s">
        <v>84</v>
      </c>
      <c r="B7941">
        <v>1001</v>
      </c>
      <c r="C7941" t="s">
        <v>94</v>
      </c>
      <c r="D7941">
        <v>2.5463E-3</v>
      </c>
      <c r="E7941" t="s">
        <v>74</v>
      </c>
      <c r="F7941">
        <v>2.5463</v>
      </c>
      <c r="G7941" t="s">
        <v>75</v>
      </c>
      <c r="H7941">
        <v>2546.297</v>
      </c>
      <c r="I7941" t="s">
        <v>76</v>
      </c>
      <c r="J7941" t="s">
        <v>77</v>
      </c>
    </row>
    <row r="7942" spans="1:11" x14ac:dyDescent="0.3">
      <c r="A7942" t="s">
        <v>84</v>
      </c>
      <c r="B7942">
        <v>1001</v>
      </c>
      <c r="C7942" t="s">
        <v>80</v>
      </c>
      <c r="D7942">
        <v>2.6741E-3</v>
      </c>
      <c r="E7942" t="s">
        <v>74</v>
      </c>
      <c r="F7942">
        <v>2.6741000000000001</v>
      </c>
      <c r="G7942" t="s">
        <v>75</v>
      </c>
      <c r="H7942">
        <v>2674.1</v>
      </c>
      <c r="I7942" t="s">
        <v>76</v>
      </c>
      <c r="J7942" t="s">
        <v>77</v>
      </c>
    </row>
    <row r="7943" spans="1:11" x14ac:dyDescent="0.3">
      <c r="A7943" t="s">
        <v>84</v>
      </c>
      <c r="B7943">
        <v>1001</v>
      </c>
      <c r="C7943" t="s">
        <v>81</v>
      </c>
      <c r="D7943">
        <v>3.4252800000000002E-3</v>
      </c>
      <c r="E7943" t="s">
        <v>74</v>
      </c>
      <c r="F7943">
        <v>3.4252799999999999</v>
      </c>
      <c r="G7943" t="s">
        <v>75</v>
      </c>
      <c r="H7943">
        <v>3425.2840000000001</v>
      </c>
      <c r="I7943" t="s">
        <v>76</v>
      </c>
      <c r="J7943" t="s">
        <v>82</v>
      </c>
      <c r="K7943">
        <v>291.94661639999998</v>
      </c>
    </row>
    <row r="7944" spans="1:11" x14ac:dyDescent="0.3">
      <c r="A7944" t="s">
        <v>85</v>
      </c>
      <c r="B7944">
        <v>1001</v>
      </c>
      <c r="C7944" t="s">
        <v>86</v>
      </c>
      <c r="D7944">
        <v>3.4254899999999998E-3</v>
      </c>
      <c r="E7944" t="s">
        <v>74</v>
      </c>
      <c r="F7944">
        <v>3.4254899999999999</v>
      </c>
      <c r="G7944" t="s">
        <v>75</v>
      </c>
      <c r="H7944">
        <v>3425.4859999999999</v>
      </c>
      <c r="I7944" t="s">
        <v>76</v>
      </c>
      <c r="J7944" t="s">
        <v>82</v>
      </c>
      <c r="K7944">
        <v>291.92936179999998</v>
      </c>
    </row>
    <row r="7945" spans="1:11" x14ac:dyDescent="0.3">
      <c r="A7945" t="s">
        <v>180</v>
      </c>
    </row>
    <row r="7946" spans="1:11" x14ac:dyDescent="0.3">
      <c r="A7946" t="s">
        <v>425</v>
      </c>
    </row>
    <row r="7947" spans="1:11" x14ac:dyDescent="0.3">
      <c r="A7947" t="s">
        <v>72</v>
      </c>
      <c r="B7947">
        <v>1</v>
      </c>
      <c r="C7947" t="s">
        <v>73</v>
      </c>
      <c r="D7947">
        <v>4.0999999999999997E-6</v>
      </c>
      <c r="E7947" t="s">
        <v>74</v>
      </c>
      <c r="F7947">
        <v>4.1000000000000003E-3</v>
      </c>
      <c r="G7947" t="s">
        <v>75</v>
      </c>
      <c r="H7947">
        <v>4.0999999999999996</v>
      </c>
      <c r="I7947" t="s">
        <v>76</v>
      </c>
      <c r="J7947" t="s">
        <v>77</v>
      </c>
    </row>
    <row r="7948" spans="1:11" x14ac:dyDescent="0.3">
      <c r="A7948" t="s">
        <v>72</v>
      </c>
      <c r="B7948">
        <v>1</v>
      </c>
      <c r="C7948" t="s">
        <v>78</v>
      </c>
      <c r="D7948">
        <v>4.7469999999999999E-4</v>
      </c>
      <c r="E7948" t="s">
        <v>74</v>
      </c>
      <c r="F7948">
        <v>0.47470000000000001</v>
      </c>
      <c r="G7948" t="s">
        <v>75</v>
      </c>
      <c r="H7948">
        <v>474.7</v>
      </c>
      <c r="I7948" t="s">
        <v>76</v>
      </c>
      <c r="J7948" t="s">
        <v>77</v>
      </c>
    </row>
    <row r="7949" spans="1:11" x14ac:dyDescent="0.3">
      <c r="A7949" t="s">
        <v>72</v>
      </c>
      <c r="B7949">
        <v>1</v>
      </c>
      <c r="C7949" t="s">
        <v>79</v>
      </c>
      <c r="D7949">
        <v>2.4350999999999999E-3</v>
      </c>
      <c r="E7949" t="s">
        <v>74</v>
      </c>
      <c r="F7949">
        <v>2.4350999999999998</v>
      </c>
      <c r="G7949" t="s">
        <v>75</v>
      </c>
      <c r="H7949">
        <v>2435.1</v>
      </c>
      <c r="I7949" t="s">
        <v>76</v>
      </c>
      <c r="J7949" t="s">
        <v>77</v>
      </c>
    </row>
    <row r="7950" spans="1:11" x14ac:dyDescent="0.3">
      <c r="A7950" t="s">
        <v>72</v>
      </c>
      <c r="B7950">
        <v>1</v>
      </c>
      <c r="C7950" t="s">
        <v>94</v>
      </c>
      <c r="D7950">
        <v>2.673E-3</v>
      </c>
      <c r="E7950" t="s">
        <v>74</v>
      </c>
      <c r="F7950">
        <v>2.673</v>
      </c>
      <c r="G7950" t="s">
        <v>75</v>
      </c>
      <c r="H7950">
        <v>2673</v>
      </c>
      <c r="I7950" t="s">
        <v>76</v>
      </c>
      <c r="J7950" t="s">
        <v>77</v>
      </c>
    </row>
    <row r="7951" spans="1:11" x14ac:dyDescent="0.3">
      <c r="A7951" t="s">
        <v>72</v>
      </c>
      <c r="B7951">
        <v>1</v>
      </c>
      <c r="C7951" t="s">
        <v>80</v>
      </c>
      <c r="D7951">
        <v>2.8064000000000001E-3</v>
      </c>
      <c r="E7951" t="s">
        <v>74</v>
      </c>
      <c r="F7951">
        <v>2.8064</v>
      </c>
      <c r="G7951" t="s">
        <v>75</v>
      </c>
      <c r="H7951">
        <v>2806.4</v>
      </c>
      <c r="I7951" t="s">
        <v>76</v>
      </c>
      <c r="J7951" t="s">
        <v>77</v>
      </c>
    </row>
    <row r="7952" spans="1:11" x14ac:dyDescent="0.3">
      <c r="A7952" t="s">
        <v>72</v>
      </c>
      <c r="B7952">
        <v>1</v>
      </c>
      <c r="C7952" t="s">
        <v>81</v>
      </c>
      <c r="D7952">
        <v>5.2429E-3</v>
      </c>
      <c r="E7952" t="s">
        <v>74</v>
      </c>
      <c r="F7952">
        <v>5.2428999999999997</v>
      </c>
      <c r="G7952" t="s">
        <v>75</v>
      </c>
      <c r="H7952">
        <v>5242.9</v>
      </c>
      <c r="I7952" t="s">
        <v>76</v>
      </c>
      <c r="J7952" t="s">
        <v>82</v>
      </c>
      <c r="K7952">
        <v>190.73413600000001</v>
      </c>
    </row>
    <row r="7953" spans="1:11" x14ac:dyDescent="0.3">
      <c r="A7953" t="s">
        <v>83</v>
      </c>
      <c r="B7953">
        <v>1000</v>
      </c>
      <c r="C7953" t="s">
        <v>79</v>
      </c>
      <c r="D7953">
        <v>1.0690299999999999E-3</v>
      </c>
      <c r="E7953" t="s">
        <v>74</v>
      </c>
      <c r="F7953">
        <v>1.0690299999999999</v>
      </c>
      <c r="G7953" t="s">
        <v>75</v>
      </c>
      <c r="H7953">
        <v>1069.0260000000001</v>
      </c>
      <c r="I7953" t="s">
        <v>76</v>
      </c>
      <c r="J7953" t="s">
        <v>77</v>
      </c>
    </row>
    <row r="7954" spans="1:11" x14ac:dyDescent="0.3">
      <c r="A7954" t="s">
        <v>83</v>
      </c>
      <c r="B7954">
        <v>1000</v>
      </c>
      <c r="C7954" t="s">
        <v>94</v>
      </c>
      <c r="D7954">
        <v>2.6126500000000002E-3</v>
      </c>
      <c r="E7954" t="s">
        <v>74</v>
      </c>
      <c r="F7954">
        <v>2.6126499999999999</v>
      </c>
      <c r="G7954" t="s">
        <v>75</v>
      </c>
      <c r="H7954">
        <v>2612.6489999999999</v>
      </c>
      <c r="I7954" t="s">
        <v>76</v>
      </c>
      <c r="J7954" t="s">
        <v>77</v>
      </c>
    </row>
    <row r="7955" spans="1:11" x14ac:dyDescent="0.3">
      <c r="A7955" t="s">
        <v>83</v>
      </c>
      <c r="B7955">
        <v>1000</v>
      </c>
      <c r="C7955" t="s">
        <v>80</v>
      </c>
      <c r="D7955">
        <v>2.7466999999999999E-3</v>
      </c>
      <c r="E7955" t="s">
        <v>74</v>
      </c>
      <c r="F7955">
        <v>2.7467000000000001</v>
      </c>
      <c r="G7955" t="s">
        <v>75</v>
      </c>
      <c r="H7955">
        <v>2746.7040000000002</v>
      </c>
      <c r="I7955" t="s">
        <v>76</v>
      </c>
      <c r="J7955" t="s">
        <v>77</v>
      </c>
    </row>
    <row r="7956" spans="1:11" x14ac:dyDescent="0.3">
      <c r="A7956" t="s">
        <v>83</v>
      </c>
      <c r="B7956">
        <v>1000</v>
      </c>
      <c r="C7956" t="s">
        <v>81</v>
      </c>
      <c r="D7956">
        <v>3.8169499999999999E-3</v>
      </c>
      <c r="E7956" t="s">
        <v>74</v>
      </c>
      <c r="F7956">
        <v>3.8169499999999998</v>
      </c>
      <c r="G7956" t="s">
        <v>75</v>
      </c>
      <c r="H7956">
        <v>3816.95</v>
      </c>
      <c r="I7956" t="s">
        <v>76</v>
      </c>
      <c r="J7956" t="s">
        <v>82</v>
      </c>
      <c r="K7956">
        <v>261.98927900000001</v>
      </c>
    </row>
    <row r="7957" spans="1:11" x14ac:dyDescent="0.3">
      <c r="A7957" t="s">
        <v>84</v>
      </c>
      <c r="B7957">
        <v>1001</v>
      </c>
      <c r="C7957" t="s">
        <v>79</v>
      </c>
      <c r="D7957">
        <v>1.0703900000000001E-3</v>
      </c>
      <c r="E7957" t="s">
        <v>74</v>
      </c>
      <c r="F7957">
        <v>1.07039</v>
      </c>
      <c r="G7957" t="s">
        <v>75</v>
      </c>
      <c r="H7957">
        <v>1070.3910000000001</v>
      </c>
      <c r="I7957" t="s">
        <v>76</v>
      </c>
      <c r="J7957" t="s">
        <v>77</v>
      </c>
    </row>
    <row r="7958" spans="1:11" x14ac:dyDescent="0.3">
      <c r="A7958" t="s">
        <v>84</v>
      </c>
      <c r="B7958">
        <v>1001</v>
      </c>
      <c r="C7958" t="s">
        <v>94</v>
      </c>
      <c r="D7958">
        <v>2.6127099999999999E-3</v>
      </c>
      <c r="E7958" t="s">
        <v>74</v>
      </c>
      <c r="F7958">
        <v>2.6127099999999999</v>
      </c>
      <c r="G7958" t="s">
        <v>75</v>
      </c>
      <c r="H7958">
        <v>2612.7089999999998</v>
      </c>
      <c r="I7958" t="s">
        <v>76</v>
      </c>
      <c r="J7958" t="s">
        <v>77</v>
      </c>
    </row>
    <row r="7959" spans="1:11" x14ac:dyDescent="0.3">
      <c r="A7959" t="s">
        <v>84</v>
      </c>
      <c r="B7959">
        <v>1001</v>
      </c>
      <c r="C7959" t="s">
        <v>80</v>
      </c>
      <c r="D7959">
        <v>2.74676E-3</v>
      </c>
      <c r="E7959" t="s">
        <v>74</v>
      </c>
      <c r="F7959">
        <v>2.7467600000000001</v>
      </c>
      <c r="G7959" t="s">
        <v>75</v>
      </c>
      <c r="H7959">
        <v>2746.7640000000001</v>
      </c>
      <c r="I7959" t="s">
        <v>76</v>
      </c>
      <c r="J7959" t="s">
        <v>77</v>
      </c>
    </row>
    <row r="7960" spans="1:11" x14ac:dyDescent="0.3">
      <c r="A7960" t="s">
        <v>84</v>
      </c>
      <c r="B7960">
        <v>1001</v>
      </c>
      <c r="C7960" t="s">
        <v>81</v>
      </c>
      <c r="D7960">
        <v>3.8183800000000001E-3</v>
      </c>
      <c r="E7960" t="s">
        <v>74</v>
      </c>
      <c r="F7960">
        <v>3.8183799999999999</v>
      </c>
      <c r="G7960" t="s">
        <v>75</v>
      </c>
      <c r="H7960">
        <v>3818.375</v>
      </c>
      <c r="I7960" t="s">
        <v>76</v>
      </c>
      <c r="J7960" t="s">
        <v>82</v>
      </c>
      <c r="K7960">
        <v>261.89151079999999</v>
      </c>
    </row>
    <row r="7961" spans="1:11" x14ac:dyDescent="0.3">
      <c r="A7961" t="s">
        <v>85</v>
      </c>
      <c r="B7961">
        <v>1001</v>
      </c>
      <c r="C7961" t="s">
        <v>86</v>
      </c>
      <c r="D7961">
        <v>3.8185900000000002E-3</v>
      </c>
      <c r="E7961" t="s">
        <v>74</v>
      </c>
      <c r="F7961">
        <v>3.8185899999999999</v>
      </c>
      <c r="G7961" t="s">
        <v>75</v>
      </c>
      <c r="H7961">
        <v>3818.585</v>
      </c>
      <c r="I7961" t="s">
        <v>76</v>
      </c>
      <c r="J7961" t="s">
        <v>82</v>
      </c>
      <c r="K7961">
        <v>261.8771031</v>
      </c>
    </row>
    <row r="7962" spans="1:11" x14ac:dyDescent="0.3">
      <c r="A7962" t="s">
        <v>115</v>
      </c>
    </row>
    <row r="7963" spans="1:11" x14ac:dyDescent="0.3">
      <c r="A7963" t="s">
        <v>127</v>
      </c>
    </row>
    <row r="7964" spans="1:11" x14ac:dyDescent="0.3">
      <c r="A7964" t="s">
        <v>87</v>
      </c>
    </row>
    <row r="7965" spans="1:11" x14ac:dyDescent="0.3">
      <c r="A7965" t="s">
        <v>426</v>
      </c>
    </row>
    <row r="7966" spans="1:11" x14ac:dyDescent="0.3">
      <c r="A7966" t="s">
        <v>72</v>
      </c>
      <c r="B7966">
        <v>1</v>
      </c>
      <c r="C7966" t="s">
        <v>81</v>
      </c>
      <c r="D7966">
        <v>0.1224581</v>
      </c>
      <c r="E7966" t="s">
        <v>74</v>
      </c>
      <c r="F7966">
        <v>122.4581</v>
      </c>
      <c r="G7966" t="s">
        <v>75</v>
      </c>
      <c r="H7966">
        <v>122458.1</v>
      </c>
      <c r="I7966" t="s">
        <v>76</v>
      </c>
      <c r="J7966" t="s">
        <v>82</v>
      </c>
      <c r="K7966">
        <v>8.1660584000000007</v>
      </c>
    </row>
    <row r="7967" spans="1:11" x14ac:dyDescent="0.3">
      <c r="A7967" t="s">
        <v>83</v>
      </c>
      <c r="B7967">
        <v>1000</v>
      </c>
      <c r="C7967" t="s">
        <v>81</v>
      </c>
      <c r="D7967">
        <v>3.3062500000000002E-3</v>
      </c>
      <c r="E7967" t="s">
        <v>74</v>
      </c>
      <c r="F7967">
        <v>3.3062499999999999</v>
      </c>
      <c r="G7967" t="s">
        <v>75</v>
      </c>
      <c r="H7967">
        <v>3306.2510000000002</v>
      </c>
      <c r="I7967" t="s">
        <v>76</v>
      </c>
      <c r="J7967" t="s">
        <v>82</v>
      </c>
      <c r="K7967">
        <v>302.45741459999999</v>
      </c>
    </row>
    <row r="7968" spans="1:11" x14ac:dyDescent="0.3">
      <c r="A7968" t="s">
        <v>85</v>
      </c>
      <c r="B7968">
        <v>1001</v>
      </c>
      <c r="C7968" t="s">
        <v>86</v>
      </c>
      <c r="D7968">
        <v>3.4254899999999998E-3</v>
      </c>
      <c r="E7968" t="s">
        <v>74</v>
      </c>
      <c r="F7968">
        <v>3.4254899999999999</v>
      </c>
      <c r="G7968" t="s">
        <v>75</v>
      </c>
      <c r="H7968">
        <v>3425.4859999999999</v>
      </c>
      <c r="I7968" t="s">
        <v>76</v>
      </c>
      <c r="J7968" t="s">
        <v>82</v>
      </c>
      <c r="K7968">
        <v>291.92936179999998</v>
      </c>
    </row>
    <row r="7970" spans="1:11" x14ac:dyDescent="0.3">
      <c r="A7970" t="s">
        <v>427</v>
      </c>
    </row>
    <row r="7971" spans="1:11" x14ac:dyDescent="0.3">
      <c r="A7971" t="s">
        <v>72</v>
      </c>
      <c r="B7971">
        <v>1</v>
      </c>
      <c r="C7971" t="s">
        <v>81</v>
      </c>
      <c r="D7971">
        <v>5.2429E-3</v>
      </c>
      <c r="E7971" t="s">
        <v>74</v>
      </c>
      <c r="F7971">
        <v>5.2428999999999997</v>
      </c>
      <c r="G7971" t="s">
        <v>75</v>
      </c>
      <c r="H7971">
        <v>5242.9</v>
      </c>
      <c r="I7971" t="s">
        <v>76</v>
      </c>
      <c r="J7971" t="s">
        <v>82</v>
      </c>
      <c r="K7971">
        <v>190.73413600000001</v>
      </c>
    </row>
    <row r="7972" spans="1:11" x14ac:dyDescent="0.3">
      <c r="A7972" t="s">
        <v>83</v>
      </c>
      <c r="B7972">
        <v>1000</v>
      </c>
      <c r="C7972" t="s">
        <v>81</v>
      </c>
      <c r="D7972">
        <v>3.8169499999999999E-3</v>
      </c>
      <c r="E7972" t="s">
        <v>74</v>
      </c>
      <c r="F7972">
        <v>3.8169499999999998</v>
      </c>
      <c r="G7972" t="s">
        <v>75</v>
      </c>
      <c r="H7972">
        <v>3816.95</v>
      </c>
      <c r="I7972" t="s">
        <v>76</v>
      </c>
      <c r="J7972" t="s">
        <v>82</v>
      </c>
      <c r="K7972">
        <v>261.98927900000001</v>
      </c>
    </row>
    <row r="7973" spans="1:11" x14ac:dyDescent="0.3">
      <c r="A7973" t="s">
        <v>85</v>
      </c>
      <c r="B7973">
        <v>1001</v>
      </c>
      <c r="C7973" t="s">
        <v>86</v>
      </c>
      <c r="D7973">
        <v>3.8185900000000002E-3</v>
      </c>
      <c r="E7973" t="s">
        <v>74</v>
      </c>
      <c r="F7973">
        <v>3.8185899999999999</v>
      </c>
      <c r="G7973" t="s">
        <v>75</v>
      </c>
      <c r="H7973">
        <v>3818.585</v>
      </c>
      <c r="I7973" t="s">
        <v>76</v>
      </c>
      <c r="J7973" t="s">
        <v>82</v>
      </c>
      <c r="K7973">
        <v>261.8771031</v>
      </c>
    </row>
    <row r="7975" spans="1:11" x14ac:dyDescent="0.3">
      <c r="A7975" t="s">
        <v>66</v>
      </c>
    </row>
    <row r="7977" spans="1:11" x14ac:dyDescent="0.3">
      <c r="A7977" t="s">
        <v>428</v>
      </c>
    </row>
    <row r="7978" spans="1:11" x14ac:dyDescent="0.3">
      <c r="A7978" t="s">
        <v>68</v>
      </c>
    </row>
    <row r="7979" spans="1:11" x14ac:dyDescent="0.3">
      <c r="A7979" t="s">
        <v>69</v>
      </c>
    </row>
    <row r="7980" spans="1:11" x14ac:dyDescent="0.3">
      <c r="A7980" t="s">
        <v>70</v>
      </c>
    </row>
    <row r="7981" spans="1:11" x14ac:dyDescent="0.3">
      <c r="A7981" t="s">
        <v>115</v>
      </c>
    </row>
    <row r="7982" spans="1:11" x14ac:dyDescent="0.3">
      <c r="A7982" t="s">
        <v>384</v>
      </c>
    </row>
    <row r="7983" spans="1:11" x14ac:dyDescent="0.3">
      <c r="A7983" t="s">
        <v>385</v>
      </c>
    </row>
    <row r="7984" spans="1:11" x14ac:dyDescent="0.3">
      <c r="A7984" t="s">
        <v>118</v>
      </c>
    </row>
    <row r="7985" spans="1:10" x14ac:dyDescent="0.3">
      <c r="A7985" t="s">
        <v>119</v>
      </c>
    </row>
    <row r="7986" spans="1:10" x14ac:dyDescent="0.3">
      <c r="A7986" t="s">
        <v>268</v>
      </c>
    </row>
    <row r="7987" spans="1:10" x14ac:dyDescent="0.3">
      <c r="A7987" t="s">
        <v>269</v>
      </c>
    </row>
    <row r="7988" spans="1:10" x14ac:dyDescent="0.3">
      <c r="A7988" t="s">
        <v>386</v>
      </c>
    </row>
    <row r="7989" spans="1:10" x14ac:dyDescent="0.3">
      <c r="A7989" t="s">
        <v>387</v>
      </c>
    </row>
    <row r="7990" spans="1:10" x14ac:dyDescent="0.3">
      <c r="A7990" t="s">
        <v>271</v>
      </c>
    </row>
    <row r="7991" spans="1:10" x14ac:dyDescent="0.3">
      <c r="A7991" t="s">
        <v>125</v>
      </c>
    </row>
    <row r="7992" spans="1:10" x14ac:dyDescent="0.3">
      <c r="A7992" t="s">
        <v>126</v>
      </c>
    </row>
    <row r="7993" spans="1:10" x14ac:dyDescent="0.3">
      <c r="A7993" t="s">
        <v>127</v>
      </c>
    </row>
    <row r="7994" spans="1:10" x14ac:dyDescent="0.3">
      <c r="A7994" t="s">
        <v>185</v>
      </c>
    </row>
    <row r="7995" spans="1:10" x14ac:dyDescent="0.3">
      <c r="A7995" t="s">
        <v>429</v>
      </c>
    </row>
    <row r="7996" spans="1:10" x14ac:dyDescent="0.3">
      <c r="A7996" t="s">
        <v>72</v>
      </c>
      <c r="B7996">
        <v>1</v>
      </c>
      <c r="C7996" t="s">
        <v>73</v>
      </c>
      <c r="D7996">
        <v>5.5999999999999997E-6</v>
      </c>
      <c r="E7996" t="s">
        <v>74</v>
      </c>
      <c r="F7996">
        <v>5.5999999999999999E-3</v>
      </c>
      <c r="G7996" t="s">
        <v>75</v>
      </c>
      <c r="H7996">
        <v>5.6</v>
      </c>
      <c r="I7996" t="s">
        <v>76</v>
      </c>
      <c r="J7996" t="s">
        <v>77</v>
      </c>
    </row>
    <row r="7997" spans="1:10" x14ac:dyDescent="0.3">
      <c r="A7997" t="s">
        <v>72</v>
      </c>
      <c r="B7997">
        <v>1</v>
      </c>
      <c r="C7997" t="s">
        <v>78</v>
      </c>
      <c r="D7997">
        <v>0.1168246</v>
      </c>
      <c r="E7997" t="s">
        <v>74</v>
      </c>
      <c r="F7997">
        <v>116.8246</v>
      </c>
      <c r="G7997" t="s">
        <v>75</v>
      </c>
      <c r="H7997">
        <v>116824.59699999999</v>
      </c>
      <c r="I7997" t="s">
        <v>76</v>
      </c>
      <c r="J7997" t="s">
        <v>77</v>
      </c>
    </row>
    <row r="7998" spans="1:10" x14ac:dyDescent="0.3">
      <c r="A7998" t="s">
        <v>72</v>
      </c>
      <c r="B7998">
        <v>1</v>
      </c>
      <c r="C7998" t="s">
        <v>79</v>
      </c>
      <c r="D7998">
        <v>0.1341649</v>
      </c>
      <c r="E7998" t="s">
        <v>74</v>
      </c>
      <c r="F7998">
        <v>134.16489999999999</v>
      </c>
      <c r="G7998" t="s">
        <v>75</v>
      </c>
      <c r="H7998">
        <v>134164.9</v>
      </c>
      <c r="I7998" t="s">
        <v>76</v>
      </c>
      <c r="J7998" t="s">
        <v>77</v>
      </c>
    </row>
    <row r="7999" spans="1:10" x14ac:dyDescent="0.3">
      <c r="A7999" t="s">
        <v>72</v>
      </c>
      <c r="B7999">
        <v>1</v>
      </c>
      <c r="C7999" t="s">
        <v>94</v>
      </c>
      <c r="D7999">
        <v>9.4333000000000004E-3</v>
      </c>
      <c r="E7999" t="s">
        <v>74</v>
      </c>
      <c r="F7999">
        <v>9.4332999999999991</v>
      </c>
      <c r="G7999" t="s">
        <v>75</v>
      </c>
      <c r="H7999">
        <v>9433.2999999999993</v>
      </c>
      <c r="I7999" t="s">
        <v>76</v>
      </c>
      <c r="J7999" t="s">
        <v>77</v>
      </c>
    </row>
    <row r="8000" spans="1:10" x14ac:dyDescent="0.3">
      <c r="A8000" t="s">
        <v>72</v>
      </c>
      <c r="B8000">
        <v>1</v>
      </c>
      <c r="C8000" t="s">
        <v>80</v>
      </c>
      <c r="D8000">
        <v>9.4339999999999997E-3</v>
      </c>
      <c r="E8000" t="s">
        <v>74</v>
      </c>
      <c r="F8000">
        <v>9.4339999999999993</v>
      </c>
      <c r="G8000" t="s">
        <v>75</v>
      </c>
      <c r="H8000">
        <v>9434</v>
      </c>
      <c r="I8000" t="s">
        <v>76</v>
      </c>
      <c r="J8000" t="s">
        <v>77</v>
      </c>
    </row>
    <row r="8001" spans="1:11" x14ac:dyDescent="0.3">
      <c r="A8001" t="s">
        <v>72</v>
      </c>
      <c r="B8001">
        <v>1</v>
      </c>
      <c r="C8001" t="s">
        <v>81</v>
      </c>
      <c r="D8001">
        <v>0.14360118999999999</v>
      </c>
      <c r="E8001" t="s">
        <v>74</v>
      </c>
      <c r="F8001">
        <v>143.60119</v>
      </c>
      <c r="G8001" t="s">
        <v>75</v>
      </c>
      <c r="H8001">
        <v>143601.19399999999</v>
      </c>
      <c r="I8001" t="s">
        <v>76</v>
      </c>
      <c r="J8001" t="s">
        <v>82</v>
      </c>
      <c r="K8001">
        <v>6.9637304000000002</v>
      </c>
    </row>
    <row r="8002" spans="1:11" x14ac:dyDescent="0.3">
      <c r="A8002" t="s">
        <v>83</v>
      </c>
      <c r="B8002">
        <v>1000</v>
      </c>
      <c r="C8002" t="s">
        <v>79</v>
      </c>
      <c r="D8002">
        <v>2.1703199999999999E-3</v>
      </c>
      <c r="E8002" t="s">
        <v>74</v>
      </c>
      <c r="F8002">
        <v>2.1703199999999998</v>
      </c>
      <c r="G8002" t="s">
        <v>75</v>
      </c>
      <c r="H8002">
        <v>2170.3209999999999</v>
      </c>
      <c r="I8002" t="s">
        <v>76</v>
      </c>
      <c r="J8002" t="s">
        <v>77</v>
      </c>
    </row>
    <row r="8003" spans="1:11" x14ac:dyDescent="0.3">
      <c r="A8003" t="s">
        <v>83</v>
      </c>
      <c r="B8003">
        <v>1000</v>
      </c>
      <c r="C8003" t="s">
        <v>94</v>
      </c>
      <c r="D8003">
        <v>2.5589100000000002E-3</v>
      </c>
      <c r="E8003" t="s">
        <v>74</v>
      </c>
      <c r="F8003">
        <v>2.55891</v>
      </c>
      <c r="G8003" t="s">
        <v>75</v>
      </c>
      <c r="H8003">
        <v>2558.9090000000001</v>
      </c>
      <c r="I8003" t="s">
        <v>76</v>
      </c>
      <c r="J8003" t="s">
        <v>77</v>
      </c>
    </row>
    <row r="8004" spans="1:11" x14ac:dyDescent="0.3">
      <c r="A8004" t="s">
        <v>83</v>
      </c>
      <c r="B8004">
        <v>1000</v>
      </c>
      <c r="C8004" t="s">
        <v>80</v>
      </c>
      <c r="D8004">
        <v>2.7222000000000001E-3</v>
      </c>
      <c r="E8004" t="s">
        <v>74</v>
      </c>
      <c r="F8004">
        <v>2.7222</v>
      </c>
      <c r="G8004" t="s">
        <v>75</v>
      </c>
      <c r="H8004">
        <v>2722.1970000000001</v>
      </c>
      <c r="I8004" t="s">
        <v>76</v>
      </c>
      <c r="J8004" t="s">
        <v>77</v>
      </c>
    </row>
    <row r="8005" spans="1:11" x14ac:dyDescent="0.3">
      <c r="A8005" t="s">
        <v>83</v>
      </c>
      <c r="B8005">
        <v>1000</v>
      </c>
      <c r="C8005" t="s">
        <v>81</v>
      </c>
      <c r="D8005">
        <v>4.8934499999999997E-3</v>
      </c>
      <c r="E8005" t="s">
        <v>74</v>
      </c>
      <c r="F8005">
        <v>4.8934499999999996</v>
      </c>
      <c r="G8005" t="s">
        <v>75</v>
      </c>
      <c r="H8005">
        <v>4893.4459999999999</v>
      </c>
      <c r="I8005" t="s">
        <v>76</v>
      </c>
      <c r="J8005" t="s">
        <v>82</v>
      </c>
      <c r="K8005">
        <v>204.35494919999999</v>
      </c>
    </row>
    <row r="8006" spans="1:11" x14ac:dyDescent="0.3">
      <c r="A8006" t="s">
        <v>84</v>
      </c>
      <c r="B8006">
        <v>1001</v>
      </c>
      <c r="C8006" t="s">
        <v>79</v>
      </c>
      <c r="D8006">
        <v>2.30218E-3</v>
      </c>
      <c r="E8006" t="s">
        <v>74</v>
      </c>
      <c r="F8006">
        <v>2.3021799999999999</v>
      </c>
      <c r="G8006" t="s">
        <v>75</v>
      </c>
      <c r="H8006">
        <v>2302.1849999999999</v>
      </c>
      <c r="I8006" t="s">
        <v>76</v>
      </c>
      <c r="J8006" t="s">
        <v>77</v>
      </c>
    </row>
    <row r="8007" spans="1:11" x14ac:dyDescent="0.3">
      <c r="A8007" t="s">
        <v>84</v>
      </c>
      <c r="B8007">
        <v>1001</v>
      </c>
      <c r="C8007" t="s">
        <v>94</v>
      </c>
      <c r="D8007">
        <v>2.5657800000000001E-3</v>
      </c>
      <c r="E8007" t="s">
        <v>74</v>
      </c>
      <c r="F8007">
        <v>2.5657800000000002</v>
      </c>
      <c r="G8007" t="s">
        <v>75</v>
      </c>
      <c r="H8007">
        <v>2565.777</v>
      </c>
      <c r="I8007" t="s">
        <v>76</v>
      </c>
      <c r="J8007" t="s">
        <v>77</v>
      </c>
    </row>
    <row r="8008" spans="1:11" x14ac:dyDescent="0.3">
      <c r="A8008" t="s">
        <v>84</v>
      </c>
      <c r="B8008">
        <v>1001</v>
      </c>
      <c r="C8008" t="s">
        <v>80</v>
      </c>
      <c r="D8008">
        <v>2.7288999999999998E-3</v>
      </c>
      <c r="E8008" t="s">
        <v>74</v>
      </c>
      <c r="F8008">
        <v>2.7288999999999999</v>
      </c>
      <c r="G8008" t="s">
        <v>75</v>
      </c>
      <c r="H8008">
        <v>2728.902</v>
      </c>
      <c r="I8008" t="s">
        <v>76</v>
      </c>
      <c r="J8008" t="s">
        <v>77</v>
      </c>
    </row>
    <row r="8009" spans="1:11" x14ac:dyDescent="0.3">
      <c r="A8009" t="s">
        <v>84</v>
      </c>
      <c r="B8009">
        <v>1001</v>
      </c>
      <c r="C8009" t="s">
        <v>81</v>
      </c>
      <c r="D8009">
        <v>5.03201E-3</v>
      </c>
      <c r="E8009" t="s">
        <v>74</v>
      </c>
      <c r="F8009">
        <v>5.0320099999999996</v>
      </c>
      <c r="G8009" t="s">
        <v>75</v>
      </c>
      <c r="H8009">
        <v>5032.0140000000001</v>
      </c>
      <c r="I8009" t="s">
        <v>76</v>
      </c>
      <c r="J8009" t="s">
        <v>82</v>
      </c>
      <c r="K8009">
        <v>198.72757050000001</v>
      </c>
    </row>
    <row r="8010" spans="1:11" x14ac:dyDescent="0.3">
      <c r="A8010" t="s">
        <v>85</v>
      </c>
      <c r="B8010">
        <v>1001</v>
      </c>
      <c r="C8010" t="s">
        <v>86</v>
      </c>
      <c r="D8010">
        <v>5.0322199999999996E-3</v>
      </c>
      <c r="E8010" t="s">
        <v>74</v>
      </c>
      <c r="F8010">
        <v>5.0322199999999997</v>
      </c>
      <c r="G8010" t="s">
        <v>75</v>
      </c>
      <c r="H8010">
        <v>5032.2190000000001</v>
      </c>
      <c r="I8010" t="s">
        <v>76</v>
      </c>
      <c r="J8010" t="s">
        <v>82</v>
      </c>
      <c r="K8010">
        <v>198.71948130000001</v>
      </c>
    </row>
    <row r="8011" spans="1:11" x14ac:dyDescent="0.3">
      <c r="A8011" t="s">
        <v>187</v>
      </c>
    </row>
    <row r="8012" spans="1:11" x14ac:dyDescent="0.3">
      <c r="A8012" t="s">
        <v>430</v>
      </c>
    </row>
    <row r="8013" spans="1:11" x14ac:dyDescent="0.3">
      <c r="A8013" t="s">
        <v>72</v>
      </c>
      <c r="B8013">
        <v>1</v>
      </c>
      <c r="C8013" t="s">
        <v>73</v>
      </c>
      <c r="D8013">
        <v>5.5999999999999997E-6</v>
      </c>
      <c r="E8013" t="s">
        <v>74</v>
      </c>
      <c r="F8013">
        <v>5.5999999999999999E-3</v>
      </c>
      <c r="G8013" t="s">
        <v>75</v>
      </c>
      <c r="H8013">
        <v>5.6</v>
      </c>
      <c r="I8013" t="s">
        <v>76</v>
      </c>
      <c r="J8013" t="s">
        <v>77</v>
      </c>
    </row>
    <row r="8014" spans="1:11" x14ac:dyDescent="0.3">
      <c r="A8014" t="s">
        <v>72</v>
      </c>
      <c r="B8014">
        <v>1</v>
      </c>
      <c r="C8014" t="s">
        <v>78</v>
      </c>
      <c r="D8014">
        <v>5.2939999999999997E-4</v>
      </c>
      <c r="E8014" t="s">
        <v>74</v>
      </c>
      <c r="F8014">
        <v>0.52939999999999998</v>
      </c>
      <c r="G8014" t="s">
        <v>75</v>
      </c>
      <c r="H8014">
        <v>529.4</v>
      </c>
      <c r="I8014" t="s">
        <v>76</v>
      </c>
      <c r="J8014" t="s">
        <v>77</v>
      </c>
    </row>
    <row r="8015" spans="1:11" x14ac:dyDescent="0.3">
      <c r="A8015" t="s">
        <v>72</v>
      </c>
      <c r="B8015">
        <v>1</v>
      </c>
      <c r="C8015" t="s">
        <v>79</v>
      </c>
      <c r="D8015">
        <v>4.0168000000000001E-3</v>
      </c>
      <c r="E8015" t="s">
        <v>74</v>
      </c>
      <c r="F8015">
        <v>4.0167999999999999</v>
      </c>
      <c r="G8015" t="s">
        <v>75</v>
      </c>
      <c r="H8015">
        <v>4016.8</v>
      </c>
      <c r="I8015" t="s">
        <v>76</v>
      </c>
      <c r="J8015" t="s">
        <v>77</v>
      </c>
    </row>
    <row r="8016" spans="1:11" x14ac:dyDescent="0.3">
      <c r="A8016" t="s">
        <v>72</v>
      </c>
      <c r="B8016">
        <v>1</v>
      </c>
      <c r="C8016" t="s">
        <v>94</v>
      </c>
      <c r="D8016">
        <v>2.7561999999999999E-3</v>
      </c>
      <c r="E8016" t="s">
        <v>74</v>
      </c>
      <c r="F8016">
        <v>2.7562000000000002</v>
      </c>
      <c r="G8016" t="s">
        <v>75</v>
      </c>
      <c r="H8016">
        <v>2756.2</v>
      </c>
      <c r="I8016" t="s">
        <v>76</v>
      </c>
      <c r="J8016" t="s">
        <v>77</v>
      </c>
    </row>
    <row r="8017" spans="1:11" x14ac:dyDescent="0.3">
      <c r="A8017" t="s">
        <v>72</v>
      </c>
      <c r="B8017">
        <v>1</v>
      </c>
      <c r="C8017" t="s">
        <v>80</v>
      </c>
      <c r="D8017">
        <v>2.8925000000000001E-3</v>
      </c>
      <c r="E8017" t="s">
        <v>74</v>
      </c>
      <c r="F8017">
        <v>2.8925000000000001</v>
      </c>
      <c r="G8017" t="s">
        <v>75</v>
      </c>
      <c r="H8017">
        <v>2892.5</v>
      </c>
      <c r="I8017" t="s">
        <v>76</v>
      </c>
      <c r="J8017" t="s">
        <v>77</v>
      </c>
    </row>
    <row r="8018" spans="1:11" x14ac:dyDescent="0.3">
      <c r="A8018" t="s">
        <v>72</v>
      </c>
      <c r="B8018">
        <v>1</v>
      </c>
      <c r="C8018" t="s">
        <v>81</v>
      </c>
      <c r="D8018">
        <v>6.9106000000000002E-3</v>
      </c>
      <c r="E8018" t="s">
        <v>74</v>
      </c>
      <c r="F8018">
        <v>6.9105999999999996</v>
      </c>
      <c r="G8018" t="s">
        <v>75</v>
      </c>
      <c r="H8018">
        <v>6910.6</v>
      </c>
      <c r="I8018" t="s">
        <v>76</v>
      </c>
      <c r="J8018" t="s">
        <v>82</v>
      </c>
      <c r="K8018">
        <v>144.70524030000001</v>
      </c>
    </row>
    <row r="8019" spans="1:11" x14ac:dyDescent="0.3">
      <c r="A8019" t="s">
        <v>83</v>
      </c>
      <c r="B8019">
        <v>1000</v>
      </c>
      <c r="C8019" t="s">
        <v>79</v>
      </c>
      <c r="D8019">
        <v>2.5269699999999999E-3</v>
      </c>
      <c r="E8019" t="s">
        <v>74</v>
      </c>
      <c r="F8019">
        <v>2.5269699999999999</v>
      </c>
      <c r="G8019" t="s">
        <v>75</v>
      </c>
      <c r="H8019">
        <v>2526.9659999999999</v>
      </c>
      <c r="I8019" t="s">
        <v>76</v>
      </c>
      <c r="J8019" t="s">
        <v>77</v>
      </c>
    </row>
    <row r="8020" spans="1:11" x14ac:dyDescent="0.3">
      <c r="A8020" t="s">
        <v>83</v>
      </c>
      <c r="B8020">
        <v>1000</v>
      </c>
      <c r="C8020" t="s">
        <v>94</v>
      </c>
      <c r="D8020">
        <v>2.6584299999999998E-3</v>
      </c>
      <c r="E8020" t="s">
        <v>74</v>
      </c>
      <c r="F8020">
        <v>2.6584300000000001</v>
      </c>
      <c r="G8020" t="s">
        <v>75</v>
      </c>
      <c r="H8020">
        <v>2658.4290000000001</v>
      </c>
      <c r="I8020" t="s">
        <v>76</v>
      </c>
      <c r="J8020" t="s">
        <v>77</v>
      </c>
    </row>
    <row r="8021" spans="1:11" x14ac:dyDescent="0.3">
      <c r="A8021" t="s">
        <v>83</v>
      </c>
      <c r="B8021">
        <v>1000</v>
      </c>
      <c r="C8021" t="s">
        <v>80</v>
      </c>
      <c r="D8021">
        <v>2.7906200000000002E-3</v>
      </c>
      <c r="E8021" t="s">
        <v>74</v>
      </c>
      <c r="F8021">
        <v>2.7906200000000001</v>
      </c>
      <c r="G8021" t="s">
        <v>75</v>
      </c>
      <c r="H8021">
        <v>2790.625</v>
      </c>
      <c r="I8021" t="s">
        <v>76</v>
      </c>
      <c r="J8021" t="s">
        <v>77</v>
      </c>
    </row>
    <row r="8022" spans="1:11" x14ac:dyDescent="0.3">
      <c r="A8022" t="s">
        <v>83</v>
      </c>
      <c r="B8022">
        <v>1000</v>
      </c>
      <c r="C8022" t="s">
        <v>81</v>
      </c>
      <c r="D8022">
        <v>5.3188599999999999E-3</v>
      </c>
      <c r="E8022" t="s">
        <v>74</v>
      </c>
      <c r="F8022">
        <v>5.3188599999999999</v>
      </c>
      <c r="G8022" t="s">
        <v>75</v>
      </c>
      <c r="H8022">
        <v>5318.8590000000004</v>
      </c>
      <c r="I8022" t="s">
        <v>76</v>
      </c>
      <c r="J8022" t="s">
        <v>82</v>
      </c>
      <c r="K8022">
        <v>188.01026139999999</v>
      </c>
    </row>
    <row r="8023" spans="1:11" x14ac:dyDescent="0.3">
      <c r="A8023" t="s">
        <v>84</v>
      </c>
      <c r="B8023">
        <v>1001</v>
      </c>
      <c r="C8023" t="s">
        <v>79</v>
      </c>
      <c r="D8023">
        <v>2.5284499999999998E-3</v>
      </c>
      <c r="E8023" t="s">
        <v>74</v>
      </c>
      <c r="F8023">
        <v>2.5284499999999999</v>
      </c>
      <c r="G8023" t="s">
        <v>75</v>
      </c>
      <c r="H8023">
        <v>2528.4540000000002</v>
      </c>
      <c r="I8023" t="s">
        <v>76</v>
      </c>
      <c r="J8023" t="s">
        <v>77</v>
      </c>
    </row>
    <row r="8024" spans="1:11" x14ac:dyDescent="0.3">
      <c r="A8024" t="s">
        <v>84</v>
      </c>
      <c r="B8024">
        <v>1001</v>
      </c>
      <c r="C8024" t="s">
        <v>94</v>
      </c>
      <c r="D8024">
        <v>2.6585300000000001E-3</v>
      </c>
      <c r="E8024" t="s">
        <v>74</v>
      </c>
      <c r="F8024">
        <v>2.6585299999999998</v>
      </c>
      <c r="G8024" t="s">
        <v>75</v>
      </c>
      <c r="H8024">
        <v>2658.5259999999998</v>
      </c>
      <c r="I8024" t="s">
        <v>76</v>
      </c>
      <c r="J8024" t="s">
        <v>77</v>
      </c>
    </row>
    <row r="8025" spans="1:11" x14ac:dyDescent="0.3">
      <c r="A8025" t="s">
        <v>84</v>
      </c>
      <c r="B8025">
        <v>1001</v>
      </c>
      <c r="C8025" t="s">
        <v>80</v>
      </c>
      <c r="D8025">
        <v>2.7907299999999999E-3</v>
      </c>
      <c r="E8025" t="s">
        <v>74</v>
      </c>
      <c r="F8025">
        <v>2.7907299999999999</v>
      </c>
      <c r="G8025" t="s">
        <v>75</v>
      </c>
      <c r="H8025">
        <v>2790.7269999999999</v>
      </c>
      <c r="I8025" t="s">
        <v>76</v>
      </c>
      <c r="J8025" t="s">
        <v>77</v>
      </c>
    </row>
    <row r="8026" spans="1:11" x14ac:dyDescent="0.3">
      <c r="A8026" t="s">
        <v>84</v>
      </c>
      <c r="B8026">
        <v>1001</v>
      </c>
      <c r="C8026" t="s">
        <v>81</v>
      </c>
      <c r="D8026">
        <v>5.32045E-3</v>
      </c>
      <c r="E8026" t="s">
        <v>74</v>
      </c>
      <c r="F8026">
        <v>5.3204500000000001</v>
      </c>
      <c r="G8026" t="s">
        <v>75</v>
      </c>
      <c r="H8026">
        <v>5320.4489999999996</v>
      </c>
      <c r="I8026" t="s">
        <v>76</v>
      </c>
      <c r="J8026" t="s">
        <v>82</v>
      </c>
      <c r="K8026">
        <v>187.95406259999999</v>
      </c>
    </row>
    <row r="8027" spans="1:11" x14ac:dyDescent="0.3">
      <c r="A8027" t="s">
        <v>85</v>
      </c>
      <c r="B8027">
        <v>1001</v>
      </c>
      <c r="C8027" t="s">
        <v>86</v>
      </c>
      <c r="D8027">
        <v>5.3206599999999996E-3</v>
      </c>
      <c r="E8027" t="s">
        <v>74</v>
      </c>
      <c r="F8027">
        <v>5.3206600000000002</v>
      </c>
      <c r="G8027" t="s">
        <v>75</v>
      </c>
      <c r="H8027">
        <v>5320.6559999999999</v>
      </c>
      <c r="I8027" t="s">
        <v>76</v>
      </c>
      <c r="J8027" t="s">
        <v>82</v>
      </c>
      <c r="K8027">
        <v>187.94674259999999</v>
      </c>
    </row>
    <row r="8028" spans="1:11" x14ac:dyDescent="0.3">
      <c r="A8028" t="s">
        <v>115</v>
      </c>
    </row>
    <row r="8029" spans="1:11" x14ac:dyDescent="0.3">
      <c r="A8029" t="s">
        <v>127</v>
      </c>
    </row>
    <row r="8030" spans="1:11" x14ac:dyDescent="0.3">
      <c r="A8030" t="s">
        <v>87</v>
      </c>
    </row>
    <row r="8031" spans="1:11" x14ac:dyDescent="0.3">
      <c r="A8031" t="s">
        <v>431</v>
      </c>
    </row>
    <row r="8032" spans="1:11" x14ac:dyDescent="0.3">
      <c r="A8032" t="s">
        <v>72</v>
      </c>
      <c r="B8032">
        <v>1</v>
      </c>
      <c r="C8032" t="s">
        <v>81</v>
      </c>
      <c r="D8032">
        <v>0.14360118999999999</v>
      </c>
      <c r="E8032" t="s">
        <v>74</v>
      </c>
      <c r="F8032">
        <v>143.60119</v>
      </c>
      <c r="G8032" t="s">
        <v>75</v>
      </c>
      <c r="H8032">
        <v>143601.19399999999</v>
      </c>
      <c r="I8032" t="s">
        <v>76</v>
      </c>
      <c r="J8032" t="s">
        <v>82</v>
      </c>
      <c r="K8032">
        <v>6.9637304000000002</v>
      </c>
    </row>
    <row r="8033" spans="1:11" x14ac:dyDescent="0.3">
      <c r="A8033" t="s">
        <v>83</v>
      </c>
      <c r="B8033">
        <v>1000</v>
      </c>
      <c r="C8033" t="s">
        <v>81</v>
      </c>
      <c r="D8033">
        <v>4.8934499999999997E-3</v>
      </c>
      <c r="E8033" t="s">
        <v>74</v>
      </c>
      <c r="F8033">
        <v>4.8934499999999996</v>
      </c>
      <c r="G8033" t="s">
        <v>75</v>
      </c>
      <c r="H8033">
        <v>4893.4459999999999</v>
      </c>
      <c r="I8033" t="s">
        <v>76</v>
      </c>
      <c r="J8033" t="s">
        <v>82</v>
      </c>
      <c r="K8033">
        <v>204.35494919999999</v>
      </c>
    </row>
    <row r="8034" spans="1:11" x14ac:dyDescent="0.3">
      <c r="A8034" t="s">
        <v>85</v>
      </c>
      <c r="B8034">
        <v>1001</v>
      </c>
      <c r="C8034" t="s">
        <v>86</v>
      </c>
      <c r="D8034">
        <v>5.0322199999999996E-3</v>
      </c>
      <c r="E8034" t="s">
        <v>74</v>
      </c>
      <c r="F8034">
        <v>5.0322199999999997</v>
      </c>
      <c r="G8034" t="s">
        <v>75</v>
      </c>
      <c r="H8034">
        <v>5032.2190000000001</v>
      </c>
      <c r="I8034" t="s">
        <v>76</v>
      </c>
      <c r="J8034" t="s">
        <v>82</v>
      </c>
      <c r="K8034">
        <v>198.71948130000001</v>
      </c>
    </row>
    <row r="8036" spans="1:11" x14ac:dyDescent="0.3">
      <c r="A8036" t="s">
        <v>432</v>
      </c>
    </row>
    <row r="8037" spans="1:11" x14ac:dyDescent="0.3">
      <c r="A8037" t="s">
        <v>72</v>
      </c>
      <c r="B8037">
        <v>1</v>
      </c>
      <c r="C8037" t="s">
        <v>81</v>
      </c>
      <c r="D8037">
        <v>6.9106000000000002E-3</v>
      </c>
      <c r="E8037" t="s">
        <v>74</v>
      </c>
      <c r="F8037">
        <v>6.9105999999999996</v>
      </c>
      <c r="G8037" t="s">
        <v>75</v>
      </c>
      <c r="H8037">
        <v>6910.6</v>
      </c>
      <c r="I8037" t="s">
        <v>76</v>
      </c>
      <c r="J8037" t="s">
        <v>82</v>
      </c>
      <c r="K8037">
        <v>144.70524030000001</v>
      </c>
    </row>
    <row r="8038" spans="1:11" x14ac:dyDescent="0.3">
      <c r="A8038" t="s">
        <v>83</v>
      </c>
      <c r="B8038">
        <v>1000</v>
      </c>
      <c r="C8038" t="s">
        <v>81</v>
      </c>
      <c r="D8038">
        <v>5.3188599999999999E-3</v>
      </c>
      <c r="E8038" t="s">
        <v>74</v>
      </c>
      <c r="F8038">
        <v>5.3188599999999999</v>
      </c>
      <c r="G8038" t="s">
        <v>75</v>
      </c>
      <c r="H8038">
        <v>5318.8590000000004</v>
      </c>
      <c r="I8038" t="s">
        <v>76</v>
      </c>
      <c r="J8038" t="s">
        <v>82</v>
      </c>
      <c r="K8038">
        <v>188.01026139999999</v>
      </c>
    </row>
    <row r="8039" spans="1:11" x14ac:dyDescent="0.3">
      <c r="A8039" t="s">
        <v>85</v>
      </c>
      <c r="B8039">
        <v>1001</v>
      </c>
      <c r="C8039" t="s">
        <v>86</v>
      </c>
      <c r="D8039">
        <v>5.3206599999999996E-3</v>
      </c>
      <c r="E8039" t="s">
        <v>74</v>
      </c>
      <c r="F8039">
        <v>5.3206600000000002</v>
      </c>
      <c r="G8039" t="s">
        <v>75</v>
      </c>
      <c r="H8039">
        <v>5320.6559999999999</v>
      </c>
      <c r="I8039" t="s">
        <v>76</v>
      </c>
      <c r="J8039" t="s">
        <v>82</v>
      </c>
      <c r="K8039">
        <v>187.94674259999999</v>
      </c>
    </row>
    <row r="8041" spans="1:11" x14ac:dyDescent="0.3">
      <c r="A8041" t="s">
        <v>66</v>
      </c>
    </row>
    <row r="8043" spans="1:11" x14ac:dyDescent="0.3">
      <c r="A8043" t="s">
        <v>433</v>
      </c>
    </row>
    <row r="8044" spans="1:11" x14ac:dyDescent="0.3">
      <c r="A8044" t="s">
        <v>68</v>
      </c>
    </row>
    <row r="8045" spans="1:11" x14ac:dyDescent="0.3">
      <c r="A8045" t="s">
        <v>69</v>
      </c>
    </row>
    <row r="8046" spans="1:11" x14ac:dyDescent="0.3">
      <c r="A8046" t="s">
        <v>70</v>
      </c>
    </row>
    <row r="8047" spans="1:11" x14ac:dyDescent="0.3">
      <c r="A8047" t="s">
        <v>115</v>
      </c>
    </row>
    <row r="8048" spans="1:11" x14ac:dyDescent="0.3">
      <c r="A8048" t="s">
        <v>384</v>
      </c>
    </row>
    <row r="8049" spans="1:10" x14ac:dyDescent="0.3">
      <c r="A8049" t="s">
        <v>385</v>
      </c>
    </row>
    <row r="8050" spans="1:10" x14ac:dyDescent="0.3">
      <c r="A8050" t="s">
        <v>118</v>
      </c>
    </row>
    <row r="8051" spans="1:10" x14ac:dyDescent="0.3">
      <c r="A8051" t="s">
        <v>119</v>
      </c>
    </row>
    <row r="8052" spans="1:10" x14ac:dyDescent="0.3">
      <c r="A8052" t="s">
        <v>268</v>
      </c>
    </row>
    <row r="8053" spans="1:10" x14ac:dyDescent="0.3">
      <c r="A8053" t="s">
        <v>269</v>
      </c>
    </row>
    <row r="8054" spans="1:10" x14ac:dyDescent="0.3">
      <c r="A8054" t="s">
        <v>386</v>
      </c>
    </row>
    <row r="8055" spans="1:10" x14ac:dyDescent="0.3">
      <c r="A8055" t="s">
        <v>387</v>
      </c>
    </row>
    <row r="8056" spans="1:10" x14ac:dyDescent="0.3">
      <c r="A8056" t="s">
        <v>271</v>
      </c>
    </row>
    <row r="8057" spans="1:10" x14ac:dyDescent="0.3">
      <c r="A8057" t="s">
        <v>125</v>
      </c>
    </row>
    <row r="8058" spans="1:10" x14ac:dyDescent="0.3">
      <c r="A8058" t="s">
        <v>126</v>
      </c>
    </row>
    <row r="8059" spans="1:10" x14ac:dyDescent="0.3">
      <c r="A8059" t="s">
        <v>127</v>
      </c>
    </row>
    <row r="8060" spans="1:10" x14ac:dyDescent="0.3">
      <c r="A8060" t="s">
        <v>192</v>
      </c>
    </row>
    <row r="8061" spans="1:10" x14ac:dyDescent="0.3">
      <c r="A8061" t="s">
        <v>434</v>
      </c>
    </row>
    <row r="8062" spans="1:10" x14ac:dyDescent="0.3">
      <c r="A8062" t="s">
        <v>72</v>
      </c>
      <c r="B8062">
        <v>1</v>
      </c>
      <c r="C8062" t="s">
        <v>73</v>
      </c>
      <c r="D8062">
        <v>3.7000000000000002E-6</v>
      </c>
      <c r="E8062" t="s">
        <v>74</v>
      </c>
      <c r="F8062">
        <v>3.7000000000000002E-3</v>
      </c>
      <c r="G8062" t="s">
        <v>75</v>
      </c>
      <c r="H8062">
        <v>3.7</v>
      </c>
      <c r="I8062" t="s">
        <v>76</v>
      </c>
      <c r="J8062" t="s">
        <v>77</v>
      </c>
    </row>
    <row r="8063" spans="1:10" x14ac:dyDescent="0.3">
      <c r="A8063" t="s">
        <v>72</v>
      </c>
      <c r="B8063">
        <v>1</v>
      </c>
      <c r="C8063" t="s">
        <v>78</v>
      </c>
      <c r="D8063">
        <v>0.13978019</v>
      </c>
      <c r="E8063" t="s">
        <v>74</v>
      </c>
      <c r="F8063">
        <v>139.78019</v>
      </c>
      <c r="G8063" t="s">
        <v>75</v>
      </c>
      <c r="H8063">
        <v>139780.19399999999</v>
      </c>
      <c r="I8063" t="s">
        <v>76</v>
      </c>
      <c r="J8063" t="s">
        <v>77</v>
      </c>
    </row>
    <row r="8064" spans="1:10" x14ac:dyDescent="0.3">
      <c r="A8064" t="s">
        <v>72</v>
      </c>
      <c r="B8064">
        <v>1</v>
      </c>
      <c r="C8064" t="s">
        <v>79</v>
      </c>
      <c r="D8064">
        <v>0.1048211</v>
      </c>
      <c r="E8064" t="s">
        <v>74</v>
      </c>
      <c r="F8064">
        <v>104.8211</v>
      </c>
      <c r="G8064" t="s">
        <v>75</v>
      </c>
      <c r="H8064">
        <v>104821.101</v>
      </c>
      <c r="I8064" t="s">
        <v>76</v>
      </c>
      <c r="J8064" t="s">
        <v>77</v>
      </c>
    </row>
    <row r="8065" spans="1:11" x14ac:dyDescent="0.3">
      <c r="A8065" t="s">
        <v>72</v>
      </c>
      <c r="B8065">
        <v>1</v>
      </c>
      <c r="C8065" t="s">
        <v>94</v>
      </c>
      <c r="D8065">
        <v>9.4350000000000007E-3</v>
      </c>
      <c r="E8065" t="s">
        <v>74</v>
      </c>
      <c r="F8065">
        <v>9.4350000000000005</v>
      </c>
      <c r="G8065" t="s">
        <v>75</v>
      </c>
      <c r="H8065">
        <v>9435</v>
      </c>
      <c r="I8065" t="s">
        <v>76</v>
      </c>
      <c r="J8065" t="s">
        <v>77</v>
      </c>
    </row>
    <row r="8066" spans="1:11" x14ac:dyDescent="0.3">
      <c r="A8066" t="s">
        <v>72</v>
      </c>
      <c r="B8066">
        <v>1</v>
      </c>
      <c r="C8066" t="s">
        <v>80</v>
      </c>
      <c r="D8066">
        <v>9.4357999999999994E-3</v>
      </c>
      <c r="E8066" t="s">
        <v>74</v>
      </c>
      <c r="F8066">
        <v>9.4358000000000004</v>
      </c>
      <c r="G8066" t="s">
        <v>75</v>
      </c>
      <c r="H8066">
        <v>9435.7999999999993</v>
      </c>
      <c r="I8066" t="s">
        <v>76</v>
      </c>
      <c r="J8066" t="s">
        <v>77</v>
      </c>
    </row>
    <row r="8067" spans="1:11" x14ac:dyDescent="0.3">
      <c r="A8067" t="s">
        <v>72</v>
      </c>
      <c r="B8067">
        <v>1</v>
      </c>
      <c r="C8067" t="s">
        <v>81</v>
      </c>
      <c r="D8067">
        <v>0.1142591</v>
      </c>
      <c r="E8067" t="s">
        <v>74</v>
      </c>
      <c r="F8067">
        <v>114.2591</v>
      </c>
      <c r="G8067" t="s">
        <v>75</v>
      </c>
      <c r="H8067">
        <v>114259.101</v>
      </c>
      <c r="I8067" t="s">
        <v>76</v>
      </c>
      <c r="J8067" t="s">
        <v>82</v>
      </c>
      <c r="K8067">
        <v>8.7520380000000007</v>
      </c>
    </row>
    <row r="8068" spans="1:11" x14ac:dyDescent="0.3">
      <c r="A8068" t="s">
        <v>83</v>
      </c>
      <c r="B8068">
        <v>1000</v>
      </c>
      <c r="C8068" t="s">
        <v>79</v>
      </c>
      <c r="D8068">
        <v>2.5786699999999999E-3</v>
      </c>
      <c r="E8068" t="s">
        <v>74</v>
      </c>
      <c r="F8068">
        <v>2.5786699999999998</v>
      </c>
      <c r="G8068" t="s">
        <v>75</v>
      </c>
      <c r="H8068">
        <v>2578.665</v>
      </c>
      <c r="I8068" t="s">
        <v>76</v>
      </c>
      <c r="J8068" t="s">
        <v>77</v>
      </c>
    </row>
    <row r="8069" spans="1:11" x14ac:dyDescent="0.3">
      <c r="A8069" t="s">
        <v>83</v>
      </c>
      <c r="B8069">
        <v>1000</v>
      </c>
      <c r="C8069" t="s">
        <v>94</v>
      </c>
      <c r="D8069">
        <v>2.53769E-3</v>
      </c>
      <c r="E8069" t="s">
        <v>74</v>
      </c>
      <c r="F8069">
        <v>2.53769</v>
      </c>
      <c r="G8069" t="s">
        <v>75</v>
      </c>
      <c r="H8069">
        <v>2537.6860000000001</v>
      </c>
      <c r="I8069" t="s">
        <v>76</v>
      </c>
      <c r="J8069" t="s">
        <v>77</v>
      </c>
    </row>
    <row r="8070" spans="1:11" x14ac:dyDescent="0.3">
      <c r="A8070" t="s">
        <v>83</v>
      </c>
      <c r="B8070">
        <v>1000</v>
      </c>
      <c r="C8070" t="s">
        <v>80</v>
      </c>
      <c r="D8070">
        <v>2.7052500000000002E-3</v>
      </c>
      <c r="E8070" t="s">
        <v>74</v>
      </c>
      <c r="F8070">
        <v>2.7052499999999999</v>
      </c>
      <c r="G8070" t="s">
        <v>75</v>
      </c>
      <c r="H8070">
        <v>2705.252</v>
      </c>
      <c r="I8070" t="s">
        <v>76</v>
      </c>
      <c r="J8070" t="s">
        <v>77</v>
      </c>
    </row>
    <row r="8071" spans="1:11" x14ac:dyDescent="0.3">
      <c r="A8071" t="s">
        <v>83</v>
      </c>
      <c r="B8071">
        <v>1000</v>
      </c>
      <c r="C8071" t="s">
        <v>81</v>
      </c>
      <c r="D8071">
        <v>5.2846999999999998E-3</v>
      </c>
      <c r="E8071" t="s">
        <v>74</v>
      </c>
      <c r="F8071">
        <v>5.2847</v>
      </c>
      <c r="G8071" t="s">
        <v>75</v>
      </c>
      <c r="H8071">
        <v>5284.6959999999999</v>
      </c>
      <c r="I8071" t="s">
        <v>76</v>
      </c>
      <c r="J8071" t="s">
        <v>82</v>
      </c>
      <c r="K8071">
        <v>189.22563959999999</v>
      </c>
    </row>
    <row r="8072" spans="1:11" x14ac:dyDescent="0.3">
      <c r="A8072" t="s">
        <v>84</v>
      </c>
      <c r="B8072">
        <v>1001</v>
      </c>
      <c r="C8072" t="s">
        <v>79</v>
      </c>
      <c r="D8072">
        <v>2.6808100000000001E-3</v>
      </c>
      <c r="E8072" t="s">
        <v>74</v>
      </c>
      <c r="F8072">
        <v>2.6808100000000001</v>
      </c>
      <c r="G8072" t="s">
        <v>75</v>
      </c>
      <c r="H8072">
        <v>2680.8069999999998</v>
      </c>
      <c r="I8072" t="s">
        <v>76</v>
      </c>
      <c r="J8072" t="s">
        <v>77</v>
      </c>
    </row>
    <row r="8073" spans="1:11" x14ac:dyDescent="0.3">
      <c r="A8073" t="s">
        <v>84</v>
      </c>
      <c r="B8073">
        <v>1001</v>
      </c>
      <c r="C8073" t="s">
        <v>94</v>
      </c>
      <c r="D8073">
        <v>2.5445799999999998E-3</v>
      </c>
      <c r="E8073" t="s">
        <v>74</v>
      </c>
      <c r="F8073">
        <v>2.5445799999999998</v>
      </c>
      <c r="G8073" t="s">
        <v>75</v>
      </c>
      <c r="H8073">
        <v>2544.576</v>
      </c>
      <c r="I8073" t="s">
        <v>76</v>
      </c>
      <c r="J8073" t="s">
        <v>77</v>
      </c>
    </row>
    <row r="8074" spans="1:11" x14ac:dyDescent="0.3">
      <c r="A8074" t="s">
        <v>84</v>
      </c>
      <c r="B8074">
        <v>1001</v>
      </c>
      <c r="C8074" t="s">
        <v>80</v>
      </c>
      <c r="D8074">
        <v>2.7119800000000001E-3</v>
      </c>
      <c r="E8074" t="s">
        <v>74</v>
      </c>
      <c r="F8074">
        <v>2.7119800000000001</v>
      </c>
      <c r="G8074" t="s">
        <v>75</v>
      </c>
      <c r="H8074">
        <v>2711.9749999999999</v>
      </c>
      <c r="I8074" t="s">
        <v>76</v>
      </c>
      <c r="J8074" t="s">
        <v>77</v>
      </c>
    </row>
    <row r="8075" spans="1:11" x14ac:dyDescent="0.3">
      <c r="A8075" t="s">
        <v>84</v>
      </c>
      <c r="B8075">
        <v>1001</v>
      </c>
      <c r="C8075" t="s">
        <v>81</v>
      </c>
      <c r="D8075">
        <v>5.3935600000000004E-3</v>
      </c>
      <c r="E8075" t="s">
        <v>74</v>
      </c>
      <c r="F8075">
        <v>5.3935599999999999</v>
      </c>
      <c r="G8075" t="s">
        <v>75</v>
      </c>
      <c r="H8075">
        <v>5393.5630000000001</v>
      </c>
      <c r="I8075" t="s">
        <v>76</v>
      </c>
      <c r="J8075" t="s">
        <v>82</v>
      </c>
      <c r="K8075">
        <v>185.40618889999999</v>
      </c>
    </row>
    <row r="8076" spans="1:11" x14ac:dyDescent="0.3">
      <c r="A8076" t="s">
        <v>85</v>
      </c>
      <c r="B8076">
        <v>1001</v>
      </c>
      <c r="C8076" t="s">
        <v>86</v>
      </c>
      <c r="D8076">
        <v>5.3937500000000001E-3</v>
      </c>
      <c r="E8076" t="s">
        <v>74</v>
      </c>
      <c r="F8076">
        <v>5.3937499999999998</v>
      </c>
      <c r="G8076" t="s">
        <v>75</v>
      </c>
      <c r="H8076">
        <v>5393.7529999999997</v>
      </c>
      <c r="I8076" t="s">
        <v>76</v>
      </c>
      <c r="J8076" t="s">
        <v>82</v>
      </c>
      <c r="K8076">
        <v>185.39965549999999</v>
      </c>
    </row>
    <row r="8077" spans="1:11" x14ac:dyDescent="0.3">
      <c r="A8077" t="s">
        <v>194</v>
      </c>
    </row>
    <row r="8078" spans="1:11" x14ac:dyDescent="0.3">
      <c r="A8078" t="s">
        <v>435</v>
      </c>
    </row>
    <row r="8079" spans="1:11" x14ac:dyDescent="0.3">
      <c r="A8079" t="s">
        <v>72</v>
      </c>
      <c r="B8079">
        <v>1</v>
      </c>
      <c r="C8079" t="s">
        <v>73</v>
      </c>
      <c r="D8079">
        <v>3.7000000000000002E-6</v>
      </c>
      <c r="E8079" t="s">
        <v>74</v>
      </c>
      <c r="F8079">
        <v>3.7000000000000002E-3</v>
      </c>
      <c r="G8079" t="s">
        <v>75</v>
      </c>
      <c r="H8079">
        <v>3.7</v>
      </c>
      <c r="I8079" t="s">
        <v>76</v>
      </c>
      <c r="J8079" t="s">
        <v>77</v>
      </c>
    </row>
    <row r="8080" spans="1:11" x14ac:dyDescent="0.3">
      <c r="A8080" t="s">
        <v>72</v>
      </c>
      <c r="B8080">
        <v>1</v>
      </c>
      <c r="C8080" t="s">
        <v>78</v>
      </c>
      <c r="D8080">
        <v>5.0580000000000004E-4</v>
      </c>
      <c r="E8080" t="s">
        <v>74</v>
      </c>
      <c r="F8080">
        <v>0.50580000000000003</v>
      </c>
      <c r="G8080" t="s">
        <v>75</v>
      </c>
      <c r="H8080">
        <v>505.8</v>
      </c>
      <c r="I8080" t="s">
        <v>76</v>
      </c>
      <c r="J8080" t="s">
        <v>77</v>
      </c>
    </row>
    <row r="8081" spans="1:11" x14ac:dyDescent="0.3">
      <c r="A8081" t="s">
        <v>72</v>
      </c>
      <c r="B8081">
        <v>1</v>
      </c>
      <c r="C8081" t="s">
        <v>79</v>
      </c>
      <c r="D8081">
        <v>4.4933000000000004E-3</v>
      </c>
      <c r="E8081" t="s">
        <v>74</v>
      </c>
      <c r="F8081">
        <v>4.4932999999999996</v>
      </c>
      <c r="G8081" t="s">
        <v>75</v>
      </c>
      <c r="H8081">
        <v>4493.3</v>
      </c>
      <c r="I8081" t="s">
        <v>76</v>
      </c>
      <c r="J8081" t="s">
        <v>77</v>
      </c>
    </row>
    <row r="8082" spans="1:11" x14ac:dyDescent="0.3">
      <c r="A8082" t="s">
        <v>72</v>
      </c>
      <c r="B8082">
        <v>1</v>
      </c>
      <c r="C8082" t="s">
        <v>94</v>
      </c>
      <c r="D8082">
        <v>2.7726999999999999E-3</v>
      </c>
      <c r="E8082" t="s">
        <v>74</v>
      </c>
      <c r="F8082">
        <v>2.7726999999999999</v>
      </c>
      <c r="G8082" t="s">
        <v>75</v>
      </c>
      <c r="H8082">
        <v>2772.7</v>
      </c>
      <c r="I8082" t="s">
        <v>76</v>
      </c>
      <c r="J8082" t="s">
        <v>77</v>
      </c>
    </row>
    <row r="8083" spans="1:11" x14ac:dyDescent="0.3">
      <c r="A8083" t="s">
        <v>72</v>
      </c>
      <c r="B8083">
        <v>1</v>
      </c>
      <c r="C8083" t="s">
        <v>80</v>
      </c>
      <c r="D8083">
        <v>2.9079000000000002E-3</v>
      </c>
      <c r="E8083" t="s">
        <v>74</v>
      </c>
      <c r="F8083">
        <v>2.9079000000000002</v>
      </c>
      <c r="G8083" t="s">
        <v>75</v>
      </c>
      <c r="H8083">
        <v>2907.9</v>
      </c>
      <c r="I8083" t="s">
        <v>76</v>
      </c>
      <c r="J8083" t="s">
        <v>77</v>
      </c>
    </row>
    <row r="8084" spans="1:11" x14ac:dyDescent="0.3">
      <c r="A8084" t="s">
        <v>72</v>
      </c>
      <c r="B8084">
        <v>1</v>
      </c>
      <c r="C8084" t="s">
        <v>81</v>
      </c>
      <c r="D8084">
        <v>7.4022999999999997E-3</v>
      </c>
      <c r="E8084" t="s">
        <v>74</v>
      </c>
      <c r="F8084">
        <v>7.4023000000000003</v>
      </c>
      <c r="G8084" t="s">
        <v>75</v>
      </c>
      <c r="H8084">
        <v>7402.3</v>
      </c>
      <c r="I8084" t="s">
        <v>76</v>
      </c>
      <c r="J8084" t="s">
        <v>82</v>
      </c>
      <c r="K8084">
        <v>135.09314850000001</v>
      </c>
    </row>
    <row r="8085" spans="1:11" x14ac:dyDescent="0.3">
      <c r="A8085" t="s">
        <v>83</v>
      </c>
      <c r="B8085">
        <v>1000</v>
      </c>
      <c r="C8085" t="s">
        <v>79</v>
      </c>
      <c r="D8085">
        <v>3.0155E-3</v>
      </c>
      <c r="E8085" t="s">
        <v>74</v>
      </c>
      <c r="F8085">
        <v>3.0154999999999998</v>
      </c>
      <c r="G8085" t="s">
        <v>75</v>
      </c>
      <c r="H8085">
        <v>3015.502</v>
      </c>
      <c r="I8085" t="s">
        <v>76</v>
      </c>
      <c r="J8085" t="s">
        <v>77</v>
      </c>
    </row>
    <row r="8086" spans="1:11" x14ac:dyDescent="0.3">
      <c r="A8086" t="s">
        <v>83</v>
      </c>
      <c r="B8086">
        <v>1000</v>
      </c>
      <c r="C8086" t="s">
        <v>94</v>
      </c>
      <c r="D8086">
        <v>2.6448299999999999E-3</v>
      </c>
      <c r="E8086" t="s">
        <v>74</v>
      </c>
      <c r="F8086">
        <v>2.6448299999999998</v>
      </c>
      <c r="G8086" t="s">
        <v>75</v>
      </c>
      <c r="H8086">
        <v>2644.835</v>
      </c>
      <c r="I8086" t="s">
        <v>76</v>
      </c>
      <c r="J8086" t="s">
        <v>77</v>
      </c>
    </row>
    <row r="8087" spans="1:11" x14ac:dyDescent="0.3">
      <c r="A8087" t="s">
        <v>83</v>
      </c>
      <c r="B8087">
        <v>1000</v>
      </c>
      <c r="C8087" t="s">
        <v>80</v>
      </c>
      <c r="D8087">
        <v>2.77977E-3</v>
      </c>
      <c r="E8087" t="s">
        <v>74</v>
      </c>
      <c r="F8087">
        <v>2.7797700000000001</v>
      </c>
      <c r="G8087" t="s">
        <v>75</v>
      </c>
      <c r="H8087">
        <v>2779.7730000000001</v>
      </c>
      <c r="I8087" t="s">
        <v>76</v>
      </c>
      <c r="J8087" t="s">
        <v>77</v>
      </c>
    </row>
    <row r="8088" spans="1:11" x14ac:dyDescent="0.3">
      <c r="A8088" t="s">
        <v>83</v>
      </c>
      <c r="B8088">
        <v>1000</v>
      </c>
      <c r="C8088" t="s">
        <v>81</v>
      </c>
      <c r="D8088">
        <v>5.7964100000000001E-3</v>
      </c>
      <c r="E8088" t="s">
        <v>74</v>
      </c>
      <c r="F8088">
        <v>5.7964099999999998</v>
      </c>
      <c r="G8088" t="s">
        <v>75</v>
      </c>
      <c r="H8088">
        <v>5796.4080000000004</v>
      </c>
      <c r="I8088" t="s">
        <v>76</v>
      </c>
      <c r="J8088" t="s">
        <v>82</v>
      </c>
      <c r="K8088">
        <v>172.52064590000001</v>
      </c>
    </row>
    <row r="8089" spans="1:11" x14ac:dyDescent="0.3">
      <c r="A8089" t="s">
        <v>84</v>
      </c>
      <c r="B8089">
        <v>1001</v>
      </c>
      <c r="C8089" t="s">
        <v>79</v>
      </c>
      <c r="D8089">
        <v>3.0169799999999998E-3</v>
      </c>
      <c r="E8089" t="s">
        <v>74</v>
      </c>
      <c r="F8089">
        <v>3.0169800000000002</v>
      </c>
      <c r="G8089" t="s">
        <v>75</v>
      </c>
      <c r="H8089">
        <v>3016.9780000000001</v>
      </c>
      <c r="I8089" t="s">
        <v>76</v>
      </c>
      <c r="J8089" t="s">
        <v>77</v>
      </c>
    </row>
    <row r="8090" spans="1:11" x14ac:dyDescent="0.3">
      <c r="A8090" t="s">
        <v>84</v>
      </c>
      <c r="B8090">
        <v>1001</v>
      </c>
      <c r="C8090" t="s">
        <v>94</v>
      </c>
      <c r="D8090">
        <v>2.64496E-3</v>
      </c>
      <c r="E8090" t="s">
        <v>74</v>
      </c>
      <c r="F8090">
        <v>2.6449600000000002</v>
      </c>
      <c r="G8090" t="s">
        <v>75</v>
      </c>
      <c r="H8090">
        <v>2644.9630000000002</v>
      </c>
      <c r="I8090" t="s">
        <v>76</v>
      </c>
      <c r="J8090" t="s">
        <v>77</v>
      </c>
    </row>
    <row r="8091" spans="1:11" x14ac:dyDescent="0.3">
      <c r="A8091" t="s">
        <v>84</v>
      </c>
      <c r="B8091">
        <v>1001</v>
      </c>
      <c r="C8091" t="s">
        <v>80</v>
      </c>
      <c r="D8091">
        <v>2.7799000000000001E-3</v>
      </c>
      <c r="E8091" t="s">
        <v>74</v>
      </c>
      <c r="F8091">
        <v>2.7799</v>
      </c>
      <c r="G8091" t="s">
        <v>75</v>
      </c>
      <c r="H8091">
        <v>2779.9009999999998</v>
      </c>
      <c r="I8091" t="s">
        <v>76</v>
      </c>
      <c r="J8091" t="s">
        <v>77</v>
      </c>
    </row>
    <row r="8092" spans="1:11" x14ac:dyDescent="0.3">
      <c r="A8092" t="s">
        <v>84</v>
      </c>
      <c r="B8092">
        <v>1001</v>
      </c>
      <c r="C8092" t="s">
        <v>81</v>
      </c>
      <c r="D8092">
        <v>5.7980100000000001E-3</v>
      </c>
      <c r="E8092" t="s">
        <v>74</v>
      </c>
      <c r="F8092">
        <v>5.7980099999999997</v>
      </c>
      <c r="G8092" t="s">
        <v>75</v>
      </c>
      <c r="H8092">
        <v>5798.0129999999999</v>
      </c>
      <c r="I8092" t="s">
        <v>76</v>
      </c>
      <c r="J8092" t="s">
        <v>82</v>
      </c>
      <c r="K8092">
        <v>172.4728781</v>
      </c>
    </row>
    <row r="8093" spans="1:11" x14ac:dyDescent="0.3">
      <c r="A8093" t="s">
        <v>85</v>
      </c>
      <c r="B8093">
        <v>1001</v>
      </c>
      <c r="C8093" t="s">
        <v>86</v>
      </c>
      <c r="D8093">
        <v>5.7981700000000001E-3</v>
      </c>
      <c r="E8093" t="s">
        <v>74</v>
      </c>
      <c r="F8093">
        <v>5.7981699999999998</v>
      </c>
      <c r="G8093" t="s">
        <v>75</v>
      </c>
      <c r="H8093">
        <v>5798.174</v>
      </c>
      <c r="I8093" t="s">
        <v>76</v>
      </c>
      <c r="J8093" t="s">
        <v>82</v>
      </c>
      <c r="K8093">
        <v>172.46808870000001</v>
      </c>
    </row>
    <row r="8094" spans="1:11" x14ac:dyDescent="0.3">
      <c r="A8094" t="s">
        <v>115</v>
      </c>
    </row>
    <row r="8095" spans="1:11" x14ac:dyDescent="0.3">
      <c r="A8095" t="s">
        <v>127</v>
      </c>
    </row>
    <row r="8096" spans="1:11" x14ac:dyDescent="0.3">
      <c r="A8096" t="s">
        <v>87</v>
      </c>
    </row>
    <row r="8097" spans="1:11" x14ac:dyDescent="0.3">
      <c r="A8097" t="s">
        <v>436</v>
      </c>
    </row>
    <row r="8098" spans="1:11" x14ac:dyDescent="0.3">
      <c r="A8098" t="s">
        <v>72</v>
      </c>
      <c r="B8098">
        <v>1</v>
      </c>
      <c r="C8098" t="s">
        <v>81</v>
      </c>
      <c r="D8098">
        <v>0.1142591</v>
      </c>
      <c r="E8098" t="s">
        <v>74</v>
      </c>
      <c r="F8098">
        <v>114.2591</v>
      </c>
      <c r="G8098" t="s">
        <v>75</v>
      </c>
      <c r="H8098">
        <v>114259.101</v>
      </c>
      <c r="I8098" t="s">
        <v>76</v>
      </c>
      <c r="J8098" t="s">
        <v>82</v>
      </c>
      <c r="K8098">
        <v>8.7520380000000007</v>
      </c>
    </row>
    <row r="8099" spans="1:11" x14ac:dyDescent="0.3">
      <c r="A8099" t="s">
        <v>83</v>
      </c>
      <c r="B8099">
        <v>1000</v>
      </c>
      <c r="C8099" t="s">
        <v>81</v>
      </c>
      <c r="D8099">
        <v>5.2846999999999998E-3</v>
      </c>
      <c r="E8099" t="s">
        <v>74</v>
      </c>
      <c r="F8099">
        <v>5.2847</v>
      </c>
      <c r="G8099" t="s">
        <v>75</v>
      </c>
      <c r="H8099">
        <v>5284.6959999999999</v>
      </c>
      <c r="I8099" t="s">
        <v>76</v>
      </c>
      <c r="J8099" t="s">
        <v>82</v>
      </c>
      <c r="K8099">
        <v>189.22563959999999</v>
      </c>
    </row>
    <row r="8100" spans="1:11" x14ac:dyDescent="0.3">
      <c r="A8100" t="s">
        <v>85</v>
      </c>
      <c r="B8100">
        <v>1001</v>
      </c>
      <c r="C8100" t="s">
        <v>86</v>
      </c>
      <c r="D8100">
        <v>5.3937500000000001E-3</v>
      </c>
      <c r="E8100" t="s">
        <v>74</v>
      </c>
      <c r="F8100">
        <v>5.3937499999999998</v>
      </c>
      <c r="G8100" t="s">
        <v>75</v>
      </c>
      <c r="H8100">
        <v>5393.7529999999997</v>
      </c>
      <c r="I8100" t="s">
        <v>76</v>
      </c>
      <c r="J8100" t="s">
        <v>82</v>
      </c>
      <c r="K8100">
        <v>185.39965549999999</v>
      </c>
    </row>
    <row r="8102" spans="1:11" x14ac:dyDescent="0.3">
      <c r="A8102" t="s">
        <v>437</v>
      </c>
    </row>
    <row r="8103" spans="1:11" x14ac:dyDescent="0.3">
      <c r="A8103" t="s">
        <v>72</v>
      </c>
      <c r="B8103">
        <v>1</v>
      </c>
      <c r="C8103" t="s">
        <v>81</v>
      </c>
      <c r="D8103">
        <v>7.4022999999999997E-3</v>
      </c>
      <c r="E8103" t="s">
        <v>74</v>
      </c>
      <c r="F8103">
        <v>7.4023000000000003</v>
      </c>
      <c r="G8103" t="s">
        <v>75</v>
      </c>
      <c r="H8103">
        <v>7402.3</v>
      </c>
      <c r="I8103" t="s">
        <v>76</v>
      </c>
      <c r="J8103" t="s">
        <v>82</v>
      </c>
      <c r="K8103">
        <v>135.09314850000001</v>
      </c>
    </row>
    <row r="8104" spans="1:11" x14ac:dyDescent="0.3">
      <c r="A8104" t="s">
        <v>83</v>
      </c>
      <c r="B8104">
        <v>1000</v>
      </c>
      <c r="C8104" t="s">
        <v>81</v>
      </c>
      <c r="D8104">
        <v>5.7964100000000001E-3</v>
      </c>
      <c r="E8104" t="s">
        <v>74</v>
      </c>
      <c r="F8104">
        <v>5.7964099999999998</v>
      </c>
      <c r="G8104" t="s">
        <v>75</v>
      </c>
      <c r="H8104">
        <v>5796.4080000000004</v>
      </c>
      <c r="I8104" t="s">
        <v>76</v>
      </c>
      <c r="J8104" t="s">
        <v>82</v>
      </c>
      <c r="K8104">
        <v>172.52064590000001</v>
      </c>
    </row>
    <row r="8105" spans="1:11" x14ac:dyDescent="0.3">
      <c r="A8105" t="s">
        <v>85</v>
      </c>
      <c r="B8105">
        <v>1001</v>
      </c>
      <c r="C8105" t="s">
        <v>86</v>
      </c>
      <c r="D8105">
        <v>5.7981700000000001E-3</v>
      </c>
      <c r="E8105" t="s">
        <v>74</v>
      </c>
      <c r="F8105">
        <v>5.7981699999999998</v>
      </c>
      <c r="G8105" t="s">
        <v>75</v>
      </c>
      <c r="H8105">
        <v>5798.174</v>
      </c>
      <c r="I8105" t="s">
        <v>76</v>
      </c>
      <c r="J8105" t="s">
        <v>82</v>
      </c>
      <c r="K8105">
        <v>172.46808870000001</v>
      </c>
    </row>
    <row r="8107" spans="1:11" x14ac:dyDescent="0.3">
      <c r="A8107" t="s">
        <v>66</v>
      </c>
    </row>
    <row r="8109" spans="1:11" x14ac:dyDescent="0.3">
      <c r="A8109" t="s">
        <v>438</v>
      </c>
    </row>
    <row r="8110" spans="1:11" x14ac:dyDescent="0.3">
      <c r="A8110" t="s">
        <v>68</v>
      </c>
    </row>
    <row r="8111" spans="1:11" x14ac:dyDescent="0.3">
      <c r="A8111" t="s">
        <v>69</v>
      </c>
    </row>
    <row r="8112" spans="1:11" x14ac:dyDescent="0.3">
      <c r="A8112" t="s">
        <v>70</v>
      </c>
    </row>
    <row r="8113" spans="1:10" x14ac:dyDescent="0.3">
      <c r="A8113" t="s">
        <v>115</v>
      </c>
    </row>
    <row r="8114" spans="1:10" x14ac:dyDescent="0.3">
      <c r="A8114" t="s">
        <v>384</v>
      </c>
    </row>
    <row r="8115" spans="1:10" x14ac:dyDescent="0.3">
      <c r="A8115" t="s">
        <v>385</v>
      </c>
    </row>
    <row r="8116" spans="1:10" x14ac:dyDescent="0.3">
      <c r="A8116" t="s">
        <v>118</v>
      </c>
    </row>
    <row r="8117" spans="1:10" x14ac:dyDescent="0.3">
      <c r="A8117" t="s">
        <v>119</v>
      </c>
    </row>
    <row r="8118" spans="1:10" x14ac:dyDescent="0.3">
      <c r="A8118" t="s">
        <v>268</v>
      </c>
    </row>
    <row r="8119" spans="1:10" x14ac:dyDescent="0.3">
      <c r="A8119" t="s">
        <v>269</v>
      </c>
    </row>
    <row r="8120" spans="1:10" x14ac:dyDescent="0.3">
      <c r="A8120" t="s">
        <v>386</v>
      </c>
    </row>
    <row r="8121" spans="1:10" x14ac:dyDescent="0.3">
      <c r="A8121" t="s">
        <v>387</v>
      </c>
    </row>
    <row r="8122" spans="1:10" x14ac:dyDescent="0.3">
      <c r="A8122" t="s">
        <v>271</v>
      </c>
    </row>
    <row r="8123" spans="1:10" x14ac:dyDescent="0.3">
      <c r="A8123" t="s">
        <v>125</v>
      </c>
    </row>
    <row r="8124" spans="1:10" x14ac:dyDescent="0.3">
      <c r="A8124" t="s">
        <v>126</v>
      </c>
    </row>
    <row r="8125" spans="1:10" x14ac:dyDescent="0.3">
      <c r="A8125" t="s">
        <v>127</v>
      </c>
    </row>
    <row r="8126" spans="1:10" x14ac:dyDescent="0.3">
      <c r="A8126" t="s">
        <v>199</v>
      </c>
    </row>
    <row r="8127" spans="1:10" x14ac:dyDescent="0.3">
      <c r="A8127" t="s">
        <v>439</v>
      </c>
    </row>
    <row r="8128" spans="1:10" x14ac:dyDescent="0.3">
      <c r="A8128" t="s">
        <v>72</v>
      </c>
      <c r="B8128">
        <v>1</v>
      </c>
      <c r="C8128" t="s">
        <v>73</v>
      </c>
      <c r="D8128">
        <v>1.7799999999999999E-5</v>
      </c>
      <c r="E8128" t="s">
        <v>74</v>
      </c>
      <c r="F8128">
        <v>1.78E-2</v>
      </c>
      <c r="G8128" t="s">
        <v>75</v>
      </c>
      <c r="H8128">
        <v>17.8</v>
      </c>
      <c r="I8128" t="s">
        <v>76</v>
      </c>
      <c r="J8128" t="s">
        <v>77</v>
      </c>
    </row>
    <row r="8129" spans="1:11" x14ac:dyDescent="0.3">
      <c r="A8129" t="s">
        <v>72</v>
      </c>
      <c r="B8129">
        <v>1</v>
      </c>
      <c r="C8129" t="s">
        <v>78</v>
      </c>
      <c r="D8129">
        <v>0.1224848</v>
      </c>
      <c r="E8129" t="s">
        <v>74</v>
      </c>
      <c r="F8129">
        <v>122.48480000000001</v>
      </c>
      <c r="G8129" t="s">
        <v>75</v>
      </c>
      <c r="H8129">
        <v>122484.803</v>
      </c>
      <c r="I8129" t="s">
        <v>76</v>
      </c>
      <c r="J8129" t="s">
        <v>77</v>
      </c>
    </row>
    <row r="8130" spans="1:11" x14ac:dyDescent="0.3">
      <c r="A8130" t="s">
        <v>72</v>
      </c>
      <c r="B8130">
        <v>1</v>
      </c>
      <c r="C8130" t="s">
        <v>79</v>
      </c>
      <c r="D8130">
        <v>0.1413402</v>
      </c>
      <c r="E8130" t="s">
        <v>74</v>
      </c>
      <c r="F8130">
        <v>141.34020000000001</v>
      </c>
      <c r="G8130" t="s">
        <v>75</v>
      </c>
      <c r="H8130">
        <v>141340.196</v>
      </c>
      <c r="I8130" t="s">
        <v>76</v>
      </c>
      <c r="J8130" t="s">
        <v>77</v>
      </c>
    </row>
    <row r="8131" spans="1:11" x14ac:dyDescent="0.3">
      <c r="A8131" t="s">
        <v>72</v>
      </c>
      <c r="B8131">
        <v>1</v>
      </c>
      <c r="C8131" t="s">
        <v>94</v>
      </c>
      <c r="D8131">
        <v>1.8218100000000001E-2</v>
      </c>
      <c r="E8131" t="s">
        <v>74</v>
      </c>
      <c r="F8131">
        <v>18.2181</v>
      </c>
      <c r="G8131" t="s">
        <v>75</v>
      </c>
      <c r="H8131">
        <v>18218.099999999999</v>
      </c>
      <c r="I8131" t="s">
        <v>76</v>
      </c>
      <c r="J8131" t="s">
        <v>77</v>
      </c>
    </row>
    <row r="8132" spans="1:11" x14ac:dyDescent="0.3">
      <c r="A8132" t="s">
        <v>72</v>
      </c>
      <c r="B8132">
        <v>1</v>
      </c>
      <c r="C8132" t="s">
        <v>80</v>
      </c>
      <c r="D8132">
        <v>1.8220500000000001E-2</v>
      </c>
      <c r="E8132" t="s">
        <v>74</v>
      </c>
      <c r="F8132">
        <v>18.220500000000001</v>
      </c>
      <c r="G8132" t="s">
        <v>75</v>
      </c>
      <c r="H8132">
        <v>18220.499</v>
      </c>
      <c r="I8132" t="s">
        <v>76</v>
      </c>
      <c r="J8132" t="s">
        <v>77</v>
      </c>
    </row>
    <row r="8133" spans="1:11" x14ac:dyDescent="0.3">
      <c r="A8133" t="s">
        <v>72</v>
      </c>
      <c r="B8133">
        <v>1</v>
      </c>
      <c r="C8133" t="s">
        <v>81</v>
      </c>
      <c r="D8133">
        <v>0.15956308999999999</v>
      </c>
      <c r="E8133" t="s">
        <v>74</v>
      </c>
      <c r="F8133">
        <v>159.56308999999999</v>
      </c>
      <c r="G8133" t="s">
        <v>75</v>
      </c>
      <c r="H8133">
        <v>159563.09400000001</v>
      </c>
      <c r="I8133" t="s">
        <v>76</v>
      </c>
      <c r="J8133" t="s">
        <v>82</v>
      </c>
      <c r="K8133">
        <v>6.2671134000000004</v>
      </c>
    </row>
    <row r="8134" spans="1:11" x14ac:dyDescent="0.3">
      <c r="A8134" t="s">
        <v>83</v>
      </c>
      <c r="B8134">
        <v>1000</v>
      </c>
      <c r="C8134" t="s">
        <v>79</v>
      </c>
      <c r="D8134">
        <v>3.9615000000000001E-4</v>
      </c>
      <c r="E8134" t="s">
        <v>74</v>
      </c>
      <c r="F8134">
        <v>0.39615</v>
      </c>
      <c r="G8134" t="s">
        <v>75</v>
      </c>
      <c r="H8134">
        <v>396.14699999999999</v>
      </c>
      <c r="I8134" t="s">
        <v>76</v>
      </c>
      <c r="J8134" t="s">
        <v>77</v>
      </c>
    </row>
    <row r="8135" spans="1:11" x14ac:dyDescent="0.3">
      <c r="A8135" t="s">
        <v>83</v>
      </c>
      <c r="B8135">
        <v>1000</v>
      </c>
      <c r="C8135" t="s">
        <v>94</v>
      </c>
      <c r="D8135">
        <v>1.8455500000000001E-3</v>
      </c>
      <c r="E8135" t="s">
        <v>74</v>
      </c>
      <c r="F8135">
        <v>1.84555</v>
      </c>
      <c r="G8135" t="s">
        <v>75</v>
      </c>
      <c r="H8135">
        <v>1845.547</v>
      </c>
      <c r="I8135" t="s">
        <v>76</v>
      </c>
      <c r="J8135" t="s">
        <v>77</v>
      </c>
    </row>
    <row r="8136" spans="1:11" x14ac:dyDescent="0.3">
      <c r="A8136" t="s">
        <v>83</v>
      </c>
      <c r="B8136">
        <v>1000</v>
      </c>
      <c r="C8136" t="s">
        <v>80</v>
      </c>
      <c r="D8136">
        <v>1.84574E-3</v>
      </c>
      <c r="E8136" t="s">
        <v>74</v>
      </c>
      <c r="F8136">
        <v>1.8457399999999999</v>
      </c>
      <c r="G8136" t="s">
        <v>75</v>
      </c>
      <c r="H8136">
        <v>1845.742</v>
      </c>
      <c r="I8136" t="s">
        <v>76</v>
      </c>
      <c r="J8136" t="s">
        <v>77</v>
      </c>
    </row>
    <row r="8137" spans="1:11" x14ac:dyDescent="0.3">
      <c r="A8137" t="s">
        <v>83</v>
      </c>
      <c r="B8137">
        <v>1000</v>
      </c>
      <c r="C8137" t="s">
        <v>81</v>
      </c>
      <c r="D8137">
        <v>2.2423500000000002E-3</v>
      </c>
      <c r="E8137" t="s">
        <v>74</v>
      </c>
      <c r="F8137">
        <v>2.2423500000000001</v>
      </c>
      <c r="G8137" t="s">
        <v>75</v>
      </c>
      <c r="H8137">
        <v>2242.3530000000001</v>
      </c>
      <c r="I8137" t="s">
        <v>76</v>
      </c>
      <c r="J8137" t="s">
        <v>82</v>
      </c>
      <c r="K8137">
        <v>445.96016909999997</v>
      </c>
    </row>
    <row r="8138" spans="1:11" x14ac:dyDescent="0.3">
      <c r="A8138" t="s">
        <v>84</v>
      </c>
      <c r="B8138">
        <v>1001</v>
      </c>
      <c r="C8138" t="s">
        <v>79</v>
      </c>
      <c r="D8138">
        <v>5.3695000000000001E-4</v>
      </c>
      <c r="E8138" t="s">
        <v>74</v>
      </c>
      <c r="F8138">
        <v>0.53695000000000004</v>
      </c>
      <c r="G8138" t="s">
        <v>75</v>
      </c>
      <c r="H8138">
        <v>536.95100000000002</v>
      </c>
      <c r="I8138" t="s">
        <v>76</v>
      </c>
      <c r="J8138" t="s">
        <v>77</v>
      </c>
    </row>
    <row r="8139" spans="1:11" x14ac:dyDescent="0.3">
      <c r="A8139" t="s">
        <v>84</v>
      </c>
      <c r="B8139">
        <v>1001</v>
      </c>
      <c r="C8139" t="s">
        <v>94</v>
      </c>
      <c r="D8139">
        <v>1.8619000000000001E-3</v>
      </c>
      <c r="E8139" t="s">
        <v>74</v>
      </c>
      <c r="F8139">
        <v>1.8619000000000001</v>
      </c>
      <c r="G8139" t="s">
        <v>75</v>
      </c>
      <c r="H8139">
        <v>1861.904</v>
      </c>
      <c r="I8139" t="s">
        <v>76</v>
      </c>
      <c r="J8139" t="s">
        <v>77</v>
      </c>
    </row>
    <row r="8140" spans="1:11" x14ac:dyDescent="0.3">
      <c r="A8140" t="s">
        <v>84</v>
      </c>
      <c r="B8140">
        <v>1001</v>
      </c>
      <c r="C8140" t="s">
        <v>80</v>
      </c>
      <c r="D8140">
        <v>1.8621E-3</v>
      </c>
      <c r="E8140" t="s">
        <v>74</v>
      </c>
      <c r="F8140">
        <v>1.8621000000000001</v>
      </c>
      <c r="G8140" t="s">
        <v>75</v>
      </c>
      <c r="H8140">
        <v>1862.1</v>
      </c>
      <c r="I8140" t="s">
        <v>76</v>
      </c>
      <c r="J8140" t="s">
        <v>77</v>
      </c>
    </row>
    <row r="8141" spans="1:11" x14ac:dyDescent="0.3">
      <c r="A8141" t="s">
        <v>84</v>
      </c>
      <c r="B8141">
        <v>1001</v>
      </c>
      <c r="C8141" t="s">
        <v>81</v>
      </c>
      <c r="D8141">
        <v>2.39952E-3</v>
      </c>
      <c r="E8141" t="s">
        <v>74</v>
      </c>
      <c r="F8141">
        <v>2.3995199999999999</v>
      </c>
      <c r="G8141" t="s">
        <v>75</v>
      </c>
      <c r="H8141">
        <v>2399.5160000000001</v>
      </c>
      <c r="I8141" t="s">
        <v>76</v>
      </c>
      <c r="J8141" t="s">
        <v>82</v>
      </c>
      <c r="K8141">
        <v>416.75078819999999</v>
      </c>
    </row>
    <row r="8142" spans="1:11" x14ac:dyDescent="0.3">
      <c r="A8142" t="s">
        <v>85</v>
      </c>
      <c r="B8142">
        <v>1001</v>
      </c>
      <c r="C8142" t="s">
        <v>86</v>
      </c>
      <c r="D8142">
        <v>2.39968E-3</v>
      </c>
      <c r="E8142" t="s">
        <v>74</v>
      </c>
      <c r="F8142">
        <v>2.39968</v>
      </c>
      <c r="G8142" t="s">
        <v>75</v>
      </c>
      <c r="H8142">
        <v>2399.6790000000001</v>
      </c>
      <c r="I8142" t="s">
        <v>76</v>
      </c>
      <c r="J8142" t="s">
        <v>82</v>
      </c>
      <c r="K8142">
        <v>416.72245340000001</v>
      </c>
    </row>
    <row r="8143" spans="1:11" x14ac:dyDescent="0.3">
      <c r="A8143" t="s">
        <v>201</v>
      </c>
    </row>
    <row r="8144" spans="1:11" x14ac:dyDescent="0.3">
      <c r="A8144" t="s">
        <v>440</v>
      </c>
    </row>
    <row r="8145" spans="1:11" x14ac:dyDescent="0.3">
      <c r="A8145" t="s">
        <v>72</v>
      </c>
      <c r="B8145">
        <v>1</v>
      </c>
      <c r="C8145" t="s">
        <v>73</v>
      </c>
      <c r="D8145">
        <v>1.7799999999999999E-5</v>
      </c>
      <c r="E8145" t="s">
        <v>74</v>
      </c>
      <c r="F8145">
        <v>1.78E-2</v>
      </c>
      <c r="G8145" t="s">
        <v>75</v>
      </c>
      <c r="H8145">
        <v>17.8</v>
      </c>
      <c r="I8145" t="s">
        <v>76</v>
      </c>
      <c r="J8145" t="s">
        <v>77</v>
      </c>
    </row>
    <row r="8146" spans="1:11" x14ac:dyDescent="0.3">
      <c r="A8146" t="s">
        <v>72</v>
      </c>
      <c r="B8146">
        <v>1</v>
      </c>
      <c r="C8146" t="s">
        <v>78</v>
      </c>
      <c r="D8146">
        <v>9.1056000000000002E-3</v>
      </c>
      <c r="E8146" t="s">
        <v>74</v>
      </c>
      <c r="F8146">
        <v>9.1056000000000008</v>
      </c>
      <c r="G8146" t="s">
        <v>75</v>
      </c>
      <c r="H8146">
        <v>9105.6</v>
      </c>
      <c r="I8146" t="s">
        <v>76</v>
      </c>
      <c r="J8146" t="s">
        <v>77</v>
      </c>
    </row>
    <row r="8147" spans="1:11" x14ac:dyDescent="0.3">
      <c r="A8147" t="s">
        <v>72</v>
      </c>
      <c r="B8147">
        <v>1</v>
      </c>
      <c r="C8147" t="s">
        <v>79</v>
      </c>
      <c r="D8147">
        <v>5.7589999999999996E-4</v>
      </c>
      <c r="E8147" t="s">
        <v>74</v>
      </c>
      <c r="F8147">
        <v>0.57589999999999997</v>
      </c>
      <c r="G8147" t="s">
        <v>75</v>
      </c>
      <c r="H8147">
        <v>575.9</v>
      </c>
      <c r="I8147" t="s">
        <v>76</v>
      </c>
      <c r="J8147" t="s">
        <v>77</v>
      </c>
    </row>
    <row r="8148" spans="1:11" x14ac:dyDescent="0.3">
      <c r="A8148" t="s">
        <v>72</v>
      </c>
      <c r="B8148">
        <v>1</v>
      </c>
      <c r="C8148" t="s">
        <v>94</v>
      </c>
      <c r="D8148">
        <v>0.1215393</v>
      </c>
      <c r="E8148" t="s">
        <v>74</v>
      </c>
      <c r="F8148">
        <v>121.5393</v>
      </c>
      <c r="G8148" t="s">
        <v>75</v>
      </c>
      <c r="H8148">
        <v>121539.302</v>
      </c>
      <c r="I8148" t="s">
        <v>76</v>
      </c>
      <c r="J8148" t="s">
        <v>77</v>
      </c>
    </row>
    <row r="8149" spans="1:11" x14ac:dyDescent="0.3">
      <c r="A8149" t="s">
        <v>72</v>
      </c>
      <c r="B8149">
        <v>1</v>
      </c>
      <c r="C8149" t="s">
        <v>80</v>
      </c>
      <c r="D8149">
        <v>0.1215401</v>
      </c>
      <c r="E8149" t="s">
        <v>74</v>
      </c>
      <c r="F8149">
        <v>121.5401</v>
      </c>
      <c r="G8149" t="s">
        <v>75</v>
      </c>
      <c r="H8149">
        <v>121540.099</v>
      </c>
      <c r="I8149" t="s">
        <v>76</v>
      </c>
      <c r="J8149" t="s">
        <v>77</v>
      </c>
    </row>
    <row r="8150" spans="1:11" x14ac:dyDescent="0.3">
      <c r="A8150" t="s">
        <v>72</v>
      </c>
      <c r="B8150">
        <v>1</v>
      </c>
      <c r="C8150" t="s">
        <v>81</v>
      </c>
      <c r="D8150">
        <v>0.122117</v>
      </c>
      <c r="E8150" t="s">
        <v>74</v>
      </c>
      <c r="F8150">
        <v>122.117</v>
      </c>
      <c r="G8150" t="s">
        <v>75</v>
      </c>
      <c r="H8150">
        <v>122116.99800000001</v>
      </c>
      <c r="I8150" t="s">
        <v>76</v>
      </c>
      <c r="J8150" t="s">
        <v>82</v>
      </c>
      <c r="K8150">
        <v>8.1888681999999999</v>
      </c>
    </row>
    <row r="8151" spans="1:11" x14ac:dyDescent="0.3">
      <c r="A8151" t="s">
        <v>83</v>
      </c>
      <c r="B8151">
        <v>1000</v>
      </c>
      <c r="C8151" t="s">
        <v>79</v>
      </c>
      <c r="D8151">
        <v>4.0449000000000003E-4</v>
      </c>
      <c r="E8151" t="s">
        <v>74</v>
      </c>
      <c r="F8151">
        <v>0.40449000000000002</v>
      </c>
      <c r="G8151" t="s">
        <v>75</v>
      </c>
      <c r="H8151">
        <v>404.49200000000002</v>
      </c>
      <c r="I8151" t="s">
        <v>76</v>
      </c>
      <c r="J8151" t="s">
        <v>77</v>
      </c>
    </row>
    <row r="8152" spans="1:11" x14ac:dyDescent="0.3">
      <c r="A8152" t="s">
        <v>83</v>
      </c>
      <c r="B8152">
        <v>1000</v>
      </c>
      <c r="C8152" t="s">
        <v>94</v>
      </c>
      <c r="D8152">
        <v>2.5598299999999999E-3</v>
      </c>
      <c r="E8152" t="s">
        <v>74</v>
      </c>
      <c r="F8152">
        <v>2.5598299999999998</v>
      </c>
      <c r="G8152" t="s">
        <v>75</v>
      </c>
      <c r="H8152">
        <v>2559.8330000000001</v>
      </c>
      <c r="I8152" t="s">
        <v>76</v>
      </c>
      <c r="J8152" t="s">
        <v>77</v>
      </c>
    </row>
    <row r="8153" spans="1:11" x14ac:dyDescent="0.3">
      <c r="A8153" t="s">
        <v>83</v>
      </c>
      <c r="B8153">
        <v>1000</v>
      </c>
      <c r="C8153" t="s">
        <v>80</v>
      </c>
      <c r="D8153">
        <v>2.6819499999999998E-3</v>
      </c>
      <c r="E8153" t="s">
        <v>74</v>
      </c>
      <c r="F8153">
        <v>2.6819500000000001</v>
      </c>
      <c r="G8153" t="s">
        <v>75</v>
      </c>
      <c r="H8153">
        <v>2681.9459999999999</v>
      </c>
      <c r="I8153" t="s">
        <v>76</v>
      </c>
      <c r="J8153" t="s">
        <v>77</v>
      </c>
    </row>
    <row r="8154" spans="1:11" x14ac:dyDescent="0.3">
      <c r="A8154" t="s">
        <v>83</v>
      </c>
      <c r="B8154">
        <v>1000</v>
      </c>
      <c r="C8154" t="s">
        <v>81</v>
      </c>
      <c r="D8154">
        <v>3.0872899999999999E-3</v>
      </c>
      <c r="E8154" t="s">
        <v>74</v>
      </c>
      <c r="F8154">
        <v>3.0872899999999999</v>
      </c>
      <c r="G8154" t="s">
        <v>75</v>
      </c>
      <c r="H8154">
        <v>3087.29</v>
      </c>
      <c r="I8154" t="s">
        <v>76</v>
      </c>
      <c r="J8154" t="s">
        <v>82</v>
      </c>
      <c r="K8154">
        <v>323.90866560000001</v>
      </c>
    </row>
    <row r="8155" spans="1:11" x14ac:dyDescent="0.3">
      <c r="A8155" t="s">
        <v>84</v>
      </c>
      <c r="B8155">
        <v>1001</v>
      </c>
      <c r="C8155" t="s">
        <v>79</v>
      </c>
      <c r="D8155">
        <v>4.0465999999999999E-4</v>
      </c>
      <c r="E8155" t="s">
        <v>74</v>
      </c>
      <c r="F8155">
        <v>0.40466000000000002</v>
      </c>
      <c r="G8155" t="s">
        <v>75</v>
      </c>
      <c r="H8155">
        <v>404.66399999999999</v>
      </c>
      <c r="I8155" t="s">
        <v>76</v>
      </c>
      <c r="J8155" t="s">
        <v>77</v>
      </c>
    </row>
    <row r="8156" spans="1:11" x14ac:dyDescent="0.3">
      <c r="A8156" t="s">
        <v>84</v>
      </c>
      <c r="B8156">
        <v>1001</v>
      </c>
      <c r="C8156" t="s">
        <v>94</v>
      </c>
      <c r="D8156">
        <v>2.6786900000000001E-3</v>
      </c>
      <c r="E8156" t="s">
        <v>74</v>
      </c>
      <c r="F8156">
        <v>2.67869</v>
      </c>
      <c r="G8156" t="s">
        <v>75</v>
      </c>
      <c r="H8156">
        <v>2678.694</v>
      </c>
      <c r="I8156" t="s">
        <v>76</v>
      </c>
      <c r="J8156" t="s">
        <v>77</v>
      </c>
    </row>
    <row r="8157" spans="1:11" x14ac:dyDescent="0.3">
      <c r="A8157" t="s">
        <v>84</v>
      </c>
      <c r="B8157">
        <v>1001</v>
      </c>
      <c r="C8157" t="s">
        <v>80</v>
      </c>
      <c r="D8157">
        <v>2.8006900000000002E-3</v>
      </c>
      <c r="E8157" t="s">
        <v>74</v>
      </c>
      <c r="F8157">
        <v>2.8006899999999999</v>
      </c>
      <c r="G8157" t="s">
        <v>75</v>
      </c>
      <c r="H8157">
        <v>2800.6860000000001</v>
      </c>
      <c r="I8157" t="s">
        <v>76</v>
      </c>
      <c r="J8157" t="s">
        <v>77</v>
      </c>
    </row>
    <row r="8158" spans="1:11" x14ac:dyDescent="0.3">
      <c r="A8158" t="s">
        <v>84</v>
      </c>
      <c r="B8158">
        <v>1001</v>
      </c>
      <c r="C8158" t="s">
        <v>81</v>
      </c>
      <c r="D8158">
        <v>3.2062000000000002E-3</v>
      </c>
      <c r="E8158" t="s">
        <v>74</v>
      </c>
      <c r="F8158">
        <v>3.2061999999999999</v>
      </c>
      <c r="G8158" t="s">
        <v>75</v>
      </c>
      <c r="H8158">
        <v>3206.201</v>
      </c>
      <c r="I8158" t="s">
        <v>76</v>
      </c>
      <c r="J8158" t="s">
        <v>82</v>
      </c>
      <c r="K8158">
        <v>311.89559229999998</v>
      </c>
    </row>
    <row r="8159" spans="1:11" x14ac:dyDescent="0.3">
      <c r="A8159" t="s">
        <v>85</v>
      </c>
      <c r="B8159">
        <v>1001</v>
      </c>
      <c r="C8159" t="s">
        <v>86</v>
      </c>
      <c r="D8159">
        <v>3.2063999999999999E-3</v>
      </c>
      <c r="E8159" t="s">
        <v>74</v>
      </c>
      <c r="F8159">
        <v>3.2063999999999999</v>
      </c>
      <c r="G8159" t="s">
        <v>75</v>
      </c>
      <c r="H8159">
        <v>3206.3980000000001</v>
      </c>
      <c r="I8159" t="s">
        <v>76</v>
      </c>
      <c r="J8159" t="s">
        <v>82</v>
      </c>
      <c r="K8159">
        <v>311.87647829999997</v>
      </c>
    </row>
    <row r="8160" spans="1:11" x14ac:dyDescent="0.3">
      <c r="A8160" t="s">
        <v>115</v>
      </c>
    </row>
    <row r="8161" spans="1:11" x14ac:dyDescent="0.3">
      <c r="A8161" t="s">
        <v>127</v>
      </c>
    </row>
    <row r="8162" spans="1:11" x14ac:dyDescent="0.3">
      <c r="A8162" t="s">
        <v>87</v>
      </c>
    </row>
    <row r="8163" spans="1:11" x14ac:dyDescent="0.3">
      <c r="A8163" t="s">
        <v>441</v>
      </c>
    </row>
    <row r="8164" spans="1:11" x14ac:dyDescent="0.3">
      <c r="A8164" t="s">
        <v>72</v>
      </c>
      <c r="B8164">
        <v>1</v>
      </c>
      <c r="C8164" t="s">
        <v>81</v>
      </c>
      <c r="D8164">
        <v>0.15956308999999999</v>
      </c>
      <c r="E8164" t="s">
        <v>74</v>
      </c>
      <c r="F8164">
        <v>159.56308999999999</v>
      </c>
      <c r="G8164" t="s">
        <v>75</v>
      </c>
      <c r="H8164">
        <v>159563.09400000001</v>
      </c>
      <c r="I8164" t="s">
        <v>76</v>
      </c>
      <c r="J8164" t="s">
        <v>82</v>
      </c>
      <c r="K8164">
        <v>6.2671134000000004</v>
      </c>
    </row>
    <row r="8165" spans="1:11" x14ac:dyDescent="0.3">
      <c r="A8165" t="s">
        <v>83</v>
      </c>
      <c r="B8165">
        <v>1000</v>
      </c>
      <c r="C8165" t="s">
        <v>81</v>
      </c>
      <c r="D8165">
        <v>2.2423500000000002E-3</v>
      </c>
      <c r="E8165" t="s">
        <v>74</v>
      </c>
      <c r="F8165">
        <v>2.2423500000000001</v>
      </c>
      <c r="G8165" t="s">
        <v>75</v>
      </c>
      <c r="H8165">
        <v>2242.3530000000001</v>
      </c>
      <c r="I8165" t="s">
        <v>76</v>
      </c>
      <c r="J8165" t="s">
        <v>82</v>
      </c>
      <c r="K8165">
        <v>445.96016909999997</v>
      </c>
    </row>
    <row r="8166" spans="1:11" x14ac:dyDescent="0.3">
      <c r="A8166" t="s">
        <v>85</v>
      </c>
      <c r="B8166">
        <v>1001</v>
      </c>
      <c r="C8166" t="s">
        <v>86</v>
      </c>
      <c r="D8166">
        <v>2.39968E-3</v>
      </c>
      <c r="E8166" t="s">
        <v>74</v>
      </c>
      <c r="F8166">
        <v>2.39968</v>
      </c>
      <c r="G8166" t="s">
        <v>75</v>
      </c>
      <c r="H8166">
        <v>2399.6790000000001</v>
      </c>
      <c r="I8166" t="s">
        <v>76</v>
      </c>
      <c r="J8166" t="s">
        <v>82</v>
      </c>
      <c r="K8166">
        <v>416.72245340000001</v>
      </c>
    </row>
    <row r="8168" spans="1:11" x14ac:dyDescent="0.3">
      <c r="A8168" t="s">
        <v>442</v>
      </c>
    </row>
    <row r="8169" spans="1:11" x14ac:dyDescent="0.3">
      <c r="A8169" t="s">
        <v>72</v>
      </c>
      <c r="B8169">
        <v>1</v>
      </c>
      <c r="C8169" t="s">
        <v>81</v>
      </c>
      <c r="D8169">
        <v>0.122117</v>
      </c>
      <c r="E8169" t="s">
        <v>74</v>
      </c>
      <c r="F8169">
        <v>122.117</v>
      </c>
      <c r="G8169" t="s">
        <v>75</v>
      </c>
      <c r="H8169">
        <v>122116.99800000001</v>
      </c>
      <c r="I8169" t="s">
        <v>76</v>
      </c>
      <c r="J8169" t="s">
        <v>82</v>
      </c>
      <c r="K8169">
        <v>8.1888681999999999</v>
      </c>
    </row>
    <row r="8170" spans="1:11" x14ac:dyDescent="0.3">
      <c r="A8170" t="s">
        <v>83</v>
      </c>
      <c r="B8170">
        <v>1000</v>
      </c>
      <c r="C8170" t="s">
        <v>81</v>
      </c>
      <c r="D8170">
        <v>3.0872899999999999E-3</v>
      </c>
      <c r="E8170" t="s">
        <v>74</v>
      </c>
      <c r="F8170">
        <v>3.0872899999999999</v>
      </c>
      <c r="G8170" t="s">
        <v>75</v>
      </c>
      <c r="H8170">
        <v>3087.29</v>
      </c>
      <c r="I8170" t="s">
        <v>76</v>
      </c>
      <c r="J8170" t="s">
        <v>82</v>
      </c>
      <c r="K8170">
        <v>323.90866560000001</v>
      </c>
    </row>
    <row r="8171" spans="1:11" x14ac:dyDescent="0.3">
      <c r="A8171" t="s">
        <v>85</v>
      </c>
      <c r="B8171">
        <v>1001</v>
      </c>
      <c r="C8171" t="s">
        <v>86</v>
      </c>
      <c r="D8171">
        <v>3.2063999999999999E-3</v>
      </c>
      <c r="E8171" t="s">
        <v>74</v>
      </c>
      <c r="F8171">
        <v>3.2063999999999999</v>
      </c>
      <c r="G8171" t="s">
        <v>75</v>
      </c>
      <c r="H8171">
        <v>3206.3980000000001</v>
      </c>
      <c r="I8171" t="s">
        <v>76</v>
      </c>
      <c r="J8171" t="s">
        <v>82</v>
      </c>
      <c r="K8171">
        <v>311.87647829999997</v>
      </c>
    </row>
    <row r="8173" spans="1:11" x14ac:dyDescent="0.3">
      <c r="A8173" t="s">
        <v>66</v>
      </c>
    </row>
    <row r="8175" spans="1:11" x14ac:dyDescent="0.3">
      <c r="A8175" t="s">
        <v>443</v>
      </c>
    </row>
    <row r="8176" spans="1:11" x14ac:dyDescent="0.3">
      <c r="A8176" t="s">
        <v>68</v>
      </c>
    </row>
    <row r="8177" spans="1:1" x14ac:dyDescent="0.3">
      <c r="A8177" t="s">
        <v>69</v>
      </c>
    </row>
    <row r="8178" spans="1:1" x14ac:dyDescent="0.3">
      <c r="A8178" t="s">
        <v>70</v>
      </c>
    </row>
    <row r="8179" spans="1:1" x14ac:dyDescent="0.3">
      <c r="A8179" t="s">
        <v>115</v>
      </c>
    </row>
    <row r="8180" spans="1:1" x14ac:dyDescent="0.3">
      <c r="A8180" t="s">
        <v>384</v>
      </c>
    </row>
    <row r="8181" spans="1:1" x14ac:dyDescent="0.3">
      <c r="A8181" t="s">
        <v>385</v>
      </c>
    </row>
    <row r="8182" spans="1:1" x14ac:dyDescent="0.3">
      <c r="A8182" t="s">
        <v>118</v>
      </c>
    </row>
    <row r="8183" spans="1:1" x14ac:dyDescent="0.3">
      <c r="A8183" t="s">
        <v>119</v>
      </c>
    </row>
    <row r="8184" spans="1:1" x14ac:dyDescent="0.3">
      <c r="A8184" t="s">
        <v>268</v>
      </c>
    </row>
    <row r="8185" spans="1:1" x14ac:dyDescent="0.3">
      <c r="A8185" t="s">
        <v>269</v>
      </c>
    </row>
    <row r="8186" spans="1:1" x14ac:dyDescent="0.3">
      <c r="A8186" t="s">
        <v>386</v>
      </c>
    </row>
    <row r="8187" spans="1:1" x14ac:dyDescent="0.3">
      <c r="A8187" t="s">
        <v>387</v>
      </c>
    </row>
    <row r="8188" spans="1:1" x14ac:dyDescent="0.3">
      <c r="A8188" t="s">
        <v>271</v>
      </c>
    </row>
    <row r="8189" spans="1:1" x14ac:dyDescent="0.3">
      <c r="A8189" t="s">
        <v>125</v>
      </c>
    </row>
    <row r="8190" spans="1:1" x14ac:dyDescent="0.3">
      <c r="A8190" t="s">
        <v>126</v>
      </c>
    </row>
    <row r="8191" spans="1:1" x14ac:dyDescent="0.3">
      <c r="A8191" t="s">
        <v>127</v>
      </c>
    </row>
    <row r="8192" spans="1:1" x14ac:dyDescent="0.3">
      <c r="A8192" t="s">
        <v>206</v>
      </c>
    </row>
    <row r="8193" spans="1:11" x14ac:dyDescent="0.3">
      <c r="A8193" t="s">
        <v>444</v>
      </c>
    </row>
    <row r="8194" spans="1:11" x14ac:dyDescent="0.3">
      <c r="A8194" t="s">
        <v>72</v>
      </c>
      <c r="B8194">
        <v>1</v>
      </c>
      <c r="C8194" t="s">
        <v>73</v>
      </c>
      <c r="D8194">
        <v>4.1999999999999996E-6</v>
      </c>
      <c r="E8194" t="s">
        <v>74</v>
      </c>
      <c r="F8194">
        <v>4.1999999999999997E-3</v>
      </c>
      <c r="G8194" t="s">
        <v>75</v>
      </c>
      <c r="H8194">
        <v>4.2</v>
      </c>
      <c r="I8194" t="s">
        <v>76</v>
      </c>
      <c r="J8194" t="s">
        <v>77</v>
      </c>
    </row>
    <row r="8195" spans="1:11" x14ac:dyDescent="0.3">
      <c r="A8195" t="s">
        <v>72</v>
      </c>
      <c r="B8195">
        <v>1</v>
      </c>
      <c r="C8195" t="s">
        <v>78</v>
      </c>
      <c r="D8195">
        <v>0.1289237</v>
      </c>
      <c r="E8195" t="s">
        <v>74</v>
      </c>
      <c r="F8195">
        <v>128.9237</v>
      </c>
      <c r="G8195" t="s">
        <v>75</v>
      </c>
      <c r="H8195">
        <v>128923.69899999999</v>
      </c>
      <c r="I8195" t="s">
        <v>76</v>
      </c>
      <c r="J8195" t="s">
        <v>77</v>
      </c>
    </row>
    <row r="8196" spans="1:11" x14ac:dyDescent="0.3">
      <c r="A8196" t="s">
        <v>72</v>
      </c>
      <c r="B8196">
        <v>1</v>
      </c>
      <c r="C8196" t="s">
        <v>79</v>
      </c>
      <c r="D8196">
        <v>0.14345469999999999</v>
      </c>
      <c r="E8196" t="s">
        <v>74</v>
      </c>
      <c r="F8196">
        <v>143.4547</v>
      </c>
      <c r="G8196" t="s">
        <v>75</v>
      </c>
      <c r="H8196">
        <v>143454.701</v>
      </c>
      <c r="I8196" t="s">
        <v>76</v>
      </c>
      <c r="J8196" t="s">
        <v>77</v>
      </c>
    </row>
    <row r="8197" spans="1:11" x14ac:dyDescent="0.3">
      <c r="A8197" t="s">
        <v>72</v>
      </c>
      <c r="B8197">
        <v>1</v>
      </c>
      <c r="C8197" t="s">
        <v>94</v>
      </c>
      <c r="D8197">
        <v>1.7226700000000001E-2</v>
      </c>
      <c r="E8197" t="s">
        <v>74</v>
      </c>
      <c r="F8197">
        <v>17.226700000000001</v>
      </c>
      <c r="G8197" t="s">
        <v>75</v>
      </c>
      <c r="H8197">
        <v>17226.7</v>
      </c>
      <c r="I8197" t="s">
        <v>76</v>
      </c>
      <c r="J8197" t="s">
        <v>77</v>
      </c>
    </row>
    <row r="8198" spans="1:11" x14ac:dyDescent="0.3">
      <c r="A8198" t="s">
        <v>72</v>
      </c>
      <c r="B8198">
        <v>1</v>
      </c>
      <c r="C8198" t="s">
        <v>80</v>
      </c>
      <c r="D8198">
        <v>1.7227599999999999E-2</v>
      </c>
      <c r="E8198" t="s">
        <v>74</v>
      </c>
      <c r="F8198">
        <v>17.227599999999999</v>
      </c>
      <c r="G8198" t="s">
        <v>75</v>
      </c>
      <c r="H8198">
        <v>17227.598999999998</v>
      </c>
      <c r="I8198" t="s">
        <v>76</v>
      </c>
      <c r="J8198" t="s">
        <v>77</v>
      </c>
    </row>
    <row r="8199" spans="1:11" x14ac:dyDescent="0.3">
      <c r="A8199" t="s">
        <v>72</v>
      </c>
      <c r="B8199">
        <v>1</v>
      </c>
      <c r="C8199" t="s">
        <v>81</v>
      </c>
      <c r="D8199">
        <v>0.16068510999999999</v>
      </c>
      <c r="E8199" t="s">
        <v>74</v>
      </c>
      <c r="F8199">
        <v>160.68511000000001</v>
      </c>
      <c r="G8199" t="s">
        <v>75</v>
      </c>
      <c r="H8199">
        <v>160685.10699999999</v>
      </c>
      <c r="I8199" t="s">
        <v>76</v>
      </c>
      <c r="J8199" t="s">
        <v>82</v>
      </c>
      <c r="K8199">
        <v>6.2233520999999996</v>
      </c>
    </row>
    <row r="8200" spans="1:11" x14ac:dyDescent="0.3">
      <c r="A8200" t="s">
        <v>83</v>
      </c>
      <c r="B8200">
        <v>1000</v>
      </c>
      <c r="C8200" t="s">
        <v>79</v>
      </c>
      <c r="D8200">
        <v>3.9262999999999999E-4</v>
      </c>
      <c r="E8200" t="s">
        <v>74</v>
      </c>
      <c r="F8200">
        <v>0.39262999999999998</v>
      </c>
      <c r="G8200" t="s">
        <v>75</v>
      </c>
      <c r="H8200">
        <v>392.63</v>
      </c>
      <c r="I8200" t="s">
        <v>76</v>
      </c>
      <c r="J8200" t="s">
        <v>77</v>
      </c>
    </row>
    <row r="8201" spans="1:11" x14ac:dyDescent="0.3">
      <c r="A8201" t="s">
        <v>83</v>
      </c>
      <c r="B8201">
        <v>1000</v>
      </c>
      <c r="C8201" t="s">
        <v>94</v>
      </c>
      <c r="D8201">
        <v>7.1843999999999999E-4</v>
      </c>
      <c r="E8201" t="s">
        <v>74</v>
      </c>
      <c r="F8201">
        <v>0.71843999999999997</v>
      </c>
      <c r="G8201" t="s">
        <v>75</v>
      </c>
      <c r="H8201">
        <v>718.44500000000005</v>
      </c>
      <c r="I8201" t="s">
        <v>76</v>
      </c>
      <c r="J8201" t="s">
        <v>77</v>
      </c>
    </row>
    <row r="8202" spans="1:11" x14ac:dyDescent="0.3">
      <c r="A8202" t="s">
        <v>83</v>
      </c>
      <c r="B8202">
        <v>1000</v>
      </c>
      <c r="C8202" t="s">
        <v>80</v>
      </c>
      <c r="D8202">
        <v>7.1865000000000004E-4</v>
      </c>
      <c r="E8202" t="s">
        <v>74</v>
      </c>
      <c r="F8202">
        <v>0.71865000000000001</v>
      </c>
      <c r="G8202" t="s">
        <v>75</v>
      </c>
      <c r="H8202">
        <v>718.65200000000004</v>
      </c>
      <c r="I8202" t="s">
        <v>76</v>
      </c>
      <c r="J8202" t="s">
        <v>77</v>
      </c>
    </row>
    <row r="8203" spans="1:11" x14ac:dyDescent="0.3">
      <c r="A8203" t="s">
        <v>83</v>
      </c>
      <c r="B8203">
        <v>1000</v>
      </c>
      <c r="C8203" t="s">
        <v>81</v>
      </c>
      <c r="D8203">
        <v>1.11166E-3</v>
      </c>
      <c r="E8203" t="s">
        <v>74</v>
      </c>
      <c r="F8203">
        <v>1.1116600000000001</v>
      </c>
      <c r="G8203" t="s">
        <v>75</v>
      </c>
      <c r="H8203">
        <v>1111.663</v>
      </c>
      <c r="I8203" t="s">
        <v>76</v>
      </c>
      <c r="J8203" t="s">
        <v>82</v>
      </c>
      <c r="K8203">
        <v>899.55281909999997</v>
      </c>
    </row>
    <row r="8204" spans="1:11" x14ac:dyDescent="0.3">
      <c r="A8204" t="s">
        <v>84</v>
      </c>
      <c r="B8204">
        <v>1001</v>
      </c>
      <c r="C8204" t="s">
        <v>79</v>
      </c>
      <c r="D8204">
        <v>5.3554999999999998E-4</v>
      </c>
      <c r="E8204" t="s">
        <v>74</v>
      </c>
      <c r="F8204">
        <v>0.53554999999999997</v>
      </c>
      <c r="G8204" t="s">
        <v>75</v>
      </c>
      <c r="H8204">
        <v>535.54899999999998</v>
      </c>
      <c r="I8204" t="s">
        <v>76</v>
      </c>
      <c r="J8204" t="s">
        <v>77</v>
      </c>
    </row>
    <row r="8205" spans="1:11" x14ac:dyDescent="0.3">
      <c r="A8205" t="s">
        <v>84</v>
      </c>
      <c r="B8205">
        <v>1001</v>
      </c>
      <c r="C8205" t="s">
        <v>94</v>
      </c>
      <c r="D8205">
        <v>7.3494000000000001E-4</v>
      </c>
      <c r="E8205" t="s">
        <v>74</v>
      </c>
      <c r="F8205">
        <v>0.73494000000000004</v>
      </c>
      <c r="G8205" t="s">
        <v>75</v>
      </c>
      <c r="H8205">
        <v>734.93700000000001</v>
      </c>
      <c r="I8205" t="s">
        <v>76</v>
      </c>
      <c r="J8205" t="s">
        <v>77</v>
      </c>
    </row>
    <row r="8206" spans="1:11" x14ac:dyDescent="0.3">
      <c r="A8206" t="s">
        <v>84</v>
      </c>
      <c r="B8206">
        <v>1001</v>
      </c>
      <c r="C8206" t="s">
        <v>80</v>
      </c>
      <c r="D8206">
        <v>7.3514000000000001E-4</v>
      </c>
      <c r="E8206" t="s">
        <v>74</v>
      </c>
      <c r="F8206">
        <v>0.73514000000000002</v>
      </c>
      <c r="G8206" t="s">
        <v>75</v>
      </c>
      <c r="H8206">
        <v>735.14499999999998</v>
      </c>
      <c r="I8206" t="s">
        <v>76</v>
      </c>
      <c r="J8206" t="s">
        <v>77</v>
      </c>
    </row>
    <row r="8207" spans="1:11" x14ac:dyDescent="0.3">
      <c r="A8207" t="s">
        <v>84</v>
      </c>
      <c r="B8207">
        <v>1001</v>
      </c>
      <c r="C8207" t="s">
        <v>81</v>
      </c>
      <c r="D8207">
        <v>1.27108E-3</v>
      </c>
      <c r="E8207" t="s">
        <v>74</v>
      </c>
      <c r="F8207">
        <v>1.27108</v>
      </c>
      <c r="G8207" t="s">
        <v>75</v>
      </c>
      <c r="H8207">
        <v>1271.079</v>
      </c>
      <c r="I8207" t="s">
        <v>76</v>
      </c>
      <c r="J8207" t="s">
        <v>82</v>
      </c>
      <c r="K8207">
        <v>786.73346000000004</v>
      </c>
    </row>
    <row r="8208" spans="1:11" x14ac:dyDescent="0.3">
      <c r="A8208" t="s">
        <v>85</v>
      </c>
      <c r="B8208">
        <v>1001</v>
      </c>
      <c r="C8208" t="s">
        <v>86</v>
      </c>
      <c r="D8208">
        <v>1.27125E-3</v>
      </c>
      <c r="E8208" t="s">
        <v>74</v>
      </c>
      <c r="F8208">
        <v>1.27125</v>
      </c>
      <c r="G8208" t="s">
        <v>75</v>
      </c>
      <c r="H8208">
        <v>1271.2539999999999</v>
      </c>
      <c r="I8208" t="s">
        <v>76</v>
      </c>
      <c r="J8208" t="s">
        <v>82</v>
      </c>
      <c r="K8208">
        <v>786.62460420000002</v>
      </c>
    </row>
    <row r="8209" spans="1:11" x14ac:dyDescent="0.3">
      <c r="A8209" t="s">
        <v>208</v>
      </c>
    </row>
    <row r="8210" spans="1:11" x14ac:dyDescent="0.3">
      <c r="A8210" t="s">
        <v>445</v>
      </c>
    </row>
    <row r="8211" spans="1:11" x14ac:dyDescent="0.3">
      <c r="A8211" t="s">
        <v>72</v>
      </c>
      <c r="B8211">
        <v>1</v>
      </c>
      <c r="C8211" t="s">
        <v>73</v>
      </c>
      <c r="D8211">
        <v>4.1999999999999996E-6</v>
      </c>
      <c r="E8211" t="s">
        <v>74</v>
      </c>
      <c r="F8211">
        <v>4.1999999999999997E-3</v>
      </c>
      <c r="G8211" t="s">
        <v>75</v>
      </c>
      <c r="H8211">
        <v>4.2</v>
      </c>
      <c r="I8211" t="s">
        <v>76</v>
      </c>
      <c r="J8211" t="s">
        <v>77</v>
      </c>
    </row>
    <row r="8212" spans="1:11" x14ac:dyDescent="0.3">
      <c r="A8212" t="s">
        <v>72</v>
      </c>
      <c r="B8212">
        <v>1</v>
      </c>
      <c r="C8212" t="s">
        <v>78</v>
      </c>
      <c r="D8212">
        <v>8.9303999999999998E-3</v>
      </c>
      <c r="E8212" t="s">
        <v>74</v>
      </c>
      <c r="F8212">
        <v>8.9304000000000006</v>
      </c>
      <c r="G8212" t="s">
        <v>75</v>
      </c>
      <c r="H8212">
        <v>8930.4</v>
      </c>
      <c r="I8212" t="s">
        <v>76</v>
      </c>
      <c r="J8212" t="s">
        <v>77</v>
      </c>
    </row>
    <row r="8213" spans="1:11" x14ac:dyDescent="0.3">
      <c r="A8213" t="s">
        <v>72</v>
      </c>
      <c r="B8213">
        <v>1</v>
      </c>
      <c r="C8213" t="s">
        <v>79</v>
      </c>
      <c r="D8213">
        <v>5.4199999999999995E-4</v>
      </c>
      <c r="E8213" t="s">
        <v>74</v>
      </c>
      <c r="F8213">
        <v>0.54200000000000004</v>
      </c>
      <c r="G8213" t="s">
        <v>75</v>
      </c>
      <c r="H8213">
        <v>542</v>
      </c>
      <c r="I8213" t="s">
        <v>76</v>
      </c>
      <c r="J8213" t="s">
        <v>77</v>
      </c>
    </row>
    <row r="8214" spans="1:11" x14ac:dyDescent="0.3">
      <c r="A8214" t="s">
        <v>72</v>
      </c>
      <c r="B8214">
        <v>1</v>
      </c>
      <c r="C8214" t="s">
        <v>94</v>
      </c>
      <c r="D8214">
        <v>2.9569499999999999E-2</v>
      </c>
      <c r="E8214" t="s">
        <v>74</v>
      </c>
      <c r="F8214">
        <v>29.569500000000001</v>
      </c>
      <c r="G8214" t="s">
        <v>75</v>
      </c>
      <c r="H8214">
        <v>29569.499</v>
      </c>
      <c r="I8214" t="s">
        <v>76</v>
      </c>
      <c r="J8214" t="s">
        <v>77</v>
      </c>
    </row>
    <row r="8215" spans="1:11" x14ac:dyDescent="0.3">
      <c r="A8215" t="s">
        <v>72</v>
      </c>
      <c r="B8215">
        <v>1</v>
      </c>
      <c r="C8215" t="s">
        <v>80</v>
      </c>
      <c r="D8215">
        <v>2.9570099999999998E-2</v>
      </c>
      <c r="E8215" t="s">
        <v>74</v>
      </c>
      <c r="F8215">
        <v>29.5701</v>
      </c>
      <c r="G8215" t="s">
        <v>75</v>
      </c>
      <c r="H8215">
        <v>29570.100999999999</v>
      </c>
      <c r="I8215" t="s">
        <v>76</v>
      </c>
      <c r="J8215" t="s">
        <v>77</v>
      </c>
    </row>
    <row r="8216" spans="1:11" x14ac:dyDescent="0.3">
      <c r="A8216" t="s">
        <v>72</v>
      </c>
      <c r="B8216">
        <v>1</v>
      </c>
      <c r="C8216" t="s">
        <v>81</v>
      </c>
      <c r="D8216">
        <v>3.01131E-2</v>
      </c>
      <c r="E8216" t="s">
        <v>74</v>
      </c>
      <c r="F8216">
        <v>30.113099999999999</v>
      </c>
      <c r="G8216" t="s">
        <v>75</v>
      </c>
      <c r="H8216">
        <v>30113.098999999998</v>
      </c>
      <c r="I8216" t="s">
        <v>76</v>
      </c>
      <c r="J8216" t="s">
        <v>82</v>
      </c>
      <c r="K8216">
        <v>33.208139600000003</v>
      </c>
    </row>
    <row r="8217" spans="1:11" x14ac:dyDescent="0.3">
      <c r="A8217" t="s">
        <v>83</v>
      </c>
      <c r="B8217">
        <v>1000</v>
      </c>
      <c r="C8217" t="s">
        <v>79</v>
      </c>
      <c r="D8217">
        <v>4.0545000000000002E-4</v>
      </c>
      <c r="E8217" t="s">
        <v>74</v>
      </c>
      <c r="F8217">
        <v>0.40544999999999998</v>
      </c>
      <c r="G8217" t="s">
        <v>75</v>
      </c>
      <c r="H8217">
        <v>405.45</v>
      </c>
      <c r="I8217" t="s">
        <v>76</v>
      </c>
      <c r="J8217" t="s">
        <v>77</v>
      </c>
    </row>
    <row r="8218" spans="1:11" x14ac:dyDescent="0.3">
      <c r="A8218" t="s">
        <v>83</v>
      </c>
      <c r="B8218">
        <v>1000</v>
      </c>
      <c r="C8218" t="s">
        <v>94</v>
      </c>
      <c r="D8218">
        <v>1.4723099999999999E-3</v>
      </c>
      <c r="E8218" t="s">
        <v>74</v>
      </c>
      <c r="F8218">
        <v>1.47231</v>
      </c>
      <c r="G8218" t="s">
        <v>75</v>
      </c>
      <c r="H8218">
        <v>1472.3150000000001</v>
      </c>
      <c r="I8218" t="s">
        <v>76</v>
      </c>
      <c r="J8218" t="s">
        <v>77</v>
      </c>
    </row>
    <row r="8219" spans="1:11" x14ac:dyDescent="0.3">
      <c r="A8219" t="s">
        <v>83</v>
      </c>
      <c r="B8219">
        <v>1000</v>
      </c>
      <c r="C8219" t="s">
        <v>80</v>
      </c>
      <c r="D8219">
        <v>1.59761E-3</v>
      </c>
      <c r="E8219" t="s">
        <v>74</v>
      </c>
      <c r="F8219">
        <v>1.59761</v>
      </c>
      <c r="G8219" t="s">
        <v>75</v>
      </c>
      <c r="H8219">
        <v>1597.607</v>
      </c>
      <c r="I8219" t="s">
        <v>76</v>
      </c>
      <c r="J8219" t="s">
        <v>77</v>
      </c>
    </row>
    <row r="8220" spans="1:11" x14ac:dyDescent="0.3">
      <c r="A8220" t="s">
        <v>83</v>
      </c>
      <c r="B8220">
        <v>1000</v>
      </c>
      <c r="C8220" t="s">
        <v>81</v>
      </c>
      <c r="D8220">
        <v>2.0038600000000001E-3</v>
      </c>
      <c r="E8220" t="s">
        <v>74</v>
      </c>
      <c r="F8220">
        <v>2.00386</v>
      </c>
      <c r="G8220" t="s">
        <v>75</v>
      </c>
      <c r="H8220">
        <v>2003.864</v>
      </c>
      <c r="I8220" t="s">
        <v>76</v>
      </c>
      <c r="J8220" t="s">
        <v>82</v>
      </c>
      <c r="K8220">
        <v>499.03585029999999</v>
      </c>
    </row>
    <row r="8221" spans="1:11" x14ac:dyDescent="0.3">
      <c r="A8221" t="s">
        <v>84</v>
      </c>
      <c r="B8221">
        <v>1001</v>
      </c>
      <c r="C8221" t="s">
        <v>79</v>
      </c>
      <c r="D8221">
        <v>4.0559E-4</v>
      </c>
      <c r="E8221" t="s">
        <v>74</v>
      </c>
      <c r="F8221">
        <v>0.40559000000000001</v>
      </c>
      <c r="G8221" t="s">
        <v>75</v>
      </c>
      <c r="H8221">
        <v>405.58600000000001</v>
      </c>
      <c r="I8221" t="s">
        <v>76</v>
      </c>
      <c r="J8221" t="s">
        <v>77</v>
      </c>
    </row>
    <row r="8222" spans="1:11" x14ac:dyDescent="0.3">
      <c r="A8222" t="s">
        <v>84</v>
      </c>
      <c r="B8222">
        <v>1001</v>
      </c>
      <c r="C8222" t="s">
        <v>94</v>
      </c>
      <c r="D8222">
        <v>1.5003799999999999E-3</v>
      </c>
      <c r="E8222" t="s">
        <v>74</v>
      </c>
      <c r="F8222">
        <v>1.50038</v>
      </c>
      <c r="G8222" t="s">
        <v>75</v>
      </c>
      <c r="H8222">
        <v>1500.384</v>
      </c>
      <c r="I8222" t="s">
        <v>76</v>
      </c>
      <c r="J8222" t="s">
        <v>77</v>
      </c>
    </row>
    <row r="8223" spans="1:11" x14ac:dyDescent="0.3">
      <c r="A8223" t="s">
        <v>84</v>
      </c>
      <c r="B8223">
        <v>1001</v>
      </c>
      <c r="C8223" t="s">
        <v>80</v>
      </c>
      <c r="D8223">
        <v>1.6255499999999999E-3</v>
      </c>
      <c r="E8223" t="s">
        <v>74</v>
      </c>
      <c r="F8223">
        <v>1.6255500000000001</v>
      </c>
      <c r="G8223" t="s">
        <v>75</v>
      </c>
      <c r="H8223">
        <v>1625.5519999999999</v>
      </c>
      <c r="I8223" t="s">
        <v>76</v>
      </c>
      <c r="J8223" t="s">
        <v>77</v>
      </c>
    </row>
    <row r="8224" spans="1:11" x14ac:dyDescent="0.3">
      <c r="A8224" t="s">
        <v>84</v>
      </c>
      <c r="B8224">
        <v>1001</v>
      </c>
      <c r="C8224" t="s">
        <v>81</v>
      </c>
      <c r="D8224">
        <v>2.0319499999999998E-3</v>
      </c>
      <c r="E8224" t="s">
        <v>74</v>
      </c>
      <c r="F8224">
        <v>2.0319500000000001</v>
      </c>
      <c r="G8224" t="s">
        <v>75</v>
      </c>
      <c r="H8224">
        <v>2031.9459999999999</v>
      </c>
      <c r="I8224" t="s">
        <v>76</v>
      </c>
      <c r="J8224" t="s">
        <v>82</v>
      </c>
      <c r="K8224">
        <v>492.13905319999998</v>
      </c>
    </row>
    <row r="8225" spans="1:11" x14ac:dyDescent="0.3">
      <c r="A8225" t="s">
        <v>85</v>
      </c>
      <c r="B8225">
        <v>1001</v>
      </c>
      <c r="C8225" t="s">
        <v>86</v>
      </c>
      <c r="D8225">
        <v>2.0321900000000001E-3</v>
      </c>
      <c r="E8225" t="s">
        <v>74</v>
      </c>
      <c r="F8225">
        <v>2.0321899999999999</v>
      </c>
      <c r="G8225" t="s">
        <v>75</v>
      </c>
      <c r="H8225">
        <v>2032.1890000000001</v>
      </c>
      <c r="I8225" t="s">
        <v>76</v>
      </c>
      <c r="J8225" t="s">
        <v>82</v>
      </c>
      <c r="K8225">
        <v>492.08016129999999</v>
      </c>
    </row>
    <row r="8226" spans="1:11" x14ac:dyDescent="0.3">
      <c r="A8226" t="s">
        <v>115</v>
      </c>
    </row>
    <row r="8227" spans="1:11" x14ac:dyDescent="0.3">
      <c r="A8227" t="s">
        <v>127</v>
      </c>
    </row>
    <row r="8228" spans="1:11" x14ac:dyDescent="0.3">
      <c r="A8228" t="s">
        <v>87</v>
      </c>
    </row>
    <row r="8229" spans="1:11" x14ac:dyDescent="0.3">
      <c r="A8229" t="s">
        <v>446</v>
      </c>
    </row>
    <row r="8230" spans="1:11" x14ac:dyDescent="0.3">
      <c r="A8230" t="s">
        <v>72</v>
      </c>
      <c r="B8230">
        <v>1</v>
      </c>
      <c r="C8230" t="s">
        <v>81</v>
      </c>
      <c r="D8230">
        <v>0.16068510999999999</v>
      </c>
      <c r="E8230" t="s">
        <v>74</v>
      </c>
      <c r="F8230">
        <v>160.68511000000001</v>
      </c>
      <c r="G8230" t="s">
        <v>75</v>
      </c>
      <c r="H8230">
        <v>160685.10699999999</v>
      </c>
      <c r="I8230" t="s">
        <v>76</v>
      </c>
      <c r="J8230" t="s">
        <v>82</v>
      </c>
      <c r="K8230">
        <v>6.2233520999999996</v>
      </c>
    </row>
    <row r="8231" spans="1:11" x14ac:dyDescent="0.3">
      <c r="A8231" t="s">
        <v>83</v>
      </c>
      <c r="B8231">
        <v>1000</v>
      </c>
      <c r="C8231" t="s">
        <v>81</v>
      </c>
      <c r="D8231">
        <v>1.11166E-3</v>
      </c>
      <c r="E8231" t="s">
        <v>74</v>
      </c>
      <c r="F8231">
        <v>1.1116600000000001</v>
      </c>
      <c r="G8231" t="s">
        <v>75</v>
      </c>
      <c r="H8231">
        <v>1111.663</v>
      </c>
      <c r="I8231" t="s">
        <v>76</v>
      </c>
      <c r="J8231" t="s">
        <v>82</v>
      </c>
      <c r="K8231">
        <v>899.55281909999997</v>
      </c>
    </row>
    <row r="8232" spans="1:11" x14ac:dyDescent="0.3">
      <c r="A8232" t="s">
        <v>85</v>
      </c>
      <c r="B8232">
        <v>1001</v>
      </c>
      <c r="C8232" t="s">
        <v>86</v>
      </c>
      <c r="D8232">
        <v>1.27125E-3</v>
      </c>
      <c r="E8232" t="s">
        <v>74</v>
      </c>
      <c r="F8232">
        <v>1.27125</v>
      </c>
      <c r="G8232" t="s">
        <v>75</v>
      </c>
      <c r="H8232">
        <v>1271.2539999999999</v>
      </c>
      <c r="I8232" t="s">
        <v>76</v>
      </c>
      <c r="J8232" t="s">
        <v>82</v>
      </c>
      <c r="K8232">
        <v>786.62460420000002</v>
      </c>
    </row>
    <row r="8234" spans="1:11" x14ac:dyDescent="0.3">
      <c r="A8234" t="s">
        <v>447</v>
      </c>
    </row>
    <row r="8235" spans="1:11" x14ac:dyDescent="0.3">
      <c r="A8235" t="s">
        <v>72</v>
      </c>
      <c r="B8235">
        <v>1</v>
      </c>
      <c r="C8235" t="s">
        <v>81</v>
      </c>
      <c r="D8235">
        <v>3.01131E-2</v>
      </c>
      <c r="E8235" t="s">
        <v>74</v>
      </c>
      <c r="F8235">
        <v>30.113099999999999</v>
      </c>
      <c r="G8235" t="s">
        <v>75</v>
      </c>
      <c r="H8235">
        <v>30113.098999999998</v>
      </c>
      <c r="I8235" t="s">
        <v>76</v>
      </c>
      <c r="J8235" t="s">
        <v>82</v>
      </c>
      <c r="K8235">
        <v>33.208139600000003</v>
      </c>
    </row>
    <row r="8236" spans="1:11" x14ac:dyDescent="0.3">
      <c r="A8236" t="s">
        <v>83</v>
      </c>
      <c r="B8236">
        <v>1000</v>
      </c>
      <c r="C8236" t="s">
        <v>81</v>
      </c>
      <c r="D8236">
        <v>2.0038600000000001E-3</v>
      </c>
      <c r="E8236" t="s">
        <v>74</v>
      </c>
      <c r="F8236">
        <v>2.00386</v>
      </c>
      <c r="G8236" t="s">
        <v>75</v>
      </c>
      <c r="H8236">
        <v>2003.864</v>
      </c>
      <c r="I8236" t="s">
        <v>76</v>
      </c>
      <c r="J8236" t="s">
        <v>82</v>
      </c>
      <c r="K8236">
        <v>499.03585029999999</v>
      </c>
    </row>
    <row r="8237" spans="1:11" x14ac:dyDescent="0.3">
      <c r="A8237" t="s">
        <v>85</v>
      </c>
      <c r="B8237">
        <v>1001</v>
      </c>
      <c r="C8237" t="s">
        <v>86</v>
      </c>
      <c r="D8237">
        <v>2.0321900000000001E-3</v>
      </c>
      <c r="E8237" t="s">
        <v>74</v>
      </c>
      <c r="F8237">
        <v>2.0321899999999999</v>
      </c>
      <c r="G8237" t="s">
        <v>75</v>
      </c>
      <c r="H8237">
        <v>2032.1890000000001</v>
      </c>
      <c r="I8237" t="s">
        <v>76</v>
      </c>
      <c r="J8237" t="s">
        <v>82</v>
      </c>
      <c r="K8237">
        <v>492.08016129999999</v>
      </c>
    </row>
    <row r="8239" spans="1:11" x14ac:dyDescent="0.3">
      <c r="A8239" t="s">
        <v>66</v>
      </c>
    </row>
    <row r="8241" spans="1:1" x14ac:dyDescent="0.3">
      <c r="A8241" t="s">
        <v>448</v>
      </c>
    </row>
    <row r="8242" spans="1:1" x14ac:dyDescent="0.3">
      <c r="A8242" t="s">
        <v>68</v>
      </c>
    </row>
    <row r="8243" spans="1:1" x14ac:dyDescent="0.3">
      <c r="A8243" t="s">
        <v>69</v>
      </c>
    </row>
    <row r="8244" spans="1:1" x14ac:dyDescent="0.3">
      <c r="A8244" t="s">
        <v>70</v>
      </c>
    </row>
    <row r="8245" spans="1:1" x14ac:dyDescent="0.3">
      <c r="A8245" t="s">
        <v>115</v>
      </c>
    </row>
    <row r="8246" spans="1:1" x14ac:dyDescent="0.3">
      <c r="A8246" t="s">
        <v>384</v>
      </c>
    </row>
    <row r="8247" spans="1:1" x14ac:dyDescent="0.3">
      <c r="A8247" t="s">
        <v>385</v>
      </c>
    </row>
    <row r="8248" spans="1:1" x14ac:dyDescent="0.3">
      <c r="A8248" t="s">
        <v>118</v>
      </c>
    </row>
    <row r="8249" spans="1:1" x14ac:dyDescent="0.3">
      <c r="A8249" t="s">
        <v>119</v>
      </c>
    </row>
    <row r="8250" spans="1:1" x14ac:dyDescent="0.3">
      <c r="A8250" t="s">
        <v>268</v>
      </c>
    </row>
    <row r="8251" spans="1:1" x14ac:dyDescent="0.3">
      <c r="A8251" t="s">
        <v>269</v>
      </c>
    </row>
    <row r="8252" spans="1:1" x14ac:dyDescent="0.3">
      <c r="A8252" t="s">
        <v>386</v>
      </c>
    </row>
    <row r="8253" spans="1:1" x14ac:dyDescent="0.3">
      <c r="A8253" t="s">
        <v>387</v>
      </c>
    </row>
    <row r="8254" spans="1:1" x14ac:dyDescent="0.3">
      <c r="A8254" t="s">
        <v>271</v>
      </c>
    </row>
    <row r="8255" spans="1:1" x14ac:dyDescent="0.3">
      <c r="A8255" t="s">
        <v>125</v>
      </c>
    </row>
    <row r="8256" spans="1:1" x14ac:dyDescent="0.3">
      <c r="A8256" t="s">
        <v>126</v>
      </c>
    </row>
    <row r="8257" spans="1:11" x14ac:dyDescent="0.3">
      <c r="A8257" t="s">
        <v>127</v>
      </c>
    </row>
    <row r="8258" spans="1:11" x14ac:dyDescent="0.3">
      <c r="A8258" t="s">
        <v>213</v>
      </c>
    </row>
    <row r="8259" spans="1:11" x14ac:dyDescent="0.3">
      <c r="A8259" t="s">
        <v>449</v>
      </c>
    </row>
    <row r="8260" spans="1:11" x14ac:dyDescent="0.3">
      <c r="A8260" t="s">
        <v>72</v>
      </c>
      <c r="B8260">
        <v>1</v>
      </c>
      <c r="C8260" t="s">
        <v>73</v>
      </c>
      <c r="D8260">
        <v>3.7000000000000002E-6</v>
      </c>
      <c r="E8260" t="s">
        <v>74</v>
      </c>
      <c r="F8260">
        <v>3.7000000000000002E-3</v>
      </c>
      <c r="G8260" t="s">
        <v>75</v>
      </c>
      <c r="H8260">
        <v>3.7</v>
      </c>
      <c r="I8260" t="s">
        <v>76</v>
      </c>
      <c r="J8260" t="s">
        <v>77</v>
      </c>
    </row>
    <row r="8261" spans="1:11" x14ac:dyDescent="0.3">
      <c r="A8261" t="s">
        <v>72</v>
      </c>
      <c r="B8261">
        <v>1</v>
      </c>
      <c r="C8261" t="s">
        <v>78</v>
      </c>
      <c r="D8261">
        <v>0.1082934</v>
      </c>
      <c r="E8261" t="s">
        <v>74</v>
      </c>
      <c r="F8261">
        <v>108.29340000000001</v>
      </c>
      <c r="G8261" t="s">
        <v>75</v>
      </c>
      <c r="H8261">
        <v>108293.399</v>
      </c>
      <c r="I8261" t="s">
        <v>76</v>
      </c>
      <c r="J8261" t="s">
        <v>77</v>
      </c>
    </row>
    <row r="8262" spans="1:11" x14ac:dyDescent="0.3">
      <c r="A8262" t="s">
        <v>72</v>
      </c>
      <c r="B8262">
        <v>1</v>
      </c>
      <c r="C8262" t="s">
        <v>79</v>
      </c>
      <c r="D8262">
        <v>0.14407881</v>
      </c>
      <c r="E8262" t="s">
        <v>74</v>
      </c>
      <c r="F8262">
        <v>144.07881</v>
      </c>
      <c r="G8262" t="s">
        <v>75</v>
      </c>
      <c r="H8262">
        <v>144078.80600000001</v>
      </c>
      <c r="I8262" t="s">
        <v>76</v>
      </c>
      <c r="J8262" t="s">
        <v>77</v>
      </c>
    </row>
    <row r="8263" spans="1:11" x14ac:dyDescent="0.3">
      <c r="A8263" t="s">
        <v>72</v>
      </c>
      <c r="B8263">
        <v>1</v>
      </c>
      <c r="C8263" t="s">
        <v>94</v>
      </c>
      <c r="D8263">
        <v>1.6932900000000001E-2</v>
      </c>
      <c r="E8263" t="s">
        <v>74</v>
      </c>
      <c r="F8263">
        <v>16.9329</v>
      </c>
      <c r="G8263" t="s">
        <v>75</v>
      </c>
      <c r="H8263">
        <v>16932.899000000001</v>
      </c>
      <c r="I8263" t="s">
        <v>76</v>
      </c>
      <c r="J8263" t="s">
        <v>77</v>
      </c>
    </row>
    <row r="8264" spans="1:11" x14ac:dyDescent="0.3">
      <c r="A8264" t="s">
        <v>72</v>
      </c>
      <c r="B8264">
        <v>1</v>
      </c>
      <c r="C8264" t="s">
        <v>80</v>
      </c>
      <c r="D8264">
        <v>1.69336E-2</v>
      </c>
      <c r="E8264" t="s">
        <v>74</v>
      </c>
      <c r="F8264">
        <v>16.933599999999998</v>
      </c>
      <c r="G8264" t="s">
        <v>75</v>
      </c>
      <c r="H8264">
        <v>16933.598999999998</v>
      </c>
      <c r="I8264" t="s">
        <v>76</v>
      </c>
      <c r="J8264" t="s">
        <v>77</v>
      </c>
    </row>
    <row r="8265" spans="1:11" x14ac:dyDescent="0.3">
      <c r="A8265" t="s">
        <v>72</v>
      </c>
      <c r="B8265">
        <v>1</v>
      </c>
      <c r="C8265" t="s">
        <v>81</v>
      </c>
      <c r="D8265">
        <v>0.16101471000000001</v>
      </c>
      <c r="E8265" t="s">
        <v>74</v>
      </c>
      <c r="F8265">
        <v>161.01471000000001</v>
      </c>
      <c r="G8265" t="s">
        <v>75</v>
      </c>
      <c r="H8265">
        <v>161014.70600000001</v>
      </c>
      <c r="I8265" t="s">
        <v>76</v>
      </c>
      <c r="J8265" t="s">
        <v>82</v>
      </c>
      <c r="K8265">
        <v>6.2106127999999998</v>
      </c>
    </row>
    <row r="8266" spans="1:11" x14ac:dyDescent="0.3">
      <c r="A8266" t="s">
        <v>83</v>
      </c>
      <c r="B8266">
        <v>1000</v>
      </c>
      <c r="C8266" t="s">
        <v>79</v>
      </c>
      <c r="D8266">
        <v>3.9491999999999999E-4</v>
      </c>
      <c r="E8266" t="s">
        <v>74</v>
      </c>
      <c r="F8266">
        <v>0.39491999999999999</v>
      </c>
      <c r="G8266" t="s">
        <v>75</v>
      </c>
      <c r="H8266">
        <v>394.92399999999998</v>
      </c>
      <c r="I8266" t="s">
        <v>76</v>
      </c>
      <c r="J8266" t="s">
        <v>77</v>
      </c>
    </row>
    <row r="8267" spans="1:11" x14ac:dyDescent="0.3">
      <c r="A8267" t="s">
        <v>83</v>
      </c>
      <c r="B8267">
        <v>1000</v>
      </c>
      <c r="C8267" t="s">
        <v>94</v>
      </c>
      <c r="D8267">
        <v>7.2391000000000003E-4</v>
      </c>
      <c r="E8267" t="s">
        <v>74</v>
      </c>
      <c r="F8267">
        <v>0.72391000000000005</v>
      </c>
      <c r="G8267" t="s">
        <v>75</v>
      </c>
      <c r="H8267">
        <v>723.91099999999994</v>
      </c>
      <c r="I8267" t="s">
        <v>76</v>
      </c>
      <c r="J8267" t="s">
        <v>77</v>
      </c>
    </row>
    <row r="8268" spans="1:11" x14ac:dyDescent="0.3">
      <c r="A8268" t="s">
        <v>83</v>
      </c>
      <c r="B8268">
        <v>1000</v>
      </c>
      <c r="C8268" t="s">
        <v>80</v>
      </c>
      <c r="D8268">
        <v>7.2460000000000005E-4</v>
      </c>
      <c r="E8268" t="s">
        <v>74</v>
      </c>
      <c r="F8268">
        <v>0.72460000000000002</v>
      </c>
      <c r="G8268" t="s">
        <v>75</v>
      </c>
      <c r="H8268">
        <v>724.60500000000002</v>
      </c>
      <c r="I8268" t="s">
        <v>76</v>
      </c>
      <c r="J8268" t="s">
        <v>77</v>
      </c>
    </row>
    <row r="8269" spans="1:11" x14ac:dyDescent="0.3">
      <c r="A8269" t="s">
        <v>83</v>
      </c>
      <c r="B8269">
        <v>1000</v>
      </c>
      <c r="C8269" t="s">
        <v>81</v>
      </c>
      <c r="D8269">
        <v>1.12312E-3</v>
      </c>
      <c r="E8269" t="s">
        <v>74</v>
      </c>
      <c r="F8269">
        <v>1.1231199999999999</v>
      </c>
      <c r="G8269" t="s">
        <v>75</v>
      </c>
      <c r="H8269">
        <v>1123.117</v>
      </c>
      <c r="I8269" t="s">
        <v>76</v>
      </c>
      <c r="J8269" t="s">
        <v>82</v>
      </c>
      <c r="K8269">
        <v>890.3792095</v>
      </c>
    </row>
    <row r="8270" spans="1:11" x14ac:dyDescent="0.3">
      <c r="A8270" t="s">
        <v>84</v>
      </c>
      <c r="B8270">
        <v>1001</v>
      </c>
      <c r="C8270" t="s">
        <v>79</v>
      </c>
      <c r="D8270">
        <v>5.3846000000000005E-4</v>
      </c>
      <c r="E8270" t="s">
        <v>74</v>
      </c>
      <c r="F8270">
        <v>0.53846000000000005</v>
      </c>
      <c r="G8270" t="s">
        <v>75</v>
      </c>
      <c r="H8270">
        <v>538.46500000000003</v>
      </c>
      <c r="I8270" t="s">
        <v>76</v>
      </c>
      <c r="J8270" t="s">
        <v>77</v>
      </c>
    </row>
    <row r="8271" spans="1:11" x14ac:dyDescent="0.3">
      <c r="A8271" t="s">
        <v>84</v>
      </c>
      <c r="B8271">
        <v>1001</v>
      </c>
      <c r="C8271" t="s">
        <v>94</v>
      </c>
      <c r="D8271">
        <v>7.4010000000000005E-4</v>
      </c>
      <c r="E8271" t="s">
        <v>74</v>
      </c>
      <c r="F8271">
        <v>0.74009999999999998</v>
      </c>
      <c r="G8271" t="s">
        <v>75</v>
      </c>
      <c r="H8271">
        <v>740.10400000000004</v>
      </c>
      <c r="I8271" t="s">
        <v>76</v>
      </c>
      <c r="J8271" t="s">
        <v>77</v>
      </c>
    </row>
    <row r="8272" spans="1:11" x14ac:dyDescent="0.3">
      <c r="A8272" t="s">
        <v>84</v>
      </c>
      <c r="B8272">
        <v>1001</v>
      </c>
      <c r="C8272" t="s">
        <v>80</v>
      </c>
      <c r="D8272">
        <v>7.4080000000000001E-4</v>
      </c>
      <c r="E8272" t="s">
        <v>74</v>
      </c>
      <c r="F8272">
        <v>0.74080000000000001</v>
      </c>
      <c r="G8272" t="s">
        <v>75</v>
      </c>
      <c r="H8272">
        <v>740.798</v>
      </c>
      <c r="I8272" t="s">
        <v>76</v>
      </c>
      <c r="J8272" t="s">
        <v>77</v>
      </c>
    </row>
    <row r="8273" spans="1:11" x14ac:dyDescent="0.3">
      <c r="A8273" t="s">
        <v>84</v>
      </c>
      <c r="B8273">
        <v>1001</v>
      </c>
      <c r="C8273" t="s">
        <v>81</v>
      </c>
      <c r="D8273">
        <v>1.2828500000000001E-3</v>
      </c>
      <c r="E8273" t="s">
        <v>74</v>
      </c>
      <c r="F8273">
        <v>1.28285</v>
      </c>
      <c r="G8273" t="s">
        <v>75</v>
      </c>
      <c r="H8273">
        <v>1282.8489999999999</v>
      </c>
      <c r="I8273" t="s">
        <v>76</v>
      </c>
      <c r="J8273" t="s">
        <v>82</v>
      </c>
      <c r="K8273">
        <v>779.51509329999999</v>
      </c>
    </row>
    <row r="8274" spans="1:11" x14ac:dyDescent="0.3">
      <c r="A8274" t="s">
        <v>85</v>
      </c>
      <c r="B8274">
        <v>1001</v>
      </c>
      <c r="C8274" t="s">
        <v>86</v>
      </c>
      <c r="D8274">
        <v>1.28298E-3</v>
      </c>
      <c r="E8274" t="s">
        <v>74</v>
      </c>
      <c r="F8274">
        <v>1.28298</v>
      </c>
      <c r="G8274" t="s">
        <v>75</v>
      </c>
      <c r="H8274">
        <v>1282.9849999999999</v>
      </c>
      <c r="I8274" t="s">
        <v>76</v>
      </c>
      <c r="J8274" t="s">
        <v>82</v>
      </c>
      <c r="K8274">
        <v>779.43246190000002</v>
      </c>
    </row>
    <row r="8275" spans="1:11" x14ac:dyDescent="0.3">
      <c r="A8275" t="s">
        <v>215</v>
      </c>
    </row>
    <row r="8276" spans="1:11" x14ac:dyDescent="0.3">
      <c r="A8276" t="s">
        <v>450</v>
      </c>
    </row>
    <row r="8277" spans="1:11" x14ac:dyDescent="0.3">
      <c r="A8277" t="s">
        <v>72</v>
      </c>
      <c r="B8277">
        <v>1</v>
      </c>
      <c r="C8277" t="s">
        <v>73</v>
      </c>
      <c r="D8277">
        <v>3.7000000000000002E-6</v>
      </c>
      <c r="E8277" t="s">
        <v>74</v>
      </c>
      <c r="F8277">
        <v>3.7000000000000002E-3</v>
      </c>
      <c r="G8277" t="s">
        <v>75</v>
      </c>
      <c r="H8277">
        <v>3.7</v>
      </c>
      <c r="I8277" t="s">
        <v>76</v>
      </c>
      <c r="J8277" t="s">
        <v>77</v>
      </c>
    </row>
    <row r="8278" spans="1:11" x14ac:dyDescent="0.3">
      <c r="A8278" t="s">
        <v>72</v>
      </c>
      <c r="B8278">
        <v>1</v>
      </c>
      <c r="C8278" t="s">
        <v>78</v>
      </c>
      <c r="D8278">
        <v>8.6011999999999998E-3</v>
      </c>
      <c r="E8278" t="s">
        <v>74</v>
      </c>
      <c r="F8278">
        <v>8.6012000000000004</v>
      </c>
      <c r="G8278" t="s">
        <v>75</v>
      </c>
      <c r="H8278">
        <v>8601.2000000000007</v>
      </c>
      <c r="I8278" t="s">
        <v>76</v>
      </c>
      <c r="J8278" t="s">
        <v>77</v>
      </c>
    </row>
    <row r="8279" spans="1:11" x14ac:dyDescent="0.3">
      <c r="A8279" t="s">
        <v>72</v>
      </c>
      <c r="B8279">
        <v>1</v>
      </c>
      <c r="C8279" t="s">
        <v>79</v>
      </c>
      <c r="D8279">
        <v>5.4819999999999999E-4</v>
      </c>
      <c r="E8279" t="s">
        <v>74</v>
      </c>
      <c r="F8279">
        <v>0.54820000000000002</v>
      </c>
      <c r="G8279" t="s">
        <v>75</v>
      </c>
      <c r="H8279">
        <v>548.20000000000005</v>
      </c>
      <c r="I8279" t="s">
        <v>76</v>
      </c>
      <c r="J8279" t="s">
        <v>77</v>
      </c>
    </row>
    <row r="8280" spans="1:11" x14ac:dyDescent="0.3">
      <c r="A8280" t="s">
        <v>72</v>
      </c>
      <c r="B8280">
        <v>1</v>
      </c>
      <c r="C8280" t="s">
        <v>94</v>
      </c>
      <c r="D8280">
        <v>2.9786300000000002E-2</v>
      </c>
      <c r="E8280" t="s">
        <v>74</v>
      </c>
      <c r="F8280">
        <v>29.786300000000001</v>
      </c>
      <c r="G8280" t="s">
        <v>75</v>
      </c>
      <c r="H8280">
        <v>29786.3</v>
      </c>
      <c r="I8280" t="s">
        <v>76</v>
      </c>
      <c r="J8280" t="s">
        <v>77</v>
      </c>
    </row>
    <row r="8281" spans="1:11" x14ac:dyDescent="0.3">
      <c r="A8281" t="s">
        <v>72</v>
      </c>
      <c r="B8281">
        <v>1</v>
      </c>
      <c r="C8281" t="s">
        <v>80</v>
      </c>
      <c r="D8281">
        <v>2.9787000000000001E-2</v>
      </c>
      <c r="E8281" t="s">
        <v>74</v>
      </c>
      <c r="F8281">
        <v>29.786999999999999</v>
      </c>
      <c r="G8281" t="s">
        <v>75</v>
      </c>
      <c r="H8281">
        <v>29787</v>
      </c>
      <c r="I8281" t="s">
        <v>76</v>
      </c>
      <c r="J8281" t="s">
        <v>77</v>
      </c>
    </row>
    <row r="8282" spans="1:11" x14ac:dyDescent="0.3">
      <c r="A8282" t="s">
        <v>72</v>
      </c>
      <c r="B8282">
        <v>1</v>
      </c>
      <c r="C8282" t="s">
        <v>81</v>
      </c>
      <c r="D8282">
        <v>3.0336499999999999E-2</v>
      </c>
      <c r="E8282" t="s">
        <v>74</v>
      </c>
      <c r="F8282">
        <v>30.336500000000001</v>
      </c>
      <c r="G8282" t="s">
        <v>75</v>
      </c>
      <c r="H8282">
        <v>30336.499</v>
      </c>
      <c r="I8282" t="s">
        <v>76</v>
      </c>
      <c r="J8282" t="s">
        <v>82</v>
      </c>
      <c r="K8282">
        <v>32.963592599999998</v>
      </c>
    </row>
    <row r="8283" spans="1:11" x14ac:dyDescent="0.3">
      <c r="A8283" t="s">
        <v>83</v>
      </c>
      <c r="B8283">
        <v>1000</v>
      </c>
      <c r="C8283" t="s">
        <v>79</v>
      </c>
      <c r="D8283">
        <v>4.0613999999999998E-4</v>
      </c>
      <c r="E8283" t="s">
        <v>74</v>
      </c>
      <c r="F8283">
        <v>0.40614</v>
      </c>
      <c r="G8283" t="s">
        <v>75</v>
      </c>
      <c r="H8283">
        <v>406.13900000000001</v>
      </c>
      <c r="I8283" t="s">
        <v>76</v>
      </c>
      <c r="J8283" t="s">
        <v>77</v>
      </c>
    </row>
    <row r="8284" spans="1:11" x14ac:dyDescent="0.3">
      <c r="A8284" t="s">
        <v>83</v>
      </c>
      <c r="B8284">
        <v>1000</v>
      </c>
      <c r="C8284" t="s">
        <v>94</v>
      </c>
      <c r="D8284">
        <v>1.45049E-3</v>
      </c>
      <c r="E8284" t="s">
        <v>74</v>
      </c>
      <c r="F8284">
        <v>1.4504900000000001</v>
      </c>
      <c r="G8284" t="s">
        <v>75</v>
      </c>
      <c r="H8284">
        <v>1450.4939999999999</v>
      </c>
      <c r="I8284" t="s">
        <v>76</v>
      </c>
      <c r="J8284" t="s">
        <v>77</v>
      </c>
    </row>
    <row r="8285" spans="1:11" x14ac:dyDescent="0.3">
      <c r="A8285" t="s">
        <v>83</v>
      </c>
      <c r="B8285">
        <v>1000</v>
      </c>
      <c r="C8285" t="s">
        <v>80</v>
      </c>
      <c r="D8285">
        <v>1.56667E-3</v>
      </c>
      <c r="E8285" t="s">
        <v>74</v>
      </c>
      <c r="F8285">
        <v>1.56667</v>
      </c>
      <c r="G8285" t="s">
        <v>75</v>
      </c>
      <c r="H8285">
        <v>1566.674</v>
      </c>
      <c r="I8285" t="s">
        <v>76</v>
      </c>
      <c r="J8285" t="s">
        <v>77</v>
      </c>
    </row>
    <row r="8286" spans="1:11" x14ac:dyDescent="0.3">
      <c r="A8286" t="s">
        <v>83</v>
      </c>
      <c r="B8286">
        <v>1000</v>
      </c>
      <c r="C8286" t="s">
        <v>81</v>
      </c>
      <c r="D8286">
        <v>1.9736300000000001E-3</v>
      </c>
      <c r="E8286" t="s">
        <v>74</v>
      </c>
      <c r="F8286">
        <v>1.97363</v>
      </c>
      <c r="G8286" t="s">
        <v>75</v>
      </c>
      <c r="H8286">
        <v>1973.627</v>
      </c>
      <c r="I8286" t="s">
        <v>76</v>
      </c>
      <c r="J8286" t="s">
        <v>82</v>
      </c>
      <c r="K8286">
        <v>506.68145290000001</v>
      </c>
    </row>
    <row r="8287" spans="1:11" x14ac:dyDescent="0.3">
      <c r="A8287" t="s">
        <v>84</v>
      </c>
      <c r="B8287">
        <v>1001</v>
      </c>
      <c r="C8287" t="s">
        <v>79</v>
      </c>
      <c r="D8287">
        <v>4.0628000000000002E-4</v>
      </c>
      <c r="E8287" t="s">
        <v>74</v>
      </c>
      <c r="F8287">
        <v>0.40627999999999997</v>
      </c>
      <c r="G8287" t="s">
        <v>75</v>
      </c>
      <c r="H8287">
        <v>406.28100000000001</v>
      </c>
      <c r="I8287" t="s">
        <v>76</v>
      </c>
      <c r="J8287" t="s">
        <v>77</v>
      </c>
    </row>
    <row r="8288" spans="1:11" x14ac:dyDescent="0.3">
      <c r="A8288" t="s">
        <v>84</v>
      </c>
      <c r="B8288">
        <v>1001</v>
      </c>
      <c r="C8288" t="s">
        <v>94</v>
      </c>
      <c r="D8288">
        <v>1.4787999999999999E-3</v>
      </c>
      <c r="E8288" t="s">
        <v>74</v>
      </c>
      <c r="F8288">
        <v>1.4787999999999999</v>
      </c>
      <c r="G8288" t="s">
        <v>75</v>
      </c>
      <c r="H8288">
        <v>1478.8019999999999</v>
      </c>
      <c r="I8288" t="s">
        <v>76</v>
      </c>
      <c r="J8288" t="s">
        <v>77</v>
      </c>
    </row>
    <row r="8289" spans="1:11" x14ac:dyDescent="0.3">
      <c r="A8289" t="s">
        <v>84</v>
      </c>
      <c r="B8289">
        <v>1001</v>
      </c>
      <c r="C8289" t="s">
        <v>80</v>
      </c>
      <c r="D8289">
        <v>1.59487E-3</v>
      </c>
      <c r="E8289" t="s">
        <v>74</v>
      </c>
      <c r="F8289">
        <v>1.59487</v>
      </c>
      <c r="G8289" t="s">
        <v>75</v>
      </c>
      <c r="H8289">
        <v>1594.867</v>
      </c>
      <c r="I8289" t="s">
        <v>76</v>
      </c>
      <c r="J8289" t="s">
        <v>77</v>
      </c>
    </row>
    <row r="8290" spans="1:11" x14ac:dyDescent="0.3">
      <c r="A8290" t="s">
        <v>84</v>
      </c>
      <c r="B8290">
        <v>1001</v>
      </c>
      <c r="C8290" t="s">
        <v>81</v>
      </c>
      <c r="D8290">
        <v>2.0019600000000001E-3</v>
      </c>
      <c r="E8290" t="s">
        <v>74</v>
      </c>
      <c r="F8290">
        <v>2.00196</v>
      </c>
      <c r="G8290" t="s">
        <v>75</v>
      </c>
      <c r="H8290">
        <v>2001.961</v>
      </c>
      <c r="I8290" t="s">
        <v>76</v>
      </c>
      <c r="J8290" t="s">
        <v>82</v>
      </c>
      <c r="K8290">
        <v>499.51016270000002</v>
      </c>
    </row>
    <row r="8291" spans="1:11" x14ac:dyDescent="0.3">
      <c r="A8291" t="s">
        <v>85</v>
      </c>
      <c r="B8291">
        <v>1001</v>
      </c>
      <c r="C8291" t="s">
        <v>86</v>
      </c>
      <c r="D8291">
        <v>2.0022099999999999E-3</v>
      </c>
      <c r="E8291" t="s">
        <v>74</v>
      </c>
      <c r="F8291">
        <v>2.0022099999999998</v>
      </c>
      <c r="G8291" t="s">
        <v>75</v>
      </c>
      <c r="H8291">
        <v>2002.213</v>
      </c>
      <c r="I8291" t="s">
        <v>76</v>
      </c>
      <c r="J8291" t="s">
        <v>82</v>
      </c>
      <c r="K8291">
        <v>499.4474141</v>
      </c>
    </row>
    <row r="8292" spans="1:11" x14ac:dyDescent="0.3">
      <c r="A8292" t="s">
        <v>115</v>
      </c>
    </row>
    <row r="8293" spans="1:11" x14ac:dyDescent="0.3">
      <c r="A8293" t="s">
        <v>127</v>
      </c>
    </row>
    <row r="8294" spans="1:11" x14ac:dyDescent="0.3">
      <c r="A8294" t="s">
        <v>87</v>
      </c>
    </row>
    <row r="8295" spans="1:11" x14ac:dyDescent="0.3">
      <c r="A8295" t="s">
        <v>451</v>
      </c>
    </row>
    <row r="8296" spans="1:11" x14ac:dyDescent="0.3">
      <c r="A8296" t="s">
        <v>72</v>
      </c>
      <c r="B8296">
        <v>1</v>
      </c>
      <c r="C8296" t="s">
        <v>81</v>
      </c>
      <c r="D8296">
        <v>0.16101471000000001</v>
      </c>
      <c r="E8296" t="s">
        <v>74</v>
      </c>
      <c r="F8296">
        <v>161.01471000000001</v>
      </c>
      <c r="G8296" t="s">
        <v>75</v>
      </c>
      <c r="H8296">
        <v>161014.70600000001</v>
      </c>
      <c r="I8296" t="s">
        <v>76</v>
      </c>
      <c r="J8296" t="s">
        <v>82</v>
      </c>
      <c r="K8296">
        <v>6.2106127999999998</v>
      </c>
    </row>
    <row r="8297" spans="1:11" x14ac:dyDescent="0.3">
      <c r="A8297" t="s">
        <v>83</v>
      </c>
      <c r="B8297">
        <v>1000</v>
      </c>
      <c r="C8297" t="s">
        <v>81</v>
      </c>
      <c r="D8297">
        <v>1.12312E-3</v>
      </c>
      <c r="E8297" t="s">
        <v>74</v>
      </c>
      <c r="F8297">
        <v>1.1231199999999999</v>
      </c>
      <c r="G8297" t="s">
        <v>75</v>
      </c>
      <c r="H8297">
        <v>1123.117</v>
      </c>
      <c r="I8297" t="s">
        <v>76</v>
      </c>
      <c r="J8297" t="s">
        <v>82</v>
      </c>
      <c r="K8297">
        <v>890.3792095</v>
      </c>
    </row>
    <row r="8298" spans="1:11" x14ac:dyDescent="0.3">
      <c r="A8298" t="s">
        <v>85</v>
      </c>
      <c r="B8298">
        <v>1001</v>
      </c>
      <c r="C8298" t="s">
        <v>86</v>
      </c>
      <c r="D8298">
        <v>1.28298E-3</v>
      </c>
      <c r="E8298" t="s">
        <v>74</v>
      </c>
      <c r="F8298">
        <v>1.28298</v>
      </c>
      <c r="G8298" t="s">
        <v>75</v>
      </c>
      <c r="H8298">
        <v>1282.9849999999999</v>
      </c>
      <c r="I8298" t="s">
        <v>76</v>
      </c>
      <c r="J8298" t="s">
        <v>82</v>
      </c>
      <c r="K8298">
        <v>779.43246190000002</v>
      </c>
    </row>
    <row r="8300" spans="1:11" x14ac:dyDescent="0.3">
      <c r="A8300" t="s">
        <v>452</v>
      </c>
    </row>
    <row r="8301" spans="1:11" x14ac:dyDescent="0.3">
      <c r="A8301" t="s">
        <v>72</v>
      </c>
      <c r="B8301">
        <v>1</v>
      </c>
      <c r="C8301" t="s">
        <v>81</v>
      </c>
      <c r="D8301">
        <v>3.0336499999999999E-2</v>
      </c>
      <c r="E8301" t="s">
        <v>74</v>
      </c>
      <c r="F8301">
        <v>30.336500000000001</v>
      </c>
      <c r="G8301" t="s">
        <v>75</v>
      </c>
      <c r="H8301">
        <v>30336.499</v>
      </c>
      <c r="I8301" t="s">
        <v>76</v>
      </c>
      <c r="J8301" t="s">
        <v>82</v>
      </c>
      <c r="K8301">
        <v>32.963592599999998</v>
      </c>
    </row>
    <row r="8302" spans="1:11" x14ac:dyDescent="0.3">
      <c r="A8302" t="s">
        <v>83</v>
      </c>
      <c r="B8302">
        <v>1000</v>
      </c>
      <c r="C8302" t="s">
        <v>81</v>
      </c>
      <c r="D8302">
        <v>1.9736300000000001E-3</v>
      </c>
      <c r="E8302" t="s">
        <v>74</v>
      </c>
      <c r="F8302">
        <v>1.97363</v>
      </c>
      <c r="G8302" t="s">
        <v>75</v>
      </c>
      <c r="H8302">
        <v>1973.627</v>
      </c>
      <c r="I8302" t="s">
        <v>76</v>
      </c>
      <c r="J8302" t="s">
        <v>82</v>
      </c>
      <c r="K8302">
        <v>506.68145290000001</v>
      </c>
    </row>
    <row r="8303" spans="1:11" x14ac:dyDescent="0.3">
      <c r="A8303" t="s">
        <v>85</v>
      </c>
      <c r="B8303">
        <v>1001</v>
      </c>
      <c r="C8303" t="s">
        <v>86</v>
      </c>
      <c r="D8303">
        <v>2.0022099999999999E-3</v>
      </c>
      <c r="E8303" t="s">
        <v>74</v>
      </c>
      <c r="F8303">
        <v>2.0022099999999998</v>
      </c>
      <c r="G8303" t="s">
        <v>75</v>
      </c>
      <c r="H8303">
        <v>2002.213</v>
      </c>
      <c r="I8303" t="s">
        <v>76</v>
      </c>
      <c r="J8303" t="s">
        <v>82</v>
      </c>
      <c r="K8303">
        <v>499.4474141</v>
      </c>
    </row>
    <row r="8305" spans="1:11" x14ac:dyDescent="0.3">
      <c r="A8305" t="s">
        <v>64</v>
      </c>
    </row>
    <row r="8306" spans="1:11" x14ac:dyDescent="0.3">
      <c r="A8306" t="s">
        <v>453</v>
      </c>
    </row>
    <row r="8308" spans="1:11" x14ac:dyDescent="0.3">
      <c r="A8308" t="s">
        <v>454</v>
      </c>
    </row>
    <row r="8309" spans="1:11" x14ac:dyDescent="0.3">
      <c r="A8309" t="s">
        <v>68</v>
      </c>
    </row>
    <row r="8310" spans="1:11" x14ac:dyDescent="0.3">
      <c r="A8310" t="s">
        <v>69</v>
      </c>
    </row>
    <row r="8311" spans="1:11" x14ac:dyDescent="0.3">
      <c r="A8311" t="s">
        <v>70</v>
      </c>
    </row>
    <row r="8312" spans="1:11" x14ac:dyDescent="0.3">
      <c r="A8312" t="s">
        <v>71</v>
      </c>
    </row>
    <row r="8313" spans="1:11" x14ac:dyDescent="0.3">
      <c r="A8313" t="s">
        <v>72</v>
      </c>
      <c r="B8313">
        <v>1</v>
      </c>
      <c r="C8313" t="s">
        <v>73</v>
      </c>
      <c r="D8313">
        <v>5.2890000000000001E-4</v>
      </c>
      <c r="E8313" t="s">
        <v>74</v>
      </c>
      <c r="F8313">
        <v>0.52890000000000004</v>
      </c>
      <c r="G8313" t="s">
        <v>75</v>
      </c>
      <c r="H8313">
        <v>528.9</v>
      </c>
      <c r="I8313" t="s">
        <v>76</v>
      </c>
      <c r="J8313" t="s">
        <v>77</v>
      </c>
    </row>
    <row r="8314" spans="1:11" x14ac:dyDescent="0.3">
      <c r="A8314" t="s">
        <v>72</v>
      </c>
      <c r="B8314">
        <v>1</v>
      </c>
      <c r="C8314" t="s">
        <v>78</v>
      </c>
      <c r="D8314">
        <v>2.7E-6</v>
      </c>
      <c r="E8314" t="s">
        <v>74</v>
      </c>
      <c r="F8314">
        <v>2.7000000000000001E-3</v>
      </c>
      <c r="G8314" t="s">
        <v>75</v>
      </c>
      <c r="H8314">
        <v>2.7</v>
      </c>
      <c r="I8314" t="s">
        <v>76</v>
      </c>
      <c r="J8314" t="s">
        <v>77</v>
      </c>
    </row>
    <row r="8315" spans="1:11" x14ac:dyDescent="0.3">
      <c r="A8315" t="s">
        <v>72</v>
      </c>
      <c r="B8315">
        <v>1</v>
      </c>
      <c r="C8315" t="s">
        <v>79</v>
      </c>
      <c r="D8315">
        <v>6.7299999999999996E-5</v>
      </c>
      <c r="E8315" t="s">
        <v>74</v>
      </c>
      <c r="F8315">
        <v>6.7299999999999999E-2</v>
      </c>
      <c r="G8315" t="s">
        <v>75</v>
      </c>
      <c r="H8315">
        <v>67.3</v>
      </c>
      <c r="I8315" t="s">
        <v>76</v>
      </c>
      <c r="J8315" t="s">
        <v>77</v>
      </c>
    </row>
    <row r="8316" spans="1:11" x14ac:dyDescent="0.3">
      <c r="A8316" t="s">
        <v>72</v>
      </c>
      <c r="B8316">
        <v>1</v>
      </c>
      <c r="C8316" t="s">
        <v>80</v>
      </c>
      <c r="D8316">
        <v>1.06869233</v>
      </c>
      <c r="E8316" t="s">
        <v>74</v>
      </c>
      <c r="F8316">
        <v>1068.6923300000001</v>
      </c>
      <c r="G8316" t="s">
        <v>75</v>
      </c>
      <c r="H8316">
        <v>1068692.327</v>
      </c>
      <c r="I8316" t="s">
        <v>76</v>
      </c>
      <c r="J8316" t="s">
        <v>77</v>
      </c>
    </row>
    <row r="8317" spans="1:11" x14ac:dyDescent="0.3">
      <c r="A8317" t="s">
        <v>72</v>
      </c>
      <c r="B8317">
        <v>1</v>
      </c>
      <c r="C8317" t="s">
        <v>81</v>
      </c>
      <c r="D8317">
        <v>1.0687619399999999</v>
      </c>
      <c r="E8317" t="s">
        <v>74</v>
      </c>
      <c r="F8317">
        <v>1068.7619400000001</v>
      </c>
      <c r="G8317" t="s">
        <v>75</v>
      </c>
      <c r="H8317">
        <v>1068761.9450000001</v>
      </c>
      <c r="I8317" t="s">
        <v>76</v>
      </c>
      <c r="J8317" t="s">
        <v>82</v>
      </c>
      <c r="K8317">
        <v>0.93566210000000005</v>
      </c>
    </row>
    <row r="8318" spans="1:11" x14ac:dyDescent="0.3">
      <c r="A8318" t="s">
        <v>83</v>
      </c>
      <c r="B8318">
        <v>1000</v>
      </c>
      <c r="C8318" t="s">
        <v>79</v>
      </c>
      <c r="D8318">
        <v>1.8E-7</v>
      </c>
      <c r="E8318" t="s">
        <v>74</v>
      </c>
      <c r="F8318">
        <v>1.8000000000000001E-4</v>
      </c>
      <c r="G8318" t="s">
        <v>75</v>
      </c>
      <c r="H8318">
        <v>0.17899999999999999</v>
      </c>
      <c r="I8318" t="s">
        <v>76</v>
      </c>
      <c r="J8318" t="s">
        <v>77</v>
      </c>
    </row>
    <row r="8319" spans="1:11" x14ac:dyDescent="0.3">
      <c r="A8319" t="s">
        <v>83</v>
      </c>
      <c r="B8319">
        <v>1000</v>
      </c>
      <c r="C8319" t="s">
        <v>80</v>
      </c>
      <c r="D8319">
        <v>1.0668781700000001</v>
      </c>
      <c r="E8319" t="s">
        <v>74</v>
      </c>
      <c r="F8319">
        <v>1066.87817</v>
      </c>
      <c r="G8319" t="s">
        <v>75</v>
      </c>
      <c r="H8319">
        <v>1066878.1740000001</v>
      </c>
      <c r="I8319" t="s">
        <v>76</v>
      </c>
      <c r="J8319" t="s">
        <v>77</v>
      </c>
    </row>
    <row r="8320" spans="1:11" x14ac:dyDescent="0.3">
      <c r="A8320" t="s">
        <v>83</v>
      </c>
      <c r="B8320">
        <v>1000</v>
      </c>
      <c r="C8320" t="s">
        <v>81</v>
      </c>
      <c r="D8320">
        <v>1.06687939</v>
      </c>
      <c r="E8320" t="s">
        <v>74</v>
      </c>
      <c r="F8320">
        <v>1066.8793900000001</v>
      </c>
      <c r="G8320" t="s">
        <v>75</v>
      </c>
      <c r="H8320">
        <v>1066879.395</v>
      </c>
      <c r="I8320" t="s">
        <v>76</v>
      </c>
      <c r="J8320" t="s">
        <v>82</v>
      </c>
      <c r="K8320">
        <v>0.93731310000000001</v>
      </c>
    </row>
    <row r="8321" spans="1:11" x14ac:dyDescent="0.3">
      <c r="A8321" t="s">
        <v>84</v>
      </c>
      <c r="B8321">
        <v>1001</v>
      </c>
      <c r="C8321" t="s">
        <v>79</v>
      </c>
      <c r="D8321">
        <v>2.4999999999999999E-7</v>
      </c>
      <c r="E8321" t="s">
        <v>74</v>
      </c>
      <c r="F8321">
        <v>2.5000000000000001E-4</v>
      </c>
      <c r="G8321" t="s">
        <v>75</v>
      </c>
      <c r="H8321">
        <v>0.246</v>
      </c>
      <c r="I8321" t="s">
        <v>76</v>
      </c>
      <c r="J8321" t="s">
        <v>77</v>
      </c>
    </row>
    <row r="8322" spans="1:11" x14ac:dyDescent="0.3">
      <c r="A8322" t="s">
        <v>84</v>
      </c>
      <c r="B8322">
        <v>1001</v>
      </c>
      <c r="C8322" t="s">
        <v>80</v>
      </c>
      <c r="D8322">
        <v>1.0668800199999999</v>
      </c>
      <c r="E8322" t="s">
        <v>74</v>
      </c>
      <c r="F8322">
        <v>1066.8800200000001</v>
      </c>
      <c r="G8322" t="s">
        <v>75</v>
      </c>
      <c r="H8322">
        <v>1066880.0190000001</v>
      </c>
      <c r="I8322" t="s">
        <v>76</v>
      </c>
      <c r="J8322" t="s">
        <v>77</v>
      </c>
    </row>
    <row r="8323" spans="1:11" x14ac:dyDescent="0.3">
      <c r="A8323" t="s">
        <v>84</v>
      </c>
      <c r="B8323">
        <v>1001</v>
      </c>
      <c r="C8323" t="s">
        <v>81</v>
      </c>
      <c r="D8323">
        <v>1.0668812400000001</v>
      </c>
      <c r="E8323" t="s">
        <v>74</v>
      </c>
      <c r="F8323">
        <v>1066.8812399999999</v>
      </c>
      <c r="G8323" t="s">
        <v>75</v>
      </c>
      <c r="H8323">
        <v>1066881.2390000001</v>
      </c>
      <c r="I8323" t="s">
        <v>76</v>
      </c>
      <c r="J8323" t="s">
        <v>82</v>
      </c>
      <c r="K8323">
        <v>0.93731140000000002</v>
      </c>
    </row>
    <row r="8324" spans="1:11" x14ac:dyDescent="0.3">
      <c r="A8324" t="s">
        <v>85</v>
      </c>
      <c r="B8324">
        <v>1001</v>
      </c>
      <c r="C8324" t="s">
        <v>86</v>
      </c>
      <c r="D8324">
        <v>1.06688136</v>
      </c>
      <c r="E8324" t="s">
        <v>74</v>
      </c>
      <c r="F8324">
        <v>1066.8813600000001</v>
      </c>
      <c r="G8324" t="s">
        <v>75</v>
      </c>
      <c r="H8324">
        <v>1066881.361</v>
      </c>
      <c r="I8324" t="s">
        <v>76</v>
      </c>
      <c r="J8324" t="s">
        <v>82</v>
      </c>
      <c r="K8324">
        <v>0.93731129999999996</v>
      </c>
    </row>
    <row r="8325" spans="1:11" x14ac:dyDescent="0.3">
      <c r="A8325" t="s">
        <v>87</v>
      </c>
    </row>
    <row r="8326" spans="1:11" x14ac:dyDescent="0.3">
      <c r="A8326" t="s">
        <v>88</v>
      </c>
    </row>
    <row r="8327" spans="1:11" x14ac:dyDescent="0.3">
      <c r="A8327" t="s">
        <v>72</v>
      </c>
      <c r="B8327">
        <v>1</v>
      </c>
      <c r="C8327" t="s">
        <v>81</v>
      </c>
      <c r="D8327">
        <v>1.0687619399999999</v>
      </c>
      <c r="E8327" t="s">
        <v>74</v>
      </c>
      <c r="F8327">
        <v>1068.7619400000001</v>
      </c>
      <c r="G8327" t="s">
        <v>75</v>
      </c>
      <c r="H8327">
        <v>1068761.9450000001</v>
      </c>
      <c r="I8327" t="s">
        <v>76</v>
      </c>
      <c r="J8327" t="s">
        <v>82</v>
      </c>
      <c r="K8327">
        <v>0.93566210000000005</v>
      </c>
    </row>
    <row r="8328" spans="1:11" x14ac:dyDescent="0.3">
      <c r="A8328" t="s">
        <v>83</v>
      </c>
      <c r="B8328">
        <v>1000</v>
      </c>
      <c r="C8328" t="s">
        <v>81</v>
      </c>
      <c r="D8328">
        <v>1.06687939</v>
      </c>
      <c r="E8328" t="s">
        <v>74</v>
      </c>
      <c r="F8328">
        <v>1066.8793900000001</v>
      </c>
      <c r="G8328" t="s">
        <v>75</v>
      </c>
      <c r="H8328">
        <v>1066879.395</v>
      </c>
      <c r="I8328" t="s">
        <v>76</v>
      </c>
      <c r="J8328" t="s">
        <v>82</v>
      </c>
      <c r="K8328">
        <v>0.93731310000000001</v>
      </c>
    </row>
    <row r="8329" spans="1:11" x14ac:dyDescent="0.3">
      <c r="A8329" t="s">
        <v>85</v>
      </c>
      <c r="B8329">
        <v>1001</v>
      </c>
      <c r="C8329" t="s">
        <v>86</v>
      </c>
      <c r="D8329">
        <v>1.06688136</v>
      </c>
      <c r="E8329" t="s">
        <v>74</v>
      </c>
      <c r="F8329">
        <v>1066.8813600000001</v>
      </c>
      <c r="G8329" t="s">
        <v>75</v>
      </c>
      <c r="H8329">
        <v>1066881.361</v>
      </c>
      <c r="I8329" t="s">
        <v>76</v>
      </c>
      <c r="J8329" t="s">
        <v>82</v>
      </c>
      <c r="K8329">
        <v>0.93731129999999996</v>
      </c>
    </row>
    <row r="8331" spans="1:11" x14ac:dyDescent="0.3">
      <c r="A8331" t="s">
        <v>66</v>
      </c>
    </row>
    <row r="8333" spans="1:11" x14ac:dyDescent="0.3">
      <c r="A8333" t="s">
        <v>455</v>
      </c>
    </row>
    <row r="8334" spans="1:11" x14ac:dyDescent="0.3">
      <c r="A8334" t="s">
        <v>68</v>
      </c>
    </row>
    <row r="8335" spans="1:11" x14ac:dyDescent="0.3">
      <c r="A8335" t="s">
        <v>69</v>
      </c>
    </row>
    <row r="8336" spans="1:11" x14ac:dyDescent="0.3">
      <c r="A8336" t="s">
        <v>70</v>
      </c>
    </row>
    <row r="8337" spans="1:11" x14ac:dyDescent="0.3">
      <c r="A8337" t="s">
        <v>90</v>
      </c>
    </row>
    <row r="8338" spans="1:11" x14ac:dyDescent="0.3">
      <c r="A8338" t="s">
        <v>72</v>
      </c>
      <c r="B8338">
        <v>1</v>
      </c>
      <c r="C8338" t="s">
        <v>73</v>
      </c>
      <c r="D8338">
        <v>4.5000000000000001E-6</v>
      </c>
      <c r="E8338" t="s">
        <v>74</v>
      </c>
      <c r="F8338">
        <v>4.4999999999999997E-3</v>
      </c>
      <c r="G8338" t="s">
        <v>75</v>
      </c>
      <c r="H8338">
        <v>4.5</v>
      </c>
      <c r="I8338" t="s">
        <v>76</v>
      </c>
      <c r="J8338" t="s">
        <v>77</v>
      </c>
    </row>
    <row r="8339" spans="1:11" x14ac:dyDescent="0.3">
      <c r="A8339" t="s">
        <v>72</v>
      </c>
      <c r="B8339">
        <v>1</v>
      </c>
      <c r="C8339" t="s">
        <v>78</v>
      </c>
      <c r="D8339">
        <v>4.2899999999999999E-5</v>
      </c>
      <c r="E8339" t="s">
        <v>74</v>
      </c>
      <c r="F8339">
        <v>4.2900000000000001E-2</v>
      </c>
      <c r="G8339" t="s">
        <v>75</v>
      </c>
      <c r="H8339">
        <v>42.9</v>
      </c>
      <c r="I8339" t="s">
        <v>76</v>
      </c>
      <c r="J8339" t="s">
        <v>77</v>
      </c>
    </row>
    <row r="8340" spans="1:11" x14ac:dyDescent="0.3">
      <c r="A8340" t="s">
        <v>72</v>
      </c>
      <c r="B8340">
        <v>1</v>
      </c>
      <c r="C8340" t="s">
        <v>91</v>
      </c>
      <c r="D8340">
        <v>2.2420999999999999E-3</v>
      </c>
      <c r="E8340" t="s">
        <v>74</v>
      </c>
      <c r="F8340">
        <v>2.2421000000000002</v>
      </c>
      <c r="G8340" t="s">
        <v>75</v>
      </c>
      <c r="H8340">
        <v>2242.1</v>
      </c>
      <c r="I8340" t="s">
        <v>76</v>
      </c>
      <c r="J8340" t="s">
        <v>77</v>
      </c>
    </row>
    <row r="8341" spans="1:11" x14ac:dyDescent="0.3">
      <c r="A8341" t="s">
        <v>72</v>
      </c>
      <c r="B8341">
        <v>1</v>
      </c>
      <c r="C8341" t="s">
        <v>92</v>
      </c>
      <c r="D8341">
        <v>1.18899E-2</v>
      </c>
      <c r="E8341" t="s">
        <v>74</v>
      </c>
      <c r="F8341">
        <v>11.889900000000001</v>
      </c>
      <c r="G8341" t="s">
        <v>75</v>
      </c>
      <c r="H8341">
        <v>11889.9</v>
      </c>
      <c r="I8341" t="s">
        <v>76</v>
      </c>
      <c r="J8341" t="s">
        <v>77</v>
      </c>
    </row>
    <row r="8342" spans="1:11" x14ac:dyDescent="0.3">
      <c r="A8342" t="s">
        <v>72</v>
      </c>
      <c r="B8342">
        <v>1</v>
      </c>
      <c r="C8342" t="s">
        <v>93</v>
      </c>
      <c r="D8342">
        <v>1.6861000000000001E-3</v>
      </c>
      <c r="E8342" t="s">
        <v>74</v>
      </c>
      <c r="F8342">
        <v>1.6860999999999999</v>
      </c>
      <c r="G8342" t="s">
        <v>75</v>
      </c>
      <c r="H8342">
        <v>1686.1</v>
      </c>
      <c r="I8342" t="s">
        <v>76</v>
      </c>
      <c r="J8342" t="s">
        <v>77</v>
      </c>
    </row>
    <row r="8343" spans="1:11" x14ac:dyDescent="0.3">
      <c r="A8343" t="s">
        <v>72</v>
      </c>
      <c r="B8343">
        <v>1</v>
      </c>
      <c r="C8343" t="s">
        <v>79</v>
      </c>
      <c r="D8343">
        <v>1.5819699999999999E-2</v>
      </c>
      <c r="E8343" t="s">
        <v>74</v>
      </c>
      <c r="F8343">
        <v>15.819699999999999</v>
      </c>
      <c r="G8343" t="s">
        <v>75</v>
      </c>
      <c r="H8343">
        <v>15819.7</v>
      </c>
      <c r="I8343" t="s">
        <v>76</v>
      </c>
      <c r="J8343" t="s">
        <v>77</v>
      </c>
    </row>
    <row r="8344" spans="1:11" x14ac:dyDescent="0.3">
      <c r="A8344" t="s">
        <v>72</v>
      </c>
      <c r="B8344">
        <v>1</v>
      </c>
      <c r="C8344" t="s">
        <v>94</v>
      </c>
      <c r="D8344">
        <v>9.4946000000000006E-3</v>
      </c>
      <c r="E8344" t="s">
        <v>74</v>
      </c>
      <c r="F8344">
        <v>9.4946000000000002</v>
      </c>
      <c r="G8344" t="s">
        <v>75</v>
      </c>
      <c r="H8344">
        <v>9494.6</v>
      </c>
      <c r="I8344" t="s">
        <v>76</v>
      </c>
      <c r="J8344" t="s">
        <v>77</v>
      </c>
    </row>
    <row r="8345" spans="1:11" x14ac:dyDescent="0.3">
      <c r="A8345" t="s">
        <v>72</v>
      </c>
      <c r="B8345">
        <v>1</v>
      </c>
      <c r="C8345" t="s">
        <v>80</v>
      </c>
      <c r="D8345">
        <v>9.4964999999999997E-3</v>
      </c>
      <c r="E8345" t="s">
        <v>74</v>
      </c>
      <c r="F8345">
        <v>9.4964999999999993</v>
      </c>
      <c r="G8345" t="s">
        <v>75</v>
      </c>
      <c r="H8345">
        <v>9496.5</v>
      </c>
      <c r="I8345" t="s">
        <v>76</v>
      </c>
      <c r="J8345" t="s">
        <v>77</v>
      </c>
    </row>
    <row r="8346" spans="1:11" x14ac:dyDescent="0.3">
      <c r="A8346" t="s">
        <v>72</v>
      </c>
      <c r="B8346">
        <v>1</v>
      </c>
      <c r="C8346" t="s">
        <v>81</v>
      </c>
      <c r="D8346">
        <v>2.5319399999999999E-2</v>
      </c>
      <c r="E8346" t="s">
        <v>74</v>
      </c>
      <c r="F8346">
        <v>25.319400000000002</v>
      </c>
      <c r="G8346" t="s">
        <v>75</v>
      </c>
      <c r="H8346">
        <v>25319.399000000001</v>
      </c>
      <c r="I8346" t="s">
        <v>76</v>
      </c>
      <c r="J8346" t="s">
        <v>82</v>
      </c>
      <c r="K8346">
        <v>39.495407800000002</v>
      </c>
    </row>
    <row r="8347" spans="1:11" x14ac:dyDescent="0.3">
      <c r="A8347" t="s">
        <v>83</v>
      </c>
      <c r="B8347">
        <v>1000</v>
      </c>
      <c r="C8347" t="s">
        <v>79</v>
      </c>
      <c r="D8347">
        <v>1.8E-7</v>
      </c>
      <c r="E8347" t="s">
        <v>74</v>
      </c>
      <c r="F8347">
        <v>1.8000000000000001E-4</v>
      </c>
      <c r="G8347" t="s">
        <v>75</v>
      </c>
      <c r="H8347">
        <v>0.17699999999999999</v>
      </c>
      <c r="I8347" t="s">
        <v>76</v>
      </c>
      <c r="J8347" t="s">
        <v>77</v>
      </c>
    </row>
    <row r="8348" spans="1:11" x14ac:dyDescent="0.3">
      <c r="A8348" t="s">
        <v>83</v>
      </c>
      <c r="B8348">
        <v>1000</v>
      </c>
      <c r="C8348" t="s">
        <v>94</v>
      </c>
      <c r="D8348">
        <v>2.6583499999999999E-3</v>
      </c>
      <c r="E8348" t="s">
        <v>74</v>
      </c>
      <c r="F8348">
        <v>2.65835</v>
      </c>
      <c r="G8348" t="s">
        <v>75</v>
      </c>
      <c r="H8348">
        <v>2658.3539999999998</v>
      </c>
      <c r="I8348" t="s">
        <v>76</v>
      </c>
      <c r="J8348" t="s">
        <v>77</v>
      </c>
    </row>
    <row r="8349" spans="1:11" x14ac:dyDescent="0.3">
      <c r="A8349" t="s">
        <v>83</v>
      </c>
      <c r="B8349">
        <v>1000</v>
      </c>
      <c r="C8349" t="s">
        <v>80</v>
      </c>
      <c r="D8349">
        <v>2.8088399999999999E-3</v>
      </c>
      <c r="E8349" t="s">
        <v>74</v>
      </c>
      <c r="F8349">
        <v>2.80884</v>
      </c>
      <c r="G8349" t="s">
        <v>75</v>
      </c>
      <c r="H8349">
        <v>2808.84</v>
      </c>
      <c r="I8349" t="s">
        <v>76</v>
      </c>
      <c r="J8349" t="s">
        <v>77</v>
      </c>
    </row>
    <row r="8350" spans="1:11" x14ac:dyDescent="0.3">
      <c r="A8350" t="s">
        <v>83</v>
      </c>
      <c r="B8350">
        <v>1000</v>
      </c>
      <c r="C8350" t="s">
        <v>81</v>
      </c>
      <c r="D8350">
        <v>2.8098099999999998E-3</v>
      </c>
      <c r="E8350" t="s">
        <v>74</v>
      </c>
      <c r="F8350">
        <v>2.8098100000000001</v>
      </c>
      <c r="G8350" t="s">
        <v>75</v>
      </c>
      <c r="H8350">
        <v>2809.8130000000001</v>
      </c>
      <c r="I8350" t="s">
        <v>76</v>
      </c>
      <c r="J8350" t="s">
        <v>82</v>
      </c>
      <c r="K8350">
        <v>355.89559759999997</v>
      </c>
    </row>
    <row r="8351" spans="1:11" x14ac:dyDescent="0.3">
      <c r="A8351" t="s">
        <v>84</v>
      </c>
      <c r="B8351">
        <v>1</v>
      </c>
      <c r="C8351" t="s">
        <v>91</v>
      </c>
      <c r="D8351">
        <v>2.2420999999999999E-3</v>
      </c>
      <c r="E8351" t="s">
        <v>74</v>
      </c>
      <c r="F8351">
        <v>2.2421000000000002</v>
      </c>
      <c r="G8351" t="s">
        <v>75</v>
      </c>
      <c r="H8351">
        <v>2242.1</v>
      </c>
      <c r="I8351" t="s">
        <v>76</v>
      </c>
      <c r="J8351" t="s">
        <v>77</v>
      </c>
    </row>
    <row r="8352" spans="1:11" x14ac:dyDescent="0.3">
      <c r="A8352" t="s">
        <v>84</v>
      </c>
      <c r="B8352">
        <v>1</v>
      </c>
      <c r="C8352" t="s">
        <v>92</v>
      </c>
      <c r="D8352">
        <v>1.18899E-2</v>
      </c>
      <c r="E8352" t="s">
        <v>74</v>
      </c>
      <c r="F8352">
        <v>11.889900000000001</v>
      </c>
      <c r="G8352" t="s">
        <v>75</v>
      </c>
      <c r="H8352">
        <v>11889.9</v>
      </c>
      <c r="I8352" t="s">
        <v>76</v>
      </c>
      <c r="J8352" t="s">
        <v>77</v>
      </c>
    </row>
    <row r="8353" spans="1:11" x14ac:dyDescent="0.3">
      <c r="A8353" t="s">
        <v>84</v>
      </c>
      <c r="B8353">
        <v>1</v>
      </c>
      <c r="C8353" t="s">
        <v>93</v>
      </c>
      <c r="D8353">
        <v>1.6861000000000001E-3</v>
      </c>
      <c r="E8353" t="s">
        <v>74</v>
      </c>
      <c r="F8353">
        <v>1.6860999999999999</v>
      </c>
      <c r="G8353" t="s">
        <v>75</v>
      </c>
      <c r="H8353">
        <v>1686.1</v>
      </c>
      <c r="I8353" t="s">
        <v>76</v>
      </c>
      <c r="J8353" t="s">
        <v>77</v>
      </c>
    </row>
    <row r="8354" spans="1:11" x14ac:dyDescent="0.3">
      <c r="A8354" t="s">
        <v>84</v>
      </c>
      <c r="B8354">
        <v>1001</v>
      </c>
      <c r="C8354" t="s">
        <v>79</v>
      </c>
      <c r="D8354">
        <v>1.5979999999999999E-5</v>
      </c>
      <c r="E8354" t="s">
        <v>74</v>
      </c>
      <c r="F8354">
        <v>1.5980000000000001E-2</v>
      </c>
      <c r="G8354" t="s">
        <v>75</v>
      </c>
      <c r="H8354">
        <v>15.981</v>
      </c>
      <c r="I8354" t="s">
        <v>76</v>
      </c>
      <c r="J8354" t="s">
        <v>77</v>
      </c>
    </row>
    <row r="8355" spans="1:11" x14ac:dyDescent="0.3">
      <c r="A8355" t="s">
        <v>84</v>
      </c>
      <c r="B8355">
        <v>1001</v>
      </c>
      <c r="C8355" t="s">
        <v>94</v>
      </c>
      <c r="D8355">
        <v>2.6651800000000001E-3</v>
      </c>
      <c r="E8355" t="s">
        <v>74</v>
      </c>
      <c r="F8355">
        <v>2.6651799999999999</v>
      </c>
      <c r="G8355" t="s">
        <v>75</v>
      </c>
      <c r="H8355">
        <v>2665.183</v>
      </c>
      <c r="I8355" t="s">
        <v>76</v>
      </c>
      <c r="J8355" t="s">
        <v>77</v>
      </c>
    </row>
    <row r="8356" spans="1:11" x14ac:dyDescent="0.3">
      <c r="A8356" t="s">
        <v>84</v>
      </c>
      <c r="B8356">
        <v>1001</v>
      </c>
      <c r="C8356" t="s">
        <v>80</v>
      </c>
      <c r="D8356">
        <v>2.8155200000000002E-3</v>
      </c>
      <c r="E8356" t="s">
        <v>74</v>
      </c>
      <c r="F8356">
        <v>2.8155199999999998</v>
      </c>
      <c r="G8356" t="s">
        <v>75</v>
      </c>
      <c r="H8356">
        <v>2815.5210000000002</v>
      </c>
      <c r="I8356" t="s">
        <v>76</v>
      </c>
      <c r="J8356" t="s">
        <v>77</v>
      </c>
    </row>
    <row r="8357" spans="1:11" x14ac:dyDescent="0.3">
      <c r="A8357" t="s">
        <v>84</v>
      </c>
      <c r="B8357">
        <v>1001</v>
      </c>
      <c r="C8357" t="s">
        <v>81</v>
      </c>
      <c r="D8357">
        <v>2.8322999999999998E-3</v>
      </c>
      <c r="E8357" t="s">
        <v>74</v>
      </c>
      <c r="F8357">
        <v>2.8323</v>
      </c>
      <c r="G8357" t="s">
        <v>75</v>
      </c>
      <c r="H8357">
        <v>2832.3</v>
      </c>
      <c r="I8357" t="s">
        <v>76</v>
      </c>
      <c r="J8357" t="s">
        <v>82</v>
      </c>
      <c r="K8357">
        <v>353.06996529999998</v>
      </c>
    </row>
    <row r="8358" spans="1:11" x14ac:dyDescent="0.3">
      <c r="A8358" t="s">
        <v>85</v>
      </c>
      <c r="B8358">
        <v>1001</v>
      </c>
      <c r="C8358" t="s">
        <v>86</v>
      </c>
      <c r="D8358">
        <v>2.8324999999999999E-3</v>
      </c>
      <c r="E8358" t="s">
        <v>74</v>
      </c>
      <c r="F8358">
        <v>2.8325</v>
      </c>
      <c r="G8358" t="s">
        <v>75</v>
      </c>
      <c r="H8358">
        <v>2832.4989999999998</v>
      </c>
      <c r="I8358" t="s">
        <v>76</v>
      </c>
      <c r="J8358" t="s">
        <v>82</v>
      </c>
      <c r="K8358">
        <v>353.04514519999998</v>
      </c>
    </row>
    <row r="8359" spans="1:11" x14ac:dyDescent="0.3">
      <c r="A8359" t="s">
        <v>95</v>
      </c>
    </row>
    <row r="8360" spans="1:11" x14ac:dyDescent="0.3">
      <c r="A8360" t="s">
        <v>72</v>
      </c>
      <c r="B8360">
        <v>1</v>
      </c>
      <c r="C8360" t="s">
        <v>73</v>
      </c>
      <c r="D8360">
        <v>4.5000000000000001E-6</v>
      </c>
      <c r="E8360" t="s">
        <v>74</v>
      </c>
      <c r="F8360">
        <v>4.4999999999999997E-3</v>
      </c>
      <c r="G8360" t="s">
        <v>75</v>
      </c>
      <c r="H8360">
        <v>4.5</v>
      </c>
      <c r="I8360" t="s">
        <v>76</v>
      </c>
      <c r="J8360" t="s">
        <v>77</v>
      </c>
    </row>
    <row r="8361" spans="1:11" x14ac:dyDescent="0.3">
      <c r="A8361" t="s">
        <v>72</v>
      </c>
      <c r="B8361">
        <v>1</v>
      </c>
      <c r="C8361" t="s">
        <v>78</v>
      </c>
      <c r="D8361">
        <v>4.46E-5</v>
      </c>
      <c r="E8361" t="s">
        <v>74</v>
      </c>
      <c r="F8361">
        <v>4.4600000000000001E-2</v>
      </c>
      <c r="G8361" t="s">
        <v>75</v>
      </c>
      <c r="H8361">
        <v>44.6</v>
      </c>
      <c r="I8361" t="s">
        <v>76</v>
      </c>
      <c r="J8361" t="s">
        <v>77</v>
      </c>
    </row>
    <row r="8362" spans="1:11" x14ac:dyDescent="0.3">
      <c r="A8362" t="s">
        <v>72</v>
      </c>
      <c r="B8362">
        <v>1</v>
      </c>
      <c r="C8362" t="s">
        <v>91</v>
      </c>
      <c r="D8362">
        <v>2.2242E-3</v>
      </c>
      <c r="E8362" t="s">
        <v>74</v>
      </c>
      <c r="F8362">
        <v>2.2242000000000002</v>
      </c>
      <c r="G8362" t="s">
        <v>75</v>
      </c>
      <c r="H8362">
        <v>2224.1999999999998</v>
      </c>
      <c r="I8362" t="s">
        <v>76</v>
      </c>
      <c r="J8362" t="s">
        <v>77</v>
      </c>
    </row>
    <row r="8363" spans="1:11" x14ac:dyDescent="0.3">
      <c r="A8363" t="s">
        <v>72</v>
      </c>
      <c r="B8363">
        <v>1</v>
      </c>
      <c r="C8363" t="s">
        <v>92</v>
      </c>
      <c r="D8363">
        <v>1.21852E-2</v>
      </c>
      <c r="E8363" t="s">
        <v>74</v>
      </c>
      <c r="F8363">
        <v>12.1852</v>
      </c>
      <c r="G8363" t="s">
        <v>75</v>
      </c>
      <c r="H8363">
        <v>12185.2</v>
      </c>
      <c r="I8363" t="s">
        <v>76</v>
      </c>
      <c r="J8363" t="s">
        <v>77</v>
      </c>
    </row>
    <row r="8364" spans="1:11" x14ac:dyDescent="0.3">
      <c r="A8364" t="s">
        <v>72</v>
      </c>
      <c r="B8364">
        <v>1</v>
      </c>
      <c r="C8364" t="s">
        <v>93</v>
      </c>
      <c r="D8364">
        <v>1.7878E-3</v>
      </c>
      <c r="E8364" t="s">
        <v>74</v>
      </c>
      <c r="F8364">
        <v>1.7878000000000001</v>
      </c>
      <c r="G8364" t="s">
        <v>75</v>
      </c>
      <c r="H8364">
        <v>1787.8</v>
      </c>
      <c r="I8364" t="s">
        <v>76</v>
      </c>
      <c r="J8364" t="s">
        <v>77</v>
      </c>
    </row>
    <row r="8365" spans="1:11" x14ac:dyDescent="0.3">
      <c r="A8365" t="s">
        <v>72</v>
      </c>
      <c r="B8365">
        <v>1</v>
      </c>
      <c r="C8365" t="s">
        <v>79</v>
      </c>
      <c r="D8365">
        <v>1.6197599999999999E-2</v>
      </c>
      <c r="E8365" t="s">
        <v>74</v>
      </c>
      <c r="F8365">
        <v>16.197600000000001</v>
      </c>
      <c r="G8365" t="s">
        <v>75</v>
      </c>
      <c r="H8365">
        <v>16197.599</v>
      </c>
      <c r="I8365" t="s">
        <v>76</v>
      </c>
      <c r="J8365" t="s">
        <v>77</v>
      </c>
    </row>
    <row r="8366" spans="1:11" x14ac:dyDescent="0.3">
      <c r="A8366" t="s">
        <v>72</v>
      </c>
      <c r="B8366">
        <v>1</v>
      </c>
      <c r="C8366" t="s">
        <v>96</v>
      </c>
      <c r="D8366">
        <v>2.2390000000000001E-3</v>
      </c>
      <c r="E8366" t="s">
        <v>74</v>
      </c>
      <c r="F8366">
        <v>2.2389999999999999</v>
      </c>
      <c r="G8366" t="s">
        <v>75</v>
      </c>
      <c r="H8366">
        <v>2239</v>
      </c>
      <c r="I8366" t="s">
        <v>76</v>
      </c>
      <c r="J8366" t="s">
        <v>77</v>
      </c>
    </row>
    <row r="8367" spans="1:11" x14ac:dyDescent="0.3">
      <c r="A8367" t="s">
        <v>72</v>
      </c>
      <c r="B8367">
        <v>1</v>
      </c>
      <c r="C8367" t="s">
        <v>94</v>
      </c>
      <c r="D8367">
        <v>3.1102999999999999E-3</v>
      </c>
      <c r="E8367" t="s">
        <v>74</v>
      </c>
      <c r="F8367">
        <v>3.1103000000000001</v>
      </c>
      <c r="G8367" t="s">
        <v>75</v>
      </c>
      <c r="H8367">
        <v>3110.3</v>
      </c>
      <c r="I8367" t="s">
        <v>76</v>
      </c>
      <c r="J8367" t="s">
        <v>77</v>
      </c>
    </row>
    <row r="8368" spans="1:11" x14ac:dyDescent="0.3">
      <c r="A8368" t="s">
        <v>72</v>
      </c>
      <c r="B8368">
        <v>1</v>
      </c>
      <c r="C8368" t="s">
        <v>80</v>
      </c>
      <c r="D8368">
        <v>5.4787000000000004E-3</v>
      </c>
      <c r="E8368" t="s">
        <v>74</v>
      </c>
      <c r="F8368">
        <v>5.4786999999999999</v>
      </c>
      <c r="G8368" t="s">
        <v>75</v>
      </c>
      <c r="H8368">
        <v>5478.7</v>
      </c>
      <c r="I8368" t="s">
        <v>76</v>
      </c>
      <c r="J8368" t="s">
        <v>77</v>
      </c>
    </row>
    <row r="8369" spans="1:11" x14ac:dyDescent="0.3">
      <c r="A8369" t="s">
        <v>72</v>
      </c>
      <c r="B8369">
        <v>1</v>
      </c>
      <c r="C8369" t="s">
        <v>81</v>
      </c>
      <c r="D8369">
        <v>2.1677399999999999E-2</v>
      </c>
      <c r="E8369" t="s">
        <v>74</v>
      </c>
      <c r="F8369">
        <v>21.677399999999999</v>
      </c>
      <c r="G8369" t="s">
        <v>75</v>
      </c>
      <c r="H8369">
        <v>21677.401000000002</v>
      </c>
      <c r="I8369" t="s">
        <v>76</v>
      </c>
      <c r="J8369" t="s">
        <v>82</v>
      </c>
      <c r="K8369">
        <v>46.130991600000002</v>
      </c>
    </row>
    <row r="8370" spans="1:11" x14ac:dyDescent="0.3">
      <c r="A8370" t="s">
        <v>83</v>
      </c>
      <c r="B8370">
        <v>1000</v>
      </c>
      <c r="C8370" t="s">
        <v>79</v>
      </c>
      <c r="D8370">
        <v>1.9000000000000001E-7</v>
      </c>
      <c r="E8370" t="s">
        <v>74</v>
      </c>
      <c r="F8370">
        <v>1.9000000000000001E-4</v>
      </c>
      <c r="G8370" t="s">
        <v>75</v>
      </c>
      <c r="H8370">
        <v>0.19400000000000001</v>
      </c>
      <c r="I8370" t="s">
        <v>76</v>
      </c>
      <c r="J8370" t="s">
        <v>77</v>
      </c>
    </row>
    <row r="8371" spans="1:11" x14ac:dyDescent="0.3">
      <c r="A8371" t="s">
        <v>83</v>
      </c>
      <c r="B8371">
        <v>1000</v>
      </c>
      <c r="C8371" t="s">
        <v>96</v>
      </c>
      <c r="D8371">
        <v>1.8741700000000001E-3</v>
      </c>
      <c r="E8371" t="s">
        <v>74</v>
      </c>
      <c r="F8371">
        <v>1.8741699999999999</v>
      </c>
      <c r="G8371" t="s">
        <v>75</v>
      </c>
      <c r="H8371">
        <v>1874.171</v>
      </c>
      <c r="I8371" t="s">
        <v>76</v>
      </c>
      <c r="J8371" t="s">
        <v>77</v>
      </c>
    </row>
    <row r="8372" spans="1:11" x14ac:dyDescent="0.3">
      <c r="A8372" t="s">
        <v>83</v>
      </c>
      <c r="B8372">
        <v>1000</v>
      </c>
      <c r="C8372" t="s">
        <v>94</v>
      </c>
      <c r="D8372">
        <v>3.0110699999999998E-3</v>
      </c>
      <c r="E8372" t="s">
        <v>74</v>
      </c>
      <c r="F8372">
        <v>3.0110700000000001</v>
      </c>
      <c r="G8372" t="s">
        <v>75</v>
      </c>
      <c r="H8372">
        <v>3011.0709999999999</v>
      </c>
      <c r="I8372" t="s">
        <v>76</v>
      </c>
      <c r="J8372" t="s">
        <v>77</v>
      </c>
    </row>
    <row r="8373" spans="1:11" x14ac:dyDescent="0.3">
      <c r="A8373" t="s">
        <v>83</v>
      </c>
      <c r="B8373">
        <v>1000</v>
      </c>
      <c r="C8373" t="s">
        <v>80</v>
      </c>
      <c r="D8373">
        <v>5.0055000000000004E-3</v>
      </c>
      <c r="E8373" t="s">
        <v>74</v>
      </c>
      <c r="F8373">
        <v>5.0054999999999996</v>
      </c>
      <c r="G8373" t="s">
        <v>75</v>
      </c>
      <c r="H8373">
        <v>5005.5039999999999</v>
      </c>
      <c r="I8373" t="s">
        <v>76</v>
      </c>
      <c r="J8373" t="s">
        <v>77</v>
      </c>
    </row>
    <row r="8374" spans="1:11" x14ac:dyDescent="0.3">
      <c r="A8374" t="s">
        <v>83</v>
      </c>
      <c r="B8374">
        <v>1000</v>
      </c>
      <c r="C8374" t="s">
        <v>81</v>
      </c>
      <c r="D8374">
        <v>5.0065300000000004E-3</v>
      </c>
      <c r="E8374" t="s">
        <v>74</v>
      </c>
      <c r="F8374">
        <v>5.0065299999999997</v>
      </c>
      <c r="G8374" t="s">
        <v>75</v>
      </c>
      <c r="H8374">
        <v>5006.5280000000002</v>
      </c>
      <c r="I8374" t="s">
        <v>76</v>
      </c>
      <c r="J8374" t="s">
        <v>82</v>
      </c>
      <c r="K8374">
        <v>199.73922440000001</v>
      </c>
    </row>
    <row r="8375" spans="1:11" x14ac:dyDescent="0.3">
      <c r="A8375" t="s">
        <v>84</v>
      </c>
      <c r="B8375">
        <v>1</v>
      </c>
      <c r="C8375" t="s">
        <v>91</v>
      </c>
      <c r="D8375">
        <v>2.2242E-3</v>
      </c>
      <c r="E8375" t="s">
        <v>74</v>
      </c>
      <c r="F8375">
        <v>2.2242000000000002</v>
      </c>
      <c r="G8375" t="s">
        <v>75</v>
      </c>
      <c r="H8375">
        <v>2224.1999999999998</v>
      </c>
      <c r="I8375" t="s">
        <v>76</v>
      </c>
      <c r="J8375" t="s">
        <v>77</v>
      </c>
    </row>
    <row r="8376" spans="1:11" x14ac:dyDescent="0.3">
      <c r="A8376" t="s">
        <v>84</v>
      </c>
      <c r="B8376">
        <v>1</v>
      </c>
      <c r="C8376" t="s">
        <v>92</v>
      </c>
      <c r="D8376">
        <v>1.21852E-2</v>
      </c>
      <c r="E8376" t="s">
        <v>74</v>
      </c>
      <c r="F8376">
        <v>12.1852</v>
      </c>
      <c r="G8376" t="s">
        <v>75</v>
      </c>
      <c r="H8376">
        <v>12185.2</v>
      </c>
      <c r="I8376" t="s">
        <v>76</v>
      </c>
      <c r="J8376" t="s">
        <v>77</v>
      </c>
    </row>
    <row r="8377" spans="1:11" x14ac:dyDescent="0.3">
      <c r="A8377" t="s">
        <v>84</v>
      </c>
      <c r="B8377">
        <v>1</v>
      </c>
      <c r="C8377" t="s">
        <v>93</v>
      </c>
      <c r="D8377">
        <v>1.7878E-3</v>
      </c>
      <c r="E8377" t="s">
        <v>74</v>
      </c>
      <c r="F8377">
        <v>1.7878000000000001</v>
      </c>
      <c r="G8377" t="s">
        <v>75</v>
      </c>
      <c r="H8377">
        <v>1787.8</v>
      </c>
      <c r="I8377" t="s">
        <v>76</v>
      </c>
      <c r="J8377" t="s">
        <v>77</v>
      </c>
    </row>
    <row r="8378" spans="1:11" x14ac:dyDescent="0.3">
      <c r="A8378" t="s">
        <v>84</v>
      </c>
      <c r="B8378">
        <v>1001</v>
      </c>
      <c r="C8378" t="s">
        <v>79</v>
      </c>
      <c r="D8378">
        <v>1.6370000000000001E-5</v>
      </c>
      <c r="E8378" t="s">
        <v>74</v>
      </c>
      <c r="F8378">
        <v>1.6369999999999999E-2</v>
      </c>
      <c r="G8378" t="s">
        <v>75</v>
      </c>
      <c r="H8378">
        <v>16.375</v>
      </c>
      <c r="I8378" t="s">
        <v>76</v>
      </c>
      <c r="J8378" t="s">
        <v>77</v>
      </c>
    </row>
    <row r="8379" spans="1:11" x14ac:dyDescent="0.3">
      <c r="A8379" t="s">
        <v>84</v>
      </c>
      <c r="B8379">
        <v>1001</v>
      </c>
      <c r="C8379" t="s">
        <v>96</v>
      </c>
      <c r="D8379">
        <v>1.8745400000000001E-3</v>
      </c>
      <c r="E8379" t="s">
        <v>74</v>
      </c>
      <c r="F8379">
        <v>1.8745400000000001</v>
      </c>
      <c r="G8379" t="s">
        <v>75</v>
      </c>
      <c r="H8379">
        <v>1874.5360000000001</v>
      </c>
      <c r="I8379" t="s">
        <v>76</v>
      </c>
      <c r="J8379" t="s">
        <v>77</v>
      </c>
    </row>
    <row r="8380" spans="1:11" x14ac:dyDescent="0.3">
      <c r="A8380" t="s">
        <v>84</v>
      </c>
      <c r="B8380">
        <v>1001</v>
      </c>
      <c r="C8380" t="s">
        <v>94</v>
      </c>
      <c r="D8380">
        <v>3.0111700000000001E-3</v>
      </c>
      <c r="E8380" t="s">
        <v>74</v>
      </c>
      <c r="F8380">
        <v>3.0111699999999999</v>
      </c>
      <c r="G8380" t="s">
        <v>75</v>
      </c>
      <c r="H8380">
        <v>3011.17</v>
      </c>
      <c r="I8380" t="s">
        <v>76</v>
      </c>
      <c r="J8380" t="s">
        <v>77</v>
      </c>
    </row>
    <row r="8381" spans="1:11" x14ac:dyDescent="0.3">
      <c r="A8381" t="s">
        <v>84</v>
      </c>
      <c r="B8381">
        <v>1001</v>
      </c>
      <c r="C8381" t="s">
        <v>80</v>
      </c>
      <c r="D8381">
        <v>5.0059800000000002E-3</v>
      </c>
      <c r="E8381" t="s">
        <v>74</v>
      </c>
      <c r="F8381">
        <v>5.0059800000000001</v>
      </c>
      <c r="G8381" t="s">
        <v>75</v>
      </c>
      <c r="H8381">
        <v>5005.9769999999999</v>
      </c>
      <c r="I8381" t="s">
        <v>76</v>
      </c>
      <c r="J8381" t="s">
        <v>77</v>
      </c>
    </row>
    <row r="8382" spans="1:11" x14ac:dyDescent="0.3">
      <c r="A8382" t="s">
        <v>84</v>
      </c>
      <c r="B8382">
        <v>1001</v>
      </c>
      <c r="C8382" t="s">
        <v>81</v>
      </c>
      <c r="D8382">
        <v>5.0231800000000004E-3</v>
      </c>
      <c r="E8382" t="s">
        <v>74</v>
      </c>
      <c r="F8382">
        <v>5.02318</v>
      </c>
      <c r="G8382" t="s">
        <v>75</v>
      </c>
      <c r="H8382">
        <v>5023.183</v>
      </c>
      <c r="I8382" t="s">
        <v>76</v>
      </c>
      <c r="J8382" t="s">
        <v>82</v>
      </c>
      <c r="K8382">
        <v>199.07697210000001</v>
      </c>
    </row>
    <row r="8383" spans="1:11" x14ac:dyDescent="0.3">
      <c r="A8383" t="s">
        <v>85</v>
      </c>
      <c r="B8383">
        <v>1001</v>
      </c>
      <c r="C8383" t="s">
        <v>86</v>
      </c>
      <c r="D8383">
        <v>5.0233300000000003E-3</v>
      </c>
      <c r="E8383" t="s">
        <v>74</v>
      </c>
      <c r="F8383">
        <v>5.0233299999999996</v>
      </c>
      <c r="G8383" t="s">
        <v>75</v>
      </c>
      <c r="H8383">
        <v>5023.3249999999998</v>
      </c>
      <c r="I8383" t="s">
        <v>76</v>
      </c>
      <c r="J8383" t="s">
        <v>82</v>
      </c>
      <c r="K8383">
        <v>199.0713274</v>
      </c>
    </row>
    <row r="8384" spans="1:11" x14ac:dyDescent="0.3">
      <c r="A8384" t="s">
        <v>87</v>
      </c>
    </row>
    <row r="8385" spans="1:11" x14ac:dyDescent="0.3">
      <c r="A8385" t="s">
        <v>97</v>
      </c>
    </row>
    <row r="8386" spans="1:11" x14ac:dyDescent="0.3">
      <c r="A8386" t="s">
        <v>72</v>
      </c>
      <c r="B8386">
        <v>1</v>
      </c>
      <c r="C8386" t="s">
        <v>81</v>
      </c>
      <c r="D8386">
        <v>2.5319399999999999E-2</v>
      </c>
      <c r="E8386" t="s">
        <v>74</v>
      </c>
      <c r="F8386">
        <v>25.319400000000002</v>
      </c>
      <c r="G8386" t="s">
        <v>75</v>
      </c>
      <c r="H8386">
        <v>25319.399000000001</v>
      </c>
      <c r="I8386" t="s">
        <v>76</v>
      </c>
      <c r="J8386" t="s">
        <v>82</v>
      </c>
      <c r="K8386">
        <v>39.495407800000002</v>
      </c>
    </row>
    <row r="8387" spans="1:11" x14ac:dyDescent="0.3">
      <c r="A8387" t="s">
        <v>83</v>
      </c>
      <c r="B8387">
        <v>1000</v>
      </c>
      <c r="C8387" t="s">
        <v>81</v>
      </c>
      <c r="D8387">
        <v>2.8098099999999998E-3</v>
      </c>
      <c r="E8387" t="s">
        <v>74</v>
      </c>
      <c r="F8387">
        <v>2.8098100000000001</v>
      </c>
      <c r="G8387" t="s">
        <v>75</v>
      </c>
      <c r="H8387">
        <v>2809.8130000000001</v>
      </c>
      <c r="I8387" t="s">
        <v>76</v>
      </c>
      <c r="J8387" t="s">
        <v>82</v>
      </c>
      <c r="K8387">
        <v>355.89559759999997</v>
      </c>
    </row>
    <row r="8388" spans="1:11" x14ac:dyDescent="0.3">
      <c r="A8388" t="s">
        <v>85</v>
      </c>
      <c r="B8388">
        <v>1001</v>
      </c>
      <c r="C8388" t="s">
        <v>86</v>
      </c>
      <c r="D8388">
        <v>2.8324999999999999E-3</v>
      </c>
      <c r="E8388" t="s">
        <v>74</v>
      </c>
      <c r="F8388">
        <v>2.8325</v>
      </c>
      <c r="G8388" t="s">
        <v>75</v>
      </c>
      <c r="H8388">
        <v>2832.4989999999998</v>
      </c>
      <c r="I8388" t="s">
        <v>76</v>
      </c>
      <c r="J8388" t="s">
        <v>82</v>
      </c>
      <c r="K8388">
        <v>353.04514519999998</v>
      </c>
    </row>
    <row r="8390" spans="1:11" x14ac:dyDescent="0.3">
      <c r="A8390" t="s">
        <v>98</v>
      </c>
    </row>
    <row r="8391" spans="1:11" x14ac:dyDescent="0.3">
      <c r="A8391" t="s">
        <v>72</v>
      </c>
      <c r="B8391">
        <v>1</v>
      </c>
      <c r="C8391" t="s">
        <v>81</v>
      </c>
      <c r="D8391">
        <v>2.1677399999999999E-2</v>
      </c>
      <c r="E8391" t="s">
        <v>74</v>
      </c>
      <c r="F8391">
        <v>21.677399999999999</v>
      </c>
      <c r="G8391" t="s">
        <v>75</v>
      </c>
      <c r="H8391">
        <v>21677.401000000002</v>
      </c>
      <c r="I8391" t="s">
        <v>76</v>
      </c>
      <c r="J8391" t="s">
        <v>82</v>
      </c>
      <c r="K8391">
        <v>46.130991600000002</v>
      </c>
    </row>
    <row r="8392" spans="1:11" x14ac:dyDescent="0.3">
      <c r="A8392" t="s">
        <v>83</v>
      </c>
      <c r="B8392">
        <v>1000</v>
      </c>
      <c r="C8392" t="s">
        <v>81</v>
      </c>
      <c r="D8392">
        <v>5.0065300000000004E-3</v>
      </c>
      <c r="E8392" t="s">
        <v>74</v>
      </c>
      <c r="F8392">
        <v>5.0065299999999997</v>
      </c>
      <c r="G8392" t="s">
        <v>75</v>
      </c>
      <c r="H8392">
        <v>5006.5280000000002</v>
      </c>
      <c r="I8392" t="s">
        <v>76</v>
      </c>
      <c r="J8392" t="s">
        <v>82</v>
      </c>
      <c r="K8392">
        <v>199.73922440000001</v>
      </c>
    </row>
    <row r="8393" spans="1:11" x14ac:dyDescent="0.3">
      <c r="A8393" t="s">
        <v>85</v>
      </c>
      <c r="B8393">
        <v>1001</v>
      </c>
      <c r="C8393" t="s">
        <v>86</v>
      </c>
      <c r="D8393">
        <v>5.0233300000000003E-3</v>
      </c>
      <c r="E8393" t="s">
        <v>74</v>
      </c>
      <c r="F8393">
        <v>5.0233299999999996</v>
      </c>
      <c r="G8393" t="s">
        <v>75</v>
      </c>
      <c r="H8393">
        <v>5023.3249999999998</v>
      </c>
      <c r="I8393" t="s">
        <v>76</v>
      </c>
      <c r="J8393" t="s">
        <v>82</v>
      </c>
      <c r="K8393">
        <v>199.0713274</v>
      </c>
    </row>
    <row r="8395" spans="1:11" x14ac:dyDescent="0.3">
      <c r="A8395" t="s">
        <v>66</v>
      </c>
    </row>
    <row r="8397" spans="1:11" x14ac:dyDescent="0.3">
      <c r="A8397" t="s">
        <v>456</v>
      </c>
    </row>
    <row r="8398" spans="1:11" x14ac:dyDescent="0.3">
      <c r="A8398" t="s">
        <v>68</v>
      </c>
    </row>
    <row r="8399" spans="1:11" x14ac:dyDescent="0.3">
      <c r="A8399" t="s">
        <v>69</v>
      </c>
    </row>
    <row r="8400" spans="1:11" x14ac:dyDescent="0.3">
      <c r="A8400" t="s">
        <v>70</v>
      </c>
    </row>
    <row r="8401" spans="1:11" x14ac:dyDescent="0.3">
      <c r="A8401" t="s">
        <v>100</v>
      </c>
    </row>
    <row r="8402" spans="1:11" x14ac:dyDescent="0.3">
      <c r="A8402" t="s">
        <v>72</v>
      </c>
      <c r="B8402">
        <v>1</v>
      </c>
      <c r="C8402" t="s">
        <v>73</v>
      </c>
      <c r="D8402">
        <v>3.4999999999999999E-6</v>
      </c>
      <c r="E8402" t="s">
        <v>74</v>
      </c>
      <c r="F8402">
        <v>3.5000000000000001E-3</v>
      </c>
      <c r="G8402" t="s">
        <v>75</v>
      </c>
      <c r="H8402">
        <v>3.5</v>
      </c>
      <c r="I8402" t="s">
        <v>76</v>
      </c>
      <c r="J8402" t="s">
        <v>77</v>
      </c>
    </row>
    <row r="8403" spans="1:11" x14ac:dyDescent="0.3">
      <c r="A8403" t="s">
        <v>72</v>
      </c>
      <c r="B8403">
        <v>1</v>
      </c>
      <c r="C8403" t="s">
        <v>78</v>
      </c>
      <c r="D8403">
        <v>5.2500000000000002E-5</v>
      </c>
      <c r="E8403" t="s">
        <v>74</v>
      </c>
      <c r="F8403">
        <v>5.2499999999999998E-2</v>
      </c>
      <c r="G8403" t="s">
        <v>75</v>
      </c>
      <c r="H8403">
        <v>52.5</v>
      </c>
      <c r="I8403" t="s">
        <v>76</v>
      </c>
      <c r="J8403" t="s">
        <v>77</v>
      </c>
    </row>
    <row r="8404" spans="1:11" x14ac:dyDescent="0.3">
      <c r="A8404" t="s">
        <v>72</v>
      </c>
      <c r="B8404">
        <v>1</v>
      </c>
      <c r="C8404" t="s">
        <v>91</v>
      </c>
      <c r="D8404">
        <v>2.2663000000000002E-3</v>
      </c>
      <c r="E8404" t="s">
        <v>74</v>
      </c>
      <c r="F8404">
        <v>2.2663000000000002</v>
      </c>
      <c r="G8404" t="s">
        <v>75</v>
      </c>
      <c r="H8404">
        <v>2266.3000000000002</v>
      </c>
      <c r="I8404" t="s">
        <v>76</v>
      </c>
      <c r="J8404" t="s">
        <v>77</v>
      </c>
    </row>
    <row r="8405" spans="1:11" x14ac:dyDescent="0.3">
      <c r="A8405" t="s">
        <v>72</v>
      </c>
      <c r="B8405">
        <v>1</v>
      </c>
      <c r="C8405" t="s">
        <v>92</v>
      </c>
      <c r="D8405">
        <v>1.1908E-2</v>
      </c>
      <c r="E8405" t="s">
        <v>74</v>
      </c>
      <c r="F8405">
        <v>11.907999999999999</v>
      </c>
      <c r="G8405" t="s">
        <v>75</v>
      </c>
      <c r="H8405">
        <v>11908</v>
      </c>
      <c r="I8405" t="s">
        <v>76</v>
      </c>
      <c r="J8405" t="s">
        <v>77</v>
      </c>
    </row>
    <row r="8406" spans="1:11" x14ac:dyDescent="0.3">
      <c r="A8406" t="s">
        <v>72</v>
      </c>
      <c r="B8406">
        <v>1</v>
      </c>
      <c r="C8406" t="s">
        <v>93</v>
      </c>
      <c r="D8406">
        <v>1.6918E-3</v>
      </c>
      <c r="E8406" t="s">
        <v>74</v>
      </c>
      <c r="F8406">
        <v>1.6918</v>
      </c>
      <c r="G8406" t="s">
        <v>75</v>
      </c>
      <c r="H8406">
        <v>1691.8</v>
      </c>
      <c r="I8406" t="s">
        <v>76</v>
      </c>
      <c r="J8406" t="s">
        <v>77</v>
      </c>
    </row>
    <row r="8407" spans="1:11" x14ac:dyDescent="0.3">
      <c r="A8407" t="s">
        <v>72</v>
      </c>
      <c r="B8407">
        <v>1</v>
      </c>
      <c r="C8407" t="s">
        <v>79</v>
      </c>
      <c r="D8407">
        <v>1.58698E-2</v>
      </c>
      <c r="E8407" t="s">
        <v>74</v>
      </c>
      <c r="F8407">
        <v>15.8698</v>
      </c>
      <c r="G8407" t="s">
        <v>75</v>
      </c>
      <c r="H8407">
        <v>15869.8</v>
      </c>
      <c r="I8407" t="s">
        <v>76</v>
      </c>
      <c r="J8407" t="s">
        <v>77</v>
      </c>
    </row>
    <row r="8408" spans="1:11" x14ac:dyDescent="0.3">
      <c r="A8408" t="s">
        <v>72</v>
      </c>
      <c r="B8408">
        <v>1</v>
      </c>
      <c r="C8408" t="s">
        <v>94</v>
      </c>
      <c r="D8408">
        <v>9.4201000000000007E-3</v>
      </c>
      <c r="E8408" t="s">
        <v>74</v>
      </c>
      <c r="F8408">
        <v>9.4200999999999997</v>
      </c>
      <c r="G8408" t="s">
        <v>75</v>
      </c>
      <c r="H8408">
        <v>9420.1</v>
      </c>
      <c r="I8408" t="s">
        <v>76</v>
      </c>
      <c r="J8408" t="s">
        <v>77</v>
      </c>
    </row>
    <row r="8409" spans="1:11" x14ac:dyDescent="0.3">
      <c r="A8409" t="s">
        <v>72</v>
      </c>
      <c r="B8409">
        <v>1</v>
      </c>
      <c r="C8409" t="s">
        <v>80</v>
      </c>
      <c r="D8409">
        <v>9.4205999999999995E-3</v>
      </c>
      <c r="E8409" t="s">
        <v>74</v>
      </c>
      <c r="F8409">
        <v>9.4206000000000003</v>
      </c>
      <c r="G8409" t="s">
        <v>75</v>
      </c>
      <c r="H8409">
        <v>9420.6</v>
      </c>
      <c r="I8409" t="s">
        <v>76</v>
      </c>
      <c r="J8409" t="s">
        <v>77</v>
      </c>
    </row>
    <row r="8410" spans="1:11" x14ac:dyDescent="0.3">
      <c r="A8410" t="s">
        <v>72</v>
      </c>
      <c r="B8410">
        <v>1</v>
      </c>
      <c r="C8410" t="s">
        <v>81</v>
      </c>
      <c r="D8410">
        <v>2.5293099999999999E-2</v>
      </c>
      <c r="E8410" t="s">
        <v>74</v>
      </c>
      <c r="F8410">
        <v>25.293099999999999</v>
      </c>
      <c r="G8410" t="s">
        <v>75</v>
      </c>
      <c r="H8410">
        <v>25293.100999999999</v>
      </c>
      <c r="I8410" t="s">
        <v>76</v>
      </c>
      <c r="J8410" t="s">
        <v>82</v>
      </c>
      <c r="K8410">
        <v>39.536473399999998</v>
      </c>
    </row>
    <row r="8411" spans="1:11" x14ac:dyDescent="0.3">
      <c r="A8411" t="s">
        <v>83</v>
      </c>
      <c r="B8411">
        <v>1000</v>
      </c>
      <c r="C8411" t="s">
        <v>79</v>
      </c>
      <c r="D8411">
        <v>1.4000000000000001E-7</v>
      </c>
      <c r="E8411" t="s">
        <v>74</v>
      </c>
      <c r="F8411">
        <v>1.3999999999999999E-4</v>
      </c>
      <c r="G8411" t="s">
        <v>75</v>
      </c>
      <c r="H8411">
        <v>0.13600000000000001</v>
      </c>
      <c r="I8411" t="s">
        <v>76</v>
      </c>
      <c r="J8411" t="s">
        <v>77</v>
      </c>
    </row>
    <row r="8412" spans="1:11" x14ac:dyDescent="0.3">
      <c r="A8412" t="s">
        <v>83</v>
      </c>
      <c r="B8412">
        <v>1000</v>
      </c>
      <c r="C8412" t="s">
        <v>94</v>
      </c>
      <c r="D8412">
        <v>2.6621599999999998E-3</v>
      </c>
      <c r="E8412" t="s">
        <v>74</v>
      </c>
      <c r="F8412">
        <v>2.6621600000000001</v>
      </c>
      <c r="G8412" t="s">
        <v>75</v>
      </c>
      <c r="H8412">
        <v>2662.1570000000002</v>
      </c>
      <c r="I8412" t="s">
        <v>76</v>
      </c>
      <c r="J8412" t="s">
        <v>77</v>
      </c>
    </row>
    <row r="8413" spans="1:11" x14ac:dyDescent="0.3">
      <c r="A8413" t="s">
        <v>83</v>
      </c>
      <c r="B8413">
        <v>1000</v>
      </c>
      <c r="C8413" t="s">
        <v>80</v>
      </c>
      <c r="D8413">
        <v>2.8180800000000002E-3</v>
      </c>
      <c r="E8413" t="s">
        <v>74</v>
      </c>
      <c r="F8413">
        <v>2.8180800000000001</v>
      </c>
      <c r="G8413" t="s">
        <v>75</v>
      </c>
      <c r="H8413">
        <v>2818.0830000000001</v>
      </c>
      <c r="I8413" t="s">
        <v>76</v>
      </c>
      <c r="J8413" t="s">
        <v>77</v>
      </c>
    </row>
    <row r="8414" spans="1:11" x14ac:dyDescent="0.3">
      <c r="A8414" t="s">
        <v>83</v>
      </c>
      <c r="B8414">
        <v>1000</v>
      </c>
      <c r="C8414" t="s">
        <v>81</v>
      </c>
      <c r="D8414">
        <v>2.8191700000000002E-3</v>
      </c>
      <c r="E8414" t="s">
        <v>74</v>
      </c>
      <c r="F8414">
        <v>2.8191700000000002</v>
      </c>
      <c r="G8414" t="s">
        <v>75</v>
      </c>
      <c r="H8414">
        <v>2819.1689999999999</v>
      </c>
      <c r="I8414" t="s">
        <v>76</v>
      </c>
      <c r="J8414" t="s">
        <v>82</v>
      </c>
      <c r="K8414">
        <v>354.714451</v>
      </c>
    </row>
    <row r="8415" spans="1:11" x14ac:dyDescent="0.3">
      <c r="A8415" t="s">
        <v>84</v>
      </c>
      <c r="B8415">
        <v>1</v>
      </c>
      <c r="C8415" t="s">
        <v>91</v>
      </c>
      <c r="D8415">
        <v>2.2663000000000002E-3</v>
      </c>
      <c r="E8415" t="s">
        <v>74</v>
      </c>
      <c r="F8415">
        <v>2.2663000000000002</v>
      </c>
      <c r="G8415" t="s">
        <v>75</v>
      </c>
      <c r="H8415">
        <v>2266.3000000000002</v>
      </c>
      <c r="I8415" t="s">
        <v>76</v>
      </c>
      <c r="J8415" t="s">
        <v>77</v>
      </c>
    </row>
    <row r="8416" spans="1:11" x14ac:dyDescent="0.3">
      <c r="A8416" t="s">
        <v>84</v>
      </c>
      <c r="B8416">
        <v>1</v>
      </c>
      <c r="C8416" t="s">
        <v>92</v>
      </c>
      <c r="D8416">
        <v>1.1908E-2</v>
      </c>
      <c r="E8416" t="s">
        <v>74</v>
      </c>
      <c r="F8416">
        <v>11.907999999999999</v>
      </c>
      <c r="G8416" t="s">
        <v>75</v>
      </c>
      <c r="H8416">
        <v>11908</v>
      </c>
      <c r="I8416" t="s">
        <v>76</v>
      </c>
      <c r="J8416" t="s">
        <v>77</v>
      </c>
    </row>
    <row r="8417" spans="1:11" x14ac:dyDescent="0.3">
      <c r="A8417" t="s">
        <v>84</v>
      </c>
      <c r="B8417">
        <v>1</v>
      </c>
      <c r="C8417" t="s">
        <v>93</v>
      </c>
      <c r="D8417">
        <v>1.6918E-3</v>
      </c>
      <c r="E8417" t="s">
        <v>74</v>
      </c>
      <c r="F8417">
        <v>1.6918</v>
      </c>
      <c r="G8417" t="s">
        <v>75</v>
      </c>
      <c r="H8417">
        <v>1691.8</v>
      </c>
      <c r="I8417" t="s">
        <v>76</v>
      </c>
      <c r="J8417" t="s">
        <v>77</v>
      </c>
    </row>
    <row r="8418" spans="1:11" x14ac:dyDescent="0.3">
      <c r="A8418" t="s">
        <v>84</v>
      </c>
      <c r="B8418">
        <v>1001</v>
      </c>
      <c r="C8418" t="s">
        <v>79</v>
      </c>
      <c r="D8418">
        <v>1.5990000000000001E-5</v>
      </c>
      <c r="E8418" t="s">
        <v>74</v>
      </c>
      <c r="F8418">
        <v>1.5990000000000001E-2</v>
      </c>
      <c r="G8418" t="s">
        <v>75</v>
      </c>
      <c r="H8418">
        <v>15.99</v>
      </c>
      <c r="I8418" t="s">
        <v>76</v>
      </c>
      <c r="J8418" t="s">
        <v>77</v>
      </c>
    </row>
    <row r="8419" spans="1:11" x14ac:dyDescent="0.3">
      <c r="A8419" t="s">
        <v>84</v>
      </c>
      <c r="B8419">
        <v>1001</v>
      </c>
      <c r="C8419" t="s">
        <v>94</v>
      </c>
      <c r="D8419">
        <v>2.66891E-3</v>
      </c>
      <c r="E8419" t="s">
        <v>74</v>
      </c>
      <c r="F8419">
        <v>2.6689099999999999</v>
      </c>
      <c r="G8419" t="s">
        <v>75</v>
      </c>
      <c r="H8419">
        <v>2668.9079999999999</v>
      </c>
      <c r="I8419" t="s">
        <v>76</v>
      </c>
      <c r="J8419" t="s">
        <v>77</v>
      </c>
    </row>
    <row r="8420" spans="1:11" x14ac:dyDescent="0.3">
      <c r="A8420" t="s">
        <v>84</v>
      </c>
      <c r="B8420">
        <v>1001</v>
      </c>
      <c r="C8420" t="s">
        <v>80</v>
      </c>
      <c r="D8420">
        <v>2.82468E-3</v>
      </c>
      <c r="E8420" t="s">
        <v>74</v>
      </c>
      <c r="F8420">
        <v>2.8246799999999999</v>
      </c>
      <c r="G8420" t="s">
        <v>75</v>
      </c>
      <c r="H8420">
        <v>2824.6779999999999</v>
      </c>
      <c r="I8420" t="s">
        <v>76</v>
      </c>
      <c r="J8420" t="s">
        <v>77</v>
      </c>
    </row>
    <row r="8421" spans="1:11" x14ac:dyDescent="0.3">
      <c r="A8421" t="s">
        <v>84</v>
      </c>
      <c r="B8421">
        <v>1001</v>
      </c>
      <c r="C8421" t="s">
        <v>81</v>
      </c>
      <c r="D8421">
        <v>2.84162E-3</v>
      </c>
      <c r="E8421" t="s">
        <v>74</v>
      </c>
      <c r="F8421">
        <v>2.8416199999999998</v>
      </c>
      <c r="G8421" t="s">
        <v>75</v>
      </c>
      <c r="H8421">
        <v>2841.6210000000001</v>
      </c>
      <c r="I8421" t="s">
        <v>76</v>
      </c>
      <c r="J8421" t="s">
        <v>82</v>
      </c>
      <c r="K8421">
        <v>351.91187120000001</v>
      </c>
    </row>
    <row r="8422" spans="1:11" x14ac:dyDescent="0.3">
      <c r="A8422" t="s">
        <v>85</v>
      </c>
      <c r="B8422">
        <v>1001</v>
      </c>
      <c r="C8422" t="s">
        <v>86</v>
      </c>
      <c r="D8422">
        <v>2.8418499999999999E-3</v>
      </c>
      <c r="E8422" t="s">
        <v>74</v>
      </c>
      <c r="F8422">
        <v>2.84185</v>
      </c>
      <c r="G8422" t="s">
        <v>75</v>
      </c>
      <c r="H8422">
        <v>2841.8519999999999</v>
      </c>
      <c r="I8422" t="s">
        <v>76</v>
      </c>
      <c r="J8422" t="s">
        <v>82</v>
      </c>
      <c r="K8422">
        <v>351.88317319999999</v>
      </c>
    </row>
    <row r="8423" spans="1:11" x14ac:dyDescent="0.3">
      <c r="A8423" t="s">
        <v>101</v>
      </c>
    </row>
    <row r="8424" spans="1:11" x14ac:dyDescent="0.3">
      <c r="A8424" t="s">
        <v>72</v>
      </c>
      <c r="B8424">
        <v>1</v>
      </c>
      <c r="C8424" t="s">
        <v>73</v>
      </c>
      <c r="D8424">
        <v>3.4999999999999999E-6</v>
      </c>
      <c r="E8424" t="s">
        <v>74</v>
      </c>
      <c r="F8424">
        <v>3.5000000000000001E-3</v>
      </c>
      <c r="G8424" t="s">
        <v>75</v>
      </c>
      <c r="H8424">
        <v>3.5</v>
      </c>
      <c r="I8424" t="s">
        <v>76</v>
      </c>
      <c r="J8424" t="s">
        <v>77</v>
      </c>
    </row>
    <row r="8425" spans="1:11" x14ac:dyDescent="0.3">
      <c r="A8425" t="s">
        <v>72</v>
      </c>
      <c r="B8425">
        <v>1</v>
      </c>
      <c r="C8425" t="s">
        <v>78</v>
      </c>
      <c r="D8425">
        <v>4.2799999999999997E-5</v>
      </c>
      <c r="E8425" t="s">
        <v>74</v>
      </c>
      <c r="F8425">
        <v>4.2799999999999998E-2</v>
      </c>
      <c r="G8425" t="s">
        <v>75</v>
      </c>
      <c r="H8425">
        <v>42.8</v>
      </c>
      <c r="I8425" t="s">
        <v>76</v>
      </c>
      <c r="J8425" t="s">
        <v>77</v>
      </c>
    </row>
    <row r="8426" spans="1:11" x14ac:dyDescent="0.3">
      <c r="A8426" t="s">
        <v>72</v>
      </c>
      <c r="B8426">
        <v>1</v>
      </c>
      <c r="C8426" t="s">
        <v>91</v>
      </c>
      <c r="D8426">
        <v>2.2287000000000001E-3</v>
      </c>
      <c r="E8426" t="s">
        <v>74</v>
      </c>
      <c r="F8426">
        <v>2.2286999999999999</v>
      </c>
      <c r="G8426" t="s">
        <v>75</v>
      </c>
      <c r="H8426">
        <v>2228.6999999999998</v>
      </c>
      <c r="I8426" t="s">
        <v>76</v>
      </c>
      <c r="J8426" t="s">
        <v>77</v>
      </c>
    </row>
    <row r="8427" spans="1:11" x14ac:dyDescent="0.3">
      <c r="A8427" t="s">
        <v>72</v>
      </c>
      <c r="B8427">
        <v>1</v>
      </c>
      <c r="C8427" t="s">
        <v>92</v>
      </c>
      <c r="D8427">
        <v>1.24268E-2</v>
      </c>
      <c r="E8427" t="s">
        <v>74</v>
      </c>
      <c r="F8427">
        <v>12.4268</v>
      </c>
      <c r="G8427" t="s">
        <v>75</v>
      </c>
      <c r="H8427">
        <v>12426.8</v>
      </c>
      <c r="I8427" t="s">
        <v>76</v>
      </c>
      <c r="J8427" t="s">
        <v>77</v>
      </c>
    </row>
    <row r="8428" spans="1:11" x14ac:dyDescent="0.3">
      <c r="A8428" t="s">
        <v>72</v>
      </c>
      <c r="B8428">
        <v>1</v>
      </c>
      <c r="C8428" t="s">
        <v>93</v>
      </c>
      <c r="D8428">
        <v>1.6814E-3</v>
      </c>
      <c r="E8428" t="s">
        <v>74</v>
      </c>
      <c r="F8428">
        <v>1.6814</v>
      </c>
      <c r="G8428" t="s">
        <v>75</v>
      </c>
      <c r="H8428">
        <v>1681.4</v>
      </c>
      <c r="I8428" t="s">
        <v>76</v>
      </c>
      <c r="J8428" t="s">
        <v>77</v>
      </c>
    </row>
    <row r="8429" spans="1:11" x14ac:dyDescent="0.3">
      <c r="A8429" t="s">
        <v>72</v>
      </c>
      <c r="B8429">
        <v>1</v>
      </c>
      <c r="C8429" t="s">
        <v>79</v>
      </c>
      <c r="D8429">
        <v>1.63371E-2</v>
      </c>
      <c r="E8429" t="s">
        <v>74</v>
      </c>
      <c r="F8429">
        <v>16.3371</v>
      </c>
      <c r="G8429" t="s">
        <v>75</v>
      </c>
      <c r="H8429">
        <v>16337.1</v>
      </c>
      <c r="I8429" t="s">
        <v>76</v>
      </c>
      <c r="J8429" t="s">
        <v>77</v>
      </c>
    </row>
    <row r="8430" spans="1:11" x14ac:dyDescent="0.3">
      <c r="A8430" t="s">
        <v>72</v>
      </c>
      <c r="B8430">
        <v>1</v>
      </c>
      <c r="C8430" t="s">
        <v>96</v>
      </c>
      <c r="D8430">
        <v>2.1413000000000001E-3</v>
      </c>
      <c r="E8430" t="s">
        <v>74</v>
      </c>
      <c r="F8430">
        <v>2.1413000000000002</v>
      </c>
      <c r="G8430" t="s">
        <v>75</v>
      </c>
      <c r="H8430">
        <v>2141.3000000000002</v>
      </c>
      <c r="I8430" t="s">
        <v>76</v>
      </c>
      <c r="J8430" t="s">
        <v>77</v>
      </c>
    </row>
    <row r="8431" spans="1:11" x14ac:dyDescent="0.3">
      <c r="A8431" t="s">
        <v>72</v>
      </c>
      <c r="B8431">
        <v>1</v>
      </c>
      <c r="C8431" t="s">
        <v>94</v>
      </c>
      <c r="D8431">
        <v>3.0333999999999999E-3</v>
      </c>
      <c r="E8431" t="s">
        <v>74</v>
      </c>
      <c r="F8431">
        <v>3.0333999999999999</v>
      </c>
      <c r="G8431" t="s">
        <v>75</v>
      </c>
      <c r="H8431">
        <v>3033.4</v>
      </c>
      <c r="I8431" t="s">
        <v>76</v>
      </c>
      <c r="J8431" t="s">
        <v>77</v>
      </c>
    </row>
    <row r="8432" spans="1:11" x14ac:dyDescent="0.3">
      <c r="A8432" t="s">
        <v>72</v>
      </c>
      <c r="B8432">
        <v>1</v>
      </c>
      <c r="C8432" t="s">
        <v>80</v>
      </c>
      <c r="D8432">
        <v>5.3089000000000001E-3</v>
      </c>
      <c r="E8432" t="s">
        <v>74</v>
      </c>
      <c r="F8432">
        <v>5.3089000000000004</v>
      </c>
      <c r="G8432" t="s">
        <v>75</v>
      </c>
      <c r="H8432">
        <v>5308.9</v>
      </c>
      <c r="I8432" t="s">
        <v>76</v>
      </c>
      <c r="J8432" t="s">
        <v>77</v>
      </c>
    </row>
    <row r="8433" spans="1:11" x14ac:dyDescent="0.3">
      <c r="A8433" t="s">
        <v>72</v>
      </c>
      <c r="B8433">
        <v>1</v>
      </c>
      <c r="C8433" t="s">
        <v>81</v>
      </c>
      <c r="D8433">
        <v>2.16469E-2</v>
      </c>
      <c r="E8433" t="s">
        <v>74</v>
      </c>
      <c r="F8433">
        <v>21.646899999999999</v>
      </c>
      <c r="G8433" t="s">
        <v>75</v>
      </c>
      <c r="H8433">
        <v>21646.9</v>
      </c>
      <c r="I8433" t="s">
        <v>76</v>
      </c>
      <c r="J8433" t="s">
        <v>82</v>
      </c>
      <c r="K8433">
        <v>46.195990899999998</v>
      </c>
    </row>
    <row r="8434" spans="1:11" x14ac:dyDescent="0.3">
      <c r="A8434" t="s">
        <v>83</v>
      </c>
      <c r="B8434">
        <v>1000</v>
      </c>
      <c r="C8434" t="s">
        <v>79</v>
      </c>
      <c r="D8434">
        <v>1.1000000000000001E-7</v>
      </c>
      <c r="E8434" t="s">
        <v>74</v>
      </c>
      <c r="F8434">
        <v>1.1E-4</v>
      </c>
      <c r="G8434" t="s">
        <v>75</v>
      </c>
      <c r="H8434">
        <v>0.113</v>
      </c>
      <c r="I8434" t="s">
        <v>76</v>
      </c>
      <c r="J8434" t="s">
        <v>77</v>
      </c>
    </row>
    <row r="8435" spans="1:11" x14ac:dyDescent="0.3">
      <c r="A8435" t="s">
        <v>83</v>
      </c>
      <c r="B8435">
        <v>1000</v>
      </c>
      <c r="C8435" t="s">
        <v>96</v>
      </c>
      <c r="D8435">
        <v>1.86911E-3</v>
      </c>
      <c r="E8435" t="s">
        <v>74</v>
      </c>
      <c r="F8435">
        <v>1.86911</v>
      </c>
      <c r="G8435" t="s">
        <v>75</v>
      </c>
      <c r="H8435">
        <v>1869.107</v>
      </c>
      <c r="I8435" t="s">
        <v>76</v>
      </c>
      <c r="J8435" t="s">
        <v>77</v>
      </c>
    </row>
    <row r="8436" spans="1:11" x14ac:dyDescent="0.3">
      <c r="A8436" t="s">
        <v>83</v>
      </c>
      <c r="B8436">
        <v>1000</v>
      </c>
      <c r="C8436" t="s">
        <v>94</v>
      </c>
      <c r="D8436">
        <v>2.9987600000000001E-3</v>
      </c>
      <c r="E8436" t="s">
        <v>74</v>
      </c>
      <c r="F8436">
        <v>2.9987599999999999</v>
      </c>
      <c r="G8436" t="s">
        <v>75</v>
      </c>
      <c r="H8436">
        <v>2998.761</v>
      </c>
      <c r="I8436" t="s">
        <v>76</v>
      </c>
      <c r="J8436" t="s">
        <v>77</v>
      </c>
    </row>
    <row r="8437" spans="1:11" x14ac:dyDescent="0.3">
      <c r="A8437" t="s">
        <v>83</v>
      </c>
      <c r="B8437">
        <v>1000</v>
      </c>
      <c r="C8437" t="s">
        <v>80</v>
      </c>
      <c r="D8437">
        <v>4.9902799999999997E-3</v>
      </c>
      <c r="E8437" t="s">
        <v>74</v>
      </c>
      <c r="F8437">
        <v>4.9902800000000003</v>
      </c>
      <c r="G8437" t="s">
        <v>75</v>
      </c>
      <c r="H8437">
        <v>4990.2790000000005</v>
      </c>
      <c r="I8437" t="s">
        <v>76</v>
      </c>
      <c r="J8437" t="s">
        <v>77</v>
      </c>
    </row>
    <row r="8438" spans="1:11" x14ac:dyDescent="0.3">
      <c r="A8438" t="s">
        <v>83</v>
      </c>
      <c r="B8438">
        <v>1000</v>
      </c>
      <c r="C8438" t="s">
        <v>81</v>
      </c>
      <c r="D8438">
        <v>4.9914299999999998E-3</v>
      </c>
      <c r="E8438" t="s">
        <v>74</v>
      </c>
      <c r="F8438">
        <v>4.9914300000000003</v>
      </c>
      <c r="G8438" t="s">
        <v>75</v>
      </c>
      <c r="H8438">
        <v>4991.4269999999997</v>
      </c>
      <c r="I8438" t="s">
        <v>76</v>
      </c>
      <c r="J8438" t="s">
        <v>82</v>
      </c>
      <c r="K8438">
        <v>200.34349209999999</v>
      </c>
    </row>
    <row r="8439" spans="1:11" x14ac:dyDescent="0.3">
      <c r="A8439" t="s">
        <v>84</v>
      </c>
      <c r="B8439">
        <v>1</v>
      </c>
      <c r="C8439" t="s">
        <v>91</v>
      </c>
      <c r="D8439">
        <v>2.2287000000000001E-3</v>
      </c>
      <c r="E8439" t="s">
        <v>74</v>
      </c>
      <c r="F8439">
        <v>2.2286999999999999</v>
      </c>
      <c r="G8439" t="s">
        <v>75</v>
      </c>
      <c r="H8439">
        <v>2228.6999999999998</v>
      </c>
      <c r="I8439" t="s">
        <v>76</v>
      </c>
      <c r="J8439" t="s">
        <v>77</v>
      </c>
    </row>
    <row r="8440" spans="1:11" x14ac:dyDescent="0.3">
      <c r="A8440" t="s">
        <v>84</v>
      </c>
      <c r="B8440">
        <v>1</v>
      </c>
      <c r="C8440" t="s">
        <v>92</v>
      </c>
      <c r="D8440">
        <v>1.24268E-2</v>
      </c>
      <c r="E8440" t="s">
        <v>74</v>
      </c>
      <c r="F8440">
        <v>12.4268</v>
      </c>
      <c r="G8440" t="s">
        <v>75</v>
      </c>
      <c r="H8440">
        <v>12426.8</v>
      </c>
      <c r="I8440" t="s">
        <v>76</v>
      </c>
      <c r="J8440" t="s">
        <v>77</v>
      </c>
    </row>
    <row r="8441" spans="1:11" x14ac:dyDescent="0.3">
      <c r="A8441" t="s">
        <v>84</v>
      </c>
      <c r="B8441">
        <v>1</v>
      </c>
      <c r="C8441" t="s">
        <v>93</v>
      </c>
      <c r="D8441">
        <v>1.6814E-3</v>
      </c>
      <c r="E8441" t="s">
        <v>74</v>
      </c>
      <c r="F8441">
        <v>1.6814</v>
      </c>
      <c r="G8441" t="s">
        <v>75</v>
      </c>
      <c r="H8441">
        <v>1681.4</v>
      </c>
      <c r="I8441" t="s">
        <v>76</v>
      </c>
      <c r="J8441" t="s">
        <v>77</v>
      </c>
    </row>
    <row r="8442" spans="1:11" x14ac:dyDescent="0.3">
      <c r="A8442" t="s">
        <v>84</v>
      </c>
      <c r="B8442">
        <v>1001</v>
      </c>
      <c r="C8442" t="s">
        <v>79</v>
      </c>
      <c r="D8442">
        <v>1.643E-5</v>
      </c>
      <c r="E8442" t="s">
        <v>74</v>
      </c>
      <c r="F8442">
        <v>1.643E-2</v>
      </c>
      <c r="G8442" t="s">
        <v>75</v>
      </c>
      <c r="H8442">
        <v>16.434000000000001</v>
      </c>
      <c r="I8442" t="s">
        <v>76</v>
      </c>
      <c r="J8442" t="s">
        <v>77</v>
      </c>
    </row>
    <row r="8443" spans="1:11" x14ac:dyDescent="0.3">
      <c r="A8443" t="s">
        <v>84</v>
      </c>
      <c r="B8443">
        <v>1001</v>
      </c>
      <c r="C8443" t="s">
        <v>96</v>
      </c>
      <c r="D8443">
        <v>1.8693799999999999E-3</v>
      </c>
      <c r="E8443" t="s">
        <v>74</v>
      </c>
      <c r="F8443">
        <v>1.86938</v>
      </c>
      <c r="G8443" t="s">
        <v>75</v>
      </c>
      <c r="H8443">
        <v>1869.3789999999999</v>
      </c>
      <c r="I8443" t="s">
        <v>76</v>
      </c>
      <c r="J8443" t="s">
        <v>77</v>
      </c>
    </row>
    <row r="8444" spans="1:11" x14ac:dyDescent="0.3">
      <c r="A8444" t="s">
        <v>84</v>
      </c>
      <c r="B8444">
        <v>1001</v>
      </c>
      <c r="C8444" t="s">
        <v>94</v>
      </c>
      <c r="D8444">
        <v>2.9987999999999998E-3</v>
      </c>
      <c r="E8444" t="s">
        <v>74</v>
      </c>
      <c r="F8444">
        <v>2.9988000000000001</v>
      </c>
      <c r="G8444" t="s">
        <v>75</v>
      </c>
      <c r="H8444">
        <v>2998.7959999999998</v>
      </c>
      <c r="I8444" t="s">
        <v>76</v>
      </c>
      <c r="J8444" t="s">
        <v>77</v>
      </c>
    </row>
    <row r="8445" spans="1:11" x14ac:dyDescent="0.3">
      <c r="A8445" t="s">
        <v>84</v>
      </c>
      <c r="B8445">
        <v>1001</v>
      </c>
      <c r="C8445" t="s">
        <v>80</v>
      </c>
      <c r="D8445">
        <v>4.9906000000000004E-3</v>
      </c>
      <c r="E8445" t="s">
        <v>74</v>
      </c>
      <c r="F8445">
        <v>4.9905999999999997</v>
      </c>
      <c r="G8445" t="s">
        <v>75</v>
      </c>
      <c r="H8445">
        <v>4990.598</v>
      </c>
      <c r="I8445" t="s">
        <v>76</v>
      </c>
      <c r="J8445" t="s">
        <v>77</v>
      </c>
    </row>
    <row r="8446" spans="1:11" x14ac:dyDescent="0.3">
      <c r="A8446" t="s">
        <v>84</v>
      </c>
      <c r="B8446">
        <v>1001</v>
      </c>
      <c r="C8446" t="s">
        <v>81</v>
      </c>
      <c r="D8446">
        <v>5.0080699999999999E-3</v>
      </c>
      <c r="E8446" t="s">
        <v>74</v>
      </c>
      <c r="F8446">
        <v>5.00807</v>
      </c>
      <c r="G8446" t="s">
        <v>75</v>
      </c>
      <c r="H8446">
        <v>5008.0649999999996</v>
      </c>
      <c r="I8446" t="s">
        <v>76</v>
      </c>
      <c r="J8446" t="s">
        <v>82</v>
      </c>
      <c r="K8446">
        <v>199.67790439999999</v>
      </c>
    </row>
    <row r="8447" spans="1:11" x14ac:dyDescent="0.3">
      <c r="A8447" t="s">
        <v>85</v>
      </c>
      <c r="B8447">
        <v>1001</v>
      </c>
      <c r="C8447" t="s">
        <v>86</v>
      </c>
      <c r="D8447">
        <v>5.0082399999999997E-3</v>
      </c>
      <c r="E8447" t="s">
        <v>74</v>
      </c>
      <c r="F8447">
        <v>5.0082399999999998</v>
      </c>
      <c r="G8447" t="s">
        <v>75</v>
      </c>
      <c r="H8447">
        <v>5008.2349999999997</v>
      </c>
      <c r="I8447" t="s">
        <v>76</v>
      </c>
      <c r="J8447" t="s">
        <v>82</v>
      </c>
      <c r="K8447">
        <v>199.67112409999999</v>
      </c>
    </row>
    <row r="8448" spans="1:11" x14ac:dyDescent="0.3">
      <c r="A8448" t="s">
        <v>87</v>
      </c>
    </row>
    <row r="8449" spans="1:11" x14ac:dyDescent="0.3">
      <c r="A8449" t="s">
        <v>102</v>
      </c>
    </row>
    <row r="8450" spans="1:11" x14ac:dyDescent="0.3">
      <c r="A8450" t="s">
        <v>72</v>
      </c>
      <c r="B8450">
        <v>1</v>
      </c>
      <c r="C8450" t="s">
        <v>81</v>
      </c>
      <c r="D8450">
        <v>2.5293099999999999E-2</v>
      </c>
      <c r="E8450" t="s">
        <v>74</v>
      </c>
      <c r="F8450">
        <v>25.293099999999999</v>
      </c>
      <c r="G8450" t="s">
        <v>75</v>
      </c>
      <c r="H8450">
        <v>25293.100999999999</v>
      </c>
      <c r="I8450" t="s">
        <v>76</v>
      </c>
      <c r="J8450" t="s">
        <v>82</v>
      </c>
      <c r="K8450">
        <v>39.536473399999998</v>
      </c>
    </row>
    <row r="8451" spans="1:11" x14ac:dyDescent="0.3">
      <c r="A8451" t="s">
        <v>83</v>
      </c>
      <c r="B8451">
        <v>1000</v>
      </c>
      <c r="C8451" t="s">
        <v>81</v>
      </c>
      <c r="D8451">
        <v>2.8191700000000002E-3</v>
      </c>
      <c r="E8451" t="s">
        <v>74</v>
      </c>
      <c r="F8451">
        <v>2.8191700000000002</v>
      </c>
      <c r="G8451" t="s">
        <v>75</v>
      </c>
      <c r="H8451">
        <v>2819.1689999999999</v>
      </c>
      <c r="I8451" t="s">
        <v>76</v>
      </c>
      <c r="J8451" t="s">
        <v>82</v>
      </c>
      <c r="K8451">
        <v>354.714451</v>
      </c>
    </row>
    <row r="8452" spans="1:11" x14ac:dyDescent="0.3">
      <c r="A8452" t="s">
        <v>85</v>
      </c>
      <c r="B8452">
        <v>1001</v>
      </c>
      <c r="C8452" t="s">
        <v>86</v>
      </c>
      <c r="D8452">
        <v>2.8418499999999999E-3</v>
      </c>
      <c r="E8452" t="s">
        <v>74</v>
      </c>
      <c r="F8452">
        <v>2.84185</v>
      </c>
      <c r="G8452" t="s">
        <v>75</v>
      </c>
      <c r="H8452">
        <v>2841.8519999999999</v>
      </c>
      <c r="I8452" t="s">
        <v>76</v>
      </c>
      <c r="J8452" t="s">
        <v>82</v>
      </c>
      <c r="K8452">
        <v>351.88317319999999</v>
      </c>
    </row>
    <row r="8454" spans="1:11" x14ac:dyDescent="0.3">
      <c r="A8454" t="s">
        <v>103</v>
      </c>
    </row>
    <row r="8455" spans="1:11" x14ac:dyDescent="0.3">
      <c r="A8455" t="s">
        <v>72</v>
      </c>
      <c r="B8455">
        <v>1</v>
      </c>
      <c r="C8455" t="s">
        <v>81</v>
      </c>
      <c r="D8455">
        <v>2.16469E-2</v>
      </c>
      <c r="E8455" t="s">
        <v>74</v>
      </c>
      <c r="F8455">
        <v>21.646899999999999</v>
      </c>
      <c r="G8455" t="s">
        <v>75</v>
      </c>
      <c r="H8455">
        <v>21646.9</v>
      </c>
      <c r="I8455" t="s">
        <v>76</v>
      </c>
      <c r="J8455" t="s">
        <v>82</v>
      </c>
      <c r="K8455">
        <v>46.195990899999998</v>
      </c>
    </row>
    <row r="8456" spans="1:11" x14ac:dyDescent="0.3">
      <c r="A8456" t="s">
        <v>83</v>
      </c>
      <c r="B8456">
        <v>1000</v>
      </c>
      <c r="C8456" t="s">
        <v>81</v>
      </c>
      <c r="D8456">
        <v>4.9914299999999998E-3</v>
      </c>
      <c r="E8456" t="s">
        <v>74</v>
      </c>
      <c r="F8456">
        <v>4.9914300000000003</v>
      </c>
      <c r="G8456" t="s">
        <v>75</v>
      </c>
      <c r="H8456">
        <v>4991.4269999999997</v>
      </c>
      <c r="I8456" t="s">
        <v>76</v>
      </c>
      <c r="J8456" t="s">
        <v>82</v>
      </c>
      <c r="K8456">
        <v>200.34349209999999</v>
      </c>
    </row>
    <row r="8457" spans="1:11" x14ac:dyDescent="0.3">
      <c r="A8457" t="s">
        <v>85</v>
      </c>
      <c r="B8457">
        <v>1001</v>
      </c>
      <c r="C8457" t="s">
        <v>86</v>
      </c>
      <c r="D8457">
        <v>5.0082399999999997E-3</v>
      </c>
      <c r="E8457" t="s">
        <v>74</v>
      </c>
      <c r="F8457">
        <v>5.0082399999999998</v>
      </c>
      <c r="G8457" t="s">
        <v>75</v>
      </c>
      <c r="H8457">
        <v>5008.2349999999997</v>
      </c>
      <c r="I8457" t="s">
        <v>76</v>
      </c>
      <c r="J8457" t="s">
        <v>82</v>
      </c>
      <c r="K8457">
        <v>199.67112409999999</v>
      </c>
    </row>
    <row r="8459" spans="1:11" x14ac:dyDescent="0.3">
      <c r="A8459" t="s">
        <v>66</v>
      </c>
    </row>
    <row r="8461" spans="1:11" x14ac:dyDescent="0.3">
      <c r="A8461" t="s">
        <v>457</v>
      </c>
    </row>
    <row r="8462" spans="1:11" x14ac:dyDescent="0.3">
      <c r="A8462" t="s">
        <v>68</v>
      </c>
    </row>
    <row r="8463" spans="1:11" x14ac:dyDescent="0.3">
      <c r="A8463" t="s">
        <v>69</v>
      </c>
    </row>
    <row r="8464" spans="1:11" x14ac:dyDescent="0.3">
      <c r="A8464" t="s">
        <v>70</v>
      </c>
    </row>
    <row r="8465" spans="1:11" x14ac:dyDescent="0.3">
      <c r="A8465" t="s">
        <v>105</v>
      </c>
    </row>
    <row r="8466" spans="1:11" x14ac:dyDescent="0.3">
      <c r="A8466" t="s">
        <v>72</v>
      </c>
      <c r="B8466">
        <v>1</v>
      </c>
      <c r="C8466" t="s">
        <v>73</v>
      </c>
      <c r="D8466">
        <v>5.9999999999999997E-7</v>
      </c>
      <c r="E8466" t="s">
        <v>74</v>
      </c>
      <c r="F8466">
        <v>5.9999999999999995E-4</v>
      </c>
      <c r="G8466" t="s">
        <v>75</v>
      </c>
      <c r="H8466">
        <v>0.6</v>
      </c>
      <c r="I8466" t="s">
        <v>76</v>
      </c>
      <c r="J8466" t="s">
        <v>77</v>
      </c>
    </row>
    <row r="8467" spans="1:11" x14ac:dyDescent="0.3">
      <c r="A8467" t="s">
        <v>72</v>
      </c>
      <c r="B8467">
        <v>1</v>
      </c>
      <c r="C8467" t="s">
        <v>78</v>
      </c>
      <c r="D8467">
        <v>4.4199999999999997E-5</v>
      </c>
      <c r="E8467" t="s">
        <v>74</v>
      </c>
      <c r="F8467">
        <v>4.4200000000000003E-2</v>
      </c>
      <c r="G8467" t="s">
        <v>75</v>
      </c>
      <c r="H8467">
        <v>44.2</v>
      </c>
      <c r="I8467" t="s">
        <v>76</v>
      </c>
      <c r="J8467" t="s">
        <v>77</v>
      </c>
    </row>
    <row r="8468" spans="1:11" x14ac:dyDescent="0.3">
      <c r="A8468" t="s">
        <v>72</v>
      </c>
      <c r="B8468">
        <v>1</v>
      </c>
      <c r="C8468" t="s">
        <v>91</v>
      </c>
      <c r="D8468">
        <v>2.2604999999999999E-3</v>
      </c>
      <c r="E8468" t="s">
        <v>74</v>
      </c>
      <c r="F8468">
        <v>2.2605</v>
      </c>
      <c r="G8468" t="s">
        <v>75</v>
      </c>
      <c r="H8468">
        <v>2260.5</v>
      </c>
      <c r="I8468" t="s">
        <v>76</v>
      </c>
      <c r="J8468" t="s">
        <v>77</v>
      </c>
    </row>
    <row r="8469" spans="1:11" x14ac:dyDescent="0.3">
      <c r="A8469" t="s">
        <v>72</v>
      </c>
      <c r="B8469">
        <v>1</v>
      </c>
      <c r="C8469" t="s">
        <v>92</v>
      </c>
      <c r="D8469">
        <v>4.0777000000000001E-3</v>
      </c>
      <c r="E8469" t="s">
        <v>74</v>
      </c>
      <c r="F8469">
        <v>4.0777000000000001</v>
      </c>
      <c r="G8469" t="s">
        <v>75</v>
      </c>
      <c r="H8469">
        <v>4077.7</v>
      </c>
      <c r="I8469" t="s">
        <v>76</v>
      </c>
      <c r="J8469" t="s">
        <v>77</v>
      </c>
    </row>
    <row r="8470" spans="1:11" x14ac:dyDescent="0.3">
      <c r="A8470" t="s">
        <v>72</v>
      </c>
      <c r="B8470">
        <v>1</v>
      </c>
      <c r="C8470" t="s">
        <v>93</v>
      </c>
      <c r="D8470">
        <v>1.6946000000000001E-3</v>
      </c>
      <c r="E8470" t="s">
        <v>74</v>
      </c>
      <c r="F8470">
        <v>1.6946000000000001</v>
      </c>
      <c r="G8470" t="s">
        <v>75</v>
      </c>
      <c r="H8470">
        <v>1694.6</v>
      </c>
      <c r="I8470" t="s">
        <v>76</v>
      </c>
      <c r="J8470" t="s">
        <v>77</v>
      </c>
    </row>
    <row r="8471" spans="1:11" x14ac:dyDescent="0.3">
      <c r="A8471" t="s">
        <v>72</v>
      </c>
      <c r="B8471">
        <v>1</v>
      </c>
      <c r="C8471" t="s">
        <v>79</v>
      </c>
      <c r="D8471">
        <v>8.0345E-3</v>
      </c>
      <c r="E8471" t="s">
        <v>74</v>
      </c>
      <c r="F8471">
        <v>8.0344999999999995</v>
      </c>
      <c r="G8471" t="s">
        <v>75</v>
      </c>
      <c r="H8471">
        <v>8034.5</v>
      </c>
      <c r="I8471" t="s">
        <v>76</v>
      </c>
      <c r="J8471" t="s">
        <v>77</v>
      </c>
    </row>
    <row r="8472" spans="1:11" x14ac:dyDescent="0.3">
      <c r="A8472" t="s">
        <v>72</v>
      </c>
      <c r="B8472">
        <v>1</v>
      </c>
      <c r="C8472" t="s">
        <v>94</v>
      </c>
      <c r="D8472">
        <v>9.2006999999999992E-3</v>
      </c>
      <c r="E8472" t="s">
        <v>74</v>
      </c>
      <c r="F8472">
        <v>9.2006999999999994</v>
      </c>
      <c r="G8472" t="s">
        <v>75</v>
      </c>
      <c r="H8472">
        <v>9200.7000000000007</v>
      </c>
      <c r="I8472" t="s">
        <v>76</v>
      </c>
      <c r="J8472" t="s">
        <v>77</v>
      </c>
    </row>
    <row r="8473" spans="1:11" x14ac:dyDescent="0.3">
      <c r="A8473" t="s">
        <v>72</v>
      </c>
      <c r="B8473">
        <v>1</v>
      </c>
      <c r="C8473" t="s">
        <v>80</v>
      </c>
      <c r="D8473">
        <v>9.2023999999999995E-3</v>
      </c>
      <c r="E8473" t="s">
        <v>74</v>
      </c>
      <c r="F8473">
        <v>9.2024000000000008</v>
      </c>
      <c r="G8473" t="s">
        <v>75</v>
      </c>
      <c r="H8473">
        <v>9202.4</v>
      </c>
      <c r="I8473" t="s">
        <v>76</v>
      </c>
      <c r="J8473" t="s">
        <v>77</v>
      </c>
    </row>
    <row r="8474" spans="1:11" x14ac:dyDescent="0.3">
      <c r="A8474" t="s">
        <v>72</v>
      </c>
      <c r="B8474">
        <v>1</v>
      </c>
      <c r="C8474" t="s">
        <v>81</v>
      </c>
      <c r="D8474">
        <v>1.7239999999999998E-2</v>
      </c>
      <c r="E8474" t="s">
        <v>74</v>
      </c>
      <c r="F8474">
        <v>17.239999999999998</v>
      </c>
      <c r="G8474" t="s">
        <v>75</v>
      </c>
      <c r="H8474">
        <v>17240.001</v>
      </c>
      <c r="I8474" t="s">
        <v>76</v>
      </c>
      <c r="J8474" t="s">
        <v>82</v>
      </c>
      <c r="K8474">
        <v>58.0046374</v>
      </c>
    </row>
    <row r="8475" spans="1:11" x14ac:dyDescent="0.3">
      <c r="A8475" t="s">
        <v>83</v>
      </c>
      <c r="B8475">
        <v>1000</v>
      </c>
      <c r="C8475" t="s">
        <v>79</v>
      </c>
      <c r="D8475">
        <v>1.6E-7</v>
      </c>
      <c r="E8475" t="s">
        <v>74</v>
      </c>
      <c r="F8475">
        <v>1.6000000000000001E-4</v>
      </c>
      <c r="G8475" t="s">
        <v>75</v>
      </c>
      <c r="H8475">
        <v>0.16300000000000001</v>
      </c>
      <c r="I8475" t="s">
        <v>76</v>
      </c>
      <c r="J8475" t="s">
        <v>77</v>
      </c>
    </row>
    <row r="8476" spans="1:11" x14ac:dyDescent="0.3">
      <c r="A8476" t="s">
        <v>83</v>
      </c>
      <c r="B8476">
        <v>1000</v>
      </c>
      <c r="C8476" t="s">
        <v>94</v>
      </c>
      <c r="D8476">
        <v>2.6660899999999999E-3</v>
      </c>
      <c r="E8476" t="s">
        <v>74</v>
      </c>
      <c r="F8476">
        <v>2.6660900000000001</v>
      </c>
      <c r="G8476" t="s">
        <v>75</v>
      </c>
      <c r="H8476">
        <v>2666.0880000000002</v>
      </c>
      <c r="I8476" t="s">
        <v>76</v>
      </c>
      <c r="J8476" t="s">
        <v>77</v>
      </c>
    </row>
    <row r="8477" spans="1:11" x14ac:dyDescent="0.3">
      <c r="A8477" t="s">
        <v>83</v>
      </c>
      <c r="B8477">
        <v>1000</v>
      </c>
      <c r="C8477" t="s">
        <v>80</v>
      </c>
      <c r="D8477">
        <v>2.82147E-3</v>
      </c>
      <c r="E8477" t="s">
        <v>74</v>
      </c>
      <c r="F8477">
        <v>2.8214700000000001</v>
      </c>
      <c r="G8477" t="s">
        <v>75</v>
      </c>
      <c r="H8477">
        <v>2821.4720000000002</v>
      </c>
      <c r="I8477" t="s">
        <v>76</v>
      </c>
      <c r="J8477" t="s">
        <v>77</v>
      </c>
    </row>
    <row r="8478" spans="1:11" x14ac:dyDescent="0.3">
      <c r="A8478" t="s">
        <v>83</v>
      </c>
      <c r="B8478">
        <v>1000</v>
      </c>
      <c r="C8478" t="s">
        <v>81</v>
      </c>
      <c r="D8478">
        <v>2.8226599999999998E-3</v>
      </c>
      <c r="E8478" t="s">
        <v>74</v>
      </c>
      <c r="F8478">
        <v>2.8226599999999999</v>
      </c>
      <c r="G8478" t="s">
        <v>75</v>
      </c>
      <c r="H8478">
        <v>2822.6579999999999</v>
      </c>
      <c r="I8478" t="s">
        <v>76</v>
      </c>
      <c r="J8478" t="s">
        <v>82</v>
      </c>
      <c r="K8478">
        <v>354.27605720000003</v>
      </c>
    </row>
    <row r="8479" spans="1:11" x14ac:dyDescent="0.3">
      <c r="A8479" t="s">
        <v>84</v>
      </c>
      <c r="B8479">
        <v>1</v>
      </c>
      <c r="C8479" t="s">
        <v>91</v>
      </c>
      <c r="D8479">
        <v>2.2604999999999999E-3</v>
      </c>
      <c r="E8479" t="s">
        <v>74</v>
      </c>
      <c r="F8479">
        <v>2.2605</v>
      </c>
      <c r="G8479" t="s">
        <v>75</v>
      </c>
      <c r="H8479">
        <v>2260.5</v>
      </c>
      <c r="I8479" t="s">
        <v>76</v>
      </c>
      <c r="J8479" t="s">
        <v>77</v>
      </c>
    </row>
    <row r="8480" spans="1:11" x14ac:dyDescent="0.3">
      <c r="A8480" t="s">
        <v>84</v>
      </c>
      <c r="B8480">
        <v>1</v>
      </c>
      <c r="C8480" t="s">
        <v>92</v>
      </c>
      <c r="D8480">
        <v>4.0777000000000001E-3</v>
      </c>
      <c r="E8480" t="s">
        <v>74</v>
      </c>
      <c r="F8480">
        <v>4.0777000000000001</v>
      </c>
      <c r="G8480" t="s">
        <v>75</v>
      </c>
      <c r="H8480">
        <v>4077.7</v>
      </c>
      <c r="I8480" t="s">
        <v>76</v>
      </c>
      <c r="J8480" t="s">
        <v>77</v>
      </c>
    </row>
    <row r="8481" spans="1:11" x14ac:dyDescent="0.3">
      <c r="A8481" t="s">
        <v>84</v>
      </c>
      <c r="B8481">
        <v>1</v>
      </c>
      <c r="C8481" t="s">
        <v>93</v>
      </c>
      <c r="D8481">
        <v>1.6946000000000001E-3</v>
      </c>
      <c r="E8481" t="s">
        <v>74</v>
      </c>
      <c r="F8481">
        <v>1.6946000000000001</v>
      </c>
      <c r="G8481" t="s">
        <v>75</v>
      </c>
      <c r="H8481">
        <v>1694.6</v>
      </c>
      <c r="I8481" t="s">
        <v>76</v>
      </c>
      <c r="J8481" t="s">
        <v>77</v>
      </c>
    </row>
    <row r="8482" spans="1:11" x14ac:dyDescent="0.3">
      <c r="A8482" t="s">
        <v>84</v>
      </c>
      <c r="B8482">
        <v>1001</v>
      </c>
      <c r="C8482" t="s">
        <v>79</v>
      </c>
      <c r="D8482">
        <v>8.1899999999999995E-6</v>
      </c>
      <c r="E8482" t="s">
        <v>74</v>
      </c>
      <c r="F8482">
        <v>8.1899999999999994E-3</v>
      </c>
      <c r="G8482" t="s">
        <v>75</v>
      </c>
      <c r="H8482">
        <v>8.1890000000000001</v>
      </c>
      <c r="I8482" t="s">
        <v>76</v>
      </c>
      <c r="J8482" t="s">
        <v>77</v>
      </c>
    </row>
    <row r="8483" spans="1:11" x14ac:dyDescent="0.3">
      <c r="A8483" t="s">
        <v>84</v>
      </c>
      <c r="B8483">
        <v>1001</v>
      </c>
      <c r="C8483" t="s">
        <v>94</v>
      </c>
      <c r="D8483">
        <v>2.6726200000000001E-3</v>
      </c>
      <c r="E8483" t="s">
        <v>74</v>
      </c>
      <c r="F8483">
        <v>2.6726200000000002</v>
      </c>
      <c r="G8483" t="s">
        <v>75</v>
      </c>
      <c r="H8483">
        <v>2672.616</v>
      </c>
      <c r="I8483" t="s">
        <v>76</v>
      </c>
      <c r="J8483" t="s">
        <v>77</v>
      </c>
    </row>
    <row r="8484" spans="1:11" x14ac:dyDescent="0.3">
      <c r="A8484" t="s">
        <v>84</v>
      </c>
      <c r="B8484">
        <v>1001</v>
      </c>
      <c r="C8484" t="s">
        <v>80</v>
      </c>
      <c r="D8484">
        <v>2.8278499999999998E-3</v>
      </c>
      <c r="E8484" t="s">
        <v>74</v>
      </c>
      <c r="F8484">
        <v>2.8278500000000002</v>
      </c>
      <c r="G8484" t="s">
        <v>75</v>
      </c>
      <c r="H8484">
        <v>2827.846</v>
      </c>
      <c r="I8484" t="s">
        <v>76</v>
      </c>
      <c r="J8484" t="s">
        <v>77</v>
      </c>
    </row>
    <row r="8485" spans="1:11" x14ac:dyDescent="0.3">
      <c r="A8485" t="s">
        <v>84</v>
      </c>
      <c r="B8485">
        <v>1001</v>
      </c>
      <c r="C8485" t="s">
        <v>81</v>
      </c>
      <c r="D8485">
        <v>2.8370600000000002E-3</v>
      </c>
      <c r="E8485" t="s">
        <v>74</v>
      </c>
      <c r="F8485">
        <v>2.8370600000000001</v>
      </c>
      <c r="G8485" t="s">
        <v>75</v>
      </c>
      <c r="H8485">
        <v>2837.06</v>
      </c>
      <c r="I8485" t="s">
        <v>76</v>
      </c>
      <c r="J8485" t="s">
        <v>82</v>
      </c>
      <c r="K8485">
        <v>352.47752329999997</v>
      </c>
    </row>
    <row r="8486" spans="1:11" x14ac:dyDescent="0.3">
      <c r="A8486" t="s">
        <v>85</v>
      </c>
      <c r="B8486">
        <v>1001</v>
      </c>
      <c r="C8486" t="s">
        <v>86</v>
      </c>
      <c r="D8486">
        <v>2.8372499999999999E-3</v>
      </c>
      <c r="E8486" t="s">
        <v>74</v>
      </c>
      <c r="F8486">
        <v>2.83725</v>
      </c>
      <c r="G8486" t="s">
        <v>75</v>
      </c>
      <c r="H8486">
        <v>2837.2449999999999</v>
      </c>
      <c r="I8486" t="s">
        <v>76</v>
      </c>
      <c r="J8486" t="s">
        <v>82</v>
      </c>
      <c r="K8486">
        <v>352.4545617</v>
      </c>
    </row>
    <row r="8487" spans="1:11" x14ac:dyDescent="0.3">
      <c r="A8487" t="s">
        <v>106</v>
      </c>
    </row>
    <row r="8488" spans="1:11" x14ac:dyDescent="0.3">
      <c r="A8488" t="s">
        <v>72</v>
      </c>
      <c r="B8488">
        <v>1</v>
      </c>
      <c r="C8488" t="s">
        <v>73</v>
      </c>
      <c r="D8488">
        <v>5.9999999999999997E-7</v>
      </c>
      <c r="E8488" t="s">
        <v>74</v>
      </c>
      <c r="F8488">
        <v>5.9999999999999995E-4</v>
      </c>
      <c r="G8488" t="s">
        <v>75</v>
      </c>
      <c r="H8488">
        <v>0.6</v>
      </c>
      <c r="I8488" t="s">
        <v>76</v>
      </c>
      <c r="J8488" t="s">
        <v>77</v>
      </c>
    </row>
    <row r="8489" spans="1:11" x14ac:dyDescent="0.3">
      <c r="A8489" t="s">
        <v>72</v>
      </c>
      <c r="B8489">
        <v>1</v>
      </c>
      <c r="C8489" t="s">
        <v>78</v>
      </c>
      <c r="D8489">
        <v>4.3699999999999998E-5</v>
      </c>
      <c r="E8489" t="s">
        <v>74</v>
      </c>
      <c r="F8489">
        <v>4.3700000000000003E-2</v>
      </c>
      <c r="G8489" t="s">
        <v>75</v>
      </c>
      <c r="H8489">
        <v>43.7</v>
      </c>
      <c r="I8489" t="s">
        <v>76</v>
      </c>
      <c r="J8489" t="s">
        <v>77</v>
      </c>
    </row>
    <row r="8490" spans="1:11" x14ac:dyDescent="0.3">
      <c r="A8490" t="s">
        <v>72</v>
      </c>
      <c r="B8490">
        <v>1</v>
      </c>
      <c r="C8490" t="s">
        <v>91</v>
      </c>
      <c r="D8490">
        <v>2.2236000000000001E-3</v>
      </c>
      <c r="E8490" t="s">
        <v>74</v>
      </c>
      <c r="F8490">
        <v>2.2235999999999998</v>
      </c>
      <c r="G8490" t="s">
        <v>75</v>
      </c>
      <c r="H8490">
        <v>2223.6</v>
      </c>
      <c r="I8490" t="s">
        <v>76</v>
      </c>
      <c r="J8490" t="s">
        <v>77</v>
      </c>
    </row>
    <row r="8491" spans="1:11" x14ac:dyDescent="0.3">
      <c r="A8491" t="s">
        <v>72</v>
      </c>
      <c r="B8491">
        <v>1</v>
      </c>
      <c r="C8491" t="s">
        <v>92</v>
      </c>
      <c r="D8491">
        <v>4.1831000000000004E-3</v>
      </c>
      <c r="E8491" t="s">
        <v>74</v>
      </c>
      <c r="F8491">
        <v>4.1830999999999996</v>
      </c>
      <c r="G8491" t="s">
        <v>75</v>
      </c>
      <c r="H8491">
        <v>4183.1000000000004</v>
      </c>
      <c r="I8491" t="s">
        <v>76</v>
      </c>
      <c r="J8491" t="s">
        <v>77</v>
      </c>
    </row>
    <row r="8492" spans="1:11" x14ac:dyDescent="0.3">
      <c r="A8492" t="s">
        <v>72</v>
      </c>
      <c r="B8492">
        <v>1</v>
      </c>
      <c r="C8492" t="s">
        <v>93</v>
      </c>
      <c r="D8492">
        <v>1.6753E-3</v>
      </c>
      <c r="E8492" t="s">
        <v>74</v>
      </c>
      <c r="F8492">
        <v>1.6753</v>
      </c>
      <c r="G8492" t="s">
        <v>75</v>
      </c>
      <c r="H8492">
        <v>1675.3</v>
      </c>
      <c r="I8492" t="s">
        <v>76</v>
      </c>
      <c r="J8492" t="s">
        <v>77</v>
      </c>
    </row>
    <row r="8493" spans="1:11" x14ac:dyDescent="0.3">
      <c r="A8493" t="s">
        <v>72</v>
      </c>
      <c r="B8493">
        <v>1</v>
      </c>
      <c r="C8493" t="s">
        <v>79</v>
      </c>
      <c r="D8493">
        <v>8.0823000000000006E-3</v>
      </c>
      <c r="E8493" t="s">
        <v>74</v>
      </c>
      <c r="F8493">
        <v>8.0823</v>
      </c>
      <c r="G8493" t="s">
        <v>75</v>
      </c>
      <c r="H8493">
        <v>8082.3</v>
      </c>
      <c r="I8493" t="s">
        <v>76</v>
      </c>
      <c r="J8493" t="s">
        <v>77</v>
      </c>
    </row>
    <row r="8494" spans="1:11" x14ac:dyDescent="0.3">
      <c r="A8494" t="s">
        <v>72</v>
      </c>
      <c r="B8494">
        <v>1</v>
      </c>
      <c r="C8494" t="s">
        <v>96</v>
      </c>
      <c r="D8494">
        <v>2.0953E-3</v>
      </c>
      <c r="E8494" t="s">
        <v>74</v>
      </c>
      <c r="F8494">
        <v>2.0952999999999999</v>
      </c>
      <c r="G8494" t="s">
        <v>75</v>
      </c>
      <c r="H8494">
        <v>2095.3000000000002</v>
      </c>
      <c r="I8494" t="s">
        <v>76</v>
      </c>
      <c r="J8494" t="s">
        <v>77</v>
      </c>
    </row>
    <row r="8495" spans="1:11" x14ac:dyDescent="0.3">
      <c r="A8495" t="s">
        <v>72</v>
      </c>
      <c r="B8495">
        <v>1</v>
      </c>
      <c r="C8495" t="s">
        <v>94</v>
      </c>
      <c r="D8495">
        <v>2.9272999999999999E-3</v>
      </c>
      <c r="E8495" t="s">
        <v>74</v>
      </c>
      <c r="F8495">
        <v>2.9272999999999998</v>
      </c>
      <c r="G8495" t="s">
        <v>75</v>
      </c>
      <c r="H8495">
        <v>2927.3</v>
      </c>
      <c r="I8495" t="s">
        <v>76</v>
      </c>
      <c r="J8495" t="s">
        <v>77</v>
      </c>
    </row>
    <row r="8496" spans="1:11" x14ac:dyDescent="0.3">
      <c r="A8496" t="s">
        <v>72</v>
      </c>
      <c r="B8496">
        <v>1</v>
      </c>
      <c r="C8496" t="s">
        <v>80</v>
      </c>
      <c r="D8496">
        <v>5.1628999999999998E-3</v>
      </c>
      <c r="E8496" t="s">
        <v>74</v>
      </c>
      <c r="F8496">
        <v>5.1628999999999996</v>
      </c>
      <c r="G8496" t="s">
        <v>75</v>
      </c>
      <c r="H8496">
        <v>5162.8999999999996</v>
      </c>
      <c r="I8496" t="s">
        <v>76</v>
      </c>
      <c r="J8496" t="s">
        <v>77</v>
      </c>
    </row>
    <row r="8497" spans="1:11" x14ac:dyDescent="0.3">
      <c r="A8497" t="s">
        <v>72</v>
      </c>
      <c r="B8497">
        <v>1</v>
      </c>
      <c r="C8497" t="s">
        <v>81</v>
      </c>
      <c r="D8497">
        <v>1.32461E-2</v>
      </c>
      <c r="E8497" t="s">
        <v>74</v>
      </c>
      <c r="F8497">
        <v>13.2461</v>
      </c>
      <c r="G8497" t="s">
        <v>75</v>
      </c>
      <c r="H8497">
        <v>13246.1</v>
      </c>
      <c r="I8497" t="s">
        <v>76</v>
      </c>
      <c r="J8497" t="s">
        <v>82</v>
      </c>
      <c r="K8497">
        <v>75.4939167</v>
      </c>
    </row>
    <row r="8498" spans="1:11" x14ac:dyDescent="0.3">
      <c r="A8498" t="s">
        <v>83</v>
      </c>
      <c r="B8498">
        <v>1000</v>
      </c>
      <c r="C8498" t="s">
        <v>79</v>
      </c>
      <c r="D8498">
        <v>1.6999999999999999E-7</v>
      </c>
      <c r="E8498" t="s">
        <v>74</v>
      </c>
      <c r="F8498">
        <v>1.7000000000000001E-4</v>
      </c>
      <c r="G8498" t="s">
        <v>75</v>
      </c>
      <c r="H8498">
        <v>0.16700000000000001</v>
      </c>
      <c r="I8498" t="s">
        <v>76</v>
      </c>
      <c r="J8498" t="s">
        <v>77</v>
      </c>
    </row>
    <row r="8499" spans="1:11" x14ac:dyDescent="0.3">
      <c r="A8499" t="s">
        <v>83</v>
      </c>
      <c r="B8499">
        <v>1000</v>
      </c>
      <c r="C8499" t="s">
        <v>96</v>
      </c>
      <c r="D8499">
        <v>1.87634E-3</v>
      </c>
      <c r="E8499" t="s">
        <v>74</v>
      </c>
      <c r="F8499">
        <v>1.8763399999999999</v>
      </c>
      <c r="G8499" t="s">
        <v>75</v>
      </c>
      <c r="H8499">
        <v>1876.337</v>
      </c>
      <c r="I8499" t="s">
        <v>76</v>
      </c>
      <c r="J8499" t="s">
        <v>77</v>
      </c>
    </row>
    <row r="8500" spans="1:11" x14ac:dyDescent="0.3">
      <c r="A8500" t="s">
        <v>83</v>
      </c>
      <c r="B8500">
        <v>1000</v>
      </c>
      <c r="C8500" t="s">
        <v>94</v>
      </c>
      <c r="D8500">
        <v>2.9591499999999998E-3</v>
      </c>
      <c r="E8500" t="s">
        <v>74</v>
      </c>
      <c r="F8500">
        <v>2.9591500000000002</v>
      </c>
      <c r="G8500" t="s">
        <v>75</v>
      </c>
      <c r="H8500">
        <v>2959.15</v>
      </c>
      <c r="I8500" t="s">
        <v>76</v>
      </c>
      <c r="J8500" t="s">
        <v>77</v>
      </c>
    </row>
    <row r="8501" spans="1:11" x14ac:dyDescent="0.3">
      <c r="A8501" t="s">
        <v>83</v>
      </c>
      <c r="B8501">
        <v>1000</v>
      </c>
      <c r="C8501" t="s">
        <v>80</v>
      </c>
      <c r="D8501">
        <v>4.9615199999999996E-3</v>
      </c>
      <c r="E8501" t="s">
        <v>74</v>
      </c>
      <c r="F8501">
        <v>4.9615200000000002</v>
      </c>
      <c r="G8501" t="s">
        <v>75</v>
      </c>
      <c r="H8501">
        <v>4961.5240000000003</v>
      </c>
      <c r="I8501" t="s">
        <v>76</v>
      </c>
      <c r="J8501" t="s">
        <v>77</v>
      </c>
    </row>
    <row r="8502" spans="1:11" x14ac:dyDescent="0.3">
      <c r="A8502" t="s">
        <v>83</v>
      </c>
      <c r="B8502">
        <v>1000</v>
      </c>
      <c r="C8502" t="s">
        <v>81</v>
      </c>
      <c r="D8502">
        <v>4.96277E-3</v>
      </c>
      <c r="E8502" t="s">
        <v>74</v>
      </c>
      <c r="F8502">
        <v>4.9627699999999999</v>
      </c>
      <c r="G8502" t="s">
        <v>75</v>
      </c>
      <c r="H8502">
        <v>4962.7669999999998</v>
      </c>
      <c r="I8502" t="s">
        <v>76</v>
      </c>
      <c r="J8502" t="s">
        <v>82</v>
      </c>
      <c r="K8502">
        <v>201.50048849999999</v>
      </c>
    </row>
    <row r="8503" spans="1:11" x14ac:dyDescent="0.3">
      <c r="A8503" t="s">
        <v>84</v>
      </c>
      <c r="B8503">
        <v>1</v>
      </c>
      <c r="C8503" t="s">
        <v>91</v>
      </c>
      <c r="D8503">
        <v>2.2236000000000001E-3</v>
      </c>
      <c r="E8503" t="s">
        <v>74</v>
      </c>
      <c r="F8503">
        <v>2.2235999999999998</v>
      </c>
      <c r="G8503" t="s">
        <v>75</v>
      </c>
      <c r="H8503">
        <v>2223.6</v>
      </c>
      <c r="I8503" t="s">
        <v>76</v>
      </c>
      <c r="J8503" t="s">
        <v>77</v>
      </c>
    </row>
    <row r="8504" spans="1:11" x14ac:dyDescent="0.3">
      <c r="A8504" t="s">
        <v>84</v>
      </c>
      <c r="B8504">
        <v>1</v>
      </c>
      <c r="C8504" t="s">
        <v>92</v>
      </c>
      <c r="D8504">
        <v>4.1831000000000004E-3</v>
      </c>
      <c r="E8504" t="s">
        <v>74</v>
      </c>
      <c r="F8504">
        <v>4.1830999999999996</v>
      </c>
      <c r="G8504" t="s">
        <v>75</v>
      </c>
      <c r="H8504">
        <v>4183.1000000000004</v>
      </c>
      <c r="I8504" t="s">
        <v>76</v>
      </c>
      <c r="J8504" t="s">
        <v>77</v>
      </c>
    </row>
    <row r="8505" spans="1:11" x14ac:dyDescent="0.3">
      <c r="A8505" t="s">
        <v>84</v>
      </c>
      <c r="B8505">
        <v>1</v>
      </c>
      <c r="C8505" t="s">
        <v>93</v>
      </c>
      <c r="D8505">
        <v>1.6753E-3</v>
      </c>
      <c r="E8505" t="s">
        <v>74</v>
      </c>
      <c r="F8505">
        <v>1.6753</v>
      </c>
      <c r="G8505" t="s">
        <v>75</v>
      </c>
      <c r="H8505">
        <v>1675.3</v>
      </c>
      <c r="I8505" t="s">
        <v>76</v>
      </c>
      <c r="J8505" t="s">
        <v>77</v>
      </c>
    </row>
    <row r="8506" spans="1:11" x14ac:dyDescent="0.3">
      <c r="A8506" t="s">
        <v>84</v>
      </c>
      <c r="B8506">
        <v>1001</v>
      </c>
      <c r="C8506" t="s">
        <v>79</v>
      </c>
      <c r="D8506">
        <v>8.2400000000000007E-6</v>
      </c>
      <c r="E8506" t="s">
        <v>74</v>
      </c>
      <c r="F8506">
        <v>8.2400000000000008E-3</v>
      </c>
      <c r="G8506" t="s">
        <v>75</v>
      </c>
      <c r="H8506">
        <v>8.2409999999999997</v>
      </c>
      <c r="I8506" t="s">
        <v>76</v>
      </c>
      <c r="J8506" t="s">
        <v>77</v>
      </c>
    </row>
    <row r="8507" spans="1:11" x14ac:dyDescent="0.3">
      <c r="A8507" t="s">
        <v>84</v>
      </c>
      <c r="B8507">
        <v>1001</v>
      </c>
      <c r="C8507" t="s">
        <v>96</v>
      </c>
      <c r="D8507">
        <v>1.87656E-3</v>
      </c>
      <c r="E8507" t="s">
        <v>74</v>
      </c>
      <c r="F8507">
        <v>1.87656</v>
      </c>
      <c r="G8507" t="s">
        <v>75</v>
      </c>
      <c r="H8507">
        <v>1876.5550000000001</v>
      </c>
      <c r="I8507" t="s">
        <v>76</v>
      </c>
      <c r="J8507" t="s">
        <v>77</v>
      </c>
    </row>
    <row r="8508" spans="1:11" x14ac:dyDescent="0.3">
      <c r="A8508" t="s">
        <v>84</v>
      </c>
      <c r="B8508">
        <v>1001</v>
      </c>
      <c r="C8508" t="s">
        <v>94</v>
      </c>
      <c r="D8508">
        <v>2.95912E-3</v>
      </c>
      <c r="E8508" t="s">
        <v>74</v>
      </c>
      <c r="F8508">
        <v>2.95912</v>
      </c>
      <c r="G8508" t="s">
        <v>75</v>
      </c>
      <c r="H8508">
        <v>2959.1179999999999</v>
      </c>
      <c r="I8508" t="s">
        <v>76</v>
      </c>
      <c r="J8508" t="s">
        <v>77</v>
      </c>
    </row>
    <row r="8509" spans="1:11" x14ac:dyDescent="0.3">
      <c r="A8509" t="s">
        <v>84</v>
      </c>
      <c r="B8509">
        <v>1001</v>
      </c>
      <c r="C8509" t="s">
        <v>80</v>
      </c>
      <c r="D8509">
        <v>4.9617300000000001E-3</v>
      </c>
      <c r="E8509" t="s">
        <v>74</v>
      </c>
      <c r="F8509">
        <v>4.9617300000000002</v>
      </c>
      <c r="G8509" t="s">
        <v>75</v>
      </c>
      <c r="H8509">
        <v>4961.7250000000004</v>
      </c>
      <c r="I8509" t="s">
        <v>76</v>
      </c>
      <c r="J8509" t="s">
        <v>77</v>
      </c>
    </row>
    <row r="8510" spans="1:11" x14ac:dyDescent="0.3">
      <c r="A8510" t="s">
        <v>84</v>
      </c>
      <c r="B8510">
        <v>1001</v>
      </c>
      <c r="C8510" t="s">
        <v>81</v>
      </c>
      <c r="D8510">
        <v>4.9710400000000004E-3</v>
      </c>
      <c r="E8510" t="s">
        <v>74</v>
      </c>
      <c r="F8510">
        <v>4.9710400000000003</v>
      </c>
      <c r="G8510" t="s">
        <v>75</v>
      </c>
      <c r="H8510">
        <v>4971.0420000000004</v>
      </c>
      <c r="I8510" t="s">
        <v>76</v>
      </c>
      <c r="J8510" t="s">
        <v>82</v>
      </c>
      <c r="K8510">
        <v>201.16506190000001</v>
      </c>
    </row>
    <row r="8511" spans="1:11" x14ac:dyDescent="0.3">
      <c r="A8511" t="s">
        <v>85</v>
      </c>
      <c r="B8511">
        <v>1001</v>
      </c>
      <c r="C8511" t="s">
        <v>86</v>
      </c>
      <c r="D8511">
        <v>4.9712100000000002E-3</v>
      </c>
      <c r="E8511" t="s">
        <v>74</v>
      </c>
      <c r="F8511">
        <v>4.9712100000000001</v>
      </c>
      <c r="G8511" t="s">
        <v>75</v>
      </c>
      <c r="H8511">
        <v>4971.2120000000004</v>
      </c>
      <c r="I8511" t="s">
        <v>76</v>
      </c>
      <c r="J8511" t="s">
        <v>82</v>
      </c>
      <c r="K8511">
        <v>201.1581802</v>
      </c>
    </row>
    <row r="8512" spans="1:11" x14ac:dyDescent="0.3">
      <c r="A8512" t="s">
        <v>87</v>
      </c>
    </row>
    <row r="8513" spans="1:11" x14ac:dyDescent="0.3">
      <c r="A8513" t="s">
        <v>107</v>
      </c>
    </row>
    <row r="8514" spans="1:11" x14ac:dyDescent="0.3">
      <c r="A8514" t="s">
        <v>72</v>
      </c>
      <c r="B8514">
        <v>1</v>
      </c>
      <c r="C8514" t="s">
        <v>81</v>
      </c>
      <c r="D8514">
        <v>1.7239999999999998E-2</v>
      </c>
      <c r="E8514" t="s">
        <v>74</v>
      </c>
      <c r="F8514">
        <v>17.239999999999998</v>
      </c>
      <c r="G8514" t="s">
        <v>75</v>
      </c>
      <c r="H8514">
        <v>17240.001</v>
      </c>
      <c r="I8514" t="s">
        <v>76</v>
      </c>
      <c r="J8514" t="s">
        <v>82</v>
      </c>
      <c r="K8514">
        <v>58.0046374</v>
      </c>
    </row>
    <row r="8515" spans="1:11" x14ac:dyDescent="0.3">
      <c r="A8515" t="s">
        <v>83</v>
      </c>
      <c r="B8515">
        <v>1000</v>
      </c>
      <c r="C8515" t="s">
        <v>81</v>
      </c>
      <c r="D8515">
        <v>2.8226599999999998E-3</v>
      </c>
      <c r="E8515" t="s">
        <v>74</v>
      </c>
      <c r="F8515">
        <v>2.8226599999999999</v>
      </c>
      <c r="G8515" t="s">
        <v>75</v>
      </c>
      <c r="H8515">
        <v>2822.6579999999999</v>
      </c>
      <c r="I8515" t="s">
        <v>76</v>
      </c>
      <c r="J8515" t="s">
        <v>82</v>
      </c>
      <c r="K8515">
        <v>354.27605720000003</v>
      </c>
    </row>
    <row r="8516" spans="1:11" x14ac:dyDescent="0.3">
      <c r="A8516" t="s">
        <v>85</v>
      </c>
      <c r="B8516">
        <v>1001</v>
      </c>
      <c r="C8516" t="s">
        <v>86</v>
      </c>
      <c r="D8516">
        <v>2.8372499999999999E-3</v>
      </c>
      <c r="E8516" t="s">
        <v>74</v>
      </c>
      <c r="F8516">
        <v>2.83725</v>
      </c>
      <c r="G8516" t="s">
        <v>75</v>
      </c>
      <c r="H8516">
        <v>2837.2449999999999</v>
      </c>
      <c r="I8516" t="s">
        <v>76</v>
      </c>
      <c r="J8516" t="s">
        <v>82</v>
      </c>
      <c r="K8516">
        <v>352.4545617</v>
      </c>
    </row>
    <row r="8518" spans="1:11" x14ac:dyDescent="0.3">
      <c r="A8518" t="s">
        <v>108</v>
      </c>
    </row>
    <row r="8519" spans="1:11" x14ac:dyDescent="0.3">
      <c r="A8519" t="s">
        <v>72</v>
      </c>
      <c r="B8519">
        <v>1</v>
      </c>
      <c r="C8519" t="s">
        <v>81</v>
      </c>
      <c r="D8519">
        <v>1.32461E-2</v>
      </c>
      <c r="E8519" t="s">
        <v>74</v>
      </c>
      <c r="F8519">
        <v>13.2461</v>
      </c>
      <c r="G8519" t="s">
        <v>75</v>
      </c>
      <c r="H8519">
        <v>13246.1</v>
      </c>
      <c r="I8519" t="s">
        <v>76</v>
      </c>
      <c r="J8519" t="s">
        <v>82</v>
      </c>
      <c r="K8519">
        <v>75.4939167</v>
      </c>
    </row>
    <row r="8520" spans="1:11" x14ac:dyDescent="0.3">
      <c r="A8520" t="s">
        <v>83</v>
      </c>
      <c r="B8520">
        <v>1000</v>
      </c>
      <c r="C8520" t="s">
        <v>81</v>
      </c>
      <c r="D8520">
        <v>4.96277E-3</v>
      </c>
      <c r="E8520" t="s">
        <v>74</v>
      </c>
      <c r="F8520">
        <v>4.9627699999999999</v>
      </c>
      <c r="G8520" t="s">
        <v>75</v>
      </c>
      <c r="H8520">
        <v>4962.7669999999998</v>
      </c>
      <c r="I8520" t="s">
        <v>76</v>
      </c>
      <c r="J8520" t="s">
        <v>82</v>
      </c>
      <c r="K8520">
        <v>201.50048849999999</v>
      </c>
    </row>
    <row r="8521" spans="1:11" x14ac:dyDescent="0.3">
      <c r="A8521" t="s">
        <v>85</v>
      </c>
      <c r="B8521">
        <v>1001</v>
      </c>
      <c r="C8521" t="s">
        <v>86</v>
      </c>
      <c r="D8521">
        <v>4.9712100000000002E-3</v>
      </c>
      <c r="E8521" t="s">
        <v>74</v>
      </c>
      <c r="F8521">
        <v>4.9712100000000001</v>
      </c>
      <c r="G8521" t="s">
        <v>75</v>
      </c>
      <c r="H8521">
        <v>4971.2120000000004</v>
      </c>
      <c r="I8521" t="s">
        <v>76</v>
      </c>
      <c r="J8521" t="s">
        <v>82</v>
      </c>
      <c r="K8521">
        <v>201.1581802</v>
      </c>
    </row>
    <row r="8523" spans="1:11" x14ac:dyDescent="0.3">
      <c r="A8523" t="s">
        <v>66</v>
      </c>
    </row>
    <row r="8525" spans="1:11" x14ac:dyDescent="0.3">
      <c r="A8525" t="s">
        <v>458</v>
      </c>
    </row>
    <row r="8526" spans="1:11" x14ac:dyDescent="0.3">
      <c r="A8526" t="s">
        <v>68</v>
      </c>
    </row>
    <row r="8527" spans="1:11" x14ac:dyDescent="0.3">
      <c r="A8527" t="s">
        <v>69</v>
      </c>
    </row>
    <row r="8528" spans="1:11" x14ac:dyDescent="0.3">
      <c r="A8528" t="s">
        <v>70</v>
      </c>
    </row>
    <row r="8529" spans="1:11" x14ac:dyDescent="0.3">
      <c r="A8529" t="s">
        <v>110</v>
      </c>
    </row>
    <row r="8530" spans="1:11" x14ac:dyDescent="0.3">
      <c r="A8530" t="s">
        <v>72</v>
      </c>
      <c r="B8530">
        <v>1</v>
      </c>
      <c r="C8530" t="s">
        <v>73</v>
      </c>
      <c r="D8530">
        <v>7.9999999999999996E-7</v>
      </c>
      <c r="E8530" t="s">
        <v>74</v>
      </c>
      <c r="F8530">
        <v>8.0000000000000004E-4</v>
      </c>
      <c r="G8530" t="s">
        <v>75</v>
      </c>
      <c r="H8530">
        <v>0.8</v>
      </c>
      <c r="I8530" t="s">
        <v>76</v>
      </c>
      <c r="J8530" t="s">
        <v>77</v>
      </c>
    </row>
    <row r="8531" spans="1:11" x14ac:dyDescent="0.3">
      <c r="A8531" t="s">
        <v>72</v>
      </c>
      <c r="B8531">
        <v>1</v>
      </c>
      <c r="C8531" t="s">
        <v>78</v>
      </c>
      <c r="D8531">
        <v>1.8600000000000001E-5</v>
      </c>
      <c r="E8531" t="s">
        <v>74</v>
      </c>
      <c r="F8531">
        <v>1.8599999999999998E-2</v>
      </c>
      <c r="G8531" t="s">
        <v>75</v>
      </c>
      <c r="H8531">
        <v>18.600000000000001</v>
      </c>
      <c r="I8531" t="s">
        <v>76</v>
      </c>
      <c r="J8531" t="s">
        <v>77</v>
      </c>
    </row>
    <row r="8532" spans="1:11" x14ac:dyDescent="0.3">
      <c r="A8532" t="s">
        <v>72</v>
      </c>
      <c r="B8532">
        <v>1</v>
      </c>
      <c r="C8532" t="s">
        <v>79</v>
      </c>
      <c r="D8532">
        <v>4.3189999999999999E-3</v>
      </c>
      <c r="E8532" t="s">
        <v>74</v>
      </c>
      <c r="F8532">
        <v>4.319</v>
      </c>
      <c r="G8532" t="s">
        <v>75</v>
      </c>
      <c r="H8532">
        <v>4319</v>
      </c>
      <c r="I8532" t="s">
        <v>76</v>
      </c>
      <c r="J8532" t="s">
        <v>77</v>
      </c>
    </row>
    <row r="8533" spans="1:11" x14ac:dyDescent="0.3">
      <c r="A8533" t="s">
        <v>72</v>
      </c>
      <c r="B8533">
        <v>1</v>
      </c>
      <c r="C8533" t="s">
        <v>94</v>
      </c>
      <c r="D8533">
        <v>9.2905000000000001E-3</v>
      </c>
      <c r="E8533" t="s">
        <v>74</v>
      </c>
      <c r="F8533">
        <v>9.2904999999999998</v>
      </c>
      <c r="G8533" t="s">
        <v>75</v>
      </c>
      <c r="H8533">
        <v>9290.5</v>
      </c>
      <c r="I8533" t="s">
        <v>76</v>
      </c>
      <c r="J8533" t="s">
        <v>77</v>
      </c>
    </row>
    <row r="8534" spans="1:11" x14ac:dyDescent="0.3">
      <c r="A8534" t="s">
        <v>72</v>
      </c>
      <c r="B8534">
        <v>1</v>
      </c>
      <c r="C8534" t="s">
        <v>80</v>
      </c>
      <c r="D8534">
        <v>9.2910000000000006E-3</v>
      </c>
      <c r="E8534" t="s">
        <v>74</v>
      </c>
      <c r="F8534">
        <v>9.2910000000000004</v>
      </c>
      <c r="G8534" t="s">
        <v>75</v>
      </c>
      <c r="H8534">
        <v>9291</v>
      </c>
      <c r="I8534" t="s">
        <v>76</v>
      </c>
      <c r="J8534" t="s">
        <v>77</v>
      </c>
    </row>
    <row r="8535" spans="1:11" x14ac:dyDescent="0.3">
      <c r="A8535" t="s">
        <v>72</v>
      </c>
      <c r="B8535">
        <v>1</v>
      </c>
      <c r="C8535" t="s">
        <v>81</v>
      </c>
      <c r="D8535">
        <v>1.36128E-2</v>
      </c>
      <c r="E8535" t="s">
        <v>74</v>
      </c>
      <c r="F8535">
        <v>13.6128</v>
      </c>
      <c r="G8535" t="s">
        <v>75</v>
      </c>
      <c r="H8535">
        <v>13612.8</v>
      </c>
      <c r="I8535" t="s">
        <v>76</v>
      </c>
      <c r="J8535" t="s">
        <v>82</v>
      </c>
      <c r="K8535">
        <v>73.460271199999994</v>
      </c>
    </row>
    <row r="8536" spans="1:11" x14ac:dyDescent="0.3">
      <c r="A8536" t="s">
        <v>83</v>
      </c>
      <c r="B8536">
        <v>1000</v>
      </c>
      <c r="C8536" t="s">
        <v>79</v>
      </c>
      <c r="D8536">
        <v>1.6999999999999999E-7</v>
      </c>
      <c r="E8536" t="s">
        <v>74</v>
      </c>
      <c r="F8536">
        <v>1.7000000000000001E-4</v>
      </c>
      <c r="G8536" t="s">
        <v>75</v>
      </c>
      <c r="H8536">
        <v>0.17299999999999999</v>
      </c>
      <c r="I8536" t="s">
        <v>76</v>
      </c>
      <c r="J8536" t="s">
        <v>77</v>
      </c>
    </row>
    <row r="8537" spans="1:11" x14ac:dyDescent="0.3">
      <c r="A8537" t="s">
        <v>83</v>
      </c>
      <c r="B8537">
        <v>1000</v>
      </c>
      <c r="C8537" t="s">
        <v>94</v>
      </c>
      <c r="D8537">
        <v>2.67155E-3</v>
      </c>
      <c r="E8537" t="s">
        <v>74</v>
      </c>
      <c r="F8537">
        <v>2.6715499999999999</v>
      </c>
      <c r="G8537" t="s">
        <v>75</v>
      </c>
      <c r="H8537">
        <v>2671.5479999999998</v>
      </c>
      <c r="I8537" t="s">
        <v>76</v>
      </c>
      <c r="J8537" t="s">
        <v>77</v>
      </c>
    </row>
    <row r="8538" spans="1:11" x14ac:dyDescent="0.3">
      <c r="A8538" t="s">
        <v>83</v>
      </c>
      <c r="B8538">
        <v>1000</v>
      </c>
      <c r="C8538" t="s">
        <v>80</v>
      </c>
      <c r="D8538">
        <v>2.82482E-3</v>
      </c>
      <c r="E8538" t="s">
        <v>74</v>
      </c>
      <c r="F8538">
        <v>2.8248199999999999</v>
      </c>
      <c r="G8538" t="s">
        <v>75</v>
      </c>
      <c r="H8538">
        <v>2824.82</v>
      </c>
      <c r="I8538" t="s">
        <v>76</v>
      </c>
      <c r="J8538" t="s">
        <v>77</v>
      </c>
    </row>
    <row r="8539" spans="1:11" x14ac:dyDescent="0.3">
      <c r="A8539" t="s">
        <v>83</v>
      </c>
      <c r="B8539">
        <v>1000</v>
      </c>
      <c r="C8539" t="s">
        <v>81</v>
      </c>
      <c r="D8539">
        <v>2.8259399999999999E-3</v>
      </c>
      <c r="E8539" t="s">
        <v>74</v>
      </c>
      <c r="F8539">
        <v>2.8259400000000001</v>
      </c>
      <c r="G8539" t="s">
        <v>75</v>
      </c>
      <c r="H8539">
        <v>2825.94</v>
      </c>
      <c r="I8539" t="s">
        <v>76</v>
      </c>
      <c r="J8539" t="s">
        <v>82</v>
      </c>
      <c r="K8539">
        <v>353.86450839999998</v>
      </c>
    </row>
    <row r="8540" spans="1:11" x14ac:dyDescent="0.3">
      <c r="A8540" t="s">
        <v>84</v>
      </c>
      <c r="B8540">
        <v>1001</v>
      </c>
      <c r="C8540" t="s">
        <v>79</v>
      </c>
      <c r="D8540">
        <v>4.4900000000000002E-6</v>
      </c>
      <c r="E8540" t="s">
        <v>74</v>
      </c>
      <c r="F8540">
        <v>4.4900000000000001E-3</v>
      </c>
      <c r="G8540" t="s">
        <v>75</v>
      </c>
      <c r="H8540">
        <v>4.4870000000000001</v>
      </c>
      <c r="I8540" t="s">
        <v>76</v>
      </c>
      <c r="J8540" t="s">
        <v>77</v>
      </c>
    </row>
    <row r="8541" spans="1:11" x14ac:dyDescent="0.3">
      <c r="A8541" t="s">
        <v>84</v>
      </c>
      <c r="B8541">
        <v>1001</v>
      </c>
      <c r="C8541" t="s">
        <v>94</v>
      </c>
      <c r="D8541">
        <v>2.6781600000000002E-3</v>
      </c>
      <c r="E8541" t="s">
        <v>74</v>
      </c>
      <c r="F8541">
        <v>2.6781600000000001</v>
      </c>
      <c r="G8541" t="s">
        <v>75</v>
      </c>
      <c r="H8541">
        <v>2678.1610000000001</v>
      </c>
      <c r="I8541" t="s">
        <v>76</v>
      </c>
      <c r="J8541" t="s">
        <v>77</v>
      </c>
    </row>
    <row r="8542" spans="1:11" x14ac:dyDescent="0.3">
      <c r="A8542" t="s">
        <v>84</v>
      </c>
      <c r="B8542">
        <v>1001</v>
      </c>
      <c r="C8542" t="s">
        <v>80</v>
      </c>
      <c r="D8542">
        <v>2.8312799999999998E-3</v>
      </c>
      <c r="E8542" t="s">
        <v>74</v>
      </c>
      <c r="F8542">
        <v>2.83128</v>
      </c>
      <c r="G8542" t="s">
        <v>75</v>
      </c>
      <c r="H8542">
        <v>2831.28</v>
      </c>
      <c r="I8542" t="s">
        <v>76</v>
      </c>
      <c r="J8542" t="s">
        <v>77</v>
      </c>
    </row>
    <row r="8543" spans="1:11" x14ac:dyDescent="0.3">
      <c r="A8543" t="s">
        <v>84</v>
      </c>
      <c r="B8543">
        <v>1001</v>
      </c>
      <c r="C8543" t="s">
        <v>81</v>
      </c>
      <c r="D8543">
        <v>2.83672E-3</v>
      </c>
      <c r="E8543" t="s">
        <v>74</v>
      </c>
      <c r="F8543">
        <v>2.8367200000000001</v>
      </c>
      <c r="G8543" t="s">
        <v>75</v>
      </c>
      <c r="H8543">
        <v>2836.7170000000001</v>
      </c>
      <c r="I8543" t="s">
        <v>76</v>
      </c>
      <c r="J8543" t="s">
        <v>82</v>
      </c>
      <c r="K8543">
        <v>352.52022920000002</v>
      </c>
    </row>
    <row r="8544" spans="1:11" x14ac:dyDescent="0.3">
      <c r="A8544" t="s">
        <v>85</v>
      </c>
      <c r="B8544">
        <v>1001</v>
      </c>
      <c r="C8544" t="s">
        <v>86</v>
      </c>
      <c r="D8544">
        <v>2.83695E-3</v>
      </c>
      <c r="E8544" t="s">
        <v>74</v>
      </c>
      <c r="F8544">
        <v>2.8369499999999999</v>
      </c>
      <c r="G8544" t="s">
        <v>75</v>
      </c>
      <c r="H8544">
        <v>2836.9479999999999</v>
      </c>
      <c r="I8544" t="s">
        <v>76</v>
      </c>
      <c r="J8544" t="s">
        <v>82</v>
      </c>
      <c r="K8544">
        <v>352.49146150000001</v>
      </c>
    </row>
    <row r="8545" spans="1:11" x14ac:dyDescent="0.3">
      <c r="A8545" t="s">
        <v>111</v>
      </c>
    </row>
    <row r="8546" spans="1:11" x14ac:dyDescent="0.3">
      <c r="A8546" t="s">
        <v>72</v>
      </c>
      <c r="B8546">
        <v>1</v>
      </c>
      <c r="C8546" t="s">
        <v>73</v>
      </c>
      <c r="D8546">
        <v>7.9999999999999996E-7</v>
      </c>
      <c r="E8546" t="s">
        <v>74</v>
      </c>
      <c r="F8546">
        <v>8.0000000000000004E-4</v>
      </c>
      <c r="G8546" t="s">
        <v>75</v>
      </c>
      <c r="H8546">
        <v>0.8</v>
      </c>
      <c r="I8546" t="s">
        <v>76</v>
      </c>
      <c r="J8546" t="s">
        <v>77</v>
      </c>
    </row>
    <row r="8547" spans="1:11" x14ac:dyDescent="0.3">
      <c r="A8547" t="s">
        <v>72</v>
      </c>
      <c r="B8547">
        <v>1</v>
      </c>
      <c r="C8547" t="s">
        <v>78</v>
      </c>
      <c r="D8547">
        <v>2.1100000000000001E-5</v>
      </c>
      <c r="E8547" t="s">
        <v>74</v>
      </c>
      <c r="F8547">
        <v>2.1100000000000001E-2</v>
      </c>
      <c r="G8547" t="s">
        <v>75</v>
      </c>
      <c r="H8547">
        <v>21.1</v>
      </c>
      <c r="I8547" t="s">
        <v>76</v>
      </c>
      <c r="J8547" t="s">
        <v>77</v>
      </c>
    </row>
    <row r="8548" spans="1:11" x14ac:dyDescent="0.3">
      <c r="A8548" t="s">
        <v>72</v>
      </c>
      <c r="B8548">
        <v>1</v>
      </c>
      <c r="C8548" t="s">
        <v>79</v>
      </c>
      <c r="D8548">
        <v>4.2836999999999997E-3</v>
      </c>
      <c r="E8548" t="s">
        <v>74</v>
      </c>
      <c r="F8548">
        <v>4.2836999999999996</v>
      </c>
      <c r="G8548" t="s">
        <v>75</v>
      </c>
      <c r="H8548">
        <v>4283.7</v>
      </c>
      <c r="I8548" t="s">
        <v>76</v>
      </c>
      <c r="J8548" t="s">
        <v>77</v>
      </c>
    </row>
    <row r="8549" spans="1:11" x14ac:dyDescent="0.3">
      <c r="A8549" t="s">
        <v>72</v>
      </c>
      <c r="B8549">
        <v>1</v>
      </c>
      <c r="C8549" t="s">
        <v>94</v>
      </c>
      <c r="D8549">
        <v>2.5596E-3</v>
      </c>
      <c r="E8549" t="s">
        <v>74</v>
      </c>
      <c r="F8549">
        <v>2.5596000000000001</v>
      </c>
      <c r="G8549" t="s">
        <v>75</v>
      </c>
      <c r="H8549">
        <v>2559.6</v>
      </c>
      <c r="I8549" t="s">
        <v>76</v>
      </c>
      <c r="J8549" t="s">
        <v>77</v>
      </c>
    </row>
    <row r="8550" spans="1:11" x14ac:dyDescent="0.3">
      <c r="A8550" t="s">
        <v>72</v>
      </c>
      <c r="B8550">
        <v>1</v>
      </c>
      <c r="C8550" t="s">
        <v>80</v>
      </c>
      <c r="D8550">
        <v>2.6702000000000002E-3</v>
      </c>
      <c r="E8550" t="s">
        <v>74</v>
      </c>
      <c r="F8550">
        <v>2.6701999999999999</v>
      </c>
      <c r="G8550" t="s">
        <v>75</v>
      </c>
      <c r="H8550">
        <v>2670.2</v>
      </c>
      <c r="I8550" t="s">
        <v>76</v>
      </c>
      <c r="J8550" t="s">
        <v>77</v>
      </c>
    </row>
    <row r="8551" spans="1:11" x14ac:dyDescent="0.3">
      <c r="A8551" t="s">
        <v>72</v>
      </c>
      <c r="B8551">
        <v>1</v>
      </c>
      <c r="C8551" t="s">
        <v>81</v>
      </c>
      <c r="D8551">
        <v>6.9546E-3</v>
      </c>
      <c r="E8551" t="s">
        <v>74</v>
      </c>
      <c r="F8551">
        <v>6.9546000000000001</v>
      </c>
      <c r="G8551" t="s">
        <v>75</v>
      </c>
      <c r="H8551">
        <v>6954.6</v>
      </c>
      <c r="I8551" t="s">
        <v>76</v>
      </c>
      <c r="J8551" t="s">
        <v>82</v>
      </c>
      <c r="K8551">
        <v>143.7897198</v>
      </c>
    </row>
    <row r="8552" spans="1:11" x14ac:dyDescent="0.3">
      <c r="A8552" t="s">
        <v>83</v>
      </c>
      <c r="B8552">
        <v>1000</v>
      </c>
      <c r="C8552" t="s">
        <v>79</v>
      </c>
      <c r="D8552">
        <v>1.9999999999999999E-7</v>
      </c>
      <c r="E8552" t="s">
        <v>74</v>
      </c>
      <c r="F8552">
        <v>2.0000000000000001E-4</v>
      </c>
      <c r="G8552" t="s">
        <v>75</v>
      </c>
      <c r="H8552">
        <v>0.19500000000000001</v>
      </c>
      <c r="I8552" t="s">
        <v>76</v>
      </c>
      <c r="J8552" t="s">
        <v>77</v>
      </c>
    </row>
    <row r="8553" spans="1:11" x14ac:dyDescent="0.3">
      <c r="A8553" t="s">
        <v>83</v>
      </c>
      <c r="B8553">
        <v>1000</v>
      </c>
      <c r="C8553" t="s">
        <v>94</v>
      </c>
      <c r="D8553">
        <v>2.5750399999999998E-3</v>
      </c>
      <c r="E8553" t="s">
        <v>74</v>
      </c>
      <c r="F8553">
        <v>2.57504</v>
      </c>
      <c r="G8553" t="s">
        <v>75</v>
      </c>
      <c r="H8553">
        <v>2575.0390000000002</v>
      </c>
      <c r="I8553" t="s">
        <v>76</v>
      </c>
      <c r="J8553" t="s">
        <v>77</v>
      </c>
    </row>
    <row r="8554" spans="1:11" x14ac:dyDescent="0.3">
      <c r="A8554" t="s">
        <v>83</v>
      </c>
      <c r="B8554">
        <v>1000</v>
      </c>
      <c r="C8554" t="s">
        <v>80</v>
      </c>
      <c r="D8554">
        <v>2.7436499999999998E-3</v>
      </c>
      <c r="E8554" t="s">
        <v>74</v>
      </c>
      <c r="F8554">
        <v>2.7436500000000001</v>
      </c>
      <c r="G8554" t="s">
        <v>75</v>
      </c>
      <c r="H8554">
        <v>2743.6469999999999</v>
      </c>
      <c r="I8554" t="s">
        <v>76</v>
      </c>
      <c r="J8554" t="s">
        <v>77</v>
      </c>
    </row>
    <row r="8555" spans="1:11" x14ac:dyDescent="0.3">
      <c r="A8555" t="s">
        <v>83</v>
      </c>
      <c r="B8555">
        <v>1000</v>
      </c>
      <c r="C8555" t="s">
        <v>81</v>
      </c>
      <c r="D8555">
        <v>2.7448099999999999E-3</v>
      </c>
      <c r="E8555" t="s">
        <v>74</v>
      </c>
      <c r="F8555">
        <v>2.7448100000000002</v>
      </c>
      <c r="G8555" t="s">
        <v>75</v>
      </c>
      <c r="H8555">
        <v>2744.8139999999999</v>
      </c>
      <c r="I8555" t="s">
        <v>76</v>
      </c>
      <c r="J8555" t="s">
        <v>82</v>
      </c>
      <c r="K8555">
        <v>364.32335879999999</v>
      </c>
    </row>
    <row r="8556" spans="1:11" x14ac:dyDescent="0.3">
      <c r="A8556" t="s">
        <v>84</v>
      </c>
      <c r="B8556">
        <v>1001</v>
      </c>
      <c r="C8556" t="s">
        <v>79</v>
      </c>
      <c r="D8556">
        <v>4.4700000000000004E-6</v>
      </c>
      <c r="E8556" t="s">
        <v>74</v>
      </c>
      <c r="F8556">
        <v>4.47E-3</v>
      </c>
      <c r="G8556" t="s">
        <v>75</v>
      </c>
      <c r="H8556">
        <v>4.4749999999999996</v>
      </c>
      <c r="I8556" t="s">
        <v>76</v>
      </c>
      <c r="J8556" t="s">
        <v>77</v>
      </c>
    </row>
    <row r="8557" spans="1:11" x14ac:dyDescent="0.3">
      <c r="A8557" t="s">
        <v>84</v>
      </c>
      <c r="B8557">
        <v>1001</v>
      </c>
      <c r="C8557" t="s">
        <v>94</v>
      </c>
      <c r="D8557">
        <v>2.5750199999999999E-3</v>
      </c>
      <c r="E8557" t="s">
        <v>74</v>
      </c>
      <c r="F8557">
        <v>2.5750199999999999</v>
      </c>
      <c r="G8557" t="s">
        <v>75</v>
      </c>
      <c r="H8557">
        <v>2575.0239999999999</v>
      </c>
      <c r="I8557" t="s">
        <v>76</v>
      </c>
      <c r="J8557" t="s">
        <v>77</v>
      </c>
    </row>
    <row r="8558" spans="1:11" x14ac:dyDescent="0.3">
      <c r="A8558" t="s">
        <v>84</v>
      </c>
      <c r="B8558">
        <v>1001</v>
      </c>
      <c r="C8558" t="s">
        <v>80</v>
      </c>
      <c r="D8558">
        <v>2.7435699999999999E-3</v>
      </c>
      <c r="E8558" t="s">
        <v>74</v>
      </c>
      <c r="F8558">
        <v>2.7435700000000001</v>
      </c>
      <c r="G8558" t="s">
        <v>75</v>
      </c>
      <c r="H8558">
        <v>2743.5740000000001</v>
      </c>
      <c r="I8558" t="s">
        <v>76</v>
      </c>
      <c r="J8558" t="s">
        <v>77</v>
      </c>
    </row>
    <row r="8559" spans="1:11" x14ac:dyDescent="0.3">
      <c r="A8559" t="s">
        <v>84</v>
      </c>
      <c r="B8559">
        <v>1001</v>
      </c>
      <c r="C8559" t="s">
        <v>81</v>
      </c>
      <c r="D8559">
        <v>2.74902E-3</v>
      </c>
      <c r="E8559" t="s">
        <v>74</v>
      </c>
      <c r="F8559">
        <v>2.7490199999999998</v>
      </c>
      <c r="G8559" t="s">
        <v>75</v>
      </c>
      <c r="H8559">
        <v>2749.02</v>
      </c>
      <c r="I8559" t="s">
        <v>76</v>
      </c>
      <c r="J8559" t="s">
        <v>82</v>
      </c>
      <c r="K8559">
        <v>363.76605360000002</v>
      </c>
    </row>
    <row r="8560" spans="1:11" x14ac:dyDescent="0.3">
      <c r="A8560" t="s">
        <v>85</v>
      </c>
      <c r="B8560">
        <v>1001</v>
      </c>
      <c r="C8560" t="s">
        <v>86</v>
      </c>
      <c r="D8560">
        <v>2.7491999999999998E-3</v>
      </c>
      <c r="E8560" t="s">
        <v>74</v>
      </c>
      <c r="F8560">
        <v>2.7492000000000001</v>
      </c>
      <c r="G8560" t="s">
        <v>75</v>
      </c>
      <c r="H8560">
        <v>2749.2020000000002</v>
      </c>
      <c r="I8560" t="s">
        <v>76</v>
      </c>
      <c r="J8560" t="s">
        <v>82</v>
      </c>
      <c r="K8560">
        <v>363.74191289999999</v>
      </c>
    </row>
    <row r="8561" spans="1:11" x14ac:dyDescent="0.3">
      <c r="A8561" t="s">
        <v>87</v>
      </c>
    </row>
    <row r="8562" spans="1:11" x14ac:dyDescent="0.3">
      <c r="A8562" t="s">
        <v>112</v>
      </c>
    </row>
    <row r="8563" spans="1:11" x14ac:dyDescent="0.3">
      <c r="A8563" t="s">
        <v>72</v>
      </c>
      <c r="B8563">
        <v>1</v>
      </c>
      <c r="C8563" t="s">
        <v>81</v>
      </c>
      <c r="D8563">
        <v>1.36128E-2</v>
      </c>
      <c r="E8563" t="s">
        <v>74</v>
      </c>
      <c r="F8563">
        <v>13.6128</v>
      </c>
      <c r="G8563" t="s">
        <v>75</v>
      </c>
      <c r="H8563">
        <v>13612.8</v>
      </c>
      <c r="I8563" t="s">
        <v>76</v>
      </c>
      <c r="J8563" t="s">
        <v>82</v>
      </c>
      <c r="K8563">
        <v>73.460271199999994</v>
      </c>
    </row>
    <row r="8564" spans="1:11" x14ac:dyDescent="0.3">
      <c r="A8564" t="s">
        <v>83</v>
      </c>
      <c r="B8564">
        <v>1000</v>
      </c>
      <c r="C8564" t="s">
        <v>81</v>
      </c>
      <c r="D8564">
        <v>2.8259399999999999E-3</v>
      </c>
      <c r="E8564" t="s">
        <v>74</v>
      </c>
      <c r="F8564">
        <v>2.8259400000000001</v>
      </c>
      <c r="G8564" t="s">
        <v>75</v>
      </c>
      <c r="H8564">
        <v>2825.94</v>
      </c>
      <c r="I8564" t="s">
        <v>76</v>
      </c>
      <c r="J8564" t="s">
        <v>82</v>
      </c>
      <c r="K8564">
        <v>353.86450839999998</v>
      </c>
    </row>
    <row r="8565" spans="1:11" x14ac:dyDescent="0.3">
      <c r="A8565" t="s">
        <v>85</v>
      </c>
      <c r="B8565">
        <v>1001</v>
      </c>
      <c r="C8565" t="s">
        <v>86</v>
      </c>
      <c r="D8565">
        <v>2.83695E-3</v>
      </c>
      <c r="E8565" t="s">
        <v>74</v>
      </c>
      <c r="F8565">
        <v>2.8369499999999999</v>
      </c>
      <c r="G8565" t="s">
        <v>75</v>
      </c>
      <c r="H8565">
        <v>2836.9479999999999</v>
      </c>
      <c r="I8565" t="s">
        <v>76</v>
      </c>
      <c r="J8565" t="s">
        <v>82</v>
      </c>
      <c r="K8565">
        <v>352.49146150000001</v>
      </c>
    </row>
    <row r="8567" spans="1:11" x14ac:dyDescent="0.3">
      <c r="A8567" t="s">
        <v>113</v>
      </c>
    </row>
    <row r="8568" spans="1:11" x14ac:dyDescent="0.3">
      <c r="A8568" t="s">
        <v>72</v>
      </c>
      <c r="B8568">
        <v>1</v>
      </c>
      <c r="C8568" t="s">
        <v>81</v>
      </c>
      <c r="D8568">
        <v>6.9546E-3</v>
      </c>
      <c r="E8568" t="s">
        <v>74</v>
      </c>
      <c r="F8568">
        <v>6.9546000000000001</v>
      </c>
      <c r="G8568" t="s">
        <v>75</v>
      </c>
      <c r="H8568">
        <v>6954.6</v>
      </c>
      <c r="I8568" t="s">
        <v>76</v>
      </c>
      <c r="J8568" t="s">
        <v>82</v>
      </c>
      <c r="K8568">
        <v>143.7897198</v>
      </c>
    </row>
    <row r="8569" spans="1:11" x14ac:dyDescent="0.3">
      <c r="A8569" t="s">
        <v>83</v>
      </c>
      <c r="B8569">
        <v>1000</v>
      </c>
      <c r="C8569" t="s">
        <v>81</v>
      </c>
      <c r="D8569">
        <v>2.7448099999999999E-3</v>
      </c>
      <c r="E8569" t="s">
        <v>74</v>
      </c>
      <c r="F8569">
        <v>2.7448100000000002</v>
      </c>
      <c r="G8569" t="s">
        <v>75</v>
      </c>
      <c r="H8569">
        <v>2744.8139999999999</v>
      </c>
      <c r="I8569" t="s">
        <v>76</v>
      </c>
      <c r="J8569" t="s">
        <v>82</v>
      </c>
      <c r="K8569">
        <v>364.32335879999999</v>
      </c>
    </row>
    <row r="8570" spans="1:11" x14ac:dyDescent="0.3">
      <c r="A8570" t="s">
        <v>85</v>
      </c>
      <c r="B8570">
        <v>1001</v>
      </c>
      <c r="C8570" t="s">
        <v>86</v>
      </c>
      <c r="D8570">
        <v>2.7491999999999998E-3</v>
      </c>
      <c r="E8570" t="s">
        <v>74</v>
      </c>
      <c r="F8570">
        <v>2.7492000000000001</v>
      </c>
      <c r="G8570" t="s">
        <v>75</v>
      </c>
      <c r="H8570">
        <v>2749.2020000000002</v>
      </c>
      <c r="I8570" t="s">
        <v>76</v>
      </c>
      <c r="J8570" t="s">
        <v>82</v>
      </c>
      <c r="K8570">
        <v>363.74191289999999</v>
      </c>
    </row>
    <row r="8572" spans="1:11" x14ac:dyDescent="0.3">
      <c r="A8572" t="s">
        <v>66</v>
      </c>
    </row>
    <row r="8574" spans="1:11" x14ac:dyDescent="0.3">
      <c r="A8574" t="s">
        <v>459</v>
      </c>
    </row>
    <row r="8575" spans="1:11" x14ac:dyDescent="0.3">
      <c r="A8575" t="s">
        <v>68</v>
      </c>
    </row>
    <row r="8576" spans="1:11" x14ac:dyDescent="0.3">
      <c r="A8576" t="s">
        <v>69</v>
      </c>
    </row>
    <row r="8577" spans="1:1" x14ac:dyDescent="0.3">
      <c r="A8577" t="s">
        <v>70</v>
      </c>
    </row>
    <row r="8578" spans="1:1" x14ac:dyDescent="0.3">
      <c r="A8578" t="s">
        <v>115</v>
      </c>
    </row>
    <row r="8579" spans="1:1" x14ac:dyDescent="0.3">
      <c r="A8579" t="s">
        <v>384</v>
      </c>
    </row>
    <row r="8580" spans="1:1" x14ac:dyDescent="0.3">
      <c r="A8580" t="s">
        <v>385</v>
      </c>
    </row>
    <row r="8581" spans="1:1" x14ac:dyDescent="0.3">
      <c r="A8581" t="s">
        <v>118</v>
      </c>
    </row>
    <row r="8582" spans="1:1" x14ac:dyDescent="0.3">
      <c r="A8582" t="s">
        <v>119</v>
      </c>
    </row>
    <row r="8583" spans="1:1" x14ac:dyDescent="0.3">
      <c r="A8583" t="s">
        <v>268</v>
      </c>
    </row>
    <row r="8584" spans="1:1" x14ac:dyDescent="0.3">
      <c r="A8584" t="s">
        <v>269</v>
      </c>
    </row>
    <row r="8585" spans="1:1" x14ac:dyDescent="0.3">
      <c r="A8585" t="s">
        <v>386</v>
      </c>
    </row>
    <row r="8586" spans="1:1" x14ac:dyDescent="0.3">
      <c r="A8586" t="s">
        <v>387</v>
      </c>
    </row>
    <row r="8587" spans="1:1" x14ac:dyDescent="0.3">
      <c r="A8587" t="s">
        <v>271</v>
      </c>
    </row>
    <row r="8588" spans="1:1" x14ac:dyDescent="0.3">
      <c r="A8588" t="s">
        <v>125</v>
      </c>
    </row>
    <row r="8589" spans="1:1" x14ac:dyDescent="0.3">
      <c r="A8589" t="s">
        <v>126</v>
      </c>
    </row>
    <row r="8590" spans="1:1" x14ac:dyDescent="0.3">
      <c r="A8590" t="s">
        <v>127</v>
      </c>
    </row>
    <row r="8591" spans="1:1" x14ac:dyDescent="0.3">
      <c r="A8591" t="s">
        <v>128</v>
      </c>
    </row>
    <row r="8592" spans="1:1" x14ac:dyDescent="0.3">
      <c r="A8592" t="s">
        <v>388</v>
      </c>
    </row>
    <row r="8593" spans="1:11" x14ac:dyDescent="0.3">
      <c r="A8593" t="s">
        <v>72</v>
      </c>
      <c r="B8593">
        <v>1</v>
      </c>
      <c r="C8593" t="s">
        <v>73</v>
      </c>
      <c r="D8593">
        <v>4.8999999999999997E-6</v>
      </c>
      <c r="E8593" t="s">
        <v>74</v>
      </c>
      <c r="F8593">
        <v>4.8999999999999998E-3</v>
      </c>
      <c r="G8593" t="s">
        <v>75</v>
      </c>
      <c r="H8593">
        <v>4.9000000000000004</v>
      </c>
      <c r="I8593" t="s">
        <v>76</v>
      </c>
      <c r="J8593" t="s">
        <v>77</v>
      </c>
    </row>
    <row r="8594" spans="1:11" x14ac:dyDescent="0.3">
      <c r="A8594" t="s">
        <v>72</v>
      </c>
      <c r="B8594">
        <v>1</v>
      </c>
      <c r="C8594" t="s">
        <v>78</v>
      </c>
      <c r="D8594">
        <v>0.12345299999999999</v>
      </c>
      <c r="E8594" t="s">
        <v>74</v>
      </c>
      <c r="F8594">
        <v>123.453</v>
      </c>
      <c r="G8594" t="s">
        <v>75</v>
      </c>
      <c r="H8594">
        <v>123452.999</v>
      </c>
      <c r="I8594" t="s">
        <v>76</v>
      </c>
      <c r="J8594" t="s">
        <v>77</v>
      </c>
    </row>
    <row r="8595" spans="1:11" x14ac:dyDescent="0.3">
      <c r="A8595" t="s">
        <v>72</v>
      </c>
      <c r="B8595">
        <v>1</v>
      </c>
      <c r="C8595" t="s">
        <v>91</v>
      </c>
      <c r="D8595">
        <v>0.1036889</v>
      </c>
      <c r="E8595" t="s">
        <v>74</v>
      </c>
      <c r="F8595">
        <v>103.6889</v>
      </c>
      <c r="G8595" t="s">
        <v>75</v>
      </c>
      <c r="H8595">
        <v>103688.90300000001</v>
      </c>
      <c r="I8595" t="s">
        <v>76</v>
      </c>
      <c r="J8595" t="s">
        <v>77</v>
      </c>
    </row>
    <row r="8596" spans="1:11" x14ac:dyDescent="0.3">
      <c r="A8596" t="s">
        <v>72</v>
      </c>
      <c r="B8596">
        <v>1</v>
      </c>
      <c r="C8596" t="s">
        <v>92</v>
      </c>
      <c r="D8596">
        <v>5.9190000000000002E-4</v>
      </c>
      <c r="E8596" t="s">
        <v>74</v>
      </c>
      <c r="F8596">
        <v>0.59189999999999998</v>
      </c>
      <c r="G8596" t="s">
        <v>75</v>
      </c>
      <c r="H8596">
        <v>591.9</v>
      </c>
      <c r="I8596" t="s">
        <v>76</v>
      </c>
      <c r="J8596" t="s">
        <v>77</v>
      </c>
    </row>
    <row r="8597" spans="1:11" x14ac:dyDescent="0.3">
      <c r="A8597" t="s">
        <v>72</v>
      </c>
      <c r="B8597">
        <v>1</v>
      </c>
      <c r="C8597" t="s">
        <v>93</v>
      </c>
      <c r="D8597">
        <v>8.0116000000000007E-2</v>
      </c>
      <c r="E8597" t="s">
        <v>74</v>
      </c>
      <c r="F8597">
        <v>80.116</v>
      </c>
      <c r="G8597" t="s">
        <v>75</v>
      </c>
      <c r="H8597">
        <v>80115.995999999999</v>
      </c>
      <c r="I8597" t="s">
        <v>76</v>
      </c>
      <c r="J8597" t="s">
        <v>77</v>
      </c>
    </row>
    <row r="8598" spans="1:11" x14ac:dyDescent="0.3">
      <c r="A8598" t="s">
        <v>72</v>
      </c>
      <c r="B8598">
        <v>1</v>
      </c>
      <c r="C8598" t="s">
        <v>79</v>
      </c>
      <c r="D8598">
        <v>0.18439739999999999</v>
      </c>
      <c r="E8598" t="s">
        <v>74</v>
      </c>
      <c r="F8598">
        <v>184.3974</v>
      </c>
      <c r="G8598" t="s">
        <v>75</v>
      </c>
      <c r="H8598">
        <v>184397.399</v>
      </c>
      <c r="I8598" t="s">
        <v>76</v>
      </c>
      <c r="J8598" t="s">
        <v>77</v>
      </c>
    </row>
    <row r="8599" spans="1:11" x14ac:dyDescent="0.3">
      <c r="A8599" t="s">
        <v>72</v>
      </c>
      <c r="B8599">
        <v>1</v>
      </c>
      <c r="C8599" t="s">
        <v>94</v>
      </c>
      <c r="D8599">
        <v>9.5292999999999992E-3</v>
      </c>
      <c r="E8599" t="s">
        <v>74</v>
      </c>
      <c r="F8599">
        <v>9.5292999999999992</v>
      </c>
      <c r="G8599" t="s">
        <v>75</v>
      </c>
      <c r="H8599">
        <v>9529.2999999999993</v>
      </c>
      <c r="I8599" t="s">
        <v>76</v>
      </c>
      <c r="J8599" t="s">
        <v>77</v>
      </c>
    </row>
    <row r="8600" spans="1:11" x14ac:dyDescent="0.3">
      <c r="A8600" t="s">
        <v>72</v>
      </c>
      <c r="B8600">
        <v>1</v>
      </c>
      <c r="C8600" t="s">
        <v>80</v>
      </c>
      <c r="D8600">
        <v>9.5300000000000003E-3</v>
      </c>
      <c r="E8600" t="s">
        <v>74</v>
      </c>
      <c r="F8600">
        <v>9.5299999999999994</v>
      </c>
      <c r="G8600" t="s">
        <v>75</v>
      </c>
      <c r="H8600">
        <v>9530</v>
      </c>
      <c r="I8600" t="s">
        <v>76</v>
      </c>
      <c r="J8600" t="s">
        <v>77</v>
      </c>
    </row>
    <row r="8601" spans="1:11" x14ac:dyDescent="0.3">
      <c r="A8601" t="s">
        <v>72</v>
      </c>
      <c r="B8601">
        <v>1</v>
      </c>
      <c r="C8601" t="s">
        <v>81</v>
      </c>
      <c r="D8601">
        <v>0.1939294</v>
      </c>
      <c r="E8601" t="s">
        <v>74</v>
      </c>
      <c r="F8601">
        <v>193.92939999999999</v>
      </c>
      <c r="G8601" t="s">
        <v>75</v>
      </c>
      <c r="H8601">
        <v>193929.40400000001</v>
      </c>
      <c r="I8601" t="s">
        <v>76</v>
      </c>
      <c r="J8601" t="s">
        <v>82</v>
      </c>
      <c r="K8601">
        <v>5.1565155999999996</v>
      </c>
    </row>
    <row r="8602" spans="1:11" x14ac:dyDescent="0.3">
      <c r="A8602" t="s">
        <v>83</v>
      </c>
      <c r="B8602">
        <v>1000</v>
      </c>
      <c r="C8602" t="s">
        <v>79</v>
      </c>
      <c r="D8602">
        <v>2.2999999999999999E-7</v>
      </c>
      <c r="E8602" t="s">
        <v>74</v>
      </c>
      <c r="F8602">
        <v>2.3000000000000001E-4</v>
      </c>
      <c r="G8602" t="s">
        <v>75</v>
      </c>
      <c r="H8602">
        <v>0.22700000000000001</v>
      </c>
      <c r="I8602" t="s">
        <v>76</v>
      </c>
      <c r="J8602" t="s">
        <v>77</v>
      </c>
    </row>
    <row r="8603" spans="1:11" x14ac:dyDescent="0.3">
      <c r="A8603" t="s">
        <v>83</v>
      </c>
      <c r="B8603">
        <v>1000</v>
      </c>
      <c r="C8603" t="s">
        <v>94</v>
      </c>
      <c r="D8603">
        <v>2.6168099999999998E-3</v>
      </c>
      <c r="E8603" t="s">
        <v>74</v>
      </c>
      <c r="F8603">
        <v>2.6168100000000001</v>
      </c>
      <c r="G8603" t="s">
        <v>75</v>
      </c>
      <c r="H8603">
        <v>2616.8110000000001</v>
      </c>
      <c r="I8603" t="s">
        <v>76</v>
      </c>
      <c r="J8603" t="s">
        <v>77</v>
      </c>
    </row>
    <row r="8604" spans="1:11" x14ac:dyDescent="0.3">
      <c r="A8604" t="s">
        <v>83</v>
      </c>
      <c r="B8604">
        <v>1000</v>
      </c>
      <c r="C8604" t="s">
        <v>80</v>
      </c>
      <c r="D8604">
        <v>2.78087E-3</v>
      </c>
      <c r="E8604" t="s">
        <v>74</v>
      </c>
      <c r="F8604">
        <v>2.7808700000000002</v>
      </c>
      <c r="G8604" t="s">
        <v>75</v>
      </c>
      <c r="H8604">
        <v>2780.8690000000001</v>
      </c>
      <c r="I8604" t="s">
        <v>76</v>
      </c>
      <c r="J8604" t="s">
        <v>77</v>
      </c>
    </row>
    <row r="8605" spans="1:11" x14ac:dyDescent="0.3">
      <c r="A8605" t="s">
        <v>83</v>
      </c>
      <c r="B8605">
        <v>1000</v>
      </c>
      <c r="C8605" t="s">
        <v>81</v>
      </c>
      <c r="D8605">
        <v>2.7820000000000002E-3</v>
      </c>
      <c r="E8605" t="s">
        <v>74</v>
      </c>
      <c r="F8605">
        <v>2.782</v>
      </c>
      <c r="G8605" t="s">
        <v>75</v>
      </c>
      <c r="H8605">
        <v>2782.0030000000002</v>
      </c>
      <c r="I8605" t="s">
        <v>76</v>
      </c>
      <c r="J8605" t="s">
        <v>82</v>
      </c>
      <c r="K8605">
        <v>359.45328319999999</v>
      </c>
    </row>
    <row r="8606" spans="1:11" x14ac:dyDescent="0.3">
      <c r="A8606" t="s">
        <v>84</v>
      </c>
      <c r="B8606">
        <v>1</v>
      </c>
      <c r="C8606" t="s">
        <v>91</v>
      </c>
      <c r="D8606">
        <v>0.1036889</v>
      </c>
      <c r="E8606" t="s">
        <v>74</v>
      </c>
      <c r="F8606">
        <v>103.6889</v>
      </c>
      <c r="G8606" t="s">
        <v>75</v>
      </c>
      <c r="H8606">
        <v>103688.90300000001</v>
      </c>
      <c r="I8606" t="s">
        <v>76</v>
      </c>
      <c r="J8606" t="s">
        <v>77</v>
      </c>
    </row>
    <row r="8607" spans="1:11" x14ac:dyDescent="0.3">
      <c r="A8607" t="s">
        <v>84</v>
      </c>
      <c r="B8607">
        <v>1</v>
      </c>
      <c r="C8607" t="s">
        <v>92</v>
      </c>
      <c r="D8607">
        <v>5.9190000000000002E-4</v>
      </c>
      <c r="E8607" t="s">
        <v>74</v>
      </c>
      <c r="F8607">
        <v>0.59189999999999998</v>
      </c>
      <c r="G8607" t="s">
        <v>75</v>
      </c>
      <c r="H8607">
        <v>591.9</v>
      </c>
      <c r="I8607" t="s">
        <v>76</v>
      </c>
      <c r="J8607" t="s">
        <v>77</v>
      </c>
    </row>
    <row r="8608" spans="1:11" x14ac:dyDescent="0.3">
      <c r="A8608" t="s">
        <v>84</v>
      </c>
      <c r="B8608">
        <v>1</v>
      </c>
      <c r="C8608" t="s">
        <v>93</v>
      </c>
      <c r="D8608">
        <v>8.0116000000000007E-2</v>
      </c>
      <c r="E8608" t="s">
        <v>74</v>
      </c>
      <c r="F8608">
        <v>80.116</v>
      </c>
      <c r="G8608" t="s">
        <v>75</v>
      </c>
      <c r="H8608">
        <v>80115.995999999999</v>
      </c>
      <c r="I8608" t="s">
        <v>76</v>
      </c>
      <c r="J8608" t="s">
        <v>77</v>
      </c>
    </row>
    <row r="8609" spans="1:11" x14ac:dyDescent="0.3">
      <c r="A8609" t="s">
        <v>84</v>
      </c>
      <c r="B8609">
        <v>1001</v>
      </c>
      <c r="C8609" t="s">
        <v>79</v>
      </c>
      <c r="D8609">
        <v>1.8443999999999999E-4</v>
      </c>
      <c r="E8609" t="s">
        <v>74</v>
      </c>
      <c r="F8609">
        <v>0.18443999999999999</v>
      </c>
      <c r="G8609" t="s">
        <v>75</v>
      </c>
      <c r="H8609">
        <v>184.43700000000001</v>
      </c>
      <c r="I8609" t="s">
        <v>76</v>
      </c>
      <c r="J8609" t="s">
        <v>77</v>
      </c>
    </row>
    <row r="8610" spans="1:11" x14ac:dyDescent="0.3">
      <c r="A8610" t="s">
        <v>84</v>
      </c>
      <c r="B8610">
        <v>1001</v>
      </c>
      <c r="C8610" t="s">
        <v>94</v>
      </c>
      <c r="D8610">
        <v>2.62372E-3</v>
      </c>
      <c r="E8610" t="s">
        <v>74</v>
      </c>
      <c r="F8610">
        <v>2.6237200000000001</v>
      </c>
      <c r="G8610" t="s">
        <v>75</v>
      </c>
      <c r="H8610">
        <v>2623.7159999999999</v>
      </c>
      <c r="I8610" t="s">
        <v>76</v>
      </c>
      <c r="J8610" t="s">
        <v>77</v>
      </c>
    </row>
    <row r="8611" spans="1:11" x14ac:dyDescent="0.3">
      <c r="A8611" t="s">
        <v>84</v>
      </c>
      <c r="B8611">
        <v>1001</v>
      </c>
      <c r="C8611" t="s">
        <v>80</v>
      </c>
      <c r="D8611">
        <v>2.7876099999999998E-3</v>
      </c>
      <c r="E8611" t="s">
        <v>74</v>
      </c>
      <c r="F8611">
        <v>2.7876099999999999</v>
      </c>
      <c r="G8611" t="s">
        <v>75</v>
      </c>
      <c r="H8611">
        <v>2787.6109999999999</v>
      </c>
      <c r="I8611" t="s">
        <v>76</v>
      </c>
      <c r="J8611" t="s">
        <v>77</v>
      </c>
    </row>
    <row r="8612" spans="1:11" x14ac:dyDescent="0.3">
      <c r="A8612" t="s">
        <v>84</v>
      </c>
      <c r="B8612">
        <v>1001</v>
      </c>
      <c r="C8612" t="s">
        <v>81</v>
      </c>
      <c r="D8612">
        <v>2.9729600000000002E-3</v>
      </c>
      <c r="E8612" t="s">
        <v>74</v>
      </c>
      <c r="F8612">
        <v>2.97296</v>
      </c>
      <c r="G8612" t="s">
        <v>75</v>
      </c>
      <c r="H8612">
        <v>2972.9589999999998</v>
      </c>
      <c r="I8612" t="s">
        <v>76</v>
      </c>
      <c r="J8612" t="s">
        <v>82</v>
      </c>
      <c r="K8612">
        <v>336.36517199999997</v>
      </c>
    </row>
    <row r="8613" spans="1:11" x14ac:dyDescent="0.3">
      <c r="A8613" t="s">
        <v>85</v>
      </c>
      <c r="B8613">
        <v>1001</v>
      </c>
      <c r="C8613" t="s">
        <v>86</v>
      </c>
      <c r="D8613">
        <v>2.9731699999999998E-3</v>
      </c>
      <c r="E8613" t="s">
        <v>74</v>
      </c>
      <c r="F8613">
        <v>2.9731700000000001</v>
      </c>
      <c r="G8613" t="s">
        <v>75</v>
      </c>
      <c r="H8613">
        <v>2973.1689999999999</v>
      </c>
      <c r="I8613" t="s">
        <v>76</v>
      </c>
      <c r="J8613" t="s">
        <v>82</v>
      </c>
      <c r="K8613">
        <v>336.34143239999997</v>
      </c>
    </row>
    <row r="8614" spans="1:11" x14ac:dyDescent="0.3">
      <c r="A8614" t="s">
        <v>115</v>
      </c>
    </row>
    <row r="8615" spans="1:11" x14ac:dyDescent="0.3">
      <c r="A8615" t="s">
        <v>127</v>
      </c>
    </row>
    <row r="8616" spans="1:11" x14ac:dyDescent="0.3">
      <c r="A8616" t="s">
        <v>87</v>
      </c>
    </row>
    <row r="8617" spans="1:11" x14ac:dyDescent="0.3">
      <c r="A8617" t="s">
        <v>389</v>
      </c>
    </row>
    <row r="8618" spans="1:11" x14ac:dyDescent="0.3">
      <c r="A8618" t="s">
        <v>72</v>
      </c>
      <c r="B8618">
        <v>1</v>
      </c>
      <c r="C8618" t="s">
        <v>81</v>
      </c>
      <c r="D8618">
        <v>0.1939294</v>
      </c>
      <c r="E8618" t="s">
        <v>74</v>
      </c>
      <c r="F8618">
        <v>193.92939999999999</v>
      </c>
      <c r="G8618" t="s">
        <v>75</v>
      </c>
      <c r="H8618">
        <v>193929.40400000001</v>
      </c>
      <c r="I8618" t="s">
        <v>76</v>
      </c>
      <c r="J8618" t="s">
        <v>82</v>
      </c>
      <c r="K8618">
        <v>5.1565155999999996</v>
      </c>
    </row>
    <row r="8619" spans="1:11" x14ac:dyDescent="0.3">
      <c r="A8619" t="s">
        <v>83</v>
      </c>
      <c r="B8619">
        <v>1000</v>
      </c>
      <c r="C8619" t="s">
        <v>81</v>
      </c>
      <c r="D8619">
        <v>2.7820000000000002E-3</v>
      </c>
      <c r="E8619" t="s">
        <v>74</v>
      </c>
      <c r="F8619">
        <v>2.782</v>
      </c>
      <c r="G8619" t="s">
        <v>75</v>
      </c>
      <c r="H8619">
        <v>2782.0030000000002</v>
      </c>
      <c r="I8619" t="s">
        <v>76</v>
      </c>
      <c r="J8619" t="s">
        <v>82</v>
      </c>
      <c r="K8619">
        <v>359.45328319999999</v>
      </c>
    </row>
    <row r="8620" spans="1:11" x14ac:dyDescent="0.3">
      <c r="A8620" t="s">
        <v>85</v>
      </c>
      <c r="B8620">
        <v>1001</v>
      </c>
      <c r="C8620" t="s">
        <v>86</v>
      </c>
      <c r="D8620">
        <v>2.9731699999999998E-3</v>
      </c>
      <c r="E8620" t="s">
        <v>74</v>
      </c>
      <c r="F8620">
        <v>2.9731700000000001</v>
      </c>
      <c r="G8620" t="s">
        <v>75</v>
      </c>
      <c r="H8620">
        <v>2973.1689999999999</v>
      </c>
      <c r="I8620" t="s">
        <v>76</v>
      </c>
      <c r="J8620" t="s">
        <v>82</v>
      </c>
      <c r="K8620">
        <v>336.34143239999997</v>
      </c>
    </row>
    <row r="8622" spans="1:11" x14ac:dyDescent="0.3">
      <c r="A8622" t="s">
        <v>66</v>
      </c>
    </row>
    <row r="8624" spans="1:11" x14ac:dyDescent="0.3">
      <c r="A8624" t="s">
        <v>460</v>
      </c>
    </row>
    <row r="8625" spans="1:1" x14ac:dyDescent="0.3">
      <c r="A8625" t="s">
        <v>68</v>
      </c>
    </row>
    <row r="8626" spans="1:1" x14ac:dyDescent="0.3">
      <c r="A8626" t="s">
        <v>69</v>
      </c>
    </row>
    <row r="8627" spans="1:1" x14ac:dyDescent="0.3">
      <c r="A8627" t="s">
        <v>70</v>
      </c>
    </row>
    <row r="8628" spans="1:1" x14ac:dyDescent="0.3">
      <c r="A8628" t="s">
        <v>115</v>
      </c>
    </row>
    <row r="8629" spans="1:1" x14ac:dyDescent="0.3">
      <c r="A8629" t="s">
        <v>384</v>
      </c>
    </row>
    <row r="8630" spans="1:1" x14ac:dyDescent="0.3">
      <c r="A8630" t="s">
        <v>385</v>
      </c>
    </row>
    <row r="8631" spans="1:1" x14ac:dyDescent="0.3">
      <c r="A8631" t="s">
        <v>118</v>
      </c>
    </row>
    <row r="8632" spans="1:1" x14ac:dyDescent="0.3">
      <c r="A8632" t="s">
        <v>119</v>
      </c>
    </row>
    <row r="8633" spans="1:1" x14ac:dyDescent="0.3">
      <c r="A8633" t="s">
        <v>268</v>
      </c>
    </row>
    <row r="8634" spans="1:1" x14ac:dyDescent="0.3">
      <c r="A8634" t="s">
        <v>269</v>
      </c>
    </row>
    <row r="8635" spans="1:1" x14ac:dyDescent="0.3">
      <c r="A8635" t="s">
        <v>386</v>
      </c>
    </row>
    <row r="8636" spans="1:1" x14ac:dyDescent="0.3">
      <c r="A8636" t="s">
        <v>387</v>
      </c>
    </row>
    <row r="8637" spans="1:1" x14ac:dyDescent="0.3">
      <c r="A8637" t="s">
        <v>271</v>
      </c>
    </row>
    <row r="8638" spans="1:1" x14ac:dyDescent="0.3">
      <c r="A8638" t="s">
        <v>125</v>
      </c>
    </row>
    <row r="8639" spans="1:1" x14ac:dyDescent="0.3">
      <c r="A8639" t="s">
        <v>126</v>
      </c>
    </row>
    <row r="8640" spans="1:1" x14ac:dyDescent="0.3">
      <c r="A8640" t="s">
        <v>127</v>
      </c>
    </row>
    <row r="8641" spans="1:11" x14ac:dyDescent="0.3">
      <c r="A8641" t="s">
        <v>132</v>
      </c>
    </row>
    <row r="8642" spans="1:11" x14ac:dyDescent="0.3">
      <c r="A8642" t="s">
        <v>391</v>
      </c>
    </row>
    <row r="8643" spans="1:11" x14ac:dyDescent="0.3">
      <c r="A8643" t="s">
        <v>72</v>
      </c>
      <c r="B8643">
        <v>1</v>
      </c>
      <c r="C8643" t="s">
        <v>73</v>
      </c>
      <c r="D8643">
        <v>3.7000000000000002E-6</v>
      </c>
      <c r="E8643" t="s">
        <v>74</v>
      </c>
      <c r="F8643">
        <v>3.7000000000000002E-3</v>
      </c>
      <c r="G8643" t="s">
        <v>75</v>
      </c>
      <c r="H8643">
        <v>3.7</v>
      </c>
      <c r="I8643" t="s">
        <v>76</v>
      </c>
      <c r="J8643" t="s">
        <v>77</v>
      </c>
    </row>
    <row r="8644" spans="1:11" x14ac:dyDescent="0.3">
      <c r="A8644" t="s">
        <v>72</v>
      </c>
      <c r="B8644">
        <v>1</v>
      </c>
      <c r="C8644" t="s">
        <v>78</v>
      </c>
      <c r="D8644">
        <v>0.11179</v>
      </c>
      <c r="E8644" t="s">
        <v>74</v>
      </c>
      <c r="F8644">
        <v>111.79</v>
      </c>
      <c r="G8644" t="s">
        <v>75</v>
      </c>
      <c r="H8644">
        <v>111790.001</v>
      </c>
      <c r="I8644" t="s">
        <v>76</v>
      </c>
      <c r="J8644" t="s">
        <v>77</v>
      </c>
    </row>
    <row r="8645" spans="1:11" x14ac:dyDescent="0.3">
      <c r="A8645" t="s">
        <v>72</v>
      </c>
      <c r="B8645">
        <v>1</v>
      </c>
      <c r="C8645" t="s">
        <v>79</v>
      </c>
      <c r="D8645">
        <v>0.11583110000000001</v>
      </c>
      <c r="E8645" t="s">
        <v>74</v>
      </c>
      <c r="F8645">
        <v>115.83110000000001</v>
      </c>
      <c r="G8645" t="s">
        <v>75</v>
      </c>
      <c r="H8645">
        <v>115831.099</v>
      </c>
      <c r="I8645" t="s">
        <v>76</v>
      </c>
      <c r="J8645" t="s">
        <v>77</v>
      </c>
    </row>
    <row r="8646" spans="1:11" x14ac:dyDescent="0.3">
      <c r="A8646" t="s">
        <v>72</v>
      </c>
      <c r="B8646">
        <v>1</v>
      </c>
      <c r="C8646" t="s">
        <v>94</v>
      </c>
      <c r="D8646">
        <v>9.5776999999999998E-3</v>
      </c>
      <c r="E8646" t="s">
        <v>74</v>
      </c>
      <c r="F8646">
        <v>9.5777000000000001</v>
      </c>
      <c r="G8646" t="s">
        <v>75</v>
      </c>
      <c r="H8646">
        <v>9577.7000000000007</v>
      </c>
      <c r="I8646" t="s">
        <v>76</v>
      </c>
      <c r="J8646" t="s">
        <v>77</v>
      </c>
    </row>
    <row r="8647" spans="1:11" x14ac:dyDescent="0.3">
      <c r="A8647" t="s">
        <v>72</v>
      </c>
      <c r="B8647">
        <v>1</v>
      </c>
      <c r="C8647" t="s">
        <v>80</v>
      </c>
      <c r="D8647">
        <v>9.5784000000000008E-3</v>
      </c>
      <c r="E8647" t="s">
        <v>74</v>
      </c>
      <c r="F8647">
        <v>9.5784000000000002</v>
      </c>
      <c r="G8647" t="s">
        <v>75</v>
      </c>
      <c r="H8647">
        <v>9578.4</v>
      </c>
      <c r="I8647" t="s">
        <v>76</v>
      </c>
      <c r="J8647" t="s">
        <v>77</v>
      </c>
    </row>
    <row r="8648" spans="1:11" x14ac:dyDescent="0.3">
      <c r="A8648" t="s">
        <v>72</v>
      </c>
      <c r="B8648">
        <v>1</v>
      </c>
      <c r="C8648" t="s">
        <v>81</v>
      </c>
      <c r="D8648">
        <v>0.12541210999999999</v>
      </c>
      <c r="E8648" t="s">
        <v>74</v>
      </c>
      <c r="F8648">
        <v>125.41211</v>
      </c>
      <c r="G8648" t="s">
        <v>75</v>
      </c>
      <c r="H8648">
        <v>125412.107</v>
      </c>
      <c r="I8648" t="s">
        <v>76</v>
      </c>
      <c r="J8648" t="s">
        <v>82</v>
      </c>
      <c r="K8648">
        <v>7.9737118999999996</v>
      </c>
    </row>
    <row r="8649" spans="1:11" x14ac:dyDescent="0.3">
      <c r="A8649" t="s">
        <v>83</v>
      </c>
      <c r="B8649">
        <v>1000</v>
      </c>
      <c r="C8649" t="s">
        <v>79</v>
      </c>
      <c r="D8649">
        <v>2.4999999999999999E-7</v>
      </c>
      <c r="E8649" t="s">
        <v>74</v>
      </c>
      <c r="F8649">
        <v>2.5000000000000001E-4</v>
      </c>
      <c r="G8649" t="s">
        <v>75</v>
      </c>
      <c r="H8649">
        <v>0.247</v>
      </c>
      <c r="I8649" t="s">
        <v>76</v>
      </c>
      <c r="J8649" t="s">
        <v>77</v>
      </c>
    </row>
    <row r="8650" spans="1:11" x14ac:dyDescent="0.3">
      <c r="A8650" t="s">
        <v>83</v>
      </c>
      <c r="B8650">
        <v>1000</v>
      </c>
      <c r="C8650" t="s">
        <v>94</v>
      </c>
      <c r="D8650">
        <v>2.6182900000000001E-3</v>
      </c>
      <c r="E8650" t="s">
        <v>74</v>
      </c>
      <c r="F8650">
        <v>2.61829</v>
      </c>
      <c r="G8650" t="s">
        <v>75</v>
      </c>
      <c r="H8650">
        <v>2618.2869999999998</v>
      </c>
      <c r="I8650" t="s">
        <v>76</v>
      </c>
      <c r="J8650" t="s">
        <v>77</v>
      </c>
    </row>
    <row r="8651" spans="1:11" x14ac:dyDescent="0.3">
      <c r="A8651" t="s">
        <v>83</v>
      </c>
      <c r="B8651">
        <v>1000</v>
      </c>
      <c r="C8651" t="s">
        <v>80</v>
      </c>
      <c r="D8651">
        <v>2.7828699999999998E-3</v>
      </c>
      <c r="E8651" t="s">
        <v>74</v>
      </c>
      <c r="F8651">
        <v>2.78287</v>
      </c>
      <c r="G8651" t="s">
        <v>75</v>
      </c>
      <c r="H8651">
        <v>2782.8739999999998</v>
      </c>
      <c r="I8651" t="s">
        <v>76</v>
      </c>
      <c r="J8651" t="s">
        <v>77</v>
      </c>
    </row>
    <row r="8652" spans="1:11" x14ac:dyDescent="0.3">
      <c r="A8652" t="s">
        <v>83</v>
      </c>
      <c r="B8652">
        <v>1000</v>
      </c>
      <c r="C8652" t="s">
        <v>81</v>
      </c>
      <c r="D8652">
        <v>2.7839800000000001E-3</v>
      </c>
      <c r="E8652" t="s">
        <v>74</v>
      </c>
      <c r="F8652">
        <v>2.7839800000000001</v>
      </c>
      <c r="G8652" t="s">
        <v>75</v>
      </c>
      <c r="H8652">
        <v>2783.9830000000002</v>
      </c>
      <c r="I8652" t="s">
        <v>76</v>
      </c>
      <c r="J8652" t="s">
        <v>82</v>
      </c>
      <c r="K8652">
        <v>359.19762739999999</v>
      </c>
    </row>
    <row r="8653" spans="1:11" x14ac:dyDescent="0.3">
      <c r="A8653" t="s">
        <v>84</v>
      </c>
      <c r="B8653">
        <v>1001</v>
      </c>
      <c r="C8653" t="s">
        <v>79</v>
      </c>
      <c r="D8653">
        <v>1.1595999999999999E-4</v>
      </c>
      <c r="E8653" t="s">
        <v>74</v>
      </c>
      <c r="F8653">
        <v>0.11595999999999999</v>
      </c>
      <c r="G8653" t="s">
        <v>75</v>
      </c>
      <c r="H8653">
        <v>115.962</v>
      </c>
      <c r="I8653" t="s">
        <v>76</v>
      </c>
      <c r="J8653" t="s">
        <v>77</v>
      </c>
    </row>
    <row r="8654" spans="1:11" x14ac:dyDescent="0.3">
      <c r="A8654" t="s">
        <v>84</v>
      </c>
      <c r="B8654">
        <v>1001</v>
      </c>
      <c r="C8654" t="s">
        <v>94</v>
      </c>
      <c r="D8654">
        <v>2.62524E-3</v>
      </c>
      <c r="E8654" t="s">
        <v>74</v>
      </c>
      <c r="F8654">
        <v>2.6252399999999998</v>
      </c>
      <c r="G8654" t="s">
        <v>75</v>
      </c>
      <c r="H8654">
        <v>2625.24</v>
      </c>
      <c r="I8654" t="s">
        <v>76</v>
      </c>
      <c r="J8654" t="s">
        <v>77</v>
      </c>
    </row>
    <row r="8655" spans="1:11" x14ac:dyDescent="0.3">
      <c r="A8655" t="s">
        <v>84</v>
      </c>
      <c r="B8655">
        <v>1001</v>
      </c>
      <c r="C8655" t="s">
        <v>80</v>
      </c>
      <c r="D8655">
        <v>2.7896599999999998E-3</v>
      </c>
      <c r="E8655" t="s">
        <v>74</v>
      </c>
      <c r="F8655">
        <v>2.78966</v>
      </c>
      <c r="G8655" t="s">
        <v>75</v>
      </c>
      <c r="H8655">
        <v>2789.6619999999998</v>
      </c>
      <c r="I8655" t="s">
        <v>76</v>
      </c>
      <c r="J8655" t="s">
        <v>77</v>
      </c>
    </row>
    <row r="8656" spans="1:11" x14ac:dyDescent="0.3">
      <c r="A8656" t="s">
        <v>84</v>
      </c>
      <c r="B8656">
        <v>1001</v>
      </c>
      <c r="C8656" t="s">
        <v>81</v>
      </c>
      <c r="D8656">
        <v>2.9064899999999999E-3</v>
      </c>
      <c r="E8656" t="s">
        <v>74</v>
      </c>
      <c r="F8656">
        <v>2.9064899999999998</v>
      </c>
      <c r="G8656" t="s">
        <v>75</v>
      </c>
      <c r="H8656">
        <v>2906.4879999999998</v>
      </c>
      <c r="I8656" t="s">
        <v>76</v>
      </c>
      <c r="J8656" t="s">
        <v>82</v>
      </c>
      <c r="K8656">
        <v>344.05778759999998</v>
      </c>
    </row>
    <row r="8657" spans="1:11" x14ac:dyDescent="0.3">
      <c r="A8657" t="s">
        <v>85</v>
      </c>
      <c r="B8657">
        <v>1001</v>
      </c>
      <c r="C8657" t="s">
        <v>86</v>
      </c>
      <c r="D8657">
        <v>2.90668E-3</v>
      </c>
      <c r="E8657" t="s">
        <v>74</v>
      </c>
      <c r="F8657">
        <v>2.9066800000000002</v>
      </c>
      <c r="G8657" t="s">
        <v>75</v>
      </c>
      <c r="H8657">
        <v>2906.6770000000001</v>
      </c>
      <c r="I8657" t="s">
        <v>76</v>
      </c>
      <c r="J8657" t="s">
        <v>82</v>
      </c>
      <c r="K8657">
        <v>344.03551520000002</v>
      </c>
    </row>
    <row r="8658" spans="1:11" x14ac:dyDescent="0.3">
      <c r="A8658" t="s">
        <v>134</v>
      </c>
    </row>
    <row r="8659" spans="1:11" x14ac:dyDescent="0.3">
      <c r="A8659" t="s">
        <v>392</v>
      </c>
    </row>
    <row r="8660" spans="1:11" x14ac:dyDescent="0.3">
      <c r="A8660" t="s">
        <v>72</v>
      </c>
      <c r="B8660">
        <v>1</v>
      </c>
      <c r="C8660" t="s">
        <v>73</v>
      </c>
      <c r="D8660">
        <v>3.7000000000000002E-6</v>
      </c>
      <c r="E8660" t="s">
        <v>74</v>
      </c>
      <c r="F8660">
        <v>3.7000000000000002E-3</v>
      </c>
      <c r="G8660" t="s">
        <v>75</v>
      </c>
      <c r="H8660">
        <v>3.7</v>
      </c>
      <c r="I8660" t="s">
        <v>76</v>
      </c>
      <c r="J8660" t="s">
        <v>77</v>
      </c>
    </row>
    <row r="8661" spans="1:11" x14ac:dyDescent="0.3">
      <c r="A8661" t="s">
        <v>72</v>
      </c>
      <c r="B8661">
        <v>1</v>
      </c>
      <c r="C8661" t="s">
        <v>78</v>
      </c>
      <c r="D8661">
        <v>4.661E-4</v>
      </c>
      <c r="E8661" t="s">
        <v>74</v>
      </c>
      <c r="F8661">
        <v>0.46610000000000001</v>
      </c>
      <c r="G8661" t="s">
        <v>75</v>
      </c>
      <c r="H8661">
        <v>466.1</v>
      </c>
      <c r="I8661" t="s">
        <v>76</v>
      </c>
      <c r="J8661" t="s">
        <v>77</v>
      </c>
    </row>
    <row r="8662" spans="1:11" x14ac:dyDescent="0.3">
      <c r="A8662" t="s">
        <v>72</v>
      </c>
      <c r="B8662">
        <v>1</v>
      </c>
      <c r="C8662" t="s">
        <v>79</v>
      </c>
      <c r="D8662">
        <v>2.6659000000000001E-3</v>
      </c>
      <c r="E8662" t="s">
        <v>74</v>
      </c>
      <c r="F8662">
        <v>2.6659000000000002</v>
      </c>
      <c r="G8662" t="s">
        <v>75</v>
      </c>
      <c r="H8662">
        <v>2665.9</v>
      </c>
      <c r="I8662" t="s">
        <v>76</v>
      </c>
      <c r="J8662" t="s">
        <v>77</v>
      </c>
    </row>
    <row r="8663" spans="1:11" x14ac:dyDescent="0.3">
      <c r="A8663" t="s">
        <v>72</v>
      </c>
      <c r="B8663">
        <v>1</v>
      </c>
      <c r="C8663" t="s">
        <v>94</v>
      </c>
      <c r="D8663">
        <v>2.6026999999999999E-3</v>
      </c>
      <c r="E8663" t="s">
        <v>74</v>
      </c>
      <c r="F8663">
        <v>2.6027</v>
      </c>
      <c r="G8663" t="s">
        <v>75</v>
      </c>
      <c r="H8663">
        <v>2602.6999999999998</v>
      </c>
      <c r="I8663" t="s">
        <v>76</v>
      </c>
      <c r="J8663" t="s">
        <v>77</v>
      </c>
    </row>
    <row r="8664" spans="1:11" x14ac:dyDescent="0.3">
      <c r="A8664" t="s">
        <v>72</v>
      </c>
      <c r="B8664">
        <v>1</v>
      </c>
      <c r="C8664" t="s">
        <v>80</v>
      </c>
      <c r="D8664">
        <v>2.7379000000000001E-3</v>
      </c>
      <c r="E8664" t="s">
        <v>74</v>
      </c>
      <c r="F8664">
        <v>2.7378999999999998</v>
      </c>
      <c r="G8664" t="s">
        <v>75</v>
      </c>
      <c r="H8664">
        <v>2737.9</v>
      </c>
      <c r="I8664" t="s">
        <v>76</v>
      </c>
      <c r="J8664" t="s">
        <v>77</v>
      </c>
    </row>
    <row r="8665" spans="1:11" x14ac:dyDescent="0.3">
      <c r="A8665" t="s">
        <v>72</v>
      </c>
      <c r="B8665">
        <v>1</v>
      </c>
      <c r="C8665" t="s">
        <v>81</v>
      </c>
      <c r="D8665">
        <v>5.4048999999999998E-3</v>
      </c>
      <c r="E8665" t="s">
        <v>74</v>
      </c>
      <c r="F8665">
        <v>5.4048999999999996</v>
      </c>
      <c r="G8665" t="s">
        <v>75</v>
      </c>
      <c r="H8665">
        <v>5404.9</v>
      </c>
      <c r="I8665" t="s">
        <v>76</v>
      </c>
      <c r="J8665" t="s">
        <v>82</v>
      </c>
      <c r="K8665">
        <v>185.01730499999999</v>
      </c>
    </row>
    <row r="8666" spans="1:11" x14ac:dyDescent="0.3">
      <c r="A8666" t="s">
        <v>83</v>
      </c>
      <c r="B8666">
        <v>1000</v>
      </c>
      <c r="C8666" t="s">
        <v>79</v>
      </c>
      <c r="D8666">
        <v>2.2999999999999999E-7</v>
      </c>
      <c r="E8666" t="s">
        <v>74</v>
      </c>
      <c r="F8666">
        <v>2.3000000000000001E-4</v>
      </c>
      <c r="G8666" t="s">
        <v>75</v>
      </c>
      <c r="H8666">
        <v>0.22800000000000001</v>
      </c>
      <c r="I8666" t="s">
        <v>76</v>
      </c>
      <c r="J8666" t="s">
        <v>77</v>
      </c>
    </row>
    <row r="8667" spans="1:11" x14ac:dyDescent="0.3">
      <c r="A8667" t="s">
        <v>83</v>
      </c>
      <c r="B8667">
        <v>1000</v>
      </c>
      <c r="C8667" t="s">
        <v>94</v>
      </c>
      <c r="D8667">
        <v>2.59538E-3</v>
      </c>
      <c r="E8667" t="s">
        <v>74</v>
      </c>
      <c r="F8667">
        <v>2.59538</v>
      </c>
      <c r="G8667" t="s">
        <v>75</v>
      </c>
      <c r="H8667">
        <v>2595.384</v>
      </c>
      <c r="I8667" t="s">
        <v>76</v>
      </c>
      <c r="J8667" t="s">
        <v>77</v>
      </c>
    </row>
    <row r="8668" spans="1:11" x14ac:dyDescent="0.3">
      <c r="A8668" t="s">
        <v>83</v>
      </c>
      <c r="B8668">
        <v>1000</v>
      </c>
      <c r="C8668" t="s">
        <v>80</v>
      </c>
      <c r="D8668">
        <v>2.7729299999999998E-3</v>
      </c>
      <c r="E8668" t="s">
        <v>74</v>
      </c>
      <c r="F8668">
        <v>2.7729300000000001</v>
      </c>
      <c r="G8668" t="s">
        <v>75</v>
      </c>
      <c r="H8668">
        <v>2772.931</v>
      </c>
      <c r="I8668" t="s">
        <v>76</v>
      </c>
      <c r="J8668" t="s">
        <v>77</v>
      </c>
    </row>
    <row r="8669" spans="1:11" x14ac:dyDescent="0.3">
      <c r="A8669" t="s">
        <v>83</v>
      </c>
      <c r="B8669">
        <v>1000</v>
      </c>
      <c r="C8669" t="s">
        <v>81</v>
      </c>
      <c r="D8669">
        <v>2.7740299999999998E-3</v>
      </c>
      <c r="E8669" t="s">
        <v>74</v>
      </c>
      <c r="F8669">
        <v>2.7740300000000002</v>
      </c>
      <c r="G8669" t="s">
        <v>75</v>
      </c>
      <c r="H8669">
        <v>2774.0329999999999</v>
      </c>
      <c r="I8669" t="s">
        <v>76</v>
      </c>
      <c r="J8669" t="s">
        <v>82</v>
      </c>
      <c r="K8669">
        <v>360.48596930000002</v>
      </c>
    </row>
    <row r="8670" spans="1:11" x14ac:dyDescent="0.3">
      <c r="A8670" t="s">
        <v>84</v>
      </c>
      <c r="B8670">
        <v>1001</v>
      </c>
      <c r="C8670" t="s">
        <v>79</v>
      </c>
      <c r="D8670">
        <v>2.8899999999999999E-6</v>
      </c>
      <c r="E8670" t="s">
        <v>74</v>
      </c>
      <c r="F8670">
        <v>2.8900000000000002E-3</v>
      </c>
      <c r="G8670" t="s">
        <v>75</v>
      </c>
      <c r="H8670">
        <v>2.891</v>
      </c>
      <c r="I8670" t="s">
        <v>76</v>
      </c>
      <c r="J8670" t="s">
        <v>77</v>
      </c>
    </row>
    <row r="8671" spans="1:11" x14ac:dyDescent="0.3">
      <c r="A8671" t="s">
        <v>84</v>
      </c>
      <c r="B8671">
        <v>1001</v>
      </c>
      <c r="C8671" t="s">
        <v>94</v>
      </c>
      <c r="D8671">
        <v>2.5953899999999999E-3</v>
      </c>
      <c r="E8671" t="s">
        <v>74</v>
      </c>
      <c r="F8671">
        <v>2.5953900000000001</v>
      </c>
      <c r="G8671" t="s">
        <v>75</v>
      </c>
      <c r="H8671">
        <v>2595.3910000000001</v>
      </c>
      <c r="I8671" t="s">
        <v>76</v>
      </c>
      <c r="J8671" t="s">
        <v>77</v>
      </c>
    </row>
    <row r="8672" spans="1:11" x14ac:dyDescent="0.3">
      <c r="A8672" t="s">
        <v>84</v>
      </c>
      <c r="B8672">
        <v>1001</v>
      </c>
      <c r="C8672" t="s">
        <v>80</v>
      </c>
      <c r="D8672">
        <v>2.7729E-3</v>
      </c>
      <c r="E8672" t="s">
        <v>74</v>
      </c>
      <c r="F8672">
        <v>2.7728999999999999</v>
      </c>
      <c r="G8672" t="s">
        <v>75</v>
      </c>
      <c r="H8672">
        <v>2772.895</v>
      </c>
      <c r="I8672" t="s">
        <v>76</v>
      </c>
      <c r="J8672" t="s">
        <v>77</v>
      </c>
    </row>
    <row r="8673" spans="1:11" x14ac:dyDescent="0.3">
      <c r="A8673" t="s">
        <v>84</v>
      </c>
      <c r="B8673">
        <v>1001</v>
      </c>
      <c r="C8673" t="s">
        <v>81</v>
      </c>
      <c r="D8673">
        <v>2.7766599999999998E-3</v>
      </c>
      <c r="E8673" t="s">
        <v>74</v>
      </c>
      <c r="F8673">
        <v>2.7766600000000001</v>
      </c>
      <c r="G8673" t="s">
        <v>75</v>
      </c>
      <c r="H8673">
        <v>2776.6610000000001</v>
      </c>
      <c r="I8673" t="s">
        <v>76</v>
      </c>
      <c r="J8673" t="s">
        <v>82</v>
      </c>
      <c r="K8673">
        <v>360.1447771</v>
      </c>
    </row>
    <row r="8674" spans="1:11" x14ac:dyDescent="0.3">
      <c r="A8674" t="s">
        <v>85</v>
      </c>
      <c r="B8674">
        <v>1001</v>
      </c>
      <c r="C8674" t="s">
        <v>86</v>
      </c>
      <c r="D8674">
        <v>2.7768300000000001E-3</v>
      </c>
      <c r="E8674" t="s">
        <v>74</v>
      </c>
      <c r="F8674">
        <v>2.7768299999999999</v>
      </c>
      <c r="G8674" t="s">
        <v>75</v>
      </c>
      <c r="H8674">
        <v>2776.8330000000001</v>
      </c>
      <c r="I8674" t="s">
        <v>76</v>
      </c>
      <c r="J8674" t="s">
        <v>82</v>
      </c>
      <c r="K8674">
        <v>360.12244290000001</v>
      </c>
    </row>
    <row r="8675" spans="1:11" x14ac:dyDescent="0.3">
      <c r="A8675" t="s">
        <v>115</v>
      </c>
    </row>
    <row r="8676" spans="1:11" x14ac:dyDescent="0.3">
      <c r="A8676" t="s">
        <v>127</v>
      </c>
    </row>
    <row r="8677" spans="1:11" x14ac:dyDescent="0.3">
      <c r="A8677" t="s">
        <v>87</v>
      </c>
    </row>
    <row r="8678" spans="1:11" x14ac:dyDescent="0.3">
      <c r="A8678" t="s">
        <v>393</v>
      </c>
    </row>
    <row r="8679" spans="1:11" x14ac:dyDescent="0.3">
      <c r="A8679" t="s">
        <v>72</v>
      </c>
      <c r="B8679">
        <v>1</v>
      </c>
      <c r="C8679" t="s">
        <v>81</v>
      </c>
      <c r="D8679">
        <v>0.12541210999999999</v>
      </c>
      <c r="E8679" t="s">
        <v>74</v>
      </c>
      <c r="F8679">
        <v>125.41211</v>
      </c>
      <c r="G8679" t="s">
        <v>75</v>
      </c>
      <c r="H8679">
        <v>125412.107</v>
      </c>
      <c r="I8679" t="s">
        <v>76</v>
      </c>
      <c r="J8679" t="s">
        <v>82</v>
      </c>
      <c r="K8679">
        <v>7.9737118999999996</v>
      </c>
    </row>
    <row r="8680" spans="1:11" x14ac:dyDescent="0.3">
      <c r="A8680" t="s">
        <v>83</v>
      </c>
      <c r="B8680">
        <v>1000</v>
      </c>
      <c r="C8680" t="s">
        <v>81</v>
      </c>
      <c r="D8680">
        <v>2.7839800000000001E-3</v>
      </c>
      <c r="E8680" t="s">
        <v>74</v>
      </c>
      <c r="F8680">
        <v>2.7839800000000001</v>
      </c>
      <c r="G8680" t="s">
        <v>75</v>
      </c>
      <c r="H8680">
        <v>2783.9830000000002</v>
      </c>
      <c r="I8680" t="s">
        <v>76</v>
      </c>
      <c r="J8680" t="s">
        <v>82</v>
      </c>
      <c r="K8680">
        <v>359.19762739999999</v>
      </c>
    </row>
    <row r="8681" spans="1:11" x14ac:dyDescent="0.3">
      <c r="A8681" t="s">
        <v>85</v>
      </c>
      <c r="B8681">
        <v>1001</v>
      </c>
      <c r="C8681" t="s">
        <v>86</v>
      </c>
      <c r="D8681">
        <v>2.90668E-3</v>
      </c>
      <c r="E8681" t="s">
        <v>74</v>
      </c>
      <c r="F8681">
        <v>2.9066800000000002</v>
      </c>
      <c r="G8681" t="s">
        <v>75</v>
      </c>
      <c r="H8681">
        <v>2906.6770000000001</v>
      </c>
      <c r="I8681" t="s">
        <v>76</v>
      </c>
      <c r="J8681" t="s">
        <v>82</v>
      </c>
      <c r="K8681">
        <v>344.03551520000002</v>
      </c>
    </row>
    <row r="8683" spans="1:11" x14ac:dyDescent="0.3">
      <c r="A8683" t="s">
        <v>394</v>
      </c>
    </row>
    <row r="8684" spans="1:11" x14ac:dyDescent="0.3">
      <c r="A8684" t="s">
        <v>72</v>
      </c>
      <c r="B8684">
        <v>1</v>
      </c>
      <c r="C8684" t="s">
        <v>81</v>
      </c>
      <c r="D8684">
        <v>5.4048999999999998E-3</v>
      </c>
      <c r="E8684" t="s">
        <v>74</v>
      </c>
      <c r="F8684">
        <v>5.4048999999999996</v>
      </c>
      <c r="G8684" t="s">
        <v>75</v>
      </c>
      <c r="H8684">
        <v>5404.9</v>
      </c>
      <c r="I8684" t="s">
        <v>76</v>
      </c>
      <c r="J8684" t="s">
        <v>82</v>
      </c>
      <c r="K8684">
        <v>185.01730499999999</v>
      </c>
    </row>
    <row r="8685" spans="1:11" x14ac:dyDescent="0.3">
      <c r="A8685" t="s">
        <v>83</v>
      </c>
      <c r="B8685">
        <v>1000</v>
      </c>
      <c r="C8685" t="s">
        <v>81</v>
      </c>
      <c r="D8685">
        <v>2.7740299999999998E-3</v>
      </c>
      <c r="E8685" t="s">
        <v>74</v>
      </c>
      <c r="F8685">
        <v>2.7740300000000002</v>
      </c>
      <c r="G8685" t="s">
        <v>75</v>
      </c>
      <c r="H8685">
        <v>2774.0329999999999</v>
      </c>
      <c r="I8685" t="s">
        <v>76</v>
      </c>
      <c r="J8685" t="s">
        <v>82</v>
      </c>
      <c r="K8685">
        <v>360.48596930000002</v>
      </c>
    </row>
    <row r="8686" spans="1:11" x14ac:dyDescent="0.3">
      <c r="A8686" t="s">
        <v>85</v>
      </c>
      <c r="B8686">
        <v>1001</v>
      </c>
      <c r="C8686" t="s">
        <v>86</v>
      </c>
      <c r="D8686">
        <v>2.7768300000000001E-3</v>
      </c>
      <c r="E8686" t="s">
        <v>74</v>
      </c>
      <c r="F8686">
        <v>2.7768299999999999</v>
      </c>
      <c r="G8686" t="s">
        <v>75</v>
      </c>
      <c r="H8686">
        <v>2776.8330000000001</v>
      </c>
      <c r="I8686" t="s">
        <v>76</v>
      </c>
      <c r="J8686" t="s">
        <v>82</v>
      </c>
      <c r="K8686">
        <v>360.12244290000001</v>
      </c>
    </row>
    <row r="8688" spans="1:11" x14ac:dyDescent="0.3">
      <c r="A8688" t="s">
        <v>66</v>
      </c>
    </row>
    <row r="8690" spans="1:1" x14ac:dyDescent="0.3">
      <c r="A8690" t="s">
        <v>461</v>
      </c>
    </row>
    <row r="8691" spans="1:1" x14ac:dyDescent="0.3">
      <c r="A8691" t="s">
        <v>68</v>
      </c>
    </row>
    <row r="8692" spans="1:1" x14ac:dyDescent="0.3">
      <c r="A8692" t="s">
        <v>69</v>
      </c>
    </row>
    <row r="8693" spans="1:1" x14ac:dyDescent="0.3">
      <c r="A8693" t="s">
        <v>70</v>
      </c>
    </row>
    <row r="8694" spans="1:1" x14ac:dyDescent="0.3">
      <c r="A8694" t="s">
        <v>115</v>
      </c>
    </row>
    <row r="8695" spans="1:1" x14ac:dyDescent="0.3">
      <c r="A8695" t="s">
        <v>384</v>
      </c>
    </row>
    <row r="8696" spans="1:1" x14ac:dyDescent="0.3">
      <c r="A8696" t="s">
        <v>385</v>
      </c>
    </row>
    <row r="8697" spans="1:1" x14ac:dyDescent="0.3">
      <c r="A8697" t="s">
        <v>118</v>
      </c>
    </row>
    <row r="8698" spans="1:1" x14ac:dyDescent="0.3">
      <c r="A8698" t="s">
        <v>119</v>
      </c>
    </row>
    <row r="8699" spans="1:1" x14ac:dyDescent="0.3">
      <c r="A8699" t="s">
        <v>268</v>
      </c>
    </row>
    <row r="8700" spans="1:1" x14ac:dyDescent="0.3">
      <c r="A8700" t="s">
        <v>269</v>
      </c>
    </row>
    <row r="8701" spans="1:1" x14ac:dyDescent="0.3">
      <c r="A8701" t="s">
        <v>386</v>
      </c>
    </row>
    <row r="8702" spans="1:1" x14ac:dyDescent="0.3">
      <c r="A8702" t="s">
        <v>387</v>
      </c>
    </row>
    <row r="8703" spans="1:1" x14ac:dyDescent="0.3">
      <c r="A8703" t="s">
        <v>271</v>
      </c>
    </row>
    <row r="8704" spans="1:1" x14ac:dyDescent="0.3">
      <c r="A8704" t="s">
        <v>125</v>
      </c>
    </row>
    <row r="8705" spans="1:11" x14ac:dyDescent="0.3">
      <c r="A8705" t="s">
        <v>126</v>
      </c>
    </row>
    <row r="8706" spans="1:11" x14ac:dyDescent="0.3">
      <c r="A8706" t="s">
        <v>127</v>
      </c>
    </row>
    <row r="8707" spans="1:11" x14ac:dyDescent="0.3">
      <c r="A8707" t="s">
        <v>139</v>
      </c>
    </row>
    <row r="8708" spans="1:11" x14ac:dyDescent="0.3">
      <c r="A8708" t="s">
        <v>396</v>
      </c>
    </row>
    <row r="8709" spans="1:11" x14ac:dyDescent="0.3">
      <c r="A8709" t="s">
        <v>72</v>
      </c>
      <c r="B8709">
        <v>1</v>
      </c>
      <c r="C8709" t="s">
        <v>73</v>
      </c>
      <c r="D8709">
        <v>3.4999999999999999E-6</v>
      </c>
      <c r="E8709" t="s">
        <v>74</v>
      </c>
      <c r="F8709">
        <v>3.5000000000000001E-3</v>
      </c>
      <c r="G8709" t="s">
        <v>75</v>
      </c>
      <c r="H8709">
        <v>3.5</v>
      </c>
      <c r="I8709" t="s">
        <v>76</v>
      </c>
      <c r="J8709" t="s">
        <v>77</v>
      </c>
    </row>
    <row r="8710" spans="1:11" x14ac:dyDescent="0.3">
      <c r="A8710" t="s">
        <v>72</v>
      </c>
      <c r="B8710">
        <v>1</v>
      </c>
      <c r="C8710" t="s">
        <v>78</v>
      </c>
      <c r="D8710">
        <v>0.14575769999999999</v>
      </c>
      <c r="E8710" t="s">
        <v>74</v>
      </c>
      <c r="F8710">
        <v>145.7577</v>
      </c>
      <c r="G8710" t="s">
        <v>75</v>
      </c>
      <c r="H8710">
        <v>145757.70499999999</v>
      </c>
      <c r="I8710" t="s">
        <v>76</v>
      </c>
      <c r="J8710" t="s">
        <v>77</v>
      </c>
    </row>
    <row r="8711" spans="1:11" x14ac:dyDescent="0.3">
      <c r="A8711" t="s">
        <v>72</v>
      </c>
      <c r="B8711">
        <v>1</v>
      </c>
      <c r="C8711" t="s">
        <v>79</v>
      </c>
      <c r="D8711">
        <v>0.1367003</v>
      </c>
      <c r="E8711" t="s">
        <v>74</v>
      </c>
      <c r="F8711">
        <v>136.7003</v>
      </c>
      <c r="G8711" t="s">
        <v>75</v>
      </c>
      <c r="H8711">
        <v>136700.302</v>
      </c>
      <c r="I8711" t="s">
        <v>76</v>
      </c>
      <c r="J8711" t="s">
        <v>77</v>
      </c>
    </row>
    <row r="8712" spans="1:11" x14ac:dyDescent="0.3">
      <c r="A8712" t="s">
        <v>72</v>
      </c>
      <c r="B8712">
        <v>1</v>
      </c>
      <c r="C8712" t="s">
        <v>94</v>
      </c>
      <c r="D8712">
        <v>9.6255000000000004E-3</v>
      </c>
      <c r="E8712" t="s">
        <v>74</v>
      </c>
      <c r="F8712">
        <v>9.6255000000000006</v>
      </c>
      <c r="G8712" t="s">
        <v>75</v>
      </c>
      <c r="H8712">
        <v>9625.5</v>
      </c>
      <c r="I8712" t="s">
        <v>76</v>
      </c>
      <c r="J8712" t="s">
        <v>77</v>
      </c>
    </row>
    <row r="8713" spans="1:11" x14ac:dyDescent="0.3">
      <c r="A8713" t="s">
        <v>72</v>
      </c>
      <c r="B8713">
        <v>1</v>
      </c>
      <c r="C8713" t="s">
        <v>80</v>
      </c>
      <c r="D8713">
        <v>9.6261999999999997E-3</v>
      </c>
      <c r="E8713" t="s">
        <v>74</v>
      </c>
      <c r="F8713">
        <v>9.6262000000000008</v>
      </c>
      <c r="G8713" t="s">
        <v>75</v>
      </c>
      <c r="H8713">
        <v>9626.2000000000007</v>
      </c>
      <c r="I8713" t="s">
        <v>76</v>
      </c>
      <c r="J8713" t="s">
        <v>77</v>
      </c>
    </row>
    <row r="8714" spans="1:11" x14ac:dyDescent="0.3">
      <c r="A8714" t="s">
        <v>72</v>
      </c>
      <c r="B8714">
        <v>1</v>
      </c>
      <c r="C8714" t="s">
        <v>81</v>
      </c>
      <c r="D8714">
        <v>0.14632870000000001</v>
      </c>
      <c r="E8714" t="s">
        <v>74</v>
      </c>
      <c r="F8714">
        <v>146.3287</v>
      </c>
      <c r="G8714" t="s">
        <v>75</v>
      </c>
      <c r="H8714">
        <v>146328.70300000001</v>
      </c>
      <c r="I8714" t="s">
        <v>76</v>
      </c>
      <c r="J8714" t="s">
        <v>82</v>
      </c>
      <c r="K8714">
        <v>6.8339292</v>
      </c>
    </row>
    <row r="8715" spans="1:11" x14ac:dyDescent="0.3">
      <c r="A8715" t="s">
        <v>83</v>
      </c>
      <c r="B8715">
        <v>1000</v>
      </c>
      <c r="C8715" t="s">
        <v>79</v>
      </c>
      <c r="D8715">
        <v>2.8000000000000002E-7</v>
      </c>
      <c r="E8715" t="s">
        <v>74</v>
      </c>
      <c r="F8715">
        <v>2.7999999999999998E-4</v>
      </c>
      <c r="G8715" t="s">
        <v>75</v>
      </c>
      <c r="H8715">
        <v>0.28000000000000003</v>
      </c>
      <c r="I8715" t="s">
        <v>76</v>
      </c>
      <c r="J8715" t="s">
        <v>77</v>
      </c>
    </row>
    <row r="8716" spans="1:11" x14ac:dyDescent="0.3">
      <c r="A8716" t="s">
        <v>83</v>
      </c>
      <c r="B8716">
        <v>1000</v>
      </c>
      <c r="C8716" t="s">
        <v>94</v>
      </c>
      <c r="D8716">
        <v>2.64577E-3</v>
      </c>
      <c r="E8716" t="s">
        <v>74</v>
      </c>
      <c r="F8716">
        <v>2.6457700000000002</v>
      </c>
      <c r="G8716" t="s">
        <v>75</v>
      </c>
      <c r="H8716">
        <v>2645.7689999999998</v>
      </c>
      <c r="I8716" t="s">
        <v>76</v>
      </c>
      <c r="J8716" t="s">
        <v>77</v>
      </c>
    </row>
    <row r="8717" spans="1:11" x14ac:dyDescent="0.3">
      <c r="A8717" t="s">
        <v>83</v>
      </c>
      <c r="B8717">
        <v>1000</v>
      </c>
      <c r="C8717" t="s">
        <v>80</v>
      </c>
      <c r="D8717">
        <v>2.8081400000000002E-3</v>
      </c>
      <c r="E8717" t="s">
        <v>74</v>
      </c>
      <c r="F8717">
        <v>2.8081399999999999</v>
      </c>
      <c r="G8717" t="s">
        <v>75</v>
      </c>
      <c r="H8717">
        <v>2808.14</v>
      </c>
      <c r="I8717" t="s">
        <v>76</v>
      </c>
      <c r="J8717" t="s">
        <v>77</v>
      </c>
    </row>
    <row r="8718" spans="1:11" x14ac:dyDescent="0.3">
      <c r="A8718" t="s">
        <v>83</v>
      </c>
      <c r="B8718">
        <v>1000</v>
      </c>
      <c r="C8718" t="s">
        <v>81</v>
      </c>
      <c r="D8718">
        <v>2.8093100000000002E-3</v>
      </c>
      <c r="E8718" t="s">
        <v>74</v>
      </c>
      <c r="F8718">
        <v>2.80931</v>
      </c>
      <c r="G8718" t="s">
        <v>75</v>
      </c>
      <c r="H8718">
        <v>2809.3069999999998</v>
      </c>
      <c r="I8718" t="s">
        <v>76</v>
      </c>
      <c r="J8718" t="s">
        <v>82</v>
      </c>
      <c r="K8718">
        <v>355.95966019999997</v>
      </c>
    </row>
    <row r="8719" spans="1:11" x14ac:dyDescent="0.3">
      <c r="A8719" t="s">
        <v>84</v>
      </c>
      <c r="B8719">
        <v>1001</v>
      </c>
      <c r="C8719" t="s">
        <v>79</v>
      </c>
      <c r="D8719">
        <v>1.3684E-4</v>
      </c>
      <c r="E8719" t="s">
        <v>74</v>
      </c>
      <c r="F8719">
        <v>0.13683999999999999</v>
      </c>
      <c r="G8719" t="s">
        <v>75</v>
      </c>
      <c r="H8719">
        <v>136.84100000000001</v>
      </c>
      <c r="I8719" t="s">
        <v>76</v>
      </c>
      <c r="J8719" t="s">
        <v>77</v>
      </c>
    </row>
    <row r="8720" spans="1:11" x14ac:dyDescent="0.3">
      <c r="A8720" t="s">
        <v>84</v>
      </c>
      <c r="B8720">
        <v>1001</v>
      </c>
      <c r="C8720" t="s">
        <v>94</v>
      </c>
      <c r="D8720">
        <v>2.6527399999999998E-3</v>
      </c>
      <c r="E8720" t="s">
        <v>74</v>
      </c>
      <c r="F8720">
        <v>2.6527400000000001</v>
      </c>
      <c r="G8720" t="s">
        <v>75</v>
      </c>
      <c r="H8720">
        <v>2652.7420000000002</v>
      </c>
      <c r="I8720" t="s">
        <v>76</v>
      </c>
      <c r="J8720" t="s">
        <v>77</v>
      </c>
    </row>
    <row r="8721" spans="1:11" x14ac:dyDescent="0.3">
      <c r="A8721" t="s">
        <v>84</v>
      </c>
      <c r="B8721">
        <v>1001</v>
      </c>
      <c r="C8721" t="s">
        <v>80</v>
      </c>
      <c r="D8721">
        <v>2.8149500000000001E-3</v>
      </c>
      <c r="E8721" t="s">
        <v>74</v>
      </c>
      <c r="F8721">
        <v>2.8149500000000001</v>
      </c>
      <c r="G8721" t="s">
        <v>75</v>
      </c>
      <c r="H8721">
        <v>2814.951</v>
      </c>
      <c r="I8721" t="s">
        <v>76</v>
      </c>
      <c r="J8721" t="s">
        <v>77</v>
      </c>
    </row>
    <row r="8722" spans="1:11" x14ac:dyDescent="0.3">
      <c r="A8722" t="s">
        <v>84</v>
      </c>
      <c r="B8722">
        <v>1001</v>
      </c>
      <c r="C8722" t="s">
        <v>81</v>
      </c>
      <c r="D8722">
        <v>2.9526800000000001E-3</v>
      </c>
      <c r="E8722" t="s">
        <v>74</v>
      </c>
      <c r="F8722">
        <v>2.95268</v>
      </c>
      <c r="G8722" t="s">
        <v>75</v>
      </c>
      <c r="H8722">
        <v>2952.683</v>
      </c>
      <c r="I8722" t="s">
        <v>76</v>
      </c>
      <c r="J8722" t="s">
        <v>82</v>
      </c>
      <c r="K8722">
        <v>338.67501700000003</v>
      </c>
    </row>
    <row r="8723" spans="1:11" x14ac:dyDescent="0.3">
      <c r="A8723" t="s">
        <v>85</v>
      </c>
      <c r="B8723">
        <v>1001</v>
      </c>
      <c r="C8723" t="s">
        <v>86</v>
      </c>
      <c r="D8723">
        <v>2.9528800000000002E-3</v>
      </c>
      <c r="E8723" t="s">
        <v>74</v>
      </c>
      <c r="F8723">
        <v>2.9528799999999999</v>
      </c>
      <c r="G8723" t="s">
        <v>75</v>
      </c>
      <c r="H8723">
        <v>2952.8780000000002</v>
      </c>
      <c r="I8723" t="s">
        <v>76</v>
      </c>
      <c r="J8723" t="s">
        <v>82</v>
      </c>
      <c r="K8723">
        <v>338.65264380000002</v>
      </c>
    </row>
    <row r="8724" spans="1:11" x14ac:dyDescent="0.3">
      <c r="A8724" t="s">
        <v>141</v>
      </c>
    </row>
    <row r="8725" spans="1:11" x14ac:dyDescent="0.3">
      <c r="A8725" t="s">
        <v>397</v>
      </c>
    </row>
    <row r="8726" spans="1:11" x14ac:dyDescent="0.3">
      <c r="A8726" t="s">
        <v>72</v>
      </c>
      <c r="B8726">
        <v>1</v>
      </c>
      <c r="C8726" t="s">
        <v>73</v>
      </c>
      <c r="D8726">
        <v>3.4999999999999999E-6</v>
      </c>
      <c r="E8726" t="s">
        <v>74</v>
      </c>
      <c r="F8726">
        <v>3.5000000000000001E-3</v>
      </c>
      <c r="G8726" t="s">
        <v>75</v>
      </c>
      <c r="H8726">
        <v>3.5</v>
      </c>
      <c r="I8726" t="s">
        <v>76</v>
      </c>
      <c r="J8726" t="s">
        <v>77</v>
      </c>
    </row>
    <row r="8727" spans="1:11" x14ac:dyDescent="0.3">
      <c r="A8727" t="s">
        <v>72</v>
      </c>
      <c r="B8727">
        <v>1</v>
      </c>
      <c r="C8727" t="s">
        <v>78</v>
      </c>
      <c r="D8727">
        <v>4.4279999999999998E-4</v>
      </c>
      <c r="E8727" t="s">
        <v>74</v>
      </c>
      <c r="F8727">
        <v>0.44280000000000003</v>
      </c>
      <c r="G8727" t="s">
        <v>75</v>
      </c>
      <c r="H8727">
        <v>442.8</v>
      </c>
      <c r="I8727" t="s">
        <v>76</v>
      </c>
      <c r="J8727" t="s">
        <v>77</v>
      </c>
    </row>
    <row r="8728" spans="1:11" x14ac:dyDescent="0.3">
      <c r="A8728" t="s">
        <v>72</v>
      </c>
      <c r="B8728">
        <v>1</v>
      </c>
      <c r="C8728" t="s">
        <v>79</v>
      </c>
      <c r="D8728">
        <v>4.0971999999999996E-3</v>
      </c>
      <c r="E8728" t="s">
        <v>74</v>
      </c>
      <c r="F8728">
        <v>4.0972</v>
      </c>
      <c r="G8728" t="s">
        <v>75</v>
      </c>
      <c r="H8728">
        <v>4097.2</v>
      </c>
      <c r="I8728" t="s">
        <v>76</v>
      </c>
      <c r="J8728" t="s">
        <v>77</v>
      </c>
    </row>
    <row r="8729" spans="1:11" x14ac:dyDescent="0.3">
      <c r="A8729" t="s">
        <v>72</v>
      </c>
      <c r="B8729">
        <v>1</v>
      </c>
      <c r="C8729" t="s">
        <v>94</v>
      </c>
      <c r="D8729">
        <v>2.6278999999999999E-3</v>
      </c>
      <c r="E8729" t="s">
        <v>74</v>
      </c>
      <c r="F8729">
        <v>2.6278999999999999</v>
      </c>
      <c r="G8729" t="s">
        <v>75</v>
      </c>
      <c r="H8729">
        <v>2627.9</v>
      </c>
      <c r="I8729" t="s">
        <v>76</v>
      </c>
      <c r="J8729" t="s">
        <v>77</v>
      </c>
    </row>
    <row r="8730" spans="1:11" x14ac:dyDescent="0.3">
      <c r="A8730" t="s">
        <v>72</v>
      </c>
      <c r="B8730">
        <v>1</v>
      </c>
      <c r="C8730" t="s">
        <v>80</v>
      </c>
      <c r="D8730">
        <v>2.7572999999999999E-3</v>
      </c>
      <c r="E8730" t="s">
        <v>74</v>
      </c>
      <c r="F8730">
        <v>2.7572999999999999</v>
      </c>
      <c r="G8730" t="s">
        <v>75</v>
      </c>
      <c r="H8730">
        <v>2757.3</v>
      </c>
      <c r="I8730" t="s">
        <v>76</v>
      </c>
      <c r="J8730" t="s">
        <v>77</v>
      </c>
    </row>
    <row r="8731" spans="1:11" x14ac:dyDescent="0.3">
      <c r="A8731" t="s">
        <v>72</v>
      </c>
      <c r="B8731">
        <v>1</v>
      </c>
      <c r="C8731" t="s">
        <v>81</v>
      </c>
      <c r="D8731">
        <v>6.8557999999999996E-3</v>
      </c>
      <c r="E8731" t="s">
        <v>74</v>
      </c>
      <c r="F8731">
        <v>6.8558000000000003</v>
      </c>
      <c r="G8731" t="s">
        <v>75</v>
      </c>
      <c r="H8731">
        <v>6855.8</v>
      </c>
      <c r="I8731" t="s">
        <v>76</v>
      </c>
      <c r="J8731" t="s">
        <v>82</v>
      </c>
      <c r="K8731">
        <v>145.86190189999999</v>
      </c>
    </row>
    <row r="8732" spans="1:11" x14ac:dyDescent="0.3">
      <c r="A8732" t="s">
        <v>83</v>
      </c>
      <c r="B8732">
        <v>1000</v>
      </c>
      <c r="C8732" t="s">
        <v>79</v>
      </c>
      <c r="D8732">
        <v>2.1E-7</v>
      </c>
      <c r="E8732" t="s">
        <v>74</v>
      </c>
      <c r="F8732">
        <v>2.1000000000000001E-4</v>
      </c>
      <c r="G8732" t="s">
        <v>75</v>
      </c>
      <c r="H8732">
        <v>0.20799999999999999</v>
      </c>
      <c r="I8732" t="s">
        <v>76</v>
      </c>
      <c r="J8732" t="s">
        <v>77</v>
      </c>
    </row>
    <row r="8733" spans="1:11" x14ac:dyDescent="0.3">
      <c r="A8733" t="s">
        <v>83</v>
      </c>
      <c r="B8733">
        <v>1000</v>
      </c>
      <c r="C8733" t="s">
        <v>94</v>
      </c>
      <c r="D8733">
        <v>2.5970400000000001E-3</v>
      </c>
      <c r="E8733" t="s">
        <v>74</v>
      </c>
      <c r="F8733">
        <v>2.5970399999999998</v>
      </c>
      <c r="G8733" t="s">
        <v>75</v>
      </c>
      <c r="H8733">
        <v>2597.0430000000001</v>
      </c>
      <c r="I8733" t="s">
        <v>76</v>
      </c>
      <c r="J8733" t="s">
        <v>77</v>
      </c>
    </row>
    <row r="8734" spans="1:11" x14ac:dyDescent="0.3">
      <c r="A8734" t="s">
        <v>83</v>
      </c>
      <c r="B8734">
        <v>1000</v>
      </c>
      <c r="C8734" t="s">
        <v>80</v>
      </c>
      <c r="D8734">
        <v>2.7448199999999998E-3</v>
      </c>
      <c r="E8734" t="s">
        <v>74</v>
      </c>
      <c r="F8734">
        <v>2.7448199999999998</v>
      </c>
      <c r="G8734" t="s">
        <v>75</v>
      </c>
      <c r="H8734">
        <v>2744.817</v>
      </c>
      <c r="I8734" t="s">
        <v>76</v>
      </c>
      <c r="J8734" t="s">
        <v>77</v>
      </c>
    </row>
    <row r="8735" spans="1:11" x14ac:dyDescent="0.3">
      <c r="A8735" t="s">
        <v>83</v>
      </c>
      <c r="B8735">
        <v>1000</v>
      </c>
      <c r="C8735" t="s">
        <v>81</v>
      </c>
      <c r="D8735">
        <v>2.74589E-3</v>
      </c>
      <c r="E8735" t="s">
        <v>74</v>
      </c>
      <c r="F8735">
        <v>2.7458900000000002</v>
      </c>
      <c r="G8735" t="s">
        <v>75</v>
      </c>
      <c r="H8735">
        <v>2745.8879999999999</v>
      </c>
      <c r="I8735" t="s">
        <v>76</v>
      </c>
      <c r="J8735" t="s">
        <v>82</v>
      </c>
      <c r="K8735">
        <v>364.1808825</v>
      </c>
    </row>
    <row r="8736" spans="1:11" x14ac:dyDescent="0.3">
      <c r="A8736" t="s">
        <v>84</v>
      </c>
      <c r="B8736">
        <v>1001</v>
      </c>
      <c r="C8736" t="s">
        <v>79</v>
      </c>
      <c r="D8736">
        <v>4.3000000000000003E-6</v>
      </c>
      <c r="E8736" t="s">
        <v>74</v>
      </c>
      <c r="F8736">
        <v>4.3E-3</v>
      </c>
      <c r="G8736" t="s">
        <v>75</v>
      </c>
      <c r="H8736">
        <v>4.3010000000000002</v>
      </c>
      <c r="I8736" t="s">
        <v>76</v>
      </c>
      <c r="J8736" t="s">
        <v>77</v>
      </c>
    </row>
    <row r="8737" spans="1:11" x14ac:dyDescent="0.3">
      <c r="A8737" t="s">
        <v>84</v>
      </c>
      <c r="B8737">
        <v>1001</v>
      </c>
      <c r="C8737" t="s">
        <v>94</v>
      </c>
      <c r="D8737">
        <v>2.5970699999999999E-3</v>
      </c>
      <c r="E8737" t="s">
        <v>74</v>
      </c>
      <c r="F8737">
        <v>2.59707</v>
      </c>
      <c r="G8737" t="s">
        <v>75</v>
      </c>
      <c r="H8737">
        <v>2597.0740000000001</v>
      </c>
      <c r="I8737" t="s">
        <v>76</v>
      </c>
      <c r="J8737" t="s">
        <v>77</v>
      </c>
    </row>
    <row r="8738" spans="1:11" x14ac:dyDescent="0.3">
      <c r="A8738" t="s">
        <v>84</v>
      </c>
      <c r="B8738">
        <v>1001</v>
      </c>
      <c r="C8738" t="s">
        <v>80</v>
      </c>
      <c r="D8738">
        <v>2.7448300000000002E-3</v>
      </c>
      <c r="E8738" t="s">
        <v>74</v>
      </c>
      <c r="F8738">
        <v>2.7448299999999999</v>
      </c>
      <c r="G8738" t="s">
        <v>75</v>
      </c>
      <c r="H8738">
        <v>2744.8290000000002</v>
      </c>
      <c r="I8738" t="s">
        <v>76</v>
      </c>
      <c r="J8738" t="s">
        <v>77</v>
      </c>
    </row>
    <row r="8739" spans="1:11" x14ac:dyDescent="0.3">
      <c r="A8739" t="s">
        <v>84</v>
      </c>
      <c r="B8739">
        <v>1001</v>
      </c>
      <c r="C8739" t="s">
        <v>81</v>
      </c>
      <c r="D8739">
        <v>2.7499899999999999E-3</v>
      </c>
      <c r="E8739" t="s">
        <v>74</v>
      </c>
      <c r="F8739">
        <v>2.7499899999999999</v>
      </c>
      <c r="G8739" t="s">
        <v>75</v>
      </c>
      <c r="H8739">
        <v>2749.9940000000001</v>
      </c>
      <c r="I8739" t="s">
        <v>76</v>
      </c>
      <c r="J8739" t="s">
        <v>82</v>
      </c>
      <c r="K8739">
        <v>363.63713009999998</v>
      </c>
    </row>
    <row r="8740" spans="1:11" x14ac:dyDescent="0.3">
      <c r="A8740" t="s">
        <v>85</v>
      </c>
      <c r="B8740">
        <v>1001</v>
      </c>
      <c r="C8740" t="s">
        <v>86</v>
      </c>
      <c r="D8740">
        <v>2.7501499999999998E-3</v>
      </c>
      <c r="E8740" t="s">
        <v>74</v>
      </c>
      <c r="F8740">
        <v>2.7501500000000001</v>
      </c>
      <c r="G8740" t="s">
        <v>75</v>
      </c>
      <c r="H8740">
        <v>2750.1509999999998</v>
      </c>
      <c r="I8740" t="s">
        <v>76</v>
      </c>
      <c r="J8740" t="s">
        <v>82</v>
      </c>
      <c r="K8740">
        <v>363.616376</v>
      </c>
    </row>
    <row r="8741" spans="1:11" x14ac:dyDescent="0.3">
      <c r="A8741" t="s">
        <v>115</v>
      </c>
    </row>
    <row r="8742" spans="1:11" x14ac:dyDescent="0.3">
      <c r="A8742" t="s">
        <v>127</v>
      </c>
    </row>
    <row r="8743" spans="1:11" x14ac:dyDescent="0.3">
      <c r="A8743" t="s">
        <v>87</v>
      </c>
    </row>
    <row r="8744" spans="1:11" x14ac:dyDescent="0.3">
      <c r="A8744" t="s">
        <v>398</v>
      </c>
    </row>
    <row r="8745" spans="1:11" x14ac:dyDescent="0.3">
      <c r="A8745" t="s">
        <v>72</v>
      </c>
      <c r="B8745">
        <v>1</v>
      </c>
      <c r="C8745" t="s">
        <v>81</v>
      </c>
      <c r="D8745">
        <v>0.14632870000000001</v>
      </c>
      <c r="E8745" t="s">
        <v>74</v>
      </c>
      <c r="F8745">
        <v>146.3287</v>
      </c>
      <c r="G8745" t="s">
        <v>75</v>
      </c>
      <c r="H8745">
        <v>146328.70300000001</v>
      </c>
      <c r="I8745" t="s">
        <v>76</v>
      </c>
      <c r="J8745" t="s">
        <v>82</v>
      </c>
      <c r="K8745">
        <v>6.8339292</v>
      </c>
    </row>
    <row r="8746" spans="1:11" x14ac:dyDescent="0.3">
      <c r="A8746" t="s">
        <v>83</v>
      </c>
      <c r="B8746">
        <v>1000</v>
      </c>
      <c r="C8746" t="s">
        <v>81</v>
      </c>
      <c r="D8746">
        <v>2.8093100000000002E-3</v>
      </c>
      <c r="E8746" t="s">
        <v>74</v>
      </c>
      <c r="F8746">
        <v>2.80931</v>
      </c>
      <c r="G8746" t="s">
        <v>75</v>
      </c>
      <c r="H8746">
        <v>2809.3069999999998</v>
      </c>
      <c r="I8746" t="s">
        <v>76</v>
      </c>
      <c r="J8746" t="s">
        <v>82</v>
      </c>
      <c r="K8746">
        <v>355.95966019999997</v>
      </c>
    </row>
    <row r="8747" spans="1:11" x14ac:dyDescent="0.3">
      <c r="A8747" t="s">
        <v>85</v>
      </c>
      <c r="B8747">
        <v>1001</v>
      </c>
      <c r="C8747" t="s">
        <v>86</v>
      </c>
      <c r="D8747">
        <v>2.9528800000000002E-3</v>
      </c>
      <c r="E8747" t="s">
        <v>74</v>
      </c>
      <c r="F8747">
        <v>2.9528799999999999</v>
      </c>
      <c r="G8747" t="s">
        <v>75</v>
      </c>
      <c r="H8747">
        <v>2952.8780000000002</v>
      </c>
      <c r="I8747" t="s">
        <v>76</v>
      </c>
      <c r="J8747" t="s">
        <v>82</v>
      </c>
      <c r="K8747">
        <v>338.65264380000002</v>
      </c>
    </row>
    <row r="8749" spans="1:11" x14ac:dyDescent="0.3">
      <c r="A8749" t="s">
        <v>399</v>
      </c>
    </row>
    <row r="8750" spans="1:11" x14ac:dyDescent="0.3">
      <c r="A8750" t="s">
        <v>72</v>
      </c>
      <c r="B8750">
        <v>1</v>
      </c>
      <c r="C8750" t="s">
        <v>81</v>
      </c>
      <c r="D8750">
        <v>6.8557999999999996E-3</v>
      </c>
      <c r="E8750" t="s">
        <v>74</v>
      </c>
      <c r="F8750">
        <v>6.8558000000000003</v>
      </c>
      <c r="G8750" t="s">
        <v>75</v>
      </c>
      <c r="H8750">
        <v>6855.8</v>
      </c>
      <c r="I8750" t="s">
        <v>76</v>
      </c>
      <c r="J8750" t="s">
        <v>82</v>
      </c>
      <c r="K8750">
        <v>145.86190189999999</v>
      </c>
    </row>
    <row r="8751" spans="1:11" x14ac:dyDescent="0.3">
      <c r="A8751" t="s">
        <v>83</v>
      </c>
      <c r="B8751">
        <v>1000</v>
      </c>
      <c r="C8751" t="s">
        <v>81</v>
      </c>
      <c r="D8751">
        <v>2.74589E-3</v>
      </c>
      <c r="E8751" t="s">
        <v>74</v>
      </c>
      <c r="F8751">
        <v>2.7458900000000002</v>
      </c>
      <c r="G8751" t="s">
        <v>75</v>
      </c>
      <c r="H8751">
        <v>2745.8879999999999</v>
      </c>
      <c r="I8751" t="s">
        <v>76</v>
      </c>
      <c r="J8751" t="s">
        <v>82</v>
      </c>
      <c r="K8751">
        <v>364.1808825</v>
      </c>
    </row>
    <row r="8752" spans="1:11" x14ac:dyDescent="0.3">
      <c r="A8752" t="s">
        <v>85</v>
      </c>
      <c r="B8752">
        <v>1001</v>
      </c>
      <c r="C8752" t="s">
        <v>86</v>
      </c>
      <c r="D8752">
        <v>2.7501499999999998E-3</v>
      </c>
      <c r="E8752" t="s">
        <v>74</v>
      </c>
      <c r="F8752">
        <v>2.7501500000000001</v>
      </c>
      <c r="G8752" t="s">
        <v>75</v>
      </c>
      <c r="H8752">
        <v>2750.1509999999998</v>
      </c>
      <c r="I8752" t="s">
        <v>76</v>
      </c>
      <c r="J8752" t="s">
        <v>82</v>
      </c>
      <c r="K8752">
        <v>363.616376</v>
      </c>
    </row>
    <row r="8754" spans="1:1" x14ac:dyDescent="0.3">
      <c r="A8754" t="s">
        <v>66</v>
      </c>
    </row>
    <row r="8756" spans="1:1" x14ac:dyDescent="0.3">
      <c r="A8756" t="s">
        <v>462</v>
      </c>
    </row>
    <row r="8757" spans="1:1" x14ac:dyDescent="0.3">
      <c r="A8757" t="s">
        <v>68</v>
      </c>
    </row>
    <row r="8758" spans="1:1" x14ac:dyDescent="0.3">
      <c r="A8758" t="s">
        <v>69</v>
      </c>
    </row>
    <row r="8759" spans="1:1" x14ac:dyDescent="0.3">
      <c r="A8759" t="s">
        <v>70</v>
      </c>
    </row>
    <row r="8760" spans="1:1" x14ac:dyDescent="0.3">
      <c r="A8760" t="s">
        <v>115</v>
      </c>
    </row>
    <row r="8761" spans="1:1" x14ac:dyDescent="0.3">
      <c r="A8761" t="s">
        <v>384</v>
      </c>
    </row>
    <row r="8762" spans="1:1" x14ac:dyDescent="0.3">
      <c r="A8762" t="s">
        <v>385</v>
      </c>
    </row>
    <row r="8763" spans="1:1" x14ac:dyDescent="0.3">
      <c r="A8763" t="s">
        <v>118</v>
      </c>
    </row>
    <row r="8764" spans="1:1" x14ac:dyDescent="0.3">
      <c r="A8764" t="s">
        <v>119</v>
      </c>
    </row>
    <row r="8765" spans="1:1" x14ac:dyDescent="0.3">
      <c r="A8765" t="s">
        <v>268</v>
      </c>
    </row>
    <row r="8766" spans="1:1" x14ac:dyDescent="0.3">
      <c r="A8766" t="s">
        <v>269</v>
      </c>
    </row>
    <row r="8767" spans="1:1" x14ac:dyDescent="0.3">
      <c r="A8767" t="s">
        <v>386</v>
      </c>
    </row>
    <row r="8768" spans="1:1" x14ac:dyDescent="0.3">
      <c r="A8768" t="s">
        <v>387</v>
      </c>
    </row>
    <row r="8769" spans="1:11" x14ac:dyDescent="0.3">
      <c r="A8769" t="s">
        <v>271</v>
      </c>
    </row>
    <row r="8770" spans="1:11" x14ac:dyDescent="0.3">
      <c r="A8770" t="s">
        <v>125</v>
      </c>
    </row>
    <row r="8771" spans="1:11" x14ac:dyDescent="0.3">
      <c r="A8771" t="s">
        <v>126</v>
      </c>
    </row>
    <row r="8772" spans="1:11" x14ac:dyDescent="0.3">
      <c r="A8772" t="s">
        <v>127</v>
      </c>
    </row>
    <row r="8773" spans="1:11" x14ac:dyDescent="0.3">
      <c r="A8773" t="s">
        <v>146</v>
      </c>
    </row>
    <row r="8774" spans="1:11" x14ac:dyDescent="0.3">
      <c r="A8774" t="s">
        <v>401</v>
      </c>
    </row>
    <row r="8775" spans="1:11" x14ac:dyDescent="0.3">
      <c r="A8775" t="s">
        <v>72</v>
      </c>
      <c r="B8775">
        <v>1</v>
      </c>
      <c r="C8775" t="s">
        <v>73</v>
      </c>
      <c r="D8775">
        <v>3.9999999999999998E-6</v>
      </c>
      <c r="E8775" t="s">
        <v>74</v>
      </c>
      <c r="F8775">
        <v>4.0000000000000001E-3</v>
      </c>
      <c r="G8775" t="s">
        <v>75</v>
      </c>
      <c r="H8775">
        <v>4</v>
      </c>
      <c r="I8775" t="s">
        <v>76</v>
      </c>
      <c r="J8775" t="s">
        <v>77</v>
      </c>
    </row>
    <row r="8776" spans="1:11" x14ac:dyDescent="0.3">
      <c r="A8776" t="s">
        <v>72</v>
      </c>
      <c r="B8776">
        <v>1</v>
      </c>
      <c r="C8776" t="s">
        <v>78</v>
      </c>
      <c r="D8776">
        <v>0.1283907</v>
      </c>
      <c r="E8776" t="s">
        <v>74</v>
      </c>
      <c r="F8776">
        <v>128.39070000000001</v>
      </c>
      <c r="G8776" t="s">
        <v>75</v>
      </c>
      <c r="H8776">
        <v>128390.7</v>
      </c>
      <c r="I8776" t="s">
        <v>76</v>
      </c>
      <c r="J8776" t="s">
        <v>77</v>
      </c>
    </row>
    <row r="8777" spans="1:11" x14ac:dyDescent="0.3">
      <c r="A8777" t="s">
        <v>72</v>
      </c>
      <c r="B8777">
        <v>1</v>
      </c>
      <c r="C8777" t="s">
        <v>79</v>
      </c>
      <c r="D8777">
        <v>0.1055164</v>
      </c>
      <c r="E8777" t="s">
        <v>74</v>
      </c>
      <c r="F8777">
        <v>105.5164</v>
      </c>
      <c r="G8777" t="s">
        <v>75</v>
      </c>
      <c r="H8777">
        <v>105516.39599999999</v>
      </c>
      <c r="I8777" t="s">
        <v>76</v>
      </c>
      <c r="J8777" t="s">
        <v>77</v>
      </c>
    </row>
    <row r="8778" spans="1:11" x14ac:dyDescent="0.3">
      <c r="A8778" t="s">
        <v>72</v>
      </c>
      <c r="B8778">
        <v>1</v>
      </c>
      <c r="C8778" t="s">
        <v>94</v>
      </c>
      <c r="D8778">
        <v>9.3862000000000008E-3</v>
      </c>
      <c r="E8778" t="s">
        <v>74</v>
      </c>
      <c r="F8778">
        <v>9.3862000000000005</v>
      </c>
      <c r="G8778" t="s">
        <v>75</v>
      </c>
      <c r="H8778">
        <v>9386.2000000000007</v>
      </c>
      <c r="I8778" t="s">
        <v>76</v>
      </c>
      <c r="J8778" t="s">
        <v>77</v>
      </c>
    </row>
    <row r="8779" spans="1:11" x14ac:dyDescent="0.3">
      <c r="A8779" t="s">
        <v>72</v>
      </c>
      <c r="B8779">
        <v>1</v>
      </c>
      <c r="C8779" t="s">
        <v>80</v>
      </c>
      <c r="D8779">
        <v>9.3872000000000001E-3</v>
      </c>
      <c r="E8779" t="s">
        <v>74</v>
      </c>
      <c r="F8779">
        <v>9.3872</v>
      </c>
      <c r="G8779" t="s">
        <v>75</v>
      </c>
      <c r="H8779">
        <v>9387.2000000000007</v>
      </c>
      <c r="I8779" t="s">
        <v>76</v>
      </c>
      <c r="J8779" t="s">
        <v>77</v>
      </c>
    </row>
    <row r="8780" spans="1:11" x14ac:dyDescent="0.3">
      <c r="A8780" t="s">
        <v>72</v>
      </c>
      <c r="B8780">
        <v>1</v>
      </c>
      <c r="C8780" t="s">
        <v>81</v>
      </c>
      <c r="D8780">
        <v>0.11490690000000001</v>
      </c>
      <c r="E8780" t="s">
        <v>74</v>
      </c>
      <c r="F8780">
        <v>114.90689999999999</v>
      </c>
      <c r="G8780" t="s">
        <v>75</v>
      </c>
      <c r="H8780">
        <v>114906.9</v>
      </c>
      <c r="I8780" t="s">
        <v>76</v>
      </c>
      <c r="J8780" t="s">
        <v>82</v>
      </c>
      <c r="K8780">
        <v>8.7026976000000005</v>
      </c>
    </row>
    <row r="8781" spans="1:11" x14ac:dyDescent="0.3">
      <c r="A8781" t="s">
        <v>83</v>
      </c>
      <c r="B8781">
        <v>1000</v>
      </c>
      <c r="C8781" t="s">
        <v>79</v>
      </c>
      <c r="D8781">
        <v>2.2999999999999999E-7</v>
      </c>
      <c r="E8781" t="s">
        <v>74</v>
      </c>
      <c r="F8781">
        <v>2.3000000000000001E-4</v>
      </c>
      <c r="G8781" t="s">
        <v>75</v>
      </c>
      <c r="H8781">
        <v>0.22600000000000001</v>
      </c>
      <c r="I8781" t="s">
        <v>76</v>
      </c>
      <c r="J8781" t="s">
        <v>77</v>
      </c>
    </row>
    <row r="8782" spans="1:11" x14ac:dyDescent="0.3">
      <c r="A8782" t="s">
        <v>83</v>
      </c>
      <c r="B8782">
        <v>1000</v>
      </c>
      <c r="C8782" t="s">
        <v>94</v>
      </c>
      <c r="D8782">
        <v>2.61714E-3</v>
      </c>
      <c r="E8782" t="s">
        <v>74</v>
      </c>
      <c r="F8782">
        <v>2.61714</v>
      </c>
      <c r="G8782" t="s">
        <v>75</v>
      </c>
      <c r="H8782">
        <v>2617.136</v>
      </c>
      <c r="I8782" t="s">
        <v>76</v>
      </c>
      <c r="J8782" t="s">
        <v>77</v>
      </c>
    </row>
    <row r="8783" spans="1:11" x14ac:dyDescent="0.3">
      <c r="A8783" t="s">
        <v>83</v>
      </c>
      <c r="B8783">
        <v>1000</v>
      </c>
      <c r="C8783" t="s">
        <v>80</v>
      </c>
      <c r="D8783">
        <v>2.76217E-3</v>
      </c>
      <c r="E8783" t="s">
        <v>74</v>
      </c>
      <c r="F8783">
        <v>2.7621699999999998</v>
      </c>
      <c r="G8783" t="s">
        <v>75</v>
      </c>
      <c r="H8783">
        <v>2762.1729999999998</v>
      </c>
      <c r="I8783" t="s">
        <v>76</v>
      </c>
      <c r="J8783" t="s">
        <v>77</v>
      </c>
    </row>
    <row r="8784" spans="1:11" x14ac:dyDescent="0.3">
      <c r="A8784" t="s">
        <v>83</v>
      </c>
      <c r="B8784">
        <v>1000</v>
      </c>
      <c r="C8784" t="s">
        <v>81</v>
      </c>
      <c r="D8784">
        <v>2.7632500000000001E-3</v>
      </c>
      <c r="E8784" t="s">
        <v>74</v>
      </c>
      <c r="F8784">
        <v>2.7632500000000002</v>
      </c>
      <c r="G8784" t="s">
        <v>75</v>
      </c>
      <c r="H8784">
        <v>2763.2530000000002</v>
      </c>
      <c r="I8784" t="s">
        <v>76</v>
      </c>
      <c r="J8784" t="s">
        <v>82</v>
      </c>
      <c r="K8784">
        <v>361.89227820000002</v>
      </c>
    </row>
    <row r="8785" spans="1:11" x14ac:dyDescent="0.3">
      <c r="A8785" t="s">
        <v>84</v>
      </c>
      <c r="B8785">
        <v>1001</v>
      </c>
      <c r="C8785" t="s">
        <v>79</v>
      </c>
      <c r="D8785">
        <v>1.0564E-4</v>
      </c>
      <c r="E8785" t="s">
        <v>74</v>
      </c>
      <c r="F8785">
        <v>0.10564</v>
      </c>
      <c r="G8785" t="s">
        <v>75</v>
      </c>
      <c r="H8785">
        <v>105.637</v>
      </c>
      <c r="I8785" t="s">
        <v>76</v>
      </c>
      <c r="J8785" t="s">
        <v>77</v>
      </c>
    </row>
    <row r="8786" spans="1:11" x14ac:dyDescent="0.3">
      <c r="A8786" t="s">
        <v>84</v>
      </c>
      <c r="B8786">
        <v>1001</v>
      </c>
      <c r="C8786" t="s">
        <v>94</v>
      </c>
      <c r="D8786">
        <v>2.6239000000000002E-3</v>
      </c>
      <c r="E8786" t="s">
        <v>74</v>
      </c>
      <c r="F8786">
        <v>2.6238999999999999</v>
      </c>
      <c r="G8786" t="s">
        <v>75</v>
      </c>
      <c r="H8786">
        <v>2623.8980000000001</v>
      </c>
      <c r="I8786" t="s">
        <v>76</v>
      </c>
      <c r="J8786" t="s">
        <v>77</v>
      </c>
    </row>
    <row r="8787" spans="1:11" x14ac:dyDescent="0.3">
      <c r="A8787" t="s">
        <v>84</v>
      </c>
      <c r="B8787">
        <v>1001</v>
      </c>
      <c r="C8787" t="s">
        <v>80</v>
      </c>
      <c r="D8787">
        <v>2.7687900000000001E-3</v>
      </c>
      <c r="E8787" t="s">
        <v>74</v>
      </c>
      <c r="F8787">
        <v>2.7687900000000001</v>
      </c>
      <c r="G8787" t="s">
        <v>75</v>
      </c>
      <c r="H8787">
        <v>2768.7910000000002</v>
      </c>
      <c r="I8787" t="s">
        <v>76</v>
      </c>
      <c r="J8787" t="s">
        <v>77</v>
      </c>
    </row>
    <row r="8788" spans="1:11" x14ac:dyDescent="0.3">
      <c r="A8788" t="s">
        <v>84</v>
      </c>
      <c r="B8788">
        <v>1001</v>
      </c>
      <c r="C8788" t="s">
        <v>81</v>
      </c>
      <c r="D8788">
        <v>2.87528E-3</v>
      </c>
      <c r="E8788" t="s">
        <v>74</v>
      </c>
      <c r="F8788">
        <v>2.8752800000000001</v>
      </c>
      <c r="G8788" t="s">
        <v>75</v>
      </c>
      <c r="H8788">
        <v>2875.2849999999999</v>
      </c>
      <c r="I8788" t="s">
        <v>76</v>
      </c>
      <c r="J8788" t="s">
        <v>82</v>
      </c>
      <c r="K8788">
        <v>347.79164470000001</v>
      </c>
    </row>
    <row r="8789" spans="1:11" x14ac:dyDescent="0.3">
      <c r="A8789" t="s">
        <v>85</v>
      </c>
      <c r="B8789">
        <v>1001</v>
      </c>
      <c r="C8789" t="s">
        <v>86</v>
      </c>
      <c r="D8789">
        <v>2.8754599999999998E-3</v>
      </c>
      <c r="E8789" t="s">
        <v>74</v>
      </c>
      <c r="F8789">
        <v>2.8754599999999999</v>
      </c>
      <c r="G8789" t="s">
        <v>75</v>
      </c>
      <c r="H8789">
        <v>2875.4630000000002</v>
      </c>
      <c r="I8789" t="s">
        <v>76</v>
      </c>
      <c r="J8789" t="s">
        <v>82</v>
      </c>
      <c r="K8789">
        <v>347.7700385</v>
      </c>
    </row>
    <row r="8790" spans="1:11" x14ac:dyDescent="0.3">
      <c r="A8790" t="s">
        <v>148</v>
      </c>
    </row>
    <row r="8791" spans="1:11" x14ac:dyDescent="0.3">
      <c r="A8791" t="s">
        <v>402</v>
      </c>
    </row>
    <row r="8792" spans="1:11" x14ac:dyDescent="0.3">
      <c r="A8792" t="s">
        <v>72</v>
      </c>
      <c r="B8792">
        <v>1</v>
      </c>
      <c r="C8792" t="s">
        <v>73</v>
      </c>
      <c r="D8792">
        <v>3.9999999999999998E-6</v>
      </c>
      <c r="E8792" t="s">
        <v>74</v>
      </c>
      <c r="F8792">
        <v>4.0000000000000001E-3</v>
      </c>
      <c r="G8792" t="s">
        <v>75</v>
      </c>
      <c r="H8792">
        <v>4</v>
      </c>
      <c r="I8792" t="s">
        <v>76</v>
      </c>
      <c r="J8792" t="s">
        <v>77</v>
      </c>
    </row>
    <row r="8793" spans="1:11" x14ac:dyDescent="0.3">
      <c r="A8793" t="s">
        <v>72</v>
      </c>
      <c r="B8793">
        <v>1</v>
      </c>
      <c r="C8793" t="s">
        <v>78</v>
      </c>
      <c r="D8793">
        <v>4.0729999999999998E-4</v>
      </c>
      <c r="E8793" t="s">
        <v>74</v>
      </c>
      <c r="F8793">
        <v>0.4073</v>
      </c>
      <c r="G8793" t="s">
        <v>75</v>
      </c>
      <c r="H8793">
        <v>407.3</v>
      </c>
      <c r="I8793" t="s">
        <v>76</v>
      </c>
      <c r="J8793" t="s">
        <v>77</v>
      </c>
    </row>
    <row r="8794" spans="1:11" x14ac:dyDescent="0.3">
      <c r="A8794" t="s">
        <v>72</v>
      </c>
      <c r="B8794">
        <v>1</v>
      </c>
      <c r="C8794" t="s">
        <v>79</v>
      </c>
      <c r="D8794">
        <v>5.2664000000000001E-3</v>
      </c>
      <c r="E8794" t="s">
        <v>74</v>
      </c>
      <c r="F8794">
        <v>5.2664</v>
      </c>
      <c r="G8794" t="s">
        <v>75</v>
      </c>
      <c r="H8794">
        <v>5266.4</v>
      </c>
      <c r="I8794" t="s">
        <v>76</v>
      </c>
      <c r="J8794" t="s">
        <v>77</v>
      </c>
    </row>
    <row r="8795" spans="1:11" x14ac:dyDescent="0.3">
      <c r="A8795" t="s">
        <v>72</v>
      </c>
      <c r="B8795">
        <v>1</v>
      </c>
      <c r="C8795" t="s">
        <v>94</v>
      </c>
      <c r="D8795">
        <v>2.6372000000000001E-3</v>
      </c>
      <c r="E8795" t="s">
        <v>74</v>
      </c>
      <c r="F8795">
        <v>2.6372</v>
      </c>
      <c r="G8795" t="s">
        <v>75</v>
      </c>
      <c r="H8795">
        <v>2637.2</v>
      </c>
      <c r="I8795" t="s">
        <v>76</v>
      </c>
      <c r="J8795" t="s">
        <v>77</v>
      </c>
    </row>
    <row r="8796" spans="1:11" x14ac:dyDescent="0.3">
      <c r="A8796" t="s">
        <v>72</v>
      </c>
      <c r="B8796">
        <v>1</v>
      </c>
      <c r="C8796" t="s">
        <v>80</v>
      </c>
      <c r="D8796">
        <v>2.7807000000000001E-3</v>
      </c>
      <c r="E8796" t="s">
        <v>74</v>
      </c>
      <c r="F8796">
        <v>2.7806999999999999</v>
      </c>
      <c r="G8796" t="s">
        <v>75</v>
      </c>
      <c r="H8796">
        <v>2780.7</v>
      </c>
      <c r="I8796" t="s">
        <v>76</v>
      </c>
      <c r="J8796" t="s">
        <v>77</v>
      </c>
    </row>
    <row r="8797" spans="1:11" x14ac:dyDescent="0.3">
      <c r="A8797" t="s">
        <v>72</v>
      </c>
      <c r="B8797">
        <v>1</v>
      </c>
      <c r="C8797" t="s">
        <v>81</v>
      </c>
      <c r="D8797">
        <v>8.0482000000000001E-3</v>
      </c>
      <c r="E8797" t="s">
        <v>74</v>
      </c>
      <c r="F8797">
        <v>8.0481999999999996</v>
      </c>
      <c r="G8797" t="s">
        <v>75</v>
      </c>
      <c r="H8797">
        <v>8048.2</v>
      </c>
      <c r="I8797" t="s">
        <v>76</v>
      </c>
      <c r="J8797" t="s">
        <v>82</v>
      </c>
      <c r="K8797">
        <v>124.2513847</v>
      </c>
    </row>
    <row r="8798" spans="1:11" x14ac:dyDescent="0.3">
      <c r="A8798" t="s">
        <v>83</v>
      </c>
      <c r="B8798">
        <v>1000</v>
      </c>
      <c r="C8798" t="s">
        <v>79</v>
      </c>
      <c r="D8798">
        <v>2.2000000000000001E-7</v>
      </c>
      <c r="E8798" t="s">
        <v>74</v>
      </c>
      <c r="F8798">
        <v>2.2000000000000001E-4</v>
      </c>
      <c r="G8798" t="s">
        <v>75</v>
      </c>
      <c r="H8798">
        <v>0.218</v>
      </c>
      <c r="I8798" t="s">
        <v>76</v>
      </c>
      <c r="J8798" t="s">
        <v>77</v>
      </c>
    </row>
    <row r="8799" spans="1:11" x14ac:dyDescent="0.3">
      <c r="A8799" t="s">
        <v>83</v>
      </c>
      <c r="B8799">
        <v>1000</v>
      </c>
      <c r="C8799" t="s">
        <v>94</v>
      </c>
      <c r="D8799">
        <v>2.6005099999999999E-3</v>
      </c>
      <c r="E8799" t="s">
        <v>74</v>
      </c>
      <c r="F8799">
        <v>2.6005099999999999</v>
      </c>
      <c r="G8799" t="s">
        <v>75</v>
      </c>
      <c r="H8799">
        <v>2600.5120000000002</v>
      </c>
      <c r="I8799" t="s">
        <v>76</v>
      </c>
      <c r="J8799" t="s">
        <v>77</v>
      </c>
    </row>
    <row r="8800" spans="1:11" x14ac:dyDescent="0.3">
      <c r="A8800" t="s">
        <v>83</v>
      </c>
      <c r="B8800">
        <v>1000</v>
      </c>
      <c r="C8800" t="s">
        <v>80</v>
      </c>
      <c r="D8800">
        <v>2.7491999999999998E-3</v>
      </c>
      <c r="E8800" t="s">
        <v>74</v>
      </c>
      <c r="F8800">
        <v>2.7492000000000001</v>
      </c>
      <c r="G8800" t="s">
        <v>75</v>
      </c>
      <c r="H8800">
        <v>2749.2</v>
      </c>
      <c r="I8800" t="s">
        <v>76</v>
      </c>
      <c r="J8800" t="s">
        <v>77</v>
      </c>
    </row>
    <row r="8801" spans="1:11" x14ac:dyDescent="0.3">
      <c r="A8801" t="s">
        <v>83</v>
      </c>
      <c r="B8801">
        <v>1000</v>
      </c>
      <c r="C8801" t="s">
        <v>81</v>
      </c>
      <c r="D8801">
        <v>2.75026E-3</v>
      </c>
      <c r="E8801" t="s">
        <v>74</v>
      </c>
      <c r="F8801">
        <v>2.7502599999999999</v>
      </c>
      <c r="G8801" t="s">
        <v>75</v>
      </c>
      <c r="H8801">
        <v>2750.2649999999999</v>
      </c>
      <c r="I8801" t="s">
        <v>76</v>
      </c>
      <c r="J8801" t="s">
        <v>82</v>
      </c>
      <c r="K8801">
        <v>363.60134119999998</v>
      </c>
    </row>
    <row r="8802" spans="1:11" x14ac:dyDescent="0.3">
      <c r="A8802" t="s">
        <v>84</v>
      </c>
      <c r="B8802">
        <v>1001</v>
      </c>
      <c r="C8802" t="s">
        <v>79</v>
      </c>
      <c r="D8802">
        <v>5.48E-6</v>
      </c>
      <c r="E8802" t="s">
        <v>74</v>
      </c>
      <c r="F8802">
        <v>5.4799999999999996E-3</v>
      </c>
      <c r="G8802" t="s">
        <v>75</v>
      </c>
      <c r="H8802">
        <v>5.4790000000000001</v>
      </c>
      <c r="I8802" t="s">
        <v>76</v>
      </c>
      <c r="J8802" t="s">
        <v>77</v>
      </c>
    </row>
    <row r="8803" spans="1:11" x14ac:dyDescent="0.3">
      <c r="A8803" t="s">
        <v>84</v>
      </c>
      <c r="B8803">
        <v>1001</v>
      </c>
      <c r="C8803" t="s">
        <v>94</v>
      </c>
      <c r="D8803">
        <v>2.6005500000000001E-3</v>
      </c>
      <c r="E8803" t="s">
        <v>74</v>
      </c>
      <c r="F8803">
        <v>2.6005500000000001</v>
      </c>
      <c r="G8803" t="s">
        <v>75</v>
      </c>
      <c r="H8803">
        <v>2600.549</v>
      </c>
      <c r="I8803" t="s">
        <v>76</v>
      </c>
      <c r="J8803" t="s">
        <v>77</v>
      </c>
    </row>
    <row r="8804" spans="1:11" x14ac:dyDescent="0.3">
      <c r="A8804" t="s">
        <v>84</v>
      </c>
      <c r="B8804">
        <v>1001</v>
      </c>
      <c r="C8804" t="s">
        <v>80</v>
      </c>
      <c r="D8804">
        <v>2.7492300000000001E-3</v>
      </c>
      <c r="E8804" t="s">
        <v>74</v>
      </c>
      <c r="F8804">
        <v>2.7492299999999998</v>
      </c>
      <c r="G8804" t="s">
        <v>75</v>
      </c>
      <c r="H8804">
        <v>2749.2310000000002</v>
      </c>
      <c r="I8804" t="s">
        <v>76</v>
      </c>
      <c r="J8804" t="s">
        <v>77</v>
      </c>
    </row>
    <row r="8805" spans="1:11" x14ac:dyDescent="0.3">
      <c r="A8805" t="s">
        <v>84</v>
      </c>
      <c r="B8805">
        <v>1001</v>
      </c>
      <c r="C8805" t="s">
        <v>81</v>
      </c>
      <c r="D8805">
        <v>2.7555600000000002E-3</v>
      </c>
      <c r="E8805" t="s">
        <v>74</v>
      </c>
      <c r="F8805">
        <v>2.75556</v>
      </c>
      <c r="G8805" t="s">
        <v>75</v>
      </c>
      <c r="H8805">
        <v>2755.558</v>
      </c>
      <c r="I8805" t="s">
        <v>76</v>
      </c>
      <c r="J8805" t="s">
        <v>82</v>
      </c>
      <c r="K8805">
        <v>362.90292240000002</v>
      </c>
    </row>
    <row r="8806" spans="1:11" x14ac:dyDescent="0.3">
      <c r="A8806" t="s">
        <v>85</v>
      </c>
      <c r="B8806">
        <v>1001</v>
      </c>
      <c r="C8806" t="s">
        <v>86</v>
      </c>
      <c r="D8806">
        <v>2.7557100000000002E-3</v>
      </c>
      <c r="E8806" t="s">
        <v>74</v>
      </c>
      <c r="F8806">
        <v>2.7557100000000001</v>
      </c>
      <c r="G8806" t="s">
        <v>75</v>
      </c>
      <c r="H8806">
        <v>2755.7150000000001</v>
      </c>
      <c r="I8806" t="s">
        <v>76</v>
      </c>
      <c r="J8806" t="s">
        <v>82</v>
      </c>
      <c r="K8806">
        <v>362.88225199999999</v>
      </c>
    </row>
    <row r="8807" spans="1:11" x14ac:dyDescent="0.3">
      <c r="A8807" t="s">
        <v>115</v>
      </c>
    </row>
    <row r="8808" spans="1:11" x14ac:dyDescent="0.3">
      <c r="A8808" t="s">
        <v>127</v>
      </c>
    </row>
    <row r="8809" spans="1:11" x14ac:dyDescent="0.3">
      <c r="A8809" t="s">
        <v>87</v>
      </c>
    </row>
    <row r="8810" spans="1:11" x14ac:dyDescent="0.3">
      <c r="A8810" t="s">
        <v>403</v>
      </c>
    </row>
    <row r="8811" spans="1:11" x14ac:dyDescent="0.3">
      <c r="A8811" t="s">
        <v>72</v>
      </c>
      <c r="B8811">
        <v>1</v>
      </c>
      <c r="C8811" t="s">
        <v>81</v>
      </c>
      <c r="D8811">
        <v>0.11490690000000001</v>
      </c>
      <c r="E8811" t="s">
        <v>74</v>
      </c>
      <c r="F8811">
        <v>114.90689999999999</v>
      </c>
      <c r="G8811" t="s">
        <v>75</v>
      </c>
      <c r="H8811">
        <v>114906.9</v>
      </c>
      <c r="I8811" t="s">
        <v>76</v>
      </c>
      <c r="J8811" t="s">
        <v>82</v>
      </c>
      <c r="K8811">
        <v>8.7026976000000005</v>
      </c>
    </row>
    <row r="8812" spans="1:11" x14ac:dyDescent="0.3">
      <c r="A8812" t="s">
        <v>83</v>
      </c>
      <c r="B8812">
        <v>1000</v>
      </c>
      <c r="C8812" t="s">
        <v>81</v>
      </c>
      <c r="D8812">
        <v>2.7632500000000001E-3</v>
      </c>
      <c r="E8812" t="s">
        <v>74</v>
      </c>
      <c r="F8812">
        <v>2.7632500000000002</v>
      </c>
      <c r="G8812" t="s">
        <v>75</v>
      </c>
      <c r="H8812">
        <v>2763.2530000000002</v>
      </c>
      <c r="I8812" t="s">
        <v>76</v>
      </c>
      <c r="J8812" t="s">
        <v>82</v>
      </c>
      <c r="K8812">
        <v>361.89227820000002</v>
      </c>
    </row>
    <row r="8813" spans="1:11" x14ac:dyDescent="0.3">
      <c r="A8813" t="s">
        <v>85</v>
      </c>
      <c r="B8813">
        <v>1001</v>
      </c>
      <c r="C8813" t="s">
        <v>86</v>
      </c>
      <c r="D8813">
        <v>2.8754599999999998E-3</v>
      </c>
      <c r="E8813" t="s">
        <v>74</v>
      </c>
      <c r="F8813">
        <v>2.8754599999999999</v>
      </c>
      <c r="G8813" t="s">
        <v>75</v>
      </c>
      <c r="H8813">
        <v>2875.4630000000002</v>
      </c>
      <c r="I8813" t="s">
        <v>76</v>
      </c>
      <c r="J8813" t="s">
        <v>82</v>
      </c>
      <c r="K8813">
        <v>347.7700385</v>
      </c>
    </row>
    <row r="8815" spans="1:11" x14ac:dyDescent="0.3">
      <c r="A8815" t="s">
        <v>404</v>
      </c>
    </row>
    <row r="8816" spans="1:11" x14ac:dyDescent="0.3">
      <c r="A8816" t="s">
        <v>72</v>
      </c>
      <c r="B8816">
        <v>1</v>
      </c>
      <c r="C8816" t="s">
        <v>81</v>
      </c>
      <c r="D8816">
        <v>8.0482000000000001E-3</v>
      </c>
      <c r="E8816" t="s">
        <v>74</v>
      </c>
      <c r="F8816">
        <v>8.0481999999999996</v>
      </c>
      <c r="G8816" t="s">
        <v>75</v>
      </c>
      <c r="H8816">
        <v>8048.2</v>
      </c>
      <c r="I8816" t="s">
        <v>76</v>
      </c>
      <c r="J8816" t="s">
        <v>82</v>
      </c>
      <c r="K8816">
        <v>124.2513847</v>
      </c>
    </row>
    <row r="8817" spans="1:11" x14ac:dyDescent="0.3">
      <c r="A8817" t="s">
        <v>83</v>
      </c>
      <c r="B8817">
        <v>1000</v>
      </c>
      <c r="C8817" t="s">
        <v>81</v>
      </c>
      <c r="D8817">
        <v>2.75026E-3</v>
      </c>
      <c r="E8817" t="s">
        <v>74</v>
      </c>
      <c r="F8817">
        <v>2.7502599999999999</v>
      </c>
      <c r="G8817" t="s">
        <v>75</v>
      </c>
      <c r="H8817">
        <v>2750.2649999999999</v>
      </c>
      <c r="I8817" t="s">
        <v>76</v>
      </c>
      <c r="J8817" t="s">
        <v>82</v>
      </c>
      <c r="K8817">
        <v>363.60134119999998</v>
      </c>
    </row>
    <row r="8818" spans="1:11" x14ac:dyDescent="0.3">
      <c r="A8818" t="s">
        <v>85</v>
      </c>
      <c r="B8818">
        <v>1001</v>
      </c>
      <c r="C8818" t="s">
        <v>86</v>
      </c>
      <c r="D8818">
        <v>2.7557100000000002E-3</v>
      </c>
      <c r="E8818" t="s">
        <v>74</v>
      </c>
      <c r="F8818">
        <v>2.7557100000000001</v>
      </c>
      <c r="G8818" t="s">
        <v>75</v>
      </c>
      <c r="H8818">
        <v>2755.7150000000001</v>
      </c>
      <c r="I8818" t="s">
        <v>76</v>
      </c>
      <c r="J8818" t="s">
        <v>82</v>
      </c>
      <c r="K8818">
        <v>362.88225199999999</v>
      </c>
    </row>
    <row r="8820" spans="1:11" x14ac:dyDescent="0.3">
      <c r="A8820" t="s">
        <v>66</v>
      </c>
    </row>
    <row r="8822" spans="1:11" x14ac:dyDescent="0.3">
      <c r="A8822" t="s">
        <v>463</v>
      </c>
    </row>
    <row r="8823" spans="1:11" x14ac:dyDescent="0.3">
      <c r="A8823" t="s">
        <v>68</v>
      </c>
    </row>
    <row r="8824" spans="1:11" x14ac:dyDescent="0.3">
      <c r="A8824" t="s">
        <v>69</v>
      </c>
    </row>
    <row r="8825" spans="1:11" x14ac:dyDescent="0.3">
      <c r="A8825" t="s">
        <v>70</v>
      </c>
    </row>
    <row r="8826" spans="1:11" x14ac:dyDescent="0.3">
      <c r="A8826" t="s">
        <v>115</v>
      </c>
    </row>
    <row r="8827" spans="1:11" x14ac:dyDescent="0.3">
      <c r="A8827" t="s">
        <v>384</v>
      </c>
    </row>
    <row r="8828" spans="1:11" x14ac:dyDescent="0.3">
      <c r="A8828" t="s">
        <v>385</v>
      </c>
    </row>
    <row r="8829" spans="1:11" x14ac:dyDescent="0.3">
      <c r="A8829" t="s">
        <v>118</v>
      </c>
    </row>
    <row r="8830" spans="1:11" x14ac:dyDescent="0.3">
      <c r="A8830" t="s">
        <v>119</v>
      </c>
    </row>
    <row r="8831" spans="1:11" x14ac:dyDescent="0.3">
      <c r="A8831" t="s">
        <v>268</v>
      </c>
    </row>
    <row r="8832" spans="1:11" x14ac:dyDescent="0.3">
      <c r="A8832" t="s">
        <v>269</v>
      </c>
    </row>
    <row r="8833" spans="1:11" x14ac:dyDescent="0.3">
      <c r="A8833" t="s">
        <v>386</v>
      </c>
    </row>
    <row r="8834" spans="1:11" x14ac:dyDescent="0.3">
      <c r="A8834" t="s">
        <v>387</v>
      </c>
    </row>
    <row r="8835" spans="1:11" x14ac:dyDescent="0.3">
      <c r="A8835" t="s">
        <v>271</v>
      </c>
    </row>
    <row r="8836" spans="1:11" x14ac:dyDescent="0.3">
      <c r="A8836" t="s">
        <v>125</v>
      </c>
    </row>
    <row r="8837" spans="1:11" x14ac:dyDescent="0.3">
      <c r="A8837" t="s">
        <v>126</v>
      </c>
    </row>
    <row r="8838" spans="1:11" x14ac:dyDescent="0.3">
      <c r="A8838" t="s">
        <v>127</v>
      </c>
    </row>
    <row r="8839" spans="1:11" x14ac:dyDescent="0.3">
      <c r="A8839" t="s">
        <v>153</v>
      </c>
    </row>
    <row r="8840" spans="1:11" x14ac:dyDescent="0.3">
      <c r="A8840" t="s">
        <v>406</v>
      </c>
    </row>
    <row r="8841" spans="1:11" x14ac:dyDescent="0.3">
      <c r="A8841" t="s">
        <v>72</v>
      </c>
      <c r="B8841">
        <v>1</v>
      </c>
      <c r="C8841" t="s">
        <v>73</v>
      </c>
      <c r="D8841">
        <v>4.1999999999999996E-6</v>
      </c>
      <c r="E8841" t="s">
        <v>74</v>
      </c>
      <c r="F8841">
        <v>4.1999999999999997E-3</v>
      </c>
      <c r="G8841" t="s">
        <v>75</v>
      </c>
      <c r="H8841">
        <v>4.2</v>
      </c>
      <c r="I8841" t="s">
        <v>76</v>
      </c>
      <c r="J8841" t="s">
        <v>77</v>
      </c>
    </row>
    <row r="8842" spans="1:11" x14ac:dyDescent="0.3">
      <c r="A8842" t="s">
        <v>72</v>
      </c>
      <c r="B8842">
        <v>1</v>
      </c>
      <c r="C8842" t="s">
        <v>78</v>
      </c>
      <c r="D8842">
        <v>0.1106202</v>
      </c>
      <c r="E8842" t="s">
        <v>74</v>
      </c>
      <c r="F8842">
        <v>110.6202</v>
      </c>
      <c r="G8842" t="s">
        <v>75</v>
      </c>
      <c r="H8842">
        <v>110620.201</v>
      </c>
      <c r="I8842" t="s">
        <v>76</v>
      </c>
      <c r="J8842" t="s">
        <v>77</v>
      </c>
    </row>
    <row r="8843" spans="1:11" x14ac:dyDescent="0.3">
      <c r="A8843" t="s">
        <v>72</v>
      </c>
      <c r="B8843">
        <v>1</v>
      </c>
      <c r="C8843" t="s">
        <v>79</v>
      </c>
      <c r="D8843">
        <v>0.1675065</v>
      </c>
      <c r="E8843" t="s">
        <v>74</v>
      </c>
      <c r="F8843">
        <v>167.50649999999999</v>
      </c>
      <c r="G8843" t="s">
        <v>75</v>
      </c>
      <c r="H8843">
        <v>167506.50099999999</v>
      </c>
      <c r="I8843" t="s">
        <v>76</v>
      </c>
      <c r="J8843" t="s">
        <v>77</v>
      </c>
    </row>
    <row r="8844" spans="1:11" x14ac:dyDescent="0.3">
      <c r="A8844" t="s">
        <v>72</v>
      </c>
      <c r="B8844">
        <v>1</v>
      </c>
      <c r="C8844" t="s">
        <v>94</v>
      </c>
      <c r="D8844">
        <v>1.78303E-2</v>
      </c>
      <c r="E8844" t="s">
        <v>74</v>
      </c>
      <c r="F8844">
        <v>17.830300000000001</v>
      </c>
      <c r="G8844" t="s">
        <v>75</v>
      </c>
      <c r="H8844">
        <v>17830.298999999999</v>
      </c>
      <c r="I8844" t="s">
        <v>76</v>
      </c>
      <c r="J8844" t="s">
        <v>77</v>
      </c>
    </row>
    <row r="8845" spans="1:11" x14ac:dyDescent="0.3">
      <c r="A8845" t="s">
        <v>72</v>
      </c>
      <c r="B8845">
        <v>1</v>
      </c>
      <c r="C8845" t="s">
        <v>80</v>
      </c>
      <c r="D8845">
        <v>1.7831E-2</v>
      </c>
      <c r="E8845" t="s">
        <v>74</v>
      </c>
      <c r="F8845">
        <v>17.831</v>
      </c>
      <c r="G8845" t="s">
        <v>75</v>
      </c>
      <c r="H8845">
        <v>17831</v>
      </c>
      <c r="I8845" t="s">
        <v>76</v>
      </c>
      <c r="J8845" t="s">
        <v>77</v>
      </c>
    </row>
    <row r="8846" spans="1:11" x14ac:dyDescent="0.3">
      <c r="A8846" t="s">
        <v>72</v>
      </c>
      <c r="B8846">
        <v>1</v>
      </c>
      <c r="C8846" t="s">
        <v>81</v>
      </c>
      <c r="D8846">
        <v>0.1853399</v>
      </c>
      <c r="E8846" t="s">
        <v>74</v>
      </c>
      <c r="F8846">
        <v>185.3399</v>
      </c>
      <c r="G8846" t="s">
        <v>75</v>
      </c>
      <c r="H8846">
        <v>185339.89799999999</v>
      </c>
      <c r="I8846" t="s">
        <v>76</v>
      </c>
      <c r="J8846" t="s">
        <v>82</v>
      </c>
      <c r="K8846">
        <v>5.3954922999999999</v>
      </c>
    </row>
    <row r="8847" spans="1:11" x14ac:dyDescent="0.3">
      <c r="A8847" t="s">
        <v>83</v>
      </c>
      <c r="B8847">
        <v>1000</v>
      </c>
      <c r="C8847" t="s">
        <v>79</v>
      </c>
      <c r="D8847">
        <v>2.3999999999999998E-7</v>
      </c>
      <c r="E8847" t="s">
        <v>74</v>
      </c>
      <c r="F8847">
        <v>2.4000000000000001E-4</v>
      </c>
      <c r="G8847" t="s">
        <v>75</v>
      </c>
      <c r="H8847">
        <v>0.24</v>
      </c>
      <c r="I8847" t="s">
        <v>76</v>
      </c>
      <c r="J8847" t="s">
        <v>77</v>
      </c>
    </row>
    <row r="8848" spans="1:11" x14ac:dyDescent="0.3">
      <c r="A8848" t="s">
        <v>83</v>
      </c>
      <c r="B8848">
        <v>1000</v>
      </c>
      <c r="C8848" t="s">
        <v>94</v>
      </c>
      <c r="D8848">
        <v>1.7678019999999999E-2</v>
      </c>
      <c r="E8848" t="s">
        <v>74</v>
      </c>
      <c r="F8848">
        <v>17.67802</v>
      </c>
      <c r="G8848" t="s">
        <v>75</v>
      </c>
      <c r="H8848">
        <v>17678.024000000001</v>
      </c>
      <c r="I8848" t="s">
        <v>76</v>
      </c>
      <c r="J8848" t="s">
        <v>77</v>
      </c>
    </row>
    <row r="8849" spans="1:11" x14ac:dyDescent="0.3">
      <c r="A8849" t="s">
        <v>83</v>
      </c>
      <c r="B8849">
        <v>1000</v>
      </c>
      <c r="C8849" t="s">
        <v>80</v>
      </c>
      <c r="D8849">
        <v>1.7678329999999999E-2</v>
      </c>
      <c r="E8849" t="s">
        <v>74</v>
      </c>
      <c r="F8849">
        <v>17.678329999999999</v>
      </c>
      <c r="G8849" t="s">
        <v>75</v>
      </c>
      <c r="H8849">
        <v>17678.330999999998</v>
      </c>
      <c r="I8849" t="s">
        <v>76</v>
      </c>
      <c r="J8849" t="s">
        <v>77</v>
      </c>
    </row>
    <row r="8850" spans="1:11" x14ac:dyDescent="0.3">
      <c r="A8850" t="s">
        <v>83</v>
      </c>
      <c r="B8850">
        <v>1000</v>
      </c>
      <c r="C8850" t="s">
        <v>81</v>
      </c>
      <c r="D8850">
        <v>1.7679230000000001E-2</v>
      </c>
      <c r="E8850" t="s">
        <v>74</v>
      </c>
      <c r="F8850">
        <v>17.67923</v>
      </c>
      <c r="G8850" t="s">
        <v>75</v>
      </c>
      <c r="H8850">
        <v>17679.234</v>
      </c>
      <c r="I8850" t="s">
        <v>76</v>
      </c>
      <c r="J8850" t="s">
        <v>82</v>
      </c>
      <c r="K8850">
        <v>56.563538100000002</v>
      </c>
    </row>
    <row r="8851" spans="1:11" x14ac:dyDescent="0.3">
      <c r="A8851" t="s">
        <v>84</v>
      </c>
      <c r="B8851">
        <v>1001</v>
      </c>
      <c r="C8851" t="s">
        <v>79</v>
      </c>
      <c r="D8851">
        <v>1.6757999999999999E-4</v>
      </c>
      <c r="E8851" t="s">
        <v>74</v>
      </c>
      <c r="F8851">
        <v>0.16758000000000001</v>
      </c>
      <c r="G8851" t="s">
        <v>75</v>
      </c>
      <c r="H8851">
        <v>167.577</v>
      </c>
      <c r="I8851" t="s">
        <v>76</v>
      </c>
      <c r="J8851" t="s">
        <v>77</v>
      </c>
    </row>
    <row r="8852" spans="1:11" x14ac:dyDescent="0.3">
      <c r="A8852" t="s">
        <v>84</v>
      </c>
      <c r="B8852">
        <v>1001</v>
      </c>
      <c r="C8852" t="s">
        <v>94</v>
      </c>
      <c r="D8852">
        <v>1.7678180000000002E-2</v>
      </c>
      <c r="E8852" t="s">
        <v>74</v>
      </c>
      <c r="F8852">
        <v>17.678180000000001</v>
      </c>
      <c r="G8852" t="s">
        <v>75</v>
      </c>
      <c r="H8852">
        <v>17678.175999999999</v>
      </c>
      <c r="I8852" t="s">
        <v>76</v>
      </c>
      <c r="J8852" t="s">
        <v>77</v>
      </c>
    </row>
    <row r="8853" spans="1:11" x14ac:dyDescent="0.3">
      <c r="A8853" t="s">
        <v>84</v>
      </c>
      <c r="B8853">
        <v>1001</v>
      </c>
      <c r="C8853" t="s">
        <v>80</v>
      </c>
      <c r="D8853">
        <v>1.767848E-2</v>
      </c>
      <c r="E8853" t="s">
        <v>74</v>
      </c>
      <c r="F8853">
        <v>17.67848</v>
      </c>
      <c r="G8853" t="s">
        <v>75</v>
      </c>
      <c r="H8853">
        <v>17678.483</v>
      </c>
      <c r="I8853" t="s">
        <v>76</v>
      </c>
      <c r="J8853" t="s">
        <v>77</v>
      </c>
    </row>
    <row r="8854" spans="1:11" x14ac:dyDescent="0.3">
      <c r="A8854" t="s">
        <v>84</v>
      </c>
      <c r="B8854">
        <v>1001</v>
      </c>
      <c r="C8854" t="s">
        <v>81</v>
      </c>
      <c r="D8854">
        <v>1.7846730000000002E-2</v>
      </c>
      <c r="E8854" t="s">
        <v>74</v>
      </c>
      <c r="F8854">
        <v>17.846730000000001</v>
      </c>
      <c r="G8854" t="s">
        <v>75</v>
      </c>
      <c r="H8854">
        <v>17846.725999999999</v>
      </c>
      <c r="I8854" t="s">
        <v>76</v>
      </c>
      <c r="J8854" t="s">
        <v>82</v>
      </c>
      <c r="K8854">
        <v>56.032687000000003</v>
      </c>
    </row>
    <row r="8855" spans="1:11" x14ac:dyDescent="0.3">
      <c r="A8855" t="s">
        <v>85</v>
      </c>
      <c r="B8855">
        <v>1001</v>
      </c>
      <c r="C8855" t="s">
        <v>86</v>
      </c>
      <c r="D8855">
        <v>1.784695E-2</v>
      </c>
      <c r="E8855" t="s">
        <v>74</v>
      </c>
      <c r="F8855">
        <v>17.84695</v>
      </c>
      <c r="G8855" t="s">
        <v>75</v>
      </c>
      <c r="H8855">
        <v>17846.951000000001</v>
      </c>
      <c r="I8855" t="s">
        <v>76</v>
      </c>
      <c r="J8855" t="s">
        <v>82</v>
      </c>
      <c r="K8855">
        <v>56.031981000000002</v>
      </c>
    </row>
    <row r="8856" spans="1:11" x14ac:dyDescent="0.3">
      <c r="A8856" t="s">
        <v>155</v>
      </c>
    </row>
    <row r="8857" spans="1:11" x14ac:dyDescent="0.3">
      <c r="A8857" t="s">
        <v>407</v>
      </c>
    </row>
    <row r="8858" spans="1:11" x14ac:dyDescent="0.3">
      <c r="A8858" t="s">
        <v>72</v>
      </c>
      <c r="B8858">
        <v>1</v>
      </c>
      <c r="C8858" t="s">
        <v>73</v>
      </c>
      <c r="D8858">
        <v>4.1999999999999996E-6</v>
      </c>
      <c r="E8858" t="s">
        <v>74</v>
      </c>
      <c r="F8858">
        <v>4.1999999999999997E-3</v>
      </c>
      <c r="G8858" t="s">
        <v>75</v>
      </c>
      <c r="H8858">
        <v>4.2</v>
      </c>
      <c r="I8858" t="s">
        <v>76</v>
      </c>
      <c r="J8858" t="s">
        <v>77</v>
      </c>
    </row>
    <row r="8859" spans="1:11" x14ac:dyDescent="0.3">
      <c r="A8859" t="s">
        <v>72</v>
      </c>
      <c r="B8859">
        <v>1</v>
      </c>
      <c r="C8859" t="s">
        <v>78</v>
      </c>
      <c r="D8859">
        <v>8.5290999999999995E-3</v>
      </c>
      <c r="E8859" t="s">
        <v>74</v>
      </c>
      <c r="F8859">
        <v>8.5290999999999997</v>
      </c>
      <c r="G8859" t="s">
        <v>75</v>
      </c>
      <c r="H8859">
        <v>8529.1</v>
      </c>
      <c r="I8859" t="s">
        <v>76</v>
      </c>
      <c r="J8859" t="s">
        <v>77</v>
      </c>
    </row>
    <row r="8860" spans="1:11" x14ac:dyDescent="0.3">
      <c r="A8860" t="s">
        <v>72</v>
      </c>
      <c r="B8860">
        <v>1</v>
      </c>
      <c r="C8860" t="s">
        <v>79</v>
      </c>
      <c r="D8860">
        <v>8.6580000000000001E-4</v>
      </c>
      <c r="E8860" t="s">
        <v>74</v>
      </c>
      <c r="F8860">
        <v>0.86580000000000001</v>
      </c>
      <c r="G8860" t="s">
        <v>75</v>
      </c>
      <c r="H8860">
        <v>865.8</v>
      </c>
      <c r="I8860" t="s">
        <v>76</v>
      </c>
      <c r="J8860" t="s">
        <v>77</v>
      </c>
    </row>
    <row r="8861" spans="1:11" x14ac:dyDescent="0.3">
      <c r="A8861" t="s">
        <v>72</v>
      </c>
      <c r="B8861">
        <v>1</v>
      </c>
      <c r="C8861" t="s">
        <v>94</v>
      </c>
      <c r="D8861">
        <v>3.0385100000000002E-2</v>
      </c>
      <c r="E8861" t="s">
        <v>74</v>
      </c>
      <c r="F8861">
        <v>30.385100000000001</v>
      </c>
      <c r="G8861" t="s">
        <v>75</v>
      </c>
      <c r="H8861">
        <v>30385.098999999998</v>
      </c>
      <c r="I8861" t="s">
        <v>76</v>
      </c>
      <c r="J8861" t="s">
        <v>77</v>
      </c>
    </row>
    <row r="8862" spans="1:11" x14ac:dyDescent="0.3">
      <c r="A8862" t="s">
        <v>72</v>
      </c>
      <c r="B8862">
        <v>1</v>
      </c>
      <c r="C8862" t="s">
        <v>80</v>
      </c>
      <c r="D8862">
        <v>3.0386099999999999E-2</v>
      </c>
      <c r="E8862" t="s">
        <v>74</v>
      </c>
      <c r="F8862">
        <v>30.386099999999999</v>
      </c>
      <c r="G8862" t="s">
        <v>75</v>
      </c>
      <c r="H8862">
        <v>30386.1</v>
      </c>
      <c r="I8862" t="s">
        <v>76</v>
      </c>
      <c r="J8862" t="s">
        <v>77</v>
      </c>
    </row>
    <row r="8863" spans="1:11" x14ac:dyDescent="0.3">
      <c r="A8863" t="s">
        <v>72</v>
      </c>
      <c r="B8863">
        <v>1</v>
      </c>
      <c r="C8863" t="s">
        <v>81</v>
      </c>
      <c r="D8863">
        <v>3.1253299999999998E-2</v>
      </c>
      <c r="E8863" t="s">
        <v>74</v>
      </c>
      <c r="F8863">
        <v>31.253299999999999</v>
      </c>
      <c r="G8863" t="s">
        <v>75</v>
      </c>
      <c r="H8863">
        <v>31253.300999999999</v>
      </c>
      <c r="I8863" t="s">
        <v>76</v>
      </c>
      <c r="J8863" t="s">
        <v>82</v>
      </c>
      <c r="K8863">
        <v>31.996620499999999</v>
      </c>
    </row>
    <row r="8864" spans="1:11" x14ac:dyDescent="0.3">
      <c r="A8864" t="s">
        <v>83</v>
      </c>
      <c r="B8864">
        <v>1000</v>
      </c>
      <c r="C8864" t="s">
        <v>79</v>
      </c>
      <c r="D8864">
        <v>3.4999999999999998E-7</v>
      </c>
      <c r="E8864" t="s">
        <v>74</v>
      </c>
      <c r="F8864">
        <v>3.5E-4</v>
      </c>
      <c r="G8864" t="s">
        <v>75</v>
      </c>
      <c r="H8864">
        <v>0.34799999999999998</v>
      </c>
      <c r="I8864" t="s">
        <v>76</v>
      </c>
      <c r="J8864" t="s">
        <v>77</v>
      </c>
    </row>
    <row r="8865" spans="1:11" x14ac:dyDescent="0.3">
      <c r="A8865" t="s">
        <v>83</v>
      </c>
      <c r="B8865">
        <v>1000</v>
      </c>
      <c r="C8865" t="s">
        <v>94</v>
      </c>
      <c r="D8865">
        <v>2.7649429999999999E-2</v>
      </c>
      <c r="E8865" t="s">
        <v>74</v>
      </c>
      <c r="F8865">
        <v>27.649429999999999</v>
      </c>
      <c r="G8865" t="s">
        <v>75</v>
      </c>
      <c r="H8865">
        <v>27649.431</v>
      </c>
      <c r="I8865" t="s">
        <v>76</v>
      </c>
      <c r="J8865" t="s">
        <v>77</v>
      </c>
    </row>
    <row r="8866" spans="1:11" x14ac:dyDescent="0.3">
      <c r="A8866" t="s">
        <v>83</v>
      </c>
      <c r="B8866">
        <v>1000</v>
      </c>
      <c r="C8866" t="s">
        <v>80</v>
      </c>
      <c r="D8866">
        <v>2.778891E-2</v>
      </c>
      <c r="E8866" t="s">
        <v>74</v>
      </c>
      <c r="F8866">
        <v>27.788910000000001</v>
      </c>
      <c r="G8866" t="s">
        <v>75</v>
      </c>
      <c r="H8866">
        <v>27788.907999999999</v>
      </c>
      <c r="I8866" t="s">
        <v>76</v>
      </c>
      <c r="J8866" t="s">
        <v>77</v>
      </c>
    </row>
    <row r="8867" spans="1:11" x14ac:dyDescent="0.3">
      <c r="A8867" t="s">
        <v>83</v>
      </c>
      <c r="B8867">
        <v>1000</v>
      </c>
      <c r="C8867" t="s">
        <v>81</v>
      </c>
      <c r="D8867">
        <v>2.7790869999999999E-2</v>
      </c>
      <c r="E8867" t="s">
        <v>74</v>
      </c>
      <c r="F8867">
        <v>27.790870000000002</v>
      </c>
      <c r="G8867" t="s">
        <v>75</v>
      </c>
      <c r="H8867">
        <v>27790.870999999999</v>
      </c>
      <c r="I8867" t="s">
        <v>76</v>
      </c>
      <c r="J8867" t="s">
        <v>82</v>
      </c>
      <c r="K8867">
        <v>35.983039599999998</v>
      </c>
    </row>
    <row r="8868" spans="1:11" x14ac:dyDescent="0.3">
      <c r="A8868" t="s">
        <v>84</v>
      </c>
      <c r="B8868">
        <v>1001</v>
      </c>
      <c r="C8868" t="s">
        <v>79</v>
      </c>
      <c r="D8868">
        <v>1.2100000000000001E-6</v>
      </c>
      <c r="E8868" t="s">
        <v>74</v>
      </c>
      <c r="F8868">
        <v>1.2099999999999999E-3</v>
      </c>
      <c r="G8868" t="s">
        <v>75</v>
      </c>
      <c r="H8868">
        <v>1.2130000000000001</v>
      </c>
      <c r="I8868" t="s">
        <v>76</v>
      </c>
      <c r="J8868" t="s">
        <v>77</v>
      </c>
    </row>
    <row r="8869" spans="1:11" x14ac:dyDescent="0.3">
      <c r="A8869" t="s">
        <v>84</v>
      </c>
      <c r="B8869">
        <v>1001</v>
      </c>
      <c r="C8869" t="s">
        <v>94</v>
      </c>
      <c r="D8869">
        <v>2.7652159999999999E-2</v>
      </c>
      <c r="E8869" t="s">
        <v>74</v>
      </c>
      <c r="F8869">
        <v>27.652159999999999</v>
      </c>
      <c r="G8869" t="s">
        <v>75</v>
      </c>
      <c r="H8869">
        <v>27652.163</v>
      </c>
      <c r="I8869" t="s">
        <v>76</v>
      </c>
      <c r="J8869" t="s">
        <v>77</v>
      </c>
    </row>
    <row r="8870" spans="1:11" x14ac:dyDescent="0.3">
      <c r="A8870" t="s">
        <v>84</v>
      </c>
      <c r="B8870">
        <v>1001</v>
      </c>
      <c r="C8870" t="s">
        <v>80</v>
      </c>
      <c r="D8870">
        <v>2.77915E-2</v>
      </c>
      <c r="E8870" t="s">
        <v>74</v>
      </c>
      <c r="F8870">
        <v>27.791499999999999</v>
      </c>
      <c r="G8870" t="s">
        <v>75</v>
      </c>
      <c r="H8870">
        <v>27791.504000000001</v>
      </c>
      <c r="I8870" t="s">
        <v>76</v>
      </c>
      <c r="J8870" t="s">
        <v>77</v>
      </c>
    </row>
    <row r="8871" spans="1:11" x14ac:dyDescent="0.3">
      <c r="A8871" t="s">
        <v>84</v>
      </c>
      <c r="B8871">
        <v>1001</v>
      </c>
      <c r="C8871" t="s">
        <v>81</v>
      </c>
      <c r="D8871">
        <v>2.7794329999999999E-2</v>
      </c>
      <c r="E8871" t="s">
        <v>74</v>
      </c>
      <c r="F8871">
        <v>27.794329999999999</v>
      </c>
      <c r="G8871" t="s">
        <v>75</v>
      </c>
      <c r="H8871">
        <v>27794.33</v>
      </c>
      <c r="I8871" t="s">
        <v>76</v>
      </c>
      <c r="J8871" t="s">
        <v>82</v>
      </c>
      <c r="K8871">
        <v>35.978560899999998</v>
      </c>
    </row>
    <row r="8872" spans="1:11" x14ac:dyDescent="0.3">
      <c r="A8872" t="s">
        <v>85</v>
      </c>
      <c r="B8872">
        <v>1001</v>
      </c>
      <c r="C8872" t="s">
        <v>86</v>
      </c>
      <c r="D8872">
        <v>2.7794699999999999E-2</v>
      </c>
      <c r="E8872" t="s">
        <v>74</v>
      </c>
      <c r="F8872">
        <v>27.794699999999999</v>
      </c>
      <c r="G8872" t="s">
        <v>75</v>
      </c>
      <c r="H8872">
        <v>27794.696</v>
      </c>
      <c r="I8872" t="s">
        <v>76</v>
      </c>
      <c r="J8872" t="s">
        <v>82</v>
      </c>
      <c r="K8872">
        <v>35.978087299999999</v>
      </c>
    </row>
    <row r="8873" spans="1:11" x14ac:dyDescent="0.3">
      <c r="A8873" t="s">
        <v>115</v>
      </c>
    </row>
    <row r="8874" spans="1:11" x14ac:dyDescent="0.3">
      <c r="A8874" t="s">
        <v>127</v>
      </c>
    </row>
    <row r="8875" spans="1:11" x14ac:dyDescent="0.3">
      <c r="A8875" t="s">
        <v>87</v>
      </c>
    </row>
    <row r="8876" spans="1:11" x14ac:dyDescent="0.3">
      <c r="A8876" t="s">
        <v>408</v>
      </c>
    </row>
    <row r="8877" spans="1:11" x14ac:dyDescent="0.3">
      <c r="A8877" t="s">
        <v>72</v>
      </c>
      <c r="B8877">
        <v>1</v>
      </c>
      <c r="C8877" t="s">
        <v>81</v>
      </c>
      <c r="D8877">
        <v>0.1853399</v>
      </c>
      <c r="E8877" t="s">
        <v>74</v>
      </c>
      <c r="F8877">
        <v>185.3399</v>
      </c>
      <c r="G8877" t="s">
        <v>75</v>
      </c>
      <c r="H8877">
        <v>185339.89799999999</v>
      </c>
      <c r="I8877" t="s">
        <v>76</v>
      </c>
      <c r="J8877" t="s">
        <v>82</v>
      </c>
      <c r="K8877">
        <v>5.3954922999999999</v>
      </c>
    </row>
    <row r="8878" spans="1:11" x14ac:dyDescent="0.3">
      <c r="A8878" t="s">
        <v>83</v>
      </c>
      <c r="B8878">
        <v>1000</v>
      </c>
      <c r="C8878" t="s">
        <v>81</v>
      </c>
      <c r="D8878">
        <v>1.7679230000000001E-2</v>
      </c>
      <c r="E8878" t="s">
        <v>74</v>
      </c>
      <c r="F8878">
        <v>17.67923</v>
      </c>
      <c r="G8878" t="s">
        <v>75</v>
      </c>
      <c r="H8878">
        <v>17679.234</v>
      </c>
      <c r="I8878" t="s">
        <v>76</v>
      </c>
      <c r="J8878" t="s">
        <v>82</v>
      </c>
      <c r="K8878">
        <v>56.563538100000002</v>
      </c>
    </row>
    <row r="8879" spans="1:11" x14ac:dyDescent="0.3">
      <c r="A8879" t="s">
        <v>85</v>
      </c>
      <c r="B8879">
        <v>1001</v>
      </c>
      <c r="C8879" t="s">
        <v>86</v>
      </c>
      <c r="D8879">
        <v>1.784695E-2</v>
      </c>
      <c r="E8879" t="s">
        <v>74</v>
      </c>
      <c r="F8879">
        <v>17.84695</v>
      </c>
      <c r="G8879" t="s">
        <v>75</v>
      </c>
      <c r="H8879">
        <v>17846.951000000001</v>
      </c>
      <c r="I8879" t="s">
        <v>76</v>
      </c>
      <c r="J8879" t="s">
        <v>82</v>
      </c>
      <c r="K8879">
        <v>56.031981000000002</v>
      </c>
    </row>
    <row r="8881" spans="1:11" x14ac:dyDescent="0.3">
      <c r="A8881" t="s">
        <v>409</v>
      </c>
    </row>
    <row r="8882" spans="1:11" x14ac:dyDescent="0.3">
      <c r="A8882" t="s">
        <v>72</v>
      </c>
      <c r="B8882">
        <v>1</v>
      </c>
      <c r="C8882" t="s">
        <v>81</v>
      </c>
      <c r="D8882">
        <v>3.1253299999999998E-2</v>
      </c>
      <c r="E8882" t="s">
        <v>74</v>
      </c>
      <c r="F8882">
        <v>31.253299999999999</v>
      </c>
      <c r="G8882" t="s">
        <v>75</v>
      </c>
      <c r="H8882">
        <v>31253.300999999999</v>
      </c>
      <c r="I8882" t="s">
        <v>76</v>
      </c>
      <c r="J8882" t="s">
        <v>82</v>
      </c>
      <c r="K8882">
        <v>31.996620499999999</v>
      </c>
    </row>
    <row r="8883" spans="1:11" x14ac:dyDescent="0.3">
      <c r="A8883" t="s">
        <v>83</v>
      </c>
      <c r="B8883">
        <v>1000</v>
      </c>
      <c r="C8883" t="s">
        <v>81</v>
      </c>
      <c r="D8883">
        <v>2.7790869999999999E-2</v>
      </c>
      <c r="E8883" t="s">
        <v>74</v>
      </c>
      <c r="F8883">
        <v>27.790870000000002</v>
      </c>
      <c r="G8883" t="s">
        <v>75</v>
      </c>
      <c r="H8883">
        <v>27790.870999999999</v>
      </c>
      <c r="I8883" t="s">
        <v>76</v>
      </c>
      <c r="J8883" t="s">
        <v>82</v>
      </c>
      <c r="K8883">
        <v>35.983039599999998</v>
      </c>
    </row>
    <row r="8884" spans="1:11" x14ac:dyDescent="0.3">
      <c r="A8884" t="s">
        <v>85</v>
      </c>
      <c r="B8884">
        <v>1001</v>
      </c>
      <c r="C8884" t="s">
        <v>86</v>
      </c>
      <c r="D8884">
        <v>2.7794699999999999E-2</v>
      </c>
      <c r="E8884" t="s">
        <v>74</v>
      </c>
      <c r="F8884">
        <v>27.794699999999999</v>
      </c>
      <c r="G8884" t="s">
        <v>75</v>
      </c>
      <c r="H8884">
        <v>27794.696</v>
      </c>
      <c r="I8884" t="s">
        <v>76</v>
      </c>
      <c r="J8884" t="s">
        <v>82</v>
      </c>
      <c r="K8884">
        <v>35.978087299999999</v>
      </c>
    </row>
    <row r="8886" spans="1:11" x14ac:dyDescent="0.3">
      <c r="A8886" t="s">
        <v>66</v>
      </c>
    </row>
    <row r="8888" spans="1:11" x14ac:dyDescent="0.3">
      <c r="A8888" t="s">
        <v>464</v>
      </c>
    </row>
    <row r="8889" spans="1:11" x14ac:dyDescent="0.3">
      <c r="A8889" t="s">
        <v>68</v>
      </c>
    </row>
    <row r="8890" spans="1:11" x14ac:dyDescent="0.3">
      <c r="A8890" t="s">
        <v>69</v>
      </c>
    </row>
    <row r="8891" spans="1:11" x14ac:dyDescent="0.3">
      <c r="A8891" t="s">
        <v>70</v>
      </c>
    </row>
    <row r="8892" spans="1:11" x14ac:dyDescent="0.3">
      <c r="A8892" t="s">
        <v>115</v>
      </c>
    </row>
    <row r="8893" spans="1:11" x14ac:dyDescent="0.3">
      <c r="A8893" t="s">
        <v>384</v>
      </c>
    </row>
    <row r="8894" spans="1:11" x14ac:dyDescent="0.3">
      <c r="A8894" t="s">
        <v>385</v>
      </c>
    </row>
    <row r="8895" spans="1:11" x14ac:dyDescent="0.3">
      <c r="A8895" t="s">
        <v>118</v>
      </c>
    </row>
    <row r="8896" spans="1:11" x14ac:dyDescent="0.3">
      <c r="A8896" t="s">
        <v>119</v>
      </c>
    </row>
    <row r="8897" spans="1:11" x14ac:dyDescent="0.3">
      <c r="A8897" t="s">
        <v>268</v>
      </c>
    </row>
    <row r="8898" spans="1:11" x14ac:dyDescent="0.3">
      <c r="A8898" t="s">
        <v>269</v>
      </c>
    </row>
    <row r="8899" spans="1:11" x14ac:dyDescent="0.3">
      <c r="A8899" t="s">
        <v>386</v>
      </c>
    </row>
    <row r="8900" spans="1:11" x14ac:dyDescent="0.3">
      <c r="A8900" t="s">
        <v>387</v>
      </c>
    </row>
    <row r="8901" spans="1:11" x14ac:dyDescent="0.3">
      <c r="A8901" t="s">
        <v>271</v>
      </c>
    </row>
    <row r="8902" spans="1:11" x14ac:dyDescent="0.3">
      <c r="A8902" t="s">
        <v>125</v>
      </c>
    </row>
    <row r="8903" spans="1:11" x14ac:dyDescent="0.3">
      <c r="A8903" t="s">
        <v>126</v>
      </c>
    </row>
    <row r="8904" spans="1:11" x14ac:dyDescent="0.3">
      <c r="A8904" t="s">
        <v>127</v>
      </c>
    </row>
    <row r="8905" spans="1:11" x14ac:dyDescent="0.3">
      <c r="A8905" t="s">
        <v>160</v>
      </c>
    </row>
    <row r="8906" spans="1:11" x14ac:dyDescent="0.3">
      <c r="A8906" t="s">
        <v>411</v>
      </c>
    </row>
    <row r="8907" spans="1:11" x14ac:dyDescent="0.3">
      <c r="A8907" t="s">
        <v>72</v>
      </c>
      <c r="B8907">
        <v>1</v>
      </c>
      <c r="C8907" t="s">
        <v>73</v>
      </c>
      <c r="D8907">
        <v>3.8E-6</v>
      </c>
      <c r="E8907" t="s">
        <v>74</v>
      </c>
      <c r="F8907">
        <v>3.8E-3</v>
      </c>
      <c r="G8907" t="s">
        <v>75</v>
      </c>
      <c r="H8907">
        <v>3.8</v>
      </c>
      <c r="I8907" t="s">
        <v>76</v>
      </c>
      <c r="J8907" t="s">
        <v>77</v>
      </c>
    </row>
    <row r="8908" spans="1:11" x14ac:dyDescent="0.3">
      <c r="A8908" t="s">
        <v>72</v>
      </c>
      <c r="B8908">
        <v>1</v>
      </c>
      <c r="C8908" t="s">
        <v>78</v>
      </c>
      <c r="D8908">
        <v>0.11255270000000001</v>
      </c>
      <c r="E8908" t="s">
        <v>74</v>
      </c>
      <c r="F8908">
        <v>112.5527</v>
      </c>
      <c r="G8908" t="s">
        <v>75</v>
      </c>
      <c r="H8908">
        <v>112552.702</v>
      </c>
      <c r="I8908" t="s">
        <v>76</v>
      </c>
      <c r="J8908" t="s">
        <v>77</v>
      </c>
    </row>
    <row r="8909" spans="1:11" x14ac:dyDescent="0.3">
      <c r="A8909" t="s">
        <v>72</v>
      </c>
      <c r="B8909">
        <v>1</v>
      </c>
      <c r="C8909" t="s">
        <v>79</v>
      </c>
      <c r="D8909">
        <v>0.1244841</v>
      </c>
      <c r="E8909" t="s">
        <v>74</v>
      </c>
      <c r="F8909">
        <v>124.4841</v>
      </c>
      <c r="G8909" t="s">
        <v>75</v>
      </c>
      <c r="H8909">
        <v>124484.099</v>
      </c>
      <c r="I8909" t="s">
        <v>76</v>
      </c>
      <c r="J8909" t="s">
        <v>77</v>
      </c>
    </row>
    <row r="8910" spans="1:11" x14ac:dyDescent="0.3">
      <c r="A8910" t="s">
        <v>72</v>
      </c>
      <c r="B8910">
        <v>1</v>
      </c>
      <c r="C8910" t="s">
        <v>94</v>
      </c>
      <c r="D8910">
        <v>0.1069108</v>
      </c>
      <c r="E8910" t="s">
        <v>74</v>
      </c>
      <c r="F8910">
        <v>106.91079999999999</v>
      </c>
      <c r="G8910" t="s">
        <v>75</v>
      </c>
      <c r="H8910">
        <v>106910.802</v>
      </c>
      <c r="I8910" t="s">
        <v>76</v>
      </c>
      <c r="J8910" t="s">
        <v>77</v>
      </c>
    </row>
    <row r="8911" spans="1:11" x14ac:dyDescent="0.3">
      <c r="A8911" t="s">
        <v>72</v>
      </c>
      <c r="B8911">
        <v>1</v>
      </c>
      <c r="C8911" t="s">
        <v>80</v>
      </c>
      <c r="D8911">
        <v>0.1069116</v>
      </c>
      <c r="E8911" t="s">
        <v>74</v>
      </c>
      <c r="F8911">
        <v>106.91160000000001</v>
      </c>
      <c r="G8911" t="s">
        <v>75</v>
      </c>
      <c r="H8911">
        <v>106911.6</v>
      </c>
      <c r="I8911" t="s">
        <v>76</v>
      </c>
      <c r="J8911" t="s">
        <v>77</v>
      </c>
    </row>
    <row r="8912" spans="1:11" x14ac:dyDescent="0.3">
      <c r="A8912" t="s">
        <v>72</v>
      </c>
      <c r="B8912">
        <v>1</v>
      </c>
      <c r="C8912" t="s">
        <v>81</v>
      </c>
      <c r="D8912">
        <v>0.23139778999999999</v>
      </c>
      <c r="E8912" t="s">
        <v>74</v>
      </c>
      <c r="F8912">
        <v>231.39778999999999</v>
      </c>
      <c r="G8912" t="s">
        <v>75</v>
      </c>
      <c r="H8912">
        <v>231397.79300000001</v>
      </c>
      <c r="I8912" t="s">
        <v>76</v>
      </c>
      <c r="J8912" t="s">
        <v>82</v>
      </c>
      <c r="K8912">
        <v>4.3215624000000004</v>
      </c>
    </row>
    <row r="8913" spans="1:11" x14ac:dyDescent="0.3">
      <c r="A8913" t="s">
        <v>83</v>
      </c>
      <c r="B8913">
        <v>1000</v>
      </c>
      <c r="C8913" t="s">
        <v>79</v>
      </c>
      <c r="D8913">
        <v>3.9999999999999998E-7</v>
      </c>
      <c r="E8913" t="s">
        <v>74</v>
      </c>
      <c r="F8913">
        <v>4.0000000000000002E-4</v>
      </c>
      <c r="G8913" t="s">
        <v>75</v>
      </c>
      <c r="H8913">
        <v>0.4</v>
      </c>
      <c r="I8913" t="s">
        <v>76</v>
      </c>
      <c r="J8913" t="s">
        <v>77</v>
      </c>
    </row>
    <row r="8914" spans="1:11" x14ac:dyDescent="0.3">
      <c r="A8914" t="s">
        <v>83</v>
      </c>
      <c r="B8914">
        <v>1000</v>
      </c>
      <c r="C8914" t="s">
        <v>94</v>
      </c>
      <c r="D8914">
        <v>1.7005329999999999E-2</v>
      </c>
      <c r="E8914" t="s">
        <v>74</v>
      </c>
      <c r="F8914">
        <v>17.005330000000001</v>
      </c>
      <c r="G8914" t="s">
        <v>75</v>
      </c>
      <c r="H8914">
        <v>17005.334999999999</v>
      </c>
      <c r="I8914" t="s">
        <v>76</v>
      </c>
      <c r="J8914" t="s">
        <v>77</v>
      </c>
    </row>
    <row r="8915" spans="1:11" x14ac:dyDescent="0.3">
      <c r="A8915" t="s">
        <v>83</v>
      </c>
      <c r="B8915">
        <v>1000</v>
      </c>
      <c r="C8915" t="s">
        <v>80</v>
      </c>
      <c r="D8915">
        <v>1.700571E-2</v>
      </c>
      <c r="E8915" t="s">
        <v>74</v>
      </c>
      <c r="F8915">
        <v>17.005710000000001</v>
      </c>
      <c r="G8915" t="s">
        <v>75</v>
      </c>
      <c r="H8915">
        <v>17005.706999999999</v>
      </c>
      <c r="I8915" t="s">
        <v>76</v>
      </c>
      <c r="J8915" t="s">
        <v>77</v>
      </c>
    </row>
    <row r="8916" spans="1:11" x14ac:dyDescent="0.3">
      <c r="A8916" t="s">
        <v>83</v>
      </c>
      <c r="B8916">
        <v>1000</v>
      </c>
      <c r="C8916" t="s">
        <v>81</v>
      </c>
      <c r="D8916">
        <v>1.7006770000000001E-2</v>
      </c>
      <c r="E8916" t="s">
        <v>74</v>
      </c>
      <c r="F8916">
        <v>17.006769999999999</v>
      </c>
      <c r="G8916" t="s">
        <v>75</v>
      </c>
      <c r="H8916">
        <v>17006.775000000001</v>
      </c>
      <c r="I8916" t="s">
        <v>76</v>
      </c>
      <c r="J8916" t="s">
        <v>82</v>
      </c>
      <c r="K8916">
        <v>58.800096199999999</v>
      </c>
    </row>
    <row r="8917" spans="1:11" x14ac:dyDescent="0.3">
      <c r="A8917" t="s">
        <v>84</v>
      </c>
      <c r="B8917">
        <v>1001</v>
      </c>
      <c r="C8917" t="s">
        <v>79</v>
      </c>
      <c r="D8917">
        <v>1.2475999999999999E-4</v>
      </c>
      <c r="E8917" t="s">
        <v>74</v>
      </c>
      <c r="F8917">
        <v>0.12476</v>
      </c>
      <c r="G8917" t="s">
        <v>75</v>
      </c>
      <c r="H8917">
        <v>124.76</v>
      </c>
      <c r="I8917" t="s">
        <v>76</v>
      </c>
      <c r="J8917" t="s">
        <v>77</v>
      </c>
    </row>
    <row r="8918" spans="1:11" x14ac:dyDescent="0.3">
      <c r="A8918" t="s">
        <v>84</v>
      </c>
      <c r="B8918">
        <v>1001</v>
      </c>
      <c r="C8918" t="s">
        <v>94</v>
      </c>
      <c r="D8918">
        <v>1.709515E-2</v>
      </c>
      <c r="E8918" t="s">
        <v>74</v>
      </c>
      <c r="F8918">
        <v>17.09515</v>
      </c>
      <c r="G8918" t="s">
        <v>75</v>
      </c>
      <c r="H8918">
        <v>17095.150000000001</v>
      </c>
      <c r="I8918" t="s">
        <v>76</v>
      </c>
      <c r="J8918" t="s">
        <v>77</v>
      </c>
    </row>
    <row r="8919" spans="1:11" x14ac:dyDescent="0.3">
      <c r="A8919" t="s">
        <v>84</v>
      </c>
      <c r="B8919">
        <v>1001</v>
      </c>
      <c r="C8919" t="s">
        <v>80</v>
      </c>
      <c r="D8919">
        <v>1.7095519999999999E-2</v>
      </c>
      <c r="E8919" t="s">
        <v>74</v>
      </c>
      <c r="F8919">
        <v>17.09552</v>
      </c>
      <c r="G8919" t="s">
        <v>75</v>
      </c>
      <c r="H8919">
        <v>17095.52</v>
      </c>
      <c r="I8919" t="s">
        <v>76</v>
      </c>
      <c r="J8919" t="s">
        <v>77</v>
      </c>
    </row>
    <row r="8920" spans="1:11" x14ac:dyDescent="0.3">
      <c r="A8920" t="s">
        <v>84</v>
      </c>
      <c r="B8920">
        <v>1001</v>
      </c>
      <c r="C8920" t="s">
        <v>81</v>
      </c>
      <c r="D8920">
        <v>1.7220949999999999E-2</v>
      </c>
      <c r="E8920" t="s">
        <v>74</v>
      </c>
      <c r="F8920">
        <v>17.220949999999998</v>
      </c>
      <c r="G8920" t="s">
        <v>75</v>
      </c>
      <c r="H8920">
        <v>17220.95</v>
      </c>
      <c r="I8920" t="s">
        <v>76</v>
      </c>
      <c r="J8920" t="s">
        <v>82</v>
      </c>
      <c r="K8920">
        <v>58.068806799999997</v>
      </c>
    </row>
    <row r="8921" spans="1:11" x14ac:dyDescent="0.3">
      <c r="A8921" t="s">
        <v>85</v>
      </c>
      <c r="B8921">
        <v>1001</v>
      </c>
      <c r="C8921" t="s">
        <v>86</v>
      </c>
      <c r="D8921">
        <v>1.722131E-2</v>
      </c>
      <c r="E8921" t="s">
        <v>74</v>
      </c>
      <c r="F8921">
        <v>17.221309999999999</v>
      </c>
      <c r="G8921" t="s">
        <v>75</v>
      </c>
      <c r="H8921">
        <v>17221.313999999998</v>
      </c>
      <c r="I8921" t="s">
        <v>76</v>
      </c>
      <c r="J8921" t="s">
        <v>82</v>
      </c>
      <c r="K8921">
        <v>58.067579700000003</v>
      </c>
    </row>
    <row r="8922" spans="1:11" x14ac:dyDescent="0.3">
      <c r="A8922" t="s">
        <v>162</v>
      </c>
    </row>
    <row r="8923" spans="1:11" x14ac:dyDescent="0.3">
      <c r="A8923" t="s">
        <v>412</v>
      </c>
    </row>
    <row r="8924" spans="1:11" x14ac:dyDescent="0.3">
      <c r="A8924" t="s">
        <v>72</v>
      </c>
      <c r="B8924">
        <v>1</v>
      </c>
      <c r="C8924" t="s">
        <v>73</v>
      </c>
      <c r="D8924">
        <v>3.8E-6</v>
      </c>
      <c r="E8924" t="s">
        <v>74</v>
      </c>
      <c r="F8924">
        <v>3.8E-3</v>
      </c>
      <c r="G8924" t="s">
        <v>75</v>
      </c>
      <c r="H8924">
        <v>3.8</v>
      </c>
      <c r="I8924" t="s">
        <v>76</v>
      </c>
      <c r="J8924" t="s">
        <v>77</v>
      </c>
    </row>
    <row r="8925" spans="1:11" x14ac:dyDescent="0.3">
      <c r="A8925" t="s">
        <v>72</v>
      </c>
      <c r="B8925">
        <v>1</v>
      </c>
      <c r="C8925" t="s">
        <v>78</v>
      </c>
      <c r="D8925">
        <v>8.4892000000000006E-3</v>
      </c>
      <c r="E8925" t="s">
        <v>74</v>
      </c>
      <c r="F8925">
        <v>8.4892000000000003</v>
      </c>
      <c r="G8925" t="s">
        <v>75</v>
      </c>
      <c r="H8925">
        <v>8489.2000000000007</v>
      </c>
      <c r="I8925" t="s">
        <v>76</v>
      </c>
      <c r="J8925" t="s">
        <v>77</v>
      </c>
    </row>
    <row r="8926" spans="1:11" x14ac:dyDescent="0.3">
      <c r="A8926" t="s">
        <v>72</v>
      </c>
      <c r="B8926">
        <v>1</v>
      </c>
      <c r="C8926" t="s">
        <v>79</v>
      </c>
      <c r="D8926">
        <v>8.5950000000000002E-4</v>
      </c>
      <c r="E8926" t="s">
        <v>74</v>
      </c>
      <c r="F8926">
        <v>0.85950000000000004</v>
      </c>
      <c r="G8926" t="s">
        <v>75</v>
      </c>
      <c r="H8926">
        <v>859.5</v>
      </c>
      <c r="I8926" t="s">
        <v>76</v>
      </c>
      <c r="J8926" t="s">
        <v>77</v>
      </c>
    </row>
    <row r="8927" spans="1:11" x14ac:dyDescent="0.3">
      <c r="A8927" t="s">
        <v>72</v>
      </c>
      <c r="B8927">
        <v>1</v>
      </c>
      <c r="C8927" t="s">
        <v>94</v>
      </c>
      <c r="D8927">
        <v>2.9515400000000001E-2</v>
      </c>
      <c r="E8927" t="s">
        <v>74</v>
      </c>
      <c r="F8927">
        <v>29.5154</v>
      </c>
      <c r="G8927" t="s">
        <v>75</v>
      </c>
      <c r="H8927">
        <v>29515.401000000002</v>
      </c>
      <c r="I8927" t="s">
        <v>76</v>
      </c>
      <c r="J8927" t="s">
        <v>77</v>
      </c>
    </row>
    <row r="8928" spans="1:11" x14ac:dyDescent="0.3">
      <c r="A8928" t="s">
        <v>72</v>
      </c>
      <c r="B8928">
        <v>1</v>
      </c>
      <c r="C8928" t="s">
        <v>80</v>
      </c>
      <c r="D8928">
        <v>2.95161E-2</v>
      </c>
      <c r="E8928" t="s">
        <v>74</v>
      </c>
      <c r="F8928">
        <v>29.516100000000002</v>
      </c>
      <c r="G8928" t="s">
        <v>75</v>
      </c>
      <c r="H8928">
        <v>29516.100999999999</v>
      </c>
      <c r="I8928" t="s">
        <v>76</v>
      </c>
      <c r="J8928" t="s">
        <v>77</v>
      </c>
    </row>
    <row r="8929" spans="1:11" x14ac:dyDescent="0.3">
      <c r="A8929" t="s">
        <v>72</v>
      </c>
      <c r="B8929">
        <v>1</v>
      </c>
      <c r="C8929" t="s">
        <v>81</v>
      </c>
      <c r="D8929">
        <v>3.0376899999999998E-2</v>
      </c>
      <c r="E8929" t="s">
        <v>74</v>
      </c>
      <c r="F8929">
        <v>30.376899999999999</v>
      </c>
      <c r="G8929" t="s">
        <v>75</v>
      </c>
      <c r="H8929">
        <v>30376.9</v>
      </c>
      <c r="I8929" t="s">
        <v>76</v>
      </c>
      <c r="J8929" t="s">
        <v>82</v>
      </c>
      <c r="K8929">
        <v>32.919751499999997</v>
      </c>
    </row>
    <row r="8930" spans="1:11" x14ac:dyDescent="0.3">
      <c r="A8930" t="s">
        <v>83</v>
      </c>
      <c r="B8930">
        <v>1000</v>
      </c>
      <c r="C8930" t="s">
        <v>79</v>
      </c>
      <c r="D8930">
        <v>4.5999999999999999E-7</v>
      </c>
      <c r="E8930" t="s">
        <v>74</v>
      </c>
      <c r="F8930">
        <v>4.6000000000000001E-4</v>
      </c>
      <c r="G8930" t="s">
        <v>75</v>
      </c>
      <c r="H8930">
        <v>0.46400000000000002</v>
      </c>
      <c r="I8930" t="s">
        <v>76</v>
      </c>
      <c r="J8930" t="s">
        <v>77</v>
      </c>
    </row>
    <row r="8931" spans="1:11" x14ac:dyDescent="0.3">
      <c r="A8931" t="s">
        <v>83</v>
      </c>
      <c r="B8931">
        <v>1000</v>
      </c>
      <c r="C8931" t="s">
        <v>94</v>
      </c>
      <c r="D8931">
        <v>2.6619940000000002E-2</v>
      </c>
      <c r="E8931" t="s">
        <v>74</v>
      </c>
      <c r="F8931">
        <v>26.61994</v>
      </c>
      <c r="G8931" t="s">
        <v>75</v>
      </c>
      <c r="H8931">
        <v>26619.944</v>
      </c>
      <c r="I8931" t="s">
        <v>76</v>
      </c>
      <c r="J8931" t="s">
        <v>77</v>
      </c>
    </row>
    <row r="8932" spans="1:11" x14ac:dyDescent="0.3">
      <c r="A8932" t="s">
        <v>83</v>
      </c>
      <c r="B8932">
        <v>1000</v>
      </c>
      <c r="C8932" t="s">
        <v>80</v>
      </c>
      <c r="D8932">
        <v>2.6753659999999999E-2</v>
      </c>
      <c r="E8932" t="s">
        <v>74</v>
      </c>
      <c r="F8932">
        <v>26.75366</v>
      </c>
      <c r="G8932" t="s">
        <v>75</v>
      </c>
      <c r="H8932">
        <v>26753.662</v>
      </c>
      <c r="I8932" t="s">
        <v>76</v>
      </c>
      <c r="J8932" t="s">
        <v>77</v>
      </c>
    </row>
    <row r="8933" spans="1:11" x14ac:dyDescent="0.3">
      <c r="A8933" t="s">
        <v>83</v>
      </c>
      <c r="B8933">
        <v>1000</v>
      </c>
      <c r="C8933" t="s">
        <v>81</v>
      </c>
      <c r="D8933">
        <v>2.675543E-2</v>
      </c>
      <c r="E8933" t="s">
        <v>74</v>
      </c>
      <c r="F8933">
        <v>26.75543</v>
      </c>
      <c r="G8933" t="s">
        <v>75</v>
      </c>
      <c r="H8933">
        <v>26755.428</v>
      </c>
      <c r="I8933" t="s">
        <v>76</v>
      </c>
      <c r="J8933" t="s">
        <v>82</v>
      </c>
      <c r="K8933">
        <v>37.375593000000002</v>
      </c>
    </row>
    <row r="8934" spans="1:11" x14ac:dyDescent="0.3">
      <c r="A8934" t="s">
        <v>84</v>
      </c>
      <c r="B8934">
        <v>1001</v>
      </c>
      <c r="C8934" t="s">
        <v>79</v>
      </c>
      <c r="D8934">
        <v>1.3200000000000001E-6</v>
      </c>
      <c r="E8934" t="s">
        <v>74</v>
      </c>
      <c r="F8934">
        <v>1.32E-3</v>
      </c>
      <c r="G8934" t="s">
        <v>75</v>
      </c>
      <c r="H8934">
        <v>1.3220000000000001</v>
      </c>
      <c r="I8934" t="s">
        <v>76</v>
      </c>
      <c r="J8934" t="s">
        <v>77</v>
      </c>
    </row>
    <row r="8935" spans="1:11" x14ac:dyDescent="0.3">
      <c r="A8935" t="s">
        <v>84</v>
      </c>
      <c r="B8935">
        <v>1001</v>
      </c>
      <c r="C8935" t="s">
        <v>94</v>
      </c>
      <c r="D8935">
        <v>2.6622839999999998E-2</v>
      </c>
      <c r="E8935" t="s">
        <v>74</v>
      </c>
      <c r="F8935">
        <v>26.62284</v>
      </c>
      <c r="G8935" t="s">
        <v>75</v>
      </c>
      <c r="H8935">
        <v>26622.834999999999</v>
      </c>
      <c r="I8935" t="s">
        <v>76</v>
      </c>
      <c r="J8935" t="s">
        <v>77</v>
      </c>
    </row>
    <row r="8936" spans="1:11" x14ac:dyDescent="0.3">
      <c r="A8936" t="s">
        <v>84</v>
      </c>
      <c r="B8936">
        <v>1001</v>
      </c>
      <c r="C8936" t="s">
        <v>80</v>
      </c>
      <c r="D8936">
        <v>2.675642E-2</v>
      </c>
      <c r="E8936" t="s">
        <v>74</v>
      </c>
      <c r="F8936">
        <v>26.756419999999999</v>
      </c>
      <c r="G8936" t="s">
        <v>75</v>
      </c>
      <c r="H8936">
        <v>26756.421999999999</v>
      </c>
      <c r="I8936" t="s">
        <v>76</v>
      </c>
      <c r="J8936" t="s">
        <v>77</v>
      </c>
    </row>
    <row r="8937" spans="1:11" x14ac:dyDescent="0.3">
      <c r="A8937" t="s">
        <v>84</v>
      </c>
      <c r="B8937">
        <v>1001</v>
      </c>
      <c r="C8937" t="s">
        <v>81</v>
      </c>
      <c r="D8937">
        <v>2.675905E-2</v>
      </c>
      <c r="E8937" t="s">
        <v>74</v>
      </c>
      <c r="F8937">
        <v>26.759049999999998</v>
      </c>
      <c r="G8937" t="s">
        <v>75</v>
      </c>
      <c r="H8937">
        <v>26759.045999999998</v>
      </c>
      <c r="I8937" t="s">
        <v>76</v>
      </c>
      <c r="J8937" t="s">
        <v>82</v>
      </c>
      <c r="K8937">
        <v>37.370540499999997</v>
      </c>
    </row>
    <row r="8938" spans="1:11" x14ac:dyDescent="0.3">
      <c r="A8938" t="s">
        <v>85</v>
      </c>
      <c r="B8938">
        <v>1001</v>
      </c>
      <c r="C8938" t="s">
        <v>86</v>
      </c>
      <c r="D8938">
        <v>2.6759410000000001E-2</v>
      </c>
      <c r="E8938" t="s">
        <v>74</v>
      </c>
      <c r="F8938">
        <v>26.759409999999999</v>
      </c>
      <c r="G8938" t="s">
        <v>75</v>
      </c>
      <c r="H8938">
        <v>26759.407999999999</v>
      </c>
      <c r="I8938" t="s">
        <v>76</v>
      </c>
      <c r="J8938" t="s">
        <v>82</v>
      </c>
      <c r="K8938">
        <v>37.3700349</v>
      </c>
    </row>
    <row r="8939" spans="1:11" x14ac:dyDescent="0.3">
      <c r="A8939" t="s">
        <v>115</v>
      </c>
    </row>
    <row r="8940" spans="1:11" x14ac:dyDescent="0.3">
      <c r="A8940" t="s">
        <v>127</v>
      </c>
    </row>
    <row r="8941" spans="1:11" x14ac:dyDescent="0.3">
      <c r="A8941" t="s">
        <v>87</v>
      </c>
    </row>
    <row r="8942" spans="1:11" x14ac:dyDescent="0.3">
      <c r="A8942" t="s">
        <v>413</v>
      </c>
    </row>
    <row r="8943" spans="1:11" x14ac:dyDescent="0.3">
      <c r="A8943" t="s">
        <v>72</v>
      </c>
      <c r="B8943">
        <v>1</v>
      </c>
      <c r="C8943" t="s">
        <v>81</v>
      </c>
      <c r="D8943">
        <v>0.23139778999999999</v>
      </c>
      <c r="E8943" t="s">
        <v>74</v>
      </c>
      <c r="F8943">
        <v>231.39778999999999</v>
      </c>
      <c r="G8943" t="s">
        <v>75</v>
      </c>
      <c r="H8943">
        <v>231397.79300000001</v>
      </c>
      <c r="I8943" t="s">
        <v>76</v>
      </c>
      <c r="J8943" t="s">
        <v>82</v>
      </c>
      <c r="K8943">
        <v>4.3215624000000004</v>
      </c>
    </row>
    <row r="8944" spans="1:11" x14ac:dyDescent="0.3">
      <c r="A8944" t="s">
        <v>83</v>
      </c>
      <c r="B8944">
        <v>1000</v>
      </c>
      <c r="C8944" t="s">
        <v>81</v>
      </c>
      <c r="D8944">
        <v>1.7006770000000001E-2</v>
      </c>
      <c r="E8944" t="s">
        <v>74</v>
      </c>
      <c r="F8944">
        <v>17.006769999999999</v>
      </c>
      <c r="G8944" t="s">
        <v>75</v>
      </c>
      <c r="H8944">
        <v>17006.775000000001</v>
      </c>
      <c r="I8944" t="s">
        <v>76</v>
      </c>
      <c r="J8944" t="s">
        <v>82</v>
      </c>
      <c r="K8944">
        <v>58.800096199999999</v>
      </c>
    </row>
    <row r="8945" spans="1:11" x14ac:dyDescent="0.3">
      <c r="A8945" t="s">
        <v>85</v>
      </c>
      <c r="B8945">
        <v>1001</v>
      </c>
      <c r="C8945" t="s">
        <v>86</v>
      </c>
      <c r="D8945">
        <v>1.722131E-2</v>
      </c>
      <c r="E8945" t="s">
        <v>74</v>
      </c>
      <c r="F8945">
        <v>17.221309999999999</v>
      </c>
      <c r="G8945" t="s">
        <v>75</v>
      </c>
      <c r="H8945">
        <v>17221.313999999998</v>
      </c>
      <c r="I8945" t="s">
        <v>76</v>
      </c>
      <c r="J8945" t="s">
        <v>82</v>
      </c>
      <c r="K8945">
        <v>58.067579700000003</v>
      </c>
    </row>
    <row r="8947" spans="1:11" x14ac:dyDescent="0.3">
      <c r="A8947" t="s">
        <v>414</v>
      </c>
    </row>
    <row r="8948" spans="1:11" x14ac:dyDescent="0.3">
      <c r="A8948" t="s">
        <v>72</v>
      </c>
      <c r="B8948">
        <v>1</v>
      </c>
      <c r="C8948" t="s">
        <v>81</v>
      </c>
      <c r="D8948">
        <v>3.0376899999999998E-2</v>
      </c>
      <c r="E8948" t="s">
        <v>74</v>
      </c>
      <c r="F8948">
        <v>30.376899999999999</v>
      </c>
      <c r="G8948" t="s">
        <v>75</v>
      </c>
      <c r="H8948">
        <v>30376.9</v>
      </c>
      <c r="I8948" t="s">
        <v>76</v>
      </c>
      <c r="J8948" t="s">
        <v>82</v>
      </c>
      <c r="K8948">
        <v>32.919751499999997</v>
      </c>
    </row>
    <row r="8949" spans="1:11" x14ac:dyDescent="0.3">
      <c r="A8949" t="s">
        <v>83</v>
      </c>
      <c r="B8949">
        <v>1000</v>
      </c>
      <c r="C8949" t="s">
        <v>81</v>
      </c>
      <c r="D8949">
        <v>2.675543E-2</v>
      </c>
      <c r="E8949" t="s">
        <v>74</v>
      </c>
      <c r="F8949">
        <v>26.75543</v>
      </c>
      <c r="G8949" t="s">
        <v>75</v>
      </c>
      <c r="H8949">
        <v>26755.428</v>
      </c>
      <c r="I8949" t="s">
        <v>76</v>
      </c>
      <c r="J8949" t="s">
        <v>82</v>
      </c>
      <c r="K8949">
        <v>37.375593000000002</v>
      </c>
    </row>
    <row r="8950" spans="1:11" x14ac:dyDescent="0.3">
      <c r="A8950" t="s">
        <v>85</v>
      </c>
      <c r="B8950">
        <v>1001</v>
      </c>
      <c r="C8950" t="s">
        <v>86</v>
      </c>
      <c r="D8950">
        <v>2.6759410000000001E-2</v>
      </c>
      <c r="E8950" t="s">
        <v>74</v>
      </c>
      <c r="F8950">
        <v>26.759409999999999</v>
      </c>
      <c r="G8950" t="s">
        <v>75</v>
      </c>
      <c r="H8950">
        <v>26759.407999999999</v>
      </c>
      <c r="I8950" t="s">
        <v>76</v>
      </c>
      <c r="J8950" t="s">
        <v>82</v>
      </c>
      <c r="K8950">
        <v>37.3700349</v>
      </c>
    </row>
    <row r="8952" spans="1:11" x14ac:dyDescent="0.3">
      <c r="A8952" t="s">
        <v>66</v>
      </c>
    </row>
    <row r="8954" spans="1:11" x14ac:dyDescent="0.3">
      <c r="A8954" t="s">
        <v>465</v>
      </c>
    </row>
    <row r="8955" spans="1:11" x14ac:dyDescent="0.3">
      <c r="A8955" t="s">
        <v>68</v>
      </c>
    </row>
    <row r="8956" spans="1:11" x14ac:dyDescent="0.3">
      <c r="A8956" t="s">
        <v>69</v>
      </c>
    </row>
    <row r="8957" spans="1:11" x14ac:dyDescent="0.3">
      <c r="A8957" t="s">
        <v>70</v>
      </c>
    </row>
    <row r="8958" spans="1:11" x14ac:dyDescent="0.3">
      <c r="A8958" t="s">
        <v>115</v>
      </c>
    </row>
    <row r="8959" spans="1:11" x14ac:dyDescent="0.3">
      <c r="A8959" t="s">
        <v>384</v>
      </c>
    </row>
    <row r="8960" spans="1:11" x14ac:dyDescent="0.3">
      <c r="A8960" t="s">
        <v>385</v>
      </c>
    </row>
    <row r="8961" spans="1:10" x14ac:dyDescent="0.3">
      <c r="A8961" t="s">
        <v>118</v>
      </c>
    </row>
    <row r="8962" spans="1:10" x14ac:dyDescent="0.3">
      <c r="A8962" t="s">
        <v>119</v>
      </c>
    </row>
    <row r="8963" spans="1:10" x14ac:dyDescent="0.3">
      <c r="A8963" t="s">
        <v>268</v>
      </c>
    </row>
    <row r="8964" spans="1:10" x14ac:dyDescent="0.3">
      <c r="A8964" t="s">
        <v>269</v>
      </c>
    </row>
    <row r="8965" spans="1:10" x14ac:dyDescent="0.3">
      <c r="A8965" t="s">
        <v>386</v>
      </c>
    </row>
    <row r="8966" spans="1:10" x14ac:dyDescent="0.3">
      <c r="A8966" t="s">
        <v>387</v>
      </c>
    </row>
    <row r="8967" spans="1:10" x14ac:dyDescent="0.3">
      <c r="A8967" t="s">
        <v>271</v>
      </c>
    </row>
    <row r="8968" spans="1:10" x14ac:dyDescent="0.3">
      <c r="A8968" t="s">
        <v>125</v>
      </c>
    </row>
    <row r="8969" spans="1:10" x14ac:dyDescent="0.3">
      <c r="A8969" t="s">
        <v>126</v>
      </c>
    </row>
    <row r="8970" spans="1:10" x14ac:dyDescent="0.3">
      <c r="A8970" t="s">
        <v>127</v>
      </c>
    </row>
    <row r="8971" spans="1:10" x14ac:dyDescent="0.3">
      <c r="A8971" t="s">
        <v>167</v>
      </c>
    </row>
    <row r="8972" spans="1:10" x14ac:dyDescent="0.3">
      <c r="A8972" t="s">
        <v>416</v>
      </c>
    </row>
    <row r="8973" spans="1:10" x14ac:dyDescent="0.3">
      <c r="A8973" t="s">
        <v>72</v>
      </c>
      <c r="B8973">
        <v>1</v>
      </c>
      <c r="C8973" t="s">
        <v>73</v>
      </c>
      <c r="D8973">
        <v>4.0999999999999997E-6</v>
      </c>
      <c r="E8973" t="s">
        <v>74</v>
      </c>
      <c r="F8973">
        <v>4.1000000000000003E-3</v>
      </c>
      <c r="G8973" t="s">
        <v>75</v>
      </c>
      <c r="H8973">
        <v>4.0999999999999996</v>
      </c>
      <c r="I8973" t="s">
        <v>76</v>
      </c>
      <c r="J8973" t="s">
        <v>77</v>
      </c>
    </row>
    <row r="8974" spans="1:10" x14ac:dyDescent="0.3">
      <c r="A8974" t="s">
        <v>72</v>
      </c>
      <c r="B8974">
        <v>1</v>
      </c>
      <c r="C8974" t="s">
        <v>78</v>
      </c>
      <c r="D8974">
        <v>0.1498042</v>
      </c>
      <c r="E8974" t="s">
        <v>74</v>
      </c>
      <c r="F8974">
        <v>149.80420000000001</v>
      </c>
      <c r="G8974" t="s">
        <v>75</v>
      </c>
      <c r="H8974">
        <v>149804.20499999999</v>
      </c>
      <c r="I8974" t="s">
        <v>76</v>
      </c>
      <c r="J8974" t="s">
        <v>77</v>
      </c>
    </row>
    <row r="8975" spans="1:10" x14ac:dyDescent="0.3">
      <c r="A8975" t="s">
        <v>72</v>
      </c>
      <c r="B8975">
        <v>1</v>
      </c>
      <c r="C8975" t="s">
        <v>79</v>
      </c>
      <c r="D8975">
        <v>0.12675539999999999</v>
      </c>
      <c r="E8975" t="s">
        <v>74</v>
      </c>
      <c r="F8975">
        <v>126.75539999999999</v>
      </c>
      <c r="G8975" t="s">
        <v>75</v>
      </c>
      <c r="H8975">
        <v>126755.401</v>
      </c>
      <c r="I8975" t="s">
        <v>76</v>
      </c>
      <c r="J8975" t="s">
        <v>77</v>
      </c>
    </row>
    <row r="8976" spans="1:10" x14ac:dyDescent="0.3">
      <c r="A8976" t="s">
        <v>72</v>
      </c>
      <c r="B8976">
        <v>1</v>
      </c>
      <c r="C8976" t="s">
        <v>94</v>
      </c>
      <c r="D8976">
        <v>0.1074566</v>
      </c>
      <c r="E8976" t="s">
        <v>74</v>
      </c>
      <c r="F8976">
        <v>107.45659999999999</v>
      </c>
      <c r="G8976" t="s">
        <v>75</v>
      </c>
      <c r="H8976">
        <v>107456.602</v>
      </c>
      <c r="I8976" t="s">
        <v>76</v>
      </c>
      <c r="J8976" t="s">
        <v>77</v>
      </c>
    </row>
    <row r="8977" spans="1:11" x14ac:dyDescent="0.3">
      <c r="A8977" t="s">
        <v>72</v>
      </c>
      <c r="B8977">
        <v>1</v>
      </c>
      <c r="C8977" t="s">
        <v>80</v>
      </c>
      <c r="D8977">
        <v>0.1074572</v>
      </c>
      <c r="E8977" t="s">
        <v>74</v>
      </c>
      <c r="F8977">
        <v>107.4572</v>
      </c>
      <c r="G8977" t="s">
        <v>75</v>
      </c>
      <c r="H8977">
        <v>107457.198</v>
      </c>
      <c r="I8977" t="s">
        <v>76</v>
      </c>
      <c r="J8977" t="s">
        <v>77</v>
      </c>
    </row>
    <row r="8978" spans="1:11" x14ac:dyDescent="0.3">
      <c r="A8978" t="s">
        <v>72</v>
      </c>
      <c r="B8978">
        <v>1</v>
      </c>
      <c r="C8978" t="s">
        <v>81</v>
      </c>
      <c r="D8978">
        <v>0.23421539</v>
      </c>
      <c r="E8978" t="s">
        <v>74</v>
      </c>
      <c r="F8978">
        <v>234.21539000000001</v>
      </c>
      <c r="G8978" t="s">
        <v>75</v>
      </c>
      <c r="H8978">
        <v>234215.394</v>
      </c>
      <c r="I8978" t="s">
        <v>76</v>
      </c>
      <c r="J8978" t="s">
        <v>82</v>
      </c>
      <c r="K8978">
        <v>4.2695742000000001</v>
      </c>
    </row>
    <row r="8979" spans="1:11" x14ac:dyDescent="0.3">
      <c r="A8979" t="s">
        <v>83</v>
      </c>
      <c r="B8979">
        <v>1000</v>
      </c>
      <c r="C8979" t="s">
        <v>79</v>
      </c>
      <c r="D8979">
        <v>2.8000000000000002E-7</v>
      </c>
      <c r="E8979" t="s">
        <v>74</v>
      </c>
      <c r="F8979">
        <v>2.7999999999999998E-4</v>
      </c>
      <c r="G8979" t="s">
        <v>75</v>
      </c>
      <c r="H8979">
        <v>0.27900000000000003</v>
      </c>
      <c r="I8979" t="s">
        <v>76</v>
      </c>
      <c r="J8979" t="s">
        <v>77</v>
      </c>
    </row>
    <row r="8980" spans="1:11" x14ac:dyDescent="0.3">
      <c r="A8980" t="s">
        <v>83</v>
      </c>
      <c r="B8980">
        <v>1000</v>
      </c>
      <c r="C8980" t="s">
        <v>94</v>
      </c>
      <c r="D8980">
        <v>1.7047650000000001E-2</v>
      </c>
      <c r="E8980" t="s">
        <v>74</v>
      </c>
      <c r="F8980">
        <v>17.047650000000001</v>
      </c>
      <c r="G8980" t="s">
        <v>75</v>
      </c>
      <c r="H8980">
        <v>17047.649000000001</v>
      </c>
      <c r="I8980" t="s">
        <v>76</v>
      </c>
      <c r="J8980" t="s">
        <v>77</v>
      </c>
    </row>
    <row r="8981" spans="1:11" x14ac:dyDescent="0.3">
      <c r="A8981" t="s">
        <v>83</v>
      </c>
      <c r="B8981">
        <v>1000</v>
      </c>
      <c r="C8981" t="s">
        <v>80</v>
      </c>
      <c r="D8981">
        <v>1.7047980000000001E-2</v>
      </c>
      <c r="E8981" t="s">
        <v>74</v>
      </c>
      <c r="F8981">
        <v>17.047979999999999</v>
      </c>
      <c r="G8981" t="s">
        <v>75</v>
      </c>
      <c r="H8981">
        <v>17047.976999999999</v>
      </c>
      <c r="I8981" t="s">
        <v>76</v>
      </c>
      <c r="J8981" t="s">
        <v>77</v>
      </c>
    </row>
    <row r="8982" spans="1:11" x14ac:dyDescent="0.3">
      <c r="A8982" t="s">
        <v>83</v>
      </c>
      <c r="B8982">
        <v>1000</v>
      </c>
      <c r="C8982" t="s">
        <v>81</v>
      </c>
      <c r="D8982">
        <v>1.7048870000000001E-2</v>
      </c>
      <c r="E8982" t="s">
        <v>74</v>
      </c>
      <c r="F8982">
        <v>17.048870000000001</v>
      </c>
      <c r="G8982" t="s">
        <v>75</v>
      </c>
      <c r="H8982">
        <v>17048.871999999999</v>
      </c>
      <c r="I8982" t="s">
        <v>76</v>
      </c>
      <c r="J8982" t="s">
        <v>82</v>
      </c>
      <c r="K8982">
        <v>58.6549069</v>
      </c>
    </row>
    <row r="8983" spans="1:11" x14ac:dyDescent="0.3">
      <c r="A8983" t="s">
        <v>84</v>
      </c>
      <c r="B8983">
        <v>1001</v>
      </c>
      <c r="C8983" t="s">
        <v>79</v>
      </c>
      <c r="D8983">
        <v>1.2690999999999999E-4</v>
      </c>
      <c r="E8983" t="s">
        <v>74</v>
      </c>
      <c r="F8983">
        <v>0.12691</v>
      </c>
      <c r="G8983" t="s">
        <v>75</v>
      </c>
      <c r="H8983">
        <v>126.90600000000001</v>
      </c>
      <c r="I8983" t="s">
        <v>76</v>
      </c>
      <c r="J8983" t="s">
        <v>77</v>
      </c>
    </row>
    <row r="8984" spans="1:11" x14ac:dyDescent="0.3">
      <c r="A8984" t="s">
        <v>84</v>
      </c>
      <c r="B8984">
        <v>1001</v>
      </c>
      <c r="C8984" t="s">
        <v>94</v>
      </c>
      <c r="D8984">
        <v>1.7137969999999999E-2</v>
      </c>
      <c r="E8984" t="s">
        <v>74</v>
      </c>
      <c r="F8984">
        <v>17.137969999999999</v>
      </c>
      <c r="G8984" t="s">
        <v>75</v>
      </c>
      <c r="H8984">
        <v>17137.966</v>
      </c>
      <c r="I8984" t="s">
        <v>76</v>
      </c>
      <c r="J8984" t="s">
        <v>77</v>
      </c>
    </row>
    <row r="8985" spans="1:11" x14ac:dyDescent="0.3">
      <c r="A8985" t="s">
        <v>84</v>
      </c>
      <c r="B8985">
        <v>1001</v>
      </c>
      <c r="C8985" t="s">
        <v>80</v>
      </c>
      <c r="D8985">
        <v>1.7138299999999999E-2</v>
      </c>
      <c r="E8985" t="s">
        <v>74</v>
      </c>
      <c r="F8985">
        <v>17.138300000000001</v>
      </c>
      <c r="G8985" t="s">
        <v>75</v>
      </c>
      <c r="H8985">
        <v>17138.296999999999</v>
      </c>
      <c r="I8985" t="s">
        <v>76</v>
      </c>
      <c r="J8985" t="s">
        <v>77</v>
      </c>
    </row>
    <row r="8986" spans="1:11" x14ac:dyDescent="0.3">
      <c r="A8986" t="s">
        <v>84</v>
      </c>
      <c r="B8986">
        <v>1001</v>
      </c>
      <c r="C8986" t="s">
        <v>81</v>
      </c>
      <c r="D8986">
        <v>1.7265820000000001E-2</v>
      </c>
      <c r="E8986" t="s">
        <v>74</v>
      </c>
      <c r="F8986">
        <v>17.265820000000001</v>
      </c>
      <c r="G8986" t="s">
        <v>75</v>
      </c>
      <c r="H8986">
        <v>17265.819</v>
      </c>
      <c r="I8986" t="s">
        <v>76</v>
      </c>
      <c r="J8986" t="s">
        <v>82</v>
      </c>
      <c r="K8986">
        <v>57.917901100000002</v>
      </c>
    </row>
    <row r="8987" spans="1:11" x14ac:dyDescent="0.3">
      <c r="A8987" t="s">
        <v>85</v>
      </c>
      <c r="B8987">
        <v>1001</v>
      </c>
      <c r="C8987" t="s">
        <v>86</v>
      </c>
      <c r="D8987">
        <v>1.7266239999999999E-2</v>
      </c>
      <c r="E8987" t="s">
        <v>74</v>
      </c>
      <c r="F8987">
        <v>17.26624</v>
      </c>
      <c r="G8987" t="s">
        <v>75</v>
      </c>
      <c r="H8987">
        <v>17266.243999999999</v>
      </c>
      <c r="I8987" t="s">
        <v>76</v>
      </c>
      <c r="J8987" t="s">
        <v>82</v>
      </c>
      <c r="K8987">
        <v>57.916475800000001</v>
      </c>
    </row>
    <row r="8988" spans="1:11" x14ac:dyDescent="0.3">
      <c r="A8988" t="s">
        <v>169</v>
      </c>
    </row>
    <row r="8989" spans="1:11" x14ac:dyDescent="0.3">
      <c r="A8989" t="s">
        <v>417</v>
      </c>
    </row>
    <row r="8990" spans="1:11" x14ac:dyDescent="0.3">
      <c r="A8990" t="s">
        <v>72</v>
      </c>
      <c r="B8990">
        <v>1</v>
      </c>
      <c r="C8990" t="s">
        <v>73</v>
      </c>
      <c r="D8990">
        <v>4.0999999999999997E-6</v>
      </c>
      <c r="E8990" t="s">
        <v>74</v>
      </c>
      <c r="F8990">
        <v>4.1000000000000003E-3</v>
      </c>
      <c r="G8990" t="s">
        <v>75</v>
      </c>
      <c r="H8990">
        <v>4.0999999999999996</v>
      </c>
      <c r="I8990" t="s">
        <v>76</v>
      </c>
      <c r="J8990" t="s">
        <v>77</v>
      </c>
    </row>
    <row r="8991" spans="1:11" x14ac:dyDescent="0.3">
      <c r="A8991" t="s">
        <v>72</v>
      </c>
      <c r="B8991">
        <v>1</v>
      </c>
      <c r="C8991" t="s">
        <v>78</v>
      </c>
      <c r="D8991">
        <v>8.5077999999999994E-3</v>
      </c>
      <c r="E8991" t="s">
        <v>74</v>
      </c>
      <c r="F8991">
        <v>8.5077999999999996</v>
      </c>
      <c r="G8991" t="s">
        <v>75</v>
      </c>
      <c r="H8991">
        <v>8507.7999999999993</v>
      </c>
      <c r="I8991" t="s">
        <v>76</v>
      </c>
      <c r="J8991" t="s">
        <v>77</v>
      </c>
    </row>
    <row r="8992" spans="1:11" x14ac:dyDescent="0.3">
      <c r="A8992" t="s">
        <v>72</v>
      </c>
      <c r="B8992">
        <v>1</v>
      </c>
      <c r="C8992" t="s">
        <v>79</v>
      </c>
      <c r="D8992">
        <v>8.587E-4</v>
      </c>
      <c r="E8992" t="s">
        <v>74</v>
      </c>
      <c r="F8992">
        <v>0.85870000000000002</v>
      </c>
      <c r="G8992" t="s">
        <v>75</v>
      </c>
      <c r="H8992">
        <v>858.7</v>
      </c>
      <c r="I8992" t="s">
        <v>76</v>
      </c>
      <c r="J8992" t="s">
        <v>77</v>
      </c>
    </row>
    <row r="8993" spans="1:11" x14ac:dyDescent="0.3">
      <c r="A8993" t="s">
        <v>72</v>
      </c>
      <c r="B8993">
        <v>1</v>
      </c>
      <c r="C8993" t="s">
        <v>94</v>
      </c>
      <c r="D8993">
        <v>2.9300699999999999E-2</v>
      </c>
      <c r="E8993" t="s">
        <v>74</v>
      </c>
      <c r="F8993">
        <v>29.300699999999999</v>
      </c>
      <c r="G8993" t="s">
        <v>75</v>
      </c>
      <c r="H8993">
        <v>29300.701000000001</v>
      </c>
      <c r="I8993" t="s">
        <v>76</v>
      </c>
      <c r="J8993" t="s">
        <v>77</v>
      </c>
    </row>
    <row r="8994" spans="1:11" x14ac:dyDescent="0.3">
      <c r="A8994" t="s">
        <v>72</v>
      </c>
      <c r="B8994">
        <v>1</v>
      </c>
      <c r="C8994" t="s">
        <v>80</v>
      </c>
      <c r="D8994">
        <v>2.9301299999999999E-2</v>
      </c>
      <c r="E8994" t="s">
        <v>74</v>
      </c>
      <c r="F8994">
        <v>29.301300000000001</v>
      </c>
      <c r="G8994" t="s">
        <v>75</v>
      </c>
      <c r="H8994">
        <v>29301.300999999999</v>
      </c>
      <c r="I8994" t="s">
        <v>76</v>
      </c>
      <c r="J8994" t="s">
        <v>77</v>
      </c>
    </row>
    <row r="8995" spans="1:11" x14ac:dyDescent="0.3">
      <c r="A8995" t="s">
        <v>72</v>
      </c>
      <c r="B8995">
        <v>1</v>
      </c>
      <c r="C8995" t="s">
        <v>81</v>
      </c>
      <c r="D8995">
        <v>3.0161500000000001E-2</v>
      </c>
      <c r="E8995" t="s">
        <v>74</v>
      </c>
      <c r="F8995">
        <v>30.1615</v>
      </c>
      <c r="G8995" t="s">
        <v>75</v>
      </c>
      <c r="H8995">
        <v>30161.5</v>
      </c>
      <c r="I8995" t="s">
        <v>76</v>
      </c>
      <c r="J8995" t="s">
        <v>82</v>
      </c>
      <c r="K8995">
        <v>33.154849800000001</v>
      </c>
    </row>
    <row r="8996" spans="1:11" x14ac:dyDescent="0.3">
      <c r="A8996" t="s">
        <v>83</v>
      </c>
      <c r="B8996">
        <v>1000</v>
      </c>
      <c r="C8996" t="s">
        <v>79</v>
      </c>
      <c r="D8996">
        <v>3.7E-7</v>
      </c>
      <c r="E8996" t="s">
        <v>74</v>
      </c>
      <c r="F8996">
        <v>3.6999999999999999E-4</v>
      </c>
      <c r="G8996" t="s">
        <v>75</v>
      </c>
      <c r="H8996">
        <v>0.36499999999999999</v>
      </c>
      <c r="I8996" t="s">
        <v>76</v>
      </c>
      <c r="J8996" t="s">
        <v>77</v>
      </c>
    </row>
    <row r="8997" spans="1:11" x14ac:dyDescent="0.3">
      <c r="A8997" t="s">
        <v>83</v>
      </c>
      <c r="B8997">
        <v>1000</v>
      </c>
      <c r="C8997" t="s">
        <v>94</v>
      </c>
      <c r="D8997">
        <v>2.663227E-2</v>
      </c>
      <c r="E8997" t="s">
        <v>74</v>
      </c>
      <c r="F8997">
        <v>26.632269999999998</v>
      </c>
      <c r="G8997" t="s">
        <v>75</v>
      </c>
      <c r="H8997">
        <v>26632.264999999999</v>
      </c>
      <c r="I8997" t="s">
        <v>76</v>
      </c>
      <c r="J8997" t="s">
        <v>77</v>
      </c>
    </row>
    <row r="8998" spans="1:11" x14ac:dyDescent="0.3">
      <c r="A8998" t="s">
        <v>83</v>
      </c>
      <c r="B8998">
        <v>1000</v>
      </c>
      <c r="C8998" t="s">
        <v>80</v>
      </c>
      <c r="D8998">
        <v>2.676765E-2</v>
      </c>
      <c r="E8998" t="s">
        <v>74</v>
      </c>
      <c r="F8998">
        <v>26.76765</v>
      </c>
      <c r="G8998" t="s">
        <v>75</v>
      </c>
      <c r="H8998">
        <v>26767.649000000001</v>
      </c>
      <c r="I8998" t="s">
        <v>76</v>
      </c>
      <c r="J8998" t="s">
        <v>77</v>
      </c>
    </row>
    <row r="8999" spans="1:11" x14ac:dyDescent="0.3">
      <c r="A8999" t="s">
        <v>83</v>
      </c>
      <c r="B8999">
        <v>1000</v>
      </c>
      <c r="C8999" t="s">
        <v>81</v>
      </c>
      <c r="D8999">
        <v>2.676951E-2</v>
      </c>
      <c r="E8999" t="s">
        <v>74</v>
      </c>
      <c r="F8999">
        <v>26.76951</v>
      </c>
      <c r="G8999" t="s">
        <v>75</v>
      </c>
      <c r="H8999">
        <v>26769.513999999999</v>
      </c>
      <c r="I8999" t="s">
        <v>76</v>
      </c>
      <c r="J8999" t="s">
        <v>82</v>
      </c>
      <c r="K8999">
        <v>37.355926500000002</v>
      </c>
    </row>
    <row r="9000" spans="1:11" x14ac:dyDescent="0.3">
      <c r="A9000" t="s">
        <v>84</v>
      </c>
      <c r="B9000">
        <v>1001</v>
      </c>
      <c r="C9000" t="s">
        <v>79</v>
      </c>
      <c r="D9000">
        <v>1.22E-6</v>
      </c>
      <c r="E9000" t="s">
        <v>74</v>
      </c>
      <c r="F9000">
        <v>1.2199999999999999E-3</v>
      </c>
      <c r="G9000" t="s">
        <v>75</v>
      </c>
      <c r="H9000">
        <v>1.2230000000000001</v>
      </c>
      <c r="I9000" t="s">
        <v>76</v>
      </c>
      <c r="J9000" t="s">
        <v>77</v>
      </c>
    </row>
    <row r="9001" spans="1:11" x14ac:dyDescent="0.3">
      <c r="A9001" t="s">
        <v>84</v>
      </c>
      <c r="B9001">
        <v>1001</v>
      </c>
      <c r="C9001" t="s">
        <v>94</v>
      </c>
      <c r="D9001">
        <v>2.6634930000000001E-2</v>
      </c>
      <c r="E9001" t="s">
        <v>74</v>
      </c>
      <c r="F9001">
        <v>26.634930000000001</v>
      </c>
      <c r="G9001" t="s">
        <v>75</v>
      </c>
      <c r="H9001">
        <v>26634.933000000001</v>
      </c>
      <c r="I9001" t="s">
        <v>76</v>
      </c>
      <c r="J9001" t="s">
        <v>77</v>
      </c>
    </row>
    <row r="9002" spans="1:11" x14ac:dyDescent="0.3">
      <c r="A9002" t="s">
        <v>84</v>
      </c>
      <c r="B9002">
        <v>1001</v>
      </c>
      <c r="C9002" t="s">
        <v>80</v>
      </c>
      <c r="D9002">
        <v>2.6770180000000001E-2</v>
      </c>
      <c r="E9002" t="s">
        <v>74</v>
      </c>
      <c r="F9002">
        <v>26.77018</v>
      </c>
      <c r="G9002" t="s">
        <v>75</v>
      </c>
      <c r="H9002">
        <v>26770.181</v>
      </c>
      <c r="I9002" t="s">
        <v>76</v>
      </c>
      <c r="J9002" t="s">
        <v>77</v>
      </c>
    </row>
    <row r="9003" spans="1:11" x14ac:dyDescent="0.3">
      <c r="A9003" t="s">
        <v>84</v>
      </c>
      <c r="B9003">
        <v>1001</v>
      </c>
      <c r="C9003" t="s">
        <v>81</v>
      </c>
      <c r="D9003">
        <v>2.6772899999999999E-2</v>
      </c>
      <c r="E9003" t="s">
        <v>74</v>
      </c>
      <c r="F9003">
        <v>26.7729</v>
      </c>
      <c r="G9003" t="s">
        <v>75</v>
      </c>
      <c r="H9003">
        <v>26772.903999999999</v>
      </c>
      <c r="I9003" t="s">
        <v>76</v>
      </c>
      <c r="J9003" t="s">
        <v>82</v>
      </c>
      <c r="K9003">
        <v>37.351196600000002</v>
      </c>
    </row>
    <row r="9004" spans="1:11" x14ac:dyDescent="0.3">
      <c r="A9004" t="s">
        <v>85</v>
      </c>
      <c r="B9004">
        <v>1001</v>
      </c>
      <c r="C9004" t="s">
        <v>86</v>
      </c>
      <c r="D9004">
        <v>2.677326E-2</v>
      </c>
      <c r="E9004" t="s">
        <v>74</v>
      </c>
      <c r="F9004">
        <v>26.773260000000001</v>
      </c>
      <c r="G9004" t="s">
        <v>75</v>
      </c>
      <c r="H9004">
        <v>26773.26</v>
      </c>
      <c r="I9004" t="s">
        <v>76</v>
      </c>
      <c r="J9004" t="s">
        <v>82</v>
      </c>
      <c r="K9004">
        <v>37.350699499999997</v>
      </c>
    </row>
    <row r="9005" spans="1:11" x14ac:dyDescent="0.3">
      <c r="A9005" t="s">
        <v>115</v>
      </c>
    </row>
    <row r="9006" spans="1:11" x14ac:dyDescent="0.3">
      <c r="A9006" t="s">
        <v>127</v>
      </c>
    </row>
    <row r="9007" spans="1:11" x14ac:dyDescent="0.3">
      <c r="A9007" t="s">
        <v>87</v>
      </c>
    </row>
    <row r="9008" spans="1:11" x14ac:dyDescent="0.3">
      <c r="A9008" t="s">
        <v>418</v>
      </c>
    </row>
    <row r="9009" spans="1:11" x14ac:dyDescent="0.3">
      <c r="A9009" t="s">
        <v>72</v>
      </c>
      <c r="B9009">
        <v>1</v>
      </c>
      <c r="C9009" t="s">
        <v>81</v>
      </c>
      <c r="D9009">
        <v>0.23421539</v>
      </c>
      <c r="E9009" t="s">
        <v>74</v>
      </c>
      <c r="F9009">
        <v>234.21539000000001</v>
      </c>
      <c r="G9009" t="s">
        <v>75</v>
      </c>
      <c r="H9009">
        <v>234215.394</v>
      </c>
      <c r="I9009" t="s">
        <v>76</v>
      </c>
      <c r="J9009" t="s">
        <v>82</v>
      </c>
      <c r="K9009">
        <v>4.2695742000000001</v>
      </c>
    </row>
    <row r="9010" spans="1:11" x14ac:dyDescent="0.3">
      <c r="A9010" t="s">
        <v>83</v>
      </c>
      <c r="B9010">
        <v>1000</v>
      </c>
      <c r="C9010" t="s">
        <v>81</v>
      </c>
      <c r="D9010">
        <v>1.7048870000000001E-2</v>
      </c>
      <c r="E9010" t="s">
        <v>74</v>
      </c>
      <c r="F9010">
        <v>17.048870000000001</v>
      </c>
      <c r="G9010" t="s">
        <v>75</v>
      </c>
      <c r="H9010">
        <v>17048.871999999999</v>
      </c>
      <c r="I9010" t="s">
        <v>76</v>
      </c>
      <c r="J9010" t="s">
        <v>82</v>
      </c>
      <c r="K9010">
        <v>58.6549069</v>
      </c>
    </row>
    <row r="9011" spans="1:11" x14ac:dyDescent="0.3">
      <c r="A9011" t="s">
        <v>85</v>
      </c>
      <c r="B9011">
        <v>1001</v>
      </c>
      <c r="C9011" t="s">
        <v>86</v>
      </c>
      <c r="D9011">
        <v>1.7266239999999999E-2</v>
      </c>
      <c r="E9011" t="s">
        <v>74</v>
      </c>
      <c r="F9011">
        <v>17.26624</v>
      </c>
      <c r="G9011" t="s">
        <v>75</v>
      </c>
      <c r="H9011">
        <v>17266.243999999999</v>
      </c>
      <c r="I9011" t="s">
        <v>76</v>
      </c>
      <c r="J9011" t="s">
        <v>82</v>
      </c>
      <c r="K9011">
        <v>57.916475800000001</v>
      </c>
    </row>
    <row r="9013" spans="1:11" x14ac:dyDescent="0.3">
      <c r="A9013" t="s">
        <v>419</v>
      </c>
    </row>
    <row r="9014" spans="1:11" x14ac:dyDescent="0.3">
      <c r="A9014" t="s">
        <v>72</v>
      </c>
      <c r="B9014">
        <v>1</v>
      </c>
      <c r="C9014" t="s">
        <v>81</v>
      </c>
      <c r="D9014">
        <v>3.0161500000000001E-2</v>
      </c>
      <c r="E9014" t="s">
        <v>74</v>
      </c>
      <c r="F9014">
        <v>30.1615</v>
      </c>
      <c r="G9014" t="s">
        <v>75</v>
      </c>
      <c r="H9014">
        <v>30161.5</v>
      </c>
      <c r="I9014" t="s">
        <v>76</v>
      </c>
      <c r="J9014" t="s">
        <v>82</v>
      </c>
      <c r="K9014">
        <v>33.154849800000001</v>
      </c>
    </row>
    <row r="9015" spans="1:11" x14ac:dyDescent="0.3">
      <c r="A9015" t="s">
        <v>83</v>
      </c>
      <c r="B9015">
        <v>1000</v>
      </c>
      <c r="C9015" t="s">
        <v>81</v>
      </c>
      <c r="D9015">
        <v>2.676951E-2</v>
      </c>
      <c r="E9015" t="s">
        <v>74</v>
      </c>
      <c r="F9015">
        <v>26.76951</v>
      </c>
      <c r="G9015" t="s">
        <v>75</v>
      </c>
      <c r="H9015">
        <v>26769.513999999999</v>
      </c>
      <c r="I9015" t="s">
        <v>76</v>
      </c>
      <c r="J9015" t="s">
        <v>82</v>
      </c>
      <c r="K9015">
        <v>37.355926500000002</v>
      </c>
    </row>
    <row r="9016" spans="1:11" x14ac:dyDescent="0.3">
      <c r="A9016" t="s">
        <v>85</v>
      </c>
      <c r="B9016">
        <v>1001</v>
      </c>
      <c r="C9016" t="s">
        <v>86</v>
      </c>
      <c r="D9016">
        <v>2.677326E-2</v>
      </c>
      <c r="E9016" t="s">
        <v>74</v>
      </c>
      <c r="F9016">
        <v>26.773260000000001</v>
      </c>
      <c r="G9016" t="s">
        <v>75</v>
      </c>
      <c r="H9016">
        <v>26773.26</v>
      </c>
      <c r="I9016" t="s">
        <v>76</v>
      </c>
      <c r="J9016" t="s">
        <v>82</v>
      </c>
      <c r="K9016">
        <v>37.350699499999997</v>
      </c>
    </row>
    <row r="9018" spans="1:11" x14ac:dyDescent="0.3">
      <c r="A9018" t="s">
        <v>66</v>
      </c>
    </row>
    <row r="9020" spans="1:11" x14ac:dyDescent="0.3">
      <c r="A9020" t="s">
        <v>466</v>
      </c>
    </row>
    <row r="9021" spans="1:11" x14ac:dyDescent="0.3">
      <c r="A9021" t="s">
        <v>68</v>
      </c>
    </row>
    <row r="9022" spans="1:11" x14ac:dyDescent="0.3">
      <c r="A9022" t="s">
        <v>69</v>
      </c>
    </row>
    <row r="9023" spans="1:11" x14ac:dyDescent="0.3">
      <c r="A9023" t="s">
        <v>70</v>
      </c>
    </row>
    <row r="9024" spans="1:11" x14ac:dyDescent="0.3">
      <c r="A9024" t="s">
        <v>115</v>
      </c>
    </row>
    <row r="9025" spans="1:10" x14ac:dyDescent="0.3">
      <c r="A9025" t="s">
        <v>384</v>
      </c>
    </row>
    <row r="9026" spans="1:10" x14ac:dyDescent="0.3">
      <c r="A9026" t="s">
        <v>385</v>
      </c>
    </row>
    <row r="9027" spans="1:10" x14ac:dyDescent="0.3">
      <c r="A9027" t="s">
        <v>118</v>
      </c>
    </row>
    <row r="9028" spans="1:10" x14ac:dyDescent="0.3">
      <c r="A9028" t="s">
        <v>119</v>
      </c>
    </row>
    <row r="9029" spans="1:10" x14ac:dyDescent="0.3">
      <c r="A9029" t="s">
        <v>268</v>
      </c>
    </row>
    <row r="9030" spans="1:10" x14ac:dyDescent="0.3">
      <c r="A9030" t="s">
        <v>269</v>
      </c>
    </row>
    <row r="9031" spans="1:10" x14ac:dyDescent="0.3">
      <c r="A9031" t="s">
        <v>386</v>
      </c>
    </row>
    <row r="9032" spans="1:10" x14ac:dyDescent="0.3">
      <c r="A9032" t="s">
        <v>387</v>
      </c>
    </row>
    <row r="9033" spans="1:10" x14ac:dyDescent="0.3">
      <c r="A9033" t="s">
        <v>271</v>
      </c>
    </row>
    <row r="9034" spans="1:10" x14ac:dyDescent="0.3">
      <c r="A9034" t="s">
        <v>125</v>
      </c>
    </row>
    <row r="9035" spans="1:10" x14ac:dyDescent="0.3">
      <c r="A9035" t="s">
        <v>126</v>
      </c>
    </row>
    <row r="9036" spans="1:10" x14ac:dyDescent="0.3">
      <c r="A9036" t="s">
        <v>127</v>
      </c>
    </row>
    <row r="9037" spans="1:10" x14ac:dyDescent="0.3">
      <c r="A9037" t="s">
        <v>174</v>
      </c>
    </row>
    <row r="9038" spans="1:10" x14ac:dyDescent="0.3">
      <c r="A9038" t="s">
        <v>421</v>
      </c>
    </row>
    <row r="9039" spans="1:10" x14ac:dyDescent="0.3">
      <c r="A9039" t="s">
        <v>72</v>
      </c>
      <c r="B9039">
        <v>1</v>
      </c>
      <c r="C9039" t="s">
        <v>73</v>
      </c>
      <c r="D9039">
        <v>3.9999999999999998E-6</v>
      </c>
      <c r="E9039" t="s">
        <v>74</v>
      </c>
      <c r="F9039">
        <v>4.0000000000000001E-3</v>
      </c>
      <c r="G9039" t="s">
        <v>75</v>
      </c>
      <c r="H9039">
        <v>4</v>
      </c>
      <c r="I9039" t="s">
        <v>76</v>
      </c>
      <c r="J9039" t="s">
        <v>77</v>
      </c>
    </row>
    <row r="9040" spans="1:10" x14ac:dyDescent="0.3">
      <c r="A9040" t="s">
        <v>72</v>
      </c>
      <c r="B9040">
        <v>1</v>
      </c>
      <c r="C9040" t="s">
        <v>78</v>
      </c>
      <c r="D9040">
        <v>0.12338730000000001</v>
      </c>
      <c r="E9040" t="s">
        <v>74</v>
      </c>
      <c r="F9040">
        <v>123.3873</v>
      </c>
      <c r="G9040" t="s">
        <v>75</v>
      </c>
      <c r="H9040">
        <v>123387.299</v>
      </c>
      <c r="I9040" t="s">
        <v>76</v>
      </c>
      <c r="J9040" t="s">
        <v>77</v>
      </c>
    </row>
    <row r="9041" spans="1:11" x14ac:dyDescent="0.3">
      <c r="A9041" t="s">
        <v>72</v>
      </c>
      <c r="B9041">
        <v>1</v>
      </c>
      <c r="C9041" t="s">
        <v>91</v>
      </c>
      <c r="D9041">
        <v>0.1141276</v>
      </c>
      <c r="E9041" t="s">
        <v>74</v>
      </c>
      <c r="F9041">
        <v>114.1276</v>
      </c>
      <c r="G9041" t="s">
        <v>75</v>
      </c>
      <c r="H9041">
        <v>114127.599</v>
      </c>
      <c r="I9041" t="s">
        <v>76</v>
      </c>
      <c r="J9041" t="s">
        <v>77</v>
      </c>
    </row>
    <row r="9042" spans="1:11" x14ac:dyDescent="0.3">
      <c r="A9042" t="s">
        <v>72</v>
      </c>
      <c r="B9042">
        <v>1</v>
      </c>
      <c r="C9042" t="s">
        <v>92</v>
      </c>
      <c r="D9042">
        <v>6.0789999999999998E-4</v>
      </c>
      <c r="E9042" t="s">
        <v>74</v>
      </c>
      <c r="F9042">
        <v>0.6079</v>
      </c>
      <c r="G9042" t="s">
        <v>75</v>
      </c>
      <c r="H9042">
        <v>607.9</v>
      </c>
      <c r="I9042" t="s">
        <v>76</v>
      </c>
      <c r="J9042" t="s">
        <v>77</v>
      </c>
    </row>
    <row r="9043" spans="1:11" x14ac:dyDescent="0.3">
      <c r="A9043" t="s">
        <v>72</v>
      </c>
      <c r="B9043">
        <v>1</v>
      </c>
      <c r="C9043" t="s">
        <v>93</v>
      </c>
      <c r="D9043">
        <v>4.1849999999999998E-4</v>
      </c>
      <c r="E9043" t="s">
        <v>74</v>
      </c>
      <c r="F9043">
        <v>0.41849999999999998</v>
      </c>
      <c r="G9043" t="s">
        <v>75</v>
      </c>
      <c r="H9043">
        <v>418.5</v>
      </c>
      <c r="I9043" t="s">
        <v>76</v>
      </c>
      <c r="J9043" t="s">
        <v>77</v>
      </c>
    </row>
    <row r="9044" spans="1:11" x14ac:dyDescent="0.3">
      <c r="A9044" t="s">
        <v>72</v>
      </c>
      <c r="B9044">
        <v>1</v>
      </c>
      <c r="C9044" t="s">
        <v>79</v>
      </c>
      <c r="D9044">
        <v>0.1151551</v>
      </c>
      <c r="E9044" t="s">
        <v>74</v>
      </c>
      <c r="F9044">
        <v>115.1551</v>
      </c>
      <c r="G9044" t="s">
        <v>75</v>
      </c>
      <c r="H9044">
        <v>115155.101</v>
      </c>
      <c r="I9044" t="s">
        <v>76</v>
      </c>
      <c r="J9044" t="s">
        <v>77</v>
      </c>
    </row>
    <row r="9045" spans="1:11" x14ac:dyDescent="0.3">
      <c r="A9045" t="s">
        <v>72</v>
      </c>
      <c r="B9045">
        <v>1</v>
      </c>
      <c r="C9045" t="s">
        <v>94</v>
      </c>
      <c r="D9045">
        <v>9.6340999999999996E-3</v>
      </c>
      <c r="E9045" t="s">
        <v>74</v>
      </c>
      <c r="F9045">
        <v>9.6341000000000001</v>
      </c>
      <c r="G9045" t="s">
        <v>75</v>
      </c>
      <c r="H9045">
        <v>9634.1</v>
      </c>
      <c r="I9045" t="s">
        <v>76</v>
      </c>
      <c r="J9045" t="s">
        <v>77</v>
      </c>
    </row>
    <row r="9046" spans="1:11" x14ac:dyDescent="0.3">
      <c r="A9046" t="s">
        <v>72</v>
      </c>
      <c r="B9046">
        <v>1</v>
      </c>
      <c r="C9046" t="s">
        <v>80</v>
      </c>
      <c r="D9046">
        <v>9.6346999999999995E-3</v>
      </c>
      <c r="E9046" t="s">
        <v>74</v>
      </c>
      <c r="F9046">
        <v>9.6347000000000005</v>
      </c>
      <c r="G9046" t="s">
        <v>75</v>
      </c>
      <c r="H9046">
        <v>9634.7000000000007</v>
      </c>
      <c r="I9046" t="s">
        <v>76</v>
      </c>
      <c r="J9046" t="s">
        <v>77</v>
      </c>
    </row>
    <row r="9047" spans="1:11" x14ac:dyDescent="0.3">
      <c r="A9047" t="s">
        <v>72</v>
      </c>
      <c r="B9047">
        <v>1</v>
      </c>
      <c r="C9047" t="s">
        <v>81</v>
      </c>
      <c r="D9047">
        <v>0.12479179999999999</v>
      </c>
      <c r="E9047" t="s">
        <v>74</v>
      </c>
      <c r="F9047">
        <v>124.79179999999999</v>
      </c>
      <c r="G9047" t="s">
        <v>75</v>
      </c>
      <c r="H9047">
        <v>124791.80100000001</v>
      </c>
      <c r="I9047" t="s">
        <v>76</v>
      </c>
      <c r="J9047" t="s">
        <v>82</v>
      </c>
      <c r="K9047">
        <v>8.0133469999999996</v>
      </c>
    </row>
    <row r="9048" spans="1:11" x14ac:dyDescent="0.3">
      <c r="A9048" t="s">
        <v>83</v>
      </c>
      <c r="B9048">
        <v>1000</v>
      </c>
      <c r="C9048" t="s">
        <v>79</v>
      </c>
      <c r="D9048">
        <v>3.1E-7</v>
      </c>
      <c r="E9048" t="s">
        <v>74</v>
      </c>
      <c r="F9048">
        <v>3.1E-4</v>
      </c>
      <c r="G9048" t="s">
        <v>75</v>
      </c>
      <c r="H9048">
        <v>0.309</v>
      </c>
      <c r="I9048" t="s">
        <v>76</v>
      </c>
      <c r="J9048" t="s">
        <v>77</v>
      </c>
    </row>
    <row r="9049" spans="1:11" x14ac:dyDescent="0.3">
      <c r="A9049" t="s">
        <v>83</v>
      </c>
      <c r="B9049">
        <v>1000</v>
      </c>
      <c r="C9049" t="s">
        <v>94</v>
      </c>
      <c r="D9049">
        <v>2.6379099999999998E-3</v>
      </c>
      <c r="E9049" t="s">
        <v>74</v>
      </c>
      <c r="F9049">
        <v>2.6379100000000002</v>
      </c>
      <c r="G9049" t="s">
        <v>75</v>
      </c>
      <c r="H9049">
        <v>2637.915</v>
      </c>
      <c r="I9049" t="s">
        <v>76</v>
      </c>
      <c r="J9049" t="s">
        <v>77</v>
      </c>
    </row>
    <row r="9050" spans="1:11" x14ac:dyDescent="0.3">
      <c r="A9050" t="s">
        <v>83</v>
      </c>
      <c r="B9050">
        <v>1000</v>
      </c>
      <c r="C9050" t="s">
        <v>80</v>
      </c>
      <c r="D9050">
        <v>2.7993599999999999E-3</v>
      </c>
      <c r="E9050" t="s">
        <v>74</v>
      </c>
      <c r="F9050">
        <v>2.7993600000000001</v>
      </c>
      <c r="G9050" t="s">
        <v>75</v>
      </c>
      <c r="H9050">
        <v>2799.3620000000001</v>
      </c>
      <c r="I9050" t="s">
        <v>76</v>
      </c>
      <c r="J9050" t="s">
        <v>77</v>
      </c>
    </row>
    <row r="9051" spans="1:11" x14ac:dyDescent="0.3">
      <c r="A9051" t="s">
        <v>83</v>
      </c>
      <c r="B9051">
        <v>1000</v>
      </c>
      <c r="C9051" t="s">
        <v>81</v>
      </c>
      <c r="D9051">
        <v>2.80058E-3</v>
      </c>
      <c r="E9051" t="s">
        <v>74</v>
      </c>
      <c r="F9051">
        <v>2.8005800000000001</v>
      </c>
      <c r="G9051" t="s">
        <v>75</v>
      </c>
      <c r="H9051">
        <v>2800.576</v>
      </c>
      <c r="I9051" t="s">
        <v>76</v>
      </c>
      <c r="J9051" t="s">
        <v>82</v>
      </c>
      <c r="K9051">
        <v>357.06934569999999</v>
      </c>
    </row>
    <row r="9052" spans="1:11" x14ac:dyDescent="0.3">
      <c r="A9052" t="s">
        <v>84</v>
      </c>
      <c r="B9052">
        <v>1</v>
      </c>
      <c r="C9052" t="s">
        <v>91</v>
      </c>
      <c r="D9052">
        <v>0.1141276</v>
      </c>
      <c r="E9052" t="s">
        <v>74</v>
      </c>
      <c r="F9052">
        <v>114.1276</v>
      </c>
      <c r="G9052" t="s">
        <v>75</v>
      </c>
      <c r="H9052">
        <v>114127.599</v>
      </c>
      <c r="I9052" t="s">
        <v>76</v>
      </c>
      <c r="J9052" t="s">
        <v>77</v>
      </c>
    </row>
    <row r="9053" spans="1:11" x14ac:dyDescent="0.3">
      <c r="A9053" t="s">
        <v>84</v>
      </c>
      <c r="B9053">
        <v>1</v>
      </c>
      <c r="C9053" t="s">
        <v>92</v>
      </c>
      <c r="D9053">
        <v>6.0789999999999998E-4</v>
      </c>
      <c r="E9053" t="s">
        <v>74</v>
      </c>
      <c r="F9053">
        <v>0.6079</v>
      </c>
      <c r="G9053" t="s">
        <v>75</v>
      </c>
      <c r="H9053">
        <v>607.9</v>
      </c>
      <c r="I9053" t="s">
        <v>76</v>
      </c>
      <c r="J9053" t="s">
        <v>77</v>
      </c>
    </row>
    <row r="9054" spans="1:11" x14ac:dyDescent="0.3">
      <c r="A9054" t="s">
        <v>84</v>
      </c>
      <c r="B9054">
        <v>1</v>
      </c>
      <c r="C9054" t="s">
        <v>93</v>
      </c>
      <c r="D9054">
        <v>4.1849999999999998E-4</v>
      </c>
      <c r="E9054" t="s">
        <v>74</v>
      </c>
      <c r="F9054">
        <v>0.41849999999999998</v>
      </c>
      <c r="G9054" t="s">
        <v>75</v>
      </c>
      <c r="H9054">
        <v>418.5</v>
      </c>
      <c r="I9054" t="s">
        <v>76</v>
      </c>
      <c r="J9054" t="s">
        <v>77</v>
      </c>
    </row>
    <row r="9055" spans="1:11" x14ac:dyDescent="0.3">
      <c r="A9055" t="s">
        <v>84</v>
      </c>
      <c r="B9055">
        <v>1001</v>
      </c>
      <c r="C9055" t="s">
        <v>79</v>
      </c>
      <c r="D9055">
        <v>1.1535E-4</v>
      </c>
      <c r="E9055" t="s">
        <v>74</v>
      </c>
      <c r="F9055">
        <v>0.11534999999999999</v>
      </c>
      <c r="G9055" t="s">
        <v>75</v>
      </c>
      <c r="H9055">
        <v>115.349</v>
      </c>
      <c r="I9055" t="s">
        <v>76</v>
      </c>
      <c r="J9055" t="s">
        <v>77</v>
      </c>
    </row>
    <row r="9056" spans="1:11" x14ac:dyDescent="0.3">
      <c r="A9056" t="s">
        <v>84</v>
      </c>
      <c r="B9056">
        <v>1001</v>
      </c>
      <c r="C9056" t="s">
        <v>94</v>
      </c>
      <c r="D9056">
        <v>2.6448999999999999E-3</v>
      </c>
      <c r="E9056" t="s">
        <v>74</v>
      </c>
      <c r="F9056">
        <v>2.6448999999999998</v>
      </c>
      <c r="G9056" t="s">
        <v>75</v>
      </c>
      <c r="H9056">
        <v>2644.904</v>
      </c>
      <c r="I9056" t="s">
        <v>76</v>
      </c>
      <c r="J9056" t="s">
        <v>77</v>
      </c>
    </row>
    <row r="9057" spans="1:11" x14ac:dyDescent="0.3">
      <c r="A9057" t="s">
        <v>84</v>
      </c>
      <c r="B9057">
        <v>1001</v>
      </c>
      <c r="C9057" t="s">
        <v>80</v>
      </c>
      <c r="D9057">
        <v>2.8061900000000001E-3</v>
      </c>
      <c r="E9057" t="s">
        <v>74</v>
      </c>
      <c r="F9057">
        <v>2.80619</v>
      </c>
      <c r="G9057" t="s">
        <v>75</v>
      </c>
      <c r="H9057">
        <v>2806.19</v>
      </c>
      <c r="I9057" t="s">
        <v>76</v>
      </c>
      <c r="J9057" t="s">
        <v>77</v>
      </c>
    </row>
    <row r="9058" spans="1:11" x14ac:dyDescent="0.3">
      <c r="A9058" t="s">
        <v>84</v>
      </c>
      <c r="B9058">
        <v>1001</v>
      </c>
      <c r="C9058" t="s">
        <v>81</v>
      </c>
      <c r="D9058">
        <v>2.92245E-3</v>
      </c>
      <c r="E9058" t="s">
        <v>74</v>
      </c>
      <c r="F9058">
        <v>2.92245</v>
      </c>
      <c r="G9058" t="s">
        <v>75</v>
      </c>
      <c r="H9058">
        <v>2922.4459999999999</v>
      </c>
      <c r="I9058" t="s">
        <v>76</v>
      </c>
      <c r="J9058" t="s">
        <v>82</v>
      </c>
      <c r="K9058">
        <v>342.17910799999999</v>
      </c>
    </row>
    <row r="9059" spans="1:11" x14ac:dyDescent="0.3">
      <c r="A9059" t="s">
        <v>85</v>
      </c>
      <c r="B9059">
        <v>1001</v>
      </c>
      <c r="C9059" t="s">
        <v>86</v>
      </c>
      <c r="D9059">
        <v>2.9226600000000001E-3</v>
      </c>
      <c r="E9059" t="s">
        <v>74</v>
      </c>
      <c r="F9059">
        <v>2.92266</v>
      </c>
      <c r="G9059" t="s">
        <v>75</v>
      </c>
      <c r="H9059">
        <v>2922.6550000000002</v>
      </c>
      <c r="I9059" t="s">
        <v>76</v>
      </c>
      <c r="J9059" t="s">
        <v>82</v>
      </c>
      <c r="K9059">
        <v>342.15462430000002</v>
      </c>
    </row>
    <row r="9060" spans="1:11" x14ac:dyDescent="0.3">
      <c r="A9060" t="s">
        <v>115</v>
      </c>
    </row>
    <row r="9061" spans="1:11" x14ac:dyDescent="0.3">
      <c r="A9061" t="s">
        <v>127</v>
      </c>
    </row>
    <row r="9062" spans="1:11" x14ac:dyDescent="0.3">
      <c r="A9062" t="s">
        <v>87</v>
      </c>
    </row>
    <row r="9063" spans="1:11" x14ac:dyDescent="0.3">
      <c r="A9063" t="s">
        <v>422</v>
      </c>
    </row>
    <row r="9064" spans="1:11" x14ac:dyDescent="0.3">
      <c r="A9064" t="s">
        <v>72</v>
      </c>
      <c r="B9064">
        <v>1</v>
      </c>
      <c r="C9064" t="s">
        <v>81</v>
      </c>
      <c r="D9064">
        <v>0.12479179999999999</v>
      </c>
      <c r="E9064" t="s">
        <v>74</v>
      </c>
      <c r="F9064">
        <v>124.79179999999999</v>
      </c>
      <c r="G9064" t="s">
        <v>75</v>
      </c>
      <c r="H9064">
        <v>124791.80100000001</v>
      </c>
      <c r="I9064" t="s">
        <v>76</v>
      </c>
      <c r="J9064" t="s">
        <v>82</v>
      </c>
      <c r="K9064">
        <v>8.0133469999999996</v>
      </c>
    </row>
    <row r="9065" spans="1:11" x14ac:dyDescent="0.3">
      <c r="A9065" t="s">
        <v>83</v>
      </c>
      <c r="B9065">
        <v>1000</v>
      </c>
      <c r="C9065" t="s">
        <v>81</v>
      </c>
      <c r="D9065">
        <v>2.80058E-3</v>
      </c>
      <c r="E9065" t="s">
        <v>74</v>
      </c>
      <c r="F9065">
        <v>2.8005800000000001</v>
      </c>
      <c r="G9065" t="s">
        <v>75</v>
      </c>
      <c r="H9065">
        <v>2800.576</v>
      </c>
      <c r="I9065" t="s">
        <v>76</v>
      </c>
      <c r="J9065" t="s">
        <v>82</v>
      </c>
      <c r="K9065">
        <v>357.06934569999999</v>
      </c>
    </row>
    <row r="9066" spans="1:11" x14ac:dyDescent="0.3">
      <c r="A9066" t="s">
        <v>85</v>
      </c>
      <c r="B9066">
        <v>1001</v>
      </c>
      <c r="C9066" t="s">
        <v>86</v>
      </c>
      <c r="D9066">
        <v>2.9226600000000001E-3</v>
      </c>
      <c r="E9066" t="s">
        <v>74</v>
      </c>
      <c r="F9066">
        <v>2.92266</v>
      </c>
      <c r="G9066" t="s">
        <v>75</v>
      </c>
      <c r="H9066">
        <v>2922.6550000000002</v>
      </c>
      <c r="I9066" t="s">
        <v>76</v>
      </c>
      <c r="J9066" t="s">
        <v>82</v>
      </c>
      <c r="K9066">
        <v>342.15462430000002</v>
      </c>
    </row>
    <row r="9068" spans="1:11" x14ac:dyDescent="0.3">
      <c r="A9068" t="s">
        <v>66</v>
      </c>
    </row>
    <row r="9070" spans="1:11" x14ac:dyDescent="0.3">
      <c r="A9070" t="s">
        <v>467</v>
      </c>
    </row>
    <row r="9071" spans="1:11" x14ac:dyDescent="0.3">
      <c r="A9071" t="s">
        <v>68</v>
      </c>
    </row>
    <row r="9072" spans="1:11" x14ac:dyDescent="0.3">
      <c r="A9072" t="s">
        <v>69</v>
      </c>
    </row>
    <row r="9073" spans="1:1" x14ac:dyDescent="0.3">
      <c r="A9073" t="s">
        <v>70</v>
      </c>
    </row>
    <row r="9074" spans="1:1" x14ac:dyDescent="0.3">
      <c r="A9074" t="s">
        <v>115</v>
      </c>
    </row>
    <row r="9075" spans="1:1" x14ac:dyDescent="0.3">
      <c r="A9075" t="s">
        <v>384</v>
      </c>
    </row>
    <row r="9076" spans="1:1" x14ac:dyDescent="0.3">
      <c r="A9076" t="s">
        <v>385</v>
      </c>
    </row>
    <row r="9077" spans="1:1" x14ac:dyDescent="0.3">
      <c r="A9077" t="s">
        <v>118</v>
      </c>
    </row>
    <row r="9078" spans="1:1" x14ac:dyDescent="0.3">
      <c r="A9078" t="s">
        <v>119</v>
      </c>
    </row>
    <row r="9079" spans="1:1" x14ac:dyDescent="0.3">
      <c r="A9079" t="s">
        <v>268</v>
      </c>
    </row>
    <row r="9080" spans="1:1" x14ac:dyDescent="0.3">
      <c r="A9080" t="s">
        <v>269</v>
      </c>
    </row>
    <row r="9081" spans="1:1" x14ac:dyDescent="0.3">
      <c r="A9081" t="s">
        <v>386</v>
      </c>
    </row>
    <row r="9082" spans="1:1" x14ac:dyDescent="0.3">
      <c r="A9082" t="s">
        <v>387</v>
      </c>
    </row>
    <row r="9083" spans="1:1" x14ac:dyDescent="0.3">
      <c r="A9083" t="s">
        <v>271</v>
      </c>
    </row>
    <row r="9084" spans="1:1" x14ac:dyDescent="0.3">
      <c r="A9084" t="s">
        <v>125</v>
      </c>
    </row>
    <row r="9085" spans="1:1" x14ac:dyDescent="0.3">
      <c r="A9085" t="s">
        <v>126</v>
      </c>
    </row>
    <row r="9086" spans="1:1" x14ac:dyDescent="0.3">
      <c r="A9086" t="s">
        <v>127</v>
      </c>
    </row>
    <row r="9087" spans="1:1" x14ac:dyDescent="0.3">
      <c r="A9087" t="s">
        <v>178</v>
      </c>
    </row>
    <row r="9088" spans="1:1" x14ac:dyDescent="0.3">
      <c r="A9088" t="s">
        <v>424</v>
      </c>
    </row>
    <row r="9089" spans="1:11" x14ac:dyDescent="0.3">
      <c r="A9089" t="s">
        <v>72</v>
      </c>
      <c r="B9089">
        <v>1</v>
      </c>
      <c r="C9089" t="s">
        <v>73</v>
      </c>
      <c r="D9089">
        <v>4.3000000000000003E-6</v>
      </c>
      <c r="E9089" t="s">
        <v>74</v>
      </c>
      <c r="F9089">
        <v>4.3E-3</v>
      </c>
      <c r="G9089" t="s">
        <v>75</v>
      </c>
      <c r="H9089">
        <v>4.3</v>
      </c>
      <c r="I9089" t="s">
        <v>76</v>
      </c>
      <c r="J9089" t="s">
        <v>77</v>
      </c>
    </row>
    <row r="9090" spans="1:11" x14ac:dyDescent="0.3">
      <c r="A9090" t="s">
        <v>72</v>
      </c>
      <c r="B9090">
        <v>1</v>
      </c>
      <c r="C9090" t="s">
        <v>78</v>
      </c>
      <c r="D9090">
        <v>0.1142271</v>
      </c>
      <c r="E9090" t="s">
        <v>74</v>
      </c>
      <c r="F9090">
        <v>114.22709999999999</v>
      </c>
      <c r="G9090" t="s">
        <v>75</v>
      </c>
      <c r="H9090">
        <v>114227.101</v>
      </c>
      <c r="I9090" t="s">
        <v>76</v>
      </c>
      <c r="J9090" t="s">
        <v>77</v>
      </c>
    </row>
    <row r="9091" spans="1:11" x14ac:dyDescent="0.3">
      <c r="A9091" t="s">
        <v>72</v>
      </c>
      <c r="B9091">
        <v>1</v>
      </c>
      <c r="C9091" t="s">
        <v>79</v>
      </c>
      <c r="D9091">
        <v>0.1133786</v>
      </c>
      <c r="E9091" t="s">
        <v>74</v>
      </c>
      <c r="F9091">
        <v>113.37860000000001</v>
      </c>
      <c r="G9091" t="s">
        <v>75</v>
      </c>
      <c r="H9091">
        <v>113378.599</v>
      </c>
      <c r="I9091" t="s">
        <v>76</v>
      </c>
      <c r="J9091" t="s">
        <v>77</v>
      </c>
    </row>
    <row r="9092" spans="1:11" x14ac:dyDescent="0.3">
      <c r="A9092" t="s">
        <v>72</v>
      </c>
      <c r="B9092">
        <v>1</v>
      </c>
      <c r="C9092" t="s">
        <v>94</v>
      </c>
      <c r="D9092">
        <v>9.6176999999999999E-3</v>
      </c>
      <c r="E9092" t="s">
        <v>74</v>
      </c>
      <c r="F9092">
        <v>9.6176999999999992</v>
      </c>
      <c r="G9092" t="s">
        <v>75</v>
      </c>
      <c r="H9092">
        <v>9617.7000000000007</v>
      </c>
      <c r="I9092" t="s">
        <v>76</v>
      </c>
      <c r="J9092" t="s">
        <v>77</v>
      </c>
    </row>
    <row r="9093" spans="1:11" x14ac:dyDescent="0.3">
      <c r="A9093" t="s">
        <v>72</v>
      </c>
      <c r="B9093">
        <v>1</v>
      </c>
      <c r="C9093" t="s">
        <v>80</v>
      </c>
      <c r="D9093">
        <v>9.6185000000000003E-3</v>
      </c>
      <c r="E9093" t="s">
        <v>74</v>
      </c>
      <c r="F9093">
        <v>9.6184999999999992</v>
      </c>
      <c r="G9093" t="s">
        <v>75</v>
      </c>
      <c r="H9093">
        <v>9618.5</v>
      </c>
      <c r="I9093" t="s">
        <v>76</v>
      </c>
      <c r="J9093" t="s">
        <v>77</v>
      </c>
    </row>
    <row r="9094" spans="1:11" x14ac:dyDescent="0.3">
      <c r="A9094" t="s">
        <v>72</v>
      </c>
      <c r="B9094">
        <v>1</v>
      </c>
      <c r="C9094" t="s">
        <v>81</v>
      </c>
      <c r="D9094">
        <v>0.12300030000000001</v>
      </c>
      <c r="E9094" t="s">
        <v>74</v>
      </c>
      <c r="F9094">
        <v>123.0003</v>
      </c>
      <c r="G9094" t="s">
        <v>75</v>
      </c>
      <c r="H9094">
        <v>123000.30100000001</v>
      </c>
      <c r="I9094" t="s">
        <v>76</v>
      </c>
      <c r="J9094" t="s">
        <v>82</v>
      </c>
      <c r="K9094">
        <v>8.1300614000000007</v>
      </c>
    </row>
    <row r="9095" spans="1:11" x14ac:dyDescent="0.3">
      <c r="A9095" t="s">
        <v>83</v>
      </c>
      <c r="B9095">
        <v>1000</v>
      </c>
      <c r="C9095" t="s">
        <v>79</v>
      </c>
      <c r="D9095">
        <v>3.1E-7</v>
      </c>
      <c r="E9095" t="s">
        <v>74</v>
      </c>
      <c r="F9095">
        <v>3.1E-4</v>
      </c>
      <c r="G9095" t="s">
        <v>75</v>
      </c>
      <c r="H9095">
        <v>0.313</v>
      </c>
      <c r="I9095" t="s">
        <v>76</v>
      </c>
      <c r="J9095" t="s">
        <v>77</v>
      </c>
    </row>
    <row r="9096" spans="1:11" x14ac:dyDescent="0.3">
      <c r="A9096" t="s">
        <v>83</v>
      </c>
      <c r="B9096">
        <v>1000</v>
      </c>
      <c r="C9096" t="s">
        <v>94</v>
      </c>
      <c r="D9096">
        <v>2.6323100000000001E-3</v>
      </c>
      <c r="E9096" t="s">
        <v>74</v>
      </c>
      <c r="F9096">
        <v>2.6323099999999999</v>
      </c>
      <c r="G9096" t="s">
        <v>75</v>
      </c>
      <c r="H9096">
        <v>2632.3110000000001</v>
      </c>
      <c r="I9096" t="s">
        <v>76</v>
      </c>
      <c r="J9096" t="s">
        <v>77</v>
      </c>
    </row>
    <row r="9097" spans="1:11" x14ac:dyDescent="0.3">
      <c r="A9097" t="s">
        <v>83</v>
      </c>
      <c r="B9097">
        <v>1000</v>
      </c>
      <c r="C9097" t="s">
        <v>80</v>
      </c>
      <c r="D9097">
        <v>2.7849799999999998E-3</v>
      </c>
      <c r="E9097" t="s">
        <v>74</v>
      </c>
      <c r="F9097">
        <v>2.78498</v>
      </c>
      <c r="G9097" t="s">
        <v>75</v>
      </c>
      <c r="H9097">
        <v>2784.9789999999998</v>
      </c>
      <c r="I9097" t="s">
        <v>76</v>
      </c>
      <c r="J9097" t="s">
        <v>77</v>
      </c>
    </row>
    <row r="9098" spans="1:11" x14ac:dyDescent="0.3">
      <c r="A9098" t="s">
        <v>83</v>
      </c>
      <c r="B9098">
        <v>1000</v>
      </c>
      <c r="C9098" t="s">
        <v>81</v>
      </c>
      <c r="D9098">
        <v>2.7862799999999999E-3</v>
      </c>
      <c r="E9098" t="s">
        <v>74</v>
      </c>
      <c r="F9098">
        <v>2.7862800000000001</v>
      </c>
      <c r="G9098" t="s">
        <v>75</v>
      </c>
      <c r="H9098">
        <v>2786.2820000000002</v>
      </c>
      <c r="I9098" t="s">
        <v>76</v>
      </c>
      <c r="J9098" t="s">
        <v>82</v>
      </c>
      <c r="K9098">
        <v>358.90117800000002</v>
      </c>
    </row>
    <row r="9099" spans="1:11" x14ac:dyDescent="0.3">
      <c r="A9099" t="s">
        <v>84</v>
      </c>
      <c r="B9099">
        <v>1001</v>
      </c>
      <c r="C9099" t="s">
        <v>79</v>
      </c>
      <c r="D9099">
        <v>1.1357999999999999E-4</v>
      </c>
      <c r="E9099" t="s">
        <v>74</v>
      </c>
      <c r="F9099">
        <v>0.11358</v>
      </c>
      <c r="G9099" t="s">
        <v>75</v>
      </c>
      <c r="H9099">
        <v>113.577</v>
      </c>
      <c r="I9099" t="s">
        <v>76</v>
      </c>
      <c r="J9099" t="s">
        <v>77</v>
      </c>
    </row>
    <row r="9100" spans="1:11" x14ac:dyDescent="0.3">
      <c r="A9100" t="s">
        <v>84</v>
      </c>
      <c r="B9100">
        <v>1001</v>
      </c>
      <c r="C9100" t="s">
        <v>94</v>
      </c>
      <c r="D9100">
        <v>2.6392899999999999E-3</v>
      </c>
      <c r="E9100" t="s">
        <v>74</v>
      </c>
      <c r="F9100">
        <v>2.6392899999999999</v>
      </c>
      <c r="G9100" t="s">
        <v>75</v>
      </c>
      <c r="H9100">
        <v>2639.29</v>
      </c>
      <c r="I9100" t="s">
        <v>76</v>
      </c>
      <c r="J9100" t="s">
        <v>77</v>
      </c>
    </row>
    <row r="9101" spans="1:11" x14ac:dyDescent="0.3">
      <c r="A9101" t="s">
        <v>84</v>
      </c>
      <c r="B9101">
        <v>1001</v>
      </c>
      <c r="C9101" t="s">
        <v>80</v>
      </c>
      <c r="D9101">
        <v>2.79181E-3</v>
      </c>
      <c r="E9101" t="s">
        <v>74</v>
      </c>
      <c r="F9101">
        <v>2.7918099999999999</v>
      </c>
      <c r="G9101" t="s">
        <v>75</v>
      </c>
      <c r="H9101">
        <v>2791.8049999999998</v>
      </c>
      <c r="I9101" t="s">
        <v>76</v>
      </c>
      <c r="J9101" t="s">
        <v>77</v>
      </c>
    </row>
    <row r="9102" spans="1:11" x14ac:dyDescent="0.3">
      <c r="A9102" t="s">
        <v>84</v>
      </c>
      <c r="B9102">
        <v>1001</v>
      </c>
      <c r="C9102" t="s">
        <v>81</v>
      </c>
      <c r="D9102">
        <v>2.9063800000000001E-3</v>
      </c>
      <c r="E9102" t="s">
        <v>74</v>
      </c>
      <c r="F9102">
        <v>2.90638</v>
      </c>
      <c r="G9102" t="s">
        <v>75</v>
      </c>
      <c r="H9102">
        <v>2906.377</v>
      </c>
      <c r="I9102" t="s">
        <v>76</v>
      </c>
      <c r="J9102" t="s">
        <v>82</v>
      </c>
      <c r="K9102">
        <v>344.07095509999999</v>
      </c>
    </row>
    <row r="9103" spans="1:11" x14ac:dyDescent="0.3">
      <c r="A9103" t="s">
        <v>85</v>
      </c>
      <c r="B9103">
        <v>1001</v>
      </c>
      <c r="C9103" t="s">
        <v>86</v>
      </c>
      <c r="D9103">
        <v>2.9065800000000002E-3</v>
      </c>
      <c r="E9103" t="s">
        <v>74</v>
      </c>
      <c r="F9103">
        <v>2.9065799999999999</v>
      </c>
      <c r="G9103" t="s">
        <v>75</v>
      </c>
      <c r="H9103">
        <v>2906.5790000000002</v>
      </c>
      <c r="I9103" t="s">
        <v>76</v>
      </c>
      <c r="J9103" t="s">
        <v>82</v>
      </c>
      <c r="K9103">
        <v>344.0470176</v>
      </c>
    </row>
    <row r="9104" spans="1:11" x14ac:dyDescent="0.3">
      <c r="A9104" t="s">
        <v>180</v>
      </c>
    </row>
    <row r="9105" spans="1:11" x14ac:dyDescent="0.3">
      <c r="A9105" t="s">
        <v>425</v>
      </c>
    </row>
    <row r="9106" spans="1:11" x14ac:dyDescent="0.3">
      <c r="A9106" t="s">
        <v>72</v>
      </c>
      <c r="B9106">
        <v>1</v>
      </c>
      <c r="C9106" t="s">
        <v>73</v>
      </c>
      <c r="D9106">
        <v>4.3000000000000003E-6</v>
      </c>
      <c r="E9106" t="s">
        <v>74</v>
      </c>
      <c r="F9106">
        <v>4.3E-3</v>
      </c>
      <c r="G9106" t="s">
        <v>75</v>
      </c>
      <c r="H9106">
        <v>4.3</v>
      </c>
      <c r="I9106" t="s">
        <v>76</v>
      </c>
      <c r="J9106" t="s">
        <v>77</v>
      </c>
    </row>
    <row r="9107" spans="1:11" x14ac:dyDescent="0.3">
      <c r="A9107" t="s">
        <v>72</v>
      </c>
      <c r="B9107">
        <v>1</v>
      </c>
      <c r="C9107" t="s">
        <v>78</v>
      </c>
      <c r="D9107">
        <v>5.04E-4</v>
      </c>
      <c r="E9107" t="s">
        <v>74</v>
      </c>
      <c r="F9107">
        <v>0.504</v>
      </c>
      <c r="G9107" t="s">
        <v>75</v>
      </c>
      <c r="H9107">
        <v>504</v>
      </c>
      <c r="I9107" t="s">
        <v>76</v>
      </c>
      <c r="J9107" t="s">
        <v>77</v>
      </c>
    </row>
    <row r="9108" spans="1:11" x14ac:dyDescent="0.3">
      <c r="A9108" t="s">
        <v>72</v>
      </c>
      <c r="B9108">
        <v>1</v>
      </c>
      <c r="C9108" t="s">
        <v>79</v>
      </c>
      <c r="D9108">
        <v>2.4610999999999999E-3</v>
      </c>
      <c r="E9108" t="s">
        <v>74</v>
      </c>
      <c r="F9108">
        <v>2.4611000000000001</v>
      </c>
      <c r="G9108" t="s">
        <v>75</v>
      </c>
      <c r="H9108">
        <v>2461.1</v>
      </c>
      <c r="I9108" t="s">
        <v>76</v>
      </c>
      <c r="J9108" t="s">
        <v>77</v>
      </c>
    </row>
    <row r="9109" spans="1:11" x14ac:dyDescent="0.3">
      <c r="A9109" t="s">
        <v>72</v>
      </c>
      <c r="B9109">
        <v>1</v>
      </c>
      <c r="C9109" t="s">
        <v>94</v>
      </c>
      <c r="D9109">
        <v>2.5902E-3</v>
      </c>
      <c r="E9109" t="s">
        <v>74</v>
      </c>
      <c r="F9109">
        <v>2.5901999999999998</v>
      </c>
      <c r="G9109" t="s">
        <v>75</v>
      </c>
      <c r="H9109">
        <v>2590.1999999999998</v>
      </c>
      <c r="I9109" t="s">
        <v>76</v>
      </c>
      <c r="J9109" t="s">
        <v>77</v>
      </c>
    </row>
    <row r="9110" spans="1:11" x14ac:dyDescent="0.3">
      <c r="A9110" t="s">
        <v>72</v>
      </c>
      <c r="B9110">
        <v>1</v>
      </c>
      <c r="C9110" t="s">
        <v>80</v>
      </c>
      <c r="D9110">
        <v>2.7309000000000001E-3</v>
      </c>
      <c r="E9110" t="s">
        <v>74</v>
      </c>
      <c r="F9110">
        <v>2.7309000000000001</v>
      </c>
      <c r="G9110" t="s">
        <v>75</v>
      </c>
      <c r="H9110">
        <v>2730.9</v>
      </c>
      <c r="I9110" t="s">
        <v>76</v>
      </c>
      <c r="J9110" t="s">
        <v>77</v>
      </c>
    </row>
    <row r="9111" spans="1:11" x14ac:dyDescent="0.3">
      <c r="A9111" t="s">
        <v>72</v>
      </c>
      <c r="B9111">
        <v>1</v>
      </c>
      <c r="C9111" t="s">
        <v>81</v>
      </c>
      <c r="D9111">
        <v>5.1933999999999999E-3</v>
      </c>
      <c r="E9111" t="s">
        <v>74</v>
      </c>
      <c r="F9111">
        <v>5.1933999999999996</v>
      </c>
      <c r="G9111" t="s">
        <v>75</v>
      </c>
      <c r="H9111">
        <v>5193.3999999999996</v>
      </c>
      <c r="I9111" t="s">
        <v>76</v>
      </c>
      <c r="J9111" t="s">
        <v>82</v>
      </c>
      <c r="K9111">
        <v>192.55207799999999</v>
      </c>
    </row>
    <row r="9112" spans="1:11" x14ac:dyDescent="0.3">
      <c r="A9112" t="s">
        <v>83</v>
      </c>
      <c r="B9112">
        <v>1000</v>
      </c>
      <c r="C9112" t="s">
        <v>79</v>
      </c>
      <c r="D9112">
        <v>2.8000000000000002E-7</v>
      </c>
      <c r="E9112" t="s">
        <v>74</v>
      </c>
      <c r="F9112">
        <v>2.7999999999999998E-4</v>
      </c>
      <c r="G9112" t="s">
        <v>75</v>
      </c>
      <c r="H9112">
        <v>0.27900000000000003</v>
      </c>
      <c r="I9112" t="s">
        <v>76</v>
      </c>
      <c r="J9112" t="s">
        <v>77</v>
      </c>
    </row>
    <row r="9113" spans="1:11" x14ac:dyDescent="0.3">
      <c r="A9113" t="s">
        <v>83</v>
      </c>
      <c r="B9113">
        <v>1000</v>
      </c>
      <c r="C9113" t="s">
        <v>94</v>
      </c>
      <c r="D9113">
        <v>2.60239E-3</v>
      </c>
      <c r="E9113" t="s">
        <v>74</v>
      </c>
      <c r="F9113">
        <v>2.6023900000000002</v>
      </c>
      <c r="G9113" t="s">
        <v>75</v>
      </c>
      <c r="H9113">
        <v>2602.3939999999998</v>
      </c>
      <c r="I9113" t="s">
        <v>76</v>
      </c>
      <c r="J9113" t="s">
        <v>77</v>
      </c>
    </row>
    <row r="9114" spans="1:11" x14ac:dyDescent="0.3">
      <c r="A9114" t="s">
        <v>83</v>
      </c>
      <c r="B9114">
        <v>1000</v>
      </c>
      <c r="C9114" t="s">
        <v>80</v>
      </c>
      <c r="D9114">
        <v>2.7685700000000001E-3</v>
      </c>
      <c r="E9114" t="s">
        <v>74</v>
      </c>
      <c r="F9114">
        <v>2.76857</v>
      </c>
      <c r="G9114" t="s">
        <v>75</v>
      </c>
      <c r="H9114">
        <v>2768.5740000000001</v>
      </c>
      <c r="I9114" t="s">
        <v>76</v>
      </c>
      <c r="J9114" t="s">
        <v>77</v>
      </c>
    </row>
    <row r="9115" spans="1:11" x14ac:dyDescent="0.3">
      <c r="A9115" t="s">
        <v>83</v>
      </c>
      <c r="B9115">
        <v>1000</v>
      </c>
      <c r="C9115" t="s">
        <v>81</v>
      </c>
      <c r="D9115">
        <v>2.7698900000000001E-3</v>
      </c>
      <c r="E9115" t="s">
        <v>74</v>
      </c>
      <c r="F9115">
        <v>2.7698900000000002</v>
      </c>
      <c r="G9115" t="s">
        <v>75</v>
      </c>
      <c r="H9115">
        <v>2769.8879999999999</v>
      </c>
      <c r="I9115" t="s">
        <v>76</v>
      </c>
      <c r="J9115" t="s">
        <v>82</v>
      </c>
      <c r="K9115">
        <v>361.02543759999998</v>
      </c>
    </row>
    <row r="9116" spans="1:11" x14ac:dyDescent="0.3">
      <c r="A9116" t="s">
        <v>84</v>
      </c>
      <c r="B9116">
        <v>1001</v>
      </c>
      <c r="C9116" t="s">
        <v>79</v>
      </c>
      <c r="D9116">
        <v>2.74E-6</v>
      </c>
      <c r="E9116" t="s">
        <v>74</v>
      </c>
      <c r="F9116">
        <v>2.7399999999999998E-3</v>
      </c>
      <c r="G9116" t="s">
        <v>75</v>
      </c>
      <c r="H9116">
        <v>2.7370000000000001</v>
      </c>
      <c r="I9116" t="s">
        <v>76</v>
      </c>
      <c r="J9116" t="s">
        <v>77</v>
      </c>
    </row>
    <row r="9117" spans="1:11" x14ac:dyDescent="0.3">
      <c r="A9117" t="s">
        <v>84</v>
      </c>
      <c r="B9117">
        <v>1001</v>
      </c>
      <c r="C9117" t="s">
        <v>94</v>
      </c>
      <c r="D9117">
        <v>2.6023800000000001E-3</v>
      </c>
      <c r="E9117" t="s">
        <v>74</v>
      </c>
      <c r="F9117">
        <v>2.6023800000000001</v>
      </c>
      <c r="G9117" t="s">
        <v>75</v>
      </c>
      <c r="H9117">
        <v>2602.3820000000001</v>
      </c>
      <c r="I9117" t="s">
        <v>76</v>
      </c>
      <c r="J9117" t="s">
        <v>77</v>
      </c>
    </row>
    <row r="9118" spans="1:11" x14ac:dyDescent="0.3">
      <c r="A9118" t="s">
        <v>84</v>
      </c>
      <c r="B9118">
        <v>1001</v>
      </c>
      <c r="C9118" t="s">
        <v>80</v>
      </c>
      <c r="D9118">
        <v>2.7685399999999999E-3</v>
      </c>
      <c r="E9118" t="s">
        <v>74</v>
      </c>
      <c r="F9118">
        <v>2.7685399999999998</v>
      </c>
      <c r="G9118" t="s">
        <v>75</v>
      </c>
      <c r="H9118">
        <v>2768.5360000000001</v>
      </c>
      <c r="I9118" t="s">
        <v>76</v>
      </c>
      <c r="J9118" t="s">
        <v>77</v>
      </c>
    </row>
    <row r="9119" spans="1:11" x14ac:dyDescent="0.3">
      <c r="A9119" t="s">
        <v>84</v>
      </c>
      <c r="B9119">
        <v>1001</v>
      </c>
      <c r="C9119" t="s">
        <v>81</v>
      </c>
      <c r="D9119">
        <v>2.7723100000000001E-3</v>
      </c>
      <c r="E9119" t="s">
        <v>74</v>
      </c>
      <c r="F9119">
        <v>2.7723100000000001</v>
      </c>
      <c r="G9119" t="s">
        <v>75</v>
      </c>
      <c r="H9119">
        <v>2772.3090000000002</v>
      </c>
      <c r="I9119" t="s">
        <v>76</v>
      </c>
      <c r="J9119" t="s">
        <v>82</v>
      </c>
      <c r="K9119">
        <v>360.7101404</v>
      </c>
    </row>
    <row r="9120" spans="1:11" x14ac:dyDescent="0.3">
      <c r="A9120" t="s">
        <v>85</v>
      </c>
      <c r="B9120">
        <v>1001</v>
      </c>
      <c r="C9120" t="s">
        <v>86</v>
      </c>
      <c r="D9120">
        <v>2.7724799999999999E-3</v>
      </c>
      <c r="E9120" t="s">
        <v>74</v>
      </c>
      <c r="F9120">
        <v>2.7724799999999998</v>
      </c>
      <c r="G9120" t="s">
        <v>75</v>
      </c>
      <c r="H9120">
        <v>2772.4780000000001</v>
      </c>
      <c r="I9120" t="s">
        <v>76</v>
      </c>
      <c r="J9120" t="s">
        <v>82</v>
      </c>
      <c r="K9120">
        <v>360.6882008</v>
      </c>
    </row>
    <row r="9121" spans="1:11" x14ac:dyDescent="0.3">
      <c r="A9121" t="s">
        <v>115</v>
      </c>
    </row>
    <row r="9122" spans="1:11" x14ac:dyDescent="0.3">
      <c r="A9122" t="s">
        <v>127</v>
      </c>
    </row>
    <row r="9123" spans="1:11" x14ac:dyDescent="0.3">
      <c r="A9123" t="s">
        <v>87</v>
      </c>
    </row>
    <row r="9124" spans="1:11" x14ac:dyDescent="0.3">
      <c r="A9124" t="s">
        <v>426</v>
      </c>
    </row>
    <row r="9125" spans="1:11" x14ac:dyDescent="0.3">
      <c r="A9125" t="s">
        <v>72</v>
      </c>
      <c r="B9125">
        <v>1</v>
      </c>
      <c r="C9125" t="s">
        <v>81</v>
      </c>
      <c r="D9125">
        <v>0.12300030000000001</v>
      </c>
      <c r="E9125" t="s">
        <v>74</v>
      </c>
      <c r="F9125">
        <v>123.0003</v>
      </c>
      <c r="G9125" t="s">
        <v>75</v>
      </c>
      <c r="H9125">
        <v>123000.30100000001</v>
      </c>
      <c r="I9125" t="s">
        <v>76</v>
      </c>
      <c r="J9125" t="s">
        <v>82</v>
      </c>
      <c r="K9125">
        <v>8.1300614000000007</v>
      </c>
    </row>
    <row r="9126" spans="1:11" x14ac:dyDescent="0.3">
      <c r="A9126" t="s">
        <v>83</v>
      </c>
      <c r="B9126">
        <v>1000</v>
      </c>
      <c r="C9126" t="s">
        <v>81</v>
      </c>
      <c r="D9126">
        <v>2.7862799999999999E-3</v>
      </c>
      <c r="E9126" t="s">
        <v>74</v>
      </c>
      <c r="F9126">
        <v>2.7862800000000001</v>
      </c>
      <c r="G9126" t="s">
        <v>75</v>
      </c>
      <c r="H9126">
        <v>2786.2820000000002</v>
      </c>
      <c r="I9126" t="s">
        <v>76</v>
      </c>
      <c r="J9126" t="s">
        <v>82</v>
      </c>
      <c r="K9126">
        <v>358.90117800000002</v>
      </c>
    </row>
    <row r="9127" spans="1:11" x14ac:dyDescent="0.3">
      <c r="A9127" t="s">
        <v>85</v>
      </c>
      <c r="B9127">
        <v>1001</v>
      </c>
      <c r="C9127" t="s">
        <v>86</v>
      </c>
      <c r="D9127">
        <v>2.9065800000000002E-3</v>
      </c>
      <c r="E9127" t="s">
        <v>74</v>
      </c>
      <c r="F9127">
        <v>2.9065799999999999</v>
      </c>
      <c r="G9127" t="s">
        <v>75</v>
      </c>
      <c r="H9127">
        <v>2906.5790000000002</v>
      </c>
      <c r="I9127" t="s">
        <v>76</v>
      </c>
      <c r="J9127" t="s">
        <v>82</v>
      </c>
      <c r="K9127">
        <v>344.0470176</v>
      </c>
    </row>
    <row r="9129" spans="1:11" x14ac:dyDescent="0.3">
      <c r="A9129" t="s">
        <v>427</v>
      </c>
    </row>
    <row r="9130" spans="1:11" x14ac:dyDescent="0.3">
      <c r="A9130" t="s">
        <v>72</v>
      </c>
      <c r="B9130">
        <v>1</v>
      </c>
      <c r="C9130" t="s">
        <v>81</v>
      </c>
      <c r="D9130">
        <v>5.1933999999999999E-3</v>
      </c>
      <c r="E9130" t="s">
        <v>74</v>
      </c>
      <c r="F9130">
        <v>5.1933999999999996</v>
      </c>
      <c r="G9130" t="s">
        <v>75</v>
      </c>
      <c r="H9130">
        <v>5193.3999999999996</v>
      </c>
      <c r="I9130" t="s">
        <v>76</v>
      </c>
      <c r="J9130" t="s">
        <v>82</v>
      </c>
      <c r="K9130">
        <v>192.55207799999999</v>
      </c>
    </row>
    <row r="9131" spans="1:11" x14ac:dyDescent="0.3">
      <c r="A9131" t="s">
        <v>83</v>
      </c>
      <c r="B9131">
        <v>1000</v>
      </c>
      <c r="C9131" t="s">
        <v>81</v>
      </c>
      <c r="D9131">
        <v>2.7698900000000001E-3</v>
      </c>
      <c r="E9131" t="s">
        <v>74</v>
      </c>
      <c r="F9131">
        <v>2.7698900000000002</v>
      </c>
      <c r="G9131" t="s">
        <v>75</v>
      </c>
      <c r="H9131">
        <v>2769.8879999999999</v>
      </c>
      <c r="I9131" t="s">
        <v>76</v>
      </c>
      <c r="J9131" t="s">
        <v>82</v>
      </c>
      <c r="K9131">
        <v>361.02543759999998</v>
      </c>
    </row>
    <row r="9132" spans="1:11" x14ac:dyDescent="0.3">
      <c r="A9132" t="s">
        <v>85</v>
      </c>
      <c r="B9132">
        <v>1001</v>
      </c>
      <c r="C9132" t="s">
        <v>86</v>
      </c>
      <c r="D9132">
        <v>2.7724799999999999E-3</v>
      </c>
      <c r="E9132" t="s">
        <v>74</v>
      </c>
      <c r="F9132">
        <v>2.7724799999999998</v>
      </c>
      <c r="G9132" t="s">
        <v>75</v>
      </c>
      <c r="H9132">
        <v>2772.4780000000001</v>
      </c>
      <c r="I9132" t="s">
        <v>76</v>
      </c>
      <c r="J9132" t="s">
        <v>82</v>
      </c>
      <c r="K9132">
        <v>360.6882008</v>
      </c>
    </row>
    <row r="9134" spans="1:11" x14ac:dyDescent="0.3">
      <c r="A9134" t="s">
        <v>66</v>
      </c>
    </row>
    <row r="9136" spans="1:11" x14ac:dyDescent="0.3">
      <c r="A9136" t="s">
        <v>468</v>
      </c>
    </row>
    <row r="9137" spans="1:1" x14ac:dyDescent="0.3">
      <c r="A9137" t="s">
        <v>68</v>
      </c>
    </row>
    <row r="9138" spans="1:1" x14ac:dyDescent="0.3">
      <c r="A9138" t="s">
        <v>69</v>
      </c>
    </row>
    <row r="9139" spans="1:1" x14ac:dyDescent="0.3">
      <c r="A9139" t="s">
        <v>70</v>
      </c>
    </row>
    <row r="9140" spans="1:1" x14ac:dyDescent="0.3">
      <c r="A9140" t="s">
        <v>115</v>
      </c>
    </row>
    <row r="9141" spans="1:1" x14ac:dyDescent="0.3">
      <c r="A9141" t="s">
        <v>384</v>
      </c>
    </row>
    <row r="9142" spans="1:1" x14ac:dyDescent="0.3">
      <c r="A9142" t="s">
        <v>385</v>
      </c>
    </row>
    <row r="9143" spans="1:1" x14ac:dyDescent="0.3">
      <c r="A9143" t="s">
        <v>118</v>
      </c>
    </row>
    <row r="9144" spans="1:1" x14ac:dyDescent="0.3">
      <c r="A9144" t="s">
        <v>119</v>
      </c>
    </row>
    <row r="9145" spans="1:1" x14ac:dyDescent="0.3">
      <c r="A9145" t="s">
        <v>268</v>
      </c>
    </row>
    <row r="9146" spans="1:1" x14ac:dyDescent="0.3">
      <c r="A9146" t="s">
        <v>269</v>
      </c>
    </row>
    <row r="9147" spans="1:1" x14ac:dyDescent="0.3">
      <c r="A9147" t="s">
        <v>386</v>
      </c>
    </row>
    <row r="9148" spans="1:1" x14ac:dyDescent="0.3">
      <c r="A9148" t="s">
        <v>387</v>
      </c>
    </row>
    <row r="9149" spans="1:1" x14ac:dyDescent="0.3">
      <c r="A9149" t="s">
        <v>271</v>
      </c>
    </row>
    <row r="9150" spans="1:1" x14ac:dyDescent="0.3">
      <c r="A9150" t="s">
        <v>125</v>
      </c>
    </row>
    <row r="9151" spans="1:1" x14ac:dyDescent="0.3">
      <c r="A9151" t="s">
        <v>126</v>
      </c>
    </row>
    <row r="9152" spans="1:1" x14ac:dyDescent="0.3">
      <c r="A9152" t="s">
        <v>127</v>
      </c>
    </row>
    <row r="9153" spans="1:11" x14ac:dyDescent="0.3">
      <c r="A9153" t="s">
        <v>185</v>
      </c>
    </row>
    <row r="9154" spans="1:11" x14ac:dyDescent="0.3">
      <c r="A9154" t="s">
        <v>429</v>
      </c>
    </row>
    <row r="9155" spans="1:11" x14ac:dyDescent="0.3">
      <c r="A9155" t="s">
        <v>72</v>
      </c>
      <c r="B9155">
        <v>1</v>
      </c>
      <c r="C9155" t="s">
        <v>73</v>
      </c>
      <c r="D9155">
        <v>5.6999999999999996E-6</v>
      </c>
      <c r="E9155" t="s">
        <v>74</v>
      </c>
      <c r="F9155">
        <v>5.7000000000000002E-3</v>
      </c>
      <c r="G9155" t="s">
        <v>75</v>
      </c>
      <c r="H9155">
        <v>5.7</v>
      </c>
      <c r="I9155" t="s">
        <v>76</v>
      </c>
      <c r="J9155" t="s">
        <v>77</v>
      </c>
    </row>
    <row r="9156" spans="1:11" x14ac:dyDescent="0.3">
      <c r="A9156" t="s">
        <v>72</v>
      </c>
      <c r="B9156">
        <v>1</v>
      </c>
      <c r="C9156" t="s">
        <v>78</v>
      </c>
      <c r="D9156">
        <v>0.15115960000000001</v>
      </c>
      <c r="E9156" t="s">
        <v>74</v>
      </c>
      <c r="F9156">
        <v>151.15960000000001</v>
      </c>
      <c r="G9156" t="s">
        <v>75</v>
      </c>
      <c r="H9156">
        <v>151159.59899999999</v>
      </c>
      <c r="I9156" t="s">
        <v>76</v>
      </c>
      <c r="J9156" t="s">
        <v>77</v>
      </c>
    </row>
    <row r="9157" spans="1:11" x14ac:dyDescent="0.3">
      <c r="A9157" t="s">
        <v>72</v>
      </c>
      <c r="B9157">
        <v>1</v>
      </c>
      <c r="C9157" t="s">
        <v>79</v>
      </c>
      <c r="D9157">
        <v>0.13576239000000001</v>
      </c>
      <c r="E9157" t="s">
        <v>74</v>
      </c>
      <c r="F9157">
        <v>135.76239000000001</v>
      </c>
      <c r="G9157" t="s">
        <v>75</v>
      </c>
      <c r="H9157">
        <v>135762.39300000001</v>
      </c>
      <c r="I9157" t="s">
        <v>76</v>
      </c>
      <c r="J9157" t="s">
        <v>77</v>
      </c>
    </row>
    <row r="9158" spans="1:11" x14ac:dyDescent="0.3">
      <c r="A9158" t="s">
        <v>72</v>
      </c>
      <c r="B9158">
        <v>1</v>
      </c>
      <c r="C9158" t="s">
        <v>94</v>
      </c>
      <c r="D9158">
        <v>9.5198999999999995E-3</v>
      </c>
      <c r="E9158" t="s">
        <v>74</v>
      </c>
      <c r="F9158">
        <v>9.5198999999999998</v>
      </c>
      <c r="G9158" t="s">
        <v>75</v>
      </c>
      <c r="H9158">
        <v>9519.9</v>
      </c>
      <c r="I9158" t="s">
        <v>76</v>
      </c>
      <c r="J9158" t="s">
        <v>77</v>
      </c>
    </row>
    <row r="9159" spans="1:11" x14ac:dyDescent="0.3">
      <c r="A9159" t="s">
        <v>72</v>
      </c>
      <c r="B9159">
        <v>1</v>
      </c>
      <c r="C9159" t="s">
        <v>80</v>
      </c>
      <c r="D9159">
        <v>9.5206000000000006E-3</v>
      </c>
      <c r="E9159" t="s">
        <v>74</v>
      </c>
      <c r="F9159">
        <v>9.5206</v>
      </c>
      <c r="G9159" t="s">
        <v>75</v>
      </c>
      <c r="H9159">
        <v>9520.6</v>
      </c>
      <c r="I9159" t="s">
        <v>76</v>
      </c>
      <c r="J9159" t="s">
        <v>77</v>
      </c>
    </row>
    <row r="9160" spans="1:11" x14ac:dyDescent="0.3">
      <c r="A9160" t="s">
        <v>72</v>
      </c>
      <c r="B9160">
        <v>1</v>
      </c>
      <c r="C9160" t="s">
        <v>81</v>
      </c>
      <c r="D9160">
        <v>0.145285</v>
      </c>
      <c r="E9160" t="s">
        <v>74</v>
      </c>
      <c r="F9160">
        <v>145.285</v>
      </c>
      <c r="G9160" t="s">
        <v>75</v>
      </c>
      <c r="H9160">
        <v>145284.995</v>
      </c>
      <c r="I9160" t="s">
        <v>76</v>
      </c>
      <c r="J9160" t="s">
        <v>82</v>
      </c>
      <c r="K9160">
        <v>6.8830232000000002</v>
      </c>
    </row>
    <row r="9161" spans="1:11" x14ac:dyDescent="0.3">
      <c r="A9161" t="s">
        <v>83</v>
      </c>
      <c r="B9161">
        <v>1000</v>
      </c>
      <c r="C9161" t="s">
        <v>79</v>
      </c>
      <c r="D9161">
        <v>1.6E-7</v>
      </c>
      <c r="E9161" t="s">
        <v>74</v>
      </c>
      <c r="F9161">
        <v>1.6000000000000001E-4</v>
      </c>
      <c r="G9161" t="s">
        <v>75</v>
      </c>
      <c r="H9161">
        <v>0.159</v>
      </c>
      <c r="I9161" t="s">
        <v>76</v>
      </c>
      <c r="J9161" t="s">
        <v>77</v>
      </c>
    </row>
    <row r="9162" spans="1:11" x14ac:dyDescent="0.3">
      <c r="A9162" t="s">
        <v>83</v>
      </c>
      <c r="B9162">
        <v>1000</v>
      </c>
      <c r="C9162" t="s">
        <v>94</v>
      </c>
      <c r="D9162">
        <v>2.6319E-3</v>
      </c>
      <c r="E9162" t="s">
        <v>74</v>
      </c>
      <c r="F9162">
        <v>2.6318999999999999</v>
      </c>
      <c r="G9162" t="s">
        <v>75</v>
      </c>
      <c r="H9162">
        <v>2631.8980000000001</v>
      </c>
      <c r="I9162" t="s">
        <v>76</v>
      </c>
      <c r="J9162" t="s">
        <v>77</v>
      </c>
    </row>
    <row r="9163" spans="1:11" x14ac:dyDescent="0.3">
      <c r="A9163" t="s">
        <v>83</v>
      </c>
      <c r="B9163">
        <v>1000</v>
      </c>
      <c r="C9163" t="s">
        <v>80</v>
      </c>
      <c r="D9163">
        <v>2.7980000000000001E-3</v>
      </c>
      <c r="E9163" t="s">
        <v>74</v>
      </c>
      <c r="F9163">
        <v>2.798</v>
      </c>
      <c r="G9163" t="s">
        <v>75</v>
      </c>
      <c r="H9163">
        <v>2797.9969999999998</v>
      </c>
      <c r="I9163" t="s">
        <v>76</v>
      </c>
      <c r="J9163" t="s">
        <v>77</v>
      </c>
    </row>
    <row r="9164" spans="1:11" x14ac:dyDescent="0.3">
      <c r="A9164" t="s">
        <v>83</v>
      </c>
      <c r="B9164">
        <v>1000</v>
      </c>
      <c r="C9164" t="s">
        <v>81</v>
      </c>
      <c r="D9164">
        <v>2.7991299999999999E-3</v>
      </c>
      <c r="E9164" t="s">
        <v>74</v>
      </c>
      <c r="F9164">
        <v>2.7991299999999999</v>
      </c>
      <c r="G9164" t="s">
        <v>75</v>
      </c>
      <c r="H9164">
        <v>2799.13</v>
      </c>
      <c r="I9164" t="s">
        <v>76</v>
      </c>
      <c r="J9164" t="s">
        <v>82</v>
      </c>
      <c r="K9164">
        <v>357.25380489999998</v>
      </c>
    </row>
    <row r="9165" spans="1:11" x14ac:dyDescent="0.3">
      <c r="A9165" t="s">
        <v>84</v>
      </c>
      <c r="B9165">
        <v>1001</v>
      </c>
      <c r="C9165" t="s">
        <v>79</v>
      </c>
      <c r="D9165">
        <v>1.3579E-4</v>
      </c>
      <c r="E9165" t="s">
        <v>74</v>
      </c>
      <c r="F9165">
        <v>0.13578999999999999</v>
      </c>
      <c r="G9165" t="s">
        <v>75</v>
      </c>
      <c r="H9165">
        <v>135.786</v>
      </c>
      <c r="I9165" t="s">
        <v>76</v>
      </c>
      <c r="J9165" t="s">
        <v>77</v>
      </c>
    </row>
    <row r="9166" spans="1:11" x14ac:dyDescent="0.3">
      <c r="A9166" t="s">
        <v>84</v>
      </c>
      <c r="B9166">
        <v>1001</v>
      </c>
      <c r="C9166" t="s">
        <v>94</v>
      </c>
      <c r="D9166">
        <v>2.6387799999999999E-3</v>
      </c>
      <c r="E9166" t="s">
        <v>74</v>
      </c>
      <c r="F9166">
        <v>2.6387800000000001</v>
      </c>
      <c r="G9166" t="s">
        <v>75</v>
      </c>
      <c r="H9166">
        <v>2638.779</v>
      </c>
      <c r="I9166" t="s">
        <v>76</v>
      </c>
      <c r="J9166" t="s">
        <v>77</v>
      </c>
    </row>
    <row r="9167" spans="1:11" x14ac:dyDescent="0.3">
      <c r="A9167" t="s">
        <v>84</v>
      </c>
      <c r="B9167">
        <v>1001</v>
      </c>
      <c r="C9167" t="s">
        <v>80</v>
      </c>
      <c r="D9167">
        <v>2.8047100000000002E-3</v>
      </c>
      <c r="E9167" t="s">
        <v>74</v>
      </c>
      <c r="F9167">
        <v>2.80471</v>
      </c>
      <c r="G9167" t="s">
        <v>75</v>
      </c>
      <c r="H9167">
        <v>2804.712</v>
      </c>
      <c r="I9167" t="s">
        <v>76</v>
      </c>
      <c r="J9167" t="s">
        <v>77</v>
      </c>
    </row>
    <row r="9168" spans="1:11" x14ac:dyDescent="0.3">
      <c r="A9168" t="s">
        <v>84</v>
      </c>
      <c r="B9168">
        <v>1001</v>
      </c>
      <c r="C9168" t="s">
        <v>81</v>
      </c>
      <c r="D9168">
        <v>2.9414699999999998E-3</v>
      </c>
      <c r="E9168" t="s">
        <v>74</v>
      </c>
      <c r="F9168">
        <v>2.9414699999999998</v>
      </c>
      <c r="G9168" t="s">
        <v>75</v>
      </c>
      <c r="H9168">
        <v>2941.4740000000002</v>
      </c>
      <c r="I9168" t="s">
        <v>76</v>
      </c>
      <c r="J9168" t="s">
        <v>82</v>
      </c>
      <c r="K9168">
        <v>339.96559810000002</v>
      </c>
    </row>
    <row r="9169" spans="1:11" x14ac:dyDescent="0.3">
      <c r="A9169" t="s">
        <v>85</v>
      </c>
      <c r="B9169">
        <v>1001</v>
      </c>
      <c r="C9169" t="s">
        <v>86</v>
      </c>
      <c r="D9169">
        <v>2.9417100000000002E-3</v>
      </c>
      <c r="E9169" t="s">
        <v>74</v>
      </c>
      <c r="F9169">
        <v>2.94171</v>
      </c>
      <c r="G9169" t="s">
        <v>75</v>
      </c>
      <c r="H9169">
        <v>2941.7069999999999</v>
      </c>
      <c r="I9169" t="s">
        <v>76</v>
      </c>
      <c r="J9169" t="s">
        <v>82</v>
      </c>
      <c r="K9169">
        <v>339.93867770000003</v>
      </c>
    </row>
    <row r="9170" spans="1:11" x14ac:dyDescent="0.3">
      <c r="A9170" t="s">
        <v>187</v>
      </c>
    </row>
    <row r="9171" spans="1:11" x14ac:dyDescent="0.3">
      <c r="A9171" t="s">
        <v>430</v>
      </c>
    </row>
    <row r="9172" spans="1:11" x14ac:dyDescent="0.3">
      <c r="A9172" t="s">
        <v>72</v>
      </c>
      <c r="B9172">
        <v>1</v>
      </c>
      <c r="C9172" t="s">
        <v>73</v>
      </c>
      <c r="D9172">
        <v>5.6999999999999996E-6</v>
      </c>
      <c r="E9172" t="s">
        <v>74</v>
      </c>
      <c r="F9172">
        <v>5.7000000000000002E-3</v>
      </c>
      <c r="G9172" t="s">
        <v>75</v>
      </c>
      <c r="H9172">
        <v>5.7</v>
      </c>
      <c r="I9172" t="s">
        <v>76</v>
      </c>
      <c r="J9172" t="s">
        <v>77</v>
      </c>
    </row>
    <row r="9173" spans="1:11" x14ac:dyDescent="0.3">
      <c r="A9173" t="s">
        <v>72</v>
      </c>
      <c r="B9173">
        <v>1</v>
      </c>
      <c r="C9173" t="s">
        <v>78</v>
      </c>
      <c r="D9173">
        <v>4.2489999999999997E-4</v>
      </c>
      <c r="E9173" t="s">
        <v>74</v>
      </c>
      <c r="F9173">
        <v>0.4249</v>
      </c>
      <c r="G9173" t="s">
        <v>75</v>
      </c>
      <c r="H9173">
        <v>424.9</v>
      </c>
      <c r="I9173" t="s">
        <v>76</v>
      </c>
      <c r="J9173" t="s">
        <v>77</v>
      </c>
    </row>
    <row r="9174" spans="1:11" x14ac:dyDescent="0.3">
      <c r="A9174" t="s">
        <v>72</v>
      </c>
      <c r="B9174">
        <v>1</v>
      </c>
      <c r="C9174" t="s">
        <v>79</v>
      </c>
      <c r="D9174">
        <v>3.9490999999999997E-3</v>
      </c>
      <c r="E9174" t="s">
        <v>74</v>
      </c>
      <c r="F9174">
        <v>3.9491000000000001</v>
      </c>
      <c r="G9174" t="s">
        <v>75</v>
      </c>
      <c r="H9174">
        <v>3949.1</v>
      </c>
      <c r="I9174" t="s">
        <v>76</v>
      </c>
      <c r="J9174" t="s">
        <v>77</v>
      </c>
    </row>
    <row r="9175" spans="1:11" x14ac:dyDescent="0.3">
      <c r="A9175" t="s">
        <v>72</v>
      </c>
      <c r="B9175">
        <v>1</v>
      </c>
      <c r="C9175" t="s">
        <v>94</v>
      </c>
      <c r="D9175">
        <v>2.6105E-3</v>
      </c>
      <c r="E9175" t="s">
        <v>74</v>
      </c>
      <c r="F9175">
        <v>2.6105</v>
      </c>
      <c r="G9175" t="s">
        <v>75</v>
      </c>
      <c r="H9175">
        <v>2610.5</v>
      </c>
      <c r="I9175" t="s">
        <v>76</v>
      </c>
      <c r="J9175" t="s">
        <v>77</v>
      </c>
    </row>
    <row r="9176" spans="1:11" x14ac:dyDescent="0.3">
      <c r="A9176" t="s">
        <v>72</v>
      </c>
      <c r="B9176">
        <v>1</v>
      </c>
      <c r="C9176" t="s">
        <v>80</v>
      </c>
      <c r="D9176">
        <v>2.7437999999999998E-3</v>
      </c>
      <c r="E9176" t="s">
        <v>74</v>
      </c>
      <c r="F9176">
        <v>2.7437999999999998</v>
      </c>
      <c r="G9176" t="s">
        <v>75</v>
      </c>
      <c r="H9176">
        <v>2743.8</v>
      </c>
      <c r="I9176" t="s">
        <v>76</v>
      </c>
      <c r="J9176" t="s">
        <v>77</v>
      </c>
    </row>
    <row r="9177" spans="1:11" x14ac:dyDescent="0.3">
      <c r="A9177" t="s">
        <v>72</v>
      </c>
      <c r="B9177">
        <v>1</v>
      </c>
      <c r="C9177" t="s">
        <v>81</v>
      </c>
      <c r="D9177">
        <v>6.6942E-3</v>
      </c>
      <c r="E9177" t="s">
        <v>74</v>
      </c>
      <c r="F9177">
        <v>6.6942000000000004</v>
      </c>
      <c r="G9177" t="s">
        <v>75</v>
      </c>
      <c r="H9177">
        <v>6694.2</v>
      </c>
      <c r="I9177" t="s">
        <v>76</v>
      </c>
      <c r="J9177" t="s">
        <v>82</v>
      </c>
      <c r="K9177">
        <v>149.38304840000001</v>
      </c>
    </row>
    <row r="9178" spans="1:11" x14ac:dyDescent="0.3">
      <c r="A9178" t="s">
        <v>83</v>
      </c>
      <c r="B9178">
        <v>1000</v>
      </c>
      <c r="C9178" t="s">
        <v>79</v>
      </c>
      <c r="D9178">
        <v>1.6E-7</v>
      </c>
      <c r="E9178" t="s">
        <v>74</v>
      </c>
      <c r="F9178">
        <v>1.6000000000000001E-4</v>
      </c>
      <c r="G9178" t="s">
        <v>75</v>
      </c>
      <c r="H9178">
        <v>0.16</v>
      </c>
      <c r="I9178" t="s">
        <v>76</v>
      </c>
      <c r="J9178" t="s">
        <v>77</v>
      </c>
    </row>
    <row r="9179" spans="1:11" x14ac:dyDescent="0.3">
      <c r="A9179" t="s">
        <v>83</v>
      </c>
      <c r="B9179">
        <v>1000</v>
      </c>
      <c r="C9179" t="s">
        <v>94</v>
      </c>
      <c r="D9179">
        <v>2.5945400000000002E-3</v>
      </c>
      <c r="E9179" t="s">
        <v>74</v>
      </c>
      <c r="F9179">
        <v>2.5945399999999998</v>
      </c>
      <c r="G9179" t="s">
        <v>75</v>
      </c>
      <c r="H9179">
        <v>2594.54</v>
      </c>
      <c r="I9179" t="s">
        <v>76</v>
      </c>
      <c r="J9179" t="s">
        <v>77</v>
      </c>
    </row>
    <row r="9180" spans="1:11" x14ac:dyDescent="0.3">
      <c r="A9180" t="s">
        <v>83</v>
      </c>
      <c r="B9180">
        <v>1000</v>
      </c>
      <c r="C9180" t="s">
        <v>80</v>
      </c>
      <c r="D9180">
        <v>2.75406E-3</v>
      </c>
      <c r="E9180" t="s">
        <v>74</v>
      </c>
      <c r="F9180">
        <v>2.75406</v>
      </c>
      <c r="G9180" t="s">
        <v>75</v>
      </c>
      <c r="H9180">
        <v>2754.0639999999999</v>
      </c>
      <c r="I9180" t="s">
        <v>76</v>
      </c>
      <c r="J9180" t="s">
        <v>77</v>
      </c>
    </row>
    <row r="9181" spans="1:11" x14ac:dyDescent="0.3">
      <c r="A9181" t="s">
        <v>83</v>
      </c>
      <c r="B9181">
        <v>1000</v>
      </c>
      <c r="C9181" t="s">
        <v>81</v>
      </c>
      <c r="D9181">
        <v>2.75531E-3</v>
      </c>
      <c r="E9181" t="s">
        <v>74</v>
      </c>
      <c r="F9181">
        <v>2.7553100000000001</v>
      </c>
      <c r="G9181" t="s">
        <v>75</v>
      </c>
      <c r="H9181">
        <v>2755.3130000000001</v>
      </c>
      <c r="I9181" t="s">
        <v>76</v>
      </c>
      <c r="J9181" t="s">
        <v>82</v>
      </c>
      <c r="K9181">
        <v>362.93512070000003</v>
      </c>
    </row>
    <row r="9182" spans="1:11" x14ac:dyDescent="0.3">
      <c r="A9182" t="s">
        <v>84</v>
      </c>
      <c r="B9182">
        <v>1001</v>
      </c>
      <c r="C9182" t="s">
        <v>79</v>
      </c>
      <c r="D9182">
        <v>4.1099999999999996E-6</v>
      </c>
      <c r="E9182" t="s">
        <v>74</v>
      </c>
      <c r="F9182">
        <v>4.1099999999999999E-3</v>
      </c>
      <c r="G9182" t="s">
        <v>75</v>
      </c>
      <c r="H9182">
        <v>4.1050000000000004</v>
      </c>
      <c r="I9182" t="s">
        <v>76</v>
      </c>
      <c r="J9182" t="s">
        <v>77</v>
      </c>
    </row>
    <row r="9183" spans="1:11" x14ac:dyDescent="0.3">
      <c r="A9183" t="s">
        <v>84</v>
      </c>
      <c r="B9183">
        <v>1001</v>
      </c>
      <c r="C9183" t="s">
        <v>94</v>
      </c>
      <c r="D9183">
        <v>2.5945600000000001E-3</v>
      </c>
      <c r="E9183" t="s">
        <v>74</v>
      </c>
      <c r="F9183">
        <v>2.59456</v>
      </c>
      <c r="G9183" t="s">
        <v>75</v>
      </c>
      <c r="H9183">
        <v>2594.556</v>
      </c>
      <c r="I9183" t="s">
        <v>76</v>
      </c>
      <c r="J9183" t="s">
        <v>77</v>
      </c>
    </row>
    <row r="9184" spans="1:11" x14ac:dyDescent="0.3">
      <c r="A9184" t="s">
        <v>84</v>
      </c>
      <c r="B9184">
        <v>1001</v>
      </c>
      <c r="C9184" t="s">
        <v>80</v>
      </c>
      <c r="D9184">
        <v>2.7540500000000001E-3</v>
      </c>
      <c r="E9184" t="s">
        <v>74</v>
      </c>
      <c r="F9184">
        <v>2.7540499999999999</v>
      </c>
      <c r="G9184" t="s">
        <v>75</v>
      </c>
      <c r="H9184">
        <v>2754.0540000000001</v>
      </c>
      <c r="I9184" t="s">
        <v>76</v>
      </c>
      <c r="J9184" t="s">
        <v>77</v>
      </c>
    </row>
    <row r="9185" spans="1:11" x14ac:dyDescent="0.3">
      <c r="A9185" t="s">
        <v>84</v>
      </c>
      <c r="B9185">
        <v>1001</v>
      </c>
      <c r="C9185" t="s">
        <v>81</v>
      </c>
      <c r="D9185">
        <v>2.75925E-3</v>
      </c>
      <c r="E9185" t="s">
        <v>74</v>
      </c>
      <c r="F9185">
        <v>2.7592500000000002</v>
      </c>
      <c r="G9185" t="s">
        <v>75</v>
      </c>
      <c r="H9185">
        <v>2759.248</v>
      </c>
      <c r="I9185" t="s">
        <v>76</v>
      </c>
      <c r="J9185" t="s">
        <v>82</v>
      </c>
      <c r="K9185">
        <v>362.41755649999999</v>
      </c>
    </row>
    <row r="9186" spans="1:11" x14ac:dyDescent="0.3">
      <c r="A9186" t="s">
        <v>85</v>
      </c>
      <c r="B9186">
        <v>1001</v>
      </c>
      <c r="C9186" t="s">
        <v>86</v>
      </c>
      <c r="D9186">
        <v>2.7594500000000001E-3</v>
      </c>
      <c r="E9186" t="s">
        <v>74</v>
      </c>
      <c r="F9186">
        <v>2.7594500000000002</v>
      </c>
      <c r="G9186" t="s">
        <v>75</v>
      </c>
      <c r="H9186">
        <v>2759.4479999999999</v>
      </c>
      <c r="I9186" t="s">
        <v>76</v>
      </c>
      <c r="J9186" t="s">
        <v>82</v>
      </c>
      <c r="K9186">
        <v>362.39131099999997</v>
      </c>
    </row>
    <row r="9187" spans="1:11" x14ac:dyDescent="0.3">
      <c r="A9187" t="s">
        <v>115</v>
      </c>
    </row>
    <row r="9188" spans="1:11" x14ac:dyDescent="0.3">
      <c r="A9188" t="s">
        <v>127</v>
      </c>
    </row>
    <row r="9189" spans="1:11" x14ac:dyDescent="0.3">
      <c r="A9189" t="s">
        <v>87</v>
      </c>
    </row>
    <row r="9190" spans="1:11" x14ac:dyDescent="0.3">
      <c r="A9190" t="s">
        <v>431</v>
      </c>
    </row>
    <row r="9191" spans="1:11" x14ac:dyDescent="0.3">
      <c r="A9191" t="s">
        <v>72</v>
      </c>
      <c r="B9191">
        <v>1</v>
      </c>
      <c r="C9191" t="s">
        <v>81</v>
      </c>
      <c r="D9191">
        <v>0.145285</v>
      </c>
      <c r="E9191" t="s">
        <v>74</v>
      </c>
      <c r="F9191">
        <v>145.285</v>
      </c>
      <c r="G9191" t="s">
        <v>75</v>
      </c>
      <c r="H9191">
        <v>145284.995</v>
      </c>
      <c r="I9191" t="s">
        <v>76</v>
      </c>
      <c r="J9191" t="s">
        <v>82</v>
      </c>
      <c r="K9191">
        <v>6.8830232000000002</v>
      </c>
    </row>
    <row r="9192" spans="1:11" x14ac:dyDescent="0.3">
      <c r="A9192" t="s">
        <v>83</v>
      </c>
      <c r="B9192">
        <v>1000</v>
      </c>
      <c r="C9192" t="s">
        <v>81</v>
      </c>
      <c r="D9192">
        <v>2.7991299999999999E-3</v>
      </c>
      <c r="E9192" t="s">
        <v>74</v>
      </c>
      <c r="F9192">
        <v>2.7991299999999999</v>
      </c>
      <c r="G9192" t="s">
        <v>75</v>
      </c>
      <c r="H9192">
        <v>2799.13</v>
      </c>
      <c r="I9192" t="s">
        <v>76</v>
      </c>
      <c r="J9192" t="s">
        <v>82</v>
      </c>
      <c r="K9192">
        <v>357.25380489999998</v>
      </c>
    </row>
    <row r="9193" spans="1:11" x14ac:dyDescent="0.3">
      <c r="A9193" t="s">
        <v>85</v>
      </c>
      <c r="B9193">
        <v>1001</v>
      </c>
      <c r="C9193" t="s">
        <v>86</v>
      </c>
      <c r="D9193">
        <v>2.9417100000000002E-3</v>
      </c>
      <c r="E9193" t="s">
        <v>74</v>
      </c>
      <c r="F9193">
        <v>2.94171</v>
      </c>
      <c r="G9193" t="s">
        <v>75</v>
      </c>
      <c r="H9193">
        <v>2941.7069999999999</v>
      </c>
      <c r="I9193" t="s">
        <v>76</v>
      </c>
      <c r="J9193" t="s">
        <v>82</v>
      </c>
      <c r="K9193">
        <v>339.93867770000003</v>
      </c>
    </row>
    <row r="9195" spans="1:11" x14ac:dyDescent="0.3">
      <c r="A9195" t="s">
        <v>432</v>
      </c>
    </row>
    <row r="9196" spans="1:11" x14ac:dyDescent="0.3">
      <c r="A9196" t="s">
        <v>72</v>
      </c>
      <c r="B9196">
        <v>1</v>
      </c>
      <c r="C9196" t="s">
        <v>81</v>
      </c>
      <c r="D9196">
        <v>6.6942E-3</v>
      </c>
      <c r="E9196" t="s">
        <v>74</v>
      </c>
      <c r="F9196">
        <v>6.6942000000000004</v>
      </c>
      <c r="G9196" t="s">
        <v>75</v>
      </c>
      <c r="H9196">
        <v>6694.2</v>
      </c>
      <c r="I9196" t="s">
        <v>76</v>
      </c>
      <c r="J9196" t="s">
        <v>82</v>
      </c>
      <c r="K9196">
        <v>149.38304840000001</v>
      </c>
    </row>
    <row r="9197" spans="1:11" x14ac:dyDescent="0.3">
      <c r="A9197" t="s">
        <v>83</v>
      </c>
      <c r="B9197">
        <v>1000</v>
      </c>
      <c r="C9197" t="s">
        <v>81</v>
      </c>
      <c r="D9197">
        <v>2.75531E-3</v>
      </c>
      <c r="E9197" t="s">
        <v>74</v>
      </c>
      <c r="F9197">
        <v>2.7553100000000001</v>
      </c>
      <c r="G9197" t="s">
        <v>75</v>
      </c>
      <c r="H9197">
        <v>2755.3130000000001</v>
      </c>
      <c r="I9197" t="s">
        <v>76</v>
      </c>
      <c r="J9197" t="s">
        <v>82</v>
      </c>
      <c r="K9197">
        <v>362.93512070000003</v>
      </c>
    </row>
    <row r="9198" spans="1:11" x14ac:dyDescent="0.3">
      <c r="A9198" t="s">
        <v>85</v>
      </c>
      <c r="B9198">
        <v>1001</v>
      </c>
      <c r="C9198" t="s">
        <v>86</v>
      </c>
      <c r="D9198">
        <v>2.7594500000000001E-3</v>
      </c>
      <c r="E9198" t="s">
        <v>74</v>
      </c>
      <c r="F9198">
        <v>2.7594500000000002</v>
      </c>
      <c r="G9198" t="s">
        <v>75</v>
      </c>
      <c r="H9198">
        <v>2759.4479999999999</v>
      </c>
      <c r="I9198" t="s">
        <v>76</v>
      </c>
      <c r="J9198" t="s">
        <v>82</v>
      </c>
      <c r="K9198">
        <v>362.39131099999997</v>
      </c>
    </row>
    <row r="9200" spans="1:11" x14ac:dyDescent="0.3">
      <c r="A9200" t="s">
        <v>66</v>
      </c>
    </row>
    <row r="9202" spans="1:1" x14ac:dyDescent="0.3">
      <c r="A9202" t="s">
        <v>469</v>
      </c>
    </row>
    <row r="9203" spans="1:1" x14ac:dyDescent="0.3">
      <c r="A9203" t="s">
        <v>68</v>
      </c>
    </row>
    <row r="9204" spans="1:1" x14ac:dyDescent="0.3">
      <c r="A9204" t="s">
        <v>69</v>
      </c>
    </row>
    <row r="9205" spans="1:1" x14ac:dyDescent="0.3">
      <c r="A9205" t="s">
        <v>70</v>
      </c>
    </row>
    <row r="9206" spans="1:1" x14ac:dyDescent="0.3">
      <c r="A9206" t="s">
        <v>115</v>
      </c>
    </row>
    <row r="9207" spans="1:1" x14ac:dyDescent="0.3">
      <c r="A9207" t="s">
        <v>384</v>
      </c>
    </row>
    <row r="9208" spans="1:1" x14ac:dyDescent="0.3">
      <c r="A9208" t="s">
        <v>385</v>
      </c>
    </row>
    <row r="9209" spans="1:1" x14ac:dyDescent="0.3">
      <c r="A9209" t="s">
        <v>118</v>
      </c>
    </row>
    <row r="9210" spans="1:1" x14ac:dyDescent="0.3">
      <c r="A9210" t="s">
        <v>119</v>
      </c>
    </row>
    <row r="9211" spans="1:1" x14ac:dyDescent="0.3">
      <c r="A9211" t="s">
        <v>268</v>
      </c>
    </row>
    <row r="9212" spans="1:1" x14ac:dyDescent="0.3">
      <c r="A9212" t="s">
        <v>269</v>
      </c>
    </row>
    <row r="9213" spans="1:1" x14ac:dyDescent="0.3">
      <c r="A9213" t="s">
        <v>386</v>
      </c>
    </row>
    <row r="9214" spans="1:1" x14ac:dyDescent="0.3">
      <c r="A9214" t="s">
        <v>387</v>
      </c>
    </row>
    <row r="9215" spans="1:1" x14ac:dyDescent="0.3">
      <c r="A9215" t="s">
        <v>271</v>
      </c>
    </row>
    <row r="9216" spans="1:1" x14ac:dyDescent="0.3">
      <c r="A9216" t="s">
        <v>125</v>
      </c>
    </row>
    <row r="9217" spans="1:11" x14ac:dyDescent="0.3">
      <c r="A9217" t="s">
        <v>126</v>
      </c>
    </row>
    <row r="9218" spans="1:11" x14ac:dyDescent="0.3">
      <c r="A9218" t="s">
        <v>127</v>
      </c>
    </row>
    <row r="9219" spans="1:11" x14ac:dyDescent="0.3">
      <c r="A9219" t="s">
        <v>192</v>
      </c>
    </row>
    <row r="9220" spans="1:11" x14ac:dyDescent="0.3">
      <c r="A9220" t="s">
        <v>434</v>
      </c>
    </row>
    <row r="9221" spans="1:11" x14ac:dyDescent="0.3">
      <c r="A9221" t="s">
        <v>72</v>
      </c>
      <c r="B9221">
        <v>1</v>
      </c>
      <c r="C9221" t="s">
        <v>73</v>
      </c>
      <c r="D9221">
        <v>4.4000000000000002E-6</v>
      </c>
      <c r="E9221" t="s">
        <v>74</v>
      </c>
      <c r="F9221">
        <v>4.4000000000000003E-3</v>
      </c>
      <c r="G9221" t="s">
        <v>75</v>
      </c>
      <c r="H9221">
        <v>4.4000000000000004</v>
      </c>
      <c r="I9221" t="s">
        <v>76</v>
      </c>
      <c r="J9221" t="s">
        <v>77</v>
      </c>
    </row>
    <row r="9222" spans="1:11" x14ac:dyDescent="0.3">
      <c r="A9222" t="s">
        <v>72</v>
      </c>
      <c r="B9222">
        <v>1</v>
      </c>
      <c r="C9222" t="s">
        <v>78</v>
      </c>
      <c r="D9222">
        <v>0.15003638999999999</v>
      </c>
      <c r="E9222" t="s">
        <v>74</v>
      </c>
      <c r="F9222">
        <v>150.03639000000001</v>
      </c>
      <c r="G9222" t="s">
        <v>75</v>
      </c>
      <c r="H9222">
        <v>150036.39499999999</v>
      </c>
      <c r="I9222" t="s">
        <v>76</v>
      </c>
      <c r="J9222" t="s">
        <v>77</v>
      </c>
    </row>
    <row r="9223" spans="1:11" x14ac:dyDescent="0.3">
      <c r="A9223" t="s">
        <v>72</v>
      </c>
      <c r="B9223">
        <v>1</v>
      </c>
      <c r="C9223" t="s">
        <v>79</v>
      </c>
      <c r="D9223">
        <v>0.1045674</v>
      </c>
      <c r="E9223" t="s">
        <v>74</v>
      </c>
      <c r="F9223">
        <v>104.56740000000001</v>
      </c>
      <c r="G9223" t="s">
        <v>75</v>
      </c>
      <c r="H9223">
        <v>104567.401</v>
      </c>
      <c r="I9223" t="s">
        <v>76</v>
      </c>
      <c r="J9223" t="s">
        <v>77</v>
      </c>
    </row>
    <row r="9224" spans="1:11" x14ac:dyDescent="0.3">
      <c r="A9224" t="s">
        <v>72</v>
      </c>
      <c r="B9224">
        <v>1</v>
      </c>
      <c r="C9224" t="s">
        <v>94</v>
      </c>
      <c r="D9224">
        <v>9.4483999999999992E-3</v>
      </c>
      <c r="E9224" t="s">
        <v>74</v>
      </c>
      <c r="F9224">
        <v>9.4483999999999995</v>
      </c>
      <c r="G9224" t="s">
        <v>75</v>
      </c>
      <c r="H9224">
        <v>9448.4</v>
      </c>
      <c r="I9224" t="s">
        <v>76</v>
      </c>
      <c r="J9224" t="s">
        <v>77</v>
      </c>
    </row>
    <row r="9225" spans="1:11" x14ac:dyDescent="0.3">
      <c r="A9225" t="s">
        <v>72</v>
      </c>
      <c r="B9225">
        <v>1</v>
      </c>
      <c r="C9225" t="s">
        <v>80</v>
      </c>
      <c r="D9225">
        <v>9.4490000000000008E-3</v>
      </c>
      <c r="E9225" t="s">
        <v>74</v>
      </c>
      <c r="F9225">
        <v>9.4489999999999998</v>
      </c>
      <c r="G9225" t="s">
        <v>75</v>
      </c>
      <c r="H9225">
        <v>9449</v>
      </c>
      <c r="I9225" t="s">
        <v>76</v>
      </c>
      <c r="J9225" t="s">
        <v>77</v>
      </c>
    </row>
    <row r="9226" spans="1:11" x14ac:dyDescent="0.3">
      <c r="A9226" t="s">
        <v>72</v>
      </c>
      <c r="B9226">
        <v>1</v>
      </c>
      <c r="C9226" t="s">
        <v>81</v>
      </c>
      <c r="D9226">
        <v>0.1140188</v>
      </c>
      <c r="E9226" t="s">
        <v>74</v>
      </c>
      <c r="F9226">
        <v>114.0188</v>
      </c>
      <c r="G9226" t="s">
        <v>75</v>
      </c>
      <c r="H9226">
        <v>114018.798</v>
      </c>
      <c r="I9226" t="s">
        <v>76</v>
      </c>
      <c r="J9226" t="s">
        <v>82</v>
      </c>
      <c r="K9226">
        <v>8.7704836000000004</v>
      </c>
    </row>
    <row r="9227" spans="1:11" x14ac:dyDescent="0.3">
      <c r="A9227" t="s">
        <v>83</v>
      </c>
      <c r="B9227">
        <v>1000</v>
      </c>
      <c r="C9227" t="s">
        <v>79</v>
      </c>
      <c r="D9227">
        <v>2.8999999999999998E-7</v>
      </c>
      <c r="E9227" t="s">
        <v>74</v>
      </c>
      <c r="F9227">
        <v>2.9E-4</v>
      </c>
      <c r="G9227" t="s">
        <v>75</v>
      </c>
      <c r="H9227">
        <v>0.29199999999999998</v>
      </c>
      <c r="I9227" t="s">
        <v>76</v>
      </c>
      <c r="J9227" t="s">
        <v>77</v>
      </c>
    </row>
    <row r="9228" spans="1:11" x14ac:dyDescent="0.3">
      <c r="A9228" t="s">
        <v>83</v>
      </c>
      <c r="B9228">
        <v>1000</v>
      </c>
      <c r="C9228" t="s">
        <v>94</v>
      </c>
      <c r="D9228">
        <v>2.63226E-3</v>
      </c>
      <c r="E9228" t="s">
        <v>74</v>
      </c>
      <c r="F9228">
        <v>2.63226</v>
      </c>
      <c r="G9228" t="s">
        <v>75</v>
      </c>
      <c r="H9228">
        <v>2632.2579999999998</v>
      </c>
      <c r="I9228" t="s">
        <v>76</v>
      </c>
      <c r="J9228" t="s">
        <v>77</v>
      </c>
    </row>
    <row r="9229" spans="1:11" x14ac:dyDescent="0.3">
      <c r="A9229" t="s">
        <v>83</v>
      </c>
      <c r="B9229">
        <v>1000</v>
      </c>
      <c r="C9229" t="s">
        <v>80</v>
      </c>
      <c r="D9229">
        <v>2.79225E-3</v>
      </c>
      <c r="E9229" t="s">
        <v>74</v>
      </c>
      <c r="F9229">
        <v>2.7922500000000001</v>
      </c>
      <c r="G9229" t="s">
        <v>75</v>
      </c>
      <c r="H9229">
        <v>2792.25</v>
      </c>
      <c r="I9229" t="s">
        <v>76</v>
      </c>
      <c r="J9229" t="s">
        <v>77</v>
      </c>
    </row>
    <row r="9230" spans="1:11" x14ac:dyDescent="0.3">
      <c r="A9230" t="s">
        <v>83</v>
      </c>
      <c r="B9230">
        <v>1000</v>
      </c>
      <c r="C9230" t="s">
        <v>81</v>
      </c>
      <c r="D9230">
        <v>2.7933799999999998E-3</v>
      </c>
      <c r="E9230" t="s">
        <v>74</v>
      </c>
      <c r="F9230">
        <v>2.79338</v>
      </c>
      <c r="G9230" t="s">
        <v>75</v>
      </c>
      <c r="H9230">
        <v>2793.3809999999999</v>
      </c>
      <c r="I9230" t="s">
        <v>76</v>
      </c>
      <c r="J9230" t="s">
        <v>82</v>
      </c>
      <c r="K9230">
        <v>357.98909040000001</v>
      </c>
    </row>
    <row r="9231" spans="1:11" x14ac:dyDescent="0.3">
      <c r="A9231" t="s">
        <v>84</v>
      </c>
      <c r="B9231">
        <v>1001</v>
      </c>
      <c r="C9231" t="s">
        <v>79</v>
      </c>
      <c r="D9231">
        <v>1.0475E-4</v>
      </c>
      <c r="E9231" t="s">
        <v>74</v>
      </c>
      <c r="F9231">
        <v>0.10475</v>
      </c>
      <c r="G9231" t="s">
        <v>75</v>
      </c>
      <c r="H9231">
        <v>104.754</v>
      </c>
      <c r="I9231" t="s">
        <v>76</v>
      </c>
      <c r="J9231" t="s">
        <v>77</v>
      </c>
    </row>
    <row r="9232" spans="1:11" x14ac:dyDescent="0.3">
      <c r="A9232" t="s">
        <v>84</v>
      </c>
      <c r="B9232">
        <v>1001</v>
      </c>
      <c r="C9232" t="s">
        <v>94</v>
      </c>
      <c r="D9232">
        <v>2.6390699999999999E-3</v>
      </c>
      <c r="E9232" t="s">
        <v>74</v>
      </c>
      <c r="F9232">
        <v>2.6390699999999998</v>
      </c>
      <c r="G9232" t="s">
        <v>75</v>
      </c>
      <c r="H9232">
        <v>2639.0680000000002</v>
      </c>
      <c r="I9232" t="s">
        <v>76</v>
      </c>
      <c r="J9232" t="s">
        <v>77</v>
      </c>
    </row>
    <row r="9233" spans="1:11" x14ac:dyDescent="0.3">
      <c r="A9233" t="s">
        <v>84</v>
      </c>
      <c r="B9233">
        <v>1001</v>
      </c>
      <c r="C9233" t="s">
        <v>80</v>
      </c>
      <c r="D9233">
        <v>2.7989E-3</v>
      </c>
      <c r="E9233" t="s">
        <v>74</v>
      </c>
      <c r="F9233">
        <v>2.7989000000000002</v>
      </c>
      <c r="G9233" t="s">
        <v>75</v>
      </c>
      <c r="H9233">
        <v>2798.9</v>
      </c>
      <c r="I9233" t="s">
        <v>76</v>
      </c>
      <c r="J9233" t="s">
        <v>77</v>
      </c>
    </row>
    <row r="9234" spans="1:11" x14ac:dyDescent="0.3">
      <c r="A9234" t="s">
        <v>84</v>
      </c>
      <c r="B9234">
        <v>1001</v>
      </c>
      <c r="C9234" t="s">
        <v>81</v>
      </c>
      <c r="D9234">
        <v>2.9045E-3</v>
      </c>
      <c r="E9234" t="s">
        <v>74</v>
      </c>
      <c r="F9234">
        <v>2.9045000000000001</v>
      </c>
      <c r="G9234" t="s">
        <v>75</v>
      </c>
      <c r="H9234">
        <v>2904.4969999999998</v>
      </c>
      <c r="I9234" t="s">
        <v>76</v>
      </c>
      <c r="J9234" t="s">
        <v>82</v>
      </c>
      <c r="K9234">
        <v>344.29374230000002</v>
      </c>
    </row>
    <row r="9235" spans="1:11" x14ac:dyDescent="0.3">
      <c r="A9235" t="s">
        <v>85</v>
      </c>
      <c r="B9235">
        <v>1001</v>
      </c>
      <c r="C9235" t="s">
        <v>86</v>
      </c>
      <c r="D9235">
        <v>2.90472E-3</v>
      </c>
      <c r="E9235" t="s">
        <v>74</v>
      </c>
      <c r="F9235">
        <v>2.9047200000000002</v>
      </c>
      <c r="G9235" t="s">
        <v>75</v>
      </c>
      <c r="H9235">
        <v>2904.7190000000001</v>
      </c>
      <c r="I9235" t="s">
        <v>76</v>
      </c>
      <c r="J9235" t="s">
        <v>82</v>
      </c>
      <c r="K9235">
        <v>344.2673461</v>
      </c>
    </row>
    <row r="9236" spans="1:11" x14ac:dyDescent="0.3">
      <c r="A9236" t="s">
        <v>194</v>
      </c>
    </row>
    <row r="9237" spans="1:11" x14ac:dyDescent="0.3">
      <c r="A9237" t="s">
        <v>435</v>
      </c>
    </row>
    <row r="9238" spans="1:11" x14ac:dyDescent="0.3">
      <c r="A9238" t="s">
        <v>72</v>
      </c>
      <c r="B9238">
        <v>1</v>
      </c>
      <c r="C9238" t="s">
        <v>73</v>
      </c>
      <c r="D9238">
        <v>4.4000000000000002E-6</v>
      </c>
      <c r="E9238" t="s">
        <v>74</v>
      </c>
      <c r="F9238">
        <v>4.4000000000000003E-3</v>
      </c>
      <c r="G9238" t="s">
        <v>75</v>
      </c>
      <c r="H9238">
        <v>4.4000000000000004</v>
      </c>
      <c r="I9238" t="s">
        <v>76</v>
      </c>
      <c r="J9238" t="s">
        <v>77</v>
      </c>
    </row>
    <row r="9239" spans="1:11" x14ac:dyDescent="0.3">
      <c r="A9239" t="s">
        <v>72</v>
      </c>
      <c r="B9239">
        <v>1</v>
      </c>
      <c r="C9239" t="s">
        <v>78</v>
      </c>
      <c r="D9239">
        <v>4.5629999999999998E-4</v>
      </c>
      <c r="E9239" t="s">
        <v>74</v>
      </c>
      <c r="F9239">
        <v>0.45629999999999998</v>
      </c>
      <c r="G9239" t="s">
        <v>75</v>
      </c>
      <c r="H9239">
        <v>456.3</v>
      </c>
      <c r="I9239" t="s">
        <v>76</v>
      </c>
      <c r="J9239" t="s">
        <v>77</v>
      </c>
    </row>
    <row r="9240" spans="1:11" x14ac:dyDescent="0.3">
      <c r="A9240" t="s">
        <v>72</v>
      </c>
      <c r="B9240">
        <v>1</v>
      </c>
      <c r="C9240" t="s">
        <v>79</v>
      </c>
      <c r="D9240">
        <v>4.5360000000000001E-3</v>
      </c>
      <c r="E9240" t="s">
        <v>74</v>
      </c>
      <c r="F9240">
        <v>4.5359999999999996</v>
      </c>
      <c r="G9240" t="s">
        <v>75</v>
      </c>
      <c r="H9240">
        <v>4536</v>
      </c>
      <c r="I9240" t="s">
        <v>76</v>
      </c>
      <c r="J9240" t="s">
        <v>77</v>
      </c>
    </row>
    <row r="9241" spans="1:11" x14ac:dyDescent="0.3">
      <c r="A9241" t="s">
        <v>72</v>
      </c>
      <c r="B9241">
        <v>1</v>
      </c>
      <c r="C9241" t="s">
        <v>94</v>
      </c>
      <c r="D9241">
        <v>2.6264000000000001E-3</v>
      </c>
      <c r="E9241" t="s">
        <v>74</v>
      </c>
      <c r="F9241">
        <v>2.6263999999999998</v>
      </c>
      <c r="G9241" t="s">
        <v>75</v>
      </c>
      <c r="H9241">
        <v>2626.4</v>
      </c>
      <c r="I9241" t="s">
        <v>76</v>
      </c>
      <c r="J9241" t="s">
        <v>77</v>
      </c>
    </row>
    <row r="9242" spans="1:11" x14ac:dyDescent="0.3">
      <c r="A9242" t="s">
        <v>72</v>
      </c>
      <c r="B9242">
        <v>1</v>
      </c>
      <c r="C9242" t="s">
        <v>80</v>
      </c>
      <c r="D9242">
        <v>2.7699000000000001E-3</v>
      </c>
      <c r="E9242" t="s">
        <v>74</v>
      </c>
      <c r="F9242">
        <v>2.7698999999999998</v>
      </c>
      <c r="G9242" t="s">
        <v>75</v>
      </c>
      <c r="H9242">
        <v>2769.9</v>
      </c>
      <c r="I9242" t="s">
        <v>76</v>
      </c>
      <c r="J9242" t="s">
        <v>77</v>
      </c>
    </row>
    <row r="9243" spans="1:11" x14ac:dyDescent="0.3">
      <c r="A9243" t="s">
        <v>72</v>
      </c>
      <c r="B9243">
        <v>1</v>
      </c>
      <c r="C9243" t="s">
        <v>81</v>
      </c>
      <c r="D9243">
        <v>7.3076E-3</v>
      </c>
      <c r="E9243" t="s">
        <v>74</v>
      </c>
      <c r="F9243">
        <v>7.3075999999999999</v>
      </c>
      <c r="G9243" t="s">
        <v>75</v>
      </c>
      <c r="H9243">
        <v>7307.6</v>
      </c>
      <c r="I9243" t="s">
        <v>76</v>
      </c>
      <c r="J9243" t="s">
        <v>82</v>
      </c>
      <c r="K9243">
        <v>136.8438295</v>
      </c>
    </row>
    <row r="9244" spans="1:11" x14ac:dyDescent="0.3">
      <c r="A9244" t="s">
        <v>83</v>
      </c>
      <c r="B9244">
        <v>1000</v>
      </c>
      <c r="C9244" t="s">
        <v>79</v>
      </c>
      <c r="D9244">
        <v>2.9999999999999999E-7</v>
      </c>
      <c r="E9244" t="s">
        <v>74</v>
      </c>
      <c r="F9244">
        <v>2.9999999999999997E-4</v>
      </c>
      <c r="G9244" t="s">
        <v>75</v>
      </c>
      <c r="H9244">
        <v>0.30299999999999999</v>
      </c>
      <c r="I9244" t="s">
        <v>76</v>
      </c>
      <c r="J9244" t="s">
        <v>77</v>
      </c>
    </row>
    <row r="9245" spans="1:11" x14ac:dyDescent="0.3">
      <c r="A9245" t="s">
        <v>83</v>
      </c>
      <c r="B9245">
        <v>1000</v>
      </c>
      <c r="C9245" t="s">
        <v>94</v>
      </c>
      <c r="D9245">
        <v>2.6040899999999999E-3</v>
      </c>
      <c r="E9245" t="s">
        <v>74</v>
      </c>
      <c r="F9245">
        <v>2.6040899999999998</v>
      </c>
      <c r="G9245" t="s">
        <v>75</v>
      </c>
      <c r="H9245">
        <v>2604.087</v>
      </c>
      <c r="I9245" t="s">
        <v>76</v>
      </c>
      <c r="J9245" t="s">
        <v>77</v>
      </c>
    </row>
    <row r="9246" spans="1:11" x14ac:dyDescent="0.3">
      <c r="A9246" t="s">
        <v>83</v>
      </c>
      <c r="B9246">
        <v>1000</v>
      </c>
      <c r="C9246" t="s">
        <v>80</v>
      </c>
      <c r="D9246">
        <v>2.77736E-3</v>
      </c>
      <c r="E9246" t="s">
        <v>74</v>
      </c>
      <c r="F9246">
        <v>2.7773599999999998</v>
      </c>
      <c r="G9246" t="s">
        <v>75</v>
      </c>
      <c r="H9246">
        <v>2777.364</v>
      </c>
      <c r="I9246" t="s">
        <v>76</v>
      </c>
      <c r="J9246" t="s">
        <v>77</v>
      </c>
    </row>
    <row r="9247" spans="1:11" x14ac:dyDescent="0.3">
      <c r="A9247" t="s">
        <v>83</v>
      </c>
      <c r="B9247">
        <v>1000</v>
      </c>
      <c r="C9247" t="s">
        <v>81</v>
      </c>
      <c r="D9247">
        <v>2.77852E-3</v>
      </c>
      <c r="E9247" t="s">
        <v>74</v>
      </c>
      <c r="F9247">
        <v>2.7785199999999999</v>
      </c>
      <c r="G9247" t="s">
        <v>75</v>
      </c>
      <c r="H9247">
        <v>2778.5169999999998</v>
      </c>
      <c r="I9247" t="s">
        <v>76</v>
      </c>
      <c r="J9247" t="s">
        <v>82</v>
      </c>
      <c r="K9247">
        <v>359.90428300000002</v>
      </c>
    </row>
    <row r="9248" spans="1:11" x14ac:dyDescent="0.3">
      <c r="A9248" t="s">
        <v>84</v>
      </c>
      <c r="B9248">
        <v>1001</v>
      </c>
      <c r="C9248" t="s">
        <v>79</v>
      </c>
      <c r="D9248">
        <v>4.8300000000000003E-6</v>
      </c>
      <c r="E9248" t="s">
        <v>74</v>
      </c>
      <c r="F9248">
        <v>4.8300000000000001E-3</v>
      </c>
      <c r="G9248" t="s">
        <v>75</v>
      </c>
      <c r="H9248">
        <v>4.8339999999999996</v>
      </c>
      <c r="I9248" t="s">
        <v>76</v>
      </c>
      <c r="J9248" t="s">
        <v>77</v>
      </c>
    </row>
    <row r="9249" spans="1:11" x14ac:dyDescent="0.3">
      <c r="A9249" t="s">
        <v>84</v>
      </c>
      <c r="B9249">
        <v>1001</v>
      </c>
      <c r="C9249" t="s">
        <v>94</v>
      </c>
      <c r="D9249">
        <v>2.6041100000000002E-3</v>
      </c>
      <c r="E9249" t="s">
        <v>74</v>
      </c>
      <c r="F9249">
        <v>2.6041099999999999</v>
      </c>
      <c r="G9249" t="s">
        <v>75</v>
      </c>
      <c r="H9249">
        <v>2604.1089999999999</v>
      </c>
      <c r="I9249" t="s">
        <v>76</v>
      </c>
      <c r="J9249" t="s">
        <v>77</v>
      </c>
    </row>
    <row r="9250" spans="1:11" x14ac:dyDescent="0.3">
      <c r="A9250" t="s">
        <v>84</v>
      </c>
      <c r="B9250">
        <v>1001</v>
      </c>
      <c r="C9250" t="s">
        <v>80</v>
      </c>
      <c r="D9250">
        <v>2.77736E-3</v>
      </c>
      <c r="E9250" t="s">
        <v>74</v>
      </c>
      <c r="F9250">
        <v>2.7773599999999998</v>
      </c>
      <c r="G9250" t="s">
        <v>75</v>
      </c>
      <c r="H9250">
        <v>2777.357</v>
      </c>
      <c r="I9250" t="s">
        <v>76</v>
      </c>
      <c r="J9250" t="s">
        <v>77</v>
      </c>
    </row>
    <row r="9251" spans="1:11" x14ac:dyDescent="0.3">
      <c r="A9251" t="s">
        <v>84</v>
      </c>
      <c r="B9251">
        <v>1001</v>
      </c>
      <c r="C9251" t="s">
        <v>81</v>
      </c>
      <c r="D9251">
        <v>2.7830400000000001E-3</v>
      </c>
      <c r="E9251" t="s">
        <v>74</v>
      </c>
      <c r="F9251">
        <v>2.7830400000000002</v>
      </c>
      <c r="G9251" t="s">
        <v>75</v>
      </c>
      <c r="H9251">
        <v>2783.0410000000002</v>
      </c>
      <c r="I9251" t="s">
        <v>76</v>
      </c>
      <c r="J9251" t="s">
        <v>82</v>
      </c>
      <c r="K9251">
        <v>359.31917390000001</v>
      </c>
    </row>
    <row r="9252" spans="1:11" x14ac:dyDescent="0.3">
      <c r="A9252" t="s">
        <v>85</v>
      </c>
      <c r="B9252">
        <v>1001</v>
      </c>
      <c r="C9252" t="s">
        <v>86</v>
      </c>
      <c r="D9252">
        <v>2.7832400000000002E-3</v>
      </c>
      <c r="E9252" t="s">
        <v>74</v>
      </c>
      <c r="F9252">
        <v>2.7832400000000002</v>
      </c>
      <c r="G9252" t="s">
        <v>75</v>
      </c>
      <c r="H9252">
        <v>2783.2379999999998</v>
      </c>
      <c r="I9252" t="s">
        <v>76</v>
      </c>
      <c r="J9252" t="s">
        <v>82</v>
      </c>
      <c r="K9252">
        <v>359.29377490000002</v>
      </c>
    </row>
    <row r="9253" spans="1:11" x14ac:dyDescent="0.3">
      <c r="A9253" t="s">
        <v>115</v>
      </c>
    </row>
    <row r="9254" spans="1:11" x14ac:dyDescent="0.3">
      <c r="A9254" t="s">
        <v>127</v>
      </c>
    </row>
    <row r="9255" spans="1:11" x14ac:dyDescent="0.3">
      <c r="A9255" t="s">
        <v>87</v>
      </c>
    </row>
    <row r="9256" spans="1:11" x14ac:dyDescent="0.3">
      <c r="A9256" t="s">
        <v>436</v>
      </c>
    </row>
    <row r="9257" spans="1:11" x14ac:dyDescent="0.3">
      <c r="A9257" t="s">
        <v>72</v>
      </c>
      <c r="B9257">
        <v>1</v>
      </c>
      <c r="C9257" t="s">
        <v>81</v>
      </c>
      <c r="D9257">
        <v>0.1140188</v>
      </c>
      <c r="E9257" t="s">
        <v>74</v>
      </c>
      <c r="F9257">
        <v>114.0188</v>
      </c>
      <c r="G9257" t="s">
        <v>75</v>
      </c>
      <c r="H9257">
        <v>114018.798</v>
      </c>
      <c r="I9257" t="s">
        <v>76</v>
      </c>
      <c r="J9257" t="s">
        <v>82</v>
      </c>
      <c r="K9257">
        <v>8.7704836000000004</v>
      </c>
    </row>
    <row r="9258" spans="1:11" x14ac:dyDescent="0.3">
      <c r="A9258" t="s">
        <v>83</v>
      </c>
      <c r="B9258">
        <v>1000</v>
      </c>
      <c r="C9258" t="s">
        <v>81</v>
      </c>
      <c r="D9258">
        <v>2.7933799999999998E-3</v>
      </c>
      <c r="E9258" t="s">
        <v>74</v>
      </c>
      <c r="F9258">
        <v>2.79338</v>
      </c>
      <c r="G9258" t="s">
        <v>75</v>
      </c>
      <c r="H9258">
        <v>2793.3809999999999</v>
      </c>
      <c r="I9258" t="s">
        <v>76</v>
      </c>
      <c r="J9258" t="s">
        <v>82</v>
      </c>
      <c r="K9258">
        <v>357.98909040000001</v>
      </c>
    </row>
    <row r="9259" spans="1:11" x14ac:dyDescent="0.3">
      <c r="A9259" t="s">
        <v>85</v>
      </c>
      <c r="B9259">
        <v>1001</v>
      </c>
      <c r="C9259" t="s">
        <v>86</v>
      </c>
      <c r="D9259">
        <v>2.90472E-3</v>
      </c>
      <c r="E9259" t="s">
        <v>74</v>
      </c>
      <c r="F9259">
        <v>2.9047200000000002</v>
      </c>
      <c r="G9259" t="s">
        <v>75</v>
      </c>
      <c r="H9259">
        <v>2904.7190000000001</v>
      </c>
      <c r="I9259" t="s">
        <v>76</v>
      </c>
      <c r="J9259" t="s">
        <v>82</v>
      </c>
      <c r="K9259">
        <v>344.2673461</v>
      </c>
    </row>
    <row r="9261" spans="1:11" x14ac:dyDescent="0.3">
      <c r="A9261" t="s">
        <v>437</v>
      </c>
    </row>
    <row r="9262" spans="1:11" x14ac:dyDescent="0.3">
      <c r="A9262" t="s">
        <v>72</v>
      </c>
      <c r="B9262">
        <v>1</v>
      </c>
      <c r="C9262" t="s">
        <v>81</v>
      </c>
      <c r="D9262">
        <v>7.3076E-3</v>
      </c>
      <c r="E9262" t="s">
        <v>74</v>
      </c>
      <c r="F9262">
        <v>7.3075999999999999</v>
      </c>
      <c r="G9262" t="s">
        <v>75</v>
      </c>
      <c r="H9262">
        <v>7307.6</v>
      </c>
      <c r="I9262" t="s">
        <v>76</v>
      </c>
      <c r="J9262" t="s">
        <v>82</v>
      </c>
      <c r="K9262">
        <v>136.8438295</v>
      </c>
    </row>
    <row r="9263" spans="1:11" x14ac:dyDescent="0.3">
      <c r="A9263" t="s">
        <v>83</v>
      </c>
      <c r="B9263">
        <v>1000</v>
      </c>
      <c r="C9263" t="s">
        <v>81</v>
      </c>
      <c r="D9263">
        <v>2.77852E-3</v>
      </c>
      <c r="E9263" t="s">
        <v>74</v>
      </c>
      <c r="F9263">
        <v>2.7785199999999999</v>
      </c>
      <c r="G9263" t="s">
        <v>75</v>
      </c>
      <c r="H9263">
        <v>2778.5169999999998</v>
      </c>
      <c r="I9263" t="s">
        <v>76</v>
      </c>
      <c r="J9263" t="s">
        <v>82</v>
      </c>
      <c r="K9263">
        <v>359.90428300000002</v>
      </c>
    </row>
    <row r="9264" spans="1:11" x14ac:dyDescent="0.3">
      <c r="A9264" t="s">
        <v>85</v>
      </c>
      <c r="B9264">
        <v>1001</v>
      </c>
      <c r="C9264" t="s">
        <v>86</v>
      </c>
      <c r="D9264">
        <v>2.7832400000000002E-3</v>
      </c>
      <c r="E9264" t="s">
        <v>74</v>
      </c>
      <c r="F9264">
        <v>2.7832400000000002</v>
      </c>
      <c r="G9264" t="s">
        <v>75</v>
      </c>
      <c r="H9264">
        <v>2783.2379999999998</v>
      </c>
      <c r="I9264" t="s">
        <v>76</v>
      </c>
      <c r="J9264" t="s">
        <v>82</v>
      </c>
      <c r="K9264">
        <v>359.29377490000002</v>
      </c>
    </row>
    <row r="9266" spans="1:1" x14ac:dyDescent="0.3">
      <c r="A9266" t="s">
        <v>66</v>
      </c>
    </row>
    <row r="9268" spans="1:1" x14ac:dyDescent="0.3">
      <c r="A9268" t="s">
        <v>470</v>
      </c>
    </row>
    <row r="9269" spans="1:1" x14ac:dyDescent="0.3">
      <c r="A9269" t="s">
        <v>68</v>
      </c>
    </row>
    <row r="9270" spans="1:1" x14ac:dyDescent="0.3">
      <c r="A9270" t="s">
        <v>69</v>
      </c>
    </row>
    <row r="9271" spans="1:1" x14ac:dyDescent="0.3">
      <c r="A9271" t="s">
        <v>70</v>
      </c>
    </row>
    <row r="9272" spans="1:1" x14ac:dyDescent="0.3">
      <c r="A9272" t="s">
        <v>115</v>
      </c>
    </row>
    <row r="9273" spans="1:1" x14ac:dyDescent="0.3">
      <c r="A9273" t="s">
        <v>384</v>
      </c>
    </row>
    <row r="9274" spans="1:1" x14ac:dyDescent="0.3">
      <c r="A9274" t="s">
        <v>385</v>
      </c>
    </row>
    <row r="9275" spans="1:1" x14ac:dyDescent="0.3">
      <c r="A9275" t="s">
        <v>118</v>
      </c>
    </row>
    <row r="9276" spans="1:1" x14ac:dyDescent="0.3">
      <c r="A9276" t="s">
        <v>119</v>
      </c>
    </row>
    <row r="9277" spans="1:1" x14ac:dyDescent="0.3">
      <c r="A9277" t="s">
        <v>268</v>
      </c>
    </row>
    <row r="9278" spans="1:1" x14ac:dyDescent="0.3">
      <c r="A9278" t="s">
        <v>269</v>
      </c>
    </row>
    <row r="9279" spans="1:1" x14ac:dyDescent="0.3">
      <c r="A9279" t="s">
        <v>386</v>
      </c>
    </row>
    <row r="9280" spans="1:1" x14ac:dyDescent="0.3">
      <c r="A9280" t="s">
        <v>387</v>
      </c>
    </row>
    <row r="9281" spans="1:11" x14ac:dyDescent="0.3">
      <c r="A9281" t="s">
        <v>271</v>
      </c>
    </row>
    <row r="9282" spans="1:11" x14ac:dyDescent="0.3">
      <c r="A9282" t="s">
        <v>125</v>
      </c>
    </row>
    <row r="9283" spans="1:11" x14ac:dyDescent="0.3">
      <c r="A9283" t="s">
        <v>126</v>
      </c>
    </row>
    <row r="9284" spans="1:11" x14ac:dyDescent="0.3">
      <c r="A9284" t="s">
        <v>127</v>
      </c>
    </row>
    <row r="9285" spans="1:11" x14ac:dyDescent="0.3">
      <c r="A9285" t="s">
        <v>199</v>
      </c>
    </row>
    <row r="9286" spans="1:11" x14ac:dyDescent="0.3">
      <c r="A9286" t="s">
        <v>439</v>
      </c>
    </row>
    <row r="9287" spans="1:11" x14ac:dyDescent="0.3">
      <c r="A9287" t="s">
        <v>72</v>
      </c>
      <c r="B9287">
        <v>1</v>
      </c>
      <c r="C9287" t="s">
        <v>73</v>
      </c>
      <c r="D9287">
        <v>3.7000000000000002E-6</v>
      </c>
      <c r="E9287" t="s">
        <v>74</v>
      </c>
      <c r="F9287">
        <v>3.7000000000000002E-3</v>
      </c>
      <c r="G9287" t="s">
        <v>75</v>
      </c>
      <c r="H9287">
        <v>3.7</v>
      </c>
      <c r="I9287" t="s">
        <v>76</v>
      </c>
      <c r="J9287" t="s">
        <v>77</v>
      </c>
    </row>
    <row r="9288" spans="1:11" x14ac:dyDescent="0.3">
      <c r="A9288" t="s">
        <v>72</v>
      </c>
      <c r="B9288">
        <v>1</v>
      </c>
      <c r="C9288" t="s">
        <v>78</v>
      </c>
      <c r="D9288">
        <v>0.1453768</v>
      </c>
      <c r="E9288" t="s">
        <v>74</v>
      </c>
      <c r="F9288">
        <v>145.3768</v>
      </c>
      <c r="G9288" t="s">
        <v>75</v>
      </c>
      <c r="H9288">
        <v>145376.80100000001</v>
      </c>
      <c r="I9288" t="s">
        <v>76</v>
      </c>
      <c r="J9288" t="s">
        <v>77</v>
      </c>
    </row>
    <row r="9289" spans="1:11" x14ac:dyDescent="0.3">
      <c r="A9289" t="s">
        <v>72</v>
      </c>
      <c r="B9289">
        <v>1</v>
      </c>
      <c r="C9289" t="s">
        <v>79</v>
      </c>
      <c r="D9289">
        <v>0.1378808</v>
      </c>
      <c r="E9289" t="s">
        <v>74</v>
      </c>
      <c r="F9289">
        <v>137.88079999999999</v>
      </c>
      <c r="G9289" t="s">
        <v>75</v>
      </c>
      <c r="H9289">
        <v>137880.802</v>
      </c>
      <c r="I9289" t="s">
        <v>76</v>
      </c>
      <c r="J9289" t="s">
        <v>77</v>
      </c>
    </row>
    <row r="9290" spans="1:11" x14ac:dyDescent="0.3">
      <c r="A9290" t="s">
        <v>72</v>
      </c>
      <c r="B9290">
        <v>1</v>
      </c>
      <c r="C9290" t="s">
        <v>94</v>
      </c>
      <c r="D9290">
        <v>1.8273299999999999E-2</v>
      </c>
      <c r="E9290" t="s">
        <v>74</v>
      </c>
      <c r="F9290">
        <v>18.273299999999999</v>
      </c>
      <c r="G9290" t="s">
        <v>75</v>
      </c>
      <c r="H9290">
        <v>18273.3</v>
      </c>
      <c r="I9290" t="s">
        <v>76</v>
      </c>
      <c r="J9290" t="s">
        <v>77</v>
      </c>
    </row>
    <row r="9291" spans="1:11" x14ac:dyDescent="0.3">
      <c r="A9291" t="s">
        <v>72</v>
      </c>
      <c r="B9291">
        <v>1</v>
      </c>
      <c r="C9291" t="s">
        <v>80</v>
      </c>
      <c r="D9291">
        <v>1.8275799999999998E-2</v>
      </c>
      <c r="E9291" t="s">
        <v>74</v>
      </c>
      <c r="F9291">
        <v>18.2758</v>
      </c>
      <c r="G9291" t="s">
        <v>75</v>
      </c>
      <c r="H9291">
        <v>18275.798999999999</v>
      </c>
      <c r="I9291" t="s">
        <v>76</v>
      </c>
      <c r="J9291" t="s">
        <v>77</v>
      </c>
    </row>
    <row r="9292" spans="1:11" x14ac:dyDescent="0.3">
      <c r="A9292" t="s">
        <v>72</v>
      </c>
      <c r="B9292">
        <v>1</v>
      </c>
      <c r="C9292" t="s">
        <v>81</v>
      </c>
      <c r="D9292">
        <v>0.15615899999999999</v>
      </c>
      <c r="E9292" t="s">
        <v>74</v>
      </c>
      <c r="F9292">
        <v>156.15899999999999</v>
      </c>
      <c r="G9292" t="s">
        <v>75</v>
      </c>
      <c r="H9292">
        <v>156158.99900000001</v>
      </c>
      <c r="I9292" t="s">
        <v>76</v>
      </c>
      <c r="J9292" t="s">
        <v>82</v>
      </c>
      <c r="K9292">
        <v>6.4037296000000001</v>
      </c>
    </row>
    <row r="9293" spans="1:11" x14ac:dyDescent="0.3">
      <c r="A9293" t="s">
        <v>83</v>
      </c>
      <c r="B9293">
        <v>1000</v>
      </c>
      <c r="C9293" t="s">
        <v>79</v>
      </c>
      <c r="D9293">
        <v>2.6E-7</v>
      </c>
      <c r="E9293" t="s">
        <v>74</v>
      </c>
      <c r="F9293">
        <v>2.5999999999999998E-4</v>
      </c>
      <c r="G9293" t="s">
        <v>75</v>
      </c>
      <c r="H9293">
        <v>0.26500000000000001</v>
      </c>
      <c r="I9293" t="s">
        <v>76</v>
      </c>
      <c r="J9293" t="s">
        <v>77</v>
      </c>
    </row>
    <row r="9294" spans="1:11" x14ac:dyDescent="0.3">
      <c r="A9294" t="s">
        <v>83</v>
      </c>
      <c r="B9294">
        <v>1000</v>
      </c>
      <c r="C9294" t="s">
        <v>94</v>
      </c>
      <c r="D9294">
        <v>1.809034E-2</v>
      </c>
      <c r="E9294" t="s">
        <v>74</v>
      </c>
      <c r="F9294">
        <v>18.090340000000001</v>
      </c>
      <c r="G9294" t="s">
        <v>75</v>
      </c>
      <c r="H9294">
        <v>18090.343000000001</v>
      </c>
      <c r="I9294" t="s">
        <v>76</v>
      </c>
      <c r="J9294" t="s">
        <v>77</v>
      </c>
    </row>
    <row r="9295" spans="1:11" x14ac:dyDescent="0.3">
      <c r="A9295" t="s">
        <v>83</v>
      </c>
      <c r="B9295">
        <v>1000</v>
      </c>
      <c r="C9295" t="s">
        <v>80</v>
      </c>
      <c r="D9295">
        <v>1.8090599999999998E-2</v>
      </c>
      <c r="E9295" t="s">
        <v>74</v>
      </c>
      <c r="F9295">
        <v>18.090599999999998</v>
      </c>
      <c r="G9295" t="s">
        <v>75</v>
      </c>
      <c r="H9295">
        <v>18090.600999999999</v>
      </c>
      <c r="I9295" t="s">
        <v>76</v>
      </c>
      <c r="J9295" t="s">
        <v>77</v>
      </c>
    </row>
    <row r="9296" spans="1:11" x14ac:dyDescent="0.3">
      <c r="A9296" t="s">
        <v>83</v>
      </c>
      <c r="B9296">
        <v>1000</v>
      </c>
      <c r="C9296" t="s">
        <v>81</v>
      </c>
      <c r="D9296">
        <v>1.8091610000000001E-2</v>
      </c>
      <c r="E9296" t="s">
        <v>74</v>
      </c>
      <c r="F9296">
        <v>18.091609999999999</v>
      </c>
      <c r="G9296" t="s">
        <v>75</v>
      </c>
      <c r="H9296">
        <v>18091.61</v>
      </c>
      <c r="I9296" t="s">
        <v>76</v>
      </c>
      <c r="J9296" t="s">
        <v>82</v>
      </c>
      <c r="K9296">
        <v>55.274240499999998</v>
      </c>
    </row>
    <row r="9297" spans="1:11" x14ac:dyDescent="0.3">
      <c r="A9297" t="s">
        <v>84</v>
      </c>
      <c r="B9297">
        <v>1001</v>
      </c>
      <c r="C9297" t="s">
        <v>79</v>
      </c>
      <c r="D9297">
        <v>1.3800999999999999E-4</v>
      </c>
      <c r="E9297" t="s">
        <v>74</v>
      </c>
      <c r="F9297">
        <v>0.13800999999999999</v>
      </c>
      <c r="G9297" t="s">
        <v>75</v>
      </c>
      <c r="H9297">
        <v>138.006</v>
      </c>
      <c r="I9297" t="s">
        <v>76</v>
      </c>
      <c r="J9297" t="s">
        <v>77</v>
      </c>
    </row>
    <row r="9298" spans="1:11" x14ac:dyDescent="0.3">
      <c r="A9298" t="s">
        <v>84</v>
      </c>
      <c r="B9298">
        <v>1001</v>
      </c>
      <c r="C9298" t="s">
        <v>94</v>
      </c>
      <c r="D9298">
        <v>1.809053E-2</v>
      </c>
      <c r="E9298" t="s">
        <v>74</v>
      </c>
      <c r="F9298">
        <v>18.090530000000001</v>
      </c>
      <c r="G9298" t="s">
        <v>75</v>
      </c>
      <c r="H9298">
        <v>18090.526999999998</v>
      </c>
      <c r="I9298" t="s">
        <v>76</v>
      </c>
      <c r="J9298" t="s">
        <v>77</v>
      </c>
    </row>
    <row r="9299" spans="1:11" x14ac:dyDescent="0.3">
      <c r="A9299" t="s">
        <v>84</v>
      </c>
      <c r="B9299">
        <v>1001</v>
      </c>
      <c r="C9299" t="s">
        <v>80</v>
      </c>
      <c r="D9299">
        <v>1.8090789999999999E-2</v>
      </c>
      <c r="E9299" t="s">
        <v>74</v>
      </c>
      <c r="F9299">
        <v>18.090789999999998</v>
      </c>
      <c r="G9299" t="s">
        <v>75</v>
      </c>
      <c r="H9299">
        <v>18090.786</v>
      </c>
      <c r="I9299" t="s">
        <v>76</v>
      </c>
      <c r="J9299" t="s">
        <v>77</v>
      </c>
    </row>
    <row r="9300" spans="1:11" x14ac:dyDescent="0.3">
      <c r="A9300" t="s">
        <v>84</v>
      </c>
      <c r="B9300">
        <v>1001</v>
      </c>
      <c r="C9300" t="s">
        <v>81</v>
      </c>
      <c r="D9300">
        <v>1.8229539999999999E-2</v>
      </c>
      <c r="E9300" t="s">
        <v>74</v>
      </c>
      <c r="F9300">
        <v>18.22954</v>
      </c>
      <c r="G9300" t="s">
        <v>75</v>
      </c>
      <c r="H9300">
        <v>18229.537</v>
      </c>
      <c r="I9300" t="s">
        <v>76</v>
      </c>
      <c r="J9300" t="s">
        <v>82</v>
      </c>
      <c r="K9300">
        <v>54.856028600000002</v>
      </c>
    </row>
    <row r="9301" spans="1:11" x14ac:dyDescent="0.3">
      <c r="A9301" t="s">
        <v>85</v>
      </c>
      <c r="B9301">
        <v>1001</v>
      </c>
      <c r="C9301" t="s">
        <v>86</v>
      </c>
      <c r="D9301">
        <v>1.8229800000000001E-2</v>
      </c>
      <c r="E9301" t="s">
        <v>74</v>
      </c>
      <c r="F9301">
        <v>18.229800000000001</v>
      </c>
      <c r="G9301" t="s">
        <v>75</v>
      </c>
      <c r="H9301">
        <v>18229.802</v>
      </c>
      <c r="I9301" t="s">
        <v>76</v>
      </c>
      <c r="J9301" t="s">
        <v>82</v>
      </c>
      <c r="K9301">
        <v>54.855231600000003</v>
      </c>
    </row>
    <row r="9302" spans="1:11" x14ac:dyDescent="0.3">
      <c r="A9302" t="s">
        <v>201</v>
      </c>
    </row>
    <row r="9303" spans="1:11" x14ac:dyDescent="0.3">
      <c r="A9303" t="s">
        <v>440</v>
      </c>
    </row>
    <row r="9304" spans="1:11" x14ac:dyDescent="0.3">
      <c r="A9304" t="s">
        <v>72</v>
      </c>
      <c r="B9304">
        <v>1</v>
      </c>
      <c r="C9304" t="s">
        <v>73</v>
      </c>
      <c r="D9304">
        <v>3.7000000000000002E-6</v>
      </c>
      <c r="E9304" t="s">
        <v>74</v>
      </c>
      <c r="F9304">
        <v>3.7000000000000002E-3</v>
      </c>
      <c r="G9304" t="s">
        <v>75</v>
      </c>
      <c r="H9304">
        <v>3.7</v>
      </c>
      <c r="I9304" t="s">
        <v>76</v>
      </c>
      <c r="J9304" t="s">
        <v>77</v>
      </c>
    </row>
    <row r="9305" spans="1:11" x14ac:dyDescent="0.3">
      <c r="A9305" t="s">
        <v>72</v>
      </c>
      <c r="B9305">
        <v>1</v>
      </c>
      <c r="C9305" t="s">
        <v>78</v>
      </c>
      <c r="D9305">
        <v>9.0386000000000008E-3</v>
      </c>
      <c r="E9305" t="s">
        <v>74</v>
      </c>
      <c r="F9305">
        <v>9.0386000000000006</v>
      </c>
      <c r="G9305" t="s">
        <v>75</v>
      </c>
      <c r="H9305">
        <v>9038.6</v>
      </c>
      <c r="I9305" t="s">
        <v>76</v>
      </c>
      <c r="J9305" t="s">
        <v>77</v>
      </c>
    </row>
    <row r="9306" spans="1:11" x14ac:dyDescent="0.3">
      <c r="A9306" t="s">
        <v>72</v>
      </c>
      <c r="B9306">
        <v>1</v>
      </c>
      <c r="C9306" t="s">
        <v>79</v>
      </c>
      <c r="D9306">
        <v>7.6059999999999995E-4</v>
      </c>
      <c r="E9306" t="s">
        <v>74</v>
      </c>
      <c r="F9306">
        <v>0.76060000000000005</v>
      </c>
      <c r="G9306" t="s">
        <v>75</v>
      </c>
      <c r="H9306">
        <v>760.6</v>
      </c>
      <c r="I9306" t="s">
        <v>76</v>
      </c>
      <c r="J9306" t="s">
        <v>77</v>
      </c>
    </row>
    <row r="9307" spans="1:11" x14ac:dyDescent="0.3">
      <c r="A9307" t="s">
        <v>72</v>
      </c>
      <c r="B9307">
        <v>1</v>
      </c>
      <c r="C9307" t="s">
        <v>94</v>
      </c>
      <c r="D9307">
        <v>0.1195209</v>
      </c>
      <c r="E9307" t="s">
        <v>74</v>
      </c>
      <c r="F9307">
        <v>119.5209</v>
      </c>
      <c r="G9307" t="s">
        <v>75</v>
      </c>
      <c r="H9307">
        <v>119520.90300000001</v>
      </c>
      <c r="I9307" t="s">
        <v>76</v>
      </c>
      <c r="J9307" t="s">
        <v>77</v>
      </c>
    </row>
    <row r="9308" spans="1:11" x14ac:dyDescent="0.3">
      <c r="A9308" t="s">
        <v>72</v>
      </c>
      <c r="B9308">
        <v>1</v>
      </c>
      <c r="C9308" t="s">
        <v>80</v>
      </c>
      <c r="D9308">
        <v>0.11952169999999999</v>
      </c>
      <c r="E9308" t="s">
        <v>74</v>
      </c>
      <c r="F9308">
        <v>119.5217</v>
      </c>
      <c r="G9308" t="s">
        <v>75</v>
      </c>
      <c r="H9308">
        <v>119521.7</v>
      </c>
      <c r="I9308" t="s">
        <v>76</v>
      </c>
      <c r="J9308" t="s">
        <v>77</v>
      </c>
    </row>
    <row r="9309" spans="1:11" x14ac:dyDescent="0.3">
      <c r="A9309" t="s">
        <v>72</v>
      </c>
      <c r="B9309">
        <v>1</v>
      </c>
      <c r="C9309" t="s">
        <v>81</v>
      </c>
      <c r="D9309">
        <v>0.12028369999999999</v>
      </c>
      <c r="E9309" t="s">
        <v>74</v>
      </c>
      <c r="F9309">
        <v>120.2837</v>
      </c>
      <c r="G9309" t="s">
        <v>75</v>
      </c>
      <c r="H9309">
        <v>120283.701</v>
      </c>
      <c r="I9309" t="s">
        <v>76</v>
      </c>
      <c r="J9309" t="s">
        <v>82</v>
      </c>
      <c r="K9309">
        <v>8.3136784000000006</v>
      </c>
    </row>
    <row r="9310" spans="1:11" x14ac:dyDescent="0.3">
      <c r="A9310" t="s">
        <v>83</v>
      </c>
      <c r="B9310">
        <v>1000</v>
      </c>
      <c r="C9310" t="s">
        <v>79</v>
      </c>
      <c r="D9310">
        <v>3.9999999999999998E-7</v>
      </c>
      <c r="E9310" t="s">
        <v>74</v>
      </c>
      <c r="F9310">
        <v>4.0000000000000002E-4</v>
      </c>
      <c r="G9310" t="s">
        <v>75</v>
      </c>
      <c r="H9310">
        <v>0.39500000000000002</v>
      </c>
      <c r="I9310" t="s">
        <v>76</v>
      </c>
      <c r="J9310" t="s">
        <v>77</v>
      </c>
    </row>
    <row r="9311" spans="1:11" x14ac:dyDescent="0.3">
      <c r="A9311" t="s">
        <v>83</v>
      </c>
      <c r="B9311">
        <v>1000</v>
      </c>
      <c r="C9311" t="s">
        <v>94</v>
      </c>
      <c r="D9311">
        <v>2.7698509999999999E-2</v>
      </c>
      <c r="E9311" t="s">
        <v>74</v>
      </c>
      <c r="F9311">
        <v>27.698509999999999</v>
      </c>
      <c r="G9311" t="s">
        <v>75</v>
      </c>
      <c r="H9311">
        <v>27698.514999999999</v>
      </c>
      <c r="I9311" t="s">
        <v>76</v>
      </c>
      <c r="J9311" t="s">
        <v>77</v>
      </c>
    </row>
    <row r="9312" spans="1:11" x14ac:dyDescent="0.3">
      <c r="A9312" t="s">
        <v>83</v>
      </c>
      <c r="B9312">
        <v>1000</v>
      </c>
      <c r="C9312" t="s">
        <v>80</v>
      </c>
      <c r="D9312">
        <v>2.7839470000000002E-2</v>
      </c>
      <c r="E9312" t="s">
        <v>74</v>
      </c>
      <c r="F9312">
        <v>27.839469999999999</v>
      </c>
      <c r="G9312" t="s">
        <v>75</v>
      </c>
      <c r="H9312">
        <v>27839.473999999998</v>
      </c>
      <c r="I9312" t="s">
        <v>76</v>
      </c>
      <c r="J9312" t="s">
        <v>77</v>
      </c>
    </row>
    <row r="9313" spans="1:11" x14ac:dyDescent="0.3">
      <c r="A9313" t="s">
        <v>83</v>
      </c>
      <c r="B9313">
        <v>1000</v>
      </c>
      <c r="C9313" t="s">
        <v>81</v>
      </c>
      <c r="D9313">
        <v>2.7841189999999998E-2</v>
      </c>
      <c r="E9313" t="s">
        <v>74</v>
      </c>
      <c r="F9313">
        <v>27.841190000000001</v>
      </c>
      <c r="G9313" t="s">
        <v>75</v>
      </c>
      <c r="H9313">
        <v>27841.19</v>
      </c>
      <c r="I9313" t="s">
        <v>76</v>
      </c>
      <c r="J9313" t="s">
        <v>82</v>
      </c>
      <c r="K9313">
        <v>35.918004500000002</v>
      </c>
    </row>
    <row r="9314" spans="1:11" x14ac:dyDescent="0.3">
      <c r="A9314" t="s">
        <v>84</v>
      </c>
      <c r="B9314">
        <v>1001</v>
      </c>
      <c r="C9314" t="s">
        <v>79</v>
      </c>
      <c r="D9314">
        <v>1.15E-6</v>
      </c>
      <c r="E9314" t="s">
        <v>74</v>
      </c>
      <c r="F9314">
        <v>1.15E-3</v>
      </c>
      <c r="G9314" t="s">
        <v>75</v>
      </c>
      <c r="H9314">
        <v>1.155</v>
      </c>
      <c r="I9314" t="s">
        <v>76</v>
      </c>
      <c r="J9314" t="s">
        <v>77</v>
      </c>
    </row>
    <row r="9315" spans="1:11" x14ac:dyDescent="0.3">
      <c r="A9315" t="s">
        <v>84</v>
      </c>
      <c r="B9315">
        <v>1001</v>
      </c>
      <c r="C9315" t="s">
        <v>94</v>
      </c>
      <c r="D9315">
        <v>2.7790240000000001E-2</v>
      </c>
      <c r="E9315" t="s">
        <v>74</v>
      </c>
      <c r="F9315">
        <v>27.790240000000001</v>
      </c>
      <c r="G9315" t="s">
        <v>75</v>
      </c>
      <c r="H9315">
        <v>27790.244999999999</v>
      </c>
      <c r="I9315" t="s">
        <v>76</v>
      </c>
      <c r="J9315" t="s">
        <v>77</v>
      </c>
    </row>
    <row r="9316" spans="1:11" x14ac:dyDescent="0.3">
      <c r="A9316" t="s">
        <v>84</v>
      </c>
      <c r="B9316">
        <v>1001</v>
      </c>
      <c r="C9316" t="s">
        <v>80</v>
      </c>
      <c r="D9316">
        <v>2.7931060000000001E-2</v>
      </c>
      <c r="E9316" t="s">
        <v>74</v>
      </c>
      <c r="F9316">
        <v>27.931059999999999</v>
      </c>
      <c r="G9316" t="s">
        <v>75</v>
      </c>
      <c r="H9316">
        <v>27931.064999999999</v>
      </c>
      <c r="I9316" t="s">
        <v>76</v>
      </c>
      <c r="J9316" t="s">
        <v>77</v>
      </c>
    </row>
    <row r="9317" spans="1:11" x14ac:dyDescent="0.3">
      <c r="A9317" t="s">
        <v>84</v>
      </c>
      <c r="B9317">
        <v>1001</v>
      </c>
      <c r="C9317" t="s">
        <v>81</v>
      </c>
      <c r="D9317">
        <v>2.793354E-2</v>
      </c>
      <c r="E9317" t="s">
        <v>74</v>
      </c>
      <c r="F9317">
        <v>27.933540000000001</v>
      </c>
      <c r="G9317" t="s">
        <v>75</v>
      </c>
      <c r="H9317">
        <v>27933.542000000001</v>
      </c>
      <c r="I9317" t="s">
        <v>76</v>
      </c>
      <c r="J9317" t="s">
        <v>82</v>
      </c>
      <c r="K9317">
        <v>35.799255500000001</v>
      </c>
    </row>
    <row r="9318" spans="1:11" x14ac:dyDescent="0.3">
      <c r="A9318" t="s">
        <v>85</v>
      </c>
      <c r="B9318">
        <v>1001</v>
      </c>
      <c r="C9318" t="s">
        <v>86</v>
      </c>
      <c r="D9318">
        <v>2.7933929999999999E-2</v>
      </c>
      <c r="E9318" t="s">
        <v>74</v>
      </c>
      <c r="F9318">
        <v>27.93393</v>
      </c>
      <c r="G9318" t="s">
        <v>75</v>
      </c>
      <c r="H9318">
        <v>27933.931</v>
      </c>
      <c r="I9318" t="s">
        <v>76</v>
      </c>
      <c r="J9318" t="s">
        <v>82</v>
      </c>
      <c r="K9318">
        <v>35.798757299999998</v>
      </c>
    </row>
    <row r="9319" spans="1:11" x14ac:dyDescent="0.3">
      <c r="A9319" t="s">
        <v>115</v>
      </c>
    </row>
    <row r="9320" spans="1:11" x14ac:dyDescent="0.3">
      <c r="A9320" t="s">
        <v>127</v>
      </c>
    </row>
    <row r="9321" spans="1:11" x14ac:dyDescent="0.3">
      <c r="A9321" t="s">
        <v>87</v>
      </c>
    </row>
    <row r="9322" spans="1:11" x14ac:dyDescent="0.3">
      <c r="A9322" t="s">
        <v>441</v>
      </c>
    </row>
    <row r="9323" spans="1:11" x14ac:dyDescent="0.3">
      <c r="A9323" t="s">
        <v>72</v>
      </c>
      <c r="B9323">
        <v>1</v>
      </c>
      <c r="C9323" t="s">
        <v>81</v>
      </c>
      <c r="D9323">
        <v>0.15615899999999999</v>
      </c>
      <c r="E9323" t="s">
        <v>74</v>
      </c>
      <c r="F9323">
        <v>156.15899999999999</v>
      </c>
      <c r="G9323" t="s">
        <v>75</v>
      </c>
      <c r="H9323">
        <v>156158.99900000001</v>
      </c>
      <c r="I9323" t="s">
        <v>76</v>
      </c>
      <c r="J9323" t="s">
        <v>82</v>
      </c>
      <c r="K9323">
        <v>6.4037296000000001</v>
      </c>
    </row>
    <row r="9324" spans="1:11" x14ac:dyDescent="0.3">
      <c r="A9324" t="s">
        <v>83</v>
      </c>
      <c r="B9324">
        <v>1000</v>
      </c>
      <c r="C9324" t="s">
        <v>81</v>
      </c>
      <c r="D9324">
        <v>1.8091610000000001E-2</v>
      </c>
      <c r="E9324" t="s">
        <v>74</v>
      </c>
      <c r="F9324">
        <v>18.091609999999999</v>
      </c>
      <c r="G9324" t="s">
        <v>75</v>
      </c>
      <c r="H9324">
        <v>18091.61</v>
      </c>
      <c r="I9324" t="s">
        <v>76</v>
      </c>
      <c r="J9324" t="s">
        <v>82</v>
      </c>
      <c r="K9324">
        <v>55.274240499999998</v>
      </c>
    </row>
    <row r="9325" spans="1:11" x14ac:dyDescent="0.3">
      <c r="A9325" t="s">
        <v>85</v>
      </c>
      <c r="B9325">
        <v>1001</v>
      </c>
      <c r="C9325" t="s">
        <v>86</v>
      </c>
      <c r="D9325">
        <v>1.8229800000000001E-2</v>
      </c>
      <c r="E9325" t="s">
        <v>74</v>
      </c>
      <c r="F9325">
        <v>18.229800000000001</v>
      </c>
      <c r="G9325" t="s">
        <v>75</v>
      </c>
      <c r="H9325">
        <v>18229.802</v>
      </c>
      <c r="I9325" t="s">
        <v>76</v>
      </c>
      <c r="J9325" t="s">
        <v>82</v>
      </c>
      <c r="K9325">
        <v>54.855231600000003</v>
      </c>
    </row>
    <row r="9327" spans="1:11" x14ac:dyDescent="0.3">
      <c r="A9327" t="s">
        <v>442</v>
      </c>
    </row>
    <row r="9328" spans="1:11" x14ac:dyDescent="0.3">
      <c r="A9328" t="s">
        <v>72</v>
      </c>
      <c r="B9328">
        <v>1</v>
      </c>
      <c r="C9328" t="s">
        <v>81</v>
      </c>
      <c r="D9328">
        <v>0.12028369999999999</v>
      </c>
      <c r="E9328" t="s">
        <v>74</v>
      </c>
      <c r="F9328">
        <v>120.2837</v>
      </c>
      <c r="G9328" t="s">
        <v>75</v>
      </c>
      <c r="H9328">
        <v>120283.701</v>
      </c>
      <c r="I9328" t="s">
        <v>76</v>
      </c>
      <c r="J9328" t="s">
        <v>82</v>
      </c>
      <c r="K9328">
        <v>8.3136784000000006</v>
      </c>
    </row>
    <row r="9329" spans="1:11" x14ac:dyDescent="0.3">
      <c r="A9329" t="s">
        <v>83</v>
      </c>
      <c r="B9329">
        <v>1000</v>
      </c>
      <c r="C9329" t="s">
        <v>81</v>
      </c>
      <c r="D9329">
        <v>2.7841189999999998E-2</v>
      </c>
      <c r="E9329" t="s">
        <v>74</v>
      </c>
      <c r="F9329">
        <v>27.841190000000001</v>
      </c>
      <c r="G9329" t="s">
        <v>75</v>
      </c>
      <c r="H9329">
        <v>27841.19</v>
      </c>
      <c r="I9329" t="s">
        <v>76</v>
      </c>
      <c r="J9329" t="s">
        <v>82</v>
      </c>
      <c r="K9329">
        <v>35.918004500000002</v>
      </c>
    </row>
    <row r="9330" spans="1:11" x14ac:dyDescent="0.3">
      <c r="A9330" t="s">
        <v>85</v>
      </c>
      <c r="B9330">
        <v>1001</v>
      </c>
      <c r="C9330" t="s">
        <v>86</v>
      </c>
      <c r="D9330">
        <v>2.7933929999999999E-2</v>
      </c>
      <c r="E9330" t="s">
        <v>74</v>
      </c>
      <c r="F9330">
        <v>27.93393</v>
      </c>
      <c r="G9330" t="s">
        <v>75</v>
      </c>
      <c r="H9330">
        <v>27933.931</v>
      </c>
      <c r="I9330" t="s">
        <v>76</v>
      </c>
      <c r="J9330" t="s">
        <v>82</v>
      </c>
      <c r="K9330">
        <v>35.798757299999998</v>
      </c>
    </row>
    <row r="9332" spans="1:11" x14ac:dyDescent="0.3">
      <c r="A9332" t="s">
        <v>66</v>
      </c>
    </row>
    <row r="9334" spans="1:11" x14ac:dyDescent="0.3">
      <c r="A9334" t="s">
        <v>471</v>
      </c>
    </row>
    <row r="9335" spans="1:11" x14ac:dyDescent="0.3">
      <c r="A9335" t="s">
        <v>68</v>
      </c>
    </row>
    <row r="9336" spans="1:11" x14ac:dyDescent="0.3">
      <c r="A9336" t="s">
        <v>69</v>
      </c>
    </row>
    <row r="9337" spans="1:11" x14ac:dyDescent="0.3">
      <c r="A9337" t="s">
        <v>70</v>
      </c>
    </row>
    <row r="9338" spans="1:11" x14ac:dyDescent="0.3">
      <c r="A9338" t="s">
        <v>115</v>
      </c>
    </row>
    <row r="9339" spans="1:11" x14ac:dyDescent="0.3">
      <c r="A9339" t="s">
        <v>384</v>
      </c>
    </row>
    <row r="9340" spans="1:11" x14ac:dyDescent="0.3">
      <c r="A9340" t="s">
        <v>385</v>
      </c>
    </row>
    <row r="9341" spans="1:11" x14ac:dyDescent="0.3">
      <c r="A9341" t="s">
        <v>118</v>
      </c>
    </row>
    <row r="9342" spans="1:11" x14ac:dyDescent="0.3">
      <c r="A9342" t="s">
        <v>119</v>
      </c>
    </row>
    <row r="9343" spans="1:11" x14ac:dyDescent="0.3">
      <c r="A9343" t="s">
        <v>268</v>
      </c>
    </row>
    <row r="9344" spans="1:11" x14ac:dyDescent="0.3">
      <c r="A9344" t="s">
        <v>269</v>
      </c>
    </row>
    <row r="9345" spans="1:11" x14ac:dyDescent="0.3">
      <c r="A9345" t="s">
        <v>386</v>
      </c>
    </row>
    <row r="9346" spans="1:11" x14ac:dyDescent="0.3">
      <c r="A9346" t="s">
        <v>387</v>
      </c>
    </row>
    <row r="9347" spans="1:11" x14ac:dyDescent="0.3">
      <c r="A9347" t="s">
        <v>271</v>
      </c>
    </row>
    <row r="9348" spans="1:11" x14ac:dyDescent="0.3">
      <c r="A9348" t="s">
        <v>125</v>
      </c>
    </row>
    <row r="9349" spans="1:11" x14ac:dyDescent="0.3">
      <c r="A9349" t="s">
        <v>126</v>
      </c>
    </row>
    <row r="9350" spans="1:11" x14ac:dyDescent="0.3">
      <c r="A9350" t="s">
        <v>127</v>
      </c>
    </row>
    <row r="9351" spans="1:11" x14ac:dyDescent="0.3">
      <c r="A9351" t="s">
        <v>206</v>
      </c>
    </row>
    <row r="9352" spans="1:11" x14ac:dyDescent="0.3">
      <c r="A9352" t="s">
        <v>444</v>
      </c>
    </row>
    <row r="9353" spans="1:11" x14ac:dyDescent="0.3">
      <c r="A9353" t="s">
        <v>72</v>
      </c>
      <c r="B9353">
        <v>1</v>
      </c>
      <c r="C9353" t="s">
        <v>73</v>
      </c>
      <c r="D9353">
        <v>3.9999999999999998E-6</v>
      </c>
      <c r="E9353" t="s">
        <v>74</v>
      </c>
      <c r="F9353">
        <v>4.0000000000000001E-3</v>
      </c>
      <c r="G9353" t="s">
        <v>75</v>
      </c>
      <c r="H9353">
        <v>4</v>
      </c>
      <c r="I9353" t="s">
        <v>76</v>
      </c>
      <c r="J9353" t="s">
        <v>77</v>
      </c>
    </row>
    <row r="9354" spans="1:11" x14ac:dyDescent="0.3">
      <c r="A9354" t="s">
        <v>72</v>
      </c>
      <c r="B9354">
        <v>1</v>
      </c>
      <c r="C9354" t="s">
        <v>78</v>
      </c>
      <c r="D9354">
        <v>0.13577159999999999</v>
      </c>
      <c r="E9354" t="s">
        <v>74</v>
      </c>
      <c r="F9354">
        <v>135.77160000000001</v>
      </c>
      <c r="G9354" t="s">
        <v>75</v>
      </c>
      <c r="H9354">
        <v>135771.60200000001</v>
      </c>
      <c r="I9354" t="s">
        <v>76</v>
      </c>
      <c r="J9354" t="s">
        <v>77</v>
      </c>
    </row>
    <row r="9355" spans="1:11" x14ac:dyDescent="0.3">
      <c r="A9355" t="s">
        <v>72</v>
      </c>
      <c r="B9355">
        <v>1</v>
      </c>
      <c r="C9355" t="s">
        <v>79</v>
      </c>
      <c r="D9355">
        <v>0.14328630000000001</v>
      </c>
      <c r="E9355" t="s">
        <v>74</v>
      </c>
      <c r="F9355">
        <v>143.28630000000001</v>
      </c>
      <c r="G9355" t="s">
        <v>75</v>
      </c>
      <c r="H9355">
        <v>143286.30300000001</v>
      </c>
      <c r="I9355" t="s">
        <v>76</v>
      </c>
      <c r="J9355" t="s">
        <v>77</v>
      </c>
    </row>
    <row r="9356" spans="1:11" x14ac:dyDescent="0.3">
      <c r="A9356" t="s">
        <v>72</v>
      </c>
      <c r="B9356">
        <v>1</v>
      </c>
      <c r="C9356" t="s">
        <v>94</v>
      </c>
      <c r="D9356">
        <v>1.6682300000000001E-2</v>
      </c>
      <c r="E9356" t="s">
        <v>74</v>
      </c>
      <c r="F9356">
        <v>16.682300000000001</v>
      </c>
      <c r="G9356" t="s">
        <v>75</v>
      </c>
      <c r="H9356">
        <v>16682.300999999999</v>
      </c>
      <c r="I9356" t="s">
        <v>76</v>
      </c>
      <c r="J9356" t="s">
        <v>77</v>
      </c>
    </row>
    <row r="9357" spans="1:11" x14ac:dyDescent="0.3">
      <c r="A9357" t="s">
        <v>72</v>
      </c>
      <c r="B9357">
        <v>1</v>
      </c>
      <c r="C9357" t="s">
        <v>80</v>
      </c>
      <c r="D9357">
        <v>1.6682800000000001E-2</v>
      </c>
      <c r="E9357" t="s">
        <v>74</v>
      </c>
      <c r="F9357">
        <v>16.6828</v>
      </c>
      <c r="G9357" t="s">
        <v>75</v>
      </c>
      <c r="H9357">
        <v>16682.8</v>
      </c>
      <c r="I9357" t="s">
        <v>76</v>
      </c>
      <c r="J9357" t="s">
        <v>77</v>
      </c>
    </row>
    <row r="9358" spans="1:11" x14ac:dyDescent="0.3">
      <c r="A9358" t="s">
        <v>72</v>
      </c>
      <c r="B9358">
        <v>1</v>
      </c>
      <c r="C9358" t="s">
        <v>81</v>
      </c>
      <c r="D9358">
        <v>0.15997159</v>
      </c>
      <c r="E9358" t="s">
        <v>74</v>
      </c>
      <c r="F9358">
        <v>159.97158999999999</v>
      </c>
      <c r="G9358" t="s">
        <v>75</v>
      </c>
      <c r="H9358">
        <v>159971.595</v>
      </c>
      <c r="I9358" t="s">
        <v>76</v>
      </c>
      <c r="J9358" t="s">
        <v>82</v>
      </c>
      <c r="K9358">
        <v>6.2511098</v>
      </c>
    </row>
    <row r="9359" spans="1:11" x14ac:dyDescent="0.3">
      <c r="A9359" t="s">
        <v>83</v>
      </c>
      <c r="B9359">
        <v>1000</v>
      </c>
      <c r="C9359" t="s">
        <v>79</v>
      </c>
      <c r="D9359">
        <v>2.1E-7</v>
      </c>
      <c r="E9359" t="s">
        <v>74</v>
      </c>
      <c r="F9359">
        <v>2.1000000000000001E-4</v>
      </c>
      <c r="G9359" t="s">
        <v>75</v>
      </c>
      <c r="H9359">
        <v>0.21299999999999999</v>
      </c>
      <c r="I9359" t="s">
        <v>76</v>
      </c>
      <c r="J9359" t="s">
        <v>77</v>
      </c>
    </row>
    <row r="9360" spans="1:11" x14ac:dyDescent="0.3">
      <c r="A9360" t="s">
        <v>83</v>
      </c>
      <c r="B9360">
        <v>1000</v>
      </c>
      <c r="C9360" t="s">
        <v>94</v>
      </c>
      <c r="D9360">
        <v>1.6617440000000001E-2</v>
      </c>
      <c r="E9360" t="s">
        <v>74</v>
      </c>
      <c r="F9360">
        <v>16.617439999999998</v>
      </c>
      <c r="G9360" t="s">
        <v>75</v>
      </c>
      <c r="H9360">
        <v>16617.437000000002</v>
      </c>
      <c r="I9360" t="s">
        <v>76</v>
      </c>
      <c r="J9360" t="s">
        <v>77</v>
      </c>
    </row>
    <row r="9361" spans="1:11" x14ac:dyDescent="0.3">
      <c r="A9361" t="s">
        <v>83</v>
      </c>
      <c r="B9361">
        <v>1000</v>
      </c>
      <c r="C9361" t="s">
        <v>80</v>
      </c>
      <c r="D9361">
        <v>1.661777E-2</v>
      </c>
      <c r="E9361" t="s">
        <v>74</v>
      </c>
      <c r="F9361">
        <v>16.61777</v>
      </c>
      <c r="G9361" t="s">
        <v>75</v>
      </c>
      <c r="H9361">
        <v>16617.775000000001</v>
      </c>
      <c r="I9361" t="s">
        <v>76</v>
      </c>
      <c r="J9361" t="s">
        <v>77</v>
      </c>
    </row>
    <row r="9362" spans="1:11" x14ac:dyDescent="0.3">
      <c r="A9362" t="s">
        <v>83</v>
      </c>
      <c r="B9362">
        <v>1000</v>
      </c>
      <c r="C9362" t="s">
        <v>81</v>
      </c>
      <c r="D9362">
        <v>1.661866E-2</v>
      </c>
      <c r="E9362" t="s">
        <v>74</v>
      </c>
      <c r="F9362">
        <v>16.618659999999998</v>
      </c>
      <c r="G9362" t="s">
        <v>75</v>
      </c>
      <c r="H9362">
        <v>16618.664000000001</v>
      </c>
      <c r="I9362" t="s">
        <v>76</v>
      </c>
      <c r="J9362" t="s">
        <v>82</v>
      </c>
      <c r="K9362">
        <v>60.173309500000002</v>
      </c>
    </row>
    <row r="9363" spans="1:11" x14ac:dyDescent="0.3">
      <c r="A9363" t="s">
        <v>84</v>
      </c>
      <c r="B9363">
        <v>1001</v>
      </c>
      <c r="C9363" t="s">
        <v>79</v>
      </c>
      <c r="D9363">
        <v>1.4336000000000001E-4</v>
      </c>
      <c r="E9363" t="s">
        <v>74</v>
      </c>
      <c r="F9363">
        <v>0.14335999999999999</v>
      </c>
      <c r="G9363" t="s">
        <v>75</v>
      </c>
      <c r="H9363">
        <v>143.35499999999999</v>
      </c>
      <c r="I9363" t="s">
        <v>76</v>
      </c>
      <c r="J9363" t="s">
        <v>77</v>
      </c>
    </row>
    <row r="9364" spans="1:11" x14ac:dyDescent="0.3">
      <c r="A9364" t="s">
        <v>84</v>
      </c>
      <c r="B9364">
        <v>1001</v>
      </c>
      <c r="C9364" t="s">
        <v>94</v>
      </c>
      <c r="D9364">
        <v>1.66175E-2</v>
      </c>
      <c r="E9364" t="s">
        <v>74</v>
      </c>
      <c r="F9364">
        <v>16.6175</v>
      </c>
      <c r="G9364" t="s">
        <v>75</v>
      </c>
      <c r="H9364">
        <v>16617.502</v>
      </c>
      <c r="I9364" t="s">
        <v>76</v>
      </c>
      <c r="J9364" t="s">
        <v>77</v>
      </c>
    </row>
    <row r="9365" spans="1:11" x14ac:dyDescent="0.3">
      <c r="A9365" t="s">
        <v>84</v>
      </c>
      <c r="B9365">
        <v>1001</v>
      </c>
      <c r="C9365" t="s">
        <v>80</v>
      </c>
      <c r="D9365">
        <v>1.6617839999999998E-2</v>
      </c>
      <c r="E9365" t="s">
        <v>74</v>
      </c>
      <c r="F9365">
        <v>16.617840000000001</v>
      </c>
      <c r="G9365" t="s">
        <v>75</v>
      </c>
      <c r="H9365">
        <v>16617.839</v>
      </c>
      <c r="I9365" t="s">
        <v>76</v>
      </c>
      <c r="J9365" t="s">
        <v>77</v>
      </c>
    </row>
    <row r="9366" spans="1:11" x14ac:dyDescent="0.3">
      <c r="A9366" t="s">
        <v>84</v>
      </c>
      <c r="B9366">
        <v>1001</v>
      </c>
      <c r="C9366" t="s">
        <v>81</v>
      </c>
      <c r="D9366">
        <v>1.6761870000000002E-2</v>
      </c>
      <c r="E9366" t="s">
        <v>74</v>
      </c>
      <c r="F9366">
        <v>16.761869999999998</v>
      </c>
      <c r="G9366" t="s">
        <v>75</v>
      </c>
      <c r="H9366">
        <v>16761.873</v>
      </c>
      <c r="I9366" t="s">
        <v>76</v>
      </c>
      <c r="J9366" t="s">
        <v>82</v>
      </c>
      <c r="K9366">
        <v>59.659203400000003</v>
      </c>
    </row>
    <row r="9367" spans="1:11" x14ac:dyDescent="0.3">
      <c r="A9367" t="s">
        <v>85</v>
      </c>
      <c r="B9367">
        <v>1001</v>
      </c>
      <c r="C9367" t="s">
        <v>86</v>
      </c>
      <c r="D9367">
        <v>1.6762269999999999E-2</v>
      </c>
      <c r="E9367" t="s">
        <v>74</v>
      </c>
      <c r="F9367">
        <v>16.762270000000001</v>
      </c>
      <c r="G9367" t="s">
        <v>75</v>
      </c>
      <c r="H9367">
        <v>16762.269</v>
      </c>
      <c r="I9367" t="s">
        <v>76</v>
      </c>
      <c r="J9367" t="s">
        <v>82</v>
      </c>
      <c r="K9367">
        <v>59.657792800000003</v>
      </c>
    </row>
    <row r="9368" spans="1:11" x14ac:dyDescent="0.3">
      <c r="A9368" t="s">
        <v>208</v>
      </c>
    </row>
    <row r="9369" spans="1:11" x14ac:dyDescent="0.3">
      <c r="A9369" t="s">
        <v>445</v>
      </c>
    </row>
    <row r="9370" spans="1:11" x14ac:dyDescent="0.3">
      <c r="A9370" t="s">
        <v>72</v>
      </c>
      <c r="B9370">
        <v>1</v>
      </c>
      <c r="C9370" t="s">
        <v>73</v>
      </c>
      <c r="D9370">
        <v>3.9999999999999998E-6</v>
      </c>
      <c r="E9370" t="s">
        <v>74</v>
      </c>
      <c r="F9370">
        <v>4.0000000000000001E-3</v>
      </c>
      <c r="G9370" t="s">
        <v>75</v>
      </c>
      <c r="H9370">
        <v>4</v>
      </c>
      <c r="I9370" t="s">
        <v>76</v>
      </c>
      <c r="J9370" t="s">
        <v>77</v>
      </c>
    </row>
    <row r="9371" spans="1:11" x14ac:dyDescent="0.3">
      <c r="A9371" t="s">
        <v>72</v>
      </c>
      <c r="B9371">
        <v>1</v>
      </c>
      <c r="C9371" t="s">
        <v>78</v>
      </c>
      <c r="D9371">
        <v>8.5120999999999999E-3</v>
      </c>
      <c r="E9371" t="s">
        <v>74</v>
      </c>
      <c r="F9371">
        <v>8.5121000000000002</v>
      </c>
      <c r="G9371" t="s">
        <v>75</v>
      </c>
      <c r="H9371">
        <v>8512.1</v>
      </c>
      <c r="I9371" t="s">
        <v>76</v>
      </c>
      <c r="J9371" t="s">
        <v>77</v>
      </c>
    </row>
    <row r="9372" spans="1:11" x14ac:dyDescent="0.3">
      <c r="A9372" t="s">
        <v>72</v>
      </c>
      <c r="B9372">
        <v>1</v>
      </c>
      <c r="C9372" t="s">
        <v>79</v>
      </c>
      <c r="D9372">
        <v>7.9089999999999998E-4</v>
      </c>
      <c r="E9372" t="s">
        <v>74</v>
      </c>
      <c r="F9372">
        <v>0.79090000000000005</v>
      </c>
      <c r="G9372" t="s">
        <v>75</v>
      </c>
      <c r="H9372">
        <v>790.9</v>
      </c>
      <c r="I9372" t="s">
        <v>76</v>
      </c>
      <c r="J9372" t="s">
        <v>77</v>
      </c>
    </row>
    <row r="9373" spans="1:11" x14ac:dyDescent="0.3">
      <c r="A9373" t="s">
        <v>72</v>
      </c>
      <c r="B9373">
        <v>1</v>
      </c>
      <c r="C9373" t="s">
        <v>94</v>
      </c>
      <c r="D9373">
        <v>2.94711E-2</v>
      </c>
      <c r="E9373" t="s">
        <v>74</v>
      </c>
      <c r="F9373">
        <v>29.4711</v>
      </c>
      <c r="G9373" t="s">
        <v>75</v>
      </c>
      <c r="H9373">
        <v>29471.098999999998</v>
      </c>
      <c r="I9373" t="s">
        <v>76</v>
      </c>
      <c r="J9373" t="s">
        <v>77</v>
      </c>
    </row>
    <row r="9374" spans="1:11" x14ac:dyDescent="0.3">
      <c r="A9374" t="s">
        <v>72</v>
      </c>
      <c r="B9374">
        <v>1</v>
      </c>
      <c r="C9374" t="s">
        <v>80</v>
      </c>
      <c r="D9374">
        <v>2.9471799999999999E-2</v>
      </c>
      <c r="E9374" t="s">
        <v>74</v>
      </c>
      <c r="F9374">
        <v>29.471800000000002</v>
      </c>
      <c r="G9374" t="s">
        <v>75</v>
      </c>
      <c r="H9374">
        <v>29471.8</v>
      </c>
      <c r="I9374" t="s">
        <v>76</v>
      </c>
      <c r="J9374" t="s">
        <v>77</v>
      </c>
    </row>
    <row r="9375" spans="1:11" x14ac:dyDescent="0.3">
      <c r="A9375" t="s">
        <v>72</v>
      </c>
      <c r="B9375">
        <v>1</v>
      </c>
      <c r="C9375" t="s">
        <v>81</v>
      </c>
      <c r="D9375">
        <v>3.0263999999999999E-2</v>
      </c>
      <c r="E9375" t="s">
        <v>74</v>
      </c>
      <c r="F9375">
        <v>30.263999999999999</v>
      </c>
      <c r="G9375" t="s">
        <v>75</v>
      </c>
      <c r="H9375">
        <v>30263.999</v>
      </c>
      <c r="I9375" t="s">
        <v>76</v>
      </c>
      <c r="J9375" t="s">
        <v>82</v>
      </c>
      <c r="K9375">
        <v>33.042559400000002</v>
      </c>
    </row>
    <row r="9376" spans="1:11" x14ac:dyDescent="0.3">
      <c r="A9376" t="s">
        <v>83</v>
      </c>
      <c r="B9376">
        <v>1000</v>
      </c>
      <c r="C9376" t="s">
        <v>79</v>
      </c>
      <c r="D9376">
        <v>4.0999999999999999E-7</v>
      </c>
      <c r="E9376" t="s">
        <v>74</v>
      </c>
      <c r="F9376">
        <v>4.0999999999999999E-4</v>
      </c>
      <c r="G9376" t="s">
        <v>75</v>
      </c>
      <c r="H9376">
        <v>0.40600000000000003</v>
      </c>
      <c r="I9376" t="s">
        <v>76</v>
      </c>
      <c r="J9376" t="s">
        <v>77</v>
      </c>
    </row>
    <row r="9377" spans="1:11" x14ac:dyDescent="0.3">
      <c r="A9377" t="s">
        <v>83</v>
      </c>
      <c r="B9377">
        <v>1000</v>
      </c>
      <c r="C9377" t="s">
        <v>94</v>
      </c>
      <c r="D9377">
        <v>2.6707399999999999E-2</v>
      </c>
      <c r="E9377" t="s">
        <v>74</v>
      </c>
      <c r="F9377">
        <v>26.7074</v>
      </c>
      <c r="G9377" t="s">
        <v>75</v>
      </c>
      <c r="H9377">
        <v>26707.401000000002</v>
      </c>
      <c r="I9377" t="s">
        <v>76</v>
      </c>
      <c r="J9377" t="s">
        <v>77</v>
      </c>
    </row>
    <row r="9378" spans="1:11" x14ac:dyDescent="0.3">
      <c r="A9378" t="s">
        <v>83</v>
      </c>
      <c r="B9378">
        <v>1000</v>
      </c>
      <c r="C9378" t="s">
        <v>80</v>
      </c>
      <c r="D9378">
        <v>2.684427E-2</v>
      </c>
      <c r="E9378" t="s">
        <v>74</v>
      </c>
      <c r="F9378">
        <v>26.844270000000002</v>
      </c>
      <c r="G9378" t="s">
        <v>75</v>
      </c>
      <c r="H9378">
        <v>26844.273000000001</v>
      </c>
      <c r="I9378" t="s">
        <v>76</v>
      </c>
      <c r="J9378" t="s">
        <v>77</v>
      </c>
    </row>
    <row r="9379" spans="1:11" x14ac:dyDescent="0.3">
      <c r="A9379" t="s">
        <v>83</v>
      </c>
      <c r="B9379">
        <v>1000</v>
      </c>
      <c r="C9379" t="s">
        <v>81</v>
      </c>
      <c r="D9379">
        <v>2.684624E-2</v>
      </c>
      <c r="E9379" t="s">
        <v>74</v>
      </c>
      <c r="F9379">
        <v>26.846240000000002</v>
      </c>
      <c r="G9379" t="s">
        <v>75</v>
      </c>
      <c r="H9379">
        <v>26846.244999999999</v>
      </c>
      <c r="I9379" t="s">
        <v>76</v>
      </c>
      <c r="J9379" t="s">
        <v>82</v>
      </c>
      <c r="K9379">
        <v>37.249157500000003</v>
      </c>
    </row>
    <row r="9380" spans="1:11" x14ac:dyDescent="0.3">
      <c r="A9380" t="s">
        <v>84</v>
      </c>
      <c r="B9380">
        <v>1001</v>
      </c>
      <c r="C9380" t="s">
        <v>79</v>
      </c>
      <c r="D9380">
        <v>1.1999999999999999E-6</v>
      </c>
      <c r="E9380" t="s">
        <v>74</v>
      </c>
      <c r="F9380">
        <v>1.1999999999999999E-3</v>
      </c>
      <c r="G9380" t="s">
        <v>75</v>
      </c>
      <c r="H9380">
        <v>1.1950000000000001</v>
      </c>
      <c r="I9380" t="s">
        <v>76</v>
      </c>
      <c r="J9380" t="s">
        <v>77</v>
      </c>
    </row>
    <row r="9381" spans="1:11" x14ac:dyDescent="0.3">
      <c r="A9381" t="s">
        <v>84</v>
      </c>
      <c r="B9381">
        <v>1001</v>
      </c>
      <c r="C9381" t="s">
        <v>94</v>
      </c>
      <c r="D9381">
        <v>2.671016E-2</v>
      </c>
      <c r="E9381" t="s">
        <v>74</v>
      </c>
      <c r="F9381">
        <v>26.710159999999998</v>
      </c>
      <c r="G9381" t="s">
        <v>75</v>
      </c>
      <c r="H9381">
        <v>26710.162</v>
      </c>
      <c r="I9381" t="s">
        <v>76</v>
      </c>
      <c r="J9381" t="s">
        <v>77</v>
      </c>
    </row>
    <row r="9382" spans="1:11" x14ac:dyDescent="0.3">
      <c r="A9382" t="s">
        <v>84</v>
      </c>
      <c r="B9382">
        <v>1001</v>
      </c>
      <c r="C9382" t="s">
        <v>80</v>
      </c>
      <c r="D9382">
        <v>2.68469E-2</v>
      </c>
      <c r="E9382" t="s">
        <v>74</v>
      </c>
      <c r="F9382">
        <v>26.846900000000002</v>
      </c>
      <c r="G9382" t="s">
        <v>75</v>
      </c>
      <c r="H9382">
        <v>26846.9</v>
      </c>
      <c r="I9382" t="s">
        <v>76</v>
      </c>
      <c r="J9382" t="s">
        <v>77</v>
      </c>
    </row>
    <row r="9383" spans="1:11" x14ac:dyDescent="0.3">
      <c r="A9383" t="s">
        <v>84</v>
      </c>
      <c r="B9383">
        <v>1001</v>
      </c>
      <c r="C9383" t="s">
        <v>81</v>
      </c>
      <c r="D9383">
        <v>2.6849660000000001E-2</v>
      </c>
      <c r="E9383" t="s">
        <v>74</v>
      </c>
      <c r="F9383">
        <v>26.84966</v>
      </c>
      <c r="G9383" t="s">
        <v>75</v>
      </c>
      <c r="H9383">
        <v>26849.656999999999</v>
      </c>
      <c r="I9383" t="s">
        <v>76</v>
      </c>
      <c r="J9383" t="s">
        <v>82</v>
      </c>
      <c r="K9383">
        <v>37.244423400000002</v>
      </c>
    </row>
    <row r="9384" spans="1:11" x14ac:dyDescent="0.3">
      <c r="A9384" t="s">
        <v>85</v>
      </c>
      <c r="B9384">
        <v>1001</v>
      </c>
      <c r="C9384" t="s">
        <v>86</v>
      </c>
      <c r="D9384">
        <v>2.685003E-2</v>
      </c>
      <c r="E9384" t="s">
        <v>74</v>
      </c>
      <c r="F9384">
        <v>26.85003</v>
      </c>
      <c r="G9384" t="s">
        <v>75</v>
      </c>
      <c r="H9384">
        <v>26850.032999999999</v>
      </c>
      <c r="I9384" t="s">
        <v>76</v>
      </c>
      <c r="J9384" t="s">
        <v>82</v>
      </c>
      <c r="K9384">
        <v>37.2439027</v>
      </c>
    </row>
    <row r="9385" spans="1:11" x14ac:dyDescent="0.3">
      <c r="A9385" t="s">
        <v>115</v>
      </c>
    </row>
    <row r="9386" spans="1:11" x14ac:dyDescent="0.3">
      <c r="A9386" t="s">
        <v>127</v>
      </c>
    </row>
    <row r="9387" spans="1:11" x14ac:dyDescent="0.3">
      <c r="A9387" t="s">
        <v>87</v>
      </c>
    </row>
    <row r="9388" spans="1:11" x14ac:dyDescent="0.3">
      <c r="A9388" t="s">
        <v>446</v>
      </c>
    </row>
    <row r="9389" spans="1:11" x14ac:dyDescent="0.3">
      <c r="A9389" t="s">
        <v>72</v>
      </c>
      <c r="B9389">
        <v>1</v>
      </c>
      <c r="C9389" t="s">
        <v>81</v>
      </c>
      <c r="D9389">
        <v>0.15997159</v>
      </c>
      <c r="E9389" t="s">
        <v>74</v>
      </c>
      <c r="F9389">
        <v>159.97158999999999</v>
      </c>
      <c r="G9389" t="s">
        <v>75</v>
      </c>
      <c r="H9389">
        <v>159971.595</v>
      </c>
      <c r="I9389" t="s">
        <v>76</v>
      </c>
      <c r="J9389" t="s">
        <v>82</v>
      </c>
      <c r="K9389">
        <v>6.2511098</v>
      </c>
    </row>
    <row r="9390" spans="1:11" x14ac:dyDescent="0.3">
      <c r="A9390" t="s">
        <v>83</v>
      </c>
      <c r="B9390">
        <v>1000</v>
      </c>
      <c r="C9390" t="s">
        <v>81</v>
      </c>
      <c r="D9390">
        <v>1.661866E-2</v>
      </c>
      <c r="E9390" t="s">
        <v>74</v>
      </c>
      <c r="F9390">
        <v>16.618659999999998</v>
      </c>
      <c r="G9390" t="s">
        <v>75</v>
      </c>
      <c r="H9390">
        <v>16618.664000000001</v>
      </c>
      <c r="I9390" t="s">
        <v>76</v>
      </c>
      <c r="J9390" t="s">
        <v>82</v>
      </c>
      <c r="K9390">
        <v>60.173309500000002</v>
      </c>
    </row>
    <row r="9391" spans="1:11" x14ac:dyDescent="0.3">
      <c r="A9391" t="s">
        <v>85</v>
      </c>
      <c r="B9391">
        <v>1001</v>
      </c>
      <c r="C9391" t="s">
        <v>86</v>
      </c>
      <c r="D9391">
        <v>1.6762269999999999E-2</v>
      </c>
      <c r="E9391" t="s">
        <v>74</v>
      </c>
      <c r="F9391">
        <v>16.762270000000001</v>
      </c>
      <c r="G9391" t="s">
        <v>75</v>
      </c>
      <c r="H9391">
        <v>16762.269</v>
      </c>
      <c r="I9391" t="s">
        <v>76</v>
      </c>
      <c r="J9391" t="s">
        <v>82</v>
      </c>
      <c r="K9391">
        <v>59.657792800000003</v>
      </c>
    </row>
    <row r="9393" spans="1:11" x14ac:dyDescent="0.3">
      <c r="A9393" t="s">
        <v>447</v>
      </c>
    </row>
    <row r="9394" spans="1:11" x14ac:dyDescent="0.3">
      <c r="A9394" t="s">
        <v>72</v>
      </c>
      <c r="B9394">
        <v>1</v>
      </c>
      <c r="C9394" t="s">
        <v>81</v>
      </c>
      <c r="D9394">
        <v>3.0263999999999999E-2</v>
      </c>
      <c r="E9394" t="s">
        <v>74</v>
      </c>
      <c r="F9394">
        <v>30.263999999999999</v>
      </c>
      <c r="G9394" t="s">
        <v>75</v>
      </c>
      <c r="H9394">
        <v>30263.999</v>
      </c>
      <c r="I9394" t="s">
        <v>76</v>
      </c>
      <c r="J9394" t="s">
        <v>82</v>
      </c>
      <c r="K9394">
        <v>33.042559400000002</v>
      </c>
    </row>
    <row r="9395" spans="1:11" x14ac:dyDescent="0.3">
      <c r="A9395" t="s">
        <v>83</v>
      </c>
      <c r="B9395">
        <v>1000</v>
      </c>
      <c r="C9395" t="s">
        <v>81</v>
      </c>
      <c r="D9395">
        <v>2.684624E-2</v>
      </c>
      <c r="E9395" t="s">
        <v>74</v>
      </c>
      <c r="F9395">
        <v>26.846240000000002</v>
      </c>
      <c r="G9395" t="s">
        <v>75</v>
      </c>
      <c r="H9395">
        <v>26846.244999999999</v>
      </c>
      <c r="I9395" t="s">
        <v>76</v>
      </c>
      <c r="J9395" t="s">
        <v>82</v>
      </c>
      <c r="K9395">
        <v>37.249157500000003</v>
      </c>
    </row>
    <row r="9396" spans="1:11" x14ac:dyDescent="0.3">
      <c r="A9396" t="s">
        <v>85</v>
      </c>
      <c r="B9396">
        <v>1001</v>
      </c>
      <c r="C9396" t="s">
        <v>86</v>
      </c>
      <c r="D9396">
        <v>2.685003E-2</v>
      </c>
      <c r="E9396" t="s">
        <v>74</v>
      </c>
      <c r="F9396">
        <v>26.85003</v>
      </c>
      <c r="G9396" t="s">
        <v>75</v>
      </c>
      <c r="H9396">
        <v>26850.032999999999</v>
      </c>
      <c r="I9396" t="s">
        <v>76</v>
      </c>
      <c r="J9396" t="s">
        <v>82</v>
      </c>
      <c r="K9396">
        <v>37.2439027</v>
      </c>
    </row>
    <row r="9398" spans="1:11" x14ac:dyDescent="0.3">
      <c r="A9398" t="s">
        <v>66</v>
      </c>
    </row>
    <row r="9400" spans="1:11" x14ac:dyDescent="0.3">
      <c r="A9400" t="s">
        <v>472</v>
      </c>
    </row>
    <row r="9401" spans="1:11" x14ac:dyDescent="0.3">
      <c r="A9401" t="s">
        <v>68</v>
      </c>
    </row>
    <row r="9402" spans="1:11" x14ac:dyDescent="0.3">
      <c r="A9402" t="s">
        <v>69</v>
      </c>
    </row>
    <row r="9403" spans="1:11" x14ac:dyDescent="0.3">
      <c r="A9403" t="s">
        <v>70</v>
      </c>
    </row>
    <row r="9404" spans="1:11" x14ac:dyDescent="0.3">
      <c r="A9404" t="s">
        <v>115</v>
      </c>
    </row>
    <row r="9405" spans="1:11" x14ac:dyDescent="0.3">
      <c r="A9405" t="s">
        <v>384</v>
      </c>
    </row>
    <row r="9406" spans="1:11" x14ac:dyDescent="0.3">
      <c r="A9406" t="s">
        <v>385</v>
      </c>
    </row>
    <row r="9407" spans="1:11" x14ac:dyDescent="0.3">
      <c r="A9407" t="s">
        <v>118</v>
      </c>
    </row>
    <row r="9408" spans="1:11" x14ac:dyDescent="0.3">
      <c r="A9408" t="s">
        <v>119</v>
      </c>
    </row>
    <row r="9409" spans="1:11" x14ac:dyDescent="0.3">
      <c r="A9409" t="s">
        <v>268</v>
      </c>
    </row>
    <row r="9410" spans="1:11" x14ac:dyDescent="0.3">
      <c r="A9410" t="s">
        <v>269</v>
      </c>
    </row>
    <row r="9411" spans="1:11" x14ac:dyDescent="0.3">
      <c r="A9411" t="s">
        <v>386</v>
      </c>
    </row>
    <row r="9412" spans="1:11" x14ac:dyDescent="0.3">
      <c r="A9412" t="s">
        <v>387</v>
      </c>
    </row>
    <row r="9413" spans="1:11" x14ac:dyDescent="0.3">
      <c r="A9413" t="s">
        <v>271</v>
      </c>
    </row>
    <row r="9414" spans="1:11" x14ac:dyDescent="0.3">
      <c r="A9414" t="s">
        <v>125</v>
      </c>
    </row>
    <row r="9415" spans="1:11" x14ac:dyDescent="0.3">
      <c r="A9415" t="s">
        <v>126</v>
      </c>
    </row>
    <row r="9416" spans="1:11" x14ac:dyDescent="0.3">
      <c r="A9416" t="s">
        <v>127</v>
      </c>
    </row>
    <row r="9417" spans="1:11" x14ac:dyDescent="0.3">
      <c r="A9417" t="s">
        <v>213</v>
      </c>
    </row>
    <row r="9418" spans="1:11" x14ac:dyDescent="0.3">
      <c r="A9418" t="s">
        <v>449</v>
      </c>
    </row>
    <row r="9419" spans="1:11" x14ac:dyDescent="0.3">
      <c r="A9419" t="s">
        <v>72</v>
      </c>
      <c r="B9419">
        <v>1</v>
      </c>
      <c r="C9419" t="s">
        <v>73</v>
      </c>
      <c r="D9419">
        <v>4.6E-6</v>
      </c>
      <c r="E9419" t="s">
        <v>74</v>
      </c>
      <c r="F9419">
        <v>4.5999999999999999E-3</v>
      </c>
      <c r="G9419" t="s">
        <v>75</v>
      </c>
      <c r="H9419">
        <v>4.5999999999999996</v>
      </c>
      <c r="I9419" t="s">
        <v>76</v>
      </c>
      <c r="J9419" t="s">
        <v>77</v>
      </c>
    </row>
    <row r="9420" spans="1:11" x14ac:dyDescent="0.3">
      <c r="A9420" t="s">
        <v>72</v>
      </c>
      <c r="B9420">
        <v>1</v>
      </c>
      <c r="C9420" t="s">
        <v>78</v>
      </c>
      <c r="D9420">
        <v>0.1197614</v>
      </c>
      <c r="E9420" t="s">
        <v>74</v>
      </c>
      <c r="F9420">
        <v>119.76139999999999</v>
      </c>
      <c r="G9420" t="s">
        <v>75</v>
      </c>
      <c r="H9420">
        <v>119761.4</v>
      </c>
      <c r="I9420" t="s">
        <v>76</v>
      </c>
      <c r="J9420" t="s">
        <v>77</v>
      </c>
    </row>
    <row r="9421" spans="1:11" x14ac:dyDescent="0.3">
      <c r="A9421" t="s">
        <v>72</v>
      </c>
      <c r="B9421">
        <v>1</v>
      </c>
      <c r="C9421" t="s">
        <v>79</v>
      </c>
      <c r="D9421">
        <v>0.14447189999999999</v>
      </c>
      <c r="E9421" t="s">
        <v>74</v>
      </c>
      <c r="F9421">
        <v>144.47190000000001</v>
      </c>
      <c r="G9421" t="s">
        <v>75</v>
      </c>
      <c r="H9421">
        <v>144471.899</v>
      </c>
      <c r="I9421" t="s">
        <v>76</v>
      </c>
      <c r="J9421" t="s">
        <v>77</v>
      </c>
    </row>
    <row r="9422" spans="1:11" x14ac:dyDescent="0.3">
      <c r="A9422" t="s">
        <v>72</v>
      </c>
      <c r="B9422">
        <v>1</v>
      </c>
      <c r="C9422" t="s">
        <v>94</v>
      </c>
      <c r="D9422">
        <v>1.6994800000000001E-2</v>
      </c>
      <c r="E9422" t="s">
        <v>74</v>
      </c>
      <c r="F9422">
        <v>16.994800000000001</v>
      </c>
      <c r="G9422" t="s">
        <v>75</v>
      </c>
      <c r="H9422">
        <v>16994.8</v>
      </c>
      <c r="I9422" t="s">
        <v>76</v>
      </c>
      <c r="J9422" t="s">
        <v>77</v>
      </c>
    </row>
    <row r="9423" spans="1:11" x14ac:dyDescent="0.3">
      <c r="A9423" t="s">
        <v>72</v>
      </c>
      <c r="B9423">
        <v>1</v>
      </c>
      <c r="C9423" t="s">
        <v>80</v>
      </c>
      <c r="D9423">
        <v>1.6995300000000001E-2</v>
      </c>
      <c r="E9423" t="s">
        <v>74</v>
      </c>
      <c r="F9423">
        <v>16.9953</v>
      </c>
      <c r="G9423" t="s">
        <v>75</v>
      </c>
      <c r="H9423">
        <v>16995.3</v>
      </c>
      <c r="I9423" t="s">
        <v>76</v>
      </c>
      <c r="J9423" t="s">
        <v>77</v>
      </c>
    </row>
    <row r="9424" spans="1:11" x14ac:dyDescent="0.3">
      <c r="A9424" t="s">
        <v>72</v>
      </c>
      <c r="B9424">
        <v>1</v>
      </c>
      <c r="C9424" t="s">
        <v>81</v>
      </c>
      <c r="D9424">
        <v>0.16146940000000001</v>
      </c>
      <c r="E9424" t="s">
        <v>74</v>
      </c>
      <c r="F9424">
        <v>161.46940000000001</v>
      </c>
      <c r="G9424" t="s">
        <v>75</v>
      </c>
      <c r="H9424">
        <v>161469.4</v>
      </c>
      <c r="I9424" t="s">
        <v>76</v>
      </c>
      <c r="J9424" t="s">
        <v>82</v>
      </c>
      <c r="K9424">
        <v>6.1931238999999998</v>
      </c>
    </row>
    <row r="9425" spans="1:11" x14ac:dyDescent="0.3">
      <c r="A9425" t="s">
        <v>83</v>
      </c>
      <c r="B9425">
        <v>1000</v>
      </c>
      <c r="C9425" t="s">
        <v>79</v>
      </c>
      <c r="D9425">
        <v>1.8E-7</v>
      </c>
      <c r="E9425" t="s">
        <v>74</v>
      </c>
      <c r="F9425">
        <v>1.8000000000000001E-4</v>
      </c>
      <c r="G9425" t="s">
        <v>75</v>
      </c>
      <c r="H9425">
        <v>0.17599999999999999</v>
      </c>
      <c r="I9425" t="s">
        <v>76</v>
      </c>
      <c r="J9425" t="s">
        <v>77</v>
      </c>
    </row>
    <row r="9426" spans="1:11" x14ac:dyDescent="0.3">
      <c r="A9426" t="s">
        <v>83</v>
      </c>
      <c r="B9426">
        <v>1000</v>
      </c>
      <c r="C9426" t="s">
        <v>94</v>
      </c>
      <c r="D9426">
        <v>1.6770110000000001E-2</v>
      </c>
      <c r="E9426" t="s">
        <v>74</v>
      </c>
      <c r="F9426">
        <v>16.770109999999999</v>
      </c>
      <c r="G9426" t="s">
        <v>75</v>
      </c>
      <c r="H9426">
        <v>16770.109</v>
      </c>
      <c r="I9426" t="s">
        <v>76</v>
      </c>
      <c r="J9426" t="s">
        <v>77</v>
      </c>
    </row>
    <row r="9427" spans="1:11" x14ac:dyDescent="0.3">
      <c r="A9427" t="s">
        <v>83</v>
      </c>
      <c r="B9427">
        <v>1000</v>
      </c>
      <c r="C9427" t="s">
        <v>80</v>
      </c>
      <c r="D9427">
        <v>1.6770509999999999E-2</v>
      </c>
      <c r="E9427" t="s">
        <v>74</v>
      </c>
      <c r="F9427">
        <v>16.770510000000002</v>
      </c>
      <c r="G9427" t="s">
        <v>75</v>
      </c>
      <c r="H9427">
        <v>16770.508000000002</v>
      </c>
      <c r="I9427" t="s">
        <v>76</v>
      </c>
      <c r="J9427" t="s">
        <v>77</v>
      </c>
    </row>
    <row r="9428" spans="1:11" x14ac:dyDescent="0.3">
      <c r="A9428" t="s">
        <v>83</v>
      </c>
      <c r="B9428">
        <v>1000</v>
      </c>
      <c r="C9428" t="s">
        <v>81</v>
      </c>
      <c r="D9428">
        <v>1.677128E-2</v>
      </c>
      <c r="E9428" t="s">
        <v>74</v>
      </c>
      <c r="F9428">
        <v>16.771280000000001</v>
      </c>
      <c r="G9428" t="s">
        <v>75</v>
      </c>
      <c r="H9428">
        <v>16771.281999999999</v>
      </c>
      <c r="I9428" t="s">
        <v>76</v>
      </c>
      <c r="J9428" t="s">
        <v>82</v>
      </c>
      <c r="K9428">
        <v>59.6257333</v>
      </c>
    </row>
    <row r="9429" spans="1:11" x14ac:dyDescent="0.3">
      <c r="A9429" t="s">
        <v>84</v>
      </c>
      <c r="B9429">
        <v>1001</v>
      </c>
      <c r="C9429" t="s">
        <v>79</v>
      </c>
      <c r="D9429">
        <v>1.4449999999999999E-4</v>
      </c>
      <c r="E9429" t="s">
        <v>74</v>
      </c>
      <c r="F9429">
        <v>0.14449999999999999</v>
      </c>
      <c r="G9429" t="s">
        <v>75</v>
      </c>
      <c r="H9429">
        <v>144.50399999999999</v>
      </c>
      <c r="I9429" t="s">
        <v>76</v>
      </c>
      <c r="J9429" t="s">
        <v>77</v>
      </c>
    </row>
    <row r="9430" spans="1:11" x14ac:dyDescent="0.3">
      <c r="A9430" t="s">
        <v>84</v>
      </c>
      <c r="B9430">
        <v>1001</v>
      </c>
      <c r="C9430" t="s">
        <v>94</v>
      </c>
      <c r="D9430">
        <v>1.677033E-2</v>
      </c>
      <c r="E9430" t="s">
        <v>74</v>
      </c>
      <c r="F9430">
        <v>16.770330000000001</v>
      </c>
      <c r="G9430" t="s">
        <v>75</v>
      </c>
      <c r="H9430">
        <v>16770.332999999999</v>
      </c>
      <c r="I9430" t="s">
        <v>76</v>
      </c>
      <c r="J9430" t="s">
        <v>77</v>
      </c>
    </row>
    <row r="9431" spans="1:11" x14ac:dyDescent="0.3">
      <c r="A9431" t="s">
        <v>84</v>
      </c>
      <c r="B9431">
        <v>1001</v>
      </c>
      <c r="C9431" t="s">
        <v>80</v>
      </c>
      <c r="D9431">
        <v>1.6770730000000001E-2</v>
      </c>
      <c r="E9431" t="s">
        <v>74</v>
      </c>
      <c r="F9431">
        <v>16.77073</v>
      </c>
      <c r="G9431" t="s">
        <v>75</v>
      </c>
      <c r="H9431">
        <v>16770.733</v>
      </c>
      <c r="I9431" t="s">
        <v>76</v>
      </c>
      <c r="J9431" t="s">
        <v>77</v>
      </c>
    </row>
    <row r="9432" spans="1:11" x14ac:dyDescent="0.3">
      <c r="A9432" t="s">
        <v>84</v>
      </c>
      <c r="B9432">
        <v>1001</v>
      </c>
      <c r="C9432" t="s">
        <v>81</v>
      </c>
      <c r="D9432">
        <v>1.6915840000000001E-2</v>
      </c>
      <c r="E9432" t="s">
        <v>74</v>
      </c>
      <c r="F9432">
        <v>16.915839999999999</v>
      </c>
      <c r="G9432" t="s">
        <v>75</v>
      </c>
      <c r="H9432">
        <v>16915.837</v>
      </c>
      <c r="I9432" t="s">
        <v>76</v>
      </c>
      <c r="J9432" t="s">
        <v>82</v>
      </c>
      <c r="K9432">
        <v>59.116200599999999</v>
      </c>
    </row>
    <row r="9433" spans="1:11" x14ac:dyDescent="0.3">
      <c r="A9433" t="s">
        <v>85</v>
      </c>
      <c r="B9433">
        <v>1001</v>
      </c>
      <c r="C9433" t="s">
        <v>86</v>
      </c>
      <c r="D9433">
        <v>1.6916069999999998E-2</v>
      </c>
      <c r="E9433" t="s">
        <v>74</v>
      </c>
      <c r="F9433">
        <v>16.916070000000001</v>
      </c>
      <c r="G9433" t="s">
        <v>75</v>
      </c>
      <c r="H9433">
        <v>16916.071</v>
      </c>
      <c r="I9433" t="s">
        <v>76</v>
      </c>
      <c r="J9433" t="s">
        <v>82</v>
      </c>
      <c r="K9433">
        <v>59.115381599999999</v>
      </c>
    </row>
    <row r="9434" spans="1:11" x14ac:dyDescent="0.3">
      <c r="A9434" t="s">
        <v>215</v>
      </c>
    </row>
    <row r="9435" spans="1:11" x14ac:dyDescent="0.3">
      <c r="A9435" t="s">
        <v>450</v>
      </c>
    </row>
    <row r="9436" spans="1:11" x14ac:dyDescent="0.3">
      <c r="A9436" t="s">
        <v>72</v>
      </c>
      <c r="B9436">
        <v>1</v>
      </c>
      <c r="C9436" t="s">
        <v>73</v>
      </c>
      <c r="D9436">
        <v>4.6E-6</v>
      </c>
      <c r="E9436" t="s">
        <v>74</v>
      </c>
      <c r="F9436">
        <v>4.5999999999999999E-3</v>
      </c>
      <c r="G9436" t="s">
        <v>75</v>
      </c>
      <c r="H9436">
        <v>4.5999999999999996</v>
      </c>
      <c r="I9436" t="s">
        <v>76</v>
      </c>
      <c r="J9436" t="s">
        <v>77</v>
      </c>
    </row>
    <row r="9437" spans="1:11" x14ac:dyDescent="0.3">
      <c r="A9437" t="s">
        <v>72</v>
      </c>
      <c r="B9437">
        <v>1</v>
      </c>
      <c r="C9437" t="s">
        <v>78</v>
      </c>
      <c r="D9437">
        <v>8.7849999999999994E-3</v>
      </c>
      <c r="E9437" t="s">
        <v>74</v>
      </c>
      <c r="F9437">
        <v>8.7850000000000001</v>
      </c>
      <c r="G9437" t="s">
        <v>75</v>
      </c>
      <c r="H9437">
        <v>8785</v>
      </c>
      <c r="I9437" t="s">
        <v>76</v>
      </c>
      <c r="J9437" t="s">
        <v>77</v>
      </c>
    </row>
    <row r="9438" spans="1:11" x14ac:dyDescent="0.3">
      <c r="A9438" t="s">
        <v>72</v>
      </c>
      <c r="B9438">
        <v>1</v>
      </c>
      <c r="C9438" t="s">
        <v>79</v>
      </c>
      <c r="D9438">
        <v>6.9110000000000005E-4</v>
      </c>
      <c r="E9438" t="s">
        <v>74</v>
      </c>
      <c r="F9438">
        <v>0.69110000000000005</v>
      </c>
      <c r="G9438" t="s">
        <v>75</v>
      </c>
      <c r="H9438">
        <v>691.1</v>
      </c>
      <c r="I9438" t="s">
        <v>76</v>
      </c>
      <c r="J9438" t="s">
        <v>77</v>
      </c>
    </row>
    <row r="9439" spans="1:11" x14ac:dyDescent="0.3">
      <c r="A9439" t="s">
        <v>72</v>
      </c>
      <c r="B9439">
        <v>1</v>
      </c>
      <c r="C9439" t="s">
        <v>94</v>
      </c>
      <c r="D9439">
        <v>3.0610600000000002E-2</v>
      </c>
      <c r="E9439" t="s">
        <v>74</v>
      </c>
      <c r="F9439">
        <v>30.610600000000002</v>
      </c>
      <c r="G9439" t="s">
        <v>75</v>
      </c>
      <c r="H9439">
        <v>30610.6</v>
      </c>
      <c r="I9439" t="s">
        <v>76</v>
      </c>
      <c r="J9439" t="s">
        <v>77</v>
      </c>
    </row>
    <row r="9440" spans="1:11" x14ac:dyDescent="0.3">
      <c r="A9440" t="s">
        <v>72</v>
      </c>
      <c r="B9440">
        <v>1</v>
      </c>
      <c r="C9440" t="s">
        <v>80</v>
      </c>
      <c r="D9440">
        <v>3.06114E-2</v>
      </c>
      <c r="E9440" t="s">
        <v>74</v>
      </c>
      <c r="F9440">
        <v>30.6114</v>
      </c>
      <c r="G9440" t="s">
        <v>75</v>
      </c>
      <c r="H9440">
        <v>30611.4</v>
      </c>
      <c r="I9440" t="s">
        <v>76</v>
      </c>
      <c r="J9440" t="s">
        <v>77</v>
      </c>
    </row>
    <row r="9441" spans="1:11" x14ac:dyDescent="0.3">
      <c r="A9441" t="s">
        <v>72</v>
      </c>
      <c r="B9441">
        <v>1</v>
      </c>
      <c r="C9441" t="s">
        <v>81</v>
      </c>
      <c r="D9441">
        <v>3.1303900000000003E-2</v>
      </c>
      <c r="E9441" t="s">
        <v>74</v>
      </c>
      <c r="F9441">
        <v>31.303899999999999</v>
      </c>
      <c r="G9441" t="s">
        <v>75</v>
      </c>
      <c r="H9441">
        <v>31303.901000000002</v>
      </c>
      <c r="I9441" t="s">
        <v>76</v>
      </c>
      <c r="J9441" t="s">
        <v>82</v>
      </c>
      <c r="K9441">
        <v>31.944900199999999</v>
      </c>
    </row>
    <row r="9442" spans="1:11" x14ac:dyDescent="0.3">
      <c r="A9442" t="s">
        <v>83</v>
      </c>
      <c r="B9442">
        <v>1000</v>
      </c>
      <c r="C9442" t="s">
        <v>79</v>
      </c>
      <c r="D9442">
        <v>3.5999999999999999E-7</v>
      </c>
      <c r="E9442" t="s">
        <v>74</v>
      </c>
      <c r="F9442">
        <v>3.6000000000000002E-4</v>
      </c>
      <c r="G9442" t="s">
        <v>75</v>
      </c>
      <c r="H9442">
        <v>0.36</v>
      </c>
      <c r="I9442" t="s">
        <v>76</v>
      </c>
      <c r="J9442" t="s">
        <v>77</v>
      </c>
    </row>
    <row r="9443" spans="1:11" x14ac:dyDescent="0.3">
      <c r="A9443" t="s">
        <v>83</v>
      </c>
      <c r="B9443">
        <v>1000</v>
      </c>
      <c r="C9443" t="s">
        <v>94</v>
      </c>
      <c r="D9443">
        <v>2.6683439999999999E-2</v>
      </c>
      <c r="E9443" t="s">
        <v>74</v>
      </c>
      <c r="F9443">
        <v>26.683440000000001</v>
      </c>
      <c r="G9443" t="s">
        <v>75</v>
      </c>
      <c r="H9443">
        <v>26683.437000000002</v>
      </c>
      <c r="I9443" t="s">
        <v>76</v>
      </c>
      <c r="J9443" t="s">
        <v>77</v>
      </c>
    </row>
    <row r="9444" spans="1:11" x14ac:dyDescent="0.3">
      <c r="A9444" t="s">
        <v>83</v>
      </c>
      <c r="B9444">
        <v>1000</v>
      </c>
      <c r="C9444" t="s">
        <v>80</v>
      </c>
      <c r="D9444">
        <v>2.681878E-2</v>
      </c>
      <c r="E9444" t="s">
        <v>74</v>
      </c>
      <c r="F9444">
        <v>26.81878</v>
      </c>
      <c r="G9444" t="s">
        <v>75</v>
      </c>
      <c r="H9444">
        <v>26818.782999999999</v>
      </c>
      <c r="I9444" t="s">
        <v>76</v>
      </c>
      <c r="J9444" t="s">
        <v>77</v>
      </c>
    </row>
    <row r="9445" spans="1:11" x14ac:dyDescent="0.3">
      <c r="A9445" t="s">
        <v>83</v>
      </c>
      <c r="B9445">
        <v>1000</v>
      </c>
      <c r="C9445" t="s">
        <v>81</v>
      </c>
      <c r="D9445">
        <v>2.6820610000000002E-2</v>
      </c>
      <c r="E9445" t="s">
        <v>74</v>
      </c>
      <c r="F9445">
        <v>26.820609999999999</v>
      </c>
      <c r="G9445" t="s">
        <v>75</v>
      </c>
      <c r="H9445">
        <v>26820.614000000001</v>
      </c>
      <c r="I9445" t="s">
        <v>76</v>
      </c>
      <c r="J9445" t="s">
        <v>82</v>
      </c>
      <c r="K9445">
        <v>37.284754399999997</v>
      </c>
    </row>
    <row r="9446" spans="1:11" x14ac:dyDescent="0.3">
      <c r="A9446" t="s">
        <v>84</v>
      </c>
      <c r="B9446">
        <v>1001</v>
      </c>
      <c r="C9446" t="s">
        <v>79</v>
      </c>
      <c r="D9446">
        <v>1.0499999999999999E-6</v>
      </c>
      <c r="E9446" t="s">
        <v>74</v>
      </c>
      <c r="F9446">
        <v>1.0499999999999999E-3</v>
      </c>
      <c r="G9446" t="s">
        <v>75</v>
      </c>
      <c r="H9446">
        <v>1.05</v>
      </c>
      <c r="I9446" t="s">
        <v>76</v>
      </c>
      <c r="J9446" t="s">
        <v>77</v>
      </c>
    </row>
    <row r="9447" spans="1:11" x14ac:dyDescent="0.3">
      <c r="A9447" t="s">
        <v>84</v>
      </c>
      <c r="B9447">
        <v>1001</v>
      </c>
      <c r="C9447" t="s">
        <v>94</v>
      </c>
      <c r="D9447">
        <v>2.668736E-2</v>
      </c>
      <c r="E9447" t="s">
        <v>74</v>
      </c>
      <c r="F9447">
        <v>26.687360000000002</v>
      </c>
      <c r="G9447" t="s">
        <v>75</v>
      </c>
      <c r="H9447">
        <v>26687.361000000001</v>
      </c>
      <c r="I9447" t="s">
        <v>76</v>
      </c>
      <c r="J9447" t="s">
        <v>77</v>
      </c>
    </row>
    <row r="9448" spans="1:11" x14ac:dyDescent="0.3">
      <c r="A9448" t="s">
        <v>84</v>
      </c>
      <c r="B9448">
        <v>1001</v>
      </c>
      <c r="C9448" t="s">
        <v>80</v>
      </c>
      <c r="D9448">
        <v>2.682257E-2</v>
      </c>
      <c r="E9448" t="s">
        <v>74</v>
      </c>
      <c r="F9448">
        <v>26.822569999999999</v>
      </c>
      <c r="G9448" t="s">
        <v>75</v>
      </c>
      <c r="H9448">
        <v>26822.573</v>
      </c>
      <c r="I9448" t="s">
        <v>76</v>
      </c>
      <c r="J9448" t="s">
        <v>77</v>
      </c>
    </row>
    <row r="9449" spans="1:11" x14ac:dyDescent="0.3">
      <c r="A9449" t="s">
        <v>84</v>
      </c>
      <c r="B9449">
        <v>1001</v>
      </c>
      <c r="C9449" t="s">
        <v>81</v>
      </c>
      <c r="D9449">
        <v>2.6825089999999999E-2</v>
      </c>
      <c r="E9449" t="s">
        <v>74</v>
      </c>
      <c r="F9449">
        <v>26.825089999999999</v>
      </c>
      <c r="G9449" t="s">
        <v>75</v>
      </c>
      <c r="H9449">
        <v>26825.092000000001</v>
      </c>
      <c r="I9449" t="s">
        <v>76</v>
      </c>
      <c r="J9449" t="s">
        <v>82</v>
      </c>
      <c r="K9449">
        <v>37.278529900000002</v>
      </c>
    </row>
    <row r="9450" spans="1:11" x14ac:dyDescent="0.3">
      <c r="A9450" t="s">
        <v>85</v>
      </c>
      <c r="B9450">
        <v>1001</v>
      </c>
      <c r="C9450" t="s">
        <v>86</v>
      </c>
      <c r="D9450">
        <v>2.6825450000000001E-2</v>
      </c>
      <c r="E9450" t="s">
        <v>74</v>
      </c>
      <c r="F9450">
        <v>26.82545</v>
      </c>
      <c r="G9450" t="s">
        <v>75</v>
      </c>
      <c r="H9450">
        <v>26825.454000000002</v>
      </c>
      <c r="I9450" t="s">
        <v>76</v>
      </c>
      <c r="J9450" t="s">
        <v>82</v>
      </c>
      <c r="K9450">
        <v>37.278026799999999</v>
      </c>
    </row>
    <row r="9451" spans="1:11" x14ac:dyDescent="0.3">
      <c r="A9451" t="s">
        <v>115</v>
      </c>
    </row>
    <row r="9452" spans="1:11" x14ac:dyDescent="0.3">
      <c r="A9452" t="s">
        <v>127</v>
      </c>
    </row>
    <row r="9453" spans="1:11" x14ac:dyDescent="0.3">
      <c r="A9453" t="s">
        <v>87</v>
      </c>
    </row>
    <row r="9454" spans="1:11" x14ac:dyDescent="0.3">
      <c r="A9454" t="s">
        <v>451</v>
      </c>
    </row>
    <row r="9455" spans="1:11" x14ac:dyDescent="0.3">
      <c r="A9455" t="s">
        <v>72</v>
      </c>
      <c r="B9455">
        <v>1</v>
      </c>
      <c r="C9455" t="s">
        <v>81</v>
      </c>
      <c r="D9455">
        <v>0.16146940000000001</v>
      </c>
      <c r="E9455" t="s">
        <v>74</v>
      </c>
      <c r="F9455">
        <v>161.46940000000001</v>
      </c>
      <c r="G9455" t="s">
        <v>75</v>
      </c>
      <c r="H9455">
        <v>161469.4</v>
      </c>
      <c r="I9455" t="s">
        <v>76</v>
      </c>
      <c r="J9455" t="s">
        <v>82</v>
      </c>
      <c r="K9455">
        <v>6.1931238999999998</v>
      </c>
    </row>
    <row r="9456" spans="1:11" x14ac:dyDescent="0.3">
      <c r="A9456" t="s">
        <v>83</v>
      </c>
      <c r="B9456">
        <v>1000</v>
      </c>
      <c r="C9456" t="s">
        <v>81</v>
      </c>
      <c r="D9456">
        <v>1.677128E-2</v>
      </c>
      <c r="E9456" t="s">
        <v>74</v>
      </c>
      <c r="F9456">
        <v>16.771280000000001</v>
      </c>
      <c r="G9456" t="s">
        <v>75</v>
      </c>
      <c r="H9456">
        <v>16771.281999999999</v>
      </c>
      <c r="I9456" t="s">
        <v>76</v>
      </c>
      <c r="J9456" t="s">
        <v>82</v>
      </c>
      <c r="K9456">
        <v>59.6257333</v>
      </c>
    </row>
    <row r="9457" spans="1:11" x14ac:dyDescent="0.3">
      <c r="A9457" t="s">
        <v>85</v>
      </c>
      <c r="B9457">
        <v>1001</v>
      </c>
      <c r="C9457" t="s">
        <v>86</v>
      </c>
      <c r="D9457">
        <v>1.6916069999999998E-2</v>
      </c>
      <c r="E9457" t="s">
        <v>74</v>
      </c>
      <c r="F9457">
        <v>16.916070000000001</v>
      </c>
      <c r="G9457" t="s">
        <v>75</v>
      </c>
      <c r="H9457">
        <v>16916.071</v>
      </c>
      <c r="I9457" t="s">
        <v>76</v>
      </c>
      <c r="J9457" t="s">
        <v>82</v>
      </c>
      <c r="K9457">
        <v>59.115381599999999</v>
      </c>
    </row>
    <row r="9459" spans="1:11" x14ac:dyDescent="0.3">
      <c r="A9459" t="s">
        <v>452</v>
      </c>
    </row>
    <row r="9460" spans="1:11" x14ac:dyDescent="0.3">
      <c r="A9460" t="s">
        <v>72</v>
      </c>
      <c r="B9460">
        <v>1</v>
      </c>
      <c r="C9460" t="s">
        <v>81</v>
      </c>
      <c r="D9460">
        <v>3.1303900000000003E-2</v>
      </c>
      <c r="E9460" t="s">
        <v>74</v>
      </c>
      <c r="F9460">
        <v>31.303899999999999</v>
      </c>
      <c r="G9460" t="s">
        <v>75</v>
      </c>
      <c r="H9460">
        <v>31303.901000000002</v>
      </c>
      <c r="I9460" t="s">
        <v>76</v>
      </c>
      <c r="J9460" t="s">
        <v>82</v>
      </c>
      <c r="K9460">
        <v>31.944900199999999</v>
      </c>
    </row>
    <row r="9461" spans="1:11" x14ac:dyDescent="0.3">
      <c r="A9461" t="s">
        <v>83</v>
      </c>
      <c r="B9461">
        <v>1000</v>
      </c>
      <c r="C9461" t="s">
        <v>81</v>
      </c>
      <c r="D9461">
        <v>2.6820610000000002E-2</v>
      </c>
      <c r="E9461" t="s">
        <v>74</v>
      </c>
      <c r="F9461">
        <v>26.820609999999999</v>
      </c>
      <c r="G9461" t="s">
        <v>75</v>
      </c>
      <c r="H9461">
        <v>26820.614000000001</v>
      </c>
      <c r="I9461" t="s">
        <v>76</v>
      </c>
      <c r="J9461" t="s">
        <v>82</v>
      </c>
      <c r="K9461">
        <v>37.284754399999997</v>
      </c>
    </row>
    <row r="9462" spans="1:11" x14ac:dyDescent="0.3">
      <c r="A9462" t="s">
        <v>85</v>
      </c>
      <c r="B9462">
        <v>1001</v>
      </c>
      <c r="C9462" t="s">
        <v>86</v>
      </c>
      <c r="D9462">
        <v>2.6825450000000001E-2</v>
      </c>
      <c r="E9462" t="s">
        <v>74</v>
      </c>
      <c r="F9462">
        <v>26.82545</v>
      </c>
      <c r="G9462" t="s">
        <v>75</v>
      </c>
      <c r="H9462">
        <v>26825.454000000002</v>
      </c>
      <c r="I9462" t="s">
        <v>76</v>
      </c>
      <c r="J9462" t="s">
        <v>82</v>
      </c>
      <c r="K9462">
        <v>37.278026799999999</v>
      </c>
    </row>
    <row r="9464" spans="1:11" x14ac:dyDescent="0.3">
      <c r="A9464" t="s">
        <v>64</v>
      </c>
    </row>
    <row r="9465" spans="1:11" x14ac:dyDescent="0.3">
      <c r="A9465" t="s">
        <v>473</v>
      </c>
    </row>
    <row r="9467" spans="1:11" x14ac:dyDescent="0.3">
      <c r="A9467" t="s">
        <v>474</v>
      </c>
    </row>
    <row r="9468" spans="1:11" x14ac:dyDescent="0.3">
      <c r="A9468" t="s">
        <v>68</v>
      </c>
    </row>
    <row r="9469" spans="1:11" x14ac:dyDescent="0.3">
      <c r="A9469" t="s">
        <v>69</v>
      </c>
    </row>
    <row r="9470" spans="1:11" x14ac:dyDescent="0.3">
      <c r="A9470" t="s">
        <v>70</v>
      </c>
    </row>
    <row r="9471" spans="1:11" x14ac:dyDescent="0.3">
      <c r="A9471" t="s">
        <v>71</v>
      </c>
    </row>
    <row r="9472" spans="1:11" x14ac:dyDescent="0.3">
      <c r="A9472" t="s">
        <v>72</v>
      </c>
      <c r="B9472">
        <v>1</v>
      </c>
      <c r="C9472" t="s">
        <v>73</v>
      </c>
      <c r="D9472">
        <v>5.2459999999999996E-4</v>
      </c>
      <c r="E9472" t="s">
        <v>74</v>
      </c>
      <c r="F9472">
        <v>0.52459999999999996</v>
      </c>
      <c r="G9472" t="s">
        <v>75</v>
      </c>
      <c r="H9472">
        <v>524.6</v>
      </c>
      <c r="I9472" t="s">
        <v>76</v>
      </c>
      <c r="J9472" t="s">
        <v>77</v>
      </c>
    </row>
    <row r="9473" spans="1:11" x14ac:dyDescent="0.3">
      <c r="A9473" t="s">
        <v>72</v>
      </c>
      <c r="B9473">
        <v>1</v>
      </c>
      <c r="C9473" t="s">
        <v>78</v>
      </c>
      <c r="D9473">
        <v>2.5000000000000002E-6</v>
      </c>
      <c r="E9473" t="s">
        <v>74</v>
      </c>
      <c r="F9473">
        <v>2.5000000000000001E-3</v>
      </c>
      <c r="G9473" t="s">
        <v>75</v>
      </c>
      <c r="H9473">
        <v>2.5</v>
      </c>
      <c r="I9473" t="s">
        <v>76</v>
      </c>
      <c r="J9473" t="s">
        <v>77</v>
      </c>
    </row>
    <row r="9474" spans="1:11" x14ac:dyDescent="0.3">
      <c r="A9474" t="s">
        <v>72</v>
      </c>
      <c r="B9474">
        <v>1</v>
      </c>
      <c r="C9474" t="s">
        <v>79</v>
      </c>
      <c r="D9474">
        <v>6.8100000000000002E-5</v>
      </c>
      <c r="E9474" t="s">
        <v>74</v>
      </c>
      <c r="F9474">
        <v>6.8099999999999994E-2</v>
      </c>
      <c r="G9474" t="s">
        <v>75</v>
      </c>
      <c r="H9474">
        <v>68.099999999999994</v>
      </c>
      <c r="I9474" t="s">
        <v>76</v>
      </c>
      <c r="J9474" t="s">
        <v>77</v>
      </c>
    </row>
    <row r="9475" spans="1:11" x14ac:dyDescent="0.3">
      <c r="A9475" t="s">
        <v>72</v>
      </c>
      <c r="B9475">
        <v>1</v>
      </c>
      <c r="C9475" t="s">
        <v>80</v>
      </c>
      <c r="D9475">
        <v>1.07935417</v>
      </c>
      <c r="E9475" t="s">
        <v>74</v>
      </c>
      <c r="F9475">
        <v>1079.3541700000001</v>
      </c>
      <c r="G9475" t="s">
        <v>75</v>
      </c>
      <c r="H9475">
        <v>1079354.1669999999</v>
      </c>
      <c r="I9475" t="s">
        <v>76</v>
      </c>
      <c r="J9475" t="s">
        <v>77</v>
      </c>
    </row>
    <row r="9476" spans="1:11" x14ac:dyDescent="0.3">
      <c r="A9476" t="s">
        <v>72</v>
      </c>
      <c r="B9476">
        <v>1</v>
      </c>
      <c r="C9476" t="s">
        <v>81</v>
      </c>
      <c r="D9476">
        <v>1.0794247400000001</v>
      </c>
      <c r="E9476" t="s">
        <v>74</v>
      </c>
      <c r="F9476">
        <v>1079.4247399999999</v>
      </c>
      <c r="G9476" t="s">
        <v>75</v>
      </c>
      <c r="H9476">
        <v>1079424.7390000001</v>
      </c>
      <c r="I9476" t="s">
        <v>76</v>
      </c>
      <c r="J9476" t="s">
        <v>82</v>
      </c>
      <c r="K9476">
        <v>0.9264194</v>
      </c>
    </row>
    <row r="9477" spans="1:11" x14ac:dyDescent="0.3">
      <c r="A9477" t="s">
        <v>83</v>
      </c>
      <c r="B9477">
        <v>1000</v>
      </c>
      <c r="C9477" t="s">
        <v>79</v>
      </c>
      <c r="D9477">
        <v>4.5900000000000001E-6</v>
      </c>
      <c r="E9477" t="s">
        <v>74</v>
      </c>
      <c r="F9477">
        <v>4.5900000000000003E-3</v>
      </c>
      <c r="G9477" t="s">
        <v>75</v>
      </c>
      <c r="H9477">
        <v>4.59</v>
      </c>
      <c r="I9477" t="s">
        <v>76</v>
      </c>
      <c r="J9477" t="s">
        <v>77</v>
      </c>
    </row>
    <row r="9478" spans="1:11" x14ac:dyDescent="0.3">
      <c r="A9478" t="s">
        <v>83</v>
      </c>
      <c r="B9478">
        <v>1000</v>
      </c>
      <c r="C9478" t="s">
        <v>80</v>
      </c>
      <c r="D9478">
        <v>1.06448425</v>
      </c>
      <c r="E9478" t="s">
        <v>74</v>
      </c>
      <c r="F9478">
        <v>1064.48425</v>
      </c>
      <c r="G9478" t="s">
        <v>75</v>
      </c>
      <c r="H9478">
        <v>1064484.253</v>
      </c>
      <c r="I9478" t="s">
        <v>76</v>
      </c>
      <c r="J9478" t="s">
        <v>77</v>
      </c>
    </row>
    <row r="9479" spans="1:11" x14ac:dyDescent="0.3">
      <c r="A9479" t="s">
        <v>83</v>
      </c>
      <c r="B9479">
        <v>1000</v>
      </c>
      <c r="C9479" t="s">
        <v>81</v>
      </c>
      <c r="D9479">
        <v>1.06448999</v>
      </c>
      <c r="E9479" t="s">
        <v>74</v>
      </c>
      <c r="F9479">
        <v>1064.48999</v>
      </c>
      <c r="G9479" t="s">
        <v>75</v>
      </c>
      <c r="H9479">
        <v>1064489.99</v>
      </c>
      <c r="I9479" t="s">
        <v>76</v>
      </c>
      <c r="J9479" t="s">
        <v>82</v>
      </c>
      <c r="K9479">
        <v>0.93941699999999995</v>
      </c>
    </row>
    <row r="9480" spans="1:11" x14ac:dyDescent="0.3">
      <c r="A9480" t="s">
        <v>84</v>
      </c>
      <c r="B9480">
        <v>1001</v>
      </c>
      <c r="C9480" t="s">
        <v>79</v>
      </c>
      <c r="D9480">
        <v>4.6500000000000004E-6</v>
      </c>
      <c r="E9480" t="s">
        <v>74</v>
      </c>
      <c r="F9480">
        <v>4.6499999999999996E-3</v>
      </c>
      <c r="G9480" t="s">
        <v>75</v>
      </c>
      <c r="H9480">
        <v>4.6539999999999999</v>
      </c>
      <c r="I9480" t="s">
        <v>76</v>
      </c>
      <c r="J9480" t="s">
        <v>77</v>
      </c>
    </row>
    <row r="9481" spans="1:11" x14ac:dyDescent="0.3">
      <c r="A9481" t="s">
        <v>84</v>
      </c>
      <c r="B9481">
        <v>1001</v>
      </c>
      <c r="C9481" t="s">
        <v>80</v>
      </c>
      <c r="D9481">
        <v>1.0644990999999999</v>
      </c>
      <c r="E9481" t="s">
        <v>74</v>
      </c>
      <c r="F9481">
        <v>1064.4991</v>
      </c>
      <c r="G9481" t="s">
        <v>75</v>
      </c>
      <c r="H9481">
        <v>1064499.1000000001</v>
      </c>
      <c r="I9481" t="s">
        <v>76</v>
      </c>
      <c r="J9481" t="s">
        <v>77</v>
      </c>
    </row>
    <row r="9482" spans="1:11" x14ac:dyDescent="0.3">
      <c r="A9482" t="s">
        <v>84</v>
      </c>
      <c r="B9482">
        <v>1001</v>
      </c>
      <c r="C9482" t="s">
        <v>81</v>
      </c>
      <c r="D9482">
        <v>1.0645049499999999</v>
      </c>
      <c r="E9482" t="s">
        <v>74</v>
      </c>
      <c r="F9482">
        <v>1064.50495</v>
      </c>
      <c r="G9482" t="s">
        <v>75</v>
      </c>
      <c r="H9482">
        <v>1064504.953</v>
      </c>
      <c r="I9482" t="s">
        <v>76</v>
      </c>
      <c r="J9482" t="s">
        <v>82</v>
      </c>
      <c r="K9482">
        <v>0.93940380000000001</v>
      </c>
    </row>
    <row r="9483" spans="1:11" x14ac:dyDescent="0.3">
      <c r="A9483" t="s">
        <v>85</v>
      </c>
      <c r="B9483">
        <v>1001</v>
      </c>
      <c r="C9483" t="s">
        <v>86</v>
      </c>
      <c r="D9483">
        <v>1.0645053200000001</v>
      </c>
      <c r="E9483" t="s">
        <v>74</v>
      </c>
      <c r="F9483">
        <v>1064.50532</v>
      </c>
      <c r="G9483" t="s">
        <v>75</v>
      </c>
      <c r="H9483">
        <v>1064505.3189999999</v>
      </c>
      <c r="I9483" t="s">
        <v>76</v>
      </c>
      <c r="J9483" t="s">
        <v>82</v>
      </c>
      <c r="K9483">
        <v>0.93940349999999995</v>
      </c>
    </row>
    <row r="9484" spans="1:11" x14ac:dyDescent="0.3">
      <c r="A9484" t="s">
        <v>87</v>
      </c>
    </row>
    <row r="9485" spans="1:11" x14ac:dyDescent="0.3">
      <c r="A9485" t="s">
        <v>88</v>
      </c>
    </row>
    <row r="9486" spans="1:11" x14ac:dyDescent="0.3">
      <c r="A9486" t="s">
        <v>72</v>
      </c>
      <c r="B9486">
        <v>1</v>
      </c>
      <c r="C9486" t="s">
        <v>81</v>
      </c>
      <c r="D9486">
        <v>1.0794247400000001</v>
      </c>
      <c r="E9486" t="s">
        <v>74</v>
      </c>
      <c r="F9486">
        <v>1079.4247399999999</v>
      </c>
      <c r="G9486" t="s">
        <v>75</v>
      </c>
      <c r="H9486">
        <v>1079424.7390000001</v>
      </c>
      <c r="I9486" t="s">
        <v>76</v>
      </c>
      <c r="J9486" t="s">
        <v>82</v>
      </c>
      <c r="K9486">
        <v>0.9264194</v>
      </c>
    </row>
    <row r="9487" spans="1:11" x14ac:dyDescent="0.3">
      <c r="A9487" t="s">
        <v>83</v>
      </c>
      <c r="B9487">
        <v>1000</v>
      </c>
      <c r="C9487" t="s">
        <v>81</v>
      </c>
      <c r="D9487">
        <v>1.06448999</v>
      </c>
      <c r="E9487" t="s">
        <v>74</v>
      </c>
      <c r="F9487">
        <v>1064.48999</v>
      </c>
      <c r="G9487" t="s">
        <v>75</v>
      </c>
      <c r="H9487">
        <v>1064489.99</v>
      </c>
      <c r="I9487" t="s">
        <v>76</v>
      </c>
      <c r="J9487" t="s">
        <v>82</v>
      </c>
      <c r="K9487">
        <v>0.93941699999999995</v>
      </c>
    </row>
    <row r="9488" spans="1:11" x14ac:dyDescent="0.3">
      <c r="A9488" t="s">
        <v>85</v>
      </c>
      <c r="B9488">
        <v>1001</v>
      </c>
      <c r="C9488" t="s">
        <v>86</v>
      </c>
      <c r="D9488">
        <v>1.0645053200000001</v>
      </c>
      <c r="E9488" t="s">
        <v>74</v>
      </c>
      <c r="F9488">
        <v>1064.50532</v>
      </c>
      <c r="G9488" t="s">
        <v>75</v>
      </c>
      <c r="H9488">
        <v>1064505.3189999999</v>
      </c>
      <c r="I9488" t="s">
        <v>76</v>
      </c>
      <c r="J9488" t="s">
        <v>82</v>
      </c>
      <c r="K9488">
        <v>0.93940349999999995</v>
      </c>
    </row>
    <row r="9490" spans="1:10" x14ac:dyDescent="0.3">
      <c r="A9490" t="s">
        <v>66</v>
      </c>
    </row>
    <row r="9492" spans="1:10" x14ac:dyDescent="0.3">
      <c r="A9492" t="s">
        <v>475</v>
      </c>
    </row>
    <row r="9493" spans="1:10" x14ac:dyDescent="0.3">
      <c r="A9493" t="s">
        <v>68</v>
      </c>
    </row>
    <row r="9494" spans="1:10" x14ac:dyDescent="0.3">
      <c r="A9494" t="s">
        <v>69</v>
      </c>
    </row>
    <row r="9495" spans="1:10" x14ac:dyDescent="0.3">
      <c r="A9495" t="s">
        <v>70</v>
      </c>
    </row>
    <row r="9496" spans="1:10" x14ac:dyDescent="0.3">
      <c r="A9496" t="s">
        <v>90</v>
      </c>
    </row>
    <row r="9497" spans="1:10" x14ac:dyDescent="0.3">
      <c r="A9497" t="s">
        <v>72</v>
      </c>
      <c r="B9497">
        <v>1</v>
      </c>
      <c r="C9497" t="s">
        <v>73</v>
      </c>
      <c r="D9497">
        <v>4.3000000000000003E-6</v>
      </c>
      <c r="E9497" t="s">
        <v>74</v>
      </c>
      <c r="F9497">
        <v>4.3E-3</v>
      </c>
      <c r="G9497" t="s">
        <v>75</v>
      </c>
      <c r="H9497">
        <v>4.3</v>
      </c>
      <c r="I9497" t="s">
        <v>76</v>
      </c>
      <c r="J9497" t="s">
        <v>77</v>
      </c>
    </row>
    <row r="9498" spans="1:10" x14ac:dyDescent="0.3">
      <c r="A9498" t="s">
        <v>72</v>
      </c>
      <c r="B9498">
        <v>1</v>
      </c>
      <c r="C9498" t="s">
        <v>78</v>
      </c>
      <c r="D9498">
        <v>4.3099999999999997E-5</v>
      </c>
      <c r="E9498" t="s">
        <v>74</v>
      </c>
      <c r="F9498">
        <v>4.3099999999999999E-2</v>
      </c>
      <c r="G9498" t="s">
        <v>75</v>
      </c>
      <c r="H9498">
        <v>43.1</v>
      </c>
      <c r="I9498" t="s">
        <v>76</v>
      </c>
      <c r="J9498" t="s">
        <v>77</v>
      </c>
    </row>
    <row r="9499" spans="1:10" x14ac:dyDescent="0.3">
      <c r="A9499" t="s">
        <v>72</v>
      </c>
      <c r="B9499">
        <v>1</v>
      </c>
      <c r="C9499" t="s">
        <v>91</v>
      </c>
      <c r="D9499">
        <v>2.2190999999999999E-3</v>
      </c>
      <c r="E9499" t="s">
        <v>74</v>
      </c>
      <c r="F9499">
        <v>2.2191000000000001</v>
      </c>
      <c r="G9499" t="s">
        <v>75</v>
      </c>
      <c r="H9499">
        <v>2219.1</v>
      </c>
      <c r="I9499" t="s">
        <v>76</v>
      </c>
      <c r="J9499" t="s">
        <v>77</v>
      </c>
    </row>
    <row r="9500" spans="1:10" x14ac:dyDescent="0.3">
      <c r="A9500" t="s">
        <v>72</v>
      </c>
      <c r="B9500">
        <v>1</v>
      </c>
      <c r="C9500" t="s">
        <v>92</v>
      </c>
      <c r="D9500">
        <v>1.1871400000000001E-2</v>
      </c>
      <c r="E9500" t="s">
        <v>74</v>
      </c>
      <c r="F9500">
        <v>11.8714</v>
      </c>
      <c r="G9500" t="s">
        <v>75</v>
      </c>
      <c r="H9500">
        <v>11871.4</v>
      </c>
      <c r="I9500" t="s">
        <v>76</v>
      </c>
      <c r="J9500" t="s">
        <v>77</v>
      </c>
    </row>
    <row r="9501" spans="1:10" x14ac:dyDescent="0.3">
      <c r="A9501" t="s">
        <v>72</v>
      </c>
      <c r="B9501">
        <v>1</v>
      </c>
      <c r="C9501" t="s">
        <v>93</v>
      </c>
      <c r="D9501">
        <v>1.6711E-3</v>
      </c>
      <c r="E9501" t="s">
        <v>74</v>
      </c>
      <c r="F9501">
        <v>1.6711</v>
      </c>
      <c r="G9501" t="s">
        <v>75</v>
      </c>
      <c r="H9501">
        <v>1671.1</v>
      </c>
      <c r="I9501" t="s">
        <v>76</v>
      </c>
      <c r="J9501" t="s">
        <v>77</v>
      </c>
    </row>
    <row r="9502" spans="1:10" x14ac:dyDescent="0.3">
      <c r="A9502" t="s">
        <v>72</v>
      </c>
      <c r="B9502">
        <v>1</v>
      </c>
      <c r="C9502" t="s">
        <v>79</v>
      </c>
      <c r="D9502">
        <v>1.57634E-2</v>
      </c>
      <c r="E9502" t="s">
        <v>74</v>
      </c>
      <c r="F9502">
        <v>15.763400000000001</v>
      </c>
      <c r="G9502" t="s">
        <v>75</v>
      </c>
      <c r="H9502">
        <v>15763.4</v>
      </c>
      <c r="I9502" t="s">
        <v>76</v>
      </c>
      <c r="J9502" t="s">
        <v>77</v>
      </c>
    </row>
    <row r="9503" spans="1:10" x14ac:dyDescent="0.3">
      <c r="A9503" t="s">
        <v>72</v>
      </c>
      <c r="B9503">
        <v>1</v>
      </c>
      <c r="C9503" t="s">
        <v>94</v>
      </c>
      <c r="D9503">
        <v>9.5677999999999996E-3</v>
      </c>
      <c r="E9503" t="s">
        <v>74</v>
      </c>
      <c r="F9503">
        <v>9.5678000000000001</v>
      </c>
      <c r="G9503" t="s">
        <v>75</v>
      </c>
      <c r="H9503">
        <v>9567.7999999999993</v>
      </c>
      <c r="I9503" t="s">
        <v>76</v>
      </c>
      <c r="J9503" t="s">
        <v>77</v>
      </c>
    </row>
    <row r="9504" spans="1:10" x14ac:dyDescent="0.3">
      <c r="A9504" t="s">
        <v>72</v>
      </c>
      <c r="B9504">
        <v>1</v>
      </c>
      <c r="C9504" t="s">
        <v>80</v>
      </c>
      <c r="D9504">
        <v>9.5694999999999999E-3</v>
      </c>
      <c r="E9504" t="s">
        <v>74</v>
      </c>
      <c r="F9504">
        <v>9.5694999999999997</v>
      </c>
      <c r="G9504" t="s">
        <v>75</v>
      </c>
      <c r="H9504">
        <v>9569.5</v>
      </c>
      <c r="I9504" t="s">
        <v>76</v>
      </c>
      <c r="J9504" t="s">
        <v>77</v>
      </c>
    </row>
    <row r="9505" spans="1:11" x14ac:dyDescent="0.3">
      <c r="A9505" t="s">
        <v>72</v>
      </c>
      <c r="B9505">
        <v>1</v>
      </c>
      <c r="C9505" t="s">
        <v>81</v>
      </c>
      <c r="D9505">
        <v>2.53361E-2</v>
      </c>
      <c r="E9505" t="s">
        <v>74</v>
      </c>
      <c r="F9505">
        <v>25.336099999999998</v>
      </c>
      <c r="G9505" t="s">
        <v>75</v>
      </c>
      <c r="H9505">
        <v>25336.1</v>
      </c>
      <c r="I9505" t="s">
        <v>76</v>
      </c>
      <c r="J9505" t="s">
        <v>82</v>
      </c>
      <c r="K9505">
        <v>39.469374100000003</v>
      </c>
    </row>
    <row r="9506" spans="1:11" x14ac:dyDescent="0.3">
      <c r="A9506" t="s">
        <v>83</v>
      </c>
      <c r="B9506">
        <v>1000</v>
      </c>
      <c r="C9506" t="s">
        <v>91</v>
      </c>
      <c r="D9506">
        <v>5.4042999999999995E-4</v>
      </c>
      <c r="E9506" t="s">
        <v>74</v>
      </c>
      <c r="F9506">
        <v>0.54042999999999997</v>
      </c>
      <c r="G9506" t="s">
        <v>75</v>
      </c>
      <c r="H9506">
        <v>540.42999999999995</v>
      </c>
      <c r="I9506" t="s">
        <v>76</v>
      </c>
      <c r="J9506" t="s">
        <v>77</v>
      </c>
    </row>
    <row r="9507" spans="1:11" x14ac:dyDescent="0.3">
      <c r="A9507" t="s">
        <v>83</v>
      </c>
      <c r="B9507">
        <v>1000</v>
      </c>
      <c r="C9507" t="s">
        <v>92</v>
      </c>
      <c r="D9507">
        <v>1.074022E-2</v>
      </c>
      <c r="E9507" t="s">
        <v>74</v>
      </c>
      <c r="F9507">
        <v>10.740220000000001</v>
      </c>
      <c r="G9507" t="s">
        <v>75</v>
      </c>
      <c r="H9507">
        <v>10740.22</v>
      </c>
      <c r="I9507" t="s">
        <v>76</v>
      </c>
      <c r="J9507" t="s">
        <v>77</v>
      </c>
    </row>
    <row r="9508" spans="1:11" x14ac:dyDescent="0.3">
      <c r="A9508" t="s">
        <v>83</v>
      </c>
      <c r="B9508">
        <v>1000</v>
      </c>
      <c r="C9508" t="s">
        <v>93</v>
      </c>
      <c r="D9508">
        <v>5.0427999999999996E-4</v>
      </c>
      <c r="E9508" t="s">
        <v>74</v>
      </c>
      <c r="F9508">
        <v>0.50427999999999995</v>
      </c>
      <c r="G9508" t="s">
        <v>75</v>
      </c>
      <c r="H9508">
        <v>504.279</v>
      </c>
      <c r="I9508" t="s">
        <v>76</v>
      </c>
      <c r="J9508" t="s">
        <v>77</v>
      </c>
    </row>
    <row r="9509" spans="1:11" x14ac:dyDescent="0.3">
      <c r="A9509" t="s">
        <v>83</v>
      </c>
      <c r="B9509">
        <v>1000</v>
      </c>
      <c r="C9509" t="s">
        <v>79</v>
      </c>
      <c r="D9509">
        <v>1.178534E-2</v>
      </c>
      <c r="E9509" t="s">
        <v>74</v>
      </c>
      <c r="F9509">
        <v>11.78534</v>
      </c>
      <c r="G9509" t="s">
        <v>75</v>
      </c>
      <c r="H9509">
        <v>11785.339</v>
      </c>
      <c r="I9509" t="s">
        <v>76</v>
      </c>
      <c r="J9509" t="s">
        <v>77</v>
      </c>
    </row>
    <row r="9510" spans="1:11" x14ac:dyDescent="0.3">
      <c r="A9510" t="s">
        <v>83</v>
      </c>
      <c r="B9510">
        <v>1000</v>
      </c>
      <c r="C9510" t="s">
        <v>94</v>
      </c>
      <c r="D9510">
        <v>2.7395599999999998E-3</v>
      </c>
      <c r="E9510" t="s">
        <v>74</v>
      </c>
      <c r="F9510">
        <v>2.73956</v>
      </c>
      <c r="G9510" t="s">
        <v>75</v>
      </c>
      <c r="H9510">
        <v>2739.56</v>
      </c>
      <c r="I9510" t="s">
        <v>76</v>
      </c>
      <c r="J9510" t="s">
        <v>77</v>
      </c>
    </row>
    <row r="9511" spans="1:11" x14ac:dyDescent="0.3">
      <c r="A9511" t="s">
        <v>83</v>
      </c>
      <c r="B9511">
        <v>1000</v>
      </c>
      <c r="C9511" t="s">
        <v>80</v>
      </c>
      <c r="D9511">
        <v>2.9094199999999998E-3</v>
      </c>
      <c r="E9511" t="s">
        <v>74</v>
      </c>
      <c r="F9511">
        <v>2.9094199999999999</v>
      </c>
      <c r="G9511" t="s">
        <v>75</v>
      </c>
      <c r="H9511">
        <v>2909.4209999999998</v>
      </c>
      <c r="I9511" t="s">
        <v>76</v>
      </c>
      <c r="J9511" t="s">
        <v>77</v>
      </c>
    </row>
    <row r="9512" spans="1:11" x14ac:dyDescent="0.3">
      <c r="A9512" t="s">
        <v>83</v>
      </c>
      <c r="B9512">
        <v>1000</v>
      </c>
      <c r="C9512" t="s">
        <v>81</v>
      </c>
      <c r="D9512">
        <v>1.469612E-2</v>
      </c>
      <c r="E9512" t="s">
        <v>74</v>
      </c>
      <c r="F9512">
        <v>14.696120000000001</v>
      </c>
      <c r="G9512" t="s">
        <v>75</v>
      </c>
      <c r="H9512">
        <v>14696.119000000001</v>
      </c>
      <c r="I9512" t="s">
        <v>76</v>
      </c>
      <c r="J9512" t="s">
        <v>82</v>
      </c>
      <c r="K9512">
        <v>68.045174299999999</v>
      </c>
    </row>
    <row r="9513" spans="1:11" x14ac:dyDescent="0.3">
      <c r="A9513" t="s">
        <v>84</v>
      </c>
      <c r="B9513">
        <v>1001</v>
      </c>
      <c r="C9513" t="s">
        <v>91</v>
      </c>
      <c r="D9513">
        <v>5.4211000000000005E-4</v>
      </c>
      <c r="E9513" t="s">
        <v>74</v>
      </c>
      <c r="F9513">
        <v>0.54210999999999998</v>
      </c>
      <c r="G9513" t="s">
        <v>75</v>
      </c>
      <c r="H9513">
        <v>542.10699999999997</v>
      </c>
      <c r="I9513" t="s">
        <v>76</v>
      </c>
      <c r="J9513" t="s">
        <v>77</v>
      </c>
    </row>
    <row r="9514" spans="1:11" x14ac:dyDescent="0.3">
      <c r="A9514" t="s">
        <v>84</v>
      </c>
      <c r="B9514">
        <v>1001</v>
      </c>
      <c r="C9514" t="s">
        <v>92</v>
      </c>
      <c r="D9514">
        <v>1.074135E-2</v>
      </c>
      <c r="E9514" t="s">
        <v>74</v>
      </c>
      <c r="F9514">
        <v>10.741350000000001</v>
      </c>
      <c r="G9514" t="s">
        <v>75</v>
      </c>
      <c r="H9514">
        <v>10741.35</v>
      </c>
      <c r="I9514" t="s">
        <v>76</v>
      </c>
      <c r="J9514" t="s">
        <v>77</v>
      </c>
    </row>
    <row r="9515" spans="1:11" x14ac:dyDescent="0.3">
      <c r="A9515" t="s">
        <v>84</v>
      </c>
      <c r="B9515">
        <v>1001</v>
      </c>
      <c r="C9515" t="s">
        <v>93</v>
      </c>
      <c r="D9515">
        <v>5.0544000000000001E-4</v>
      </c>
      <c r="E9515" t="s">
        <v>74</v>
      </c>
      <c r="F9515">
        <v>0.50544</v>
      </c>
      <c r="G9515" t="s">
        <v>75</v>
      </c>
      <c r="H9515">
        <v>505.44499999999999</v>
      </c>
      <c r="I9515" t="s">
        <v>76</v>
      </c>
      <c r="J9515" t="s">
        <v>77</v>
      </c>
    </row>
    <row r="9516" spans="1:11" x14ac:dyDescent="0.3">
      <c r="A9516" t="s">
        <v>84</v>
      </c>
      <c r="B9516">
        <v>1001</v>
      </c>
      <c r="C9516" t="s">
        <v>79</v>
      </c>
      <c r="D9516">
        <v>1.1789310000000001E-2</v>
      </c>
      <c r="E9516" t="s">
        <v>74</v>
      </c>
      <c r="F9516">
        <v>11.78931</v>
      </c>
      <c r="G9516" t="s">
        <v>75</v>
      </c>
      <c r="H9516">
        <v>11789.314</v>
      </c>
      <c r="I9516" t="s">
        <v>76</v>
      </c>
      <c r="J9516" t="s">
        <v>77</v>
      </c>
    </row>
    <row r="9517" spans="1:11" x14ac:dyDescent="0.3">
      <c r="A9517" t="s">
        <v>84</v>
      </c>
      <c r="B9517">
        <v>1001</v>
      </c>
      <c r="C9517" t="s">
        <v>94</v>
      </c>
      <c r="D9517">
        <v>2.7463800000000001E-3</v>
      </c>
      <c r="E9517" t="s">
        <v>74</v>
      </c>
      <c r="F9517">
        <v>2.7463799999999998</v>
      </c>
      <c r="G9517" t="s">
        <v>75</v>
      </c>
      <c r="H9517">
        <v>2746.3809999999999</v>
      </c>
      <c r="I9517" t="s">
        <v>76</v>
      </c>
      <c r="J9517" t="s">
        <v>77</v>
      </c>
    </row>
    <row r="9518" spans="1:11" x14ac:dyDescent="0.3">
      <c r="A9518" t="s">
        <v>84</v>
      </c>
      <c r="B9518">
        <v>1001</v>
      </c>
      <c r="C9518" t="s">
        <v>80</v>
      </c>
      <c r="D9518">
        <v>2.9160700000000002E-3</v>
      </c>
      <c r="E9518" t="s">
        <v>74</v>
      </c>
      <c r="F9518">
        <v>2.9160699999999999</v>
      </c>
      <c r="G9518" t="s">
        <v>75</v>
      </c>
      <c r="H9518">
        <v>2916.0740000000001</v>
      </c>
      <c r="I9518" t="s">
        <v>76</v>
      </c>
      <c r="J9518" t="s">
        <v>77</v>
      </c>
    </row>
    <row r="9519" spans="1:11" x14ac:dyDescent="0.3">
      <c r="A9519" t="s">
        <v>84</v>
      </c>
      <c r="B9519">
        <v>1001</v>
      </c>
      <c r="C9519" t="s">
        <v>81</v>
      </c>
      <c r="D9519">
        <v>1.4706749999999999E-2</v>
      </c>
      <c r="E9519" t="s">
        <v>74</v>
      </c>
      <c r="F9519">
        <v>14.70675</v>
      </c>
      <c r="G9519" t="s">
        <v>75</v>
      </c>
      <c r="H9519">
        <v>14706.748</v>
      </c>
      <c r="I9519" t="s">
        <v>76</v>
      </c>
      <c r="J9519" t="s">
        <v>82</v>
      </c>
      <c r="K9519">
        <v>67.995998099999994</v>
      </c>
    </row>
    <row r="9520" spans="1:11" x14ac:dyDescent="0.3">
      <c r="A9520" t="s">
        <v>85</v>
      </c>
      <c r="B9520">
        <v>1001</v>
      </c>
      <c r="C9520" t="s">
        <v>86</v>
      </c>
      <c r="D9520">
        <v>1.470699E-2</v>
      </c>
      <c r="E9520" t="s">
        <v>74</v>
      </c>
      <c r="F9520">
        <v>14.706989999999999</v>
      </c>
      <c r="G9520" t="s">
        <v>75</v>
      </c>
      <c r="H9520">
        <v>14706.991</v>
      </c>
      <c r="I9520" t="s">
        <v>76</v>
      </c>
      <c r="J9520" t="s">
        <v>82</v>
      </c>
      <c r="K9520">
        <v>67.994874899999999</v>
      </c>
    </row>
    <row r="9521" spans="1:11" x14ac:dyDescent="0.3">
      <c r="A9521" t="s">
        <v>95</v>
      </c>
    </row>
    <row r="9522" spans="1:11" x14ac:dyDescent="0.3">
      <c r="A9522" t="s">
        <v>72</v>
      </c>
      <c r="B9522">
        <v>1</v>
      </c>
      <c r="C9522" t="s">
        <v>73</v>
      </c>
      <c r="D9522">
        <v>4.3000000000000003E-6</v>
      </c>
      <c r="E9522" t="s">
        <v>74</v>
      </c>
      <c r="F9522">
        <v>4.3E-3</v>
      </c>
      <c r="G9522" t="s">
        <v>75</v>
      </c>
      <c r="H9522">
        <v>4.3</v>
      </c>
      <c r="I9522" t="s">
        <v>76</v>
      </c>
      <c r="J9522" t="s">
        <v>77</v>
      </c>
    </row>
    <row r="9523" spans="1:11" x14ac:dyDescent="0.3">
      <c r="A9523" t="s">
        <v>72</v>
      </c>
      <c r="B9523">
        <v>1</v>
      </c>
      <c r="C9523" t="s">
        <v>78</v>
      </c>
      <c r="D9523">
        <v>4.49E-5</v>
      </c>
      <c r="E9523" t="s">
        <v>74</v>
      </c>
      <c r="F9523">
        <v>4.4900000000000002E-2</v>
      </c>
      <c r="G9523" t="s">
        <v>75</v>
      </c>
      <c r="H9523">
        <v>44.9</v>
      </c>
      <c r="I9523" t="s">
        <v>76</v>
      </c>
      <c r="J9523" t="s">
        <v>77</v>
      </c>
    </row>
    <row r="9524" spans="1:11" x14ac:dyDescent="0.3">
      <c r="A9524" t="s">
        <v>72</v>
      </c>
      <c r="B9524">
        <v>1</v>
      </c>
      <c r="C9524" t="s">
        <v>91</v>
      </c>
      <c r="D9524">
        <v>2.1358000000000002E-3</v>
      </c>
      <c r="E9524" t="s">
        <v>74</v>
      </c>
      <c r="F9524">
        <v>2.1358000000000001</v>
      </c>
      <c r="G9524" t="s">
        <v>75</v>
      </c>
      <c r="H9524">
        <v>2135.8000000000002</v>
      </c>
      <c r="I9524" t="s">
        <v>76</v>
      </c>
      <c r="J9524" t="s">
        <v>77</v>
      </c>
    </row>
    <row r="9525" spans="1:11" x14ac:dyDescent="0.3">
      <c r="A9525" t="s">
        <v>72</v>
      </c>
      <c r="B9525">
        <v>1</v>
      </c>
      <c r="C9525" t="s">
        <v>92</v>
      </c>
      <c r="D9525">
        <v>1.1885700000000001E-2</v>
      </c>
      <c r="E9525" t="s">
        <v>74</v>
      </c>
      <c r="F9525">
        <v>11.8857</v>
      </c>
      <c r="G9525" t="s">
        <v>75</v>
      </c>
      <c r="H9525">
        <v>11885.7</v>
      </c>
      <c r="I9525" t="s">
        <v>76</v>
      </c>
      <c r="J9525" t="s">
        <v>77</v>
      </c>
    </row>
    <row r="9526" spans="1:11" x14ac:dyDescent="0.3">
      <c r="A9526" t="s">
        <v>72</v>
      </c>
      <c r="B9526">
        <v>1</v>
      </c>
      <c r="C9526" t="s">
        <v>93</v>
      </c>
      <c r="D9526">
        <v>1.6260999999999999E-3</v>
      </c>
      <c r="E9526" t="s">
        <v>74</v>
      </c>
      <c r="F9526">
        <v>1.6261000000000001</v>
      </c>
      <c r="G9526" t="s">
        <v>75</v>
      </c>
      <c r="H9526">
        <v>1626.1</v>
      </c>
      <c r="I9526" t="s">
        <v>76</v>
      </c>
      <c r="J9526" t="s">
        <v>77</v>
      </c>
    </row>
    <row r="9527" spans="1:11" x14ac:dyDescent="0.3">
      <c r="A9527" t="s">
        <v>72</v>
      </c>
      <c r="B9527">
        <v>1</v>
      </c>
      <c r="C9527" t="s">
        <v>79</v>
      </c>
      <c r="D9527">
        <v>1.56478E-2</v>
      </c>
      <c r="E9527" t="s">
        <v>74</v>
      </c>
      <c r="F9527">
        <v>15.6478</v>
      </c>
      <c r="G9527" t="s">
        <v>75</v>
      </c>
      <c r="H9527">
        <v>15647.800999999999</v>
      </c>
      <c r="I9527" t="s">
        <v>76</v>
      </c>
      <c r="J9527" t="s">
        <v>77</v>
      </c>
    </row>
    <row r="9528" spans="1:11" x14ac:dyDescent="0.3">
      <c r="A9528" t="s">
        <v>72</v>
      </c>
      <c r="B9528">
        <v>1</v>
      </c>
      <c r="C9528" t="s">
        <v>96</v>
      </c>
      <c r="D9528">
        <v>2.1259999999999999E-3</v>
      </c>
      <c r="E9528" t="s">
        <v>74</v>
      </c>
      <c r="F9528">
        <v>2.1259999999999999</v>
      </c>
      <c r="G9528" t="s">
        <v>75</v>
      </c>
      <c r="H9528">
        <v>2126</v>
      </c>
      <c r="I9528" t="s">
        <v>76</v>
      </c>
      <c r="J9528" t="s">
        <v>77</v>
      </c>
    </row>
    <row r="9529" spans="1:11" x14ac:dyDescent="0.3">
      <c r="A9529" t="s">
        <v>72</v>
      </c>
      <c r="B9529">
        <v>1</v>
      </c>
      <c r="C9529" t="s">
        <v>94</v>
      </c>
      <c r="D9529">
        <v>3.0942999999999999E-3</v>
      </c>
      <c r="E9529" t="s">
        <v>74</v>
      </c>
      <c r="F9529">
        <v>3.0943000000000001</v>
      </c>
      <c r="G9529" t="s">
        <v>75</v>
      </c>
      <c r="H9529">
        <v>3094.3</v>
      </c>
      <c r="I9529" t="s">
        <v>76</v>
      </c>
      <c r="J9529" t="s">
        <v>77</v>
      </c>
    </row>
    <row r="9530" spans="1:11" x14ac:dyDescent="0.3">
      <c r="A9530" t="s">
        <v>72</v>
      </c>
      <c r="B9530">
        <v>1</v>
      </c>
      <c r="C9530" t="s">
        <v>80</v>
      </c>
      <c r="D9530">
        <v>5.3482E-3</v>
      </c>
      <c r="E9530" t="s">
        <v>74</v>
      </c>
      <c r="F9530">
        <v>5.3482000000000003</v>
      </c>
      <c r="G9530" t="s">
        <v>75</v>
      </c>
      <c r="H9530">
        <v>5348.2</v>
      </c>
      <c r="I9530" t="s">
        <v>76</v>
      </c>
      <c r="J9530" t="s">
        <v>77</v>
      </c>
    </row>
    <row r="9531" spans="1:11" x14ac:dyDescent="0.3">
      <c r="A9531" t="s">
        <v>72</v>
      </c>
      <c r="B9531">
        <v>1</v>
      </c>
      <c r="C9531" t="s">
        <v>81</v>
      </c>
      <c r="D9531">
        <v>2.0996899999999999E-2</v>
      </c>
      <c r="E9531" t="s">
        <v>74</v>
      </c>
      <c r="F9531">
        <v>20.9969</v>
      </c>
      <c r="G9531" t="s">
        <v>75</v>
      </c>
      <c r="H9531">
        <v>20996.9</v>
      </c>
      <c r="I9531" t="s">
        <v>76</v>
      </c>
      <c r="J9531" t="s">
        <v>82</v>
      </c>
      <c r="K9531">
        <v>47.626077500000001</v>
      </c>
    </row>
    <row r="9532" spans="1:11" x14ac:dyDescent="0.3">
      <c r="A9532" t="s">
        <v>83</v>
      </c>
      <c r="B9532">
        <v>1000</v>
      </c>
      <c r="C9532" t="s">
        <v>91</v>
      </c>
      <c r="D9532">
        <v>5.4887999999999996E-4</v>
      </c>
      <c r="E9532" t="s">
        <v>74</v>
      </c>
      <c r="F9532">
        <v>0.54888000000000003</v>
      </c>
      <c r="G9532" t="s">
        <v>75</v>
      </c>
      <c r="H9532">
        <v>548.87599999999998</v>
      </c>
      <c r="I9532" t="s">
        <v>76</v>
      </c>
      <c r="J9532" t="s">
        <v>77</v>
      </c>
    </row>
    <row r="9533" spans="1:11" x14ac:dyDescent="0.3">
      <c r="A9533" t="s">
        <v>83</v>
      </c>
      <c r="B9533">
        <v>1000</v>
      </c>
      <c r="C9533" t="s">
        <v>92</v>
      </c>
      <c r="D9533">
        <v>1.0710519999999999E-2</v>
      </c>
      <c r="E9533" t="s">
        <v>74</v>
      </c>
      <c r="F9533">
        <v>10.710520000000001</v>
      </c>
      <c r="G9533" t="s">
        <v>75</v>
      </c>
      <c r="H9533">
        <v>10710.523999999999</v>
      </c>
      <c r="I9533" t="s">
        <v>76</v>
      </c>
      <c r="J9533" t="s">
        <v>77</v>
      </c>
    </row>
    <row r="9534" spans="1:11" x14ac:dyDescent="0.3">
      <c r="A9534" t="s">
        <v>83</v>
      </c>
      <c r="B9534">
        <v>1000</v>
      </c>
      <c r="C9534" t="s">
        <v>93</v>
      </c>
      <c r="D9534">
        <v>5.1364E-4</v>
      </c>
      <c r="E9534" t="s">
        <v>74</v>
      </c>
      <c r="F9534">
        <v>0.51363999999999999</v>
      </c>
      <c r="G9534" t="s">
        <v>75</v>
      </c>
      <c r="H9534">
        <v>513.63499999999999</v>
      </c>
      <c r="I9534" t="s">
        <v>76</v>
      </c>
      <c r="J9534" t="s">
        <v>77</v>
      </c>
    </row>
    <row r="9535" spans="1:11" x14ac:dyDescent="0.3">
      <c r="A9535" t="s">
        <v>83</v>
      </c>
      <c r="B9535">
        <v>1000</v>
      </c>
      <c r="C9535" t="s">
        <v>79</v>
      </c>
      <c r="D9535">
        <v>1.1773499999999999E-2</v>
      </c>
      <c r="E9535" t="s">
        <v>74</v>
      </c>
      <c r="F9535">
        <v>11.7735</v>
      </c>
      <c r="G9535" t="s">
        <v>75</v>
      </c>
      <c r="H9535">
        <v>11773.5</v>
      </c>
      <c r="I9535" t="s">
        <v>76</v>
      </c>
      <c r="J9535" t="s">
        <v>77</v>
      </c>
    </row>
    <row r="9536" spans="1:11" x14ac:dyDescent="0.3">
      <c r="A9536" t="s">
        <v>83</v>
      </c>
      <c r="B9536">
        <v>1000</v>
      </c>
      <c r="C9536" t="s">
        <v>96</v>
      </c>
      <c r="D9536">
        <v>1.7983999999999999E-3</v>
      </c>
      <c r="E9536" t="s">
        <v>74</v>
      </c>
      <c r="F9536">
        <v>1.7984</v>
      </c>
      <c r="G9536" t="s">
        <v>75</v>
      </c>
      <c r="H9536">
        <v>1798.3969999999999</v>
      </c>
      <c r="I9536" t="s">
        <v>76</v>
      </c>
      <c r="J9536" t="s">
        <v>77</v>
      </c>
    </row>
    <row r="9537" spans="1:11" x14ac:dyDescent="0.3">
      <c r="A9537" t="s">
        <v>83</v>
      </c>
      <c r="B9537">
        <v>1000</v>
      </c>
      <c r="C9537" t="s">
        <v>94</v>
      </c>
      <c r="D9537">
        <v>3.0305800000000002E-3</v>
      </c>
      <c r="E9537" t="s">
        <v>74</v>
      </c>
      <c r="F9537">
        <v>3.0305800000000001</v>
      </c>
      <c r="G9537" t="s">
        <v>75</v>
      </c>
      <c r="H9537">
        <v>3030.576</v>
      </c>
      <c r="I9537" t="s">
        <v>76</v>
      </c>
      <c r="J9537" t="s">
        <v>77</v>
      </c>
    </row>
    <row r="9538" spans="1:11" x14ac:dyDescent="0.3">
      <c r="A9538" t="s">
        <v>83</v>
      </c>
      <c r="B9538">
        <v>1000</v>
      </c>
      <c r="C9538" t="s">
        <v>80</v>
      </c>
      <c r="D9538">
        <v>4.9631400000000004E-3</v>
      </c>
      <c r="E9538" t="s">
        <v>74</v>
      </c>
      <c r="F9538">
        <v>4.9631400000000001</v>
      </c>
      <c r="G9538" t="s">
        <v>75</v>
      </c>
      <c r="H9538">
        <v>4963.143</v>
      </c>
      <c r="I9538" t="s">
        <v>76</v>
      </c>
      <c r="J9538" t="s">
        <v>77</v>
      </c>
    </row>
    <row r="9539" spans="1:11" x14ac:dyDescent="0.3">
      <c r="A9539" t="s">
        <v>83</v>
      </c>
      <c r="B9539">
        <v>1000</v>
      </c>
      <c r="C9539" t="s">
        <v>81</v>
      </c>
      <c r="D9539">
        <v>1.6738200000000002E-2</v>
      </c>
      <c r="E9539" t="s">
        <v>74</v>
      </c>
      <c r="F9539">
        <v>16.738199999999999</v>
      </c>
      <c r="G9539" t="s">
        <v>75</v>
      </c>
      <c r="H9539">
        <v>16738.203000000001</v>
      </c>
      <c r="I9539" t="s">
        <v>76</v>
      </c>
      <c r="J9539" t="s">
        <v>82</v>
      </c>
      <c r="K9539">
        <v>59.743569700000002</v>
      </c>
    </row>
    <row r="9540" spans="1:11" x14ac:dyDescent="0.3">
      <c r="A9540" t="s">
        <v>84</v>
      </c>
      <c r="B9540">
        <v>1001</v>
      </c>
      <c r="C9540" t="s">
        <v>91</v>
      </c>
      <c r="D9540">
        <v>5.5046000000000001E-4</v>
      </c>
      <c r="E9540" t="s">
        <v>74</v>
      </c>
      <c r="F9540">
        <v>0.55045999999999995</v>
      </c>
      <c r="G9540" t="s">
        <v>75</v>
      </c>
      <c r="H9540">
        <v>550.46199999999999</v>
      </c>
      <c r="I9540" t="s">
        <v>76</v>
      </c>
      <c r="J9540" t="s">
        <v>77</v>
      </c>
    </row>
    <row r="9541" spans="1:11" x14ac:dyDescent="0.3">
      <c r="A9541" t="s">
        <v>84</v>
      </c>
      <c r="B9541">
        <v>1001</v>
      </c>
      <c r="C9541" t="s">
        <v>92</v>
      </c>
      <c r="D9541">
        <v>1.0711699999999999E-2</v>
      </c>
      <c r="E9541" t="s">
        <v>74</v>
      </c>
      <c r="F9541">
        <v>10.7117</v>
      </c>
      <c r="G9541" t="s">
        <v>75</v>
      </c>
      <c r="H9541">
        <v>10711.699000000001</v>
      </c>
      <c r="I9541" t="s">
        <v>76</v>
      </c>
      <c r="J9541" t="s">
        <v>77</v>
      </c>
    </row>
    <row r="9542" spans="1:11" x14ac:dyDescent="0.3">
      <c r="A9542" t="s">
        <v>84</v>
      </c>
      <c r="B9542">
        <v>1001</v>
      </c>
      <c r="C9542" t="s">
        <v>93</v>
      </c>
      <c r="D9542">
        <v>5.1475000000000002E-4</v>
      </c>
      <c r="E9542" t="s">
        <v>74</v>
      </c>
      <c r="F9542">
        <v>0.51475000000000004</v>
      </c>
      <c r="G9542" t="s">
        <v>75</v>
      </c>
      <c r="H9542">
        <v>514.74699999999996</v>
      </c>
      <c r="I9542" t="s">
        <v>76</v>
      </c>
      <c r="J9542" t="s">
        <v>77</v>
      </c>
    </row>
    <row r="9543" spans="1:11" x14ac:dyDescent="0.3">
      <c r="A9543" t="s">
        <v>84</v>
      </c>
      <c r="B9543">
        <v>1001</v>
      </c>
      <c r="C9543" t="s">
        <v>79</v>
      </c>
      <c r="D9543">
        <v>1.1777370000000001E-2</v>
      </c>
      <c r="E9543" t="s">
        <v>74</v>
      </c>
      <c r="F9543">
        <v>11.777369999999999</v>
      </c>
      <c r="G9543" t="s">
        <v>75</v>
      </c>
      <c r="H9543">
        <v>11777.370999999999</v>
      </c>
      <c r="I9543" t="s">
        <v>76</v>
      </c>
      <c r="J9543" t="s">
        <v>77</v>
      </c>
    </row>
    <row r="9544" spans="1:11" x14ac:dyDescent="0.3">
      <c r="A9544" t="s">
        <v>84</v>
      </c>
      <c r="B9544">
        <v>1001</v>
      </c>
      <c r="C9544" t="s">
        <v>96</v>
      </c>
      <c r="D9544">
        <v>1.79872E-3</v>
      </c>
      <c r="E9544" t="s">
        <v>74</v>
      </c>
      <c r="F9544">
        <v>1.7987200000000001</v>
      </c>
      <c r="G9544" t="s">
        <v>75</v>
      </c>
      <c r="H9544">
        <v>1798.7249999999999</v>
      </c>
      <c r="I9544" t="s">
        <v>76</v>
      </c>
      <c r="J9544" t="s">
        <v>77</v>
      </c>
    </row>
    <row r="9545" spans="1:11" x14ac:dyDescent="0.3">
      <c r="A9545" t="s">
        <v>84</v>
      </c>
      <c r="B9545">
        <v>1001</v>
      </c>
      <c r="C9545" t="s">
        <v>94</v>
      </c>
      <c r="D9545">
        <v>3.0306399999999998E-3</v>
      </c>
      <c r="E9545" t="s">
        <v>74</v>
      </c>
      <c r="F9545">
        <v>3.03064</v>
      </c>
      <c r="G9545" t="s">
        <v>75</v>
      </c>
      <c r="H9545">
        <v>3030.64</v>
      </c>
      <c r="I9545" t="s">
        <v>76</v>
      </c>
      <c r="J9545" t="s">
        <v>77</v>
      </c>
    </row>
    <row r="9546" spans="1:11" x14ac:dyDescent="0.3">
      <c r="A9546" t="s">
        <v>84</v>
      </c>
      <c r="B9546">
        <v>1001</v>
      </c>
      <c r="C9546" t="s">
        <v>80</v>
      </c>
      <c r="D9546">
        <v>4.9635299999999999E-3</v>
      </c>
      <c r="E9546" t="s">
        <v>74</v>
      </c>
      <c r="F9546">
        <v>4.9635300000000004</v>
      </c>
      <c r="G9546" t="s">
        <v>75</v>
      </c>
      <c r="H9546">
        <v>4963.5280000000002</v>
      </c>
      <c r="I9546" t="s">
        <v>76</v>
      </c>
      <c r="J9546" t="s">
        <v>77</v>
      </c>
    </row>
    <row r="9547" spans="1:11" x14ac:dyDescent="0.3">
      <c r="A9547" t="s">
        <v>84</v>
      </c>
      <c r="B9547">
        <v>1001</v>
      </c>
      <c r="C9547" t="s">
        <v>81</v>
      </c>
      <c r="D9547">
        <v>1.6742460000000001E-2</v>
      </c>
      <c r="E9547" t="s">
        <v>74</v>
      </c>
      <c r="F9547">
        <v>16.742460000000001</v>
      </c>
      <c r="G9547" t="s">
        <v>75</v>
      </c>
      <c r="H9547">
        <v>16742.458999999999</v>
      </c>
      <c r="I9547" t="s">
        <v>76</v>
      </c>
      <c r="J9547" t="s">
        <v>82</v>
      </c>
      <c r="K9547">
        <v>59.728384200000001</v>
      </c>
    </row>
    <row r="9548" spans="1:11" x14ac:dyDescent="0.3">
      <c r="A9548" t="s">
        <v>85</v>
      </c>
      <c r="B9548">
        <v>1001</v>
      </c>
      <c r="C9548" t="s">
        <v>86</v>
      </c>
      <c r="D9548">
        <v>1.6742650000000001E-2</v>
      </c>
      <c r="E9548" t="s">
        <v>74</v>
      </c>
      <c r="F9548">
        <v>16.742650000000001</v>
      </c>
      <c r="G9548" t="s">
        <v>75</v>
      </c>
      <c r="H9548">
        <v>16742.649000000001</v>
      </c>
      <c r="I9548" t="s">
        <v>76</v>
      </c>
      <c r="J9548" t="s">
        <v>82</v>
      </c>
      <c r="K9548">
        <v>59.727704500000002</v>
      </c>
    </row>
    <row r="9549" spans="1:11" x14ac:dyDescent="0.3">
      <c r="A9549" t="s">
        <v>87</v>
      </c>
    </row>
    <row r="9550" spans="1:11" x14ac:dyDescent="0.3">
      <c r="A9550" t="s">
        <v>97</v>
      </c>
    </row>
    <row r="9551" spans="1:11" x14ac:dyDescent="0.3">
      <c r="A9551" t="s">
        <v>72</v>
      </c>
      <c r="B9551">
        <v>1</v>
      </c>
      <c r="C9551" t="s">
        <v>81</v>
      </c>
      <c r="D9551">
        <v>2.53361E-2</v>
      </c>
      <c r="E9551" t="s">
        <v>74</v>
      </c>
      <c r="F9551">
        <v>25.336099999999998</v>
      </c>
      <c r="G9551" t="s">
        <v>75</v>
      </c>
      <c r="H9551">
        <v>25336.1</v>
      </c>
      <c r="I9551" t="s">
        <v>76</v>
      </c>
      <c r="J9551" t="s">
        <v>82</v>
      </c>
      <c r="K9551">
        <v>39.469374100000003</v>
      </c>
    </row>
    <row r="9552" spans="1:11" x14ac:dyDescent="0.3">
      <c r="A9552" t="s">
        <v>83</v>
      </c>
      <c r="B9552">
        <v>1000</v>
      </c>
      <c r="C9552" t="s">
        <v>81</v>
      </c>
      <c r="D9552">
        <v>1.469612E-2</v>
      </c>
      <c r="E9552" t="s">
        <v>74</v>
      </c>
      <c r="F9552">
        <v>14.696120000000001</v>
      </c>
      <c r="G9552" t="s">
        <v>75</v>
      </c>
      <c r="H9552">
        <v>14696.119000000001</v>
      </c>
      <c r="I9552" t="s">
        <v>76</v>
      </c>
      <c r="J9552" t="s">
        <v>82</v>
      </c>
      <c r="K9552">
        <v>68.045174299999999</v>
      </c>
    </row>
    <row r="9553" spans="1:11" x14ac:dyDescent="0.3">
      <c r="A9553" t="s">
        <v>85</v>
      </c>
      <c r="B9553">
        <v>1001</v>
      </c>
      <c r="C9553" t="s">
        <v>86</v>
      </c>
      <c r="D9553">
        <v>1.470699E-2</v>
      </c>
      <c r="E9553" t="s">
        <v>74</v>
      </c>
      <c r="F9553">
        <v>14.706989999999999</v>
      </c>
      <c r="G9553" t="s">
        <v>75</v>
      </c>
      <c r="H9553">
        <v>14706.991</v>
      </c>
      <c r="I9553" t="s">
        <v>76</v>
      </c>
      <c r="J9553" t="s">
        <v>82</v>
      </c>
      <c r="K9553">
        <v>67.994874899999999</v>
      </c>
    </row>
    <row r="9555" spans="1:11" x14ac:dyDescent="0.3">
      <c r="A9555" t="s">
        <v>98</v>
      </c>
    </row>
    <row r="9556" spans="1:11" x14ac:dyDescent="0.3">
      <c r="A9556" t="s">
        <v>72</v>
      </c>
      <c r="B9556">
        <v>1</v>
      </c>
      <c r="C9556" t="s">
        <v>81</v>
      </c>
      <c r="D9556">
        <v>2.0996899999999999E-2</v>
      </c>
      <c r="E9556" t="s">
        <v>74</v>
      </c>
      <c r="F9556">
        <v>20.9969</v>
      </c>
      <c r="G9556" t="s">
        <v>75</v>
      </c>
      <c r="H9556">
        <v>20996.9</v>
      </c>
      <c r="I9556" t="s">
        <v>76</v>
      </c>
      <c r="J9556" t="s">
        <v>82</v>
      </c>
      <c r="K9556">
        <v>47.626077500000001</v>
      </c>
    </row>
    <row r="9557" spans="1:11" x14ac:dyDescent="0.3">
      <c r="A9557" t="s">
        <v>83</v>
      </c>
      <c r="B9557">
        <v>1000</v>
      </c>
      <c r="C9557" t="s">
        <v>81</v>
      </c>
      <c r="D9557">
        <v>1.6738200000000002E-2</v>
      </c>
      <c r="E9557" t="s">
        <v>74</v>
      </c>
      <c r="F9557">
        <v>16.738199999999999</v>
      </c>
      <c r="G9557" t="s">
        <v>75</v>
      </c>
      <c r="H9557">
        <v>16738.203000000001</v>
      </c>
      <c r="I9557" t="s">
        <v>76</v>
      </c>
      <c r="J9557" t="s">
        <v>82</v>
      </c>
      <c r="K9557">
        <v>59.743569700000002</v>
      </c>
    </row>
    <row r="9558" spans="1:11" x14ac:dyDescent="0.3">
      <c r="A9558" t="s">
        <v>85</v>
      </c>
      <c r="B9558">
        <v>1001</v>
      </c>
      <c r="C9558" t="s">
        <v>86</v>
      </c>
      <c r="D9558">
        <v>1.6742650000000001E-2</v>
      </c>
      <c r="E9558" t="s">
        <v>74</v>
      </c>
      <c r="F9558">
        <v>16.742650000000001</v>
      </c>
      <c r="G9558" t="s">
        <v>75</v>
      </c>
      <c r="H9558">
        <v>16742.649000000001</v>
      </c>
      <c r="I9558" t="s">
        <v>76</v>
      </c>
      <c r="J9558" t="s">
        <v>82</v>
      </c>
      <c r="K9558">
        <v>59.727704500000002</v>
      </c>
    </row>
    <row r="9560" spans="1:11" x14ac:dyDescent="0.3">
      <c r="A9560" t="s">
        <v>66</v>
      </c>
    </row>
    <row r="9562" spans="1:11" x14ac:dyDescent="0.3">
      <c r="A9562" t="s">
        <v>476</v>
      </c>
    </row>
    <row r="9563" spans="1:11" x14ac:dyDescent="0.3">
      <c r="A9563" t="s">
        <v>68</v>
      </c>
    </row>
    <row r="9564" spans="1:11" x14ac:dyDescent="0.3">
      <c r="A9564" t="s">
        <v>69</v>
      </c>
    </row>
    <row r="9565" spans="1:11" x14ac:dyDescent="0.3">
      <c r="A9565" t="s">
        <v>70</v>
      </c>
    </row>
    <row r="9566" spans="1:11" x14ac:dyDescent="0.3">
      <c r="A9566" t="s">
        <v>100</v>
      </c>
    </row>
    <row r="9567" spans="1:11" x14ac:dyDescent="0.3">
      <c r="A9567" t="s">
        <v>72</v>
      </c>
      <c r="B9567">
        <v>1</v>
      </c>
      <c r="C9567" t="s">
        <v>73</v>
      </c>
      <c r="D9567">
        <v>4.1999999999999996E-6</v>
      </c>
      <c r="E9567" t="s">
        <v>74</v>
      </c>
      <c r="F9567">
        <v>4.1999999999999997E-3</v>
      </c>
      <c r="G9567" t="s">
        <v>75</v>
      </c>
      <c r="H9567">
        <v>4.2</v>
      </c>
      <c r="I9567" t="s">
        <v>76</v>
      </c>
      <c r="J9567" t="s">
        <v>77</v>
      </c>
    </row>
    <row r="9568" spans="1:11" x14ac:dyDescent="0.3">
      <c r="A9568" t="s">
        <v>72</v>
      </c>
      <c r="B9568">
        <v>1</v>
      </c>
      <c r="C9568" t="s">
        <v>78</v>
      </c>
      <c r="D9568">
        <v>4.3399999999999998E-5</v>
      </c>
      <c r="E9568" t="s">
        <v>74</v>
      </c>
      <c r="F9568">
        <v>4.3400000000000001E-2</v>
      </c>
      <c r="G9568" t="s">
        <v>75</v>
      </c>
      <c r="H9568">
        <v>43.4</v>
      </c>
      <c r="I9568" t="s">
        <v>76</v>
      </c>
      <c r="J9568" t="s">
        <v>77</v>
      </c>
    </row>
    <row r="9569" spans="1:11" x14ac:dyDescent="0.3">
      <c r="A9569" t="s">
        <v>72</v>
      </c>
      <c r="B9569">
        <v>1</v>
      </c>
      <c r="C9569" t="s">
        <v>91</v>
      </c>
      <c r="D9569">
        <v>2.2618999999999998E-3</v>
      </c>
      <c r="E9569" t="s">
        <v>74</v>
      </c>
      <c r="F9569">
        <v>2.2618999999999998</v>
      </c>
      <c r="G9569" t="s">
        <v>75</v>
      </c>
      <c r="H9569">
        <v>2261.9</v>
      </c>
      <c r="I9569" t="s">
        <v>76</v>
      </c>
      <c r="J9569" t="s">
        <v>77</v>
      </c>
    </row>
    <row r="9570" spans="1:11" x14ac:dyDescent="0.3">
      <c r="A9570" t="s">
        <v>72</v>
      </c>
      <c r="B9570">
        <v>1</v>
      </c>
      <c r="C9570" t="s">
        <v>92</v>
      </c>
      <c r="D9570">
        <v>1.1885400000000001E-2</v>
      </c>
      <c r="E9570" t="s">
        <v>74</v>
      </c>
      <c r="F9570">
        <v>11.885400000000001</v>
      </c>
      <c r="G9570" t="s">
        <v>75</v>
      </c>
      <c r="H9570">
        <v>11885.4</v>
      </c>
      <c r="I9570" t="s">
        <v>76</v>
      </c>
      <c r="J9570" t="s">
        <v>77</v>
      </c>
    </row>
    <row r="9571" spans="1:11" x14ac:dyDescent="0.3">
      <c r="A9571" t="s">
        <v>72</v>
      </c>
      <c r="B9571">
        <v>1</v>
      </c>
      <c r="C9571" t="s">
        <v>93</v>
      </c>
      <c r="D9571">
        <v>1.7195000000000001E-3</v>
      </c>
      <c r="E9571" t="s">
        <v>74</v>
      </c>
      <c r="F9571">
        <v>1.7195</v>
      </c>
      <c r="G9571" t="s">
        <v>75</v>
      </c>
      <c r="H9571">
        <v>1719.5</v>
      </c>
      <c r="I9571" t="s">
        <v>76</v>
      </c>
      <c r="J9571" t="s">
        <v>77</v>
      </c>
    </row>
    <row r="9572" spans="1:11" x14ac:dyDescent="0.3">
      <c r="A9572" t="s">
        <v>72</v>
      </c>
      <c r="B9572">
        <v>1</v>
      </c>
      <c r="C9572" t="s">
        <v>79</v>
      </c>
      <c r="D9572">
        <v>1.58703E-2</v>
      </c>
      <c r="E9572" t="s">
        <v>74</v>
      </c>
      <c r="F9572">
        <v>15.8703</v>
      </c>
      <c r="G9572" t="s">
        <v>75</v>
      </c>
      <c r="H9572">
        <v>15870.299000000001</v>
      </c>
      <c r="I9572" t="s">
        <v>76</v>
      </c>
      <c r="J9572" t="s">
        <v>77</v>
      </c>
    </row>
    <row r="9573" spans="1:11" x14ac:dyDescent="0.3">
      <c r="A9573" t="s">
        <v>72</v>
      </c>
      <c r="B9573">
        <v>1</v>
      </c>
      <c r="C9573" t="s">
        <v>94</v>
      </c>
      <c r="D9573">
        <v>9.3638999999999997E-3</v>
      </c>
      <c r="E9573" t="s">
        <v>74</v>
      </c>
      <c r="F9573">
        <v>9.3638999999999992</v>
      </c>
      <c r="G9573" t="s">
        <v>75</v>
      </c>
      <c r="H9573">
        <v>9363.9</v>
      </c>
      <c r="I9573" t="s">
        <v>76</v>
      </c>
      <c r="J9573" t="s">
        <v>77</v>
      </c>
    </row>
    <row r="9574" spans="1:11" x14ac:dyDescent="0.3">
      <c r="A9574" t="s">
        <v>72</v>
      </c>
      <c r="B9574">
        <v>1</v>
      </c>
      <c r="C9574" t="s">
        <v>80</v>
      </c>
      <c r="D9574">
        <v>9.3644000000000002E-3</v>
      </c>
      <c r="E9574" t="s">
        <v>74</v>
      </c>
      <c r="F9574">
        <v>9.3643999999999998</v>
      </c>
      <c r="G9574" t="s">
        <v>75</v>
      </c>
      <c r="H9574">
        <v>9364.4</v>
      </c>
      <c r="I9574" t="s">
        <v>76</v>
      </c>
      <c r="J9574" t="s">
        <v>77</v>
      </c>
    </row>
    <row r="9575" spans="1:11" x14ac:dyDescent="0.3">
      <c r="A9575" t="s">
        <v>72</v>
      </c>
      <c r="B9575">
        <v>1</v>
      </c>
      <c r="C9575" t="s">
        <v>81</v>
      </c>
      <c r="D9575">
        <v>2.5237599999999999E-2</v>
      </c>
      <c r="E9575" t="s">
        <v>74</v>
      </c>
      <c r="F9575">
        <v>25.2376</v>
      </c>
      <c r="G9575" t="s">
        <v>75</v>
      </c>
      <c r="H9575">
        <v>25237.598999999998</v>
      </c>
      <c r="I9575" t="s">
        <v>76</v>
      </c>
      <c r="J9575" t="s">
        <v>82</v>
      </c>
      <c r="K9575">
        <v>39.623420000000003</v>
      </c>
    </row>
    <row r="9576" spans="1:11" x14ac:dyDescent="0.3">
      <c r="A9576" t="s">
        <v>83</v>
      </c>
      <c r="B9576">
        <v>1000</v>
      </c>
      <c r="C9576" t="s">
        <v>91</v>
      </c>
      <c r="D9576">
        <v>5.3841000000000002E-4</v>
      </c>
      <c r="E9576" t="s">
        <v>74</v>
      </c>
      <c r="F9576">
        <v>0.53841000000000006</v>
      </c>
      <c r="G9576" t="s">
        <v>75</v>
      </c>
      <c r="H9576">
        <v>538.41200000000003</v>
      </c>
      <c r="I9576" t="s">
        <v>76</v>
      </c>
      <c r="J9576" t="s">
        <v>77</v>
      </c>
    </row>
    <row r="9577" spans="1:11" x14ac:dyDescent="0.3">
      <c r="A9577" t="s">
        <v>83</v>
      </c>
      <c r="B9577">
        <v>1000</v>
      </c>
      <c r="C9577" t="s">
        <v>92</v>
      </c>
      <c r="D9577">
        <v>1.071708E-2</v>
      </c>
      <c r="E9577" t="s">
        <v>74</v>
      </c>
      <c r="F9577">
        <v>10.717079999999999</v>
      </c>
      <c r="G9577" t="s">
        <v>75</v>
      </c>
      <c r="H9577">
        <v>10717.083000000001</v>
      </c>
      <c r="I9577" t="s">
        <v>76</v>
      </c>
      <c r="J9577" t="s">
        <v>77</v>
      </c>
    </row>
    <row r="9578" spans="1:11" x14ac:dyDescent="0.3">
      <c r="A9578" t="s">
        <v>83</v>
      </c>
      <c r="B9578">
        <v>1000</v>
      </c>
      <c r="C9578" t="s">
        <v>93</v>
      </c>
      <c r="D9578">
        <v>5.0779000000000004E-4</v>
      </c>
      <c r="E9578" t="s">
        <v>74</v>
      </c>
      <c r="F9578">
        <v>0.50778999999999996</v>
      </c>
      <c r="G9578" t="s">
        <v>75</v>
      </c>
      <c r="H9578">
        <v>507.79300000000001</v>
      </c>
      <c r="I9578" t="s">
        <v>76</v>
      </c>
      <c r="J9578" t="s">
        <v>77</v>
      </c>
    </row>
    <row r="9579" spans="1:11" x14ac:dyDescent="0.3">
      <c r="A9579" t="s">
        <v>83</v>
      </c>
      <c r="B9579">
        <v>1000</v>
      </c>
      <c r="C9579" t="s">
        <v>79</v>
      </c>
      <c r="D9579">
        <v>1.17637E-2</v>
      </c>
      <c r="E9579" t="s">
        <v>74</v>
      </c>
      <c r="F9579">
        <v>11.7637</v>
      </c>
      <c r="G9579" t="s">
        <v>75</v>
      </c>
      <c r="H9579">
        <v>11763.697</v>
      </c>
      <c r="I9579" t="s">
        <v>76</v>
      </c>
      <c r="J9579" t="s">
        <v>77</v>
      </c>
    </row>
    <row r="9580" spans="1:11" x14ac:dyDescent="0.3">
      <c r="A9580" t="s">
        <v>83</v>
      </c>
      <c r="B9580">
        <v>1000</v>
      </c>
      <c r="C9580" t="s">
        <v>94</v>
      </c>
      <c r="D9580">
        <v>2.7465900000000001E-3</v>
      </c>
      <c r="E9580" t="s">
        <v>74</v>
      </c>
      <c r="F9580">
        <v>2.7465899999999999</v>
      </c>
      <c r="G9580" t="s">
        <v>75</v>
      </c>
      <c r="H9580">
        <v>2746.5859999999998</v>
      </c>
      <c r="I9580" t="s">
        <v>76</v>
      </c>
      <c r="J9580" t="s">
        <v>77</v>
      </c>
    </row>
    <row r="9581" spans="1:11" x14ac:dyDescent="0.3">
      <c r="A9581" t="s">
        <v>83</v>
      </c>
      <c r="B9581">
        <v>1000</v>
      </c>
      <c r="C9581" t="s">
        <v>80</v>
      </c>
      <c r="D9581">
        <v>2.9235099999999998E-3</v>
      </c>
      <c r="E9581" t="s">
        <v>74</v>
      </c>
      <c r="F9581">
        <v>2.9235099999999998</v>
      </c>
      <c r="G9581" t="s">
        <v>75</v>
      </c>
      <c r="H9581">
        <v>2923.5120000000002</v>
      </c>
      <c r="I9581" t="s">
        <v>76</v>
      </c>
      <c r="J9581" t="s">
        <v>77</v>
      </c>
    </row>
    <row r="9582" spans="1:11" x14ac:dyDescent="0.3">
      <c r="A9582" t="s">
        <v>83</v>
      </c>
      <c r="B9582">
        <v>1000</v>
      </c>
      <c r="C9582" t="s">
        <v>81</v>
      </c>
      <c r="D9582">
        <v>1.468853E-2</v>
      </c>
      <c r="E9582" t="s">
        <v>74</v>
      </c>
      <c r="F9582">
        <v>14.68853</v>
      </c>
      <c r="G9582" t="s">
        <v>75</v>
      </c>
      <c r="H9582">
        <v>14688.526</v>
      </c>
      <c r="I9582" t="s">
        <v>76</v>
      </c>
      <c r="J9582" t="s">
        <v>82</v>
      </c>
      <c r="K9582">
        <v>68.080349900000002</v>
      </c>
    </row>
    <row r="9583" spans="1:11" x14ac:dyDescent="0.3">
      <c r="A9583" t="s">
        <v>84</v>
      </c>
      <c r="B9583">
        <v>1001</v>
      </c>
      <c r="C9583" t="s">
        <v>91</v>
      </c>
      <c r="D9583">
        <v>5.4012999999999999E-4</v>
      </c>
      <c r="E9583" t="s">
        <v>74</v>
      </c>
      <c r="F9583">
        <v>0.54013</v>
      </c>
      <c r="G9583" t="s">
        <v>75</v>
      </c>
      <c r="H9583">
        <v>540.13400000000001</v>
      </c>
      <c r="I9583" t="s">
        <v>76</v>
      </c>
      <c r="J9583" t="s">
        <v>77</v>
      </c>
    </row>
    <row r="9584" spans="1:11" x14ac:dyDescent="0.3">
      <c r="A9584" t="s">
        <v>84</v>
      </c>
      <c r="B9584">
        <v>1001</v>
      </c>
      <c r="C9584" t="s">
        <v>92</v>
      </c>
      <c r="D9584">
        <v>1.071825E-2</v>
      </c>
      <c r="E9584" t="s">
        <v>74</v>
      </c>
      <c r="F9584">
        <v>10.718249999999999</v>
      </c>
      <c r="G9584" t="s">
        <v>75</v>
      </c>
      <c r="H9584">
        <v>10718.249</v>
      </c>
      <c r="I9584" t="s">
        <v>76</v>
      </c>
      <c r="J9584" t="s">
        <v>77</v>
      </c>
    </row>
    <row r="9585" spans="1:11" x14ac:dyDescent="0.3">
      <c r="A9585" t="s">
        <v>84</v>
      </c>
      <c r="B9585">
        <v>1001</v>
      </c>
      <c r="C9585" t="s">
        <v>93</v>
      </c>
      <c r="D9585">
        <v>5.0900000000000001E-4</v>
      </c>
      <c r="E9585" t="s">
        <v>74</v>
      </c>
      <c r="F9585">
        <v>0.50900000000000001</v>
      </c>
      <c r="G9585" t="s">
        <v>75</v>
      </c>
      <c r="H9585">
        <v>509.00400000000002</v>
      </c>
      <c r="I9585" t="s">
        <v>76</v>
      </c>
      <c r="J9585" t="s">
        <v>77</v>
      </c>
    </row>
    <row r="9586" spans="1:11" x14ac:dyDescent="0.3">
      <c r="A9586" t="s">
        <v>84</v>
      </c>
      <c r="B9586">
        <v>1001</v>
      </c>
      <c r="C9586" t="s">
        <v>79</v>
      </c>
      <c r="D9586">
        <v>1.17678E-2</v>
      </c>
      <c r="E9586" t="s">
        <v>74</v>
      </c>
      <c r="F9586">
        <v>11.767799999999999</v>
      </c>
      <c r="G9586" t="s">
        <v>75</v>
      </c>
      <c r="H9586">
        <v>11767.8</v>
      </c>
      <c r="I9586" t="s">
        <v>76</v>
      </c>
      <c r="J9586" t="s">
        <v>77</v>
      </c>
    </row>
    <row r="9587" spans="1:11" x14ac:dyDescent="0.3">
      <c r="A9587" t="s">
        <v>84</v>
      </c>
      <c r="B9587">
        <v>1001</v>
      </c>
      <c r="C9587" t="s">
        <v>94</v>
      </c>
      <c r="D9587">
        <v>2.7531999999999999E-3</v>
      </c>
      <c r="E9587" t="s">
        <v>74</v>
      </c>
      <c r="F9587">
        <v>2.7532000000000001</v>
      </c>
      <c r="G9587" t="s">
        <v>75</v>
      </c>
      <c r="H9587">
        <v>2753.1959999999999</v>
      </c>
      <c r="I9587" t="s">
        <v>76</v>
      </c>
      <c r="J9587" t="s">
        <v>77</v>
      </c>
    </row>
    <row r="9588" spans="1:11" x14ac:dyDescent="0.3">
      <c r="A9588" t="s">
        <v>84</v>
      </c>
      <c r="B9588">
        <v>1001</v>
      </c>
      <c r="C9588" t="s">
        <v>80</v>
      </c>
      <c r="D9588">
        <v>2.9299500000000002E-3</v>
      </c>
      <c r="E9588" t="s">
        <v>74</v>
      </c>
      <c r="F9588">
        <v>2.9299499999999998</v>
      </c>
      <c r="G9588" t="s">
        <v>75</v>
      </c>
      <c r="H9588">
        <v>2929.9459999999999</v>
      </c>
      <c r="I9588" t="s">
        <v>76</v>
      </c>
      <c r="J9588" t="s">
        <v>77</v>
      </c>
    </row>
    <row r="9589" spans="1:11" x14ac:dyDescent="0.3">
      <c r="A9589" t="s">
        <v>84</v>
      </c>
      <c r="B9589">
        <v>1001</v>
      </c>
      <c r="C9589" t="s">
        <v>81</v>
      </c>
      <c r="D9589">
        <v>1.469906E-2</v>
      </c>
      <c r="E9589" t="s">
        <v>74</v>
      </c>
      <c r="F9589">
        <v>14.699059999999999</v>
      </c>
      <c r="G9589" t="s">
        <v>75</v>
      </c>
      <c r="H9589">
        <v>14699.064</v>
      </c>
      <c r="I9589" t="s">
        <v>76</v>
      </c>
      <c r="J9589" t="s">
        <v>82</v>
      </c>
      <c r="K9589">
        <v>68.031541899999993</v>
      </c>
    </row>
    <row r="9590" spans="1:11" x14ac:dyDescent="0.3">
      <c r="A9590" t="s">
        <v>85</v>
      </c>
      <c r="B9590">
        <v>1001</v>
      </c>
      <c r="C9590" t="s">
        <v>86</v>
      </c>
      <c r="D9590">
        <v>1.4699240000000001E-2</v>
      </c>
      <c r="E9590" t="s">
        <v>74</v>
      </c>
      <c r="F9590">
        <v>14.69924</v>
      </c>
      <c r="G9590" t="s">
        <v>75</v>
      </c>
      <c r="H9590">
        <v>14699.236000000001</v>
      </c>
      <c r="I9590" t="s">
        <v>76</v>
      </c>
      <c r="J9590" t="s">
        <v>82</v>
      </c>
      <c r="K9590">
        <v>68.030748200000005</v>
      </c>
    </row>
    <row r="9591" spans="1:11" x14ac:dyDescent="0.3">
      <c r="A9591" t="s">
        <v>101</v>
      </c>
    </row>
    <row r="9592" spans="1:11" x14ac:dyDescent="0.3">
      <c r="A9592" t="s">
        <v>72</v>
      </c>
      <c r="B9592">
        <v>1</v>
      </c>
      <c r="C9592" t="s">
        <v>73</v>
      </c>
      <c r="D9592">
        <v>4.1999999999999996E-6</v>
      </c>
      <c r="E9592" t="s">
        <v>74</v>
      </c>
      <c r="F9592">
        <v>4.1999999999999997E-3</v>
      </c>
      <c r="G9592" t="s">
        <v>75</v>
      </c>
      <c r="H9592">
        <v>4.2</v>
      </c>
      <c r="I9592" t="s">
        <v>76</v>
      </c>
      <c r="J9592" t="s">
        <v>77</v>
      </c>
    </row>
    <row r="9593" spans="1:11" x14ac:dyDescent="0.3">
      <c r="A9593" t="s">
        <v>72</v>
      </c>
      <c r="B9593">
        <v>1</v>
      </c>
      <c r="C9593" t="s">
        <v>78</v>
      </c>
      <c r="D9593">
        <v>3.9700000000000003E-5</v>
      </c>
      <c r="E9593" t="s">
        <v>74</v>
      </c>
      <c r="F9593">
        <v>3.9699999999999999E-2</v>
      </c>
      <c r="G9593" t="s">
        <v>75</v>
      </c>
      <c r="H9593">
        <v>39.700000000000003</v>
      </c>
      <c r="I9593" t="s">
        <v>76</v>
      </c>
      <c r="J9593" t="s">
        <v>77</v>
      </c>
    </row>
    <row r="9594" spans="1:11" x14ac:dyDescent="0.3">
      <c r="A9594" t="s">
        <v>72</v>
      </c>
      <c r="B9594">
        <v>1</v>
      </c>
      <c r="C9594" t="s">
        <v>91</v>
      </c>
      <c r="D9594">
        <v>2.0929E-3</v>
      </c>
      <c r="E9594" t="s">
        <v>74</v>
      </c>
      <c r="F9594">
        <v>2.0929000000000002</v>
      </c>
      <c r="G9594" t="s">
        <v>75</v>
      </c>
      <c r="H9594">
        <v>2092.9</v>
      </c>
      <c r="I9594" t="s">
        <v>76</v>
      </c>
      <c r="J9594" t="s">
        <v>77</v>
      </c>
    </row>
    <row r="9595" spans="1:11" x14ac:dyDescent="0.3">
      <c r="A9595" t="s">
        <v>72</v>
      </c>
      <c r="B9595">
        <v>1</v>
      </c>
      <c r="C9595" t="s">
        <v>92</v>
      </c>
      <c r="D9595">
        <v>1.1757699999999999E-2</v>
      </c>
      <c r="E9595" t="s">
        <v>74</v>
      </c>
      <c r="F9595">
        <v>11.7577</v>
      </c>
      <c r="G9595" t="s">
        <v>75</v>
      </c>
      <c r="H9595">
        <v>11757.7</v>
      </c>
      <c r="I9595" t="s">
        <v>76</v>
      </c>
      <c r="J9595" t="s">
        <v>77</v>
      </c>
    </row>
    <row r="9596" spans="1:11" x14ac:dyDescent="0.3">
      <c r="A9596" t="s">
        <v>72</v>
      </c>
      <c r="B9596">
        <v>1</v>
      </c>
      <c r="C9596" t="s">
        <v>93</v>
      </c>
      <c r="D9596">
        <v>1.6057999999999999E-3</v>
      </c>
      <c r="E9596" t="s">
        <v>74</v>
      </c>
      <c r="F9596">
        <v>1.6057999999999999</v>
      </c>
      <c r="G9596" t="s">
        <v>75</v>
      </c>
      <c r="H9596">
        <v>1605.8</v>
      </c>
      <c r="I9596" t="s">
        <v>76</v>
      </c>
      <c r="J9596" t="s">
        <v>77</v>
      </c>
    </row>
    <row r="9597" spans="1:11" x14ac:dyDescent="0.3">
      <c r="A9597" t="s">
        <v>72</v>
      </c>
      <c r="B9597">
        <v>1</v>
      </c>
      <c r="C9597" t="s">
        <v>79</v>
      </c>
      <c r="D9597">
        <v>1.54567E-2</v>
      </c>
      <c r="E9597" t="s">
        <v>74</v>
      </c>
      <c r="F9597">
        <v>15.4567</v>
      </c>
      <c r="G9597" t="s">
        <v>75</v>
      </c>
      <c r="H9597">
        <v>15456.7</v>
      </c>
      <c r="I9597" t="s">
        <v>76</v>
      </c>
      <c r="J9597" t="s">
        <v>77</v>
      </c>
    </row>
    <row r="9598" spans="1:11" x14ac:dyDescent="0.3">
      <c r="A9598" t="s">
        <v>72</v>
      </c>
      <c r="B9598">
        <v>1</v>
      </c>
      <c r="C9598" t="s">
        <v>96</v>
      </c>
      <c r="D9598">
        <v>2.0265000000000001E-3</v>
      </c>
      <c r="E9598" t="s">
        <v>74</v>
      </c>
      <c r="F9598">
        <v>2.0265</v>
      </c>
      <c r="G9598" t="s">
        <v>75</v>
      </c>
      <c r="H9598">
        <v>2026.5</v>
      </c>
      <c r="I9598" t="s">
        <v>76</v>
      </c>
      <c r="J9598" t="s">
        <v>77</v>
      </c>
    </row>
    <row r="9599" spans="1:11" x14ac:dyDescent="0.3">
      <c r="A9599" t="s">
        <v>72</v>
      </c>
      <c r="B9599">
        <v>1</v>
      </c>
      <c r="C9599" t="s">
        <v>94</v>
      </c>
      <c r="D9599">
        <v>3.1121E-3</v>
      </c>
      <c r="E9599" t="s">
        <v>74</v>
      </c>
      <c r="F9599">
        <v>3.1120999999999999</v>
      </c>
      <c r="G9599" t="s">
        <v>75</v>
      </c>
      <c r="H9599">
        <v>3112.1</v>
      </c>
      <c r="I9599" t="s">
        <v>76</v>
      </c>
      <c r="J9599" t="s">
        <v>77</v>
      </c>
    </row>
    <row r="9600" spans="1:11" x14ac:dyDescent="0.3">
      <c r="A9600" t="s">
        <v>72</v>
      </c>
      <c r="B9600">
        <v>1</v>
      </c>
      <c r="C9600" t="s">
        <v>80</v>
      </c>
      <c r="D9600">
        <v>5.2681999999999998E-3</v>
      </c>
      <c r="E9600" t="s">
        <v>74</v>
      </c>
      <c r="F9600">
        <v>5.2682000000000002</v>
      </c>
      <c r="G9600" t="s">
        <v>75</v>
      </c>
      <c r="H9600">
        <v>5268.2</v>
      </c>
      <c r="I9600" t="s">
        <v>76</v>
      </c>
      <c r="J9600" t="s">
        <v>77</v>
      </c>
    </row>
    <row r="9601" spans="1:11" x14ac:dyDescent="0.3">
      <c r="A9601" t="s">
        <v>72</v>
      </c>
      <c r="B9601">
        <v>1</v>
      </c>
      <c r="C9601" t="s">
        <v>81</v>
      </c>
      <c r="D9601">
        <v>2.07256E-2</v>
      </c>
      <c r="E9601" t="s">
        <v>74</v>
      </c>
      <c r="F9601">
        <v>20.7256</v>
      </c>
      <c r="G9601" t="s">
        <v>75</v>
      </c>
      <c r="H9601">
        <v>20725.599999999999</v>
      </c>
      <c r="I9601" t="s">
        <v>76</v>
      </c>
      <c r="J9601" t="s">
        <v>82</v>
      </c>
      <c r="K9601">
        <v>48.2495069</v>
      </c>
    </row>
    <row r="9602" spans="1:11" x14ac:dyDescent="0.3">
      <c r="A9602" t="s">
        <v>83</v>
      </c>
      <c r="B9602">
        <v>1000</v>
      </c>
      <c r="C9602" t="s">
        <v>91</v>
      </c>
      <c r="D9602">
        <v>5.4600000000000004E-4</v>
      </c>
      <c r="E9602" t="s">
        <v>74</v>
      </c>
      <c r="F9602">
        <v>0.54600000000000004</v>
      </c>
      <c r="G9602" t="s">
        <v>75</v>
      </c>
      <c r="H9602">
        <v>545.995</v>
      </c>
      <c r="I9602" t="s">
        <v>76</v>
      </c>
      <c r="J9602" t="s">
        <v>77</v>
      </c>
    </row>
    <row r="9603" spans="1:11" x14ac:dyDescent="0.3">
      <c r="A9603" t="s">
        <v>83</v>
      </c>
      <c r="B9603">
        <v>1000</v>
      </c>
      <c r="C9603" t="s">
        <v>92</v>
      </c>
      <c r="D9603">
        <v>1.067763E-2</v>
      </c>
      <c r="E9603" t="s">
        <v>74</v>
      </c>
      <c r="F9603">
        <v>10.677630000000001</v>
      </c>
      <c r="G9603" t="s">
        <v>75</v>
      </c>
      <c r="H9603">
        <v>10677.634</v>
      </c>
      <c r="I9603" t="s">
        <v>76</v>
      </c>
      <c r="J9603" t="s">
        <v>77</v>
      </c>
    </row>
    <row r="9604" spans="1:11" x14ac:dyDescent="0.3">
      <c r="A9604" t="s">
        <v>83</v>
      </c>
      <c r="B9604">
        <v>1000</v>
      </c>
      <c r="C9604" t="s">
        <v>93</v>
      </c>
      <c r="D9604">
        <v>5.0777999999999999E-4</v>
      </c>
      <c r="E9604" t="s">
        <v>74</v>
      </c>
      <c r="F9604">
        <v>0.50778000000000001</v>
      </c>
      <c r="G9604" t="s">
        <v>75</v>
      </c>
      <c r="H9604">
        <v>507.77800000000002</v>
      </c>
      <c r="I9604" t="s">
        <v>76</v>
      </c>
      <c r="J9604" t="s">
        <v>77</v>
      </c>
    </row>
    <row r="9605" spans="1:11" x14ac:dyDescent="0.3">
      <c r="A9605" t="s">
        <v>83</v>
      </c>
      <c r="B9605">
        <v>1000</v>
      </c>
      <c r="C9605" t="s">
        <v>79</v>
      </c>
      <c r="D9605">
        <v>1.173183E-2</v>
      </c>
      <c r="E9605" t="s">
        <v>74</v>
      </c>
      <c r="F9605">
        <v>11.73183</v>
      </c>
      <c r="G9605" t="s">
        <v>75</v>
      </c>
      <c r="H9605">
        <v>11731.826999999999</v>
      </c>
      <c r="I9605" t="s">
        <v>76</v>
      </c>
      <c r="J9605" t="s">
        <v>77</v>
      </c>
    </row>
    <row r="9606" spans="1:11" x14ac:dyDescent="0.3">
      <c r="A9606" t="s">
        <v>83</v>
      </c>
      <c r="B9606">
        <v>1000</v>
      </c>
      <c r="C9606" t="s">
        <v>96</v>
      </c>
      <c r="D9606">
        <v>1.7861000000000001E-3</v>
      </c>
      <c r="E9606" t="s">
        <v>74</v>
      </c>
      <c r="F9606">
        <v>1.7861</v>
      </c>
      <c r="G9606" t="s">
        <v>75</v>
      </c>
      <c r="H9606">
        <v>1786.096</v>
      </c>
      <c r="I9606" t="s">
        <v>76</v>
      </c>
      <c r="J9606" t="s">
        <v>77</v>
      </c>
    </row>
    <row r="9607" spans="1:11" x14ac:dyDescent="0.3">
      <c r="A9607" t="s">
        <v>83</v>
      </c>
      <c r="B9607">
        <v>1000</v>
      </c>
      <c r="C9607" t="s">
        <v>94</v>
      </c>
      <c r="D9607">
        <v>3.08443E-3</v>
      </c>
      <c r="E9607" t="s">
        <v>74</v>
      </c>
      <c r="F9607">
        <v>3.0844299999999998</v>
      </c>
      <c r="G9607" t="s">
        <v>75</v>
      </c>
      <c r="H9607">
        <v>3084.431</v>
      </c>
      <c r="I9607" t="s">
        <v>76</v>
      </c>
      <c r="J9607" t="s">
        <v>77</v>
      </c>
    </row>
    <row r="9608" spans="1:11" x14ac:dyDescent="0.3">
      <c r="A9608" t="s">
        <v>83</v>
      </c>
      <c r="B9608">
        <v>1000</v>
      </c>
      <c r="C9608" t="s">
        <v>80</v>
      </c>
      <c r="D9608">
        <v>5.0026799999999998E-3</v>
      </c>
      <c r="E9608" t="s">
        <v>74</v>
      </c>
      <c r="F9608">
        <v>5.0026799999999998</v>
      </c>
      <c r="G9608" t="s">
        <v>75</v>
      </c>
      <c r="H9608">
        <v>5002.6769999999997</v>
      </c>
      <c r="I9608" t="s">
        <v>76</v>
      </c>
      <c r="J9608" t="s">
        <v>77</v>
      </c>
    </row>
    <row r="9609" spans="1:11" x14ac:dyDescent="0.3">
      <c r="A9609" t="s">
        <v>83</v>
      </c>
      <c r="B9609">
        <v>1000</v>
      </c>
      <c r="C9609" t="s">
        <v>81</v>
      </c>
      <c r="D9609">
        <v>1.6736000000000001E-2</v>
      </c>
      <c r="E9609" t="s">
        <v>74</v>
      </c>
      <c r="F9609">
        <v>16.736000000000001</v>
      </c>
      <c r="G9609" t="s">
        <v>75</v>
      </c>
      <c r="H9609">
        <v>16735.995999999999</v>
      </c>
      <c r="I9609" t="s">
        <v>76</v>
      </c>
      <c r="J9609" t="s">
        <v>82</v>
      </c>
      <c r="K9609">
        <v>59.751447400000004</v>
      </c>
    </row>
    <row r="9610" spans="1:11" x14ac:dyDescent="0.3">
      <c r="A9610" t="s">
        <v>84</v>
      </c>
      <c r="B9610">
        <v>1001</v>
      </c>
      <c r="C9610" t="s">
        <v>91</v>
      </c>
      <c r="D9610">
        <v>5.4754000000000001E-4</v>
      </c>
      <c r="E9610" t="s">
        <v>74</v>
      </c>
      <c r="F9610">
        <v>0.54754000000000003</v>
      </c>
      <c r="G9610" t="s">
        <v>75</v>
      </c>
      <c r="H9610">
        <v>547.54</v>
      </c>
      <c r="I9610" t="s">
        <v>76</v>
      </c>
      <c r="J9610" t="s">
        <v>77</v>
      </c>
    </row>
    <row r="9611" spans="1:11" x14ac:dyDescent="0.3">
      <c r="A9611" t="s">
        <v>84</v>
      </c>
      <c r="B9611">
        <v>1001</v>
      </c>
      <c r="C9611" t="s">
        <v>92</v>
      </c>
      <c r="D9611">
        <v>1.0678709999999999E-2</v>
      </c>
      <c r="E9611" t="s">
        <v>74</v>
      </c>
      <c r="F9611">
        <v>10.678710000000001</v>
      </c>
      <c r="G9611" t="s">
        <v>75</v>
      </c>
      <c r="H9611">
        <v>10678.713</v>
      </c>
      <c r="I9611" t="s">
        <v>76</v>
      </c>
      <c r="J9611" t="s">
        <v>77</v>
      </c>
    </row>
    <row r="9612" spans="1:11" x14ac:dyDescent="0.3">
      <c r="A9612" t="s">
        <v>84</v>
      </c>
      <c r="B9612">
        <v>1001</v>
      </c>
      <c r="C9612" t="s">
        <v>93</v>
      </c>
      <c r="D9612">
        <v>5.0887000000000003E-4</v>
      </c>
      <c r="E9612" t="s">
        <v>74</v>
      </c>
      <c r="F9612">
        <v>0.50887000000000004</v>
      </c>
      <c r="G9612" t="s">
        <v>75</v>
      </c>
      <c r="H9612">
        <v>508.875</v>
      </c>
      <c r="I9612" t="s">
        <v>76</v>
      </c>
      <c r="J9612" t="s">
        <v>77</v>
      </c>
    </row>
    <row r="9613" spans="1:11" x14ac:dyDescent="0.3">
      <c r="A9613" t="s">
        <v>84</v>
      </c>
      <c r="B9613">
        <v>1001</v>
      </c>
      <c r="C9613" t="s">
        <v>79</v>
      </c>
      <c r="D9613">
        <v>1.1735550000000001E-2</v>
      </c>
      <c r="E9613" t="s">
        <v>74</v>
      </c>
      <c r="F9613">
        <v>11.73555</v>
      </c>
      <c r="G9613" t="s">
        <v>75</v>
      </c>
      <c r="H9613">
        <v>11735.547</v>
      </c>
      <c r="I9613" t="s">
        <v>76</v>
      </c>
      <c r="J9613" t="s">
        <v>77</v>
      </c>
    </row>
    <row r="9614" spans="1:11" x14ac:dyDescent="0.3">
      <c r="A9614" t="s">
        <v>84</v>
      </c>
      <c r="B9614">
        <v>1001</v>
      </c>
      <c r="C9614" t="s">
        <v>96</v>
      </c>
      <c r="D9614">
        <v>1.78634E-3</v>
      </c>
      <c r="E9614" t="s">
        <v>74</v>
      </c>
      <c r="F9614">
        <v>1.78634</v>
      </c>
      <c r="G9614" t="s">
        <v>75</v>
      </c>
      <c r="H9614">
        <v>1786.336</v>
      </c>
      <c r="I9614" t="s">
        <v>76</v>
      </c>
      <c r="J9614" t="s">
        <v>77</v>
      </c>
    </row>
    <row r="9615" spans="1:11" x14ac:dyDescent="0.3">
      <c r="A9615" t="s">
        <v>84</v>
      </c>
      <c r="B9615">
        <v>1001</v>
      </c>
      <c r="C9615" t="s">
        <v>94</v>
      </c>
      <c r="D9615">
        <v>3.0844599999999998E-3</v>
      </c>
      <c r="E9615" t="s">
        <v>74</v>
      </c>
      <c r="F9615">
        <v>3.08446</v>
      </c>
      <c r="G9615" t="s">
        <v>75</v>
      </c>
      <c r="H9615">
        <v>3084.4589999999998</v>
      </c>
      <c r="I9615" t="s">
        <v>76</v>
      </c>
      <c r="J9615" t="s">
        <v>77</v>
      </c>
    </row>
    <row r="9616" spans="1:11" x14ac:dyDescent="0.3">
      <c r="A9616" t="s">
        <v>84</v>
      </c>
      <c r="B9616">
        <v>1001</v>
      </c>
      <c r="C9616" t="s">
        <v>80</v>
      </c>
      <c r="D9616">
        <v>5.00294E-3</v>
      </c>
      <c r="E9616" t="s">
        <v>74</v>
      </c>
      <c r="F9616">
        <v>5.0029399999999997</v>
      </c>
      <c r="G9616" t="s">
        <v>75</v>
      </c>
      <c r="H9616">
        <v>5002.9430000000002</v>
      </c>
      <c r="I9616" t="s">
        <v>76</v>
      </c>
      <c r="J9616" t="s">
        <v>77</v>
      </c>
    </row>
    <row r="9617" spans="1:11" x14ac:dyDescent="0.3">
      <c r="A9617" t="s">
        <v>84</v>
      </c>
      <c r="B9617">
        <v>1001</v>
      </c>
      <c r="C9617" t="s">
        <v>81</v>
      </c>
      <c r="D9617">
        <v>1.6739980000000002E-2</v>
      </c>
      <c r="E9617" t="s">
        <v>74</v>
      </c>
      <c r="F9617">
        <v>16.739979999999999</v>
      </c>
      <c r="G9617" t="s">
        <v>75</v>
      </c>
      <c r="H9617">
        <v>16739.982</v>
      </c>
      <c r="I9617" t="s">
        <v>76</v>
      </c>
      <c r="J9617" t="s">
        <v>82</v>
      </c>
      <c r="K9617">
        <v>59.737222500000001</v>
      </c>
    </row>
    <row r="9618" spans="1:11" x14ac:dyDescent="0.3">
      <c r="A9618" t="s">
        <v>85</v>
      </c>
      <c r="B9618">
        <v>1001</v>
      </c>
      <c r="C9618" t="s">
        <v>86</v>
      </c>
      <c r="D9618">
        <v>1.6740169999999999E-2</v>
      </c>
      <c r="E9618" t="s">
        <v>74</v>
      </c>
      <c r="F9618">
        <v>16.740169999999999</v>
      </c>
      <c r="G9618" t="s">
        <v>75</v>
      </c>
      <c r="H9618">
        <v>16740.168000000001</v>
      </c>
      <c r="I9618" t="s">
        <v>76</v>
      </c>
      <c r="J9618" t="s">
        <v>82</v>
      </c>
      <c r="K9618">
        <v>59.736556100000001</v>
      </c>
    </row>
    <row r="9619" spans="1:11" x14ac:dyDescent="0.3">
      <c r="A9619" t="s">
        <v>87</v>
      </c>
    </row>
    <row r="9620" spans="1:11" x14ac:dyDescent="0.3">
      <c r="A9620" t="s">
        <v>102</v>
      </c>
    </row>
    <row r="9621" spans="1:11" x14ac:dyDescent="0.3">
      <c r="A9621" t="s">
        <v>72</v>
      </c>
      <c r="B9621">
        <v>1</v>
      </c>
      <c r="C9621" t="s">
        <v>81</v>
      </c>
      <c r="D9621">
        <v>2.5237599999999999E-2</v>
      </c>
      <c r="E9621" t="s">
        <v>74</v>
      </c>
      <c r="F9621">
        <v>25.2376</v>
      </c>
      <c r="G9621" t="s">
        <v>75</v>
      </c>
      <c r="H9621">
        <v>25237.598999999998</v>
      </c>
      <c r="I9621" t="s">
        <v>76</v>
      </c>
      <c r="J9621" t="s">
        <v>82</v>
      </c>
      <c r="K9621">
        <v>39.623420000000003</v>
      </c>
    </row>
    <row r="9622" spans="1:11" x14ac:dyDescent="0.3">
      <c r="A9622" t="s">
        <v>83</v>
      </c>
      <c r="B9622">
        <v>1000</v>
      </c>
      <c r="C9622" t="s">
        <v>81</v>
      </c>
      <c r="D9622">
        <v>1.468853E-2</v>
      </c>
      <c r="E9622" t="s">
        <v>74</v>
      </c>
      <c r="F9622">
        <v>14.68853</v>
      </c>
      <c r="G9622" t="s">
        <v>75</v>
      </c>
      <c r="H9622">
        <v>14688.526</v>
      </c>
      <c r="I9622" t="s">
        <v>76</v>
      </c>
      <c r="J9622" t="s">
        <v>82</v>
      </c>
      <c r="K9622">
        <v>68.080349900000002</v>
      </c>
    </row>
    <row r="9623" spans="1:11" x14ac:dyDescent="0.3">
      <c r="A9623" t="s">
        <v>85</v>
      </c>
      <c r="B9623">
        <v>1001</v>
      </c>
      <c r="C9623" t="s">
        <v>86</v>
      </c>
      <c r="D9623">
        <v>1.4699240000000001E-2</v>
      </c>
      <c r="E9623" t="s">
        <v>74</v>
      </c>
      <c r="F9623">
        <v>14.69924</v>
      </c>
      <c r="G9623" t="s">
        <v>75</v>
      </c>
      <c r="H9623">
        <v>14699.236000000001</v>
      </c>
      <c r="I9623" t="s">
        <v>76</v>
      </c>
      <c r="J9623" t="s">
        <v>82</v>
      </c>
      <c r="K9623">
        <v>68.030748200000005</v>
      </c>
    </row>
    <row r="9625" spans="1:11" x14ac:dyDescent="0.3">
      <c r="A9625" t="s">
        <v>103</v>
      </c>
    </row>
    <row r="9626" spans="1:11" x14ac:dyDescent="0.3">
      <c r="A9626" t="s">
        <v>72</v>
      </c>
      <c r="B9626">
        <v>1</v>
      </c>
      <c r="C9626" t="s">
        <v>81</v>
      </c>
      <c r="D9626">
        <v>2.07256E-2</v>
      </c>
      <c r="E9626" t="s">
        <v>74</v>
      </c>
      <c r="F9626">
        <v>20.7256</v>
      </c>
      <c r="G9626" t="s">
        <v>75</v>
      </c>
      <c r="H9626">
        <v>20725.599999999999</v>
      </c>
      <c r="I9626" t="s">
        <v>76</v>
      </c>
      <c r="J9626" t="s">
        <v>82</v>
      </c>
      <c r="K9626">
        <v>48.2495069</v>
      </c>
    </row>
    <row r="9627" spans="1:11" x14ac:dyDescent="0.3">
      <c r="A9627" t="s">
        <v>83</v>
      </c>
      <c r="B9627">
        <v>1000</v>
      </c>
      <c r="C9627" t="s">
        <v>81</v>
      </c>
      <c r="D9627">
        <v>1.6736000000000001E-2</v>
      </c>
      <c r="E9627" t="s">
        <v>74</v>
      </c>
      <c r="F9627">
        <v>16.736000000000001</v>
      </c>
      <c r="G9627" t="s">
        <v>75</v>
      </c>
      <c r="H9627">
        <v>16735.995999999999</v>
      </c>
      <c r="I9627" t="s">
        <v>76</v>
      </c>
      <c r="J9627" t="s">
        <v>82</v>
      </c>
      <c r="K9627">
        <v>59.751447400000004</v>
      </c>
    </row>
    <row r="9628" spans="1:11" x14ac:dyDescent="0.3">
      <c r="A9628" t="s">
        <v>85</v>
      </c>
      <c r="B9628">
        <v>1001</v>
      </c>
      <c r="C9628" t="s">
        <v>86</v>
      </c>
      <c r="D9628">
        <v>1.6740169999999999E-2</v>
      </c>
      <c r="E9628" t="s">
        <v>74</v>
      </c>
      <c r="F9628">
        <v>16.740169999999999</v>
      </c>
      <c r="G9628" t="s">
        <v>75</v>
      </c>
      <c r="H9628">
        <v>16740.168000000001</v>
      </c>
      <c r="I9628" t="s">
        <v>76</v>
      </c>
      <c r="J9628" t="s">
        <v>82</v>
      </c>
      <c r="K9628">
        <v>59.736556100000001</v>
      </c>
    </row>
    <row r="9630" spans="1:11" x14ac:dyDescent="0.3">
      <c r="A9630" t="s">
        <v>66</v>
      </c>
    </row>
    <row r="9632" spans="1:11" x14ac:dyDescent="0.3">
      <c r="A9632" t="s">
        <v>477</v>
      </c>
    </row>
    <row r="9633" spans="1:11" x14ac:dyDescent="0.3">
      <c r="A9633" t="s">
        <v>68</v>
      </c>
    </row>
    <row r="9634" spans="1:11" x14ac:dyDescent="0.3">
      <c r="A9634" t="s">
        <v>69</v>
      </c>
    </row>
    <row r="9635" spans="1:11" x14ac:dyDescent="0.3">
      <c r="A9635" t="s">
        <v>70</v>
      </c>
    </row>
    <row r="9636" spans="1:11" x14ac:dyDescent="0.3">
      <c r="A9636" t="s">
        <v>105</v>
      </c>
    </row>
    <row r="9637" spans="1:11" x14ac:dyDescent="0.3">
      <c r="A9637" t="s">
        <v>72</v>
      </c>
      <c r="B9637">
        <v>1</v>
      </c>
      <c r="C9637" t="s">
        <v>73</v>
      </c>
      <c r="D9637">
        <v>9.9999999999999995E-7</v>
      </c>
      <c r="E9637" t="s">
        <v>74</v>
      </c>
      <c r="F9637">
        <v>1E-3</v>
      </c>
      <c r="G9637" t="s">
        <v>75</v>
      </c>
      <c r="H9637">
        <v>1</v>
      </c>
      <c r="I9637" t="s">
        <v>76</v>
      </c>
      <c r="J9637" t="s">
        <v>77</v>
      </c>
    </row>
    <row r="9638" spans="1:11" x14ac:dyDescent="0.3">
      <c r="A9638" t="s">
        <v>72</v>
      </c>
      <c r="B9638">
        <v>1</v>
      </c>
      <c r="C9638" t="s">
        <v>78</v>
      </c>
      <c r="D9638">
        <v>4.5099999999999998E-5</v>
      </c>
      <c r="E9638" t="s">
        <v>74</v>
      </c>
      <c r="F9638">
        <v>4.5100000000000001E-2</v>
      </c>
      <c r="G9638" t="s">
        <v>75</v>
      </c>
      <c r="H9638">
        <v>45.1</v>
      </c>
      <c r="I9638" t="s">
        <v>76</v>
      </c>
      <c r="J9638" t="s">
        <v>77</v>
      </c>
    </row>
    <row r="9639" spans="1:11" x14ac:dyDescent="0.3">
      <c r="A9639" t="s">
        <v>72</v>
      </c>
      <c r="B9639">
        <v>1</v>
      </c>
      <c r="C9639" t="s">
        <v>91</v>
      </c>
      <c r="D9639">
        <v>2.2553E-3</v>
      </c>
      <c r="E9639" t="s">
        <v>74</v>
      </c>
      <c r="F9639">
        <v>2.2553000000000001</v>
      </c>
      <c r="G9639" t="s">
        <v>75</v>
      </c>
      <c r="H9639">
        <v>2255.3000000000002</v>
      </c>
      <c r="I9639" t="s">
        <v>76</v>
      </c>
      <c r="J9639" t="s">
        <v>77</v>
      </c>
    </row>
    <row r="9640" spans="1:11" x14ac:dyDescent="0.3">
      <c r="A9640" t="s">
        <v>72</v>
      </c>
      <c r="B9640">
        <v>1</v>
      </c>
      <c r="C9640" t="s">
        <v>92</v>
      </c>
      <c r="D9640">
        <v>4.0806999999999996E-3</v>
      </c>
      <c r="E9640" t="s">
        <v>74</v>
      </c>
      <c r="F9640">
        <v>4.0807000000000002</v>
      </c>
      <c r="G9640" t="s">
        <v>75</v>
      </c>
      <c r="H9640">
        <v>4080.7</v>
      </c>
      <c r="I9640" t="s">
        <v>76</v>
      </c>
      <c r="J9640" t="s">
        <v>77</v>
      </c>
    </row>
    <row r="9641" spans="1:11" x14ac:dyDescent="0.3">
      <c r="A9641" t="s">
        <v>72</v>
      </c>
      <c r="B9641">
        <v>1</v>
      </c>
      <c r="C9641" t="s">
        <v>93</v>
      </c>
      <c r="D9641">
        <v>1.7061999999999999E-3</v>
      </c>
      <c r="E9641" t="s">
        <v>74</v>
      </c>
      <c r="F9641">
        <v>1.7061999999999999</v>
      </c>
      <c r="G9641" t="s">
        <v>75</v>
      </c>
      <c r="H9641">
        <v>1706.2</v>
      </c>
      <c r="I9641" t="s">
        <v>76</v>
      </c>
      <c r="J9641" t="s">
        <v>77</v>
      </c>
    </row>
    <row r="9642" spans="1:11" x14ac:dyDescent="0.3">
      <c r="A9642" t="s">
        <v>72</v>
      </c>
      <c r="B9642">
        <v>1</v>
      </c>
      <c r="C9642" t="s">
        <v>79</v>
      </c>
      <c r="D9642">
        <v>8.0438000000000003E-3</v>
      </c>
      <c r="E9642" t="s">
        <v>74</v>
      </c>
      <c r="F9642">
        <v>8.0437999999999992</v>
      </c>
      <c r="G9642" t="s">
        <v>75</v>
      </c>
      <c r="H9642">
        <v>8043.8</v>
      </c>
      <c r="I9642" t="s">
        <v>76</v>
      </c>
      <c r="J9642" t="s">
        <v>77</v>
      </c>
    </row>
    <row r="9643" spans="1:11" x14ac:dyDescent="0.3">
      <c r="A9643" t="s">
        <v>72</v>
      </c>
      <c r="B9643">
        <v>1</v>
      </c>
      <c r="C9643" t="s">
        <v>94</v>
      </c>
      <c r="D9643">
        <v>9.3635000000000003E-3</v>
      </c>
      <c r="E9643" t="s">
        <v>74</v>
      </c>
      <c r="F9643">
        <v>9.3635000000000002</v>
      </c>
      <c r="G9643" t="s">
        <v>75</v>
      </c>
      <c r="H9643">
        <v>9363.5</v>
      </c>
      <c r="I9643" t="s">
        <v>76</v>
      </c>
      <c r="J9643" t="s">
        <v>77</v>
      </c>
    </row>
    <row r="9644" spans="1:11" x14ac:dyDescent="0.3">
      <c r="A9644" t="s">
        <v>72</v>
      </c>
      <c r="B9644">
        <v>1</v>
      </c>
      <c r="C9644" t="s">
        <v>80</v>
      </c>
      <c r="D9644">
        <v>9.3653999999999994E-3</v>
      </c>
      <c r="E9644" t="s">
        <v>74</v>
      </c>
      <c r="F9644">
        <v>9.3653999999999993</v>
      </c>
      <c r="G9644" t="s">
        <v>75</v>
      </c>
      <c r="H9644">
        <v>9365.4</v>
      </c>
      <c r="I9644" t="s">
        <v>76</v>
      </c>
      <c r="J9644" t="s">
        <v>77</v>
      </c>
    </row>
    <row r="9645" spans="1:11" x14ac:dyDescent="0.3">
      <c r="A9645" t="s">
        <v>72</v>
      </c>
      <c r="B9645">
        <v>1</v>
      </c>
      <c r="C9645" t="s">
        <v>81</v>
      </c>
      <c r="D9645">
        <v>1.7412500000000001E-2</v>
      </c>
      <c r="E9645" t="s">
        <v>74</v>
      </c>
      <c r="F9645">
        <v>17.412500000000001</v>
      </c>
      <c r="G9645" t="s">
        <v>75</v>
      </c>
      <c r="H9645">
        <v>17412.5</v>
      </c>
      <c r="I9645" t="s">
        <v>76</v>
      </c>
      <c r="J9645" t="s">
        <v>82</v>
      </c>
      <c r="K9645">
        <v>57.430005700000002</v>
      </c>
    </row>
    <row r="9646" spans="1:11" x14ac:dyDescent="0.3">
      <c r="A9646" t="s">
        <v>83</v>
      </c>
      <c r="B9646">
        <v>1000</v>
      </c>
      <c r="C9646" t="s">
        <v>91</v>
      </c>
      <c r="D9646">
        <v>5.5279000000000005E-4</v>
      </c>
      <c r="E9646" t="s">
        <v>74</v>
      </c>
      <c r="F9646">
        <v>0.55279</v>
      </c>
      <c r="G9646" t="s">
        <v>75</v>
      </c>
      <c r="H9646">
        <v>552.78700000000003</v>
      </c>
      <c r="I9646" t="s">
        <v>76</v>
      </c>
      <c r="J9646" t="s">
        <v>77</v>
      </c>
    </row>
    <row r="9647" spans="1:11" x14ac:dyDescent="0.3">
      <c r="A9647" t="s">
        <v>83</v>
      </c>
      <c r="B9647">
        <v>1000</v>
      </c>
      <c r="C9647" t="s">
        <v>92</v>
      </c>
      <c r="D9647">
        <v>2.97328E-3</v>
      </c>
      <c r="E9647" t="s">
        <v>74</v>
      </c>
      <c r="F9647">
        <v>2.9732799999999999</v>
      </c>
      <c r="G9647" t="s">
        <v>75</v>
      </c>
      <c r="H9647">
        <v>2973.2779999999998</v>
      </c>
      <c r="I9647" t="s">
        <v>76</v>
      </c>
      <c r="J9647" t="s">
        <v>77</v>
      </c>
    </row>
    <row r="9648" spans="1:11" x14ac:dyDescent="0.3">
      <c r="A9648" t="s">
        <v>83</v>
      </c>
      <c r="B9648">
        <v>1000</v>
      </c>
      <c r="C9648" t="s">
        <v>93</v>
      </c>
      <c r="D9648">
        <v>5.2149E-4</v>
      </c>
      <c r="E9648" t="s">
        <v>74</v>
      </c>
      <c r="F9648">
        <v>0.52149000000000001</v>
      </c>
      <c r="G9648" t="s">
        <v>75</v>
      </c>
      <c r="H9648">
        <v>521.48900000000003</v>
      </c>
      <c r="I9648" t="s">
        <v>76</v>
      </c>
      <c r="J9648" t="s">
        <v>77</v>
      </c>
    </row>
    <row r="9649" spans="1:11" x14ac:dyDescent="0.3">
      <c r="A9649" t="s">
        <v>83</v>
      </c>
      <c r="B9649">
        <v>1000</v>
      </c>
      <c r="C9649" t="s">
        <v>79</v>
      </c>
      <c r="D9649">
        <v>4.0479899999999996E-3</v>
      </c>
      <c r="E9649" t="s">
        <v>74</v>
      </c>
      <c r="F9649">
        <v>4.0479900000000004</v>
      </c>
      <c r="G9649" t="s">
        <v>75</v>
      </c>
      <c r="H9649">
        <v>4047.9850000000001</v>
      </c>
      <c r="I9649" t="s">
        <v>76</v>
      </c>
      <c r="J9649" t="s">
        <v>77</v>
      </c>
    </row>
    <row r="9650" spans="1:11" x14ac:dyDescent="0.3">
      <c r="A9650" t="s">
        <v>83</v>
      </c>
      <c r="B9650">
        <v>1000</v>
      </c>
      <c r="C9650" t="s">
        <v>94</v>
      </c>
      <c r="D9650">
        <v>2.7118099999999998E-3</v>
      </c>
      <c r="E9650" t="s">
        <v>74</v>
      </c>
      <c r="F9650">
        <v>2.7118099999999998</v>
      </c>
      <c r="G9650" t="s">
        <v>75</v>
      </c>
      <c r="H9650">
        <v>2711.8119999999999</v>
      </c>
      <c r="I9650" t="s">
        <v>76</v>
      </c>
      <c r="J9650" t="s">
        <v>77</v>
      </c>
    </row>
    <row r="9651" spans="1:11" x14ac:dyDescent="0.3">
      <c r="A9651" t="s">
        <v>83</v>
      </c>
      <c r="B9651">
        <v>1000</v>
      </c>
      <c r="C9651" t="s">
        <v>80</v>
      </c>
      <c r="D9651">
        <v>2.88441E-3</v>
      </c>
      <c r="E9651" t="s">
        <v>74</v>
      </c>
      <c r="F9651">
        <v>2.8844099999999999</v>
      </c>
      <c r="G9651" t="s">
        <v>75</v>
      </c>
      <c r="H9651">
        <v>2884.4079999999999</v>
      </c>
      <c r="I9651" t="s">
        <v>76</v>
      </c>
      <c r="J9651" t="s">
        <v>77</v>
      </c>
    </row>
    <row r="9652" spans="1:11" x14ac:dyDescent="0.3">
      <c r="A9652" t="s">
        <v>83</v>
      </c>
      <c r="B9652">
        <v>1000</v>
      </c>
      <c r="C9652" t="s">
        <v>81</v>
      </c>
      <c r="D9652">
        <v>6.9338000000000004E-3</v>
      </c>
      <c r="E9652" t="s">
        <v>74</v>
      </c>
      <c r="F9652">
        <v>6.9337999999999997</v>
      </c>
      <c r="G9652" t="s">
        <v>75</v>
      </c>
      <c r="H9652">
        <v>6933.8010000000004</v>
      </c>
      <c r="I9652" t="s">
        <v>76</v>
      </c>
      <c r="J9652" t="s">
        <v>82</v>
      </c>
      <c r="K9652">
        <v>144.2210475</v>
      </c>
    </row>
    <row r="9653" spans="1:11" x14ac:dyDescent="0.3">
      <c r="A9653" t="s">
        <v>84</v>
      </c>
      <c r="B9653">
        <v>1001</v>
      </c>
      <c r="C9653" t="s">
        <v>91</v>
      </c>
      <c r="D9653">
        <v>5.5449000000000004E-4</v>
      </c>
      <c r="E9653" t="s">
        <v>74</v>
      </c>
      <c r="F9653">
        <v>0.55449000000000004</v>
      </c>
      <c r="G9653" t="s">
        <v>75</v>
      </c>
      <c r="H9653">
        <v>554.48800000000006</v>
      </c>
      <c r="I9653" t="s">
        <v>76</v>
      </c>
      <c r="J9653" t="s">
        <v>77</v>
      </c>
    </row>
    <row r="9654" spans="1:11" x14ac:dyDescent="0.3">
      <c r="A9654" t="s">
        <v>84</v>
      </c>
      <c r="B9654">
        <v>1001</v>
      </c>
      <c r="C9654" t="s">
        <v>92</v>
      </c>
      <c r="D9654">
        <v>2.97438E-3</v>
      </c>
      <c r="E9654" t="s">
        <v>74</v>
      </c>
      <c r="F9654">
        <v>2.97438</v>
      </c>
      <c r="G9654" t="s">
        <v>75</v>
      </c>
      <c r="H9654">
        <v>2974.384</v>
      </c>
      <c r="I9654" t="s">
        <v>76</v>
      </c>
      <c r="J9654" t="s">
        <v>77</v>
      </c>
    </row>
    <row r="9655" spans="1:11" x14ac:dyDescent="0.3">
      <c r="A9655" t="s">
        <v>84</v>
      </c>
      <c r="B9655">
        <v>1001</v>
      </c>
      <c r="C9655" t="s">
        <v>93</v>
      </c>
      <c r="D9655">
        <v>5.2267000000000004E-4</v>
      </c>
      <c r="E9655" t="s">
        <v>74</v>
      </c>
      <c r="F9655">
        <v>0.52266999999999997</v>
      </c>
      <c r="G9655" t="s">
        <v>75</v>
      </c>
      <c r="H9655">
        <v>522.673</v>
      </c>
      <c r="I9655" t="s">
        <v>76</v>
      </c>
      <c r="J9655" t="s">
        <v>77</v>
      </c>
    </row>
    <row r="9656" spans="1:11" x14ac:dyDescent="0.3">
      <c r="A9656" t="s">
        <v>84</v>
      </c>
      <c r="B9656">
        <v>1001</v>
      </c>
      <c r="C9656" t="s">
        <v>79</v>
      </c>
      <c r="D9656">
        <v>4.0519800000000002E-3</v>
      </c>
      <c r="E9656" t="s">
        <v>74</v>
      </c>
      <c r="F9656">
        <v>4.0519800000000004</v>
      </c>
      <c r="G9656" t="s">
        <v>75</v>
      </c>
      <c r="H9656">
        <v>4051.9760000000001</v>
      </c>
      <c r="I9656" t="s">
        <v>76</v>
      </c>
      <c r="J9656" t="s">
        <v>77</v>
      </c>
    </row>
    <row r="9657" spans="1:11" x14ac:dyDescent="0.3">
      <c r="A9657" t="s">
        <v>84</v>
      </c>
      <c r="B9657">
        <v>1001</v>
      </c>
      <c r="C9657" t="s">
        <v>94</v>
      </c>
      <c r="D9657">
        <v>2.7184599999999998E-3</v>
      </c>
      <c r="E9657" t="s">
        <v>74</v>
      </c>
      <c r="F9657">
        <v>2.7184599999999999</v>
      </c>
      <c r="G9657" t="s">
        <v>75</v>
      </c>
      <c r="H9657">
        <v>2718.4569999999999</v>
      </c>
      <c r="I9657" t="s">
        <v>76</v>
      </c>
      <c r="J9657" t="s">
        <v>77</v>
      </c>
    </row>
    <row r="9658" spans="1:11" x14ac:dyDescent="0.3">
      <c r="A9658" t="s">
        <v>84</v>
      </c>
      <c r="B9658">
        <v>1001</v>
      </c>
      <c r="C9658" t="s">
        <v>80</v>
      </c>
      <c r="D9658">
        <v>2.8908800000000002E-3</v>
      </c>
      <c r="E9658" t="s">
        <v>74</v>
      </c>
      <c r="F9658">
        <v>2.8908800000000001</v>
      </c>
      <c r="G9658" t="s">
        <v>75</v>
      </c>
      <c r="H9658">
        <v>2890.8829999999998</v>
      </c>
      <c r="I9658" t="s">
        <v>76</v>
      </c>
      <c r="J9658" t="s">
        <v>77</v>
      </c>
    </row>
    <row r="9659" spans="1:11" x14ac:dyDescent="0.3">
      <c r="A9659" t="s">
        <v>84</v>
      </c>
      <c r="B9659">
        <v>1001</v>
      </c>
      <c r="C9659" t="s">
        <v>81</v>
      </c>
      <c r="D9659">
        <v>6.9442699999999998E-3</v>
      </c>
      <c r="E9659" t="s">
        <v>74</v>
      </c>
      <c r="F9659">
        <v>6.9442700000000004</v>
      </c>
      <c r="G9659" t="s">
        <v>75</v>
      </c>
      <c r="H9659">
        <v>6944.2690000000002</v>
      </c>
      <c r="I9659" t="s">
        <v>76</v>
      </c>
      <c r="J9659" t="s">
        <v>82</v>
      </c>
      <c r="K9659">
        <v>144.0036461</v>
      </c>
    </row>
    <row r="9660" spans="1:11" x14ac:dyDescent="0.3">
      <c r="A9660" t="s">
        <v>85</v>
      </c>
      <c r="B9660">
        <v>1001</v>
      </c>
      <c r="C9660" t="s">
        <v>86</v>
      </c>
      <c r="D9660">
        <v>6.9444700000000003E-3</v>
      </c>
      <c r="E9660" t="s">
        <v>74</v>
      </c>
      <c r="F9660">
        <v>6.9444699999999999</v>
      </c>
      <c r="G9660" t="s">
        <v>75</v>
      </c>
      <c r="H9660">
        <v>6944.4740000000002</v>
      </c>
      <c r="I9660" t="s">
        <v>76</v>
      </c>
      <c r="J9660" t="s">
        <v>82</v>
      </c>
      <c r="K9660">
        <v>143.99937879999999</v>
      </c>
    </row>
    <row r="9661" spans="1:11" x14ac:dyDescent="0.3">
      <c r="A9661" t="s">
        <v>106</v>
      </c>
    </row>
    <row r="9662" spans="1:11" x14ac:dyDescent="0.3">
      <c r="A9662" t="s">
        <v>72</v>
      </c>
      <c r="B9662">
        <v>1</v>
      </c>
      <c r="C9662" t="s">
        <v>73</v>
      </c>
      <c r="D9662">
        <v>9.9999999999999995E-7</v>
      </c>
      <c r="E9662" t="s">
        <v>74</v>
      </c>
      <c r="F9662">
        <v>1E-3</v>
      </c>
      <c r="G9662" t="s">
        <v>75</v>
      </c>
      <c r="H9662">
        <v>1</v>
      </c>
      <c r="I9662" t="s">
        <v>76</v>
      </c>
      <c r="J9662" t="s">
        <v>77</v>
      </c>
    </row>
    <row r="9663" spans="1:11" x14ac:dyDescent="0.3">
      <c r="A9663" t="s">
        <v>72</v>
      </c>
      <c r="B9663">
        <v>1</v>
      </c>
      <c r="C9663" t="s">
        <v>78</v>
      </c>
      <c r="D9663">
        <v>4.2799999999999997E-5</v>
      </c>
      <c r="E9663" t="s">
        <v>74</v>
      </c>
      <c r="F9663">
        <v>4.2799999999999998E-2</v>
      </c>
      <c r="G9663" t="s">
        <v>75</v>
      </c>
      <c r="H9663">
        <v>42.8</v>
      </c>
      <c r="I9663" t="s">
        <v>76</v>
      </c>
      <c r="J9663" t="s">
        <v>77</v>
      </c>
    </row>
    <row r="9664" spans="1:11" x14ac:dyDescent="0.3">
      <c r="A9664" t="s">
        <v>72</v>
      </c>
      <c r="B9664">
        <v>1</v>
      </c>
      <c r="C9664" t="s">
        <v>91</v>
      </c>
      <c r="D9664">
        <v>2.1451999999999999E-3</v>
      </c>
      <c r="E9664" t="s">
        <v>74</v>
      </c>
      <c r="F9664">
        <v>2.1452</v>
      </c>
      <c r="G9664" t="s">
        <v>75</v>
      </c>
      <c r="H9664">
        <v>2145.1999999999998</v>
      </c>
      <c r="I9664" t="s">
        <v>76</v>
      </c>
      <c r="J9664" t="s">
        <v>77</v>
      </c>
    </row>
    <row r="9665" spans="1:11" x14ac:dyDescent="0.3">
      <c r="A9665" t="s">
        <v>72</v>
      </c>
      <c r="B9665">
        <v>1</v>
      </c>
      <c r="C9665" t="s">
        <v>92</v>
      </c>
      <c r="D9665">
        <v>3.9430000000000003E-3</v>
      </c>
      <c r="E9665" t="s">
        <v>74</v>
      </c>
      <c r="F9665">
        <v>3.9430000000000001</v>
      </c>
      <c r="G9665" t="s">
        <v>75</v>
      </c>
      <c r="H9665">
        <v>3943</v>
      </c>
      <c r="I9665" t="s">
        <v>76</v>
      </c>
      <c r="J9665" t="s">
        <v>77</v>
      </c>
    </row>
    <row r="9666" spans="1:11" x14ac:dyDescent="0.3">
      <c r="A9666" t="s">
        <v>72</v>
      </c>
      <c r="B9666">
        <v>1</v>
      </c>
      <c r="C9666" t="s">
        <v>93</v>
      </c>
      <c r="D9666">
        <v>1.6247E-3</v>
      </c>
      <c r="E9666" t="s">
        <v>74</v>
      </c>
      <c r="F9666">
        <v>1.6247</v>
      </c>
      <c r="G9666" t="s">
        <v>75</v>
      </c>
      <c r="H9666">
        <v>1624.7</v>
      </c>
      <c r="I9666" t="s">
        <v>76</v>
      </c>
      <c r="J9666" t="s">
        <v>77</v>
      </c>
    </row>
    <row r="9667" spans="1:11" x14ac:dyDescent="0.3">
      <c r="A9667" t="s">
        <v>72</v>
      </c>
      <c r="B9667">
        <v>1</v>
      </c>
      <c r="C9667" t="s">
        <v>79</v>
      </c>
      <c r="D9667">
        <v>7.7133000000000002E-3</v>
      </c>
      <c r="E9667" t="s">
        <v>74</v>
      </c>
      <c r="F9667">
        <v>7.7133000000000003</v>
      </c>
      <c r="G9667" t="s">
        <v>75</v>
      </c>
      <c r="H9667">
        <v>7713.3</v>
      </c>
      <c r="I9667" t="s">
        <v>76</v>
      </c>
      <c r="J9667" t="s">
        <v>77</v>
      </c>
    </row>
    <row r="9668" spans="1:11" x14ac:dyDescent="0.3">
      <c r="A9668" t="s">
        <v>72</v>
      </c>
      <c r="B9668">
        <v>1</v>
      </c>
      <c r="C9668" t="s">
        <v>96</v>
      </c>
      <c r="D9668">
        <v>2.0371E-3</v>
      </c>
      <c r="E9668" t="s">
        <v>74</v>
      </c>
      <c r="F9668">
        <v>2.0371000000000001</v>
      </c>
      <c r="G9668" t="s">
        <v>75</v>
      </c>
      <c r="H9668">
        <v>2037.1</v>
      </c>
      <c r="I9668" t="s">
        <v>76</v>
      </c>
      <c r="J9668" t="s">
        <v>77</v>
      </c>
    </row>
    <row r="9669" spans="1:11" x14ac:dyDescent="0.3">
      <c r="A9669" t="s">
        <v>72</v>
      </c>
      <c r="B9669">
        <v>1</v>
      </c>
      <c r="C9669" t="s">
        <v>94</v>
      </c>
      <c r="D9669">
        <v>3.1638E-3</v>
      </c>
      <c r="E9669" t="s">
        <v>74</v>
      </c>
      <c r="F9669">
        <v>3.1638000000000002</v>
      </c>
      <c r="G9669" t="s">
        <v>75</v>
      </c>
      <c r="H9669">
        <v>3163.8</v>
      </c>
      <c r="I9669" t="s">
        <v>76</v>
      </c>
      <c r="J9669" t="s">
        <v>77</v>
      </c>
    </row>
    <row r="9670" spans="1:11" x14ac:dyDescent="0.3">
      <c r="A9670" t="s">
        <v>72</v>
      </c>
      <c r="B9670">
        <v>1</v>
      </c>
      <c r="C9670" t="s">
        <v>80</v>
      </c>
      <c r="D9670">
        <v>5.3280999999999997E-3</v>
      </c>
      <c r="E9670" t="s">
        <v>74</v>
      </c>
      <c r="F9670">
        <v>5.3281000000000001</v>
      </c>
      <c r="G9670" t="s">
        <v>75</v>
      </c>
      <c r="H9670">
        <v>5328.1</v>
      </c>
      <c r="I9670" t="s">
        <v>76</v>
      </c>
      <c r="J9670" t="s">
        <v>77</v>
      </c>
    </row>
    <row r="9671" spans="1:11" x14ac:dyDescent="0.3">
      <c r="A9671" t="s">
        <v>72</v>
      </c>
      <c r="B9671">
        <v>1</v>
      </c>
      <c r="C9671" t="s">
        <v>81</v>
      </c>
      <c r="D9671">
        <v>1.3042399999999999E-2</v>
      </c>
      <c r="E9671" t="s">
        <v>74</v>
      </c>
      <c r="F9671">
        <v>13.042400000000001</v>
      </c>
      <c r="G9671" t="s">
        <v>75</v>
      </c>
      <c r="H9671">
        <v>13042.4</v>
      </c>
      <c r="I9671" t="s">
        <v>76</v>
      </c>
      <c r="J9671" t="s">
        <v>82</v>
      </c>
      <c r="K9671">
        <v>76.673006999999998</v>
      </c>
    </row>
    <row r="9672" spans="1:11" x14ac:dyDescent="0.3">
      <c r="A9672" t="s">
        <v>83</v>
      </c>
      <c r="B9672">
        <v>1000</v>
      </c>
      <c r="C9672" t="s">
        <v>91</v>
      </c>
      <c r="D9672">
        <v>5.4626000000000002E-4</v>
      </c>
      <c r="E9672" t="s">
        <v>74</v>
      </c>
      <c r="F9672">
        <v>0.54625999999999997</v>
      </c>
      <c r="G9672" t="s">
        <v>75</v>
      </c>
      <c r="H9672">
        <v>546.26300000000003</v>
      </c>
      <c r="I9672" t="s">
        <v>76</v>
      </c>
      <c r="J9672" t="s">
        <v>77</v>
      </c>
    </row>
    <row r="9673" spans="1:11" x14ac:dyDescent="0.3">
      <c r="A9673" t="s">
        <v>83</v>
      </c>
      <c r="B9673">
        <v>1000</v>
      </c>
      <c r="C9673" t="s">
        <v>92</v>
      </c>
      <c r="D9673">
        <v>2.8708000000000002E-3</v>
      </c>
      <c r="E9673" t="s">
        <v>74</v>
      </c>
      <c r="F9673">
        <v>2.8708</v>
      </c>
      <c r="G9673" t="s">
        <v>75</v>
      </c>
      <c r="H9673">
        <v>2870.7959999999998</v>
      </c>
      <c r="I9673" t="s">
        <v>76</v>
      </c>
      <c r="J9673" t="s">
        <v>77</v>
      </c>
    </row>
    <row r="9674" spans="1:11" x14ac:dyDescent="0.3">
      <c r="A9674" t="s">
        <v>83</v>
      </c>
      <c r="B9674">
        <v>1000</v>
      </c>
      <c r="C9674" t="s">
        <v>93</v>
      </c>
      <c r="D9674">
        <v>5.1179999999999997E-4</v>
      </c>
      <c r="E9674" t="s">
        <v>74</v>
      </c>
      <c r="F9674">
        <v>0.51180000000000003</v>
      </c>
      <c r="G9674" t="s">
        <v>75</v>
      </c>
      <c r="H9674">
        <v>511.798</v>
      </c>
      <c r="I9674" t="s">
        <v>76</v>
      </c>
      <c r="J9674" t="s">
        <v>77</v>
      </c>
    </row>
    <row r="9675" spans="1:11" x14ac:dyDescent="0.3">
      <c r="A9675" t="s">
        <v>83</v>
      </c>
      <c r="B9675">
        <v>1000</v>
      </c>
      <c r="C9675" t="s">
        <v>79</v>
      </c>
      <c r="D9675">
        <v>3.9293000000000002E-3</v>
      </c>
      <c r="E9675" t="s">
        <v>74</v>
      </c>
      <c r="F9675">
        <v>3.9293</v>
      </c>
      <c r="G9675" t="s">
        <v>75</v>
      </c>
      <c r="H9675">
        <v>3929.2959999999998</v>
      </c>
      <c r="I9675" t="s">
        <v>76</v>
      </c>
      <c r="J9675" t="s">
        <v>77</v>
      </c>
    </row>
    <row r="9676" spans="1:11" x14ac:dyDescent="0.3">
      <c r="A9676" t="s">
        <v>83</v>
      </c>
      <c r="B9676">
        <v>1000</v>
      </c>
      <c r="C9676" t="s">
        <v>96</v>
      </c>
      <c r="D9676">
        <v>1.8018000000000001E-3</v>
      </c>
      <c r="E9676" t="s">
        <v>74</v>
      </c>
      <c r="F9676">
        <v>1.8018000000000001</v>
      </c>
      <c r="G9676" t="s">
        <v>75</v>
      </c>
      <c r="H9676">
        <v>1801.796</v>
      </c>
      <c r="I9676" t="s">
        <v>76</v>
      </c>
      <c r="J9676" t="s">
        <v>77</v>
      </c>
    </row>
    <row r="9677" spans="1:11" x14ac:dyDescent="0.3">
      <c r="A9677" t="s">
        <v>83</v>
      </c>
      <c r="B9677">
        <v>1000</v>
      </c>
      <c r="C9677" t="s">
        <v>94</v>
      </c>
      <c r="D9677">
        <v>3.0742199999999999E-3</v>
      </c>
      <c r="E9677" t="s">
        <v>74</v>
      </c>
      <c r="F9677">
        <v>3.07422</v>
      </c>
      <c r="G9677" t="s">
        <v>75</v>
      </c>
      <c r="H9677">
        <v>3074.2170000000001</v>
      </c>
      <c r="I9677" t="s">
        <v>76</v>
      </c>
      <c r="J9677" t="s">
        <v>77</v>
      </c>
    </row>
    <row r="9678" spans="1:11" x14ac:dyDescent="0.3">
      <c r="A9678" t="s">
        <v>83</v>
      </c>
      <c r="B9678">
        <v>1000</v>
      </c>
      <c r="C9678" t="s">
        <v>80</v>
      </c>
      <c r="D9678">
        <v>5.0072600000000004E-3</v>
      </c>
      <c r="E9678" t="s">
        <v>74</v>
      </c>
      <c r="F9678">
        <v>5.0072599999999996</v>
      </c>
      <c r="G9678" t="s">
        <v>75</v>
      </c>
      <c r="H9678">
        <v>5007.2569999999996</v>
      </c>
      <c r="I9678" t="s">
        <v>76</v>
      </c>
      <c r="J9678" t="s">
        <v>77</v>
      </c>
    </row>
    <row r="9679" spans="1:11" x14ac:dyDescent="0.3">
      <c r="A9679" t="s">
        <v>83</v>
      </c>
      <c r="B9679">
        <v>1000</v>
      </c>
      <c r="C9679" t="s">
        <v>81</v>
      </c>
      <c r="D9679">
        <v>8.9379200000000002E-3</v>
      </c>
      <c r="E9679" t="s">
        <v>74</v>
      </c>
      <c r="F9679">
        <v>8.9379200000000001</v>
      </c>
      <c r="G9679" t="s">
        <v>75</v>
      </c>
      <c r="H9679">
        <v>8937.9189999999999</v>
      </c>
      <c r="I9679" t="s">
        <v>76</v>
      </c>
      <c r="J9679" t="s">
        <v>82</v>
      </c>
      <c r="K9679">
        <v>111.8828709</v>
      </c>
    </row>
    <row r="9680" spans="1:11" x14ac:dyDescent="0.3">
      <c r="A9680" t="s">
        <v>84</v>
      </c>
      <c r="B9680">
        <v>1001</v>
      </c>
      <c r="C9680" t="s">
        <v>91</v>
      </c>
      <c r="D9680">
        <v>5.4785999999999995E-4</v>
      </c>
      <c r="E9680" t="s">
        <v>74</v>
      </c>
      <c r="F9680">
        <v>0.54786000000000001</v>
      </c>
      <c r="G9680" t="s">
        <v>75</v>
      </c>
      <c r="H9680">
        <v>547.86</v>
      </c>
      <c r="I9680" t="s">
        <v>76</v>
      </c>
      <c r="J9680" t="s">
        <v>77</v>
      </c>
    </row>
    <row r="9681" spans="1:11" x14ac:dyDescent="0.3">
      <c r="A9681" t="s">
        <v>84</v>
      </c>
      <c r="B9681">
        <v>1001</v>
      </c>
      <c r="C9681" t="s">
        <v>92</v>
      </c>
      <c r="D9681">
        <v>2.8718699999999999E-3</v>
      </c>
      <c r="E9681" t="s">
        <v>74</v>
      </c>
      <c r="F9681">
        <v>2.8718699999999999</v>
      </c>
      <c r="G9681" t="s">
        <v>75</v>
      </c>
      <c r="H9681">
        <v>2871.8670000000002</v>
      </c>
      <c r="I9681" t="s">
        <v>76</v>
      </c>
      <c r="J9681" t="s">
        <v>77</v>
      </c>
    </row>
    <row r="9682" spans="1:11" x14ac:dyDescent="0.3">
      <c r="A9682" t="s">
        <v>84</v>
      </c>
      <c r="B9682">
        <v>1001</v>
      </c>
      <c r="C9682" t="s">
        <v>93</v>
      </c>
      <c r="D9682">
        <v>5.1290999999999999E-4</v>
      </c>
      <c r="E9682" t="s">
        <v>74</v>
      </c>
      <c r="F9682">
        <v>0.51290999999999998</v>
      </c>
      <c r="G9682" t="s">
        <v>75</v>
      </c>
      <c r="H9682">
        <v>512.91</v>
      </c>
      <c r="I9682" t="s">
        <v>76</v>
      </c>
      <c r="J9682" t="s">
        <v>77</v>
      </c>
    </row>
    <row r="9683" spans="1:11" x14ac:dyDescent="0.3">
      <c r="A9683" t="s">
        <v>84</v>
      </c>
      <c r="B9683">
        <v>1001</v>
      </c>
      <c r="C9683" t="s">
        <v>79</v>
      </c>
      <c r="D9683">
        <v>3.9330800000000003E-3</v>
      </c>
      <c r="E9683" t="s">
        <v>74</v>
      </c>
      <c r="F9683">
        <v>3.9330799999999999</v>
      </c>
      <c r="G9683" t="s">
        <v>75</v>
      </c>
      <c r="H9683">
        <v>3933.076</v>
      </c>
      <c r="I9683" t="s">
        <v>76</v>
      </c>
      <c r="J9683" t="s">
        <v>77</v>
      </c>
    </row>
    <row r="9684" spans="1:11" x14ac:dyDescent="0.3">
      <c r="A9684" t="s">
        <v>84</v>
      </c>
      <c r="B9684">
        <v>1001</v>
      </c>
      <c r="C9684" t="s">
        <v>96</v>
      </c>
      <c r="D9684">
        <v>1.80203E-3</v>
      </c>
      <c r="E9684" t="s">
        <v>74</v>
      </c>
      <c r="F9684">
        <v>1.80203</v>
      </c>
      <c r="G9684" t="s">
        <v>75</v>
      </c>
      <c r="H9684">
        <v>1802.0309999999999</v>
      </c>
      <c r="I9684" t="s">
        <v>76</v>
      </c>
      <c r="J9684" t="s">
        <v>77</v>
      </c>
    </row>
    <row r="9685" spans="1:11" x14ac:dyDescent="0.3">
      <c r="A9685" t="s">
        <v>84</v>
      </c>
      <c r="B9685">
        <v>1001</v>
      </c>
      <c r="C9685" t="s">
        <v>94</v>
      </c>
      <c r="D9685">
        <v>3.0743099999999998E-3</v>
      </c>
      <c r="E9685" t="s">
        <v>74</v>
      </c>
      <c r="F9685">
        <v>3.0743100000000001</v>
      </c>
      <c r="G9685" t="s">
        <v>75</v>
      </c>
      <c r="H9685">
        <v>3074.306</v>
      </c>
      <c r="I9685" t="s">
        <v>76</v>
      </c>
      <c r="J9685" t="s">
        <v>77</v>
      </c>
    </row>
    <row r="9686" spans="1:11" x14ac:dyDescent="0.3">
      <c r="A9686" t="s">
        <v>84</v>
      </c>
      <c r="B9686">
        <v>1001</v>
      </c>
      <c r="C9686" t="s">
        <v>80</v>
      </c>
      <c r="D9686">
        <v>5.0075800000000002E-3</v>
      </c>
      <c r="E9686" t="s">
        <v>74</v>
      </c>
      <c r="F9686">
        <v>5.0075799999999999</v>
      </c>
      <c r="G9686" t="s">
        <v>75</v>
      </c>
      <c r="H9686">
        <v>5007.5780000000004</v>
      </c>
      <c r="I9686" t="s">
        <v>76</v>
      </c>
      <c r="J9686" t="s">
        <v>77</v>
      </c>
    </row>
    <row r="9687" spans="1:11" x14ac:dyDescent="0.3">
      <c r="A9687" t="s">
        <v>84</v>
      </c>
      <c r="B9687">
        <v>1001</v>
      </c>
      <c r="C9687" t="s">
        <v>81</v>
      </c>
      <c r="D9687">
        <v>8.9420200000000002E-3</v>
      </c>
      <c r="E9687" t="s">
        <v>74</v>
      </c>
      <c r="F9687">
        <v>8.9420199999999994</v>
      </c>
      <c r="G9687" t="s">
        <v>75</v>
      </c>
      <c r="H9687">
        <v>8942.0190000000002</v>
      </c>
      <c r="I9687" t="s">
        <v>76</v>
      </c>
      <c r="J9687" t="s">
        <v>82</v>
      </c>
      <c r="K9687">
        <v>111.8315662</v>
      </c>
    </row>
    <row r="9688" spans="1:11" x14ac:dyDescent="0.3">
      <c r="A9688" t="s">
        <v>85</v>
      </c>
      <c r="B9688">
        <v>1001</v>
      </c>
      <c r="C9688" t="s">
        <v>86</v>
      </c>
      <c r="D9688">
        <v>8.9422600000000005E-3</v>
      </c>
      <c r="E9688" t="s">
        <v>74</v>
      </c>
      <c r="F9688">
        <v>8.9422599999999992</v>
      </c>
      <c r="G9688" t="s">
        <v>75</v>
      </c>
      <c r="H9688">
        <v>8942.2549999999992</v>
      </c>
      <c r="I9688" t="s">
        <v>76</v>
      </c>
      <c r="J9688" t="s">
        <v>82</v>
      </c>
      <c r="K9688">
        <v>111.82861130000001</v>
      </c>
    </row>
    <row r="9689" spans="1:11" x14ac:dyDescent="0.3">
      <c r="A9689" t="s">
        <v>87</v>
      </c>
    </row>
    <row r="9690" spans="1:11" x14ac:dyDescent="0.3">
      <c r="A9690" t="s">
        <v>107</v>
      </c>
    </row>
    <row r="9691" spans="1:11" x14ac:dyDescent="0.3">
      <c r="A9691" t="s">
        <v>72</v>
      </c>
      <c r="B9691">
        <v>1</v>
      </c>
      <c r="C9691" t="s">
        <v>81</v>
      </c>
      <c r="D9691">
        <v>1.7412500000000001E-2</v>
      </c>
      <c r="E9691" t="s">
        <v>74</v>
      </c>
      <c r="F9691">
        <v>17.412500000000001</v>
      </c>
      <c r="G9691" t="s">
        <v>75</v>
      </c>
      <c r="H9691">
        <v>17412.5</v>
      </c>
      <c r="I9691" t="s">
        <v>76</v>
      </c>
      <c r="J9691" t="s">
        <v>82</v>
      </c>
      <c r="K9691">
        <v>57.430005700000002</v>
      </c>
    </row>
    <row r="9692" spans="1:11" x14ac:dyDescent="0.3">
      <c r="A9692" t="s">
        <v>83</v>
      </c>
      <c r="B9692">
        <v>1000</v>
      </c>
      <c r="C9692" t="s">
        <v>81</v>
      </c>
      <c r="D9692">
        <v>6.9338000000000004E-3</v>
      </c>
      <c r="E9692" t="s">
        <v>74</v>
      </c>
      <c r="F9692">
        <v>6.9337999999999997</v>
      </c>
      <c r="G9692" t="s">
        <v>75</v>
      </c>
      <c r="H9692">
        <v>6933.8010000000004</v>
      </c>
      <c r="I9692" t="s">
        <v>76</v>
      </c>
      <c r="J9692" t="s">
        <v>82</v>
      </c>
      <c r="K9692">
        <v>144.2210475</v>
      </c>
    </row>
    <row r="9693" spans="1:11" x14ac:dyDescent="0.3">
      <c r="A9693" t="s">
        <v>85</v>
      </c>
      <c r="B9693">
        <v>1001</v>
      </c>
      <c r="C9693" t="s">
        <v>86</v>
      </c>
      <c r="D9693">
        <v>6.9444700000000003E-3</v>
      </c>
      <c r="E9693" t="s">
        <v>74</v>
      </c>
      <c r="F9693">
        <v>6.9444699999999999</v>
      </c>
      <c r="G9693" t="s">
        <v>75</v>
      </c>
      <c r="H9693">
        <v>6944.4740000000002</v>
      </c>
      <c r="I9693" t="s">
        <v>76</v>
      </c>
      <c r="J9693" t="s">
        <v>82</v>
      </c>
      <c r="K9693">
        <v>143.99937879999999</v>
      </c>
    </row>
    <row r="9695" spans="1:11" x14ac:dyDescent="0.3">
      <c r="A9695" t="s">
        <v>108</v>
      </c>
    </row>
    <row r="9696" spans="1:11" x14ac:dyDescent="0.3">
      <c r="A9696" t="s">
        <v>72</v>
      </c>
      <c r="B9696">
        <v>1</v>
      </c>
      <c r="C9696" t="s">
        <v>81</v>
      </c>
      <c r="D9696">
        <v>1.3042399999999999E-2</v>
      </c>
      <c r="E9696" t="s">
        <v>74</v>
      </c>
      <c r="F9696">
        <v>13.042400000000001</v>
      </c>
      <c r="G9696" t="s">
        <v>75</v>
      </c>
      <c r="H9696">
        <v>13042.4</v>
      </c>
      <c r="I9696" t="s">
        <v>76</v>
      </c>
      <c r="J9696" t="s">
        <v>82</v>
      </c>
      <c r="K9696">
        <v>76.673006999999998</v>
      </c>
    </row>
    <row r="9697" spans="1:11" x14ac:dyDescent="0.3">
      <c r="A9697" t="s">
        <v>83</v>
      </c>
      <c r="B9697">
        <v>1000</v>
      </c>
      <c r="C9697" t="s">
        <v>81</v>
      </c>
      <c r="D9697">
        <v>8.9379200000000002E-3</v>
      </c>
      <c r="E9697" t="s">
        <v>74</v>
      </c>
      <c r="F9697">
        <v>8.9379200000000001</v>
      </c>
      <c r="G9697" t="s">
        <v>75</v>
      </c>
      <c r="H9697">
        <v>8937.9189999999999</v>
      </c>
      <c r="I9697" t="s">
        <v>76</v>
      </c>
      <c r="J9697" t="s">
        <v>82</v>
      </c>
      <c r="K9697">
        <v>111.8828709</v>
      </c>
    </row>
    <row r="9698" spans="1:11" x14ac:dyDescent="0.3">
      <c r="A9698" t="s">
        <v>85</v>
      </c>
      <c r="B9698">
        <v>1001</v>
      </c>
      <c r="C9698" t="s">
        <v>86</v>
      </c>
      <c r="D9698">
        <v>8.9422600000000005E-3</v>
      </c>
      <c r="E9698" t="s">
        <v>74</v>
      </c>
      <c r="F9698">
        <v>8.9422599999999992</v>
      </c>
      <c r="G9698" t="s">
        <v>75</v>
      </c>
      <c r="H9698">
        <v>8942.2549999999992</v>
      </c>
      <c r="I9698" t="s">
        <v>76</v>
      </c>
      <c r="J9698" t="s">
        <v>82</v>
      </c>
      <c r="K9698">
        <v>111.82861130000001</v>
      </c>
    </row>
    <row r="9700" spans="1:11" x14ac:dyDescent="0.3">
      <c r="A9700" t="s">
        <v>66</v>
      </c>
    </row>
    <row r="9702" spans="1:11" x14ac:dyDescent="0.3">
      <c r="A9702" t="s">
        <v>478</v>
      </c>
    </row>
    <row r="9703" spans="1:11" x14ac:dyDescent="0.3">
      <c r="A9703" t="s">
        <v>68</v>
      </c>
    </row>
    <row r="9704" spans="1:11" x14ac:dyDescent="0.3">
      <c r="A9704" t="s">
        <v>69</v>
      </c>
    </row>
    <row r="9705" spans="1:11" x14ac:dyDescent="0.3">
      <c r="A9705" t="s">
        <v>70</v>
      </c>
    </row>
    <row r="9706" spans="1:11" x14ac:dyDescent="0.3">
      <c r="A9706" t="s">
        <v>110</v>
      </c>
    </row>
    <row r="9707" spans="1:11" x14ac:dyDescent="0.3">
      <c r="A9707" t="s">
        <v>72</v>
      </c>
      <c r="B9707">
        <v>1</v>
      </c>
      <c r="C9707" t="s">
        <v>73</v>
      </c>
      <c r="D9707">
        <v>9.9999999999999995E-7</v>
      </c>
      <c r="E9707" t="s">
        <v>74</v>
      </c>
      <c r="F9707">
        <v>1E-3</v>
      </c>
      <c r="G9707" t="s">
        <v>75</v>
      </c>
      <c r="H9707">
        <v>1</v>
      </c>
      <c r="I9707" t="s">
        <v>76</v>
      </c>
      <c r="J9707" t="s">
        <v>77</v>
      </c>
    </row>
    <row r="9708" spans="1:11" x14ac:dyDescent="0.3">
      <c r="A9708" t="s">
        <v>72</v>
      </c>
      <c r="B9708">
        <v>1</v>
      </c>
      <c r="C9708" t="s">
        <v>78</v>
      </c>
      <c r="D9708">
        <v>1.8899999999999999E-5</v>
      </c>
      <c r="E9708" t="s">
        <v>74</v>
      </c>
      <c r="F9708">
        <v>1.89E-2</v>
      </c>
      <c r="G9708" t="s">
        <v>75</v>
      </c>
      <c r="H9708">
        <v>18.899999999999999</v>
      </c>
      <c r="I9708" t="s">
        <v>76</v>
      </c>
      <c r="J9708" t="s">
        <v>77</v>
      </c>
    </row>
    <row r="9709" spans="1:11" x14ac:dyDescent="0.3">
      <c r="A9709" t="s">
        <v>72</v>
      </c>
      <c r="B9709">
        <v>1</v>
      </c>
      <c r="C9709" t="s">
        <v>79</v>
      </c>
      <c r="D9709">
        <v>4.3766999999999999E-3</v>
      </c>
      <c r="E9709" t="s">
        <v>74</v>
      </c>
      <c r="F9709">
        <v>4.3766999999999996</v>
      </c>
      <c r="G9709" t="s">
        <v>75</v>
      </c>
      <c r="H9709">
        <v>4376.7</v>
      </c>
      <c r="I9709" t="s">
        <v>76</v>
      </c>
      <c r="J9709" t="s">
        <v>77</v>
      </c>
    </row>
    <row r="9710" spans="1:11" x14ac:dyDescent="0.3">
      <c r="A9710" t="s">
        <v>72</v>
      </c>
      <c r="B9710">
        <v>1</v>
      </c>
      <c r="C9710" t="s">
        <v>94</v>
      </c>
      <c r="D9710">
        <v>9.3311999999999996E-3</v>
      </c>
      <c r="E9710" t="s">
        <v>74</v>
      </c>
      <c r="F9710">
        <v>9.3312000000000008</v>
      </c>
      <c r="G9710" t="s">
        <v>75</v>
      </c>
      <c r="H9710">
        <v>9331.2000000000007</v>
      </c>
      <c r="I9710" t="s">
        <v>76</v>
      </c>
      <c r="J9710" t="s">
        <v>77</v>
      </c>
    </row>
    <row r="9711" spans="1:11" x14ac:dyDescent="0.3">
      <c r="A9711" t="s">
        <v>72</v>
      </c>
      <c r="B9711">
        <v>1</v>
      </c>
      <c r="C9711" t="s">
        <v>80</v>
      </c>
      <c r="D9711">
        <v>9.3316000000000007E-3</v>
      </c>
      <c r="E9711" t="s">
        <v>74</v>
      </c>
      <c r="F9711">
        <v>9.3315999999999999</v>
      </c>
      <c r="G9711" t="s">
        <v>75</v>
      </c>
      <c r="H9711">
        <v>9331.6</v>
      </c>
      <c r="I9711" t="s">
        <v>76</v>
      </c>
      <c r="J9711" t="s">
        <v>77</v>
      </c>
    </row>
    <row r="9712" spans="1:11" x14ac:dyDescent="0.3">
      <c r="A9712" t="s">
        <v>72</v>
      </c>
      <c r="B9712">
        <v>1</v>
      </c>
      <c r="C9712" t="s">
        <v>81</v>
      </c>
      <c r="D9712">
        <v>1.3711599999999999E-2</v>
      </c>
      <c r="E9712" t="s">
        <v>74</v>
      </c>
      <c r="F9712">
        <v>13.711600000000001</v>
      </c>
      <c r="G9712" t="s">
        <v>75</v>
      </c>
      <c r="H9712">
        <v>13711.6</v>
      </c>
      <c r="I9712" t="s">
        <v>76</v>
      </c>
      <c r="J9712" t="s">
        <v>82</v>
      </c>
      <c r="K9712">
        <v>72.930950899999999</v>
      </c>
    </row>
    <row r="9713" spans="1:11" x14ac:dyDescent="0.3">
      <c r="A9713" t="s">
        <v>83</v>
      </c>
      <c r="B9713">
        <v>1000</v>
      </c>
      <c r="C9713" t="s">
        <v>79</v>
      </c>
      <c r="D9713">
        <v>3.2023300000000002E-3</v>
      </c>
      <c r="E9713" t="s">
        <v>74</v>
      </c>
      <c r="F9713">
        <v>3.2023299999999999</v>
      </c>
      <c r="G9713" t="s">
        <v>75</v>
      </c>
      <c r="H9713">
        <v>3202.326</v>
      </c>
      <c r="I9713" t="s">
        <v>76</v>
      </c>
      <c r="J9713" t="s">
        <v>77</v>
      </c>
    </row>
    <row r="9714" spans="1:11" x14ac:dyDescent="0.3">
      <c r="A9714" t="s">
        <v>83</v>
      </c>
      <c r="B9714">
        <v>1000</v>
      </c>
      <c r="C9714" t="s">
        <v>94</v>
      </c>
      <c r="D9714">
        <v>2.6524399999999998E-3</v>
      </c>
      <c r="E9714" t="s">
        <v>74</v>
      </c>
      <c r="F9714">
        <v>2.6524399999999999</v>
      </c>
      <c r="G9714" t="s">
        <v>75</v>
      </c>
      <c r="H9714">
        <v>2652.44</v>
      </c>
      <c r="I9714" t="s">
        <v>76</v>
      </c>
      <c r="J9714" t="s">
        <v>77</v>
      </c>
    </row>
    <row r="9715" spans="1:11" x14ac:dyDescent="0.3">
      <c r="A9715" t="s">
        <v>83</v>
      </c>
      <c r="B9715">
        <v>1000</v>
      </c>
      <c r="C9715" t="s">
        <v>80</v>
      </c>
      <c r="D9715">
        <v>2.8131599999999999E-3</v>
      </c>
      <c r="E9715" t="s">
        <v>74</v>
      </c>
      <c r="F9715">
        <v>2.8131599999999999</v>
      </c>
      <c r="G9715" t="s">
        <v>75</v>
      </c>
      <c r="H9715">
        <v>2813.1640000000002</v>
      </c>
      <c r="I9715" t="s">
        <v>76</v>
      </c>
      <c r="J9715" t="s">
        <v>77</v>
      </c>
    </row>
    <row r="9716" spans="1:11" x14ac:dyDescent="0.3">
      <c r="A9716" t="s">
        <v>83</v>
      </c>
      <c r="B9716">
        <v>1000</v>
      </c>
      <c r="C9716" t="s">
        <v>81</v>
      </c>
      <c r="D9716">
        <v>6.0162599999999998E-3</v>
      </c>
      <c r="E9716" t="s">
        <v>74</v>
      </c>
      <c r="F9716">
        <v>6.0162599999999999</v>
      </c>
      <c r="G9716" t="s">
        <v>75</v>
      </c>
      <c r="H9716">
        <v>6016.2619999999997</v>
      </c>
      <c r="I9716" t="s">
        <v>76</v>
      </c>
      <c r="J9716" t="s">
        <v>82</v>
      </c>
      <c r="K9716">
        <v>166.21617710000001</v>
      </c>
    </row>
    <row r="9717" spans="1:11" x14ac:dyDescent="0.3">
      <c r="A9717" t="s">
        <v>84</v>
      </c>
      <c r="B9717">
        <v>1001</v>
      </c>
      <c r="C9717" t="s">
        <v>79</v>
      </c>
      <c r="D9717">
        <v>3.2035000000000002E-3</v>
      </c>
      <c r="E9717" t="s">
        <v>74</v>
      </c>
      <c r="F9717">
        <v>3.2035</v>
      </c>
      <c r="G9717" t="s">
        <v>75</v>
      </c>
      <c r="H9717">
        <v>3203.4989999999998</v>
      </c>
      <c r="I9717" t="s">
        <v>76</v>
      </c>
      <c r="J9717" t="s">
        <v>77</v>
      </c>
    </row>
    <row r="9718" spans="1:11" x14ac:dyDescent="0.3">
      <c r="A9718" t="s">
        <v>84</v>
      </c>
      <c r="B9718">
        <v>1001</v>
      </c>
      <c r="C9718" t="s">
        <v>94</v>
      </c>
      <c r="D9718">
        <v>2.6591100000000001E-3</v>
      </c>
      <c r="E9718" t="s">
        <v>74</v>
      </c>
      <c r="F9718">
        <v>2.6591100000000001</v>
      </c>
      <c r="G9718" t="s">
        <v>75</v>
      </c>
      <c r="H9718">
        <v>2659.1120000000001</v>
      </c>
      <c r="I9718" t="s">
        <v>76</v>
      </c>
      <c r="J9718" t="s">
        <v>77</v>
      </c>
    </row>
    <row r="9719" spans="1:11" x14ac:dyDescent="0.3">
      <c r="A9719" t="s">
        <v>84</v>
      </c>
      <c r="B9719">
        <v>1001</v>
      </c>
      <c r="C9719" t="s">
        <v>80</v>
      </c>
      <c r="D9719">
        <v>2.8196800000000002E-3</v>
      </c>
      <c r="E9719" t="s">
        <v>74</v>
      </c>
      <c r="F9719">
        <v>2.81968</v>
      </c>
      <c r="G9719" t="s">
        <v>75</v>
      </c>
      <c r="H9719">
        <v>2819.6759999999999</v>
      </c>
      <c r="I9719" t="s">
        <v>76</v>
      </c>
      <c r="J9719" t="s">
        <v>77</v>
      </c>
    </row>
    <row r="9720" spans="1:11" x14ac:dyDescent="0.3">
      <c r="A9720" t="s">
        <v>84</v>
      </c>
      <c r="B9720">
        <v>1001</v>
      </c>
      <c r="C9720" t="s">
        <v>81</v>
      </c>
      <c r="D9720">
        <v>6.0239500000000001E-3</v>
      </c>
      <c r="E9720" t="s">
        <v>74</v>
      </c>
      <c r="F9720">
        <v>6.0239500000000001</v>
      </c>
      <c r="G9720" t="s">
        <v>75</v>
      </c>
      <c r="H9720">
        <v>6023.9489999999996</v>
      </c>
      <c r="I9720" t="s">
        <v>76</v>
      </c>
      <c r="J9720" t="s">
        <v>82</v>
      </c>
      <c r="K9720">
        <v>166.0040592</v>
      </c>
    </row>
    <row r="9721" spans="1:11" x14ac:dyDescent="0.3">
      <c r="A9721" t="s">
        <v>85</v>
      </c>
      <c r="B9721">
        <v>1001</v>
      </c>
      <c r="C9721" t="s">
        <v>86</v>
      </c>
      <c r="D9721">
        <v>6.0241599999999998E-3</v>
      </c>
      <c r="E9721" t="s">
        <v>74</v>
      </c>
      <c r="F9721">
        <v>6.0241600000000002</v>
      </c>
      <c r="G9721" t="s">
        <v>75</v>
      </c>
      <c r="H9721">
        <v>6024.1580000000004</v>
      </c>
      <c r="I9721" t="s">
        <v>76</v>
      </c>
      <c r="J9721" t="s">
        <v>82</v>
      </c>
      <c r="K9721">
        <v>165.99830969999999</v>
      </c>
    </row>
    <row r="9722" spans="1:11" x14ac:dyDescent="0.3">
      <c r="A9722" t="s">
        <v>111</v>
      </c>
    </row>
    <row r="9723" spans="1:11" x14ac:dyDescent="0.3">
      <c r="A9723" t="s">
        <v>72</v>
      </c>
      <c r="B9723">
        <v>1</v>
      </c>
      <c r="C9723" t="s">
        <v>73</v>
      </c>
      <c r="D9723">
        <v>9.9999999999999995E-7</v>
      </c>
      <c r="E9723" t="s">
        <v>74</v>
      </c>
      <c r="F9723">
        <v>1E-3</v>
      </c>
      <c r="G9723" t="s">
        <v>75</v>
      </c>
      <c r="H9723">
        <v>1</v>
      </c>
      <c r="I9723" t="s">
        <v>76</v>
      </c>
      <c r="J9723" t="s">
        <v>77</v>
      </c>
    </row>
    <row r="9724" spans="1:11" x14ac:dyDescent="0.3">
      <c r="A9724" t="s">
        <v>72</v>
      </c>
      <c r="B9724">
        <v>1</v>
      </c>
      <c r="C9724" t="s">
        <v>78</v>
      </c>
      <c r="D9724">
        <v>1.95E-5</v>
      </c>
      <c r="E9724" t="s">
        <v>74</v>
      </c>
      <c r="F9724">
        <v>1.95E-2</v>
      </c>
      <c r="G9724" t="s">
        <v>75</v>
      </c>
      <c r="H9724">
        <v>19.5</v>
      </c>
      <c r="I9724" t="s">
        <v>76</v>
      </c>
      <c r="J9724" t="s">
        <v>77</v>
      </c>
    </row>
    <row r="9725" spans="1:11" x14ac:dyDescent="0.3">
      <c r="A9725" t="s">
        <v>72</v>
      </c>
      <c r="B9725">
        <v>1</v>
      </c>
      <c r="C9725" t="s">
        <v>79</v>
      </c>
      <c r="D9725">
        <v>4.1745999999999997E-3</v>
      </c>
      <c r="E9725" t="s">
        <v>74</v>
      </c>
      <c r="F9725">
        <v>4.1745999999999999</v>
      </c>
      <c r="G9725" t="s">
        <v>75</v>
      </c>
      <c r="H9725">
        <v>4174.6000000000004</v>
      </c>
      <c r="I9725" t="s">
        <v>76</v>
      </c>
      <c r="J9725" t="s">
        <v>77</v>
      </c>
    </row>
    <row r="9726" spans="1:11" x14ac:dyDescent="0.3">
      <c r="A9726" t="s">
        <v>72</v>
      </c>
      <c r="B9726">
        <v>1</v>
      </c>
      <c r="C9726" t="s">
        <v>94</v>
      </c>
      <c r="D9726">
        <v>2.6884000000000001E-3</v>
      </c>
      <c r="E9726" t="s">
        <v>74</v>
      </c>
      <c r="F9726">
        <v>2.6884000000000001</v>
      </c>
      <c r="G9726" t="s">
        <v>75</v>
      </c>
      <c r="H9726">
        <v>2688.4</v>
      </c>
      <c r="I9726" t="s">
        <v>76</v>
      </c>
      <c r="J9726" t="s">
        <v>77</v>
      </c>
    </row>
    <row r="9727" spans="1:11" x14ac:dyDescent="0.3">
      <c r="A9727" t="s">
        <v>72</v>
      </c>
      <c r="B9727">
        <v>1</v>
      </c>
      <c r="C9727" t="s">
        <v>80</v>
      </c>
      <c r="D9727">
        <v>2.7927E-3</v>
      </c>
      <c r="E9727" t="s">
        <v>74</v>
      </c>
      <c r="F9727">
        <v>2.7927</v>
      </c>
      <c r="G9727" t="s">
        <v>75</v>
      </c>
      <c r="H9727">
        <v>2792.7</v>
      </c>
      <c r="I9727" t="s">
        <v>76</v>
      </c>
      <c r="J9727" t="s">
        <v>77</v>
      </c>
    </row>
    <row r="9728" spans="1:11" x14ac:dyDescent="0.3">
      <c r="A9728" t="s">
        <v>72</v>
      </c>
      <c r="B9728">
        <v>1</v>
      </c>
      <c r="C9728" t="s">
        <v>81</v>
      </c>
      <c r="D9728">
        <v>6.9680000000000002E-3</v>
      </c>
      <c r="E9728" t="s">
        <v>74</v>
      </c>
      <c r="F9728">
        <v>6.968</v>
      </c>
      <c r="G9728" t="s">
        <v>75</v>
      </c>
      <c r="H9728">
        <v>6968</v>
      </c>
      <c r="I9728" t="s">
        <v>76</v>
      </c>
      <c r="J9728" t="s">
        <v>82</v>
      </c>
      <c r="K9728">
        <v>143.51320380000001</v>
      </c>
    </row>
    <row r="9729" spans="1:11" x14ac:dyDescent="0.3">
      <c r="A9729" t="s">
        <v>83</v>
      </c>
      <c r="B9729">
        <v>1000</v>
      </c>
      <c r="C9729" t="s">
        <v>79</v>
      </c>
      <c r="D9729">
        <v>3.1887399999999998E-3</v>
      </c>
      <c r="E9729" t="s">
        <v>74</v>
      </c>
      <c r="F9729">
        <v>3.1887400000000001</v>
      </c>
      <c r="G9729" t="s">
        <v>75</v>
      </c>
      <c r="H9729">
        <v>3188.7359999999999</v>
      </c>
      <c r="I9729" t="s">
        <v>76</v>
      </c>
      <c r="J9729" t="s">
        <v>77</v>
      </c>
    </row>
    <row r="9730" spans="1:11" x14ac:dyDescent="0.3">
      <c r="A9730" t="s">
        <v>83</v>
      </c>
      <c r="B9730">
        <v>1000</v>
      </c>
      <c r="C9730" t="s">
        <v>94</v>
      </c>
      <c r="D9730">
        <v>2.5912399999999999E-3</v>
      </c>
      <c r="E9730" t="s">
        <v>74</v>
      </c>
      <c r="F9730">
        <v>2.59124</v>
      </c>
      <c r="G9730" t="s">
        <v>75</v>
      </c>
      <c r="H9730">
        <v>2591.2359999999999</v>
      </c>
      <c r="I9730" t="s">
        <v>76</v>
      </c>
      <c r="J9730" t="s">
        <v>77</v>
      </c>
    </row>
    <row r="9731" spans="1:11" x14ac:dyDescent="0.3">
      <c r="A9731" t="s">
        <v>83</v>
      </c>
      <c r="B9731">
        <v>1000</v>
      </c>
      <c r="C9731" t="s">
        <v>80</v>
      </c>
      <c r="D9731">
        <v>2.7458500000000002E-3</v>
      </c>
      <c r="E9731" t="s">
        <v>74</v>
      </c>
      <c r="F9731">
        <v>2.7458499999999999</v>
      </c>
      <c r="G9731" t="s">
        <v>75</v>
      </c>
      <c r="H9731">
        <v>2745.8519999999999</v>
      </c>
      <c r="I9731" t="s">
        <v>76</v>
      </c>
      <c r="J9731" t="s">
        <v>77</v>
      </c>
    </row>
    <row r="9732" spans="1:11" x14ac:dyDescent="0.3">
      <c r="A9732" t="s">
        <v>83</v>
      </c>
      <c r="B9732">
        <v>1000</v>
      </c>
      <c r="C9732" t="s">
        <v>81</v>
      </c>
      <c r="D9732">
        <v>5.9353499999999998E-3</v>
      </c>
      <c r="E9732" t="s">
        <v>74</v>
      </c>
      <c r="F9732">
        <v>5.9353499999999997</v>
      </c>
      <c r="G9732" t="s">
        <v>75</v>
      </c>
      <c r="H9732">
        <v>5935.35</v>
      </c>
      <c r="I9732" t="s">
        <v>76</v>
      </c>
      <c r="J9732" t="s">
        <v>82</v>
      </c>
      <c r="K9732">
        <v>168.48206250000001</v>
      </c>
    </row>
    <row r="9733" spans="1:11" x14ac:dyDescent="0.3">
      <c r="A9733" t="s">
        <v>84</v>
      </c>
      <c r="B9733">
        <v>1001</v>
      </c>
      <c r="C9733" t="s">
        <v>79</v>
      </c>
      <c r="D9733">
        <v>3.1897200000000001E-3</v>
      </c>
      <c r="E9733" t="s">
        <v>74</v>
      </c>
      <c r="F9733">
        <v>3.1897199999999999</v>
      </c>
      <c r="G9733" t="s">
        <v>75</v>
      </c>
      <c r="H9733">
        <v>3189.721</v>
      </c>
      <c r="I9733" t="s">
        <v>76</v>
      </c>
      <c r="J9733" t="s">
        <v>77</v>
      </c>
    </row>
    <row r="9734" spans="1:11" x14ac:dyDescent="0.3">
      <c r="A9734" t="s">
        <v>84</v>
      </c>
      <c r="B9734">
        <v>1001</v>
      </c>
      <c r="C9734" t="s">
        <v>94</v>
      </c>
      <c r="D9734">
        <v>2.5913300000000002E-3</v>
      </c>
      <c r="E9734" t="s">
        <v>74</v>
      </c>
      <c r="F9734">
        <v>2.5913300000000001</v>
      </c>
      <c r="G9734" t="s">
        <v>75</v>
      </c>
      <c r="H9734">
        <v>2591.3330000000001</v>
      </c>
      <c r="I9734" t="s">
        <v>76</v>
      </c>
      <c r="J9734" t="s">
        <v>77</v>
      </c>
    </row>
    <row r="9735" spans="1:11" x14ac:dyDescent="0.3">
      <c r="A9735" t="s">
        <v>84</v>
      </c>
      <c r="B9735">
        <v>1001</v>
      </c>
      <c r="C9735" t="s">
        <v>80</v>
      </c>
      <c r="D9735">
        <v>2.7458999999999999E-3</v>
      </c>
      <c r="E9735" t="s">
        <v>74</v>
      </c>
      <c r="F9735">
        <v>2.7458999999999998</v>
      </c>
      <c r="G9735" t="s">
        <v>75</v>
      </c>
      <c r="H9735">
        <v>2745.8989999999999</v>
      </c>
      <c r="I9735" t="s">
        <v>76</v>
      </c>
      <c r="J9735" t="s">
        <v>77</v>
      </c>
    </row>
    <row r="9736" spans="1:11" x14ac:dyDescent="0.3">
      <c r="A9736" t="s">
        <v>84</v>
      </c>
      <c r="B9736">
        <v>1001</v>
      </c>
      <c r="C9736" t="s">
        <v>81</v>
      </c>
      <c r="D9736">
        <v>5.9363799999999998E-3</v>
      </c>
      <c r="E9736" t="s">
        <v>74</v>
      </c>
      <c r="F9736">
        <v>5.9363799999999998</v>
      </c>
      <c r="G9736" t="s">
        <v>75</v>
      </c>
      <c r="H9736">
        <v>5936.3819999999996</v>
      </c>
      <c r="I9736" t="s">
        <v>76</v>
      </c>
      <c r="J9736" t="s">
        <v>82</v>
      </c>
      <c r="K9736">
        <v>168.45278329999999</v>
      </c>
    </row>
    <row r="9737" spans="1:11" x14ac:dyDescent="0.3">
      <c r="A9737" t="s">
        <v>85</v>
      </c>
      <c r="B9737">
        <v>1001</v>
      </c>
      <c r="C9737" t="s">
        <v>86</v>
      </c>
      <c r="D9737">
        <v>5.9365299999999998E-3</v>
      </c>
      <c r="E9737" t="s">
        <v>74</v>
      </c>
      <c r="F9737">
        <v>5.9365300000000003</v>
      </c>
      <c r="G9737" t="s">
        <v>75</v>
      </c>
      <c r="H9737">
        <v>5936.5309999999999</v>
      </c>
      <c r="I9737" t="s">
        <v>76</v>
      </c>
      <c r="J9737" t="s">
        <v>82</v>
      </c>
      <c r="K9737">
        <v>168.44853889999999</v>
      </c>
    </row>
    <row r="9738" spans="1:11" x14ac:dyDescent="0.3">
      <c r="A9738" t="s">
        <v>87</v>
      </c>
    </row>
    <row r="9739" spans="1:11" x14ac:dyDescent="0.3">
      <c r="A9739" t="s">
        <v>112</v>
      </c>
    </row>
    <row r="9740" spans="1:11" x14ac:dyDescent="0.3">
      <c r="A9740" t="s">
        <v>72</v>
      </c>
      <c r="B9740">
        <v>1</v>
      </c>
      <c r="C9740" t="s">
        <v>81</v>
      </c>
      <c r="D9740">
        <v>1.3711599999999999E-2</v>
      </c>
      <c r="E9740" t="s">
        <v>74</v>
      </c>
      <c r="F9740">
        <v>13.711600000000001</v>
      </c>
      <c r="G9740" t="s">
        <v>75</v>
      </c>
      <c r="H9740">
        <v>13711.6</v>
      </c>
      <c r="I9740" t="s">
        <v>76</v>
      </c>
      <c r="J9740" t="s">
        <v>82</v>
      </c>
      <c r="K9740">
        <v>72.930950899999999</v>
      </c>
    </row>
    <row r="9741" spans="1:11" x14ac:dyDescent="0.3">
      <c r="A9741" t="s">
        <v>83</v>
      </c>
      <c r="B9741">
        <v>1000</v>
      </c>
      <c r="C9741" t="s">
        <v>81</v>
      </c>
      <c r="D9741">
        <v>6.0162599999999998E-3</v>
      </c>
      <c r="E9741" t="s">
        <v>74</v>
      </c>
      <c r="F9741">
        <v>6.0162599999999999</v>
      </c>
      <c r="G9741" t="s">
        <v>75</v>
      </c>
      <c r="H9741">
        <v>6016.2619999999997</v>
      </c>
      <c r="I9741" t="s">
        <v>76</v>
      </c>
      <c r="J9741" t="s">
        <v>82</v>
      </c>
      <c r="K9741">
        <v>166.21617710000001</v>
      </c>
    </row>
    <row r="9742" spans="1:11" x14ac:dyDescent="0.3">
      <c r="A9742" t="s">
        <v>85</v>
      </c>
      <c r="B9742">
        <v>1001</v>
      </c>
      <c r="C9742" t="s">
        <v>86</v>
      </c>
      <c r="D9742">
        <v>6.0241599999999998E-3</v>
      </c>
      <c r="E9742" t="s">
        <v>74</v>
      </c>
      <c r="F9742">
        <v>6.0241600000000002</v>
      </c>
      <c r="G9742" t="s">
        <v>75</v>
      </c>
      <c r="H9742">
        <v>6024.1580000000004</v>
      </c>
      <c r="I9742" t="s">
        <v>76</v>
      </c>
      <c r="J9742" t="s">
        <v>82</v>
      </c>
      <c r="K9742">
        <v>165.99830969999999</v>
      </c>
    </row>
    <row r="9744" spans="1:11" x14ac:dyDescent="0.3">
      <c r="A9744" t="s">
        <v>113</v>
      </c>
    </row>
    <row r="9745" spans="1:11" x14ac:dyDescent="0.3">
      <c r="A9745" t="s">
        <v>72</v>
      </c>
      <c r="B9745">
        <v>1</v>
      </c>
      <c r="C9745" t="s">
        <v>81</v>
      </c>
      <c r="D9745">
        <v>6.9680000000000002E-3</v>
      </c>
      <c r="E9745" t="s">
        <v>74</v>
      </c>
      <c r="F9745">
        <v>6.968</v>
      </c>
      <c r="G9745" t="s">
        <v>75</v>
      </c>
      <c r="H9745">
        <v>6968</v>
      </c>
      <c r="I9745" t="s">
        <v>76</v>
      </c>
      <c r="J9745" t="s">
        <v>82</v>
      </c>
      <c r="K9745">
        <v>143.51320380000001</v>
      </c>
    </row>
    <row r="9746" spans="1:11" x14ac:dyDescent="0.3">
      <c r="A9746" t="s">
        <v>83</v>
      </c>
      <c r="B9746">
        <v>1000</v>
      </c>
      <c r="C9746" t="s">
        <v>81</v>
      </c>
      <c r="D9746">
        <v>5.9353499999999998E-3</v>
      </c>
      <c r="E9746" t="s">
        <v>74</v>
      </c>
      <c r="F9746">
        <v>5.9353499999999997</v>
      </c>
      <c r="G9746" t="s">
        <v>75</v>
      </c>
      <c r="H9746">
        <v>5935.35</v>
      </c>
      <c r="I9746" t="s">
        <v>76</v>
      </c>
      <c r="J9746" t="s">
        <v>82</v>
      </c>
      <c r="K9746">
        <v>168.48206250000001</v>
      </c>
    </row>
    <row r="9747" spans="1:11" x14ac:dyDescent="0.3">
      <c r="A9747" t="s">
        <v>85</v>
      </c>
      <c r="B9747">
        <v>1001</v>
      </c>
      <c r="C9747" t="s">
        <v>86</v>
      </c>
      <c r="D9747">
        <v>5.9365299999999998E-3</v>
      </c>
      <c r="E9747" t="s">
        <v>74</v>
      </c>
      <c r="F9747">
        <v>5.9365300000000003</v>
      </c>
      <c r="G9747" t="s">
        <v>75</v>
      </c>
      <c r="H9747">
        <v>5936.5309999999999</v>
      </c>
      <c r="I9747" t="s">
        <v>76</v>
      </c>
      <c r="J9747" t="s">
        <v>82</v>
      </c>
      <c r="K9747">
        <v>168.44853889999999</v>
      </c>
    </row>
    <row r="9749" spans="1:11" x14ac:dyDescent="0.3">
      <c r="A9749" t="s">
        <v>66</v>
      </c>
    </row>
    <row r="9751" spans="1:11" x14ac:dyDescent="0.3">
      <c r="A9751" t="s">
        <v>479</v>
      </c>
    </row>
    <row r="9752" spans="1:11" x14ac:dyDescent="0.3">
      <c r="A9752" t="s">
        <v>68</v>
      </c>
    </row>
    <row r="9753" spans="1:11" x14ac:dyDescent="0.3">
      <c r="A9753" t="s">
        <v>69</v>
      </c>
    </row>
    <row r="9754" spans="1:11" x14ac:dyDescent="0.3">
      <c r="A9754" t="s">
        <v>70</v>
      </c>
    </row>
    <row r="9755" spans="1:11" x14ac:dyDescent="0.3">
      <c r="A9755" t="s">
        <v>115</v>
      </c>
    </row>
    <row r="9756" spans="1:11" x14ac:dyDescent="0.3">
      <c r="A9756" t="s">
        <v>384</v>
      </c>
    </row>
    <row r="9757" spans="1:11" x14ac:dyDescent="0.3">
      <c r="A9757" t="s">
        <v>385</v>
      </c>
    </row>
    <row r="9758" spans="1:11" x14ac:dyDescent="0.3">
      <c r="A9758" t="s">
        <v>118</v>
      </c>
    </row>
    <row r="9759" spans="1:11" x14ac:dyDescent="0.3">
      <c r="A9759" t="s">
        <v>119</v>
      </c>
    </row>
    <row r="9760" spans="1:11" x14ac:dyDescent="0.3">
      <c r="A9760" t="s">
        <v>268</v>
      </c>
    </row>
    <row r="9761" spans="1:10" x14ac:dyDescent="0.3">
      <c r="A9761" t="s">
        <v>269</v>
      </c>
    </row>
    <row r="9762" spans="1:10" x14ac:dyDescent="0.3">
      <c r="A9762" t="s">
        <v>386</v>
      </c>
    </row>
    <row r="9763" spans="1:10" x14ac:dyDescent="0.3">
      <c r="A9763" t="s">
        <v>387</v>
      </c>
    </row>
    <row r="9764" spans="1:10" x14ac:dyDescent="0.3">
      <c r="A9764" t="s">
        <v>271</v>
      </c>
    </row>
    <row r="9765" spans="1:10" x14ac:dyDescent="0.3">
      <c r="A9765" t="s">
        <v>125</v>
      </c>
    </row>
    <row r="9766" spans="1:10" x14ac:dyDescent="0.3">
      <c r="A9766" t="s">
        <v>126</v>
      </c>
    </row>
    <row r="9767" spans="1:10" x14ac:dyDescent="0.3">
      <c r="A9767" t="s">
        <v>127</v>
      </c>
    </row>
    <row r="9768" spans="1:10" x14ac:dyDescent="0.3">
      <c r="A9768" t="s">
        <v>128</v>
      </c>
    </row>
    <row r="9769" spans="1:10" x14ac:dyDescent="0.3">
      <c r="A9769" t="s">
        <v>388</v>
      </c>
    </row>
    <row r="9770" spans="1:10" x14ac:dyDescent="0.3">
      <c r="A9770" t="s">
        <v>72</v>
      </c>
      <c r="B9770">
        <v>1</v>
      </c>
      <c r="C9770" t="s">
        <v>73</v>
      </c>
      <c r="D9770">
        <v>4.6999999999999999E-6</v>
      </c>
      <c r="E9770" t="s">
        <v>74</v>
      </c>
      <c r="F9770">
        <v>4.7000000000000002E-3</v>
      </c>
      <c r="G9770" t="s">
        <v>75</v>
      </c>
      <c r="H9770">
        <v>4.7</v>
      </c>
      <c r="I9770" t="s">
        <v>76</v>
      </c>
      <c r="J9770" t="s">
        <v>77</v>
      </c>
    </row>
    <row r="9771" spans="1:10" x14ac:dyDescent="0.3">
      <c r="A9771" t="s">
        <v>72</v>
      </c>
      <c r="B9771">
        <v>1</v>
      </c>
      <c r="C9771" t="s">
        <v>78</v>
      </c>
      <c r="D9771">
        <v>0.13243461000000001</v>
      </c>
      <c r="E9771" t="s">
        <v>74</v>
      </c>
      <c r="F9771">
        <v>132.43460999999999</v>
      </c>
      <c r="G9771" t="s">
        <v>75</v>
      </c>
      <c r="H9771">
        <v>132434.60699999999</v>
      </c>
      <c r="I9771" t="s">
        <v>76</v>
      </c>
      <c r="J9771" t="s">
        <v>77</v>
      </c>
    </row>
    <row r="9772" spans="1:10" x14ac:dyDescent="0.3">
      <c r="A9772" t="s">
        <v>72</v>
      </c>
      <c r="B9772">
        <v>1</v>
      </c>
      <c r="C9772" t="s">
        <v>91</v>
      </c>
      <c r="D9772">
        <v>0.1065412</v>
      </c>
      <c r="E9772" t="s">
        <v>74</v>
      </c>
      <c r="F9772">
        <v>106.5412</v>
      </c>
      <c r="G9772" t="s">
        <v>75</v>
      </c>
      <c r="H9772">
        <v>106541.201</v>
      </c>
      <c r="I9772" t="s">
        <v>76</v>
      </c>
      <c r="J9772" t="s">
        <v>77</v>
      </c>
    </row>
    <row r="9773" spans="1:10" x14ac:dyDescent="0.3">
      <c r="A9773" t="s">
        <v>72</v>
      </c>
      <c r="B9773">
        <v>1</v>
      </c>
      <c r="C9773" t="s">
        <v>92</v>
      </c>
      <c r="D9773">
        <v>5.8589999999999998E-4</v>
      </c>
      <c r="E9773" t="s">
        <v>74</v>
      </c>
      <c r="F9773">
        <v>0.58589999999999998</v>
      </c>
      <c r="G9773" t="s">
        <v>75</v>
      </c>
      <c r="H9773">
        <v>585.9</v>
      </c>
      <c r="I9773" t="s">
        <v>76</v>
      </c>
      <c r="J9773" t="s">
        <v>77</v>
      </c>
    </row>
    <row r="9774" spans="1:10" x14ac:dyDescent="0.3">
      <c r="A9774" t="s">
        <v>72</v>
      </c>
      <c r="B9774">
        <v>1</v>
      </c>
      <c r="C9774" t="s">
        <v>93</v>
      </c>
      <c r="D9774">
        <v>8.1561999999999996E-2</v>
      </c>
      <c r="E9774" t="s">
        <v>74</v>
      </c>
      <c r="F9774">
        <v>81.561999999999998</v>
      </c>
      <c r="G9774" t="s">
        <v>75</v>
      </c>
      <c r="H9774">
        <v>81561.998000000007</v>
      </c>
      <c r="I9774" t="s">
        <v>76</v>
      </c>
      <c r="J9774" t="s">
        <v>77</v>
      </c>
    </row>
    <row r="9775" spans="1:10" x14ac:dyDescent="0.3">
      <c r="A9775" t="s">
        <v>72</v>
      </c>
      <c r="B9775">
        <v>1</v>
      </c>
      <c r="C9775" t="s">
        <v>79</v>
      </c>
      <c r="D9775">
        <v>0.1886901</v>
      </c>
      <c r="E9775" t="s">
        <v>74</v>
      </c>
      <c r="F9775">
        <v>188.6901</v>
      </c>
      <c r="G9775" t="s">
        <v>75</v>
      </c>
      <c r="H9775">
        <v>188690.09599999999</v>
      </c>
      <c r="I9775" t="s">
        <v>76</v>
      </c>
      <c r="J9775" t="s">
        <v>77</v>
      </c>
    </row>
    <row r="9776" spans="1:10" x14ac:dyDescent="0.3">
      <c r="A9776" t="s">
        <v>72</v>
      </c>
      <c r="B9776">
        <v>1</v>
      </c>
      <c r="C9776" t="s">
        <v>94</v>
      </c>
      <c r="D9776">
        <v>9.5508999999999993E-3</v>
      </c>
      <c r="E9776" t="s">
        <v>74</v>
      </c>
      <c r="F9776">
        <v>9.5509000000000004</v>
      </c>
      <c r="G9776" t="s">
        <v>75</v>
      </c>
      <c r="H9776">
        <v>9550.9</v>
      </c>
      <c r="I9776" t="s">
        <v>76</v>
      </c>
      <c r="J9776" t="s">
        <v>77</v>
      </c>
    </row>
    <row r="9777" spans="1:11" x14ac:dyDescent="0.3">
      <c r="A9777" t="s">
        <v>72</v>
      </c>
      <c r="B9777">
        <v>1</v>
      </c>
      <c r="C9777" t="s">
        <v>80</v>
      </c>
      <c r="D9777">
        <v>9.5513999999999998E-3</v>
      </c>
      <c r="E9777" t="s">
        <v>74</v>
      </c>
      <c r="F9777">
        <v>9.5513999999999992</v>
      </c>
      <c r="G9777" t="s">
        <v>75</v>
      </c>
      <c r="H9777">
        <v>9551.4</v>
      </c>
      <c r="I9777" t="s">
        <v>76</v>
      </c>
      <c r="J9777" t="s">
        <v>77</v>
      </c>
    </row>
    <row r="9778" spans="1:11" x14ac:dyDescent="0.3">
      <c r="A9778" t="s">
        <v>72</v>
      </c>
      <c r="B9778">
        <v>1</v>
      </c>
      <c r="C9778" t="s">
        <v>81</v>
      </c>
      <c r="D9778">
        <v>0.19824338999999999</v>
      </c>
      <c r="E9778" t="s">
        <v>74</v>
      </c>
      <c r="F9778">
        <v>198.24339000000001</v>
      </c>
      <c r="G9778" t="s">
        <v>75</v>
      </c>
      <c r="H9778">
        <v>198243.394</v>
      </c>
      <c r="I9778" t="s">
        <v>76</v>
      </c>
      <c r="J9778" t="s">
        <v>82</v>
      </c>
      <c r="K9778">
        <v>5.0443043000000003</v>
      </c>
    </row>
    <row r="9779" spans="1:11" x14ac:dyDescent="0.3">
      <c r="A9779" t="s">
        <v>83</v>
      </c>
      <c r="B9779">
        <v>1000</v>
      </c>
      <c r="C9779" t="s">
        <v>91</v>
      </c>
      <c r="D9779">
        <v>7.0609999999999998E-4</v>
      </c>
      <c r="E9779" t="s">
        <v>74</v>
      </c>
      <c r="F9779">
        <v>0.70609999999999995</v>
      </c>
      <c r="G9779" t="s">
        <v>75</v>
      </c>
      <c r="H9779">
        <v>706.10500000000002</v>
      </c>
      <c r="I9779" t="s">
        <v>76</v>
      </c>
      <c r="J9779" t="s">
        <v>77</v>
      </c>
    </row>
    <row r="9780" spans="1:11" x14ac:dyDescent="0.3">
      <c r="A9780" t="s">
        <v>83</v>
      </c>
      <c r="B9780">
        <v>1000</v>
      </c>
      <c r="C9780" t="s">
        <v>92</v>
      </c>
      <c r="D9780">
        <v>4.7906000000000001E-4</v>
      </c>
      <c r="E9780" t="s">
        <v>74</v>
      </c>
      <c r="F9780">
        <v>0.47905999999999999</v>
      </c>
      <c r="G9780" t="s">
        <v>75</v>
      </c>
      <c r="H9780">
        <v>479.05900000000003</v>
      </c>
      <c r="I9780" t="s">
        <v>76</v>
      </c>
      <c r="J9780" t="s">
        <v>77</v>
      </c>
    </row>
    <row r="9781" spans="1:11" x14ac:dyDescent="0.3">
      <c r="A9781" t="s">
        <v>83</v>
      </c>
      <c r="B9781">
        <v>1000</v>
      </c>
      <c r="C9781" t="s">
        <v>93</v>
      </c>
      <c r="D9781">
        <v>3.8979999999999999E-4</v>
      </c>
      <c r="E9781" t="s">
        <v>74</v>
      </c>
      <c r="F9781">
        <v>0.38979999999999998</v>
      </c>
      <c r="G9781" t="s">
        <v>75</v>
      </c>
      <c r="H9781">
        <v>389.8</v>
      </c>
      <c r="I9781" t="s">
        <v>76</v>
      </c>
      <c r="J9781" t="s">
        <v>77</v>
      </c>
    </row>
    <row r="9782" spans="1:11" x14ac:dyDescent="0.3">
      <c r="A9782" t="s">
        <v>83</v>
      </c>
      <c r="B9782">
        <v>1000</v>
      </c>
      <c r="C9782" t="s">
        <v>79</v>
      </c>
      <c r="D9782">
        <v>1.5757099999999999E-3</v>
      </c>
      <c r="E9782" t="s">
        <v>74</v>
      </c>
      <c r="F9782">
        <v>1.5757099999999999</v>
      </c>
      <c r="G9782" t="s">
        <v>75</v>
      </c>
      <c r="H9782">
        <v>1575.712</v>
      </c>
      <c r="I9782" t="s">
        <v>76</v>
      </c>
      <c r="J9782" t="s">
        <v>77</v>
      </c>
    </row>
    <row r="9783" spans="1:11" x14ac:dyDescent="0.3">
      <c r="A9783" t="s">
        <v>83</v>
      </c>
      <c r="B9783">
        <v>1000</v>
      </c>
      <c r="C9783" t="s">
        <v>94</v>
      </c>
      <c r="D9783">
        <v>2.7318300000000002E-3</v>
      </c>
      <c r="E9783" t="s">
        <v>74</v>
      </c>
      <c r="F9783">
        <v>2.73183</v>
      </c>
      <c r="G9783" t="s">
        <v>75</v>
      </c>
      <c r="H9783">
        <v>2731.8310000000001</v>
      </c>
      <c r="I9783" t="s">
        <v>76</v>
      </c>
      <c r="J9783" t="s">
        <v>77</v>
      </c>
    </row>
    <row r="9784" spans="1:11" x14ac:dyDescent="0.3">
      <c r="A9784" t="s">
        <v>83</v>
      </c>
      <c r="B9784">
        <v>1000</v>
      </c>
      <c r="C9784" t="s">
        <v>80</v>
      </c>
      <c r="D9784">
        <v>2.8880500000000001E-3</v>
      </c>
      <c r="E9784" t="s">
        <v>74</v>
      </c>
      <c r="F9784">
        <v>2.8880499999999998</v>
      </c>
      <c r="G9784" t="s">
        <v>75</v>
      </c>
      <c r="H9784">
        <v>2888.0520000000001</v>
      </c>
      <c r="I9784" t="s">
        <v>76</v>
      </c>
      <c r="J9784" t="s">
        <v>77</v>
      </c>
    </row>
    <row r="9785" spans="1:11" x14ac:dyDescent="0.3">
      <c r="A9785" t="s">
        <v>83</v>
      </c>
      <c r="B9785">
        <v>1000</v>
      </c>
      <c r="C9785" t="s">
        <v>81</v>
      </c>
      <c r="D9785">
        <v>4.4656499999999998E-3</v>
      </c>
      <c r="E9785" t="s">
        <v>74</v>
      </c>
      <c r="F9785">
        <v>4.4656500000000001</v>
      </c>
      <c r="G9785" t="s">
        <v>75</v>
      </c>
      <c r="H9785">
        <v>4465.6540000000005</v>
      </c>
      <c r="I9785" t="s">
        <v>76</v>
      </c>
      <c r="J9785" t="s">
        <v>82</v>
      </c>
      <c r="K9785">
        <v>223.9313472</v>
      </c>
    </row>
    <row r="9786" spans="1:11" x14ac:dyDescent="0.3">
      <c r="A9786" t="s">
        <v>84</v>
      </c>
      <c r="B9786">
        <v>1001</v>
      </c>
      <c r="C9786" t="s">
        <v>91</v>
      </c>
      <c r="D9786">
        <v>8.1183000000000004E-4</v>
      </c>
      <c r="E9786" t="s">
        <v>74</v>
      </c>
      <c r="F9786">
        <v>0.81183000000000005</v>
      </c>
      <c r="G9786" t="s">
        <v>75</v>
      </c>
      <c r="H9786">
        <v>811.83399999999995</v>
      </c>
      <c r="I9786" t="s">
        <v>76</v>
      </c>
      <c r="J9786" t="s">
        <v>77</v>
      </c>
    </row>
    <row r="9787" spans="1:11" x14ac:dyDescent="0.3">
      <c r="A9787" t="s">
        <v>84</v>
      </c>
      <c r="B9787">
        <v>1001</v>
      </c>
      <c r="C9787" t="s">
        <v>92</v>
      </c>
      <c r="D9787">
        <v>4.7917000000000001E-4</v>
      </c>
      <c r="E9787" t="s">
        <v>74</v>
      </c>
      <c r="F9787">
        <v>0.47916999999999998</v>
      </c>
      <c r="G9787" t="s">
        <v>75</v>
      </c>
      <c r="H9787">
        <v>479.166</v>
      </c>
      <c r="I9787" t="s">
        <v>76</v>
      </c>
      <c r="J9787" t="s">
        <v>77</v>
      </c>
    </row>
    <row r="9788" spans="1:11" x14ac:dyDescent="0.3">
      <c r="A9788" t="s">
        <v>84</v>
      </c>
      <c r="B9788">
        <v>1001</v>
      </c>
      <c r="C9788" t="s">
        <v>93</v>
      </c>
      <c r="D9788">
        <v>4.7089000000000001E-4</v>
      </c>
      <c r="E9788" t="s">
        <v>74</v>
      </c>
      <c r="F9788">
        <v>0.47088999999999998</v>
      </c>
      <c r="G9788" t="s">
        <v>75</v>
      </c>
      <c r="H9788">
        <v>470.89100000000002</v>
      </c>
      <c r="I9788" t="s">
        <v>76</v>
      </c>
      <c r="J9788" t="s">
        <v>77</v>
      </c>
    </row>
    <row r="9789" spans="1:11" x14ac:dyDescent="0.3">
      <c r="A9789" t="s">
        <v>84</v>
      </c>
      <c r="B9789">
        <v>1001</v>
      </c>
      <c r="C9789" t="s">
        <v>79</v>
      </c>
      <c r="D9789">
        <v>1.76264E-3</v>
      </c>
      <c r="E9789" t="s">
        <v>74</v>
      </c>
      <c r="F9789">
        <v>1.76264</v>
      </c>
      <c r="G9789" t="s">
        <v>75</v>
      </c>
      <c r="H9789">
        <v>1762.6420000000001</v>
      </c>
      <c r="I9789" t="s">
        <v>76</v>
      </c>
      <c r="J9789" t="s">
        <v>77</v>
      </c>
    </row>
    <row r="9790" spans="1:11" x14ac:dyDescent="0.3">
      <c r="A9790" t="s">
        <v>84</v>
      </c>
      <c r="B9790">
        <v>1001</v>
      </c>
      <c r="C9790" t="s">
        <v>94</v>
      </c>
      <c r="D9790">
        <v>2.7386400000000001E-3</v>
      </c>
      <c r="E9790" t="s">
        <v>74</v>
      </c>
      <c r="F9790">
        <v>2.7386400000000002</v>
      </c>
      <c r="G9790" t="s">
        <v>75</v>
      </c>
      <c r="H9790">
        <v>2738.643</v>
      </c>
      <c r="I9790" t="s">
        <v>76</v>
      </c>
      <c r="J9790" t="s">
        <v>77</v>
      </c>
    </row>
    <row r="9791" spans="1:11" x14ac:dyDescent="0.3">
      <c r="A9791" t="s">
        <v>84</v>
      </c>
      <c r="B9791">
        <v>1001</v>
      </c>
      <c r="C9791" t="s">
        <v>80</v>
      </c>
      <c r="D9791">
        <v>2.89471E-3</v>
      </c>
      <c r="E9791" t="s">
        <v>74</v>
      </c>
      <c r="F9791">
        <v>2.8947099999999999</v>
      </c>
      <c r="G9791" t="s">
        <v>75</v>
      </c>
      <c r="H9791">
        <v>2894.7080000000001</v>
      </c>
      <c r="I9791" t="s">
        <v>76</v>
      </c>
      <c r="J9791" t="s">
        <v>77</v>
      </c>
    </row>
    <row r="9792" spans="1:11" x14ac:dyDescent="0.3">
      <c r="A9792" t="s">
        <v>84</v>
      </c>
      <c r="B9792">
        <v>1001</v>
      </c>
      <c r="C9792" t="s">
        <v>81</v>
      </c>
      <c r="D9792">
        <v>4.6592400000000003E-3</v>
      </c>
      <c r="E9792" t="s">
        <v>74</v>
      </c>
      <c r="F9792">
        <v>4.6592399999999996</v>
      </c>
      <c r="G9792" t="s">
        <v>75</v>
      </c>
      <c r="H9792">
        <v>4659.241</v>
      </c>
      <c r="I9792" t="s">
        <v>76</v>
      </c>
      <c r="J9792" t="s">
        <v>82</v>
      </c>
      <c r="K9792">
        <v>214.62722600000001</v>
      </c>
    </row>
    <row r="9793" spans="1:11" x14ac:dyDescent="0.3">
      <c r="A9793" t="s">
        <v>85</v>
      </c>
      <c r="B9793">
        <v>1001</v>
      </c>
      <c r="C9793" t="s">
        <v>86</v>
      </c>
      <c r="D9793">
        <v>4.6595200000000003E-3</v>
      </c>
      <c r="E9793" t="s">
        <v>74</v>
      </c>
      <c r="F9793">
        <v>4.6595199999999997</v>
      </c>
      <c r="G9793" t="s">
        <v>75</v>
      </c>
      <c r="H9793">
        <v>4659.5209999999997</v>
      </c>
      <c r="I9793" t="s">
        <v>76</v>
      </c>
      <c r="J9793" t="s">
        <v>82</v>
      </c>
      <c r="K9793">
        <v>214.61434600000001</v>
      </c>
    </row>
    <row r="9794" spans="1:11" x14ac:dyDescent="0.3">
      <c r="A9794" t="s">
        <v>115</v>
      </c>
    </row>
    <row r="9795" spans="1:11" x14ac:dyDescent="0.3">
      <c r="A9795" t="s">
        <v>127</v>
      </c>
    </row>
    <row r="9796" spans="1:11" x14ac:dyDescent="0.3">
      <c r="A9796" t="s">
        <v>87</v>
      </c>
    </row>
    <row r="9797" spans="1:11" x14ac:dyDescent="0.3">
      <c r="A9797" t="s">
        <v>389</v>
      </c>
    </row>
    <row r="9798" spans="1:11" x14ac:dyDescent="0.3">
      <c r="A9798" t="s">
        <v>72</v>
      </c>
      <c r="B9798">
        <v>1</v>
      </c>
      <c r="C9798" t="s">
        <v>81</v>
      </c>
      <c r="D9798">
        <v>0.19824338999999999</v>
      </c>
      <c r="E9798" t="s">
        <v>74</v>
      </c>
      <c r="F9798">
        <v>198.24339000000001</v>
      </c>
      <c r="G9798" t="s">
        <v>75</v>
      </c>
      <c r="H9798">
        <v>198243.394</v>
      </c>
      <c r="I9798" t="s">
        <v>76</v>
      </c>
      <c r="J9798" t="s">
        <v>82</v>
      </c>
      <c r="K9798">
        <v>5.0443043000000003</v>
      </c>
    </row>
    <row r="9799" spans="1:11" x14ac:dyDescent="0.3">
      <c r="A9799" t="s">
        <v>83</v>
      </c>
      <c r="B9799">
        <v>1000</v>
      </c>
      <c r="C9799" t="s">
        <v>81</v>
      </c>
      <c r="D9799">
        <v>4.4656499999999998E-3</v>
      </c>
      <c r="E9799" t="s">
        <v>74</v>
      </c>
      <c r="F9799">
        <v>4.4656500000000001</v>
      </c>
      <c r="G9799" t="s">
        <v>75</v>
      </c>
      <c r="H9799">
        <v>4465.6540000000005</v>
      </c>
      <c r="I9799" t="s">
        <v>76</v>
      </c>
      <c r="J9799" t="s">
        <v>82</v>
      </c>
      <c r="K9799">
        <v>223.9313472</v>
      </c>
    </row>
    <row r="9800" spans="1:11" x14ac:dyDescent="0.3">
      <c r="A9800" t="s">
        <v>85</v>
      </c>
      <c r="B9800">
        <v>1001</v>
      </c>
      <c r="C9800" t="s">
        <v>86</v>
      </c>
      <c r="D9800">
        <v>4.6595200000000003E-3</v>
      </c>
      <c r="E9800" t="s">
        <v>74</v>
      </c>
      <c r="F9800">
        <v>4.6595199999999997</v>
      </c>
      <c r="G9800" t="s">
        <v>75</v>
      </c>
      <c r="H9800">
        <v>4659.5209999999997</v>
      </c>
      <c r="I9800" t="s">
        <v>76</v>
      </c>
      <c r="J9800" t="s">
        <v>82</v>
      </c>
      <c r="K9800">
        <v>214.61434600000001</v>
      </c>
    </row>
    <row r="9802" spans="1:11" x14ac:dyDescent="0.3">
      <c r="A9802" t="s">
        <v>66</v>
      </c>
    </row>
    <row r="9804" spans="1:11" x14ac:dyDescent="0.3">
      <c r="A9804" t="s">
        <v>480</v>
      </c>
    </row>
    <row r="9805" spans="1:11" x14ac:dyDescent="0.3">
      <c r="A9805" t="s">
        <v>68</v>
      </c>
    </row>
    <row r="9806" spans="1:11" x14ac:dyDescent="0.3">
      <c r="A9806" t="s">
        <v>69</v>
      </c>
    </row>
    <row r="9807" spans="1:11" x14ac:dyDescent="0.3">
      <c r="A9807" t="s">
        <v>70</v>
      </c>
    </row>
    <row r="9808" spans="1:11" x14ac:dyDescent="0.3">
      <c r="A9808" t="s">
        <v>115</v>
      </c>
    </row>
    <row r="9809" spans="1:10" x14ac:dyDescent="0.3">
      <c r="A9809" t="s">
        <v>384</v>
      </c>
    </row>
    <row r="9810" spans="1:10" x14ac:dyDescent="0.3">
      <c r="A9810" t="s">
        <v>385</v>
      </c>
    </row>
    <row r="9811" spans="1:10" x14ac:dyDescent="0.3">
      <c r="A9811" t="s">
        <v>118</v>
      </c>
    </row>
    <row r="9812" spans="1:10" x14ac:dyDescent="0.3">
      <c r="A9812" t="s">
        <v>119</v>
      </c>
    </row>
    <row r="9813" spans="1:10" x14ac:dyDescent="0.3">
      <c r="A9813" t="s">
        <v>268</v>
      </c>
    </row>
    <row r="9814" spans="1:10" x14ac:dyDescent="0.3">
      <c r="A9814" t="s">
        <v>269</v>
      </c>
    </row>
    <row r="9815" spans="1:10" x14ac:dyDescent="0.3">
      <c r="A9815" t="s">
        <v>386</v>
      </c>
    </row>
    <row r="9816" spans="1:10" x14ac:dyDescent="0.3">
      <c r="A9816" t="s">
        <v>387</v>
      </c>
    </row>
    <row r="9817" spans="1:10" x14ac:dyDescent="0.3">
      <c r="A9817" t="s">
        <v>271</v>
      </c>
    </row>
    <row r="9818" spans="1:10" x14ac:dyDescent="0.3">
      <c r="A9818" t="s">
        <v>125</v>
      </c>
    </row>
    <row r="9819" spans="1:10" x14ac:dyDescent="0.3">
      <c r="A9819" t="s">
        <v>126</v>
      </c>
    </row>
    <row r="9820" spans="1:10" x14ac:dyDescent="0.3">
      <c r="A9820" t="s">
        <v>127</v>
      </c>
    </row>
    <row r="9821" spans="1:10" x14ac:dyDescent="0.3">
      <c r="A9821" t="s">
        <v>132</v>
      </c>
    </row>
    <row r="9822" spans="1:10" x14ac:dyDescent="0.3">
      <c r="A9822" t="s">
        <v>391</v>
      </c>
    </row>
    <row r="9823" spans="1:10" x14ac:dyDescent="0.3">
      <c r="A9823" t="s">
        <v>72</v>
      </c>
      <c r="B9823">
        <v>1</v>
      </c>
      <c r="C9823" t="s">
        <v>73</v>
      </c>
      <c r="D9823">
        <v>3.7000000000000002E-6</v>
      </c>
      <c r="E9823" t="s">
        <v>74</v>
      </c>
      <c r="F9823">
        <v>3.7000000000000002E-3</v>
      </c>
      <c r="G9823" t="s">
        <v>75</v>
      </c>
      <c r="H9823">
        <v>3.7</v>
      </c>
      <c r="I9823" t="s">
        <v>76</v>
      </c>
      <c r="J9823" t="s">
        <v>77</v>
      </c>
    </row>
    <row r="9824" spans="1:10" x14ac:dyDescent="0.3">
      <c r="A9824" t="s">
        <v>72</v>
      </c>
      <c r="B9824">
        <v>1</v>
      </c>
      <c r="C9824" t="s">
        <v>78</v>
      </c>
      <c r="D9824">
        <v>0.1146126</v>
      </c>
      <c r="E9824" t="s">
        <v>74</v>
      </c>
      <c r="F9824">
        <v>114.6126</v>
      </c>
      <c r="G9824" t="s">
        <v>75</v>
      </c>
      <c r="H9824">
        <v>114612.602</v>
      </c>
      <c r="I9824" t="s">
        <v>76</v>
      </c>
      <c r="J9824" t="s">
        <v>77</v>
      </c>
    </row>
    <row r="9825" spans="1:11" x14ac:dyDescent="0.3">
      <c r="A9825" t="s">
        <v>72</v>
      </c>
      <c r="B9825">
        <v>1</v>
      </c>
      <c r="C9825" t="s">
        <v>79</v>
      </c>
      <c r="D9825">
        <v>0.1154818</v>
      </c>
      <c r="E9825" t="s">
        <v>74</v>
      </c>
      <c r="F9825">
        <v>115.48180000000001</v>
      </c>
      <c r="G9825" t="s">
        <v>75</v>
      </c>
      <c r="H9825">
        <v>115481.80100000001</v>
      </c>
      <c r="I9825" t="s">
        <v>76</v>
      </c>
      <c r="J9825" t="s">
        <v>77</v>
      </c>
    </row>
    <row r="9826" spans="1:11" x14ac:dyDescent="0.3">
      <c r="A9826" t="s">
        <v>72</v>
      </c>
      <c r="B9826">
        <v>1</v>
      </c>
      <c r="C9826" t="s">
        <v>94</v>
      </c>
      <c r="D9826">
        <v>9.5040999999999997E-3</v>
      </c>
      <c r="E9826" t="s">
        <v>74</v>
      </c>
      <c r="F9826">
        <v>9.5040999999999993</v>
      </c>
      <c r="G9826" t="s">
        <v>75</v>
      </c>
      <c r="H9826">
        <v>9504.1</v>
      </c>
      <c r="I9826" t="s">
        <v>76</v>
      </c>
      <c r="J9826" t="s">
        <v>77</v>
      </c>
    </row>
    <row r="9827" spans="1:11" x14ac:dyDescent="0.3">
      <c r="A9827" t="s">
        <v>72</v>
      </c>
      <c r="B9827">
        <v>1</v>
      </c>
      <c r="C9827" t="s">
        <v>80</v>
      </c>
      <c r="D9827">
        <v>9.5046999999999996E-3</v>
      </c>
      <c r="E9827" t="s">
        <v>74</v>
      </c>
      <c r="F9827">
        <v>9.5046999999999997</v>
      </c>
      <c r="G9827" t="s">
        <v>75</v>
      </c>
      <c r="H9827">
        <v>9504.7000000000007</v>
      </c>
      <c r="I9827" t="s">
        <v>76</v>
      </c>
      <c r="J9827" t="s">
        <v>77</v>
      </c>
    </row>
    <row r="9828" spans="1:11" x14ac:dyDescent="0.3">
      <c r="A9828" t="s">
        <v>72</v>
      </c>
      <c r="B9828">
        <v>1</v>
      </c>
      <c r="C9828" t="s">
        <v>81</v>
      </c>
      <c r="D9828">
        <v>0.12498869999999999</v>
      </c>
      <c r="E9828" t="s">
        <v>74</v>
      </c>
      <c r="F9828">
        <v>124.98869999999999</v>
      </c>
      <c r="G9828" t="s">
        <v>75</v>
      </c>
      <c r="H9828">
        <v>124988.697</v>
      </c>
      <c r="I9828" t="s">
        <v>76</v>
      </c>
      <c r="J9828" t="s">
        <v>82</v>
      </c>
      <c r="K9828">
        <v>8.0007234</v>
      </c>
    </row>
    <row r="9829" spans="1:11" x14ac:dyDescent="0.3">
      <c r="A9829" t="s">
        <v>83</v>
      </c>
      <c r="B9829">
        <v>1000</v>
      </c>
      <c r="C9829" t="s">
        <v>79</v>
      </c>
      <c r="D9829">
        <v>7.1794000000000003E-4</v>
      </c>
      <c r="E9829" t="s">
        <v>74</v>
      </c>
      <c r="F9829">
        <v>0.71794000000000002</v>
      </c>
      <c r="G9829" t="s">
        <v>75</v>
      </c>
      <c r="H9829">
        <v>717.94100000000003</v>
      </c>
      <c r="I9829" t="s">
        <v>76</v>
      </c>
      <c r="J9829" t="s">
        <v>77</v>
      </c>
    </row>
    <row r="9830" spans="1:11" x14ac:dyDescent="0.3">
      <c r="A9830" t="s">
        <v>83</v>
      </c>
      <c r="B9830">
        <v>1000</v>
      </c>
      <c r="C9830" t="s">
        <v>94</v>
      </c>
      <c r="D9830">
        <v>2.6011200000000002E-3</v>
      </c>
      <c r="E9830" t="s">
        <v>74</v>
      </c>
      <c r="F9830">
        <v>2.6011199999999999</v>
      </c>
      <c r="G9830" t="s">
        <v>75</v>
      </c>
      <c r="H9830">
        <v>2601.1170000000002</v>
      </c>
      <c r="I9830" t="s">
        <v>76</v>
      </c>
      <c r="J9830" t="s">
        <v>77</v>
      </c>
    </row>
    <row r="9831" spans="1:11" x14ac:dyDescent="0.3">
      <c r="A9831" t="s">
        <v>83</v>
      </c>
      <c r="B9831">
        <v>1000</v>
      </c>
      <c r="C9831" t="s">
        <v>80</v>
      </c>
      <c r="D9831">
        <v>2.7289200000000001E-3</v>
      </c>
      <c r="E9831" t="s">
        <v>74</v>
      </c>
      <c r="F9831">
        <v>2.72892</v>
      </c>
      <c r="G9831" t="s">
        <v>75</v>
      </c>
      <c r="H9831">
        <v>2728.9250000000002</v>
      </c>
      <c r="I9831" t="s">
        <v>76</v>
      </c>
      <c r="J9831" t="s">
        <v>77</v>
      </c>
    </row>
    <row r="9832" spans="1:11" x14ac:dyDescent="0.3">
      <c r="A9832" t="s">
        <v>83</v>
      </c>
      <c r="B9832">
        <v>1000</v>
      </c>
      <c r="C9832" t="s">
        <v>81</v>
      </c>
      <c r="D9832">
        <v>3.4475500000000002E-3</v>
      </c>
      <c r="E9832" t="s">
        <v>74</v>
      </c>
      <c r="F9832">
        <v>3.4475500000000001</v>
      </c>
      <c r="G9832" t="s">
        <v>75</v>
      </c>
      <c r="H9832">
        <v>3447.5459999999998</v>
      </c>
      <c r="I9832" t="s">
        <v>76</v>
      </c>
      <c r="J9832" t="s">
        <v>82</v>
      </c>
      <c r="K9832">
        <v>290.06141400000001</v>
      </c>
    </row>
    <row r="9833" spans="1:11" x14ac:dyDescent="0.3">
      <c r="A9833" t="s">
        <v>84</v>
      </c>
      <c r="B9833">
        <v>1001</v>
      </c>
      <c r="C9833" t="s">
        <v>79</v>
      </c>
      <c r="D9833">
        <v>8.3259000000000002E-4</v>
      </c>
      <c r="E9833" t="s">
        <v>74</v>
      </c>
      <c r="F9833">
        <v>0.83259000000000005</v>
      </c>
      <c r="G9833" t="s">
        <v>75</v>
      </c>
      <c r="H9833">
        <v>832.59100000000001</v>
      </c>
      <c r="I9833" t="s">
        <v>76</v>
      </c>
      <c r="J9833" t="s">
        <v>77</v>
      </c>
    </row>
    <row r="9834" spans="1:11" x14ac:dyDescent="0.3">
      <c r="A9834" t="s">
        <v>84</v>
      </c>
      <c r="B9834">
        <v>1001</v>
      </c>
      <c r="C9834" t="s">
        <v>94</v>
      </c>
      <c r="D9834">
        <v>2.60801E-3</v>
      </c>
      <c r="E9834" t="s">
        <v>74</v>
      </c>
      <c r="F9834">
        <v>2.6080100000000002</v>
      </c>
      <c r="G9834" t="s">
        <v>75</v>
      </c>
      <c r="H9834">
        <v>2608.0129999999999</v>
      </c>
      <c r="I9834" t="s">
        <v>76</v>
      </c>
      <c r="J9834" t="s">
        <v>77</v>
      </c>
    </row>
    <row r="9835" spans="1:11" x14ac:dyDescent="0.3">
      <c r="A9835" t="s">
        <v>84</v>
      </c>
      <c r="B9835">
        <v>1001</v>
      </c>
      <c r="C9835" t="s">
        <v>80</v>
      </c>
      <c r="D9835">
        <v>2.7356899999999998E-3</v>
      </c>
      <c r="E9835" t="s">
        <v>74</v>
      </c>
      <c r="F9835">
        <v>2.73569</v>
      </c>
      <c r="G9835" t="s">
        <v>75</v>
      </c>
      <c r="H9835">
        <v>2735.694</v>
      </c>
      <c r="I9835" t="s">
        <v>76</v>
      </c>
      <c r="J9835" t="s">
        <v>77</v>
      </c>
    </row>
    <row r="9836" spans="1:11" x14ac:dyDescent="0.3">
      <c r="A9836" t="s">
        <v>84</v>
      </c>
      <c r="B9836">
        <v>1001</v>
      </c>
      <c r="C9836" t="s">
        <v>81</v>
      </c>
      <c r="D9836">
        <v>3.5689699999999999E-3</v>
      </c>
      <c r="E9836" t="s">
        <v>74</v>
      </c>
      <c r="F9836">
        <v>3.5689700000000002</v>
      </c>
      <c r="G9836" t="s">
        <v>75</v>
      </c>
      <c r="H9836">
        <v>3568.9650000000001</v>
      </c>
      <c r="I9836" t="s">
        <v>76</v>
      </c>
      <c r="J9836" t="s">
        <v>82</v>
      </c>
      <c r="K9836">
        <v>280.19324929999999</v>
      </c>
    </row>
    <row r="9837" spans="1:11" x14ac:dyDescent="0.3">
      <c r="A9837" t="s">
        <v>85</v>
      </c>
      <c r="B9837">
        <v>1001</v>
      </c>
      <c r="C9837" t="s">
        <v>86</v>
      </c>
      <c r="D9837">
        <v>3.5691299999999998E-3</v>
      </c>
      <c r="E9837" t="s">
        <v>74</v>
      </c>
      <c r="F9837">
        <v>3.5691299999999999</v>
      </c>
      <c r="G9837" t="s">
        <v>75</v>
      </c>
      <c r="H9837">
        <v>3569.13</v>
      </c>
      <c r="I9837" t="s">
        <v>76</v>
      </c>
      <c r="J9837" t="s">
        <v>82</v>
      </c>
      <c r="K9837">
        <v>280.18031009999999</v>
      </c>
    </row>
    <row r="9838" spans="1:11" x14ac:dyDescent="0.3">
      <c r="A9838" t="s">
        <v>134</v>
      </c>
    </row>
    <row r="9839" spans="1:11" x14ac:dyDescent="0.3">
      <c r="A9839" t="s">
        <v>392</v>
      </c>
    </row>
    <row r="9840" spans="1:11" x14ac:dyDescent="0.3">
      <c r="A9840" t="s">
        <v>72</v>
      </c>
      <c r="B9840">
        <v>1</v>
      </c>
      <c r="C9840" t="s">
        <v>73</v>
      </c>
      <c r="D9840">
        <v>3.7000000000000002E-6</v>
      </c>
      <c r="E9840" t="s">
        <v>74</v>
      </c>
      <c r="F9840">
        <v>3.7000000000000002E-3</v>
      </c>
      <c r="G9840" t="s">
        <v>75</v>
      </c>
      <c r="H9840">
        <v>3.7</v>
      </c>
      <c r="I9840" t="s">
        <v>76</v>
      </c>
      <c r="J9840" t="s">
        <v>77</v>
      </c>
    </row>
    <row r="9841" spans="1:11" x14ac:dyDescent="0.3">
      <c r="A9841" t="s">
        <v>72</v>
      </c>
      <c r="B9841">
        <v>1</v>
      </c>
      <c r="C9841" t="s">
        <v>78</v>
      </c>
      <c r="D9841">
        <v>4.9419999999999998E-4</v>
      </c>
      <c r="E9841" t="s">
        <v>74</v>
      </c>
      <c r="F9841">
        <v>0.49419999999999997</v>
      </c>
      <c r="G9841" t="s">
        <v>75</v>
      </c>
      <c r="H9841">
        <v>494.2</v>
      </c>
      <c r="I9841" t="s">
        <v>76</v>
      </c>
      <c r="J9841" t="s">
        <v>77</v>
      </c>
    </row>
    <row r="9842" spans="1:11" x14ac:dyDescent="0.3">
      <c r="A9842" t="s">
        <v>72</v>
      </c>
      <c r="B9842">
        <v>1</v>
      </c>
      <c r="C9842" t="s">
        <v>79</v>
      </c>
      <c r="D9842">
        <v>2.5156000000000002E-3</v>
      </c>
      <c r="E9842" t="s">
        <v>74</v>
      </c>
      <c r="F9842">
        <v>2.5156000000000001</v>
      </c>
      <c r="G9842" t="s">
        <v>75</v>
      </c>
      <c r="H9842">
        <v>2515.6</v>
      </c>
      <c r="I9842" t="s">
        <v>76</v>
      </c>
      <c r="J9842" t="s">
        <v>77</v>
      </c>
    </row>
    <row r="9843" spans="1:11" x14ac:dyDescent="0.3">
      <c r="A9843" t="s">
        <v>72</v>
      </c>
      <c r="B9843">
        <v>1</v>
      </c>
      <c r="C9843" t="s">
        <v>94</v>
      </c>
      <c r="D9843">
        <v>2.7123E-3</v>
      </c>
      <c r="E9843" t="s">
        <v>74</v>
      </c>
      <c r="F9843">
        <v>2.7122999999999999</v>
      </c>
      <c r="G9843" t="s">
        <v>75</v>
      </c>
      <c r="H9843">
        <v>2712.3</v>
      </c>
      <c r="I9843" t="s">
        <v>76</v>
      </c>
      <c r="J9843" t="s">
        <v>77</v>
      </c>
    </row>
    <row r="9844" spans="1:11" x14ac:dyDescent="0.3">
      <c r="A9844" t="s">
        <v>72</v>
      </c>
      <c r="B9844">
        <v>1</v>
      </c>
      <c r="C9844" t="s">
        <v>80</v>
      </c>
      <c r="D9844">
        <v>2.8446999999999999E-3</v>
      </c>
      <c r="E9844" t="s">
        <v>74</v>
      </c>
      <c r="F9844">
        <v>2.8447</v>
      </c>
      <c r="G9844" t="s">
        <v>75</v>
      </c>
      <c r="H9844">
        <v>2844.7</v>
      </c>
      <c r="I9844" t="s">
        <v>76</v>
      </c>
      <c r="J9844" t="s">
        <v>77</v>
      </c>
    </row>
    <row r="9845" spans="1:11" x14ac:dyDescent="0.3">
      <c r="A9845" t="s">
        <v>72</v>
      </c>
      <c r="B9845">
        <v>1</v>
      </c>
      <c r="C9845" t="s">
        <v>81</v>
      </c>
      <c r="D9845">
        <v>5.3613000000000003E-3</v>
      </c>
      <c r="E9845" t="s">
        <v>74</v>
      </c>
      <c r="F9845">
        <v>5.3613</v>
      </c>
      <c r="G9845" t="s">
        <v>75</v>
      </c>
      <c r="H9845">
        <v>5361.3</v>
      </c>
      <c r="I9845" t="s">
        <v>76</v>
      </c>
      <c r="J9845" t="s">
        <v>82</v>
      </c>
      <c r="K9845">
        <v>186.52192700000001</v>
      </c>
    </row>
    <row r="9846" spans="1:11" x14ac:dyDescent="0.3">
      <c r="A9846" t="s">
        <v>83</v>
      </c>
      <c r="B9846">
        <v>1000</v>
      </c>
      <c r="C9846" t="s">
        <v>79</v>
      </c>
      <c r="D9846">
        <v>1.1647000000000001E-3</v>
      </c>
      <c r="E9846" t="s">
        <v>74</v>
      </c>
      <c r="F9846">
        <v>1.1647000000000001</v>
      </c>
      <c r="G9846" t="s">
        <v>75</v>
      </c>
      <c r="H9846">
        <v>1164.7</v>
      </c>
      <c r="I9846" t="s">
        <v>76</v>
      </c>
      <c r="J9846" t="s">
        <v>77</v>
      </c>
    </row>
    <row r="9847" spans="1:11" x14ac:dyDescent="0.3">
      <c r="A9847" t="s">
        <v>83</v>
      </c>
      <c r="B9847">
        <v>1000</v>
      </c>
      <c r="C9847" t="s">
        <v>94</v>
      </c>
      <c r="D9847">
        <v>2.6805499999999999E-3</v>
      </c>
      <c r="E9847" t="s">
        <v>74</v>
      </c>
      <c r="F9847">
        <v>2.6805500000000002</v>
      </c>
      <c r="G9847" t="s">
        <v>75</v>
      </c>
      <c r="H9847">
        <v>2680.5540000000001</v>
      </c>
      <c r="I9847" t="s">
        <v>76</v>
      </c>
      <c r="J9847" t="s">
        <v>77</v>
      </c>
    </row>
    <row r="9848" spans="1:11" x14ac:dyDescent="0.3">
      <c r="A9848" t="s">
        <v>83</v>
      </c>
      <c r="B9848">
        <v>1000</v>
      </c>
      <c r="C9848" t="s">
        <v>80</v>
      </c>
      <c r="D9848">
        <v>2.8125200000000002E-3</v>
      </c>
      <c r="E9848" t="s">
        <v>74</v>
      </c>
      <c r="F9848">
        <v>2.8125200000000001</v>
      </c>
      <c r="G9848" t="s">
        <v>75</v>
      </c>
      <c r="H9848">
        <v>2812.5169999999998</v>
      </c>
      <c r="I9848" t="s">
        <v>76</v>
      </c>
      <c r="J9848" t="s">
        <v>77</v>
      </c>
    </row>
    <row r="9849" spans="1:11" x14ac:dyDescent="0.3">
      <c r="A9849" t="s">
        <v>83</v>
      </c>
      <c r="B9849">
        <v>1000</v>
      </c>
      <c r="C9849" t="s">
        <v>81</v>
      </c>
      <c r="D9849">
        <v>3.9784199999999999E-3</v>
      </c>
      <c r="E9849" t="s">
        <v>74</v>
      </c>
      <c r="F9849">
        <v>3.9784199999999998</v>
      </c>
      <c r="G9849" t="s">
        <v>75</v>
      </c>
      <c r="H9849">
        <v>3978.4189999999999</v>
      </c>
      <c r="I9849" t="s">
        <v>76</v>
      </c>
      <c r="J9849" t="s">
        <v>82</v>
      </c>
      <c r="K9849">
        <v>251.35612499999999</v>
      </c>
    </row>
    <row r="9850" spans="1:11" x14ac:dyDescent="0.3">
      <c r="A9850" t="s">
        <v>84</v>
      </c>
      <c r="B9850">
        <v>1001</v>
      </c>
      <c r="C9850" t="s">
        <v>79</v>
      </c>
      <c r="D9850">
        <v>1.1660500000000001E-3</v>
      </c>
      <c r="E9850" t="s">
        <v>74</v>
      </c>
      <c r="F9850">
        <v>1.16605</v>
      </c>
      <c r="G9850" t="s">
        <v>75</v>
      </c>
      <c r="H9850">
        <v>1166.05</v>
      </c>
      <c r="I9850" t="s">
        <v>76</v>
      </c>
      <c r="J9850" t="s">
        <v>77</v>
      </c>
    </row>
    <row r="9851" spans="1:11" x14ac:dyDescent="0.3">
      <c r="A9851" t="s">
        <v>84</v>
      </c>
      <c r="B9851">
        <v>1001</v>
      </c>
      <c r="C9851" t="s">
        <v>94</v>
      </c>
      <c r="D9851">
        <v>2.6805900000000001E-3</v>
      </c>
      <c r="E9851" t="s">
        <v>74</v>
      </c>
      <c r="F9851">
        <v>2.68059</v>
      </c>
      <c r="G9851" t="s">
        <v>75</v>
      </c>
      <c r="H9851">
        <v>2680.585</v>
      </c>
      <c r="I9851" t="s">
        <v>76</v>
      </c>
      <c r="J9851" t="s">
        <v>77</v>
      </c>
    </row>
    <row r="9852" spans="1:11" x14ac:dyDescent="0.3">
      <c r="A9852" t="s">
        <v>84</v>
      </c>
      <c r="B9852">
        <v>1001</v>
      </c>
      <c r="C9852" t="s">
        <v>80</v>
      </c>
      <c r="D9852">
        <v>2.81255E-3</v>
      </c>
      <c r="E9852" t="s">
        <v>74</v>
      </c>
      <c r="F9852">
        <v>2.8125499999999999</v>
      </c>
      <c r="G9852" t="s">
        <v>75</v>
      </c>
      <c r="H9852">
        <v>2812.549</v>
      </c>
      <c r="I9852" t="s">
        <v>76</v>
      </c>
      <c r="J9852" t="s">
        <v>77</v>
      </c>
    </row>
    <row r="9853" spans="1:11" x14ac:dyDescent="0.3">
      <c r="A9853" t="s">
        <v>84</v>
      </c>
      <c r="B9853">
        <v>1001</v>
      </c>
      <c r="C9853" t="s">
        <v>81</v>
      </c>
      <c r="D9853">
        <v>3.9798000000000004E-3</v>
      </c>
      <c r="E9853" t="s">
        <v>74</v>
      </c>
      <c r="F9853">
        <v>3.9798</v>
      </c>
      <c r="G9853" t="s">
        <v>75</v>
      </c>
      <c r="H9853">
        <v>3979.8</v>
      </c>
      <c r="I9853" t="s">
        <v>76</v>
      </c>
      <c r="J9853" t="s">
        <v>82</v>
      </c>
      <c r="K9853">
        <v>251.2688862</v>
      </c>
    </row>
    <row r="9854" spans="1:11" x14ac:dyDescent="0.3">
      <c r="A9854" t="s">
        <v>85</v>
      </c>
      <c r="B9854">
        <v>1001</v>
      </c>
      <c r="C9854" t="s">
        <v>86</v>
      </c>
      <c r="D9854">
        <v>3.9800199999999999E-3</v>
      </c>
      <c r="E9854" t="s">
        <v>74</v>
      </c>
      <c r="F9854">
        <v>3.9800200000000001</v>
      </c>
      <c r="G9854" t="s">
        <v>75</v>
      </c>
      <c r="H9854">
        <v>3980.0210000000002</v>
      </c>
      <c r="I9854" t="s">
        <v>76</v>
      </c>
      <c r="J9854" t="s">
        <v>82</v>
      </c>
      <c r="K9854">
        <v>251.25494689999999</v>
      </c>
    </row>
    <row r="9855" spans="1:11" x14ac:dyDescent="0.3">
      <c r="A9855" t="s">
        <v>115</v>
      </c>
    </row>
    <row r="9856" spans="1:11" x14ac:dyDescent="0.3">
      <c r="A9856" t="s">
        <v>127</v>
      </c>
    </row>
    <row r="9857" spans="1:11" x14ac:dyDescent="0.3">
      <c r="A9857" t="s">
        <v>87</v>
      </c>
    </row>
    <row r="9858" spans="1:11" x14ac:dyDescent="0.3">
      <c r="A9858" t="s">
        <v>393</v>
      </c>
    </row>
    <row r="9859" spans="1:11" x14ac:dyDescent="0.3">
      <c r="A9859" t="s">
        <v>72</v>
      </c>
      <c r="B9859">
        <v>1</v>
      </c>
      <c r="C9859" t="s">
        <v>81</v>
      </c>
      <c r="D9859">
        <v>0.12498869999999999</v>
      </c>
      <c r="E9859" t="s">
        <v>74</v>
      </c>
      <c r="F9859">
        <v>124.98869999999999</v>
      </c>
      <c r="G9859" t="s">
        <v>75</v>
      </c>
      <c r="H9859">
        <v>124988.697</v>
      </c>
      <c r="I9859" t="s">
        <v>76</v>
      </c>
      <c r="J9859" t="s">
        <v>82</v>
      </c>
      <c r="K9859">
        <v>8.0007234</v>
      </c>
    </row>
    <row r="9860" spans="1:11" x14ac:dyDescent="0.3">
      <c r="A9860" t="s">
        <v>83</v>
      </c>
      <c r="B9860">
        <v>1000</v>
      </c>
      <c r="C9860" t="s">
        <v>81</v>
      </c>
      <c r="D9860">
        <v>3.4475500000000002E-3</v>
      </c>
      <c r="E9860" t="s">
        <v>74</v>
      </c>
      <c r="F9860">
        <v>3.4475500000000001</v>
      </c>
      <c r="G9860" t="s">
        <v>75</v>
      </c>
      <c r="H9860">
        <v>3447.5459999999998</v>
      </c>
      <c r="I9860" t="s">
        <v>76</v>
      </c>
      <c r="J9860" t="s">
        <v>82</v>
      </c>
      <c r="K9860">
        <v>290.06141400000001</v>
      </c>
    </row>
    <row r="9861" spans="1:11" x14ac:dyDescent="0.3">
      <c r="A9861" t="s">
        <v>85</v>
      </c>
      <c r="B9861">
        <v>1001</v>
      </c>
      <c r="C9861" t="s">
        <v>86</v>
      </c>
      <c r="D9861">
        <v>3.5691299999999998E-3</v>
      </c>
      <c r="E9861" t="s">
        <v>74</v>
      </c>
      <c r="F9861">
        <v>3.5691299999999999</v>
      </c>
      <c r="G9861" t="s">
        <v>75</v>
      </c>
      <c r="H9861">
        <v>3569.13</v>
      </c>
      <c r="I9861" t="s">
        <v>76</v>
      </c>
      <c r="J9861" t="s">
        <v>82</v>
      </c>
      <c r="K9861">
        <v>280.18031009999999</v>
      </c>
    </row>
    <row r="9863" spans="1:11" x14ac:dyDescent="0.3">
      <c r="A9863" t="s">
        <v>394</v>
      </c>
    </row>
    <row r="9864" spans="1:11" x14ac:dyDescent="0.3">
      <c r="A9864" t="s">
        <v>72</v>
      </c>
      <c r="B9864">
        <v>1</v>
      </c>
      <c r="C9864" t="s">
        <v>81</v>
      </c>
      <c r="D9864">
        <v>5.3613000000000003E-3</v>
      </c>
      <c r="E9864" t="s">
        <v>74</v>
      </c>
      <c r="F9864">
        <v>5.3613</v>
      </c>
      <c r="G9864" t="s">
        <v>75</v>
      </c>
      <c r="H9864">
        <v>5361.3</v>
      </c>
      <c r="I9864" t="s">
        <v>76</v>
      </c>
      <c r="J9864" t="s">
        <v>82</v>
      </c>
      <c r="K9864">
        <v>186.52192700000001</v>
      </c>
    </row>
    <row r="9865" spans="1:11" x14ac:dyDescent="0.3">
      <c r="A9865" t="s">
        <v>83</v>
      </c>
      <c r="B9865">
        <v>1000</v>
      </c>
      <c r="C9865" t="s">
        <v>81</v>
      </c>
      <c r="D9865">
        <v>3.9784199999999999E-3</v>
      </c>
      <c r="E9865" t="s">
        <v>74</v>
      </c>
      <c r="F9865">
        <v>3.9784199999999998</v>
      </c>
      <c r="G9865" t="s">
        <v>75</v>
      </c>
      <c r="H9865">
        <v>3978.4189999999999</v>
      </c>
      <c r="I9865" t="s">
        <v>76</v>
      </c>
      <c r="J9865" t="s">
        <v>82</v>
      </c>
      <c r="K9865">
        <v>251.35612499999999</v>
      </c>
    </row>
    <row r="9866" spans="1:11" x14ac:dyDescent="0.3">
      <c r="A9866" t="s">
        <v>85</v>
      </c>
      <c r="B9866">
        <v>1001</v>
      </c>
      <c r="C9866" t="s">
        <v>86</v>
      </c>
      <c r="D9866">
        <v>3.9800199999999999E-3</v>
      </c>
      <c r="E9866" t="s">
        <v>74</v>
      </c>
      <c r="F9866">
        <v>3.9800200000000001</v>
      </c>
      <c r="G9866" t="s">
        <v>75</v>
      </c>
      <c r="H9866">
        <v>3980.0210000000002</v>
      </c>
      <c r="I9866" t="s">
        <v>76</v>
      </c>
      <c r="J9866" t="s">
        <v>82</v>
      </c>
      <c r="K9866">
        <v>251.25494689999999</v>
      </c>
    </row>
    <row r="9868" spans="1:11" x14ac:dyDescent="0.3">
      <c r="A9868" t="s">
        <v>66</v>
      </c>
    </row>
    <row r="9870" spans="1:11" x14ac:dyDescent="0.3">
      <c r="A9870" t="s">
        <v>481</v>
      </c>
    </row>
    <row r="9871" spans="1:11" x14ac:dyDescent="0.3">
      <c r="A9871" t="s">
        <v>68</v>
      </c>
    </row>
    <row r="9872" spans="1:11" x14ac:dyDescent="0.3">
      <c r="A9872" t="s">
        <v>69</v>
      </c>
    </row>
    <row r="9873" spans="1:1" x14ac:dyDescent="0.3">
      <c r="A9873" t="s">
        <v>70</v>
      </c>
    </row>
    <row r="9874" spans="1:1" x14ac:dyDescent="0.3">
      <c r="A9874" t="s">
        <v>115</v>
      </c>
    </row>
    <row r="9875" spans="1:1" x14ac:dyDescent="0.3">
      <c r="A9875" t="s">
        <v>384</v>
      </c>
    </row>
    <row r="9876" spans="1:1" x14ac:dyDescent="0.3">
      <c r="A9876" t="s">
        <v>385</v>
      </c>
    </row>
    <row r="9877" spans="1:1" x14ac:dyDescent="0.3">
      <c r="A9877" t="s">
        <v>118</v>
      </c>
    </row>
    <row r="9878" spans="1:1" x14ac:dyDescent="0.3">
      <c r="A9878" t="s">
        <v>119</v>
      </c>
    </row>
    <row r="9879" spans="1:1" x14ac:dyDescent="0.3">
      <c r="A9879" t="s">
        <v>268</v>
      </c>
    </row>
    <row r="9880" spans="1:1" x14ac:dyDescent="0.3">
      <c r="A9880" t="s">
        <v>269</v>
      </c>
    </row>
    <row r="9881" spans="1:1" x14ac:dyDescent="0.3">
      <c r="A9881" t="s">
        <v>386</v>
      </c>
    </row>
    <row r="9882" spans="1:1" x14ac:dyDescent="0.3">
      <c r="A9882" t="s">
        <v>387</v>
      </c>
    </row>
    <row r="9883" spans="1:1" x14ac:dyDescent="0.3">
      <c r="A9883" t="s">
        <v>271</v>
      </c>
    </row>
    <row r="9884" spans="1:1" x14ac:dyDescent="0.3">
      <c r="A9884" t="s">
        <v>125</v>
      </c>
    </row>
    <row r="9885" spans="1:1" x14ac:dyDescent="0.3">
      <c r="A9885" t="s">
        <v>126</v>
      </c>
    </row>
    <row r="9886" spans="1:1" x14ac:dyDescent="0.3">
      <c r="A9886" t="s">
        <v>127</v>
      </c>
    </row>
    <row r="9887" spans="1:1" x14ac:dyDescent="0.3">
      <c r="A9887" t="s">
        <v>139</v>
      </c>
    </row>
    <row r="9888" spans="1:1" x14ac:dyDescent="0.3">
      <c r="A9888" t="s">
        <v>396</v>
      </c>
    </row>
    <row r="9889" spans="1:11" x14ac:dyDescent="0.3">
      <c r="A9889" t="s">
        <v>72</v>
      </c>
      <c r="B9889">
        <v>1</v>
      </c>
      <c r="C9889" t="s">
        <v>73</v>
      </c>
      <c r="D9889">
        <v>4.0999999999999997E-6</v>
      </c>
      <c r="E9889" t="s">
        <v>74</v>
      </c>
      <c r="F9889">
        <v>4.1000000000000003E-3</v>
      </c>
      <c r="G9889" t="s">
        <v>75</v>
      </c>
      <c r="H9889">
        <v>4.0999999999999996</v>
      </c>
      <c r="I9889" t="s">
        <v>76</v>
      </c>
      <c r="J9889" t="s">
        <v>77</v>
      </c>
    </row>
    <row r="9890" spans="1:11" x14ac:dyDescent="0.3">
      <c r="A9890" t="s">
        <v>72</v>
      </c>
      <c r="B9890">
        <v>1</v>
      </c>
      <c r="C9890" t="s">
        <v>78</v>
      </c>
      <c r="D9890">
        <v>0.1503282</v>
      </c>
      <c r="E9890" t="s">
        <v>74</v>
      </c>
      <c r="F9890">
        <v>150.32820000000001</v>
      </c>
      <c r="G9890" t="s">
        <v>75</v>
      </c>
      <c r="H9890">
        <v>150328.204</v>
      </c>
      <c r="I9890" t="s">
        <v>76</v>
      </c>
      <c r="J9890" t="s">
        <v>77</v>
      </c>
    </row>
    <row r="9891" spans="1:11" x14ac:dyDescent="0.3">
      <c r="A9891" t="s">
        <v>72</v>
      </c>
      <c r="B9891">
        <v>1</v>
      </c>
      <c r="C9891" t="s">
        <v>79</v>
      </c>
      <c r="D9891">
        <v>0.13703570000000001</v>
      </c>
      <c r="E9891" t="s">
        <v>74</v>
      </c>
      <c r="F9891">
        <v>137.03569999999999</v>
      </c>
      <c r="G9891" t="s">
        <v>75</v>
      </c>
      <c r="H9891">
        <v>137035.698</v>
      </c>
      <c r="I9891" t="s">
        <v>76</v>
      </c>
      <c r="J9891" t="s">
        <v>77</v>
      </c>
    </row>
    <row r="9892" spans="1:11" x14ac:dyDescent="0.3">
      <c r="A9892" t="s">
        <v>72</v>
      </c>
      <c r="B9892">
        <v>1</v>
      </c>
      <c r="C9892" t="s">
        <v>94</v>
      </c>
      <c r="D9892">
        <v>9.5977000000000007E-3</v>
      </c>
      <c r="E9892" t="s">
        <v>74</v>
      </c>
      <c r="F9892">
        <v>9.5976999999999997</v>
      </c>
      <c r="G9892" t="s">
        <v>75</v>
      </c>
      <c r="H9892">
        <v>9597.7000000000007</v>
      </c>
      <c r="I9892" t="s">
        <v>76</v>
      </c>
      <c r="J9892" t="s">
        <v>77</v>
      </c>
    </row>
    <row r="9893" spans="1:11" x14ac:dyDescent="0.3">
      <c r="A9893" t="s">
        <v>72</v>
      </c>
      <c r="B9893">
        <v>1</v>
      </c>
      <c r="C9893" t="s">
        <v>80</v>
      </c>
      <c r="D9893">
        <v>9.5984E-3</v>
      </c>
      <c r="E9893" t="s">
        <v>74</v>
      </c>
      <c r="F9893">
        <v>9.5983999999999998</v>
      </c>
      <c r="G9893" t="s">
        <v>75</v>
      </c>
      <c r="H9893">
        <v>9598.4</v>
      </c>
      <c r="I9893" t="s">
        <v>76</v>
      </c>
      <c r="J9893" t="s">
        <v>77</v>
      </c>
    </row>
    <row r="9894" spans="1:11" x14ac:dyDescent="0.3">
      <c r="A9894" t="s">
        <v>72</v>
      </c>
      <c r="B9894">
        <v>1</v>
      </c>
      <c r="C9894" t="s">
        <v>81</v>
      </c>
      <c r="D9894">
        <v>0.1466364</v>
      </c>
      <c r="E9894" t="s">
        <v>74</v>
      </c>
      <c r="F9894">
        <v>146.63640000000001</v>
      </c>
      <c r="G9894" t="s">
        <v>75</v>
      </c>
      <c r="H9894">
        <v>146636.397</v>
      </c>
      <c r="I9894" t="s">
        <v>76</v>
      </c>
      <c r="J9894" t="s">
        <v>82</v>
      </c>
      <c r="K9894">
        <v>6.8195892999999996</v>
      </c>
    </row>
    <row r="9895" spans="1:11" x14ac:dyDescent="0.3">
      <c r="A9895" t="s">
        <v>83</v>
      </c>
      <c r="B9895">
        <v>1000</v>
      </c>
      <c r="C9895" t="s">
        <v>79</v>
      </c>
      <c r="D9895">
        <v>2.2518099999999999E-3</v>
      </c>
      <c r="E9895" t="s">
        <v>74</v>
      </c>
      <c r="F9895">
        <v>2.2518099999999999</v>
      </c>
      <c r="G9895" t="s">
        <v>75</v>
      </c>
      <c r="H9895">
        <v>2251.806</v>
      </c>
      <c r="I9895" t="s">
        <v>76</v>
      </c>
      <c r="J9895" t="s">
        <v>77</v>
      </c>
    </row>
    <row r="9896" spans="1:11" x14ac:dyDescent="0.3">
      <c r="A9896" t="s">
        <v>83</v>
      </c>
      <c r="B9896">
        <v>1000</v>
      </c>
      <c r="C9896" t="s">
        <v>94</v>
      </c>
      <c r="D9896">
        <v>2.6310999999999999E-3</v>
      </c>
      <c r="E9896" t="s">
        <v>74</v>
      </c>
      <c r="F9896">
        <v>2.6311</v>
      </c>
      <c r="G9896" t="s">
        <v>75</v>
      </c>
      <c r="H9896">
        <v>2631.0949999999998</v>
      </c>
      <c r="I9896" t="s">
        <v>76</v>
      </c>
      <c r="J9896" t="s">
        <v>77</v>
      </c>
    </row>
    <row r="9897" spans="1:11" x14ac:dyDescent="0.3">
      <c r="A9897" t="s">
        <v>83</v>
      </c>
      <c r="B9897">
        <v>1000</v>
      </c>
      <c r="C9897" t="s">
        <v>80</v>
      </c>
      <c r="D9897">
        <v>2.7981E-3</v>
      </c>
      <c r="E9897" t="s">
        <v>74</v>
      </c>
      <c r="F9897">
        <v>2.7980999999999998</v>
      </c>
      <c r="G9897" t="s">
        <v>75</v>
      </c>
      <c r="H9897">
        <v>2798.105</v>
      </c>
      <c r="I9897" t="s">
        <v>76</v>
      </c>
      <c r="J9897" t="s">
        <v>77</v>
      </c>
    </row>
    <row r="9898" spans="1:11" x14ac:dyDescent="0.3">
      <c r="A9898" t="s">
        <v>83</v>
      </c>
      <c r="B9898">
        <v>1000</v>
      </c>
      <c r="C9898" t="s">
        <v>81</v>
      </c>
      <c r="D9898">
        <v>5.0507299999999998E-3</v>
      </c>
      <c r="E9898" t="s">
        <v>74</v>
      </c>
      <c r="F9898">
        <v>5.0507299999999997</v>
      </c>
      <c r="G9898" t="s">
        <v>75</v>
      </c>
      <c r="H9898">
        <v>5050.7259999999997</v>
      </c>
      <c r="I9898" t="s">
        <v>76</v>
      </c>
      <c r="J9898" t="s">
        <v>82</v>
      </c>
      <c r="K9898">
        <v>197.99132209999999</v>
      </c>
    </row>
    <row r="9899" spans="1:11" x14ac:dyDescent="0.3">
      <c r="A9899" t="s">
        <v>84</v>
      </c>
      <c r="B9899">
        <v>1001</v>
      </c>
      <c r="C9899" t="s">
        <v>79</v>
      </c>
      <c r="D9899">
        <v>2.38646E-3</v>
      </c>
      <c r="E9899" t="s">
        <v>74</v>
      </c>
      <c r="F9899">
        <v>2.38646</v>
      </c>
      <c r="G9899" t="s">
        <v>75</v>
      </c>
      <c r="H9899">
        <v>2386.4549999999999</v>
      </c>
      <c r="I9899" t="s">
        <v>76</v>
      </c>
      <c r="J9899" t="s">
        <v>77</v>
      </c>
    </row>
    <row r="9900" spans="1:11" x14ac:dyDescent="0.3">
      <c r="A9900" t="s">
        <v>84</v>
      </c>
      <c r="B9900">
        <v>1001</v>
      </c>
      <c r="C9900" t="s">
        <v>94</v>
      </c>
      <c r="D9900">
        <v>2.6380499999999999E-3</v>
      </c>
      <c r="E9900" t="s">
        <v>74</v>
      </c>
      <c r="F9900">
        <v>2.6380499999999998</v>
      </c>
      <c r="G9900" t="s">
        <v>75</v>
      </c>
      <c r="H9900">
        <v>2638.0549999999998</v>
      </c>
      <c r="I9900" t="s">
        <v>76</v>
      </c>
      <c r="J9900" t="s">
        <v>77</v>
      </c>
    </row>
    <row r="9901" spans="1:11" x14ac:dyDescent="0.3">
      <c r="A9901" t="s">
        <v>84</v>
      </c>
      <c r="B9901">
        <v>1001</v>
      </c>
      <c r="C9901" t="s">
        <v>80</v>
      </c>
      <c r="D9901">
        <v>2.8048999999999999E-3</v>
      </c>
      <c r="E9901" t="s">
        <v>74</v>
      </c>
      <c r="F9901">
        <v>2.8048999999999999</v>
      </c>
      <c r="G9901" t="s">
        <v>75</v>
      </c>
      <c r="H9901">
        <v>2804.8980000000001</v>
      </c>
      <c r="I9901" t="s">
        <v>76</v>
      </c>
      <c r="J9901" t="s">
        <v>77</v>
      </c>
    </row>
    <row r="9902" spans="1:11" x14ac:dyDescent="0.3">
      <c r="A9902" t="s">
        <v>84</v>
      </c>
      <c r="B9902">
        <v>1001</v>
      </c>
      <c r="C9902" t="s">
        <v>81</v>
      </c>
      <c r="D9902">
        <v>5.1921700000000003E-3</v>
      </c>
      <c r="E9902" t="s">
        <v>74</v>
      </c>
      <c r="F9902">
        <v>5.19217</v>
      </c>
      <c r="G9902" t="s">
        <v>75</v>
      </c>
      <c r="H9902">
        <v>5192.1719999999996</v>
      </c>
      <c r="I9902" t="s">
        <v>76</v>
      </c>
      <c r="J9902" t="s">
        <v>82</v>
      </c>
      <c r="K9902">
        <v>192.59761990000001</v>
      </c>
    </row>
    <row r="9903" spans="1:11" x14ac:dyDescent="0.3">
      <c r="A9903" t="s">
        <v>85</v>
      </c>
      <c r="B9903">
        <v>1001</v>
      </c>
      <c r="C9903" t="s">
        <v>86</v>
      </c>
      <c r="D9903">
        <v>5.1924199999999997E-3</v>
      </c>
      <c r="E9903" t="s">
        <v>74</v>
      </c>
      <c r="F9903">
        <v>5.1924200000000003</v>
      </c>
      <c r="G9903" t="s">
        <v>75</v>
      </c>
      <c r="H9903">
        <v>5192.4170000000004</v>
      </c>
      <c r="I9903" t="s">
        <v>76</v>
      </c>
      <c r="J9903" t="s">
        <v>82</v>
      </c>
      <c r="K9903">
        <v>192.588538</v>
      </c>
    </row>
    <row r="9904" spans="1:11" x14ac:dyDescent="0.3">
      <c r="A9904" t="s">
        <v>141</v>
      </c>
    </row>
    <row r="9905" spans="1:11" x14ac:dyDescent="0.3">
      <c r="A9905" t="s">
        <v>397</v>
      </c>
    </row>
    <row r="9906" spans="1:11" x14ac:dyDescent="0.3">
      <c r="A9906" t="s">
        <v>72</v>
      </c>
      <c r="B9906">
        <v>1</v>
      </c>
      <c r="C9906" t="s">
        <v>73</v>
      </c>
      <c r="D9906">
        <v>4.0999999999999997E-6</v>
      </c>
      <c r="E9906" t="s">
        <v>74</v>
      </c>
      <c r="F9906">
        <v>4.1000000000000003E-3</v>
      </c>
      <c r="G9906" t="s">
        <v>75</v>
      </c>
      <c r="H9906">
        <v>4.0999999999999996</v>
      </c>
      <c r="I9906" t="s">
        <v>76</v>
      </c>
      <c r="J9906" t="s">
        <v>77</v>
      </c>
    </row>
    <row r="9907" spans="1:11" x14ac:dyDescent="0.3">
      <c r="A9907" t="s">
        <v>72</v>
      </c>
      <c r="B9907">
        <v>1</v>
      </c>
      <c r="C9907" t="s">
        <v>78</v>
      </c>
      <c r="D9907">
        <v>4.9490000000000005E-4</v>
      </c>
      <c r="E9907" t="s">
        <v>74</v>
      </c>
      <c r="F9907">
        <v>0.49490000000000001</v>
      </c>
      <c r="G9907" t="s">
        <v>75</v>
      </c>
      <c r="H9907">
        <v>494.9</v>
      </c>
      <c r="I9907" t="s">
        <v>76</v>
      </c>
      <c r="J9907" t="s">
        <v>77</v>
      </c>
    </row>
    <row r="9908" spans="1:11" x14ac:dyDescent="0.3">
      <c r="A9908" t="s">
        <v>72</v>
      </c>
      <c r="B9908">
        <v>1</v>
      </c>
      <c r="C9908" t="s">
        <v>79</v>
      </c>
      <c r="D9908">
        <v>4.0011999999999999E-3</v>
      </c>
      <c r="E9908" t="s">
        <v>74</v>
      </c>
      <c r="F9908">
        <v>4.0011999999999999</v>
      </c>
      <c r="G9908" t="s">
        <v>75</v>
      </c>
      <c r="H9908">
        <v>4001.2</v>
      </c>
      <c r="I9908" t="s">
        <v>76</v>
      </c>
      <c r="J9908" t="s">
        <v>77</v>
      </c>
    </row>
    <row r="9909" spans="1:11" x14ac:dyDescent="0.3">
      <c r="A9909" t="s">
        <v>72</v>
      </c>
      <c r="B9909">
        <v>1</v>
      </c>
      <c r="C9909" t="s">
        <v>94</v>
      </c>
      <c r="D9909">
        <v>2.8482999999999998E-3</v>
      </c>
      <c r="E9909" t="s">
        <v>74</v>
      </c>
      <c r="F9909">
        <v>2.8483000000000001</v>
      </c>
      <c r="G9909" t="s">
        <v>75</v>
      </c>
      <c r="H9909">
        <v>2848.3</v>
      </c>
      <c r="I9909" t="s">
        <v>76</v>
      </c>
      <c r="J9909" t="s">
        <v>77</v>
      </c>
    </row>
    <row r="9910" spans="1:11" x14ac:dyDescent="0.3">
      <c r="A9910" t="s">
        <v>72</v>
      </c>
      <c r="B9910">
        <v>1</v>
      </c>
      <c r="C9910" t="s">
        <v>80</v>
      </c>
      <c r="D9910">
        <v>2.9772000000000002E-3</v>
      </c>
      <c r="E9910" t="s">
        <v>74</v>
      </c>
      <c r="F9910">
        <v>2.9771999999999998</v>
      </c>
      <c r="G9910" t="s">
        <v>75</v>
      </c>
      <c r="H9910">
        <v>2977.2</v>
      </c>
      <c r="I9910" t="s">
        <v>76</v>
      </c>
      <c r="J9910" t="s">
        <v>77</v>
      </c>
    </row>
    <row r="9911" spans="1:11" x14ac:dyDescent="0.3">
      <c r="A9911" t="s">
        <v>72</v>
      </c>
      <c r="B9911">
        <v>1</v>
      </c>
      <c r="C9911" t="s">
        <v>81</v>
      </c>
      <c r="D9911">
        <v>6.9798999999999998E-3</v>
      </c>
      <c r="E9911" t="s">
        <v>74</v>
      </c>
      <c r="F9911">
        <v>6.9798999999999998</v>
      </c>
      <c r="G9911" t="s">
        <v>75</v>
      </c>
      <c r="H9911">
        <v>6979.9</v>
      </c>
      <c r="I9911" t="s">
        <v>76</v>
      </c>
      <c r="J9911" t="s">
        <v>82</v>
      </c>
      <c r="K9911">
        <v>143.26852930000001</v>
      </c>
    </row>
    <row r="9912" spans="1:11" x14ac:dyDescent="0.3">
      <c r="A9912" t="s">
        <v>83</v>
      </c>
      <c r="B9912">
        <v>1000</v>
      </c>
      <c r="C9912" t="s">
        <v>79</v>
      </c>
      <c r="D9912">
        <v>2.5970699999999999E-3</v>
      </c>
      <c r="E9912" t="s">
        <v>74</v>
      </c>
      <c r="F9912">
        <v>2.59707</v>
      </c>
      <c r="G9912" t="s">
        <v>75</v>
      </c>
      <c r="H9912">
        <v>2597.0680000000002</v>
      </c>
      <c r="I9912" t="s">
        <v>76</v>
      </c>
      <c r="J9912" t="s">
        <v>77</v>
      </c>
    </row>
    <row r="9913" spans="1:11" x14ac:dyDescent="0.3">
      <c r="A9913" t="s">
        <v>83</v>
      </c>
      <c r="B9913">
        <v>1000</v>
      </c>
      <c r="C9913" t="s">
        <v>94</v>
      </c>
      <c r="D9913">
        <v>2.7316799999999998E-3</v>
      </c>
      <c r="E9913" t="s">
        <v>74</v>
      </c>
      <c r="F9913">
        <v>2.7316799999999999</v>
      </c>
      <c r="G9913" t="s">
        <v>75</v>
      </c>
      <c r="H9913">
        <v>2731.6840000000002</v>
      </c>
      <c r="I9913" t="s">
        <v>76</v>
      </c>
      <c r="J9913" t="s">
        <v>77</v>
      </c>
    </row>
    <row r="9914" spans="1:11" x14ac:dyDescent="0.3">
      <c r="A9914" t="s">
        <v>83</v>
      </c>
      <c r="B9914">
        <v>1000</v>
      </c>
      <c r="C9914" t="s">
        <v>80</v>
      </c>
      <c r="D9914">
        <v>2.8618300000000001E-3</v>
      </c>
      <c r="E9914" t="s">
        <v>74</v>
      </c>
      <c r="F9914">
        <v>2.8618299999999999</v>
      </c>
      <c r="G9914" t="s">
        <v>75</v>
      </c>
      <c r="H9914">
        <v>2861.8330000000001</v>
      </c>
      <c r="I9914" t="s">
        <v>76</v>
      </c>
      <c r="J9914" t="s">
        <v>77</v>
      </c>
    </row>
    <row r="9915" spans="1:11" x14ac:dyDescent="0.3">
      <c r="A9915" t="s">
        <v>83</v>
      </c>
      <c r="B9915">
        <v>1000</v>
      </c>
      <c r="C9915" t="s">
        <v>81</v>
      </c>
      <c r="D9915">
        <v>5.46007E-3</v>
      </c>
      <c r="E9915" t="s">
        <v>74</v>
      </c>
      <c r="F9915">
        <v>5.46007</v>
      </c>
      <c r="G9915" t="s">
        <v>75</v>
      </c>
      <c r="H9915">
        <v>5460.0730000000003</v>
      </c>
      <c r="I9915" t="s">
        <v>76</v>
      </c>
      <c r="J9915" t="s">
        <v>82</v>
      </c>
      <c r="K9915">
        <v>183.1477347</v>
      </c>
    </row>
    <row r="9916" spans="1:11" x14ac:dyDescent="0.3">
      <c r="A9916" t="s">
        <v>84</v>
      </c>
      <c r="B9916">
        <v>1001</v>
      </c>
      <c r="C9916" t="s">
        <v>79</v>
      </c>
      <c r="D9916">
        <v>2.5984699999999999E-3</v>
      </c>
      <c r="E9916" t="s">
        <v>74</v>
      </c>
      <c r="F9916">
        <v>2.5984699999999998</v>
      </c>
      <c r="G9916" t="s">
        <v>75</v>
      </c>
      <c r="H9916">
        <v>2598.471</v>
      </c>
      <c r="I9916" t="s">
        <v>76</v>
      </c>
      <c r="J9916" t="s">
        <v>77</v>
      </c>
    </row>
    <row r="9917" spans="1:11" x14ac:dyDescent="0.3">
      <c r="A9917" t="s">
        <v>84</v>
      </c>
      <c r="B9917">
        <v>1001</v>
      </c>
      <c r="C9917" t="s">
        <v>94</v>
      </c>
      <c r="D9917">
        <v>2.7317999999999999E-3</v>
      </c>
      <c r="E9917" t="s">
        <v>74</v>
      </c>
      <c r="F9917">
        <v>2.7317999999999998</v>
      </c>
      <c r="G9917" t="s">
        <v>75</v>
      </c>
      <c r="H9917">
        <v>2731.8</v>
      </c>
      <c r="I9917" t="s">
        <v>76</v>
      </c>
      <c r="J9917" t="s">
        <v>77</v>
      </c>
    </row>
    <row r="9918" spans="1:11" x14ac:dyDescent="0.3">
      <c r="A9918" t="s">
        <v>84</v>
      </c>
      <c r="B9918">
        <v>1001</v>
      </c>
      <c r="C9918" t="s">
        <v>80</v>
      </c>
      <c r="D9918">
        <v>2.8619499999999998E-3</v>
      </c>
      <c r="E9918" t="s">
        <v>74</v>
      </c>
      <c r="F9918">
        <v>2.8619500000000002</v>
      </c>
      <c r="G9918" t="s">
        <v>75</v>
      </c>
      <c r="H9918">
        <v>2861.9490000000001</v>
      </c>
      <c r="I9918" t="s">
        <v>76</v>
      </c>
      <c r="J9918" t="s">
        <v>77</v>
      </c>
    </row>
    <row r="9919" spans="1:11" x14ac:dyDescent="0.3">
      <c r="A9919" t="s">
        <v>84</v>
      </c>
      <c r="B9919">
        <v>1001</v>
      </c>
      <c r="C9919" t="s">
        <v>81</v>
      </c>
      <c r="D9919">
        <v>5.4615899999999997E-3</v>
      </c>
      <c r="E9919" t="s">
        <v>74</v>
      </c>
      <c r="F9919">
        <v>5.4615900000000002</v>
      </c>
      <c r="G9919" t="s">
        <v>75</v>
      </c>
      <c r="H9919">
        <v>5461.5910000000003</v>
      </c>
      <c r="I9919" t="s">
        <v>76</v>
      </c>
      <c r="J9919" t="s">
        <v>82</v>
      </c>
      <c r="K9919">
        <v>183.09681860000001</v>
      </c>
    </row>
    <row r="9920" spans="1:11" x14ac:dyDescent="0.3">
      <c r="A9920" t="s">
        <v>85</v>
      </c>
      <c r="B9920">
        <v>1001</v>
      </c>
      <c r="C9920" t="s">
        <v>86</v>
      </c>
      <c r="D9920">
        <v>5.4618100000000001E-3</v>
      </c>
      <c r="E9920" t="s">
        <v>74</v>
      </c>
      <c r="F9920">
        <v>5.4618099999999998</v>
      </c>
      <c r="G9920" t="s">
        <v>75</v>
      </c>
      <c r="H9920">
        <v>5461.8119999999999</v>
      </c>
      <c r="I9920" t="s">
        <v>76</v>
      </c>
      <c r="J9920" t="s">
        <v>82</v>
      </c>
      <c r="K9920">
        <v>183.08942490000001</v>
      </c>
    </row>
    <row r="9921" spans="1:11" x14ac:dyDescent="0.3">
      <c r="A9921" t="s">
        <v>115</v>
      </c>
    </row>
    <row r="9922" spans="1:11" x14ac:dyDescent="0.3">
      <c r="A9922" t="s">
        <v>127</v>
      </c>
    </row>
    <row r="9923" spans="1:11" x14ac:dyDescent="0.3">
      <c r="A9923" t="s">
        <v>87</v>
      </c>
    </row>
    <row r="9924" spans="1:11" x14ac:dyDescent="0.3">
      <c r="A9924" t="s">
        <v>398</v>
      </c>
    </row>
    <row r="9925" spans="1:11" x14ac:dyDescent="0.3">
      <c r="A9925" t="s">
        <v>72</v>
      </c>
      <c r="B9925">
        <v>1</v>
      </c>
      <c r="C9925" t="s">
        <v>81</v>
      </c>
      <c r="D9925">
        <v>0.1466364</v>
      </c>
      <c r="E9925" t="s">
        <v>74</v>
      </c>
      <c r="F9925">
        <v>146.63640000000001</v>
      </c>
      <c r="G9925" t="s">
        <v>75</v>
      </c>
      <c r="H9925">
        <v>146636.397</v>
      </c>
      <c r="I9925" t="s">
        <v>76</v>
      </c>
      <c r="J9925" t="s">
        <v>82</v>
      </c>
      <c r="K9925">
        <v>6.8195892999999996</v>
      </c>
    </row>
    <row r="9926" spans="1:11" x14ac:dyDescent="0.3">
      <c r="A9926" t="s">
        <v>83</v>
      </c>
      <c r="B9926">
        <v>1000</v>
      </c>
      <c r="C9926" t="s">
        <v>81</v>
      </c>
      <c r="D9926">
        <v>5.0507299999999998E-3</v>
      </c>
      <c r="E9926" t="s">
        <v>74</v>
      </c>
      <c r="F9926">
        <v>5.0507299999999997</v>
      </c>
      <c r="G9926" t="s">
        <v>75</v>
      </c>
      <c r="H9926">
        <v>5050.7259999999997</v>
      </c>
      <c r="I9926" t="s">
        <v>76</v>
      </c>
      <c r="J9926" t="s">
        <v>82</v>
      </c>
      <c r="K9926">
        <v>197.99132209999999</v>
      </c>
    </row>
    <row r="9927" spans="1:11" x14ac:dyDescent="0.3">
      <c r="A9927" t="s">
        <v>85</v>
      </c>
      <c r="B9927">
        <v>1001</v>
      </c>
      <c r="C9927" t="s">
        <v>86</v>
      </c>
      <c r="D9927">
        <v>5.1924199999999997E-3</v>
      </c>
      <c r="E9927" t="s">
        <v>74</v>
      </c>
      <c r="F9927">
        <v>5.1924200000000003</v>
      </c>
      <c r="G9927" t="s">
        <v>75</v>
      </c>
      <c r="H9927">
        <v>5192.4170000000004</v>
      </c>
      <c r="I9927" t="s">
        <v>76</v>
      </c>
      <c r="J9927" t="s">
        <v>82</v>
      </c>
      <c r="K9927">
        <v>192.588538</v>
      </c>
    </row>
    <row r="9929" spans="1:11" x14ac:dyDescent="0.3">
      <c r="A9929" t="s">
        <v>399</v>
      </c>
    </row>
    <row r="9930" spans="1:11" x14ac:dyDescent="0.3">
      <c r="A9930" t="s">
        <v>72</v>
      </c>
      <c r="B9930">
        <v>1</v>
      </c>
      <c r="C9930" t="s">
        <v>81</v>
      </c>
      <c r="D9930">
        <v>6.9798999999999998E-3</v>
      </c>
      <c r="E9930" t="s">
        <v>74</v>
      </c>
      <c r="F9930">
        <v>6.9798999999999998</v>
      </c>
      <c r="G9930" t="s">
        <v>75</v>
      </c>
      <c r="H9930">
        <v>6979.9</v>
      </c>
      <c r="I9930" t="s">
        <v>76</v>
      </c>
      <c r="J9930" t="s">
        <v>82</v>
      </c>
      <c r="K9930">
        <v>143.26852930000001</v>
      </c>
    </row>
    <row r="9931" spans="1:11" x14ac:dyDescent="0.3">
      <c r="A9931" t="s">
        <v>83</v>
      </c>
      <c r="B9931">
        <v>1000</v>
      </c>
      <c r="C9931" t="s">
        <v>81</v>
      </c>
      <c r="D9931">
        <v>5.46007E-3</v>
      </c>
      <c r="E9931" t="s">
        <v>74</v>
      </c>
      <c r="F9931">
        <v>5.46007</v>
      </c>
      <c r="G9931" t="s">
        <v>75</v>
      </c>
      <c r="H9931">
        <v>5460.0730000000003</v>
      </c>
      <c r="I9931" t="s">
        <v>76</v>
      </c>
      <c r="J9931" t="s">
        <v>82</v>
      </c>
      <c r="K9931">
        <v>183.1477347</v>
      </c>
    </row>
    <row r="9932" spans="1:11" x14ac:dyDescent="0.3">
      <c r="A9932" t="s">
        <v>85</v>
      </c>
      <c r="B9932">
        <v>1001</v>
      </c>
      <c r="C9932" t="s">
        <v>86</v>
      </c>
      <c r="D9932">
        <v>5.4618100000000001E-3</v>
      </c>
      <c r="E9932" t="s">
        <v>74</v>
      </c>
      <c r="F9932">
        <v>5.4618099999999998</v>
      </c>
      <c r="G9932" t="s">
        <v>75</v>
      </c>
      <c r="H9932">
        <v>5461.8119999999999</v>
      </c>
      <c r="I9932" t="s">
        <v>76</v>
      </c>
      <c r="J9932" t="s">
        <v>82</v>
      </c>
      <c r="K9932">
        <v>183.08942490000001</v>
      </c>
    </row>
    <row r="9934" spans="1:11" x14ac:dyDescent="0.3">
      <c r="A9934" t="s">
        <v>66</v>
      </c>
    </row>
    <row r="9936" spans="1:11" x14ac:dyDescent="0.3">
      <c r="A9936" t="s">
        <v>482</v>
      </c>
    </row>
    <row r="9937" spans="1:1" x14ac:dyDescent="0.3">
      <c r="A9937" t="s">
        <v>68</v>
      </c>
    </row>
    <row r="9938" spans="1:1" x14ac:dyDescent="0.3">
      <c r="A9938" t="s">
        <v>69</v>
      </c>
    </row>
    <row r="9939" spans="1:1" x14ac:dyDescent="0.3">
      <c r="A9939" t="s">
        <v>70</v>
      </c>
    </row>
    <row r="9940" spans="1:1" x14ac:dyDescent="0.3">
      <c r="A9940" t="s">
        <v>115</v>
      </c>
    </row>
    <row r="9941" spans="1:1" x14ac:dyDescent="0.3">
      <c r="A9941" t="s">
        <v>384</v>
      </c>
    </row>
    <row r="9942" spans="1:1" x14ac:dyDescent="0.3">
      <c r="A9942" t="s">
        <v>385</v>
      </c>
    </row>
    <row r="9943" spans="1:1" x14ac:dyDescent="0.3">
      <c r="A9943" t="s">
        <v>118</v>
      </c>
    </row>
    <row r="9944" spans="1:1" x14ac:dyDescent="0.3">
      <c r="A9944" t="s">
        <v>119</v>
      </c>
    </row>
    <row r="9945" spans="1:1" x14ac:dyDescent="0.3">
      <c r="A9945" t="s">
        <v>268</v>
      </c>
    </row>
    <row r="9946" spans="1:1" x14ac:dyDescent="0.3">
      <c r="A9946" t="s">
        <v>269</v>
      </c>
    </row>
    <row r="9947" spans="1:1" x14ac:dyDescent="0.3">
      <c r="A9947" t="s">
        <v>386</v>
      </c>
    </row>
    <row r="9948" spans="1:1" x14ac:dyDescent="0.3">
      <c r="A9948" t="s">
        <v>387</v>
      </c>
    </row>
    <row r="9949" spans="1:1" x14ac:dyDescent="0.3">
      <c r="A9949" t="s">
        <v>271</v>
      </c>
    </row>
    <row r="9950" spans="1:1" x14ac:dyDescent="0.3">
      <c r="A9950" t="s">
        <v>125</v>
      </c>
    </row>
    <row r="9951" spans="1:1" x14ac:dyDescent="0.3">
      <c r="A9951" t="s">
        <v>126</v>
      </c>
    </row>
    <row r="9952" spans="1:1" x14ac:dyDescent="0.3">
      <c r="A9952" t="s">
        <v>127</v>
      </c>
    </row>
    <row r="9953" spans="1:11" x14ac:dyDescent="0.3">
      <c r="A9953" t="s">
        <v>146</v>
      </c>
    </row>
    <row r="9954" spans="1:11" x14ac:dyDescent="0.3">
      <c r="A9954" t="s">
        <v>401</v>
      </c>
    </row>
    <row r="9955" spans="1:11" x14ac:dyDescent="0.3">
      <c r="A9955" t="s">
        <v>72</v>
      </c>
      <c r="B9955">
        <v>1</v>
      </c>
      <c r="C9955" t="s">
        <v>73</v>
      </c>
      <c r="D9955">
        <v>3.8E-6</v>
      </c>
      <c r="E9955" t="s">
        <v>74</v>
      </c>
      <c r="F9955">
        <v>3.8E-3</v>
      </c>
      <c r="G9955" t="s">
        <v>75</v>
      </c>
      <c r="H9955">
        <v>3.8</v>
      </c>
      <c r="I9955" t="s">
        <v>76</v>
      </c>
      <c r="J9955" t="s">
        <v>77</v>
      </c>
    </row>
    <row r="9956" spans="1:11" x14ac:dyDescent="0.3">
      <c r="A9956" t="s">
        <v>72</v>
      </c>
      <c r="B9956">
        <v>1</v>
      </c>
      <c r="C9956" t="s">
        <v>78</v>
      </c>
      <c r="D9956">
        <v>0.14924081</v>
      </c>
      <c r="E9956" t="s">
        <v>74</v>
      </c>
      <c r="F9956">
        <v>149.24081000000001</v>
      </c>
      <c r="G9956" t="s">
        <v>75</v>
      </c>
      <c r="H9956">
        <v>149240.807</v>
      </c>
      <c r="I9956" t="s">
        <v>76</v>
      </c>
      <c r="J9956" t="s">
        <v>77</v>
      </c>
    </row>
    <row r="9957" spans="1:11" x14ac:dyDescent="0.3">
      <c r="A9957" t="s">
        <v>72</v>
      </c>
      <c r="B9957">
        <v>1</v>
      </c>
      <c r="C9957" t="s">
        <v>79</v>
      </c>
      <c r="D9957">
        <v>0.10729519999999999</v>
      </c>
      <c r="E9957" t="s">
        <v>74</v>
      </c>
      <c r="F9957">
        <v>107.29519999999999</v>
      </c>
      <c r="G9957" t="s">
        <v>75</v>
      </c>
      <c r="H9957">
        <v>107295.2</v>
      </c>
      <c r="I9957" t="s">
        <v>76</v>
      </c>
      <c r="J9957" t="s">
        <v>77</v>
      </c>
    </row>
    <row r="9958" spans="1:11" x14ac:dyDescent="0.3">
      <c r="A9958" t="s">
        <v>72</v>
      </c>
      <c r="B9958">
        <v>1</v>
      </c>
      <c r="C9958" t="s">
        <v>94</v>
      </c>
      <c r="D9958">
        <v>9.4979000000000001E-3</v>
      </c>
      <c r="E9958" t="s">
        <v>74</v>
      </c>
      <c r="F9958">
        <v>9.4978999999999996</v>
      </c>
      <c r="G9958" t="s">
        <v>75</v>
      </c>
      <c r="H9958">
        <v>9497.9</v>
      </c>
      <c r="I9958" t="s">
        <v>76</v>
      </c>
      <c r="J9958" t="s">
        <v>77</v>
      </c>
    </row>
    <row r="9959" spans="1:11" x14ac:dyDescent="0.3">
      <c r="A9959" t="s">
        <v>72</v>
      </c>
      <c r="B9959">
        <v>1</v>
      </c>
      <c r="C9959" t="s">
        <v>80</v>
      </c>
      <c r="D9959">
        <v>9.4985E-3</v>
      </c>
      <c r="E9959" t="s">
        <v>74</v>
      </c>
      <c r="F9959">
        <v>9.4984999999999999</v>
      </c>
      <c r="G9959" t="s">
        <v>75</v>
      </c>
      <c r="H9959">
        <v>9498.5</v>
      </c>
      <c r="I9959" t="s">
        <v>76</v>
      </c>
      <c r="J9959" t="s">
        <v>77</v>
      </c>
    </row>
    <row r="9960" spans="1:11" x14ac:dyDescent="0.3">
      <c r="A9960" t="s">
        <v>72</v>
      </c>
      <c r="B9960">
        <v>1</v>
      </c>
      <c r="C9960" t="s">
        <v>81</v>
      </c>
      <c r="D9960">
        <v>0.11679630000000001</v>
      </c>
      <c r="E9960" t="s">
        <v>74</v>
      </c>
      <c r="F9960">
        <v>116.7963</v>
      </c>
      <c r="G9960" t="s">
        <v>75</v>
      </c>
      <c r="H9960">
        <v>116796.3</v>
      </c>
      <c r="I9960" t="s">
        <v>76</v>
      </c>
      <c r="J9960" t="s">
        <v>82</v>
      </c>
      <c r="K9960">
        <v>8.5619151000000002</v>
      </c>
    </row>
    <row r="9961" spans="1:11" x14ac:dyDescent="0.3">
      <c r="A9961" t="s">
        <v>83</v>
      </c>
      <c r="B9961">
        <v>1000</v>
      </c>
      <c r="C9961" t="s">
        <v>79</v>
      </c>
      <c r="D9961">
        <v>3.3103500000000001E-3</v>
      </c>
      <c r="E9961" t="s">
        <v>74</v>
      </c>
      <c r="F9961">
        <v>3.3103500000000001</v>
      </c>
      <c r="G9961" t="s">
        <v>75</v>
      </c>
      <c r="H9961">
        <v>3310.3519999999999</v>
      </c>
      <c r="I9961" t="s">
        <v>76</v>
      </c>
      <c r="J9961" t="s">
        <v>77</v>
      </c>
    </row>
    <row r="9962" spans="1:11" x14ac:dyDescent="0.3">
      <c r="A9962" t="s">
        <v>83</v>
      </c>
      <c r="B9962">
        <v>1000</v>
      </c>
      <c r="C9962" t="s">
        <v>94</v>
      </c>
      <c r="D9962">
        <v>2.6278E-3</v>
      </c>
      <c r="E9962" t="s">
        <v>74</v>
      </c>
      <c r="F9962">
        <v>2.6278000000000001</v>
      </c>
      <c r="G9962" t="s">
        <v>75</v>
      </c>
      <c r="H9962">
        <v>2627.8020000000001</v>
      </c>
      <c r="I9962" t="s">
        <v>76</v>
      </c>
      <c r="J9962" t="s">
        <v>77</v>
      </c>
    </row>
    <row r="9963" spans="1:11" x14ac:dyDescent="0.3">
      <c r="A9963" t="s">
        <v>83</v>
      </c>
      <c r="B9963">
        <v>1000</v>
      </c>
      <c r="C9963" t="s">
        <v>80</v>
      </c>
      <c r="D9963">
        <v>2.7810600000000001E-3</v>
      </c>
      <c r="E9963" t="s">
        <v>74</v>
      </c>
      <c r="F9963">
        <v>2.7810600000000001</v>
      </c>
      <c r="G9963" t="s">
        <v>75</v>
      </c>
      <c r="H9963">
        <v>2781.0549999999998</v>
      </c>
      <c r="I9963" t="s">
        <v>76</v>
      </c>
      <c r="J9963" t="s">
        <v>77</v>
      </c>
    </row>
    <row r="9964" spans="1:11" x14ac:dyDescent="0.3">
      <c r="A9964" t="s">
        <v>83</v>
      </c>
      <c r="B9964">
        <v>1000</v>
      </c>
      <c r="C9964" t="s">
        <v>81</v>
      </c>
      <c r="D9964">
        <v>6.0922900000000002E-3</v>
      </c>
      <c r="E9964" t="s">
        <v>74</v>
      </c>
      <c r="F9964">
        <v>6.0922900000000002</v>
      </c>
      <c r="G9964" t="s">
        <v>75</v>
      </c>
      <c r="H9964">
        <v>6092.2889999999998</v>
      </c>
      <c r="I9964" t="s">
        <v>76</v>
      </c>
      <c r="J9964" t="s">
        <v>82</v>
      </c>
      <c r="K9964">
        <v>164.1419057</v>
      </c>
    </row>
    <row r="9965" spans="1:11" x14ac:dyDescent="0.3">
      <c r="A9965" t="s">
        <v>84</v>
      </c>
      <c r="B9965">
        <v>1001</v>
      </c>
      <c r="C9965" t="s">
        <v>79</v>
      </c>
      <c r="D9965">
        <v>3.4142299999999999E-3</v>
      </c>
      <c r="E9965" t="s">
        <v>74</v>
      </c>
      <c r="F9965">
        <v>3.4142299999999999</v>
      </c>
      <c r="G9965" t="s">
        <v>75</v>
      </c>
      <c r="H9965">
        <v>3414.2330000000002</v>
      </c>
      <c r="I9965" t="s">
        <v>76</v>
      </c>
      <c r="J9965" t="s">
        <v>77</v>
      </c>
    </row>
    <row r="9966" spans="1:11" x14ac:dyDescent="0.3">
      <c r="A9966" t="s">
        <v>84</v>
      </c>
      <c r="B9966">
        <v>1001</v>
      </c>
      <c r="C9966" t="s">
        <v>94</v>
      </c>
      <c r="D9966">
        <v>2.63466E-3</v>
      </c>
      <c r="E9966" t="s">
        <v>74</v>
      </c>
      <c r="F9966">
        <v>2.6346599999999998</v>
      </c>
      <c r="G9966" t="s">
        <v>75</v>
      </c>
      <c r="H9966">
        <v>2634.665</v>
      </c>
      <c r="I9966" t="s">
        <v>76</v>
      </c>
      <c r="J9966" t="s">
        <v>77</v>
      </c>
    </row>
    <row r="9967" spans="1:11" x14ac:dyDescent="0.3">
      <c r="A9967" t="s">
        <v>84</v>
      </c>
      <c r="B9967">
        <v>1001</v>
      </c>
      <c r="C9967" t="s">
        <v>80</v>
      </c>
      <c r="D9967">
        <v>2.7877700000000002E-3</v>
      </c>
      <c r="E9967" t="s">
        <v>74</v>
      </c>
      <c r="F9967">
        <v>2.7877700000000001</v>
      </c>
      <c r="G9967" t="s">
        <v>75</v>
      </c>
      <c r="H9967">
        <v>2787.7660000000001</v>
      </c>
      <c r="I9967" t="s">
        <v>76</v>
      </c>
      <c r="J9967" t="s">
        <v>77</v>
      </c>
    </row>
    <row r="9968" spans="1:11" x14ac:dyDescent="0.3">
      <c r="A9968" t="s">
        <v>84</v>
      </c>
      <c r="B9968">
        <v>1001</v>
      </c>
      <c r="C9968" t="s">
        <v>81</v>
      </c>
      <c r="D9968">
        <v>6.20288E-3</v>
      </c>
      <c r="E9968" t="s">
        <v>74</v>
      </c>
      <c r="F9968">
        <v>6.2028800000000004</v>
      </c>
      <c r="G9968" t="s">
        <v>75</v>
      </c>
      <c r="H9968">
        <v>6202.8819999999996</v>
      </c>
      <c r="I9968" t="s">
        <v>76</v>
      </c>
      <c r="J9968" t="s">
        <v>82</v>
      </c>
      <c r="K9968">
        <v>161.2153931</v>
      </c>
    </row>
    <row r="9969" spans="1:11" x14ac:dyDescent="0.3">
      <c r="A9969" t="s">
        <v>85</v>
      </c>
      <c r="B9969">
        <v>1001</v>
      </c>
      <c r="C9969" t="s">
        <v>86</v>
      </c>
      <c r="D9969">
        <v>6.2030699999999998E-3</v>
      </c>
      <c r="E9969" t="s">
        <v>74</v>
      </c>
      <c r="F9969">
        <v>6.2030700000000003</v>
      </c>
      <c r="G9969" t="s">
        <v>75</v>
      </c>
      <c r="H9969">
        <v>6203.0649999999996</v>
      </c>
      <c r="I9969" t="s">
        <v>76</v>
      </c>
      <c r="J9969" t="s">
        <v>82</v>
      </c>
      <c r="K9969">
        <v>161.21062660000001</v>
      </c>
    </row>
    <row r="9970" spans="1:11" x14ac:dyDescent="0.3">
      <c r="A9970" t="s">
        <v>148</v>
      </c>
    </row>
    <row r="9971" spans="1:11" x14ac:dyDescent="0.3">
      <c r="A9971" t="s">
        <v>402</v>
      </c>
    </row>
    <row r="9972" spans="1:11" x14ac:dyDescent="0.3">
      <c r="A9972" t="s">
        <v>72</v>
      </c>
      <c r="B9972">
        <v>1</v>
      </c>
      <c r="C9972" t="s">
        <v>73</v>
      </c>
      <c r="D9972">
        <v>3.8E-6</v>
      </c>
      <c r="E9972" t="s">
        <v>74</v>
      </c>
      <c r="F9972">
        <v>3.8E-3</v>
      </c>
      <c r="G9972" t="s">
        <v>75</v>
      </c>
      <c r="H9972">
        <v>3.8</v>
      </c>
      <c r="I9972" t="s">
        <v>76</v>
      </c>
      <c r="J9972" t="s">
        <v>77</v>
      </c>
    </row>
    <row r="9973" spans="1:11" x14ac:dyDescent="0.3">
      <c r="A9973" t="s">
        <v>72</v>
      </c>
      <c r="B9973">
        <v>1</v>
      </c>
      <c r="C9973" t="s">
        <v>78</v>
      </c>
      <c r="D9973">
        <v>4.9879999999999998E-4</v>
      </c>
      <c r="E9973" t="s">
        <v>74</v>
      </c>
      <c r="F9973">
        <v>0.49880000000000002</v>
      </c>
      <c r="G9973" t="s">
        <v>75</v>
      </c>
      <c r="H9973">
        <v>498.8</v>
      </c>
      <c r="I9973" t="s">
        <v>76</v>
      </c>
      <c r="J9973" t="s">
        <v>77</v>
      </c>
    </row>
    <row r="9974" spans="1:11" x14ac:dyDescent="0.3">
      <c r="A9974" t="s">
        <v>72</v>
      </c>
      <c r="B9974">
        <v>1</v>
      </c>
      <c r="C9974" t="s">
        <v>79</v>
      </c>
      <c r="D9974">
        <v>5.1609999999999998E-3</v>
      </c>
      <c r="E9974" t="s">
        <v>74</v>
      </c>
      <c r="F9974">
        <v>5.1609999999999996</v>
      </c>
      <c r="G9974" t="s">
        <v>75</v>
      </c>
      <c r="H9974">
        <v>5161</v>
      </c>
      <c r="I9974" t="s">
        <v>76</v>
      </c>
      <c r="J9974" t="s">
        <v>77</v>
      </c>
    </row>
    <row r="9975" spans="1:11" x14ac:dyDescent="0.3">
      <c r="A9975" t="s">
        <v>72</v>
      </c>
      <c r="B9975">
        <v>1</v>
      </c>
      <c r="C9975" t="s">
        <v>94</v>
      </c>
      <c r="D9975">
        <v>2.7372E-3</v>
      </c>
      <c r="E9975" t="s">
        <v>74</v>
      </c>
      <c r="F9975">
        <v>2.7372000000000001</v>
      </c>
      <c r="G9975" t="s">
        <v>75</v>
      </c>
      <c r="H9975">
        <v>2737.2</v>
      </c>
      <c r="I9975" t="s">
        <v>76</v>
      </c>
      <c r="J9975" t="s">
        <v>77</v>
      </c>
    </row>
    <row r="9976" spans="1:11" x14ac:dyDescent="0.3">
      <c r="A9976" t="s">
        <v>72</v>
      </c>
      <c r="B9976">
        <v>1</v>
      </c>
      <c r="C9976" t="s">
        <v>80</v>
      </c>
      <c r="D9976">
        <v>2.8658999999999998E-3</v>
      </c>
      <c r="E9976" t="s">
        <v>74</v>
      </c>
      <c r="F9976">
        <v>2.8658999999999999</v>
      </c>
      <c r="G9976" t="s">
        <v>75</v>
      </c>
      <c r="H9976">
        <v>2865.9</v>
      </c>
      <c r="I9976" t="s">
        <v>76</v>
      </c>
      <c r="J9976" t="s">
        <v>77</v>
      </c>
    </row>
    <row r="9977" spans="1:11" x14ac:dyDescent="0.3">
      <c r="A9977" t="s">
        <v>72</v>
      </c>
      <c r="B9977">
        <v>1</v>
      </c>
      <c r="C9977" t="s">
        <v>81</v>
      </c>
      <c r="D9977">
        <v>8.0281999999999992E-3</v>
      </c>
      <c r="E9977" t="s">
        <v>74</v>
      </c>
      <c r="F9977">
        <v>8.0282</v>
      </c>
      <c r="G9977" t="s">
        <v>75</v>
      </c>
      <c r="H9977">
        <v>8028.2</v>
      </c>
      <c r="I9977" t="s">
        <v>76</v>
      </c>
      <c r="J9977" t="s">
        <v>82</v>
      </c>
      <c r="K9977">
        <v>124.5609244</v>
      </c>
    </row>
    <row r="9978" spans="1:11" x14ac:dyDescent="0.3">
      <c r="A9978" t="s">
        <v>83</v>
      </c>
      <c r="B9978">
        <v>1000</v>
      </c>
      <c r="C9978" t="s">
        <v>79</v>
      </c>
      <c r="D9978">
        <v>3.8851900000000002E-3</v>
      </c>
      <c r="E9978" t="s">
        <v>74</v>
      </c>
      <c r="F9978">
        <v>3.8851900000000001</v>
      </c>
      <c r="G9978" t="s">
        <v>75</v>
      </c>
      <c r="H9978">
        <v>3885.192</v>
      </c>
      <c r="I9978" t="s">
        <v>76</v>
      </c>
      <c r="J9978" t="s">
        <v>77</v>
      </c>
    </row>
    <row r="9979" spans="1:11" x14ac:dyDescent="0.3">
      <c r="A9979" t="s">
        <v>83</v>
      </c>
      <c r="B9979">
        <v>1000</v>
      </c>
      <c r="C9979" t="s">
        <v>94</v>
      </c>
      <c r="D9979">
        <v>2.7006500000000002E-3</v>
      </c>
      <c r="E9979" t="s">
        <v>74</v>
      </c>
      <c r="F9979">
        <v>2.70065</v>
      </c>
      <c r="G9979" t="s">
        <v>75</v>
      </c>
      <c r="H9979">
        <v>2700.6480000000001</v>
      </c>
      <c r="I9979" t="s">
        <v>76</v>
      </c>
      <c r="J9979" t="s">
        <v>77</v>
      </c>
    </row>
    <row r="9980" spans="1:11" x14ac:dyDescent="0.3">
      <c r="A9980" t="s">
        <v>83</v>
      </c>
      <c r="B9980">
        <v>1000</v>
      </c>
      <c r="C9980" t="s">
        <v>80</v>
      </c>
      <c r="D9980">
        <v>2.8303199999999999E-3</v>
      </c>
      <c r="E9980" t="s">
        <v>74</v>
      </c>
      <c r="F9980">
        <v>2.8303199999999999</v>
      </c>
      <c r="G9980" t="s">
        <v>75</v>
      </c>
      <c r="H9980">
        <v>2830.317</v>
      </c>
      <c r="I9980" t="s">
        <v>76</v>
      </c>
      <c r="J9980" t="s">
        <v>77</v>
      </c>
    </row>
    <row r="9981" spans="1:11" x14ac:dyDescent="0.3">
      <c r="A9981" t="s">
        <v>83</v>
      </c>
      <c r="B9981">
        <v>1000</v>
      </c>
      <c r="C9981" t="s">
        <v>81</v>
      </c>
      <c r="D9981">
        <v>6.7166300000000003E-3</v>
      </c>
      <c r="E9981" t="s">
        <v>74</v>
      </c>
      <c r="F9981">
        <v>6.7166300000000003</v>
      </c>
      <c r="G9981" t="s">
        <v>75</v>
      </c>
      <c r="H9981">
        <v>6716.63</v>
      </c>
      <c r="I9981" t="s">
        <v>76</v>
      </c>
      <c r="J9981" t="s">
        <v>82</v>
      </c>
      <c r="K9981">
        <v>148.8841879</v>
      </c>
    </row>
    <row r="9982" spans="1:11" x14ac:dyDescent="0.3">
      <c r="A9982" t="s">
        <v>84</v>
      </c>
      <c r="B9982">
        <v>1001</v>
      </c>
      <c r="C9982" t="s">
        <v>79</v>
      </c>
      <c r="D9982">
        <v>3.8864699999999999E-3</v>
      </c>
      <c r="E9982" t="s">
        <v>74</v>
      </c>
      <c r="F9982">
        <v>3.8864700000000001</v>
      </c>
      <c r="G9982" t="s">
        <v>75</v>
      </c>
      <c r="H9982">
        <v>3886.4670000000001</v>
      </c>
      <c r="I9982" t="s">
        <v>76</v>
      </c>
      <c r="J9982" t="s">
        <v>77</v>
      </c>
    </row>
    <row r="9983" spans="1:11" x14ac:dyDescent="0.3">
      <c r="A9983" t="s">
        <v>84</v>
      </c>
      <c r="B9983">
        <v>1001</v>
      </c>
      <c r="C9983" t="s">
        <v>94</v>
      </c>
      <c r="D9983">
        <v>2.70068E-3</v>
      </c>
      <c r="E9983" t="s">
        <v>74</v>
      </c>
      <c r="F9983">
        <v>2.7006800000000002</v>
      </c>
      <c r="G9983" t="s">
        <v>75</v>
      </c>
      <c r="H9983">
        <v>2700.6840000000002</v>
      </c>
      <c r="I9983" t="s">
        <v>76</v>
      </c>
      <c r="J9983" t="s">
        <v>77</v>
      </c>
    </row>
    <row r="9984" spans="1:11" x14ac:dyDescent="0.3">
      <c r="A9984" t="s">
        <v>84</v>
      </c>
      <c r="B9984">
        <v>1001</v>
      </c>
      <c r="C9984" t="s">
        <v>80</v>
      </c>
      <c r="D9984">
        <v>2.8303500000000001E-3</v>
      </c>
      <c r="E9984" t="s">
        <v>74</v>
      </c>
      <c r="F9984">
        <v>2.8303500000000001</v>
      </c>
      <c r="G9984" t="s">
        <v>75</v>
      </c>
      <c r="H9984">
        <v>2830.3519999999999</v>
      </c>
      <c r="I9984" t="s">
        <v>76</v>
      </c>
      <c r="J9984" t="s">
        <v>77</v>
      </c>
    </row>
    <row r="9985" spans="1:11" x14ac:dyDescent="0.3">
      <c r="A9985" t="s">
        <v>84</v>
      </c>
      <c r="B9985">
        <v>1001</v>
      </c>
      <c r="C9985" t="s">
        <v>81</v>
      </c>
      <c r="D9985">
        <v>6.7179400000000004E-3</v>
      </c>
      <c r="E9985" t="s">
        <v>74</v>
      </c>
      <c r="F9985">
        <v>6.7179399999999996</v>
      </c>
      <c r="G9985" t="s">
        <v>75</v>
      </c>
      <c r="H9985">
        <v>6717.94</v>
      </c>
      <c r="I9985" t="s">
        <v>76</v>
      </c>
      <c r="J9985" t="s">
        <v>82</v>
      </c>
      <c r="K9985">
        <v>148.85515340000001</v>
      </c>
    </row>
    <row r="9986" spans="1:11" x14ac:dyDescent="0.3">
      <c r="A9986" t="s">
        <v>85</v>
      </c>
      <c r="B9986">
        <v>1001</v>
      </c>
      <c r="C9986" t="s">
        <v>86</v>
      </c>
      <c r="D9986">
        <v>6.7181699999999999E-3</v>
      </c>
      <c r="E9986" t="s">
        <v>74</v>
      </c>
      <c r="F9986">
        <v>6.7181699999999998</v>
      </c>
      <c r="G9986" t="s">
        <v>75</v>
      </c>
      <c r="H9986">
        <v>6718.1729999999998</v>
      </c>
      <c r="I9986" t="s">
        <v>76</v>
      </c>
      <c r="J9986" t="s">
        <v>82</v>
      </c>
      <c r="K9986">
        <v>148.84998160000001</v>
      </c>
    </row>
    <row r="9987" spans="1:11" x14ac:dyDescent="0.3">
      <c r="A9987" t="s">
        <v>115</v>
      </c>
    </row>
    <row r="9988" spans="1:11" x14ac:dyDescent="0.3">
      <c r="A9988" t="s">
        <v>127</v>
      </c>
    </row>
    <row r="9989" spans="1:11" x14ac:dyDescent="0.3">
      <c r="A9989" t="s">
        <v>87</v>
      </c>
    </row>
    <row r="9990" spans="1:11" x14ac:dyDescent="0.3">
      <c r="A9990" t="s">
        <v>403</v>
      </c>
    </row>
    <row r="9991" spans="1:11" x14ac:dyDescent="0.3">
      <c r="A9991" t="s">
        <v>72</v>
      </c>
      <c r="B9991">
        <v>1</v>
      </c>
      <c r="C9991" t="s">
        <v>81</v>
      </c>
      <c r="D9991">
        <v>0.11679630000000001</v>
      </c>
      <c r="E9991" t="s">
        <v>74</v>
      </c>
      <c r="F9991">
        <v>116.7963</v>
      </c>
      <c r="G9991" t="s">
        <v>75</v>
      </c>
      <c r="H9991">
        <v>116796.3</v>
      </c>
      <c r="I9991" t="s">
        <v>76</v>
      </c>
      <c r="J9991" t="s">
        <v>82</v>
      </c>
      <c r="K9991">
        <v>8.5619151000000002</v>
      </c>
    </row>
    <row r="9992" spans="1:11" x14ac:dyDescent="0.3">
      <c r="A9992" t="s">
        <v>83</v>
      </c>
      <c r="B9992">
        <v>1000</v>
      </c>
      <c r="C9992" t="s">
        <v>81</v>
      </c>
      <c r="D9992">
        <v>6.0922900000000002E-3</v>
      </c>
      <c r="E9992" t="s">
        <v>74</v>
      </c>
      <c r="F9992">
        <v>6.0922900000000002</v>
      </c>
      <c r="G9992" t="s">
        <v>75</v>
      </c>
      <c r="H9992">
        <v>6092.2889999999998</v>
      </c>
      <c r="I9992" t="s">
        <v>76</v>
      </c>
      <c r="J9992" t="s">
        <v>82</v>
      </c>
      <c r="K9992">
        <v>164.1419057</v>
      </c>
    </row>
    <row r="9993" spans="1:11" x14ac:dyDescent="0.3">
      <c r="A9993" t="s">
        <v>85</v>
      </c>
      <c r="B9993">
        <v>1001</v>
      </c>
      <c r="C9993" t="s">
        <v>86</v>
      </c>
      <c r="D9993">
        <v>6.2030699999999998E-3</v>
      </c>
      <c r="E9993" t="s">
        <v>74</v>
      </c>
      <c r="F9993">
        <v>6.2030700000000003</v>
      </c>
      <c r="G9993" t="s">
        <v>75</v>
      </c>
      <c r="H9993">
        <v>6203.0649999999996</v>
      </c>
      <c r="I9993" t="s">
        <v>76</v>
      </c>
      <c r="J9993" t="s">
        <v>82</v>
      </c>
      <c r="K9993">
        <v>161.21062660000001</v>
      </c>
    </row>
    <row r="9995" spans="1:11" x14ac:dyDescent="0.3">
      <c r="A9995" t="s">
        <v>404</v>
      </c>
    </row>
    <row r="9996" spans="1:11" x14ac:dyDescent="0.3">
      <c r="A9996" t="s">
        <v>72</v>
      </c>
      <c r="B9996">
        <v>1</v>
      </c>
      <c r="C9996" t="s">
        <v>81</v>
      </c>
      <c r="D9996">
        <v>8.0281999999999992E-3</v>
      </c>
      <c r="E9996" t="s">
        <v>74</v>
      </c>
      <c r="F9996">
        <v>8.0282</v>
      </c>
      <c r="G9996" t="s">
        <v>75</v>
      </c>
      <c r="H9996">
        <v>8028.2</v>
      </c>
      <c r="I9996" t="s">
        <v>76</v>
      </c>
      <c r="J9996" t="s">
        <v>82</v>
      </c>
      <c r="K9996">
        <v>124.5609244</v>
      </c>
    </row>
    <row r="9997" spans="1:11" x14ac:dyDescent="0.3">
      <c r="A9997" t="s">
        <v>83</v>
      </c>
      <c r="B9997">
        <v>1000</v>
      </c>
      <c r="C9997" t="s">
        <v>81</v>
      </c>
      <c r="D9997">
        <v>6.7166300000000003E-3</v>
      </c>
      <c r="E9997" t="s">
        <v>74</v>
      </c>
      <c r="F9997">
        <v>6.7166300000000003</v>
      </c>
      <c r="G9997" t="s">
        <v>75</v>
      </c>
      <c r="H9997">
        <v>6716.63</v>
      </c>
      <c r="I9997" t="s">
        <v>76</v>
      </c>
      <c r="J9997" t="s">
        <v>82</v>
      </c>
      <c r="K9997">
        <v>148.8841879</v>
      </c>
    </row>
    <row r="9998" spans="1:11" x14ac:dyDescent="0.3">
      <c r="A9998" t="s">
        <v>85</v>
      </c>
      <c r="B9998">
        <v>1001</v>
      </c>
      <c r="C9998" t="s">
        <v>86</v>
      </c>
      <c r="D9998">
        <v>6.7181699999999999E-3</v>
      </c>
      <c r="E9998" t="s">
        <v>74</v>
      </c>
      <c r="F9998">
        <v>6.7181699999999998</v>
      </c>
      <c r="G9998" t="s">
        <v>75</v>
      </c>
      <c r="H9998">
        <v>6718.1729999999998</v>
      </c>
      <c r="I9998" t="s">
        <v>76</v>
      </c>
      <c r="J9998" t="s">
        <v>82</v>
      </c>
      <c r="K9998">
        <v>148.84998160000001</v>
      </c>
    </row>
    <row r="10000" spans="1:11" x14ac:dyDescent="0.3">
      <c r="A10000" t="s">
        <v>66</v>
      </c>
    </row>
    <row r="10002" spans="1:1" x14ac:dyDescent="0.3">
      <c r="A10002" t="s">
        <v>483</v>
      </c>
    </row>
    <row r="10003" spans="1:1" x14ac:dyDescent="0.3">
      <c r="A10003" t="s">
        <v>68</v>
      </c>
    </row>
    <row r="10004" spans="1:1" x14ac:dyDescent="0.3">
      <c r="A10004" t="s">
        <v>69</v>
      </c>
    </row>
    <row r="10005" spans="1:1" x14ac:dyDescent="0.3">
      <c r="A10005" t="s">
        <v>70</v>
      </c>
    </row>
    <row r="10006" spans="1:1" x14ac:dyDescent="0.3">
      <c r="A10006" t="s">
        <v>115</v>
      </c>
    </row>
    <row r="10007" spans="1:1" x14ac:dyDescent="0.3">
      <c r="A10007" t="s">
        <v>384</v>
      </c>
    </row>
    <row r="10008" spans="1:1" x14ac:dyDescent="0.3">
      <c r="A10008" t="s">
        <v>385</v>
      </c>
    </row>
    <row r="10009" spans="1:1" x14ac:dyDescent="0.3">
      <c r="A10009" t="s">
        <v>118</v>
      </c>
    </row>
    <row r="10010" spans="1:1" x14ac:dyDescent="0.3">
      <c r="A10010" t="s">
        <v>119</v>
      </c>
    </row>
    <row r="10011" spans="1:1" x14ac:dyDescent="0.3">
      <c r="A10011" t="s">
        <v>268</v>
      </c>
    </row>
    <row r="10012" spans="1:1" x14ac:dyDescent="0.3">
      <c r="A10012" t="s">
        <v>269</v>
      </c>
    </row>
    <row r="10013" spans="1:1" x14ac:dyDescent="0.3">
      <c r="A10013" t="s">
        <v>386</v>
      </c>
    </row>
    <row r="10014" spans="1:1" x14ac:dyDescent="0.3">
      <c r="A10014" t="s">
        <v>387</v>
      </c>
    </row>
    <row r="10015" spans="1:1" x14ac:dyDescent="0.3">
      <c r="A10015" t="s">
        <v>271</v>
      </c>
    </row>
    <row r="10016" spans="1:1" x14ac:dyDescent="0.3">
      <c r="A10016" t="s">
        <v>125</v>
      </c>
    </row>
    <row r="10017" spans="1:11" x14ac:dyDescent="0.3">
      <c r="A10017" t="s">
        <v>126</v>
      </c>
    </row>
    <row r="10018" spans="1:11" x14ac:dyDescent="0.3">
      <c r="A10018" t="s">
        <v>127</v>
      </c>
    </row>
    <row r="10019" spans="1:11" x14ac:dyDescent="0.3">
      <c r="A10019" t="s">
        <v>153</v>
      </c>
    </row>
    <row r="10020" spans="1:11" x14ac:dyDescent="0.3">
      <c r="A10020" t="s">
        <v>406</v>
      </c>
    </row>
    <row r="10021" spans="1:11" x14ac:dyDescent="0.3">
      <c r="A10021" t="s">
        <v>72</v>
      </c>
      <c r="B10021">
        <v>1</v>
      </c>
      <c r="C10021" t="s">
        <v>73</v>
      </c>
      <c r="D10021">
        <v>4.6E-6</v>
      </c>
      <c r="E10021" t="s">
        <v>74</v>
      </c>
      <c r="F10021">
        <v>4.5999999999999999E-3</v>
      </c>
      <c r="G10021" t="s">
        <v>75</v>
      </c>
      <c r="H10021">
        <v>4.5999999999999996</v>
      </c>
      <c r="I10021" t="s">
        <v>76</v>
      </c>
      <c r="J10021" t="s">
        <v>77</v>
      </c>
    </row>
    <row r="10022" spans="1:11" x14ac:dyDescent="0.3">
      <c r="A10022" t="s">
        <v>72</v>
      </c>
      <c r="B10022">
        <v>1</v>
      </c>
      <c r="C10022" t="s">
        <v>78</v>
      </c>
      <c r="D10022">
        <v>0.1089861</v>
      </c>
      <c r="E10022" t="s">
        <v>74</v>
      </c>
      <c r="F10022">
        <v>108.98609999999999</v>
      </c>
      <c r="G10022" t="s">
        <v>75</v>
      </c>
      <c r="H10022">
        <v>108986.102</v>
      </c>
      <c r="I10022" t="s">
        <v>76</v>
      </c>
      <c r="J10022" t="s">
        <v>77</v>
      </c>
    </row>
    <row r="10023" spans="1:11" x14ac:dyDescent="0.3">
      <c r="A10023" t="s">
        <v>72</v>
      </c>
      <c r="B10023">
        <v>1</v>
      </c>
      <c r="C10023" t="s">
        <v>79</v>
      </c>
      <c r="D10023">
        <v>0.1693375</v>
      </c>
      <c r="E10023" t="s">
        <v>74</v>
      </c>
      <c r="F10023">
        <v>169.33750000000001</v>
      </c>
      <c r="G10023" t="s">
        <v>75</v>
      </c>
      <c r="H10023">
        <v>169337.49600000001</v>
      </c>
      <c r="I10023" t="s">
        <v>76</v>
      </c>
      <c r="J10023" t="s">
        <v>77</v>
      </c>
    </row>
    <row r="10024" spans="1:11" x14ac:dyDescent="0.3">
      <c r="A10024" t="s">
        <v>72</v>
      </c>
      <c r="B10024">
        <v>1</v>
      </c>
      <c r="C10024" t="s">
        <v>94</v>
      </c>
      <c r="D10024">
        <v>1.7981199999999999E-2</v>
      </c>
      <c r="E10024" t="s">
        <v>74</v>
      </c>
      <c r="F10024">
        <v>17.981200000000001</v>
      </c>
      <c r="G10024" t="s">
        <v>75</v>
      </c>
      <c r="H10024">
        <v>17981.2</v>
      </c>
      <c r="I10024" t="s">
        <v>76</v>
      </c>
      <c r="J10024" t="s">
        <v>77</v>
      </c>
    </row>
    <row r="10025" spans="1:11" x14ac:dyDescent="0.3">
      <c r="A10025" t="s">
        <v>72</v>
      </c>
      <c r="B10025">
        <v>1</v>
      </c>
      <c r="C10025" t="s">
        <v>80</v>
      </c>
      <c r="D10025">
        <v>1.7981799999999999E-2</v>
      </c>
      <c r="E10025" t="s">
        <v>74</v>
      </c>
      <c r="F10025">
        <v>17.9818</v>
      </c>
      <c r="G10025" t="s">
        <v>75</v>
      </c>
      <c r="H10025">
        <v>17981.798999999999</v>
      </c>
      <c r="I10025" t="s">
        <v>76</v>
      </c>
      <c r="J10025" t="s">
        <v>77</v>
      </c>
    </row>
    <row r="10026" spans="1:11" x14ac:dyDescent="0.3">
      <c r="A10026" t="s">
        <v>72</v>
      </c>
      <c r="B10026">
        <v>1</v>
      </c>
      <c r="C10026" t="s">
        <v>81</v>
      </c>
      <c r="D10026">
        <v>0.18732190000000001</v>
      </c>
      <c r="E10026" t="s">
        <v>74</v>
      </c>
      <c r="F10026">
        <v>187.3219</v>
      </c>
      <c r="G10026" t="s">
        <v>75</v>
      </c>
      <c r="H10026">
        <v>187321.90100000001</v>
      </c>
      <c r="I10026" t="s">
        <v>76</v>
      </c>
      <c r="J10026" t="s">
        <v>82</v>
      </c>
      <c r="K10026">
        <v>5.3384041</v>
      </c>
    </row>
    <row r="10027" spans="1:11" x14ac:dyDescent="0.3">
      <c r="A10027" t="s">
        <v>83</v>
      </c>
      <c r="B10027">
        <v>1000</v>
      </c>
      <c r="C10027" t="s">
        <v>79</v>
      </c>
      <c r="D10027">
        <v>4.9755999999999997E-4</v>
      </c>
      <c r="E10027" t="s">
        <v>74</v>
      </c>
      <c r="F10027">
        <v>0.49756</v>
      </c>
      <c r="G10027" t="s">
        <v>75</v>
      </c>
      <c r="H10027">
        <v>497.55700000000002</v>
      </c>
      <c r="I10027" t="s">
        <v>76</v>
      </c>
      <c r="J10027" t="s">
        <v>77</v>
      </c>
    </row>
    <row r="10028" spans="1:11" x14ac:dyDescent="0.3">
      <c r="A10028" t="s">
        <v>83</v>
      </c>
      <c r="B10028">
        <v>1000</v>
      </c>
      <c r="C10028" t="s">
        <v>94</v>
      </c>
      <c r="D10028">
        <v>1.7575190000000001E-2</v>
      </c>
      <c r="E10028" t="s">
        <v>74</v>
      </c>
      <c r="F10028">
        <v>17.575189999999999</v>
      </c>
      <c r="G10028" t="s">
        <v>75</v>
      </c>
      <c r="H10028">
        <v>17575.192999999999</v>
      </c>
      <c r="I10028" t="s">
        <v>76</v>
      </c>
      <c r="J10028" t="s">
        <v>77</v>
      </c>
    </row>
    <row r="10029" spans="1:11" x14ac:dyDescent="0.3">
      <c r="A10029" t="s">
        <v>83</v>
      </c>
      <c r="B10029">
        <v>1000</v>
      </c>
      <c r="C10029" t="s">
        <v>80</v>
      </c>
      <c r="D10029">
        <v>1.7575529999999999E-2</v>
      </c>
      <c r="E10029" t="s">
        <v>74</v>
      </c>
      <c r="F10029">
        <v>17.575530000000001</v>
      </c>
      <c r="G10029" t="s">
        <v>75</v>
      </c>
      <c r="H10029">
        <v>17575.532999999999</v>
      </c>
      <c r="I10029" t="s">
        <v>76</v>
      </c>
      <c r="J10029" t="s">
        <v>77</v>
      </c>
    </row>
    <row r="10030" spans="1:11" x14ac:dyDescent="0.3">
      <c r="A10030" t="s">
        <v>83</v>
      </c>
      <c r="B10030">
        <v>1000</v>
      </c>
      <c r="C10030" t="s">
        <v>81</v>
      </c>
      <c r="D10030">
        <v>1.807373E-2</v>
      </c>
      <c r="E10030" t="s">
        <v>74</v>
      </c>
      <c r="F10030">
        <v>18.073730000000001</v>
      </c>
      <c r="G10030" t="s">
        <v>75</v>
      </c>
      <c r="H10030">
        <v>18073.734</v>
      </c>
      <c r="I10030" t="s">
        <v>76</v>
      </c>
      <c r="J10030" t="s">
        <v>82</v>
      </c>
      <c r="K10030">
        <v>55.328909000000003</v>
      </c>
    </row>
    <row r="10031" spans="1:11" x14ac:dyDescent="0.3">
      <c r="A10031" t="s">
        <v>84</v>
      </c>
      <c r="B10031">
        <v>1001</v>
      </c>
      <c r="C10031" t="s">
        <v>79</v>
      </c>
      <c r="D10031">
        <v>6.6622999999999997E-4</v>
      </c>
      <c r="E10031" t="s">
        <v>74</v>
      </c>
      <c r="F10031">
        <v>0.66622999999999999</v>
      </c>
      <c r="G10031" t="s">
        <v>75</v>
      </c>
      <c r="H10031">
        <v>666.22799999999995</v>
      </c>
      <c r="I10031" t="s">
        <v>76</v>
      </c>
      <c r="J10031" t="s">
        <v>77</v>
      </c>
    </row>
    <row r="10032" spans="1:11" x14ac:dyDescent="0.3">
      <c r="A10032" t="s">
        <v>84</v>
      </c>
      <c r="B10032">
        <v>1001</v>
      </c>
      <c r="C10032" t="s">
        <v>94</v>
      </c>
      <c r="D10032">
        <v>1.75756E-2</v>
      </c>
      <c r="E10032" t="s">
        <v>74</v>
      </c>
      <c r="F10032">
        <v>17.575600000000001</v>
      </c>
      <c r="G10032" t="s">
        <v>75</v>
      </c>
      <c r="H10032">
        <v>17575.598000000002</v>
      </c>
      <c r="I10032" t="s">
        <v>76</v>
      </c>
      <c r="J10032" t="s">
        <v>77</v>
      </c>
    </row>
    <row r="10033" spans="1:11" x14ac:dyDescent="0.3">
      <c r="A10033" t="s">
        <v>84</v>
      </c>
      <c r="B10033">
        <v>1001</v>
      </c>
      <c r="C10033" t="s">
        <v>80</v>
      </c>
      <c r="D10033">
        <v>1.7575940000000002E-2</v>
      </c>
      <c r="E10033" t="s">
        <v>74</v>
      </c>
      <c r="F10033">
        <v>17.575939999999999</v>
      </c>
      <c r="G10033" t="s">
        <v>75</v>
      </c>
      <c r="H10033">
        <v>17575.938999999998</v>
      </c>
      <c r="I10033" t="s">
        <v>76</v>
      </c>
      <c r="J10033" t="s">
        <v>77</v>
      </c>
    </row>
    <row r="10034" spans="1:11" x14ac:dyDescent="0.3">
      <c r="A10034" t="s">
        <v>84</v>
      </c>
      <c r="B10034">
        <v>1001</v>
      </c>
      <c r="C10034" t="s">
        <v>81</v>
      </c>
      <c r="D10034">
        <v>1.8242810000000002E-2</v>
      </c>
      <c r="E10034" t="s">
        <v>74</v>
      </c>
      <c r="F10034">
        <v>18.242809999999999</v>
      </c>
      <c r="G10034" t="s">
        <v>75</v>
      </c>
      <c r="H10034">
        <v>18242.808000000001</v>
      </c>
      <c r="I10034" t="s">
        <v>76</v>
      </c>
      <c r="J10034" t="s">
        <v>82</v>
      </c>
      <c r="K10034">
        <v>54.816121500000001</v>
      </c>
    </row>
    <row r="10035" spans="1:11" x14ac:dyDescent="0.3">
      <c r="A10035" t="s">
        <v>85</v>
      </c>
      <c r="B10035">
        <v>1001</v>
      </c>
      <c r="C10035" t="s">
        <v>86</v>
      </c>
      <c r="D10035">
        <v>1.8243079999999998E-2</v>
      </c>
      <c r="E10035" t="s">
        <v>74</v>
      </c>
      <c r="F10035">
        <v>18.243079999999999</v>
      </c>
      <c r="G10035" t="s">
        <v>75</v>
      </c>
      <c r="H10035">
        <v>18243.082999999999</v>
      </c>
      <c r="I10035" t="s">
        <v>76</v>
      </c>
      <c r="J10035" t="s">
        <v>82</v>
      </c>
      <c r="K10035">
        <v>54.815297000000001</v>
      </c>
    </row>
    <row r="10036" spans="1:11" x14ac:dyDescent="0.3">
      <c r="A10036" t="s">
        <v>155</v>
      </c>
    </row>
    <row r="10037" spans="1:11" x14ac:dyDescent="0.3">
      <c r="A10037" t="s">
        <v>407</v>
      </c>
    </row>
    <row r="10038" spans="1:11" x14ac:dyDescent="0.3">
      <c r="A10038" t="s">
        <v>72</v>
      </c>
      <c r="B10038">
        <v>1</v>
      </c>
      <c r="C10038" t="s">
        <v>73</v>
      </c>
      <c r="D10038">
        <v>4.6E-6</v>
      </c>
      <c r="E10038" t="s">
        <v>74</v>
      </c>
      <c r="F10038">
        <v>4.5999999999999999E-3</v>
      </c>
      <c r="G10038" t="s">
        <v>75</v>
      </c>
      <c r="H10038">
        <v>4.5999999999999996</v>
      </c>
      <c r="I10038" t="s">
        <v>76</v>
      </c>
      <c r="J10038" t="s">
        <v>77</v>
      </c>
    </row>
    <row r="10039" spans="1:11" x14ac:dyDescent="0.3">
      <c r="A10039" t="s">
        <v>72</v>
      </c>
      <c r="B10039">
        <v>1</v>
      </c>
      <c r="C10039" t="s">
        <v>78</v>
      </c>
      <c r="D10039">
        <v>8.7527999999999998E-3</v>
      </c>
      <c r="E10039" t="s">
        <v>74</v>
      </c>
      <c r="F10039">
        <v>8.7528000000000006</v>
      </c>
      <c r="G10039" t="s">
        <v>75</v>
      </c>
      <c r="H10039">
        <v>8752.7999999999993</v>
      </c>
      <c r="I10039" t="s">
        <v>76</v>
      </c>
      <c r="J10039" t="s">
        <v>77</v>
      </c>
    </row>
    <row r="10040" spans="1:11" x14ac:dyDescent="0.3">
      <c r="A10040" t="s">
        <v>72</v>
      </c>
      <c r="B10040">
        <v>1</v>
      </c>
      <c r="C10040" t="s">
        <v>79</v>
      </c>
      <c r="D10040">
        <v>8.6740000000000005E-4</v>
      </c>
      <c r="E10040" t="s">
        <v>74</v>
      </c>
      <c r="F10040">
        <v>0.86739999999999995</v>
      </c>
      <c r="G10040" t="s">
        <v>75</v>
      </c>
      <c r="H10040">
        <v>867.4</v>
      </c>
      <c r="I10040" t="s">
        <v>76</v>
      </c>
      <c r="J10040" t="s">
        <v>77</v>
      </c>
    </row>
    <row r="10041" spans="1:11" x14ac:dyDescent="0.3">
      <c r="A10041" t="s">
        <v>72</v>
      </c>
      <c r="B10041">
        <v>1</v>
      </c>
      <c r="C10041" t="s">
        <v>94</v>
      </c>
      <c r="D10041">
        <v>3.0642699999999998E-2</v>
      </c>
      <c r="E10041" t="s">
        <v>74</v>
      </c>
      <c r="F10041">
        <v>30.642700000000001</v>
      </c>
      <c r="G10041" t="s">
        <v>75</v>
      </c>
      <c r="H10041">
        <v>30642.699000000001</v>
      </c>
      <c r="I10041" t="s">
        <v>76</v>
      </c>
      <c r="J10041" t="s">
        <v>77</v>
      </c>
    </row>
    <row r="10042" spans="1:11" x14ac:dyDescent="0.3">
      <c r="A10042" t="s">
        <v>72</v>
      </c>
      <c r="B10042">
        <v>1</v>
      </c>
      <c r="C10042" t="s">
        <v>80</v>
      </c>
      <c r="D10042">
        <v>3.0643299999999998E-2</v>
      </c>
      <c r="E10042" t="s">
        <v>74</v>
      </c>
      <c r="F10042">
        <v>30.6433</v>
      </c>
      <c r="G10042" t="s">
        <v>75</v>
      </c>
      <c r="H10042">
        <v>30643.298999999999</v>
      </c>
      <c r="I10042" t="s">
        <v>76</v>
      </c>
      <c r="J10042" t="s">
        <v>77</v>
      </c>
    </row>
    <row r="10043" spans="1:11" x14ac:dyDescent="0.3">
      <c r="A10043" t="s">
        <v>72</v>
      </c>
      <c r="B10043">
        <v>1</v>
      </c>
      <c r="C10043" t="s">
        <v>81</v>
      </c>
      <c r="D10043">
        <v>3.1512100000000001E-2</v>
      </c>
      <c r="E10043" t="s">
        <v>74</v>
      </c>
      <c r="F10043">
        <v>31.5121</v>
      </c>
      <c r="G10043" t="s">
        <v>75</v>
      </c>
      <c r="H10043">
        <v>31512.1</v>
      </c>
      <c r="I10043" t="s">
        <v>76</v>
      </c>
      <c r="J10043" t="s">
        <v>82</v>
      </c>
      <c r="K10043">
        <v>31.733841699999999</v>
      </c>
    </row>
    <row r="10044" spans="1:11" x14ac:dyDescent="0.3">
      <c r="A10044" t="s">
        <v>83</v>
      </c>
      <c r="B10044">
        <v>1000</v>
      </c>
      <c r="C10044" t="s">
        <v>79</v>
      </c>
      <c r="D10044">
        <v>5.1376000000000004E-4</v>
      </c>
      <c r="E10044" t="s">
        <v>74</v>
      </c>
      <c r="F10044">
        <v>0.51375999999999999</v>
      </c>
      <c r="G10044" t="s">
        <v>75</v>
      </c>
      <c r="H10044">
        <v>513.75599999999997</v>
      </c>
      <c r="I10044" t="s">
        <v>76</v>
      </c>
      <c r="J10044" t="s">
        <v>77</v>
      </c>
    </row>
    <row r="10045" spans="1:11" x14ac:dyDescent="0.3">
      <c r="A10045" t="s">
        <v>83</v>
      </c>
      <c r="B10045">
        <v>1000</v>
      </c>
      <c r="C10045" t="s">
        <v>94</v>
      </c>
      <c r="D10045">
        <v>2.7913299999999999E-2</v>
      </c>
      <c r="E10045" t="s">
        <v>74</v>
      </c>
      <c r="F10045">
        <v>27.9133</v>
      </c>
      <c r="G10045" t="s">
        <v>75</v>
      </c>
      <c r="H10045">
        <v>27913.3</v>
      </c>
      <c r="I10045" t="s">
        <v>76</v>
      </c>
      <c r="J10045" t="s">
        <v>77</v>
      </c>
    </row>
    <row r="10046" spans="1:11" x14ac:dyDescent="0.3">
      <c r="A10046" t="s">
        <v>83</v>
      </c>
      <c r="B10046">
        <v>1000</v>
      </c>
      <c r="C10046" t="s">
        <v>80</v>
      </c>
      <c r="D10046">
        <v>2.8049919999999999E-2</v>
      </c>
      <c r="E10046" t="s">
        <v>74</v>
      </c>
      <c r="F10046">
        <v>28.04992</v>
      </c>
      <c r="G10046" t="s">
        <v>75</v>
      </c>
      <c r="H10046">
        <v>28049.917000000001</v>
      </c>
      <c r="I10046" t="s">
        <v>76</v>
      </c>
      <c r="J10046" t="s">
        <v>77</v>
      </c>
    </row>
    <row r="10047" spans="1:11" x14ac:dyDescent="0.3">
      <c r="A10047" t="s">
        <v>83</v>
      </c>
      <c r="B10047">
        <v>1000</v>
      </c>
      <c r="C10047" t="s">
        <v>81</v>
      </c>
      <c r="D10047">
        <v>2.8564780000000001E-2</v>
      </c>
      <c r="E10047" t="s">
        <v>74</v>
      </c>
      <c r="F10047">
        <v>28.564779999999999</v>
      </c>
      <c r="G10047" t="s">
        <v>75</v>
      </c>
      <c r="H10047">
        <v>28564.775000000001</v>
      </c>
      <c r="I10047" t="s">
        <v>76</v>
      </c>
      <c r="J10047" t="s">
        <v>82</v>
      </c>
      <c r="K10047">
        <v>35.008152000000003</v>
      </c>
    </row>
    <row r="10048" spans="1:11" x14ac:dyDescent="0.3">
      <c r="A10048" t="s">
        <v>84</v>
      </c>
      <c r="B10048">
        <v>1001</v>
      </c>
      <c r="C10048" t="s">
        <v>79</v>
      </c>
      <c r="D10048">
        <v>5.1411000000000002E-4</v>
      </c>
      <c r="E10048" t="s">
        <v>74</v>
      </c>
      <c r="F10048">
        <v>0.51410999999999996</v>
      </c>
      <c r="G10048" t="s">
        <v>75</v>
      </c>
      <c r="H10048">
        <v>514.11</v>
      </c>
      <c r="I10048" t="s">
        <v>76</v>
      </c>
      <c r="J10048" t="s">
        <v>77</v>
      </c>
    </row>
    <row r="10049" spans="1:11" x14ac:dyDescent="0.3">
      <c r="A10049" t="s">
        <v>84</v>
      </c>
      <c r="B10049">
        <v>1001</v>
      </c>
      <c r="C10049" t="s">
        <v>94</v>
      </c>
      <c r="D10049">
        <v>2.7916030000000001E-2</v>
      </c>
      <c r="E10049" t="s">
        <v>74</v>
      </c>
      <c r="F10049">
        <v>27.916029999999999</v>
      </c>
      <c r="G10049" t="s">
        <v>75</v>
      </c>
      <c r="H10049">
        <v>27916.026999999998</v>
      </c>
      <c r="I10049" t="s">
        <v>76</v>
      </c>
      <c r="J10049" t="s">
        <v>77</v>
      </c>
    </row>
    <row r="10050" spans="1:11" x14ac:dyDescent="0.3">
      <c r="A10050" t="s">
        <v>84</v>
      </c>
      <c r="B10050">
        <v>1001</v>
      </c>
      <c r="C10050" t="s">
        <v>80</v>
      </c>
      <c r="D10050">
        <v>2.8052509999999999E-2</v>
      </c>
      <c r="E10050" t="s">
        <v>74</v>
      </c>
      <c r="F10050">
        <v>28.052510000000002</v>
      </c>
      <c r="G10050" t="s">
        <v>75</v>
      </c>
      <c r="H10050">
        <v>28052.508000000002</v>
      </c>
      <c r="I10050" t="s">
        <v>76</v>
      </c>
      <c r="J10050" t="s">
        <v>77</v>
      </c>
    </row>
    <row r="10051" spans="1:11" x14ac:dyDescent="0.3">
      <c r="A10051" t="s">
        <v>84</v>
      </c>
      <c r="B10051">
        <v>1001</v>
      </c>
      <c r="C10051" t="s">
        <v>81</v>
      </c>
      <c r="D10051">
        <v>2.8567720000000001E-2</v>
      </c>
      <c r="E10051" t="s">
        <v>74</v>
      </c>
      <c r="F10051">
        <v>28.567720000000001</v>
      </c>
      <c r="G10051" t="s">
        <v>75</v>
      </c>
      <c r="H10051">
        <v>28567.719000000001</v>
      </c>
      <c r="I10051" t="s">
        <v>76</v>
      </c>
      <c r="J10051" t="s">
        <v>82</v>
      </c>
      <c r="K10051">
        <v>35.004544699999997</v>
      </c>
    </row>
    <row r="10052" spans="1:11" x14ac:dyDescent="0.3">
      <c r="A10052" t="s">
        <v>85</v>
      </c>
      <c r="B10052">
        <v>1001</v>
      </c>
      <c r="C10052" t="s">
        <v>86</v>
      </c>
      <c r="D10052">
        <v>2.8568090000000001E-2</v>
      </c>
      <c r="E10052" t="s">
        <v>74</v>
      </c>
      <c r="F10052">
        <v>28.568090000000002</v>
      </c>
      <c r="G10052" t="s">
        <v>75</v>
      </c>
      <c r="H10052">
        <v>28568.094000000001</v>
      </c>
      <c r="I10052" t="s">
        <v>76</v>
      </c>
      <c r="J10052" t="s">
        <v>82</v>
      </c>
      <c r="K10052">
        <v>35.004084800000001</v>
      </c>
    </row>
    <row r="10053" spans="1:11" x14ac:dyDescent="0.3">
      <c r="A10053" t="s">
        <v>115</v>
      </c>
    </row>
    <row r="10054" spans="1:11" x14ac:dyDescent="0.3">
      <c r="A10054" t="s">
        <v>127</v>
      </c>
    </row>
    <row r="10055" spans="1:11" x14ac:dyDescent="0.3">
      <c r="A10055" t="s">
        <v>87</v>
      </c>
    </row>
    <row r="10056" spans="1:11" x14ac:dyDescent="0.3">
      <c r="A10056" t="s">
        <v>408</v>
      </c>
    </row>
    <row r="10057" spans="1:11" x14ac:dyDescent="0.3">
      <c r="A10057" t="s">
        <v>72</v>
      </c>
      <c r="B10057">
        <v>1</v>
      </c>
      <c r="C10057" t="s">
        <v>81</v>
      </c>
      <c r="D10057">
        <v>0.18732190000000001</v>
      </c>
      <c r="E10057" t="s">
        <v>74</v>
      </c>
      <c r="F10057">
        <v>187.3219</v>
      </c>
      <c r="G10057" t="s">
        <v>75</v>
      </c>
      <c r="H10057">
        <v>187321.90100000001</v>
      </c>
      <c r="I10057" t="s">
        <v>76</v>
      </c>
      <c r="J10057" t="s">
        <v>82</v>
      </c>
      <c r="K10057">
        <v>5.3384041</v>
      </c>
    </row>
    <row r="10058" spans="1:11" x14ac:dyDescent="0.3">
      <c r="A10058" t="s">
        <v>83</v>
      </c>
      <c r="B10058">
        <v>1000</v>
      </c>
      <c r="C10058" t="s">
        <v>81</v>
      </c>
      <c r="D10058">
        <v>1.807373E-2</v>
      </c>
      <c r="E10058" t="s">
        <v>74</v>
      </c>
      <c r="F10058">
        <v>18.073730000000001</v>
      </c>
      <c r="G10058" t="s">
        <v>75</v>
      </c>
      <c r="H10058">
        <v>18073.734</v>
      </c>
      <c r="I10058" t="s">
        <v>76</v>
      </c>
      <c r="J10058" t="s">
        <v>82</v>
      </c>
      <c r="K10058">
        <v>55.328909000000003</v>
      </c>
    </row>
    <row r="10059" spans="1:11" x14ac:dyDescent="0.3">
      <c r="A10059" t="s">
        <v>85</v>
      </c>
      <c r="B10059">
        <v>1001</v>
      </c>
      <c r="C10059" t="s">
        <v>86</v>
      </c>
      <c r="D10059">
        <v>1.8243079999999998E-2</v>
      </c>
      <c r="E10059" t="s">
        <v>74</v>
      </c>
      <c r="F10059">
        <v>18.243079999999999</v>
      </c>
      <c r="G10059" t="s">
        <v>75</v>
      </c>
      <c r="H10059">
        <v>18243.082999999999</v>
      </c>
      <c r="I10059" t="s">
        <v>76</v>
      </c>
      <c r="J10059" t="s">
        <v>82</v>
      </c>
      <c r="K10059">
        <v>54.815297000000001</v>
      </c>
    </row>
    <row r="10061" spans="1:11" x14ac:dyDescent="0.3">
      <c r="A10061" t="s">
        <v>409</v>
      </c>
    </row>
    <row r="10062" spans="1:11" x14ac:dyDescent="0.3">
      <c r="A10062" t="s">
        <v>72</v>
      </c>
      <c r="B10062">
        <v>1</v>
      </c>
      <c r="C10062" t="s">
        <v>81</v>
      </c>
      <c r="D10062">
        <v>3.1512100000000001E-2</v>
      </c>
      <c r="E10062" t="s">
        <v>74</v>
      </c>
      <c r="F10062">
        <v>31.5121</v>
      </c>
      <c r="G10062" t="s">
        <v>75</v>
      </c>
      <c r="H10062">
        <v>31512.1</v>
      </c>
      <c r="I10062" t="s">
        <v>76</v>
      </c>
      <c r="J10062" t="s">
        <v>82</v>
      </c>
      <c r="K10062">
        <v>31.733841699999999</v>
      </c>
    </row>
    <row r="10063" spans="1:11" x14ac:dyDescent="0.3">
      <c r="A10063" t="s">
        <v>83</v>
      </c>
      <c r="B10063">
        <v>1000</v>
      </c>
      <c r="C10063" t="s">
        <v>81</v>
      </c>
      <c r="D10063">
        <v>2.8564780000000001E-2</v>
      </c>
      <c r="E10063" t="s">
        <v>74</v>
      </c>
      <c r="F10063">
        <v>28.564779999999999</v>
      </c>
      <c r="G10063" t="s">
        <v>75</v>
      </c>
      <c r="H10063">
        <v>28564.775000000001</v>
      </c>
      <c r="I10063" t="s">
        <v>76</v>
      </c>
      <c r="J10063" t="s">
        <v>82</v>
      </c>
      <c r="K10063">
        <v>35.008152000000003</v>
      </c>
    </row>
    <row r="10064" spans="1:11" x14ac:dyDescent="0.3">
      <c r="A10064" t="s">
        <v>85</v>
      </c>
      <c r="B10064">
        <v>1001</v>
      </c>
      <c r="C10064" t="s">
        <v>86</v>
      </c>
      <c r="D10064">
        <v>2.8568090000000001E-2</v>
      </c>
      <c r="E10064" t="s">
        <v>74</v>
      </c>
      <c r="F10064">
        <v>28.568090000000002</v>
      </c>
      <c r="G10064" t="s">
        <v>75</v>
      </c>
      <c r="H10064">
        <v>28568.094000000001</v>
      </c>
      <c r="I10064" t="s">
        <v>76</v>
      </c>
      <c r="J10064" t="s">
        <v>82</v>
      </c>
      <c r="K10064">
        <v>35.004084800000001</v>
      </c>
    </row>
    <row r="10066" spans="1:1" x14ac:dyDescent="0.3">
      <c r="A10066" t="s">
        <v>66</v>
      </c>
    </row>
    <row r="10068" spans="1:1" x14ac:dyDescent="0.3">
      <c r="A10068" t="s">
        <v>484</v>
      </c>
    </row>
    <row r="10069" spans="1:1" x14ac:dyDescent="0.3">
      <c r="A10069" t="s">
        <v>68</v>
      </c>
    </row>
    <row r="10070" spans="1:1" x14ac:dyDescent="0.3">
      <c r="A10070" t="s">
        <v>69</v>
      </c>
    </row>
    <row r="10071" spans="1:1" x14ac:dyDescent="0.3">
      <c r="A10071" t="s">
        <v>70</v>
      </c>
    </row>
    <row r="10072" spans="1:1" x14ac:dyDescent="0.3">
      <c r="A10072" t="s">
        <v>115</v>
      </c>
    </row>
    <row r="10073" spans="1:1" x14ac:dyDescent="0.3">
      <c r="A10073" t="s">
        <v>384</v>
      </c>
    </row>
    <row r="10074" spans="1:1" x14ac:dyDescent="0.3">
      <c r="A10074" t="s">
        <v>385</v>
      </c>
    </row>
    <row r="10075" spans="1:1" x14ac:dyDescent="0.3">
      <c r="A10075" t="s">
        <v>118</v>
      </c>
    </row>
    <row r="10076" spans="1:1" x14ac:dyDescent="0.3">
      <c r="A10076" t="s">
        <v>119</v>
      </c>
    </row>
    <row r="10077" spans="1:1" x14ac:dyDescent="0.3">
      <c r="A10077" t="s">
        <v>268</v>
      </c>
    </row>
    <row r="10078" spans="1:1" x14ac:dyDescent="0.3">
      <c r="A10078" t="s">
        <v>269</v>
      </c>
    </row>
    <row r="10079" spans="1:1" x14ac:dyDescent="0.3">
      <c r="A10079" t="s">
        <v>386</v>
      </c>
    </row>
    <row r="10080" spans="1:1" x14ac:dyDescent="0.3">
      <c r="A10080" t="s">
        <v>387</v>
      </c>
    </row>
    <row r="10081" spans="1:11" x14ac:dyDescent="0.3">
      <c r="A10081" t="s">
        <v>271</v>
      </c>
    </row>
    <row r="10082" spans="1:11" x14ac:dyDescent="0.3">
      <c r="A10082" t="s">
        <v>125</v>
      </c>
    </row>
    <row r="10083" spans="1:11" x14ac:dyDescent="0.3">
      <c r="A10083" t="s">
        <v>126</v>
      </c>
    </row>
    <row r="10084" spans="1:11" x14ac:dyDescent="0.3">
      <c r="A10084" t="s">
        <v>127</v>
      </c>
    </row>
    <row r="10085" spans="1:11" x14ac:dyDescent="0.3">
      <c r="A10085" t="s">
        <v>160</v>
      </c>
    </row>
    <row r="10086" spans="1:11" x14ac:dyDescent="0.3">
      <c r="A10086" t="s">
        <v>411</v>
      </c>
    </row>
    <row r="10087" spans="1:11" x14ac:dyDescent="0.3">
      <c r="A10087" t="s">
        <v>72</v>
      </c>
      <c r="B10087">
        <v>1</v>
      </c>
      <c r="C10087" t="s">
        <v>73</v>
      </c>
      <c r="D10087">
        <v>3.4999999999999999E-6</v>
      </c>
      <c r="E10087" t="s">
        <v>74</v>
      </c>
      <c r="F10087">
        <v>3.5000000000000001E-3</v>
      </c>
      <c r="G10087" t="s">
        <v>75</v>
      </c>
      <c r="H10087">
        <v>3.5</v>
      </c>
      <c r="I10087" t="s">
        <v>76</v>
      </c>
      <c r="J10087" t="s">
        <v>77</v>
      </c>
    </row>
    <row r="10088" spans="1:11" x14ac:dyDescent="0.3">
      <c r="A10088" t="s">
        <v>72</v>
      </c>
      <c r="B10088">
        <v>1</v>
      </c>
      <c r="C10088" t="s">
        <v>78</v>
      </c>
      <c r="D10088">
        <v>0.1219768</v>
      </c>
      <c r="E10088" t="s">
        <v>74</v>
      </c>
      <c r="F10088">
        <v>121.9768</v>
      </c>
      <c r="G10088" t="s">
        <v>75</v>
      </c>
      <c r="H10088">
        <v>121976.8</v>
      </c>
      <c r="I10088" t="s">
        <v>76</v>
      </c>
      <c r="J10088" t="s">
        <v>77</v>
      </c>
    </row>
    <row r="10089" spans="1:11" x14ac:dyDescent="0.3">
      <c r="A10089" t="s">
        <v>72</v>
      </c>
      <c r="B10089">
        <v>1</v>
      </c>
      <c r="C10089" t="s">
        <v>79</v>
      </c>
      <c r="D10089">
        <v>0.1247104</v>
      </c>
      <c r="E10089" t="s">
        <v>74</v>
      </c>
      <c r="F10089">
        <v>124.71040000000001</v>
      </c>
      <c r="G10089" t="s">
        <v>75</v>
      </c>
      <c r="H10089">
        <v>124710.40300000001</v>
      </c>
      <c r="I10089" t="s">
        <v>76</v>
      </c>
      <c r="J10089" t="s">
        <v>77</v>
      </c>
    </row>
    <row r="10090" spans="1:11" x14ac:dyDescent="0.3">
      <c r="A10090" t="s">
        <v>72</v>
      </c>
      <c r="B10090">
        <v>1</v>
      </c>
      <c r="C10090" t="s">
        <v>94</v>
      </c>
      <c r="D10090">
        <v>0.10552110000000001</v>
      </c>
      <c r="E10090" t="s">
        <v>74</v>
      </c>
      <c r="F10090">
        <v>105.5211</v>
      </c>
      <c r="G10090" t="s">
        <v>75</v>
      </c>
      <c r="H10090">
        <v>105521.098</v>
      </c>
      <c r="I10090" t="s">
        <v>76</v>
      </c>
      <c r="J10090" t="s">
        <v>77</v>
      </c>
    </row>
    <row r="10091" spans="1:11" x14ac:dyDescent="0.3">
      <c r="A10091" t="s">
        <v>72</v>
      </c>
      <c r="B10091">
        <v>1</v>
      </c>
      <c r="C10091" t="s">
        <v>80</v>
      </c>
      <c r="D10091">
        <v>0.1055218</v>
      </c>
      <c r="E10091" t="s">
        <v>74</v>
      </c>
      <c r="F10091">
        <v>105.5218</v>
      </c>
      <c r="G10091" t="s">
        <v>75</v>
      </c>
      <c r="H10091">
        <v>105521.798</v>
      </c>
      <c r="I10091" t="s">
        <v>76</v>
      </c>
      <c r="J10091" t="s">
        <v>77</v>
      </c>
    </row>
    <row r="10092" spans="1:11" x14ac:dyDescent="0.3">
      <c r="A10092" t="s">
        <v>72</v>
      </c>
      <c r="B10092">
        <v>1</v>
      </c>
      <c r="C10092" t="s">
        <v>81</v>
      </c>
      <c r="D10092">
        <v>0.23023440000000001</v>
      </c>
      <c r="E10092" t="s">
        <v>74</v>
      </c>
      <c r="F10092">
        <v>230.23439999999999</v>
      </c>
      <c r="G10092" t="s">
        <v>75</v>
      </c>
      <c r="H10092">
        <v>230234.399</v>
      </c>
      <c r="I10092" t="s">
        <v>76</v>
      </c>
      <c r="J10092" t="s">
        <v>82</v>
      </c>
      <c r="K10092">
        <v>4.3433995999999997</v>
      </c>
    </row>
    <row r="10093" spans="1:11" x14ac:dyDescent="0.3">
      <c r="A10093" t="s">
        <v>83</v>
      </c>
      <c r="B10093">
        <v>1000</v>
      </c>
      <c r="C10093" t="s">
        <v>79</v>
      </c>
      <c r="D10093">
        <v>5.0861999999999999E-4</v>
      </c>
      <c r="E10093" t="s">
        <v>74</v>
      </c>
      <c r="F10093">
        <v>0.50861999999999996</v>
      </c>
      <c r="G10093" t="s">
        <v>75</v>
      </c>
      <c r="H10093">
        <v>508.62200000000001</v>
      </c>
      <c r="I10093" t="s">
        <v>76</v>
      </c>
      <c r="J10093" t="s">
        <v>77</v>
      </c>
    </row>
    <row r="10094" spans="1:11" x14ac:dyDescent="0.3">
      <c r="A10094" t="s">
        <v>83</v>
      </c>
      <c r="B10094">
        <v>1000</v>
      </c>
      <c r="C10094" t="s">
        <v>94</v>
      </c>
      <c r="D10094">
        <v>1.7195350000000002E-2</v>
      </c>
      <c r="E10094" t="s">
        <v>74</v>
      </c>
      <c r="F10094">
        <v>17.195350000000001</v>
      </c>
      <c r="G10094" t="s">
        <v>75</v>
      </c>
      <c r="H10094">
        <v>17195.352999999999</v>
      </c>
      <c r="I10094" t="s">
        <v>76</v>
      </c>
      <c r="J10094" t="s">
        <v>77</v>
      </c>
    </row>
    <row r="10095" spans="1:11" x14ac:dyDescent="0.3">
      <c r="A10095" t="s">
        <v>83</v>
      </c>
      <c r="B10095">
        <v>1000</v>
      </c>
      <c r="C10095" t="s">
        <v>80</v>
      </c>
      <c r="D10095">
        <v>1.7195800000000001E-2</v>
      </c>
      <c r="E10095" t="s">
        <v>74</v>
      </c>
      <c r="F10095">
        <v>17.195799999999998</v>
      </c>
      <c r="G10095" t="s">
        <v>75</v>
      </c>
      <c r="H10095">
        <v>17195.805</v>
      </c>
      <c r="I10095" t="s">
        <v>76</v>
      </c>
      <c r="J10095" t="s">
        <v>77</v>
      </c>
    </row>
    <row r="10096" spans="1:11" x14ac:dyDescent="0.3">
      <c r="A10096" t="s">
        <v>83</v>
      </c>
      <c r="B10096">
        <v>1000</v>
      </c>
      <c r="C10096" t="s">
        <v>81</v>
      </c>
      <c r="D10096">
        <v>1.770511E-2</v>
      </c>
      <c r="E10096" t="s">
        <v>74</v>
      </c>
      <c r="F10096">
        <v>17.705110000000001</v>
      </c>
      <c r="G10096" t="s">
        <v>75</v>
      </c>
      <c r="H10096">
        <v>17705.111000000001</v>
      </c>
      <c r="I10096" t="s">
        <v>76</v>
      </c>
      <c r="J10096" t="s">
        <v>82</v>
      </c>
      <c r="K10096">
        <v>56.4808673</v>
      </c>
    </row>
    <row r="10097" spans="1:11" x14ac:dyDescent="0.3">
      <c r="A10097" t="s">
        <v>84</v>
      </c>
      <c r="B10097">
        <v>1001</v>
      </c>
      <c r="C10097" t="s">
        <v>79</v>
      </c>
      <c r="D10097">
        <v>6.3270000000000004E-4</v>
      </c>
      <c r="E10097" t="s">
        <v>74</v>
      </c>
      <c r="F10097">
        <v>0.63270000000000004</v>
      </c>
      <c r="G10097" t="s">
        <v>75</v>
      </c>
      <c r="H10097">
        <v>632.70000000000005</v>
      </c>
      <c r="I10097" t="s">
        <v>76</v>
      </c>
      <c r="J10097" t="s">
        <v>77</v>
      </c>
    </row>
    <row r="10098" spans="1:11" x14ac:dyDescent="0.3">
      <c r="A10098" t="s">
        <v>84</v>
      </c>
      <c r="B10098">
        <v>1001</v>
      </c>
      <c r="C10098" t="s">
        <v>94</v>
      </c>
      <c r="D10098">
        <v>1.7283590000000001E-2</v>
      </c>
      <c r="E10098" t="s">
        <v>74</v>
      </c>
      <c r="F10098">
        <v>17.28359</v>
      </c>
      <c r="G10098" t="s">
        <v>75</v>
      </c>
      <c r="H10098">
        <v>17283.591</v>
      </c>
      <c r="I10098" t="s">
        <v>76</v>
      </c>
      <c r="J10098" t="s">
        <v>77</v>
      </c>
    </row>
    <row r="10099" spans="1:11" x14ac:dyDescent="0.3">
      <c r="A10099" t="s">
        <v>84</v>
      </c>
      <c r="B10099">
        <v>1001</v>
      </c>
      <c r="C10099" t="s">
        <v>80</v>
      </c>
      <c r="D10099">
        <v>1.7284040000000001E-2</v>
      </c>
      <c r="E10099" t="s">
        <v>74</v>
      </c>
      <c r="F10099">
        <v>17.284040000000001</v>
      </c>
      <c r="G10099" t="s">
        <v>75</v>
      </c>
      <c r="H10099">
        <v>17284.043000000001</v>
      </c>
      <c r="I10099" t="s">
        <v>76</v>
      </c>
      <c r="J10099" t="s">
        <v>77</v>
      </c>
    </row>
    <row r="10100" spans="1:11" x14ac:dyDescent="0.3">
      <c r="A10100" t="s">
        <v>84</v>
      </c>
      <c r="B10100">
        <v>1001</v>
      </c>
      <c r="C10100" t="s">
        <v>81</v>
      </c>
      <c r="D10100">
        <v>1.7917430000000002E-2</v>
      </c>
      <c r="E10100" t="s">
        <v>74</v>
      </c>
      <c r="F10100">
        <v>17.91743</v>
      </c>
      <c r="G10100" t="s">
        <v>75</v>
      </c>
      <c r="H10100">
        <v>17917.424999999999</v>
      </c>
      <c r="I10100" t="s">
        <v>76</v>
      </c>
      <c r="J10100" t="s">
        <v>82</v>
      </c>
      <c r="K10100">
        <v>55.811590099999997</v>
      </c>
    </row>
    <row r="10101" spans="1:11" x14ac:dyDescent="0.3">
      <c r="A10101" t="s">
        <v>85</v>
      </c>
      <c r="B10101">
        <v>1001</v>
      </c>
      <c r="C10101" t="s">
        <v>86</v>
      </c>
      <c r="D10101">
        <v>1.7917700000000002E-2</v>
      </c>
      <c r="E10101" t="s">
        <v>74</v>
      </c>
      <c r="F10101">
        <v>17.9177</v>
      </c>
      <c r="G10101" t="s">
        <v>75</v>
      </c>
      <c r="H10101">
        <v>17917.702000000001</v>
      </c>
      <c r="I10101" t="s">
        <v>76</v>
      </c>
      <c r="J10101" t="s">
        <v>82</v>
      </c>
      <c r="K10101">
        <v>55.810729500000001</v>
      </c>
    </row>
    <row r="10102" spans="1:11" x14ac:dyDescent="0.3">
      <c r="A10102" t="s">
        <v>162</v>
      </c>
    </row>
    <row r="10103" spans="1:11" x14ac:dyDescent="0.3">
      <c r="A10103" t="s">
        <v>412</v>
      </c>
    </row>
    <row r="10104" spans="1:11" x14ac:dyDescent="0.3">
      <c r="A10104" t="s">
        <v>72</v>
      </c>
      <c r="B10104">
        <v>1</v>
      </c>
      <c r="C10104" t="s">
        <v>73</v>
      </c>
      <c r="D10104">
        <v>3.4999999999999999E-6</v>
      </c>
      <c r="E10104" t="s">
        <v>74</v>
      </c>
      <c r="F10104">
        <v>3.5000000000000001E-3</v>
      </c>
      <c r="G10104" t="s">
        <v>75</v>
      </c>
      <c r="H10104">
        <v>3.5</v>
      </c>
      <c r="I10104" t="s">
        <v>76</v>
      </c>
      <c r="J10104" t="s">
        <v>77</v>
      </c>
    </row>
    <row r="10105" spans="1:11" x14ac:dyDescent="0.3">
      <c r="A10105" t="s">
        <v>72</v>
      </c>
      <c r="B10105">
        <v>1</v>
      </c>
      <c r="C10105" t="s">
        <v>78</v>
      </c>
      <c r="D10105">
        <v>8.8384999999999991E-3</v>
      </c>
      <c r="E10105" t="s">
        <v>74</v>
      </c>
      <c r="F10105">
        <v>8.8384999999999998</v>
      </c>
      <c r="G10105" t="s">
        <v>75</v>
      </c>
      <c r="H10105">
        <v>8838.5</v>
      </c>
      <c r="I10105" t="s">
        <v>76</v>
      </c>
      <c r="J10105" t="s">
        <v>77</v>
      </c>
    </row>
    <row r="10106" spans="1:11" x14ac:dyDescent="0.3">
      <c r="A10106" t="s">
        <v>72</v>
      </c>
      <c r="B10106">
        <v>1</v>
      </c>
      <c r="C10106" t="s">
        <v>79</v>
      </c>
      <c r="D10106">
        <v>8.7290000000000002E-4</v>
      </c>
      <c r="E10106" t="s">
        <v>74</v>
      </c>
      <c r="F10106">
        <v>0.87290000000000001</v>
      </c>
      <c r="G10106" t="s">
        <v>75</v>
      </c>
      <c r="H10106">
        <v>872.9</v>
      </c>
      <c r="I10106" t="s">
        <v>76</v>
      </c>
      <c r="J10106" t="s">
        <v>77</v>
      </c>
    </row>
    <row r="10107" spans="1:11" x14ac:dyDescent="0.3">
      <c r="A10107" t="s">
        <v>72</v>
      </c>
      <c r="B10107">
        <v>1</v>
      </c>
      <c r="C10107" t="s">
        <v>94</v>
      </c>
      <c r="D10107">
        <v>2.9349299999999998E-2</v>
      </c>
      <c r="E10107" t="s">
        <v>74</v>
      </c>
      <c r="F10107">
        <v>29.349299999999999</v>
      </c>
      <c r="G10107" t="s">
        <v>75</v>
      </c>
      <c r="H10107">
        <v>29349.298999999999</v>
      </c>
      <c r="I10107" t="s">
        <v>76</v>
      </c>
      <c r="J10107" t="s">
        <v>77</v>
      </c>
    </row>
    <row r="10108" spans="1:11" x14ac:dyDescent="0.3">
      <c r="A10108" t="s">
        <v>72</v>
      </c>
      <c r="B10108">
        <v>1</v>
      </c>
      <c r="C10108" t="s">
        <v>80</v>
      </c>
      <c r="D10108">
        <v>2.9349900000000002E-2</v>
      </c>
      <c r="E10108" t="s">
        <v>74</v>
      </c>
      <c r="F10108">
        <v>29.349900000000002</v>
      </c>
      <c r="G10108" t="s">
        <v>75</v>
      </c>
      <c r="H10108">
        <v>29349.901000000002</v>
      </c>
      <c r="I10108" t="s">
        <v>76</v>
      </c>
      <c r="J10108" t="s">
        <v>77</v>
      </c>
    </row>
    <row r="10109" spans="1:11" x14ac:dyDescent="0.3">
      <c r="A10109" t="s">
        <v>72</v>
      </c>
      <c r="B10109">
        <v>1</v>
      </c>
      <c r="C10109" t="s">
        <v>81</v>
      </c>
      <c r="D10109">
        <v>3.0224299999999999E-2</v>
      </c>
      <c r="E10109" t="s">
        <v>74</v>
      </c>
      <c r="F10109">
        <v>30.224299999999999</v>
      </c>
      <c r="G10109" t="s">
        <v>75</v>
      </c>
      <c r="H10109">
        <v>30224.300999999999</v>
      </c>
      <c r="I10109" t="s">
        <v>76</v>
      </c>
      <c r="J10109" t="s">
        <v>82</v>
      </c>
      <c r="K10109">
        <v>33.085959600000002</v>
      </c>
    </row>
    <row r="10110" spans="1:11" x14ac:dyDescent="0.3">
      <c r="A10110" t="s">
        <v>83</v>
      </c>
      <c r="B10110">
        <v>1000</v>
      </c>
      <c r="C10110" t="s">
        <v>79</v>
      </c>
      <c r="D10110">
        <v>5.1513999999999998E-4</v>
      </c>
      <c r="E10110" t="s">
        <v>74</v>
      </c>
      <c r="F10110">
        <v>0.51514000000000004</v>
      </c>
      <c r="G10110" t="s">
        <v>75</v>
      </c>
      <c r="H10110">
        <v>515.14099999999996</v>
      </c>
      <c r="I10110" t="s">
        <v>76</v>
      </c>
      <c r="J10110" t="s">
        <v>77</v>
      </c>
    </row>
    <row r="10111" spans="1:11" x14ac:dyDescent="0.3">
      <c r="A10111" t="s">
        <v>83</v>
      </c>
      <c r="B10111">
        <v>1000</v>
      </c>
      <c r="C10111" t="s">
        <v>94</v>
      </c>
      <c r="D10111">
        <v>2.6961720000000002E-2</v>
      </c>
      <c r="E10111" t="s">
        <v>74</v>
      </c>
      <c r="F10111">
        <v>26.96172</v>
      </c>
      <c r="G10111" t="s">
        <v>75</v>
      </c>
      <c r="H10111">
        <v>26961.716</v>
      </c>
      <c r="I10111" t="s">
        <v>76</v>
      </c>
      <c r="J10111" t="s">
        <v>77</v>
      </c>
    </row>
    <row r="10112" spans="1:11" x14ac:dyDescent="0.3">
      <c r="A10112" t="s">
        <v>83</v>
      </c>
      <c r="B10112">
        <v>1000</v>
      </c>
      <c r="C10112" t="s">
        <v>80</v>
      </c>
      <c r="D10112">
        <v>2.7100079999999999E-2</v>
      </c>
      <c r="E10112" t="s">
        <v>74</v>
      </c>
      <c r="F10112">
        <v>27.100079999999998</v>
      </c>
      <c r="G10112" t="s">
        <v>75</v>
      </c>
      <c r="H10112">
        <v>27100.081999999999</v>
      </c>
      <c r="I10112" t="s">
        <v>76</v>
      </c>
      <c r="J10112" t="s">
        <v>77</v>
      </c>
    </row>
    <row r="10113" spans="1:11" x14ac:dyDescent="0.3">
      <c r="A10113" t="s">
        <v>83</v>
      </c>
      <c r="B10113">
        <v>1000</v>
      </c>
      <c r="C10113" t="s">
        <v>81</v>
      </c>
      <c r="D10113">
        <v>2.761624E-2</v>
      </c>
      <c r="E10113" t="s">
        <v>74</v>
      </c>
      <c r="F10113">
        <v>27.616240000000001</v>
      </c>
      <c r="G10113" t="s">
        <v>75</v>
      </c>
      <c r="H10113">
        <v>27616.236000000001</v>
      </c>
      <c r="I10113" t="s">
        <v>76</v>
      </c>
      <c r="J10113" t="s">
        <v>82</v>
      </c>
      <c r="K10113">
        <v>36.210583100000001</v>
      </c>
    </row>
    <row r="10114" spans="1:11" x14ac:dyDescent="0.3">
      <c r="A10114" t="s">
        <v>84</v>
      </c>
      <c r="B10114">
        <v>1001</v>
      </c>
      <c r="C10114" t="s">
        <v>79</v>
      </c>
      <c r="D10114">
        <v>5.1550000000000001E-4</v>
      </c>
      <c r="E10114" t="s">
        <v>74</v>
      </c>
      <c r="F10114">
        <v>0.51549999999999996</v>
      </c>
      <c r="G10114" t="s">
        <v>75</v>
      </c>
      <c r="H10114">
        <v>515.49800000000005</v>
      </c>
      <c r="I10114" t="s">
        <v>76</v>
      </c>
      <c r="J10114" t="s">
        <v>77</v>
      </c>
    </row>
    <row r="10115" spans="1:11" x14ac:dyDescent="0.3">
      <c r="A10115" t="s">
        <v>84</v>
      </c>
      <c r="B10115">
        <v>1001</v>
      </c>
      <c r="C10115" t="s">
        <v>94</v>
      </c>
      <c r="D10115">
        <v>2.6964100000000001E-2</v>
      </c>
      <c r="E10115" t="s">
        <v>74</v>
      </c>
      <c r="F10115">
        <v>26.964099999999998</v>
      </c>
      <c r="G10115" t="s">
        <v>75</v>
      </c>
      <c r="H10115">
        <v>26964.101999999999</v>
      </c>
      <c r="I10115" t="s">
        <v>76</v>
      </c>
      <c r="J10115" t="s">
        <v>77</v>
      </c>
    </row>
    <row r="10116" spans="1:11" x14ac:dyDescent="0.3">
      <c r="A10116" t="s">
        <v>84</v>
      </c>
      <c r="B10116">
        <v>1001</v>
      </c>
      <c r="C10116" t="s">
        <v>80</v>
      </c>
      <c r="D10116">
        <v>2.7102330000000001E-2</v>
      </c>
      <c r="E10116" t="s">
        <v>74</v>
      </c>
      <c r="F10116">
        <v>27.102329999999998</v>
      </c>
      <c r="G10116" t="s">
        <v>75</v>
      </c>
      <c r="H10116">
        <v>27102.33</v>
      </c>
      <c r="I10116" t="s">
        <v>76</v>
      </c>
      <c r="J10116" t="s">
        <v>77</v>
      </c>
    </row>
    <row r="10117" spans="1:11" x14ac:dyDescent="0.3">
      <c r="A10117" t="s">
        <v>84</v>
      </c>
      <c r="B10117">
        <v>1001</v>
      </c>
      <c r="C10117" t="s">
        <v>81</v>
      </c>
      <c r="D10117">
        <v>2.7618839999999999E-2</v>
      </c>
      <c r="E10117" t="s">
        <v>74</v>
      </c>
      <c r="F10117">
        <v>27.618839999999999</v>
      </c>
      <c r="G10117" t="s">
        <v>75</v>
      </c>
      <c r="H10117">
        <v>27618.841</v>
      </c>
      <c r="I10117" t="s">
        <v>76</v>
      </c>
      <c r="J10117" t="s">
        <v>82</v>
      </c>
      <c r="K10117">
        <v>36.207167800000001</v>
      </c>
    </row>
    <row r="10118" spans="1:11" x14ac:dyDescent="0.3">
      <c r="A10118" t="s">
        <v>85</v>
      </c>
      <c r="B10118">
        <v>1001</v>
      </c>
      <c r="C10118" t="s">
        <v>86</v>
      </c>
      <c r="D10118">
        <v>2.761918E-2</v>
      </c>
      <c r="E10118" t="s">
        <v>74</v>
      </c>
      <c r="F10118">
        <v>27.61918</v>
      </c>
      <c r="G10118" t="s">
        <v>75</v>
      </c>
      <c r="H10118">
        <v>27619.178</v>
      </c>
      <c r="I10118" t="s">
        <v>76</v>
      </c>
      <c r="J10118" t="s">
        <v>82</v>
      </c>
      <c r="K10118">
        <v>36.206725599999999</v>
      </c>
    </row>
    <row r="10119" spans="1:11" x14ac:dyDescent="0.3">
      <c r="A10119" t="s">
        <v>115</v>
      </c>
    </row>
    <row r="10120" spans="1:11" x14ac:dyDescent="0.3">
      <c r="A10120" t="s">
        <v>127</v>
      </c>
    </row>
    <row r="10121" spans="1:11" x14ac:dyDescent="0.3">
      <c r="A10121" t="s">
        <v>87</v>
      </c>
    </row>
    <row r="10122" spans="1:11" x14ac:dyDescent="0.3">
      <c r="A10122" t="s">
        <v>413</v>
      </c>
    </row>
    <row r="10123" spans="1:11" x14ac:dyDescent="0.3">
      <c r="A10123" t="s">
        <v>72</v>
      </c>
      <c r="B10123">
        <v>1</v>
      </c>
      <c r="C10123" t="s">
        <v>81</v>
      </c>
      <c r="D10123">
        <v>0.23023440000000001</v>
      </c>
      <c r="E10123" t="s">
        <v>74</v>
      </c>
      <c r="F10123">
        <v>230.23439999999999</v>
      </c>
      <c r="G10123" t="s">
        <v>75</v>
      </c>
      <c r="H10123">
        <v>230234.399</v>
      </c>
      <c r="I10123" t="s">
        <v>76</v>
      </c>
      <c r="J10123" t="s">
        <v>82</v>
      </c>
      <c r="K10123">
        <v>4.3433995999999997</v>
      </c>
    </row>
    <row r="10124" spans="1:11" x14ac:dyDescent="0.3">
      <c r="A10124" t="s">
        <v>83</v>
      </c>
      <c r="B10124">
        <v>1000</v>
      </c>
      <c r="C10124" t="s">
        <v>81</v>
      </c>
      <c r="D10124">
        <v>1.770511E-2</v>
      </c>
      <c r="E10124" t="s">
        <v>74</v>
      </c>
      <c r="F10124">
        <v>17.705110000000001</v>
      </c>
      <c r="G10124" t="s">
        <v>75</v>
      </c>
      <c r="H10124">
        <v>17705.111000000001</v>
      </c>
      <c r="I10124" t="s">
        <v>76</v>
      </c>
      <c r="J10124" t="s">
        <v>82</v>
      </c>
      <c r="K10124">
        <v>56.4808673</v>
      </c>
    </row>
    <row r="10125" spans="1:11" x14ac:dyDescent="0.3">
      <c r="A10125" t="s">
        <v>85</v>
      </c>
      <c r="B10125">
        <v>1001</v>
      </c>
      <c r="C10125" t="s">
        <v>86</v>
      </c>
      <c r="D10125">
        <v>1.7917700000000002E-2</v>
      </c>
      <c r="E10125" t="s">
        <v>74</v>
      </c>
      <c r="F10125">
        <v>17.9177</v>
      </c>
      <c r="G10125" t="s">
        <v>75</v>
      </c>
      <c r="H10125">
        <v>17917.702000000001</v>
      </c>
      <c r="I10125" t="s">
        <v>76</v>
      </c>
      <c r="J10125" t="s">
        <v>82</v>
      </c>
      <c r="K10125">
        <v>55.810729500000001</v>
      </c>
    </row>
    <row r="10127" spans="1:11" x14ac:dyDescent="0.3">
      <c r="A10127" t="s">
        <v>414</v>
      </c>
    </row>
    <row r="10128" spans="1:11" x14ac:dyDescent="0.3">
      <c r="A10128" t="s">
        <v>72</v>
      </c>
      <c r="B10128">
        <v>1</v>
      </c>
      <c r="C10128" t="s">
        <v>81</v>
      </c>
      <c r="D10128">
        <v>3.0224299999999999E-2</v>
      </c>
      <c r="E10128" t="s">
        <v>74</v>
      </c>
      <c r="F10128">
        <v>30.224299999999999</v>
      </c>
      <c r="G10128" t="s">
        <v>75</v>
      </c>
      <c r="H10128">
        <v>30224.300999999999</v>
      </c>
      <c r="I10128" t="s">
        <v>76</v>
      </c>
      <c r="J10128" t="s">
        <v>82</v>
      </c>
      <c r="K10128">
        <v>33.085959600000002</v>
      </c>
    </row>
    <row r="10129" spans="1:11" x14ac:dyDescent="0.3">
      <c r="A10129" t="s">
        <v>83</v>
      </c>
      <c r="B10129">
        <v>1000</v>
      </c>
      <c r="C10129" t="s">
        <v>81</v>
      </c>
      <c r="D10129">
        <v>2.761624E-2</v>
      </c>
      <c r="E10129" t="s">
        <v>74</v>
      </c>
      <c r="F10129">
        <v>27.616240000000001</v>
      </c>
      <c r="G10129" t="s">
        <v>75</v>
      </c>
      <c r="H10129">
        <v>27616.236000000001</v>
      </c>
      <c r="I10129" t="s">
        <v>76</v>
      </c>
      <c r="J10129" t="s">
        <v>82</v>
      </c>
      <c r="K10129">
        <v>36.210583100000001</v>
      </c>
    </row>
    <row r="10130" spans="1:11" x14ac:dyDescent="0.3">
      <c r="A10130" t="s">
        <v>85</v>
      </c>
      <c r="B10130">
        <v>1001</v>
      </c>
      <c r="C10130" t="s">
        <v>86</v>
      </c>
      <c r="D10130">
        <v>2.761918E-2</v>
      </c>
      <c r="E10130" t="s">
        <v>74</v>
      </c>
      <c r="F10130">
        <v>27.61918</v>
      </c>
      <c r="G10130" t="s">
        <v>75</v>
      </c>
      <c r="H10130">
        <v>27619.178</v>
      </c>
      <c r="I10130" t="s">
        <v>76</v>
      </c>
      <c r="J10130" t="s">
        <v>82</v>
      </c>
      <c r="K10130">
        <v>36.206725599999999</v>
      </c>
    </row>
    <row r="10132" spans="1:11" x14ac:dyDescent="0.3">
      <c r="A10132" t="s">
        <v>66</v>
      </c>
    </row>
    <row r="10134" spans="1:11" x14ac:dyDescent="0.3">
      <c r="A10134" t="s">
        <v>485</v>
      </c>
    </row>
    <row r="10135" spans="1:11" x14ac:dyDescent="0.3">
      <c r="A10135" t="s">
        <v>68</v>
      </c>
    </row>
    <row r="10136" spans="1:11" x14ac:dyDescent="0.3">
      <c r="A10136" t="s">
        <v>69</v>
      </c>
    </row>
    <row r="10137" spans="1:11" x14ac:dyDescent="0.3">
      <c r="A10137" t="s">
        <v>70</v>
      </c>
    </row>
    <row r="10138" spans="1:11" x14ac:dyDescent="0.3">
      <c r="A10138" t="s">
        <v>115</v>
      </c>
    </row>
    <row r="10139" spans="1:11" x14ac:dyDescent="0.3">
      <c r="A10139" t="s">
        <v>384</v>
      </c>
    </row>
    <row r="10140" spans="1:11" x14ac:dyDescent="0.3">
      <c r="A10140" t="s">
        <v>385</v>
      </c>
    </row>
    <row r="10141" spans="1:11" x14ac:dyDescent="0.3">
      <c r="A10141" t="s">
        <v>118</v>
      </c>
    </row>
    <row r="10142" spans="1:11" x14ac:dyDescent="0.3">
      <c r="A10142" t="s">
        <v>119</v>
      </c>
    </row>
    <row r="10143" spans="1:11" x14ac:dyDescent="0.3">
      <c r="A10143" t="s">
        <v>268</v>
      </c>
    </row>
    <row r="10144" spans="1:11" x14ac:dyDescent="0.3">
      <c r="A10144" t="s">
        <v>269</v>
      </c>
    </row>
    <row r="10145" spans="1:11" x14ac:dyDescent="0.3">
      <c r="A10145" t="s">
        <v>386</v>
      </c>
    </row>
    <row r="10146" spans="1:11" x14ac:dyDescent="0.3">
      <c r="A10146" t="s">
        <v>387</v>
      </c>
    </row>
    <row r="10147" spans="1:11" x14ac:dyDescent="0.3">
      <c r="A10147" t="s">
        <v>271</v>
      </c>
    </row>
    <row r="10148" spans="1:11" x14ac:dyDescent="0.3">
      <c r="A10148" t="s">
        <v>125</v>
      </c>
    </row>
    <row r="10149" spans="1:11" x14ac:dyDescent="0.3">
      <c r="A10149" t="s">
        <v>126</v>
      </c>
    </row>
    <row r="10150" spans="1:11" x14ac:dyDescent="0.3">
      <c r="A10150" t="s">
        <v>127</v>
      </c>
    </row>
    <row r="10151" spans="1:11" x14ac:dyDescent="0.3">
      <c r="A10151" t="s">
        <v>167</v>
      </c>
    </row>
    <row r="10152" spans="1:11" x14ac:dyDescent="0.3">
      <c r="A10152" t="s">
        <v>416</v>
      </c>
    </row>
    <row r="10153" spans="1:11" x14ac:dyDescent="0.3">
      <c r="A10153" t="s">
        <v>72</v>
      </c>
      <c r="B10153">
        <v>1</v>
      </c>
      <c r="C10153" t="s">
        <v>73</v>
      </c>
      <c r="D10153">
        <v>3.8E-6</v>
      </c>
      <c r="E10153" t="s">
        <v>74</v>
      </c>
      <c r="F10153">
        <v>3.8E-3</v>
      </c>
      <c r="G10153" t="s">
        <v>75</v>
      </c>
      <c r="H10153">
        <v>3.8</v>
      </c>
      <c r="I10153" t="s">
        <v>76</v>
      </c>
      <c r="J10153" t="s">
        <v>77</v>
      </c>
    </row>
    <row r="10154" spans="1:11" x14ac:dyDescent="0.3">
      <c r="A10154" t="s">
        <v>72</v>
      </c>
      <c r="B10154">
        <v>1</v>
      </c>
      <c r="C10154" t="s">
        <v>78</v>
      </c>
      <c r="D10154">
        <v>0.1527994</v>
      </c>
      <c r="E10154" t="s">
        <v>74</v>
      </c>
      <c r="F10154">
        <v>152.79939999999999</v>
      </c>
      <c r="G10154" t="s">
        <v>75</v>
      </c>
      <c r="H10154">
        <v>152799.39799999999</v>
      </c>
      <c r="I10154" t="s">
        <v>76</v>
      </c>
      <c r="J10154" t="s">
        <v>77</v>
      </c>
    </row>
    <row r="10155" spans="1:11" x14ac:dyDescent="0.3">
      <c r="A10155" t="s">
        <v>72</v>
      </c>
      <c r="B10155">
        <v>1</v>
      </c>
      <c r="C10155" t="s">
        <v>79</v>
      </c>
      <c r="D10155">
        <v>0.12532090000000001</v>
      </c>
      <c r="E10155" t="s">
        <v>74</v>
      </c>
      <c r="F10155">
        <v>125.32089999999999</v>
      </c>
      <c r="G10155" t="s">
        <v>75</v>
      </c>
      <c r="H10155">
        <v>125320.897</v>
      </c>
      <c r="I10155" t="s">
        <v>76</v>
      </c>
      <c r="J10155" t="s">
        <v>77</v>
      </c>
    </row>
    <row r="10156" spans="1:11" x14ac:dyDescent="0.3">
      <c r="A10156" t="s">
        <v>72</v>
      </c>
      <c r="B10156">
        <v>1</v>
      </c>
      <c r="C10156" t="s">
        <v>94</v>
      </c>
      <c r="D10156">
        <v>0.10636760000000001</v>
      </c>
      <c r="E10156" t="s">
        <v>74</v>
      </c>
      <c r="F10156">
        <v>106.3676</v>
      </c>
      <c r="G10156" t="s">
        <v>75</v>
      </c>
      <c r="H10156">
        <v>106367.603</v>
      </c>
      <c r="I10156" t="s">
        <v>76</v>
      </c>
      <c r="J10156" t="s">
        <v>77</v>
      </c>
    </row>
    <row r="10157" spans="1:11" x14ac:dyDescent="0.3">
      <c r="A10157" t="s">
        <v>72</v>
      </c>
      <c r="B10157">
        <v>1</v>
      </c>
      <c r="C10157" t="s">
        <v>80</v>
      </c>
      <c r="D10157">
        <v>0.1063683</v>
      </c>
      <c r="E10157" t="s">
        <v>74</v>
      </c>
      <c r="F10157">
        <v>106.3683</v>
      </c>
      <c r="G10157" t="s">
        <v>75</v>
      </c>
      <c r="H10157">
        <v>106368.303</v>
      </c>
      <c r="I10157" t="s">
        <v>76</v>
      </c>
      <c r="J10157" t="s">
        <v>77</v>
      </c>
    </row>
    <row r="10158" spans="1:11" x14ac:dyDescent="0.3">
      <c r="A10158" t="s">
        <v>72</v>
      </c>
      <c r="B10158">
        <v>1</v>
      </c>
      <c r="C10158" t="s">
        <v>81</v>
      </c>
      <c r="D10158">
        <v>0.23169200000000001</v>
      </c>
      <c r="E10158" t="s">
        <v>74</v>
      </c>
      <c r="F10158">
        <v>231.69200000000001</v>
      </c>
      <c r="G10158" t="s">
        <v>75</v>
      </c>
      <c r="H10158">
        <v>231692.00099999999</v>
      </c>
      <c r="I10158" t="s">
        <v>76</v>
      </c>
      <c r="J10158" t="s">
        <v>82</v>
      </c>
      <c r="K10158">
        <v>4.3160748</v>
      </c>
    </row>
    <row r="10159" spans="1:11" x14ac:dyDescent="0.3">
      <c r="A10159" t="s">
        <v>83</v>
      </c>
      <c r="B10159">
        <v>1000</v>
      </c>
      <c r="C10159" t="s">
        <v>79</v>
      </c>
      <c r="D10159">
        <v>4.9797000000000003E-4</v>
      </c>
      <c r="E10159" t="s">
        <v>74</v>
      </c>
      <c r="F10159">
        <v>0.49797000000000002</v>
      </c>
      <c r="G10159" t="s">
        <v>75</v>
      </c>
      <c r="H10159">
        <v>497.96800000000002</v>
      </c>
      <c r="I10159" t="s">
        <v>76</v>
      </c>
      <c r="J10159" t="s">
        <v>77</v>
      </c>
    </row>
    <row r="10160" spans="1:11" x14ac:dyDescent="0.3">
      <c r="A10160" t="s">
        <v>83</v>
      </c>
      <c r="B10160">
        <v>1000</v>
      </c>
      <c r="C10160" t="s">
        <v>94</v>
      </c>
      <c r="D10160">
        <v>1.720526E-2</v>
      </c>
      <c r="E10160" t="s">
        <v>74</v>
      </c>
      <c r="F10160">
        <v>17.205259999999999</v>
      </c>
      <c r="G10160" t="s">
        <v>75</v>
      </c>
      <c r="H10160">
        <v>17205.258999999998</v>
      </c>
      <c r="I10160" t="s">
        <v>76</v>
      </c>
      <c r="J10160" t="s">
        <v>77</v>
      </c>
    </row>
    <row r="10161" spans="1:11" x14ac:dyDescent="0.3">
      <c r="A10161" t="s">
        <v>83</v>
      </c>
      <c r="B10161">
        <v>1000</v>
      </c>
      <c r="C10161" t="s">
        <v>80</v>
      </c>
      <c r="D10161">
        <v>1.7205689999999999E-2</v>
      </c>
      <c r="E10161" t="s">
        <v>74</v>
      </c>
      <c r="F10161">
        <v>17.205690000000001</v>
      </c>
      <c r="G10161" t="s">
        <v>75</v>
      </c>
      <c r="H10161">
        <v>17205.691999999999</v>
      </c>
      <c r="I10161" t="s">
        <v>76</v>
      </c>
      <c r="J10161" t="s">
        <v>77</v>
      </c>
    </row>
    <row r="10162" spans="1:11" x14ac:dyDescent="0.3">
      <c r="A10162" t="s">
        <v>83</v>
      </c>
      <c r="B10162">
        <v>1000</v>
      </c>
      <c r="C10162" t="s">
        <v>81</v>
      </c>
      <c r="D10162">
        <v>1.7704299999999999E-2</v>
      </c>
      <c r="E10162" t="s">
        <v>74</v>
      </c>
      <c r="F10162">
        <v>17.7043</v>
      </c>
      <c r="G10162" t="s">
        <v>75</v>
      </c>
      <c r="H10162">
        <v>17704.304</v>
      </c>
      <c r="I10162" t="s">
        <v>76</v>
      </c>
      <c r="J10162" t="s">
        <v>82</v>
      </c>
      <c r="K10162">
        <v>56.483441200000001</v>
      </c>
    </row>
    <row r="10163" spans="1:11" x14ac:dyDescent="0.3">
      <c r="A10163" t="s">
        <v>84</v>
      </c>
      <c r="B10163">
        <v>1001</v>
      </c>
      <c r="C10163" t="s">
        <v>79</v>
      </c>
      <c r="D10163">
        <v>6.2266999999999997E-4</v>
      </c>
      <c r="E10163" t="s">
        <v>74</v>
      </c>
      <c r="F10163">
        <v>0.62266999999999995</v>
      </c>
      <c r="G10163" t="s">
        <v>75</v>
      </c>
      <c r="H10163">
        <v>622.66600000000005</v>
      </c>
      <c r="I10163" t="s">
        <v>76</v>
      </c>
      <c r="J10163" t="s">
        <v>77</v>
      </c>
    </row>
    <row r="10164" spans="1:11" x14ac:dyDescent="0.3">
      <c r="A10164" t="s">
        <v>84</v>
      </c>
      <c r="B10164">
        <v>1001</v>
      </c>
      <c r="C10164" t="s">
        <v>94</v>
      </c>
      <c r="D10164">
        <v>1.729433E-2</v>
      </c>
      <c r="E10164" t="s">
        <v>74</v>
      </c>
      <c r="F10164">
        <v>17.294329999999999</v>
      </c>
      <c r="G10164" t="s">
        <v>75</v>
      </c>
      <c r="H10164">
        <v>17294.331999999999</v>
      </c>
      <c r="I10164" t="s">
        <v>76</v>
      </c>
      <c r="J10164" t="s">
        <v>77</v>
      </c>
    </row>
    <row r="10165" spans="1:11" x14ac:dyDescent="0.3">
      <c r="A10165" t="s">
        <v>84</v>
      </c>
      <c r="B10165">
        <v>1001</v>
      </c>
      <c r="C10165" t="s">
        <v>80</v>
      </c>
      <c r="D10165">
        <v>1.7294759999999999E-2</v>
      </c>
      <c r="E10165" t="s">
        <v>74</v>
      </c>
      <c r="F10165">
        <v>17.29476</v>
      </c>
      <c r="G10165" t="s">
        <v>75</v>
      </c>
      <c r="H10165">
        <v>17294.764999999999</v>
      </c>
      <c r="I10165" t="s">
        <v>76</v>
      </c>
      <c r="J10165" t="s">
        <v>77</v>
      </c>
    </row>
    <row r="10166" spans="1:11" x14ac:dyDescent="0.3">
      <c r="A10166" t="s">
        <v>84</v>
      </c>
      <c r="B10166">
        <v>1001</v>
      </c>
      <c r="C10166" t="s">
        <v>81</v>
      </c>
      <c r="D10166">
        <v>1.7918079999999999E-2</v>
      </c>
      <c r="E10166" t="s">
        <v>74</v>
      </c>
      <c r="F10166">
        <v>17.91808</v>
      </c>
      <c r="G10166" t="s">
        <v>75</v>
      </c>
      <c r="H10166">
        <v>17918.080999999998</v>
      </c>
      <c r="I10166" t="s">
        <v>76</v>
      </c>
      <c r="J10166" t="s">
        <v>82</v>
      </c>
      <c r="K10166">
        <v>55.809548399999997</v>
      </c>
    </row>
    <row r="10167" spans="1:11" x14ac:dyDescent="0.3">
      <c r="A10167" t="s">
        <v>85</v>
      </c>
      <c r="B10167">
        <v>1001</v>
      </c>
      <c r="C10167" t="s">
        <v>86</v>
      </c>
      <c r="D10167">
        <v>1.7918440000000001E-2</v>
      </c>
      <c r="E10167" t="s">
        <v>74</v>
      </c>
      <c r="F10167">
        <v>17.91844</v>
      </c>
      <c r="G10167" t="s">
        <v>75</v>
      </c>
      <c r="H10167">
        <v>17918.435000000001</v>
      </c>
      <c r="I10167" t="s">
        <v>76</v>
      </c>
      <c r="J10167" t="s">
        <v>82</v>
      </c>
      <c r="K10167">
        <v>55.808444600000001</v>
      </c>
    </row>
    <row r="10168" spans="1:11" x14ac:dyDescent="0.3">
      <c r="A10168" t="s">
        <v>169</v>
      </c>
    </row>
    <row r="10169" spans="1:11" x14ac:dyDescent="0.3">
      <c r="A10169" t="s">
        <v>417</v>
      </c>
    </row>
    <row r="10170" spans="1:11" x14ac:dyDescent="0.3">
      <c r="A10170" t="s">
        <v>72</v>
      </c>
      <c r="B10170">
        <v>1</v>
      </c>
      <c r="C10170" t="s">
        <v>73</v>
      </c>
      <c r="D10170">
        <v>3.8E-6</v>
      </c>
      <c r="E10170" t="s">
        <v>74</v>
      </c>
      <c r="F10170">
        <v>3.8E-3</v>
      </c>
      <c r="G10170" t="s">
        <v>75</v>
      </c>
      <c r="H10170">
        <v>3.8</v>
      </c>
      <c r="I10170" t="s">
        <v>76</v>
      </c>
      <c r="J10170" t="s">
        <v>77</v>
      </c>
    </row>
    <row r="10171" spans="1:11" x14ac:dyDescent="0.3">
      <c r="A10171" t="s">
        <v>72</v>
      </c>
      <c r="B10171">
        <v>1</v>
      </c>
      <c r="C10171" t="s">
        <v>78</v>
      </c>
      <c r="D10171">
        <v>8.6960000000000006E-3</v>
      </c>
      <c r="E10171" t="s">
        <v>74</v>
      </c>
      <c r="F10171">
        <v>8.6959999999999997</v>
      </c>
      <c r="G10171" t="s">
        <v>75</v>
      </c>
      <c r="H10171">
        <v>8696</v>
      </c>
      <c r="I10171" t="s">
        <v>76</v>
      </c>
      <c r="J10171" t="s">
        <v>77</v>
      </c>
    </row>
    <row r="10172" spans="1:11" x14ac:dyDescent="0.3">
      <c r="A10172" t="s">
        <v>72</v>
      </c>
      <c r="B10172">
        <v>1</v>
      </c>
      <c r="C10172" t="s">
        <v>79</v>
      </c>
      <c r="D10172">
        <v>8.6790000000000001E-4</v>
      </c>
      <c r="E10172" t="s">
        <v>74</v>
      </c>
      <c r="F10172">
        <v>0.8679</v>
      </c>
      <c r="G10172" t="s">
        <v>75</v>
      </c>
      <c r="H10172">
        <v>867.9</v>
      </c>
      <c r="I10172" t="s">
        <v>76</v>
      </c>
      <c r="J10172" t="s">
        <v>77</v>
      </c>
    </row>
    <row r="10173" spans="1:11" x14ac:dyDescent="0.3">
      <c r="A10173" t="s">
        <v>72</v>
      </c>
      <c r="B10173">
        <v>1</v>
      </c>
      <c r="C10173" t="s">
        <v>94</v>
      </c>
      <c r="D10173">
        <v>2.9081800000000001E-2</v>
      </c>
      <c r="E10173" t="s">
        <v>74</v>
      </c>
      <c r="F10173">
        <v>29.081800000000001</v>
      </c>
      <c r="G10173" t="s">
        <v>75</v>
      </c>
      <c r="H10173">
        <v>29081.798999999999</v>
      </c>
      <c r="I10173" t="s">
        <v>76</v>
      </c>
      <c r="J10173" t="s">
        <v>77</v>
      </c>
    </row>
    <row r="10174" spans="1:11" x14ac:dyDescent="0.3">
      <c r="A10174" t="s">
        <v>72</v>
      </c>
      <c r="B10174">
        <v>1</v>
      </c>
      <c r="C10174" t="s">
        <v>80</v>
      </c>
      <c r="D10174">
        <v>2.9082500000000001E-2</v>
      </c>
      <c r="E10174" t="s">
        <v>74</v>
      </c>
      <c r="F10174">
        <v>29.0825</v>
      </c>
      <c r="G10174" t="s">
        <v>75</v>
      </c>
      <c r="H10174">
        <v>29082.499</v>
      </c>
      <c r="I10174" t="s">
        <v>76</v>
      </c>
      <c r="J10174" t="s">
        <v>77</v>
      </c>
    </row>
    <row r="10175" spans="1:11" x14ac:dyDescent="0.3">
      <c r="A10175" t="s">
        <v>72</v>
      </c>
      <c r="B10175">
        <v>1</v>
      </c>
      <c r="C10175" t="s">
        <v>81</v>
      </c>
      <c r="D10175">
        <v>2.99519E-2</v>
      </c>
      <c r="E10175" t="s">
        <v>74</v>
      </c>
      <c r="F10175">
        <v>29.951899999999998</v>
      </c>
      <c r="G10175" t="s">
        <v>75</v>
      </c>
      <c r="H10175">
        <v>29951.9</v>
      </c>
      <c r="I10175" t="s">
        <v>76</v>
      </c>
      <c r="J10175" t="s">
        <v>82</v>
      </c>
      <c r="K10175">
        <v>33.386863300000002</v>
      </c>
    </row>
    <row r="10176" spans="1:11" x14ac:dyDescent="0.3">
      <c r="A10176" t="s">
        <v>83</v>
      </c>
      <c r="B10176">
        <v>1000</v>
      </c>
      <c r="C10176" t="s">
        <v>79</v>
      </c>
      <c r="D10176">
        <v>5.1504000000000003E-4</v>
      </c>
      <c r="E10176" t="s">
        <v>74</v>
      </c>
      <c r="F10176">
        <v>0.51504000000000005</v>
      </c>
      <c r="G10176" t="s">
        <v>75</v>
      </c>
      <c r="H10176">
        <v>515.04200000000003</v>
      </c>
      <c r="I10176" t="s">
        <v>76</v>
      </c>
      <c r="J10176" t="s">
        <v>77</v>
      </c>
    </row>
    <row r="10177" spans="1:11" x14ac:dyDescent="0.3">
      <c r="A10177" t="s">
        <v>83</v>
      </c>
      <c r="B10177">
        <v>1000</v>
      </c>
      <c r="C10177" t="s">
        <v>94</v>
      </c>
      <c r="D10177">
        <v>2.7002410000000001E-2</v>
      </c>
      <c r="E10177" t="s">
        <v>74</v>
      </c>
      <c r="F10177">
        <v>27.002410000000001</v>
      </c>
      <c r="G10177" t="s">
        <v>75</v>
      </c>
      <c r="H10177">
        <v>27002.409</v>
      </c>
      <c r="I10177" t="s">
        <v>76</v>
      </c>
      <c r="J10177" t="s">
        <v>77</v>
      </c>
    </row>
    <row r="10178" spans="1:11" x14ac:dyDescent="0.3">
      <c r="A10178" t="s">
        <v>83</v>
      </c>
      <c r="B10178">
        <v>1000</v>
      </c>
      <c r="C10178" t="s">
        <v>80</v>
      </c>
      <c r="D10178">
        <v>2.7144450000000001E-2</v>
      </c>
      <c r="E10178" t="s">
        <v>74</v>
      </c>
      <c r="F10178">
        <v>27.144449999999999</v>
      </c>
      <c r="G10178" t="s">
        <v>75</v>
      </c>
      <c r="H10178">
        <v>27144.453000000001</v>
      </c>
      <c r="I10178" t="s">
        <v>76</v>
      </c>
      <c r="J10178" t="s">
        <v>77</v>
      </c>
    </row>
    <row r="10179" spans="1:11" x14ac:dyDescent="0.3">
      <c r="A10179" t="s">
        <v>83</v>
      </c>
      <c r="B10179">
        <v>1000</v>
      </c>
      <c r="C10179" t="s">
        <v>81</v>
      </c>
      <c r="D10179">
        <v>2.76606E-2</v>
      </c>
      <c r="E10179" t="s">
        <v>74</v>
      </c>
      <c r="F10179">
        <v>27.660599999999999</v>
      </c>
      <c r="G10179" t="s">
        <v>75</v>
      </c>
      <c r="H10179">
        <v>27660.598999999998</v>
      </c>
      <c r="I10179" t="s">
        <v>76</v>
      </c>
      <c r="J10179" t="s">
        <v>82</v>
      </c>
      <c r="K10179">
        <v>36.152507399999998</v>
      </c>
    </row>
    <row r="10180" spans="1:11" x14ac:dyDescent="0.3">
      <c r="A10180" t="s">
        <v>84</v>
      </c>
      <c r="B10180">
        <v>1001</v>
      </c>
      <c r="C10180" t="s">
        <v>79</v>
      </c>
      <c r="D10180">
        <v>5.1539000000000001E-4</v>
      </c>
      <c r="E10180" t="s">
        <v>74</v>
      </c>
      <c r="F10180">
        <v>0.51539000000000001</v>
      </c>
      <c r="G10180" t="s">
        <v>75</v>
      </c>
      <c r="H10180">
        <v>515.39400000000001</v>
      </c>
      <c r="I10180" t="s">
        <v>76</v>
      </c>
      <c r="J10180" t="s">
        <v>77</v>
      </c>
    </row>
    <row r="10181" spans="1:11" x14ac:dyDescent="0.3">
      <c r="A10181" t="s">
        <v>84</v>
      </c>
      <c r="B10181">
        <v>1001</v>
      </c>
      <c r="C10181" t="s">
        <v>94</v>
      </c>
      <c r="D10181">
        <v>2.7004480000000001E-2</v>
      </c>
      <c r="E10181" t="s">
        <v>74</v>
      </c>
      <c r="F10181">
        <v>27.004480000000001</v>
      </c>
      <c r="G10181" t="s">
        <v>75</v>
      </c>
      <c r="H10181">
        <v>27004.484</v>
      </c>
      <c r="I10181" t="s">
        <v>76</v>
      </c>
      <c r="J10181" t="s">
        <v>77</v>
      </c>
    </row>
    <row r="10182" spans="1:11" x14ac:dyDescent="0.3">
      <c r="A10182" t="s">
        <v>84</v>
      </c>
      <c r="B10182">
        <v>1001</v>
      </c>
      <c r="C10182" t="s">
        <v>80</v>
      </c>
      <c r="D10182">
        <v>2.7146389999999999E-2</v>
      </c>
      <c r="E10182" t="s">
        <v>74</v>
      </c>
      <c r="F10182">
        <v>27.14639</v>
      </c>
      <c r="G10182" t="s">
        <v>75</v>
      </c>
      <c r="H10182">
        <v>27146.39</v>
      </c>
      <c r="I10182" t="s">
        <v>76</v>
      </c>
      <c r="J10182" t="s">
        <v>77</v>
      </c>
    </row>
    <row r="10183" spans="1:11" x14ac:dyDescent="0.3">
      <c r="A10183" t="s">
        <v>84</v>
      </c>
      <c r="B10183">
        <v>1001</v>
      </c>
      <c r="C10183" t="s">
        <v>81</v>
      </c>
      <c r="D10183">
        <v>2.7662889999999999E-2</v>
      </c>
      <c r="E10183" t="s">
        <v>74</v>
      </c>
      <c r="F10183">
        <v>27.662890000000001</v>
      </c>
      <c r="G10183" t="s">
        <v>75</v>
      </c>
      <c r="H10183">
        <v>27662.888999999999</v>
      </c>
      <c r="I10183" t="s">
        <v>76</v>
      </c>
      <c r="J10183" t="s">
        <v>82</v>
      </c>
      <c r="K10183">
        <v>36.149514400000001</v>
      </c>
    </row>
    <row r="10184" spans="1:11" x14ac:dyDescent="0.3">
      <c r="A10184" t="s">
        <v>85</v>
      </c>
      <c r="B10184">
        <v>1001</v>
      </c>
      <c r="C10184" t="s">
        <v>86</v>
      </c>
      <c r="D10184">
        <v>2.7663210000000001E-2</v>
      </c>
      <c r="E10184" t="s">
        <v>74</v>
      </c>
      <c r="F10184">
        <v>27.663209999999999</v>
      </c>
      <c r="G10184" t="s">
        <v>75</v>
      </c>
      <c r="H10184">
        <v>27663.213</v>
      </c>
      <c r="I10184" t="s">
        <v>76</v>
      </c>
      <c r="J10184" t="s">
        <v>82</v>
      </c>
      <c r="K10184">
        <v>36.1490911</v>
      </c>
    </row>
    <row r="10185" spans="1:11" x14ac:dyDescent="0.3">
      <c r="A10185" t="s">
        <v>115</v>
      </c>
    </row>
    <row r="10186" spans="1:11" x14ac:dyDescent="0.3">
      <c r="A10186" t="s">
        <v>127</v>
      </c>
    </row>
    <row r="10187" spans="1:11" x14ac:dyDescent="0.3">
      <c r="A10187" t="s">
        <v>87</v>
      </c>
    </row>
    <row r="10188" spans="1:11" x14ac:dyDescent="0.3">
      <c r="A10188" t="s">
        <v>418</v>
      </c>
    </row>
    <row r="10189" spans="1:11" x14ac:dyDescent="0.3">
      <c r="A10189" t="s">
        <v>72</v>
      </c>
      <c r="B10189">
        <v>1</v>
      </c>
      <c r="C10189" t="s">
        <v>81</v>
      </c>
      <c r="D10189">
        <v>0.23169200000000001</v>
      </c>
      <c r="E10189" t="s">
        <v>74</v>
      </c>
      <c r="F10189">
        <v>231.69200000000001</v>
      </c>
      <c r="G10189" t="s">
        <v>75</v>
      </c>
      <c r="H10189">
        <v>231692.00099999999</v>
      </c>
      <c r="I10189" t="s">
        <v>76</v>
      </c>
      <c r="J10189" t="s">
        <v>82</v>
      </c>
      <c r="K10189">
        <v>4.3160748</v>
      </c>
    </row>
    <row r="10190" spans="1:11" x14ac:dyDescent="0.3">
      <c r="A10190" t="s">
        <v>83</v>
      </c>
      <c r="B10190">
        <v>1000</v>
      </c>
      <c r="C10190" t="s">
        <v>81</v>
      </c>
      <c r="D10190">
        <v>1.7704299999999999E-2</v>
      </c>
      <c r="E10190" t="s">
        <v>74</v>
      </c>
      <c r="F10190">
        <v>17.7043</v>
      </c>
      <c r="G10190" t="s">
        <v>75</v>
      </c>
      <c r="H10190">
        <v>17704.304</v>
      </c>
      <c r="I10190" t="s">
        <v>76</v>
      </c>
      <c r="J10190" t="s">
        <v>82</v>
      </c>
      <c r="K10190">
        <v>56.483441200000001</v>
      </c>
    </row>
    <row r="10191" spans="1:11" x14ac:dyDescent="0.3">
      <c r="A10191" t="s">
        <v>85</v>
      </c>
      <c r="B10191">
        <v>1001</v>
      </c>
      <c r="C10191" t="s">
        <v>86</v>
      </c>
      <c r="D10191">
        <v>1.7918440000000001E-2</v>
      </c>
      <c r="E10191" t="s">
        <v>74</v>
      </c>
      <c r="F10191">
        <v>17.91844</v>
      </c>
      <c r="G10191" t="s">
        <v>75</v>
      </c>
      <c r="H10191">
        <v>17918.435000000001</v>
      </c>
      <c r="I10191" t="s">
        <v>76</v>
      </c>
      <c r="J10191" t="s">
        <v>82</v>
      </c>
      <c r="K10191">
        <v>55.808444600000001</v>
      </c>
    </row>
    <row r="10193" spans="1:11" x14ac:dyDescent="0.3">
      <c r="A10193" t="s">
        <v>419</v>
      </c>
    </row>
    <row r="10194" spans="1:11" x14ac:dyDescent="0.3">
      <c r="A10194" t="s">
        <v>72</v>
      </c>
      <c r="B10194">
        <v>1</v>
      </c>
      <c r="C10194" t="s">
        <v>81</v>
      </c>
      <c r="D10194">
        <v>2.99519E-2</v>
      </c>
      <c r="E10194" t="s">
        <v>74</v>
      </c>
      <c r="F10194">
        <v>29.951899999999998</v>
      </c>
      <c r="G10194" t="s">
        <v>75</v>
      </c>
      <c r="H10194">
        <v>29951.9</v>
      </c>
      <c r="I10194" t="s">
        <v>76</v>
      </c>
      <c r="J10194" t="s">
        <v>82</v>
      </c>
      <c r="K10194">
        <v>33.386863300000002</v>
      </c>
    </row>
    <row r="10195" spans="1:11" x14ac:dyDescent="0.3">
      <c r="A10195" t="s">
        <v>83</v>
      </c>
      <c r="B10195">
        <v>1000</v>
      </c>
      <c r="C10195" t="s">
        <v>81</v>
      </c>
      <c r="D10195">
        <v>2.76606E-2</v>
      </c>
      <c r="E10195" t="s">
        <v>74</v>
      </c>
      <c r="F10195">
        <v>27.660599999999999</v>
      </c>
      <c r="G10195" t="s">
        <v>75</v>
      </c>
      <c r="H10195">
        <v>27660.598999999998</v>
      </c>
      <c r="I10195" t="s">
        <v>76</v>
      </c>
      <c r="J10195" t="s">
        <v>82</v>
      </c>
      <c r="K10195">
        <v>36.152507399999998</v>
      </c>
    </row>
    <row r="10196" spans="1:11" x14ac:dyDescent="0.3">
      <c r="A10196" t="s">
        <v>85</v>
      </c>
      <c r="B10196">
        <v>1001</v>
      </c>
      <c r="C10196" t="s">
        <v>86</v>
      </c>
      <c r="D10196">
        <v>2.7663210000000001E-2</v>
      </c>
      <c r="E10196" t="s">
        <v>74</v>
      </c>
      <c r="F10196">
        <v>27.663209999999999</v>
      </c>
      <c r="G10196" t="s">
        <v>75</v>
      </c>
      <c r="H10196">
        <v>27663.213</v>
      </c>
      <c r="I10196" t="s">
        <v>76</v>
      </c>
      <c r="J10196" t="s">
        <v>82</v>
      </c>
      <c r="K10196">
        <v>36.1490911</v>
      </c>
    </row>
    <row r="10198" spans="1:11" x14ac:dyDescent="0.3">
      <c r="A10198" t="s">
        <v>66</v>
      </c>
    </row>
    <row r="10200" spans="1:11" x14ac:dyDescent="0.3">
      <c r="A10200" t="s">
        <v>486</v>
      </c>
    </row>
    <row r="10201" spans="1:11" x14ac:dyDescent="0.3">
      <c r="A10201" t="s">
        <v>68</v>
      </c>
    </row>
    <row r="10202" spans="1:11" x14ac:dyDescent="0.3">
      <c r="A10202" t="s">
        <v>69</v>
      </c>
    </row>
    <row r="10203" spans="1:11" x14ac:dyDescent="0.3">
      <c r="A10203" t="s">
        <v>70</v>
      </c>
    </row>
    <row r="10204" spans="1:11" x14ac:dyDescent="0.3">
      <c r="A10204" t="s">
        <v>115</v>
      </c>
    </row>
    <row r="10205" spans="1:11" x14ac:dyDescent="0.3">
      <c r="A10205" t="s">
        <v>384</v>
      </c>
    </row>
    <row r="10206" spans="1:11" x14ac:dyDescent="0.3">
      <c r="A10206" t="s">
        <v>385</v>
      </c>
    </row>
    <row r="10207" spans="1:11" x14ac:dyDescent="0.3">
      <c r="A10207" t="s">
        <v>118</v>
      </c>
    </row>
    <row r="10208" spans="1:11" x14ac:dyDescent="0.3">
      <c r="A10208" t="s">
        <v>119</v>
      </c>
    </row>
    <row r="10209" spans="1:10" x14ac:dyDescent="0.3">
      <c r="A10209" t="s">
        <v>268</v>
      </c>
    </row>
    <row r="10210" spans="1:10" x14ac:dyDescent="0.3">
      <c r="A10210" t="s">
        <v>269</v>
      </c>
    </row>
    <row r="10211" spans="1:10" x14ac:dyDescent="0.3">
      <c r="A10211" t="s">
        <v>386</v>
      </c>
    </row>
    <row r="10212" spans="1:10" x14ac:dyDescent="0.3">
      <c r="A10212" t="s">
        <v>387</v>
      </c>
    </row>
    <row r="10213" spans="1:10" x14ac:dyDescent="0.3">
      <c r="A10213" t="s">
        <v>271</v>
      </c>
    </row>
    <row r="10214" spans="1:10" x14ac:dyDescent="0.3">
      <c r="A10214" t="s">
        <v>125</v>
      </c>
    </row>
    <row r="10215" spans="1:10" x14ac:dyDescent="0.3">
      <c r="A10215" t="s">
        <v>126</v>
      </c>
    </row>
    <row r="10216" spans="1:10" x14ac:dyDescent="0.3">
      <c r="A10216" t="s">
        <v>127</v>
      </c>
    </row>
    <row r="10217" spans="1:10" x14ac:dyDescent="0.3">
      <c r="A10217" t="s">
        <v>174</v>
      </c>
    </row>
    <row r="10218" spans="1:10" x14ac:dyDescent="0.3">
      <c r="A10218" t="s">
        <v>421</v>
      </c>
    </row>
    <row r="10219" spans="1:10" x14ac:dyDescent="0.3">
      <c r="A10219" t="s">
        <v>72</v>
      </c>
      <c r="B10219">
        <v>1</v>
      </c>
      <c r="C10219" t="s">
        <v>73</v>
      </c>
      <c r="D10219">
        <v>4.7999999999999998E-6</v>
      </c>
      <c r="E10219" t="s">
        <v>74</v>
      </c>
      <c r="F10219">
        <v>4.7999999999999996E-3</v>
      </c>
      <c r="G10219" t="s">
        <v>75</v>
      </c>
      <c r="H10219">
        <v>4.8</v>
      </c>
      <c r="I10219" t="s">
        <v>76</v>
      </c>
      <c r="J10219" t="s">
        <v>77</v>
      </c>
    </row>
    <row r="10220" spans="1:10" x14ac:dyDescent="0.3">
      <c r="A10220" t="s">
        <v>72</v>
      </c>
      <c r="B10220">
        <v>1</v>
      </c>
      <c r="C10220" t="s">
        <v>78</v>
      </c>
      <c r="D10220">
        <v>0.12209440000000001</v>
      </c>
      <c r="E10220" t="s">
        <v>74</v>
      </c>
      <c r="F10220">
        <v>122.09439999999999</v>
      </c>
      <c r="G10220" t="s">
        <v>75</v>
      </c>
      <c r="H10220">
        <v>122094.39999999999</v>
      </c>
      <c r="I10220" t="s">
        <v>76</v>
      </c>
      <c r="J10220" t="s">
        <v>77</v>
      </c>
    </row>
    <row r="10221" spans="1:10" x14ac:dyDescent="0.3">
      <c r="A10221" t="s">
        <v>72</v>
      </c>
      <c r="B10221">
        <v>1</v>
      </c>
      <c r="C10221" t="s">
        <v>91</v>
      </c>
      <c r="D10221">
        <v>0.1157392</v>
      </c>
      <c r="E10221" t="s">
        <v>74</v>
      </c>
      <c r="F10221">
        <v>115.7392</v>
      </c>
      <c r="G10221" t="s">
        <v>75</v>
      </c>
      <c r="H10221">
        <v>115739.197</v>
      </c>
      <c r="I10221" t="s">
        <v>76</v>
      </c>
      <c r="J10221" t="s">
        <v>77</v>
      </c>
    </row>
    <row r="10222" spans="1:10" x14ac:dyDescent="0.3">
      <c r="A10222" t="s">
        <v>72</v>
      </c>
      <c r="B10222">
        <v>1</v>
      </c>
      <c r="C10222" t="s">
        <v>92</v>
      </c>
      <c r="D10222">
        <v>6.1669999999999997E-4</v>
      </c>
      <c r="E10222" t="s">
        <v>74</v>
      </c>
      <c r="F10222">
        <v>0.61670000000000003</v>
      </c>
      <c r="G10222" t="s">
        <v>75</v>
      </c>
      <c r="H10222">
        <v>616.70000000000005</v>
      </c>
      <c r="I10222" t="s">
        <v>76</v>
      </c>
      <c r="J10222" t="s">
        <v>77</v>
      </c>
    </row>
    <row r="10223" spans="1:10" x14ac:dyDescent="0.3">
      <c r="A10223" t="s">
        <v>72</v>
      </c>
      <c r="B10223">
        <v>1</v>
      </c>
      <c r="C10223" t="s">
        <v>93</v>
      </c>
      <c r="D10223">
        <v>4.6099999999999998E-4</v>
      </c>
      <c r="E10223" t="s">
        <v>74</v>
      </c>
      <c r="F10223">
        <v>0.46100000000000002</v>
      </c>
      <c r="G10223" t="s">
        <v>75</v>
      </c>
      <c r="H10223">
        <v>461</v>
      </c>
      <c r="I10223" t="s">
        <v>76</v>
      </c>
      <c r="J10223" t="s">
        <v>77</v>
      </c>
    </row>
    <row r="10224" spans="1:10" x14ac:dyDescent="0.3">
      <c r="A10224" t="s">
        <v>72</v>
      </c>
      <c r="B10224">
        <v>1</v>
      </c>
      <c r="C10224" t="s">
        <v>79</v>
      </c>
      <c r="D10224">
        <v>0.11681809999999999</v>
      </c>
      <c r="E10224" t="s">
        <v>74</v>
      </c>
      <c r="F10224">
        <v>116.8181</v>
      </c>
      <c r="G10224" t="s">
        <v>75</v>
      </c>
      <c r="H10224">
        <v>116818.1</v>
      </c>
      <c r="I10224" t="s">
        <v>76</v>
      </c>
      <c r="J10224" t="s">
        <v>77</v>
      </c>
    </row>
    <row r="10225" spans="1:11" x14ac:dyDescent="0.3">
      <c r="A10225" t="s">
        <v>72</v>
      </c>
      <c r="B10225">
        <v>1</v>
      </c>
      <c r="C10225" t="s">
        <v>94</v>
      </c>
      <c r="D10225">
        <v>9.6857999999999996E-3</v>
      </c>
      <c r="E10225" t="s">
        <v>74</v>
      </c>
      <c r="F10225">
        <v>9.6858000000000004</v>
      </c>
      <c r="G10225" t="s">
        <v>75</v>
      </c>
      <c r="H10225">
        <v>9685.7999999999993</v>
      </c>
      <c r="I10225" t="s">
        <v>76</v>
      </c>
      <c r="J10225" t="s">
        <v>77</v>
      </c>
    </row>
    <row r="10226" spans="1:11" x14ac:dyDescent="0.3">
      <c r="A10226" t="s">
        <v>72</v>
      </c>
      <c r="B10226">
        <v>1</v>
      </c>
      <c r="C10226" t="s">
        <v>80</v>
      </c>
      <c r="D10226">
        <v>9.6863999999999995E-3</v>
      </c>
      <c r="E10226" t="s">
        <v>74</v>
      </c>
      <c r="F10226">
        <v>9.6864000000000008</v>
      </c>
      <c r="G10226" t="s">
        <v>75</v>
      </c>
      <c r="H10226">
        <v>9686.4</v>
      </c>
      <c r="I10226" t="s">
        <v>76</v>
      </c>
      <c r="J10226" t="s">
        <v>77</v>
      </c>
    </row>
    <row r="10227" spans="1:11" x14ac:dyDescent="0.3">
      <c r="A10227" t="s">
        <v>72</v>
      </c>
      <c r="B10227">
        <v>1</v>
      </c>
      <c r="C10227" t="s">
        <v>81</v>
      </c>
      <c r="D10227">
        <v>0.12650629999999999</v>
      </c>
      <c r="E10227" t="s">
        <v>74</v>
      </c>
      <c r="F10227">
        <v>126.5063</v>
      </c>
      <c r="G10227" t="s">
        <v>75</v>
      </c>
      <c r="H10227">
        <v>126506.299</v>
      </c>
      <c r="I10227" t="s">
        <v>76</v>
      </c>
      <c r="J10227" t="s">
        <v>82</v>
      </c>
      <c r="K10227">
        <v>7.9047447000000002</v>
      </c>
    </row>
    <row r="10228" spans="1:11" x14ac:dyDescent="0.3">
      <c r="A10228" t="s">
        <v>83</v>
      </c>
      <c r="B10228">
        <v>1000</v>
      </c>
      <c r="C10228" t="s">
        <v>91</v>
      </c>
      <c r="D10228">
        <v>7.5219999999999996E-4</v>
      </c>
      <c r="E10228" t="s">
        <v>74</v>
      </c>
      <c r="F10228">
        <v>0.75219999999999998</v>
      </c>
      <c r="G10228" t="s">
        <v>75</v>
      </c>
      <c r="H10228">
        <v>752.20100000000002</v>
      </c>
      <c r="I10228" t="s">
        <v>76</v>
      </c>
      <c r="J10228" t="s">
        <v>77</v>
      </c>
    </row>
    <row r="10229" spans="1:11" x14ac:dyDescent="0.3">
      <c r="A10229" t="s">
        <v>83</v>
      </c>
      <c r="B10229">
        <v>1000</v>
      </c>
      <c r="C10229" t="s">
        <v>92</v>
      </c>
      <c r="D10229">
        <v>4.8184999999999998E-4</v>
      </c>
      <c r="E10229" t="s">
        <v>74</v>
      </c>
      <c r="F10229">
        <v>0.48185</v>
      </c>
      <c r="G10229" t="s">
        <v>75</v>
      </c>
      <c r="H10229">
        <v>481.85399999999998</v>
      </c>
      <c r="I10229" t="s">
        <v>76</v>
      </c>
      <c r="J10229" t="s">
        <v>77</v>
      </c>
    </row>
    <row r="10230" spans="1:11" x14ac:dyDescent="0.3">
      <c r="A10230" t="s">
        <v>83</v>
      </c>
      <c r="B10230">
        <v>1000</v>
      </c>
      <c r="C10230" t="s">
        <v>93</v>
      </c>
      <c r="D10230">
        <v>3.9780000000000002E-4</v>
      </c>
      <c r="E10230" t="s">
        <v>74</v>
      </c>
      <c r="F10230">
        <v>0.39779999999999999</v>
      </c>
      <c r="G10230" t="s">
        <v>75</v>
      </c>
      <c r="H10230">
        <v>397.798</v>
      </c>
      <c r="I10230" t="s">
        <v>76</v>
      </c>
      <c r="J10230" t="s">
        <v>77</v>
      </c>
    </row>
    <row r="10231" spans="1:11" x14ac:dyDescent="0.3">
      <c r="A10231" t="s">
        <v>83</v>
      </c>
      <c r="B10231">
        <v>1000</v>
      </c>
      <c r="C10231" t="s">
        <v>79</v>
      </c>
      <c r="D10231">
        <v>1.63269E-3</v>
      </c>
      <c r="E10231" t="s">
        <v>74</v>
      </c>
      <c r="F10231">
        <v>1.63269</v>
      </c>
      <c r="G10231" t="s">
        <v>75</v>
      </c>
      <c r="H10231">
        <v>1632.6880000000001</v>
      </c>
      <c r="I10231" t="s">
        <v>76</v>
      </c>
      <c r="J10231" t="s">
        <v>77</v>
      </c>
    </row>
    <row r="10232" spans="1:11" x14ac:dyDescent="0.3">
      <c r="A10232" t="s">
        <v>83</v>
      </c>
      <c r="B10232">
        <v>1000</v>
      </c>
      <c r="C10232" t="s">
        <v>94</v>
      </c>
      <c r="D10232">
        <v>2.7263299999999999E-3</v>
      </c>
      <c r="E10232" t="s">
        <v>74</v>
      </c>
      <c r="F10232">
        <v>2.7263299999999999</v>
      </c>
      <c r="G10232" t="s">
        <v>75</v>
      </c>
      <c r="H10232">
        <v>2726.3310000000001</v>
      </c>
      <c r="I10232" t="s">
        <v>76</v>
      </c>
      <c r="J10232" t="s">
        <v>77</v>
      </c>
    </row>
    <row r="10233" spans="1:11" x14ac:dyDescent="0.3">
      <c r="A10233" t="s">
        <v>83</v>
      </c>
      <c r="B10233">
        <v>1000</v>
      </c>
      <c r="C10233" t="s">
        <v>80</v>
      </c>
      <c r="D10233">
        <v>2.89573E-3</v>
      </c>
      <c r="E10233" t="s">
        <v>74</v>
      </c>
      <c r="F10233">
        <v>2.8957299999999999</v>
      </c>
      <c r="G10233" t="s">
        <v>75</v>
      </c>
      <c r="H10233">
        <v>2895.7350000000001</v>
      </c>
      <c r="I10233" t="s">
        <v>76</v>
      </c>
      <c r="J10233" t="s">
        <v>77</v>
      </c>
    </row>
    <row r="10234" spans="1:11" x14ac:dyDescent="0.3">
      <c r="A10234" t="s">
        <v>83</v>
      </c>
      <c r="B10234">
        <v>1000</v>
      </c>
      <c r="C10234" t="s">
        <v>81</v>
      </c>
      <c r="D10234">
        <v>4.5304300000000002E-3</v>
      </c>
      <c r="E10234" t="s">
        <v>74</v>
      </c>
      <c r="F10234">
        <v>4.53043</v>
      </c>
      <c r="G10234" t="s">
        <v>75</v>
      </c>
      <c r="H10234">
        <v>4530.43</v>
      </c>
      <c r="I10234" t="s">
        <v>76</v>
      </c>
      <c r="J10234" t="s">
        <v>82</v>
      </c>
      <c r="K10234">
        <v>220.72960739999999</v>
      </c>
    </row>
    <row r="10235" spans="1:11" x14ac:dyDescent="0.3">
      <c r="A10235" t="s">
        <v>84</v>
      </c>
      <c r="B10235">
        <v>1001</v>
      </c>
      <c r="C10235" t="s">
        <v>91</v>
      </c>
      <c r="D10235">
        <v>8.6706999999999995E-4</v>
      </c>
      <c r="E10235" t="s">
        <v>74</v>
      </c>
      <c r="F10235">
        <v>0.86707000000000001</v>
      </c>
      <c r="G10235" t="s">
        <v>75</v>
      </c>
      <c r="H10235">
        <v>867.07399999999996</v>
      </c>
      <c r="I10235" t="s">
        <v>76</v>
      </c>
      <c r="J10235" t="s">
        <v>77</v>
      </c>
    </row>
    <row r="10236" spans="1:11" x14ac:dyDescent="0.3">
      <c r="A10236" t="s">
        <v>84</v>
      </c>
      <c r="B10236">
        <v>1001</v>
      </c>
      <c r="C10236" t="s">
        <v>92</v>
      </c>
      <c r="D10236">
        <v>4.8199000000000001E-4</v>
      </c>
      <c r="E10236" t="s">
        <v>74</v>
      </c>
      <c r="F10236">
        <v>0.48198999999999997</v>
      </c>
      <c r="G10236" t="s">
        <v>75</v>
      </c>
      <c r="H10236">
        <v>481.98899999999998</v>
      </c>
      <c r="I10236" t="s">
        <v>76</v>
      </c>
      <c r="J10236" t="s">
        <v>77</v>
      </c>
    </row>
    <row r="10237" spans="1:11" x14ac:dyDescent="0.3">
      <c r="A10237" t="s">
        <v>84</v>
      </c>
      <c r="B10237">
        <v>1001</v>
      </c>
      <c r="C10237" t="s">
        <v>93</v>
      </c>
      <c r="D10237">
        <v>3.9785999999999999E-4</v>
      </c>
      <c r="E10237" t="s">
        <v>74</v>
      </c>
      <c r="F10237">
        <v>0.39785999999999999</v>
      </c>
      <c r="G10237" t="s">
        <v>75</v>
      </c>
      <c r="H10237">
        <v>397.86099999999999</v>
      </c>
      <c r="I10237" t="s">
        <v>76</v>
      </c>
      <c r="J10237" t="s">
        <v>77</v>
      </c>
    </row>
    <row r="10238" spans="1:11" x14ac:dyDescent="0.3">
      <c r="A10238" t="s">
        <v>84</v>
      </c>
      <c r="B10238">
        <v>1001</v>
      </c>
      <c r="C10238" t="s">
        <v>79</v>
      </c>
      <c r="D10238">
        <v>1.7477599999999999E-3</v>
      </c>
      <c r="E10238" t="s">
        <v>74</v>
      </c>
      <c r="F10238">
        <v>1.74776</v>
      </c>
      <c r="G10238" t="s">
        <v>75</v>
      </c>
      <c r="H10238">
        <v>1747.758</v>
      </c>
      <c r="I10238" t="s">
        <v>76</v>
      </c>
      <c r="J10238" t="s">
        <v>77</v>
      </c>
    </row>
    <row r="10239" spans="1:11" x14ac:dyDescent="0.3">
      <c r="A10239" t="s">
        <v>84</v>
      </c>
      <c r="B10239">
        <v>1001</v>
      </c>
      <c r="C10239" t="s">
        <v>94</v>
      </c>
      <c r="D10239">
        <v>2.7332799999999998E-3</v>
      </c>
      <c r="E10239" t="s">
        <v>74</v>
      </c>
      <c r="F10239">
        <v>2.7332800000000002</v>
      </c>
      <c r="G10239" t="s">
        <v>75</v>
      </c>
      <c r="H10239">
        <v>2733.2840000000001</v>
      </c>
      <c r="I10239" t="s">
        <v>76</v>
      </c>
      <c r="J10239" t="s">
        <v>77</v>
      </c>
    </row>
    <row r="10240" spans="1:11" x14ac:dyDescent="0.3">
      <c r="A10240" t="s">
        <v>84</v>
      </c>
      <c r="B10240">
        <v>1001</v>
      </c>
      <c r="C10240" t="s">
        <v>80</v>
      </c>
      <c r="D10240">
        <v>2.90252E-3</v>
      </c>
      <c r="E10240" t="s">
        <v>74</v>
      </c>
      <c r="F10240">
        <v>2.90252</v>
      </c>
      <c r="G10240" t="s">
        <v>75</v>
      </c>
      <c r="H10240">
        <v>2902.518</v>
      </c>
      <c r="I10240" t="s">
        <v>76</v>
      </c>
      <c r="J10240" t="s">
        <v>77</v>
      </c>
    </row>
    <row r="10241" spans="1:11" x14ac:dyDescent="0.3">
      <c r="A10241" t="s">
        <v>84</v>
      </c>
      <c r="B10241">
        <v>1001</v>
      </c>
      <c r="C10241" t="s">
        <v>81</v>
      </c>
      <c r="D10241">
        <v>4.65228E-3</v>
      </c>
      <c r="E10241" t="s">
        <v>74</v>
      </c>
      <c r="F10241">
        <v>4.6522800000000002</v>
      </c>
      <c r="G10241" t="s">
        <v>75</v>
      </c>
      <c r="H10241">
        <v>4652.2830000000004</v>
      </c>
      <c r="I10241" t="s">
        <v>76</v>
      </c>
      <c r="J10241" t="s">
        <v>82</v>
      </c>
      <c r="K10241">
        <v>214.94823389999999</v>
      </c>
    </row>
    <row r="10242" spans="1:11" x14ac:dyDescent="0.3">
      <c r="A10242" t="s">
        <v>85</v>
      </c>
      <c r="B10242">
        <v>1001</v>
      </c>
      <c r="C10242" t="s">
        <v>86</v>
      </c>
      <c r="D10242">
        <v>4.6526500000000004E-3</v>
      </c>
      <c r="E10242" t="s">
        <v>74</v>
      </c>
      <c r="F10242">
        <v>4.6526500000000004</v>
      </c>
      <c r="G10242" t="s">
        <v>75</v>
      </c>
      <c r="H10242">
        <v>4652.6499999999996</v>
      </c>
      <c r="I10242" t="s">
        <v>76</v>
      </c>
      <c r="J10242" t="s">
        <v>82</v>
      </c>
      <c r="K10242">
        <v>214.93126620000001</v>
      </c>
    </row>
    <row r="10243" spans="1:11" x14ac:dyDescent="0.3">
      <c r="A10243" t="s">
        <v>115</v>
      </c>
    </row>
    <row r="10244" spans="1:11" x14ac:dyDescent="0.3">
      <c r="A10244" t="s">
        <v>127</v>
      </c>
    </row>
    <row r="10245" spans="1:11" x14ac:dyDescent="0.3">
      <c r="A10245" t="s">
        <v>87</v>
      </c>
    </row>
    <row r="10246" spans="1:11" x14ac:dyDescent="0.3">
      <c r="A10246" t="s">
        <v>422</v>
      </c>
    </row>
    <row r="10247" spans="1:11" x14ac:dyDescent="0.3">
      <c r="A10247" t="s">
        <v>72</v>
      </c>
      <c r="B10247">
        <v>1</v>
      </c>
      <c r="C10247" t="s">
        <v>81</v>
      </c>
      <c r="D10247">
        <v>0.12650629999999999</v>
      </c>
      <c r="E10247" t="s">
        <v>74</v>
      </c>
      <c r="F10247">
        <v>126.5063</v>
      </c>
      <c r="G10247" t="s">
        <v>75</v>
      </c>
      <c r="H10247">
        <v>126506.299</v>
      </c>
      <c r="I10247" t="s">
        <v>76</v>
      </c>
      <c r="J10247" t="s">
        <v>82</v>
      </c>
      <c r="K10247">
        <v>7.9047447000000002</v>
      </c>
    </row>
    <row r="10248" spans="1:11" x14ac:dyDescent="0.3">
      <c r="A10248" t="s">
        <v>83</v>
      </c>
      <c r="B10248">
        <v>1000</v>
      </c>
      <c r="C10248" t="s">
        <v>81</v>
      </c>
      <c r="D10248">
        <v>4.5304300000000002E-3</v>
      </c>
      <c r="E10248" t="s">
        <v>74</v>
      </c>
      <c r="F10248">
        <v>4.53043</v>
      </c>
      <c r="G10248" t="s">
        <v>75</v>
      </c>
      <c r="H10248">
        <v>4530.43</v>
      </c>
      <c r="I10248" t="s">
        <v>76</v>
      </c>
      <c r="J10248" t="s">
        <v>82</v>
      </c>
      <c r="K10248">
        <v>220.72960739999999</v>
      </c>
    </row>
    <row r="10249" spans="1:11" x14ac:dyDescent="0.3">
      <c r="A10249" t="s">
        <v>85</v>
      </c>
      <c r="B10249">
        <v>1001</v>
      </c>
      <c r="C10249" t="s">
        <v>86</v>
      </c>
      <c r="D10249">
        <v>4.6526500000000004E-3</v>
      </c>
      <c r="E10249" t="s">
        <v>74</v>
      </c>
      <c r="F10249">
        <v>4.6526500000000004</v>
      </c>
      <c r="G10249" t="s">
        <v>75</v>
      </c>
      <c r="H10249">
        <v>4652.6499999999996</v>
      </c>
      <c r="I10249" t="s">
        <v>76</v>
      </c>
      <c r="J10249" t="s">
        <v>82</v>
      </c>
      <c r="K10249">
        <v>214.93126620000001</v>
      </c>
    </row>
    <row r="10251" spans="1:11" x14ac:dyDescent="0.3">
      <c r="A10251" t="s">
        <v>66</v>
      </c>
    </row>
    <row r="10253" spans="1:11" x14ac:dyDescent="0.3">
      <c r="A10253" t="s">
        <v>487</v>
      </c>
    </row>
    <row r="10254" spans="1:11" x14ac:dyDescent="0.3">
      <c r="A10254" t="s">
        <v>68</v>
      </c>
    </row>
    <row r="10255" spans="1:11" x14ac:dyDescent="0.3">
      <c r="A10255" t="s">
        <v>69</v>
      </c>
    </row>
    <row r="10256" spans="1:11" x14ac:dyDescent="0.3">
      <c r="A10256" t="s">
        <v>70</v>
      </c>
    </row>
    <row r="10257" spans="1:10" x14ac:dyDescent="0.3">
      <c r="A10257" t="s">
        <v>115</v>
      </c>
    </row>
    <row r="10258" spans="1:10" x14ac:dyDescent="0.3">
      <c r="A10258" t="s">
        <v>384</v>
      </c>
    </row>
    <row r="10259" spans="1:10" x14ac:dyDescent="0.3">
      <c r="A10259" t="s">
        <v>385</v>
      </c>
    </row>
    <row r="10260" spans="1:10" x14ac:dyDescent="0.3">
      <c r="A10260" t="s">
        <v>118</v>
      </c>
    </row>
    <row r="10261" spans="1:10" x14ac:dyDescent="0.3">
      <c r="A10261" t="s">
        <v>119</v>
      </c>
    </row>
    <row r="10262" spans="1:10" x14ac:dyDescent="0.3">
      <c r="A10262" t="s">
        <v>268</v>
      </c>
    </row>
    <row r="10263" spans="1:10" x14ac:dyDescent="0.3">
      <c r="A10263" t="s">
        <v>269</v>
      </c>
    </row>
    <row r="10264" spans="1:10" x14ac:dyDescent="0.3">
      <c r="A10264" t="s">
        <v>386</v>
      </c>
    </row>
    <row r="10265" spans="1:10" x14ac:dyDescent="0.3">
      <c r="A10265" t="s">
        <v>387</v>
      </c>
    </row>
    <row r="10266" spans="1:10" x14ac:dyDescent="0.3">
      <c r="A10266" t="s">
        <v>271</v>
      </c>
    </row>
    <row r="10267" spans="1:10" x14ac:dyDescent="0.3">
      <c r="A10267" t="s">
        <v>125</v>
      </c>
    </row>
    <row r="10268" spans="1:10" x14ac:dyDescent="0.3">
      <c r="A10268" t="s">
        <v>126</v>
      </c>
    </row>
    <row r="10269" spans="1:10" x14ac:dyDescent="0.3">
      <c r="A10269" t="s">
        <v>127</v>
      </c>
    </row>
    <row r="10270" spans="1:10" x14ac:dyDescent="0.3">
      <c r="A10270" t="s">
        <v>178</v>
      </c>
    </row>
    <row r="10271" spans="1:10" x14ac:dyDescent="0.3">
      <c r="A10271" t="s">
        <v>424</v>
      </c>
    </row>
    <row r="10272" spans="1:10" x14ac:dyDescent="0.3">
      <c r="A10272" t="s">
        <v>72</v>
      </c>
      <c r="B10272">
        <v>1</v>
      </c>
      <c r="C10272" t="s">
        <v>73</v>
      </c>
      <c r="D10272">
        <v>4.6E-6</v>
      </c>
      <c r="E10272" t="s">
        <v>74</v>
      </c>
      <c r="F10272">
        <v>4.5999999999999999E-3</v>
      </c>
      <c r="G10272" t="s">
        <v>75</v>
      </c>
      <c r="H10272">
        <v>4.5999999999999996</v>
      </c>
      <c r="I10272" t="s">
        <v>76</v>
      </c>
      <c r="J10272" t="s">
        <v>77</v>
      </c>
    </row>
    <row r="10273" spans="1:11" x14ac:dyDescent="0.3">
      <c r="A10273" t="s">
        <v>72</v>
      </c>
      <c r="B10273">
        <v>1</v>
      </c>
      <c r="C10273" t="s">
        <v>78</v>
      </c>
      <c r="D10273">
        <v>0.11853569999999999</v>
      </c>
      <c r="E10273" t="s">
        <v>74</v>
      </c>
      <c r="F10273">
        <v>118.53570000000001</v>
      </c>
      <c r="G10273" t="s">
        <v>75</v>
      </c>
      <c r="H10273">
        <v>118535.697</v>
      </c>
      <c r="I10273" t="s">
        <v>76</v>
      </c>
      <c r="J10273" t="s">
        <v>77</v>
      </c>
    </row>
    <row r="10274" spans="1:11" x14ac:dyDescent="0.3">
      <c r="A10274" t="s">
        <v>72</v>
      </c>
      <c r="B10274">
        <v>1</v>
      </c>
      <c r="C10274" t="s">
        <v>79</v>
      </c>
      <c r="D10274">
        <v>0.1124941</v>
      </c>
      <c r="E10274" t="s">
        <v>74</v>
      </c>
      <c r="F10274">
        <v>112.4941</v>
      </c>
      <c r="G10274" t="s">
        <v>75</v>
      </c>
      <c r="H10274">
        <v>112494.10400000001</v>
      </c>
      <c r="I10274" t="s">
        <v>76</v>
      </c>
      <c r="J10274" t="s">
        <v>77</v>
      </c>
    </row>
    <row r="10275" spans="1:11" x14ac:dyDescent="0.3">
      <c r="A10275" t="s">
        <v>72</v>
      </c>
      <c r="B10275">
        <v>1</v>
      </c>
      <c r="C10275" t="s">
        <v>94</v>
      </c>
      <c r="D10275">
        <v>9.5843000000000005E-3</v>
      </c>
      <c r="E10275" t="s">
        <v>74</v>
      </c>
      <c r="F10275">
        <v>9.5843000000000007</v>
      </c>
      <c r="G10275" t="s">
        <v>75</v>
      </c>
      <c r="H10275">
        <v>9584.2999999999993</v>
      </c>
      <c r="I10275" t="s">
        <v>76</v>
      </c>
      <c r="J10275" t="s">
        <v>77</v>
      </c>
    </row>
    <row r="10276" spans="1:11" x14ac:dyDescent="0.3">
      <c r="A10276" t="s">
        <v>72</v>
      </c>
      <c r="B10276">
        <v>1</v>
      </c>
      <c r="C10276" t="s">
        <v>80</v>
      </c>
      <c r="D10276">
        <v>9.5850999999999992E-3</v>
      </c>
      <c r="E10276" t="s">
        <v>74</v>
      </c>
      <c r="F10276">
        <v>9.5851000000000006</v>
      </c>
      <c r="G10276" t="s">
        <v>75</v>
      </c>
      <c r="H10276">
        <v>9585.1</v>
      </c>
      <c r="I10276" t="s">
        <v>76</v>
      </c>
      <c r="J10276" t="s">
        <v>77</v>
      </c>
    </row>
    <row r="10277" spans="1:11" x14ac:dyDescent="0.3">
      <c r="A10277" t="s">
        <v>72</v>
      </c>
      <c r="B10277">
        <v>1</v>
      </c>
      <c r="C10277" t="s">
        <v>81</v>
      </c>
      <c r="D10277">
        <v>0.12208140000000001</v>
      </c>
      <c r="E10277" t="s">
        <v>74</v>
      </c>
      <c r="F10277">
        <v>122.0814</v>
      </c>
      <c r="G10277" t="s">
        <v>75</v>
      </c>
      <c r="H10277">
        <v>122081.399</v>
      </c>
      <c r="I10277" t="s">
        <v>76</v>
      </c>
      <c r="J10277" t="s">
        <v>82</v>
      </c>
      <c r="K10277">
        <v>8.1912561000000004</v>
      </c>
    </row>
    <row r="10278" spans="1:11" x14ac:dyDescent="0.3">
      <c r="A10278" t="s">
        <v>83</v>
      </c>
      <c r="B10278">
        <v>1000</v>
      </c>
      <c r="C10278" t="s">
        <v>79</v>
      </c>
      <c r="D10278">
        <v>6.2639E-4</v>
      </c>
      <c r="E10278" t="s">
        <v>74</v>
      </c>
      <c r="F10278">
        <v>0.62639</v>
      </c>
      <c r="G10278" t="s">
        <v>75</v>
      </c>
      <c r="H10278">
        <v>626.39300000000003</v>
      </c>
      <c r="I10278" t="s">
        <v>76</v>
      </c>
      <c r="J10278" t="s">
        <v>77</v>
      </c>
    </row>
    <row r="10279" spans="1:11" x14ac:dyDescent="0.3">
      <c r="A10279" t="s">
        <v>83</v>
      </c>
      <c r="B10279">
        <v>1000</v>
      </c>
      <c r="C10279" t="s">
        <v>94</v>
      </c>
      <c r="D10279">
        <v>2.60399E-3</v>
      </c>
      <c r="E10279" t="s">
        <v>74</v>
      </c>
      <c r="F10279">
        <v>2.60399</v>
      </c>
      <c r="G10279" t="s">
        <v>75</v>
      </c>
      <c r="H10279">
        <v>2603.9879999999998</v>
      </c>
      <c r="I10279" t="s">
        <v>76</v>
      </c>
      <c r="J10279" t="s">
        <v>77</v>
      </c>
    </row>
    <row r="10280" spans="1:11" x14ac:dyDescent="0.3">
      <c r="A10280" t="s">
        <v>83</v>
      </c>
      <c r="B10280">
        <v>1000</v>
      </c>
      <c r="C10280" t="s">
        <v>80</v>
      </c>
      <c r="D10280">
        <v>2.74056E-3</v>
      </c>
      <c r="E10280" t="s">
        <v>74</v>
      </c>
      <c r="F10280">
        <v>2.7405599999999999</v>
      </c>
      <c r="G10280" t="s">
        <v>75</v>
      </c>
      <c r="H10280">
        <v>2740.556</v>
      </c>
      <c r="I10280" t="s">
        <v>76</v>
      </c>
      <c r="J10280" t="s">
        <v>77</v>
      </c>
    </row>
    <row r="10281" spans="1:11" x14ac:dyDescent="0.3">
      <c r="A10281" t="s">
        <v>83</v>
      </c>
      <c r="B10281">
        <v>1000</v>
      </c>
      <c r="C10281" t="s">
        <v>81</v>
      </c>
      <c r="D10281">
        <v>3.3676000000000001E-3</v>
      </c>
      <c r="E10281" t="s">
        <v>74</v>
      </c>
      <c r="F10281">
        <v>3.3675999999999999</v>
      </c>
      <c r="G10281" t="s">
        <v>75</v>
      </c>
      <c r="H10281">
        <v>3367.6</v>
      </c>
      <c r="I10281" t="s">
        <v>76</v>
      </c>
      <c r="J10281" t="s">
        <v>82</v>
      </c>
      <c r="K10281">
        <v>296.94740510000003</v>
      </c>
    </row>
    <row r="10282" spans="1:11" x14ac:dyDescent="0.3">
      <c r="A10282" t="s">
        <v>84</v>
      </c>
      <c r="B10282">
        <v>1001</v>
      </c>
      <c r="C10282" t="s">
        <v>79</v>
      </c>
      <c r="D10282">
        <v>7.3815000000000003E-4</v>
      </c>
      <c r="E10282" t="s">
        <v>74</v>
      </c>
      <c r="F10282">
        <v>0.73814999999999997</v>
      </c>
      <c r="G10282" t="s">
        <v>75</v>
      </c>
      <c r="H10282">
        <v>738.149</v>
      </c>
      <c r="I10282" t="s">
        <v>76</v>
      </c>
      <c r="J10282" t="s">
        <v>77</v>
      </c>
    </row>
    <row r="10283" spans="1:11" x14ac:dyDescent="0.3">
      <c r="A10283" t="s">
        <v>84</v>
      </c>
      <c r="B10283">
        <v>1001</v>
      </c>
      <c r="C10283" t="s">
        <v>94</v>
      </c>
      <c r="D10283">
        <v>2.6109599999999998E-3</v>
      </c>
      <c r="E10283" t="s">
        <v>74</v>
      </c>
      <c r="F10283">
        <v>2.6109599999999999</v>
      </c>
      <c r="G10283" t="s">
        <v>75</v>
      </c>
      <c r="H10283">
        <v>2610.9609999999998</v>
      </c>
      <c r="I10283" t="s">
        <v>76</v>
      </c>
      <c r="J10283" t="s">
        <v>77</v>
      </c>
    </row>
    <row r="10284" spans="1:11" x14ac:dyDescent="0.3">
      <c r="A10284" t="s">
        <v>84</v>
      </c>
      <c r="B10284">
        <v>1001</v>
      </c>
      <c r="C10284" t="s">
        <v>80</v>
      </c>
      <c r="D10284">
        <v>2.7473900000000002E-3</v>
      </c>
      <c r="E10284" t="s">
        <v>74</v>
      </c>
      <c r="F10284">
        <v>2.7473900000000002</v>
      </c>
      <c r="G10284" t="s">
        <v>75</v>
      </c>
      <c r="H10284">
        <v>2747.393</v>
      </c>
      <c r="I10284" t="s">
        <v>76</v>
      </c>
      <c r="J10284" t="s">
        <v>77</v>
      </c>
    </row>
    <row r="10285" spans="1:11" x14ac:dyDescent="0.3">
      <c r="A10285" t="s">
        <v>84</v>
      </c>
      <c r="B10285">
        <v>1001</v>
      </c>
      <c r="C10285" t="s">
        <v>81</v>
      </c>
      <c r="D10285">
        <v>3.4862000000000001E-3</v>
      </c>
      <c r="E10285" t="s">
        <v>74</v>
      </c>
      <c r="F10285">
        <v>3.4862000000000002</v>
      </c>
      <c r="G10285" t="s">
        <v>75</v>
      </c>
      <c r="H10285">
        <v>3486.1959999999999</v>
      </c>
      <c r="I10285" t="s">
        <v>76</v>
      </c>
      <c r="J10285" t="s">
        <v>82</v>
      </c>
      <c r="K10285">
        <v>286.84562419999997</v>
      </c>
    </row>
    <row r="10286" spans="1:11" x14ac:dyDescent="0.3">
      <c r="A10286" t="s">
        <v>85</v>
      </c>
      <c r="B10286">
        <v>1001</v>
      </c>
      <c r="C10286" t="s">
        <v>86</v>
      </c>
      <c r="D10286">
        <v>3.4864000000000002E-3</v>
      </c>
      <c r="E10286" t="s">
        <v>74</v>
      </c>
      <c r="F10286">
        <v>3.4864000000000002</v>
      </c>
      <c r="G10286" t="s">
        <v>75</v>
      </c>
      <c r="H10286">
        <v>3486.4050000000002</v>
      </c>
      <c r="I10286" t="s">
        <v>76</v>
      </c>
      <c r="J10286" t="s">
        <v>82</v>
      </c>
      <c r="K10286">
        <v>286.82841860000002</v>
      </c>
    </row>
    <row r="10287" spans="1:11" x14ac:dyDescent="0.3">
      <c r="A10287" t="s">
        <v>180</v>
      </c>
    </row>
    <row r="10288" spans="1:11" x14ac:dyDescent="0.3">
      <c r="A10288" t="s">
        <v>425</v>
      </c>
    </row>
    <row r="10289" spans="1:11" x14ac:dyDescent="0.3">
      <c r="A10289" t="s">
        <v>72</v>
      </c>
      <c r="B10289">
        <v>1</v>
      </c>
      <c r="C10289" t="s">
        <v>73</v>
      </c>
      <c r="D10289">
        <v>4.6E-6</v>
      </c>
      <c r="E10289" t="s">
        <v>74</v>
      </c>
      <c r="F10289">
        <v>4.5999999999999999E-3</v>
      </c>
      <c r="G10289" t="s">
        <v>75</v>
      </c>
      <c r="H10289">
        <v>4.5999999999999996</v>
      </c>
      <c r="I10289" t="s">
        <v>76</v>
      </c>
      <c r="J10289" t="s">
        <v>77</v>
      </c>
    </row>
    <row r="10290" spans="1:11" x14ac:dyDescent="0.3">
      <c r="A10290" t="s">
        <v>72</v>
      </c>
      <c r="B10290">
        <v>1</v>
      </c>
      <c r="C10290" t="s">
        <v>78</v>
      </c>
      <c r="D10290">
        <v>3.9060000000000001E-4</v>
      </c>
      <c r="E10290" t="s">
        <v>74</v>
      </c>
      <c r="F10290">
        <v>0.3906</v>
      </c>
      <c r="G10290" t="s">
        <v>75</v>
      </c>
      <c r="H10290">
        <v>390.6</v>
      </c>
      <c r="I10290" t="s">
        <v>76</v>
      </c>
      <c r="J10290" t="s">
        <v>77</v>
      </c>
    </row>
    <row r="10291" spans="1:11" x14ac:dyDescent="0.3">
      <c r="A10291" t="s">
        <v>72</v>
      </c>
      <c r="B10291">
        <v>1</v>
      </c>
      <c r="C10291" t="s">
        <v>79</v>
      </c>
      <c r="D10291">
        <v>2.4485000000000002E-3</v>
      </c>
      <c r="E10291" t="s">
        <v>74</v>
      </c>
      <c r="F10291">
        <v>2.4485000000000001</v>
      </c>
      <c r="G10291" t="s">
        <v>75</v>
      </c>
      <c r="H10291">
        <v>2448.5</v>
      </c>
      <c r="I10291" t="s">
        <v>76</v>
      </c>
      <c r="J10291" t="s">
        <v>77</v>
      </c>
    </row>
    <row r="10292" spans="1:11" x14ac:dyDescent="0.3">
      <c r="A10292" t="s">
        <v>72</v>
      </c>
      <c r="B10292">
        <v>1</v>
      </c>
      <c r="C10292" t="s">
        <v>94</v>
      </c>
      <c r="D10292">
        <v>2.6911999999999999E-3</v>
      </c>
      <c r="E10292" t="s">
        <v>74</v>
      </c>
      <c r="F10292">
        <v>2.6911999999999998</v>
      </c>
      <c r="G10292" t="s">
        <v>75</v>
      </c>
      <c r="H10292">
        <v>2691.2</v>
      </c>
      <c r="I10292" t="s">
        <v>76</v>
      </c>
      <c r="J10292" t="s">
        <v>77</v>
      </c>
    </row>
    <row r="10293" spans="1:11" x14ac:dyDescent="0.3">
      <c r="A10293" t="s">
        <v>72</v>
      </c>
      <c r="B10293">
        <v>1</v>
      </c>
      <c r="C10293" t="s">
        <v>80</v>
      </c>
      <c r="D10293">
        <v>2.8235000000000001E-3</v>
      </c>
      <c r="E10293" t="s">
        <v>74</v>
      </c>
      <c r="F10293">
        <v>2.8235000000000001</v>
      </c>
      <c r="G10293" t="s">
        <v>75</v>
      </c>
      <c r="H10293">
        <v>2823.5</v>
      </c>
      <c r="I10293" t="s">
        <v>76</v>
      </c>
      <c r="J10293" t="s">
        <v>77</v>
      </c>
    </row>
    <row r="10294" spans="1:11" x14ac:dyDescent="0.3">
      <c r="A10294" t="s">
        <v>72</v>
      </c>
      <c r="B10294">
        <v>1</v>
      </c>
      <c r="C10294" t="s">
        <v>81</v>
      </c>
      <c r="D10294">
        <v>5.2732999999999999E-3</v>
      </c>
      <c r="E10294" t="s">
        <v>74</v>
      </c>
      <c r="F10294">
        <v>5.2732999999999999</v>
      </c>
      <c r="G10294" t="s">
        <v>75</v>
      </c>
      <c r="H10294">
        <v>5273.3</v>
      </c>
      <c r="I10294" t="s">
        <v>76</v>
      </c>
      <c r="J10294" t="s">
        <v>82</v>
      </c>
      <c r="K10294">
        <v>189.63456619999999</v>
      </c>
    </row>
    <row r="10295" spans="1:11" x14ac:dyDescent="0.3">
      <c r="A10295" t="s">
        <v>83</v>
      </c>
      <c r="B10295">
        <v>1000</v>
      </c>
      <c r="C10295" t="s">
        <v>79</v>
      </c>
      <c r="D10295">
        <v>1.06445E-3</v>
      </c>
      <c r="E10295" t="s">
        <v>74</v>
      </c>
      <c r="F10295">
        <v>1.0644499999999999</v>
      </c>
      <c r="G10295" t="s">
        <v>75</v>
      </c>
      <c r="H10295">
        <v>1064.4459999999999</v>
      </c>
      <c r="I10295" t="s">
        <v>76</v>
      </c>
      <c r="J10295" t="s">
        <v>77</v>
      </c>
    </row>
    <row r="10296" spans="1:11" x14ac:dyDescent="0.3">
      <c r="A10296" t="s">
        <v>83</v>
      </c>
      <c r="B10296">
        <v>1000</v>
      </c>
      <c r="C10296" t="s">
        <v>94</v>
      </c>
      <c r="D10296">
        <v>2.7117999999999999E-3</v>
      </c>
      <c r="E10296" t="s">
        <v>74</v>
      </c>
      <c r="F10296">
        <v>2.7118000000000002</v>
      </c>
      <c r="G10296" t="s">
        <v>75</v>
      </c>
      <c r="H10296">
        <v>2711.8029999999999</v>
      </c>
      <c r="I10296" t="s">
        <v>76</v>
      </c>
      <c r="J10296" t="s">
        <v>77</v>
      </c>
    </row>
    <row r="10297" spans="1:11" x14ac:dyDescent="0.3">
      <c r="A10297" t="s">
        <v>83</v>
      </c>
      <c r="B10297">
        <v>1000</v>
      </c>
      <c r="C10297" t="s">
        <v>80</v>
      </c>
      <c r="D10297">
        <v>2.8459700000000002E-3</v>
      </c>
      <c r="E10297" t="s">
        <v>74</v>
      </c>
      <c r="F10297">
        <v>2.8459699999999999</v>
      </c>
      <c r="G10297" t="s">
        <v>75</v>
      </c>
      <c r="H10297">
        <v>2845.9740000000002</v>
      </c>
      <c r="I10297" t="s">
        <v>76</v>
      </c>
      <c r="J10297" t="s">
        <v>77</v>
      </c>
    </row>
    <row r="10298" spans="1:11" x14ac:dyDescent="0.3">
      <c r="A10298" t="s">
        <v>83</v>
      </c>
      <c r="B10298">
        <v>1000</v>
      </c>
      <c r="C10298" t="s">
        <v>81</v>
      </c>
      <c r="D10298">
        <v>3.9113999999999998E-3</v>
      </c>
      <c r="E10298" t="s">
        <v>74</v>
      </c>
      <c r="F10298">
        <v>3.9114</v>
      </c>
      <c r="G10298" t="s">
        <v>75</v>
      </c>
      <c r="H10298">
        <v>3911.4009999999998</v>
      </c>
      <c r="I10298" t="s">
        <v>76</v>
      </c>
      <c r="J10298" t="s">
        <v>82</v>
      </c>
      <c r="K10298">
        <v>255.662882</v>
      </c>
    </row>
    <row r="10299" spans="1:11" x14ac:dyDescent="0.3">
      <c r="A10299" t="s">
        <v>84</v>
      </c>
      <c r="B10299">
        <v>1001</v>
      </c>
      <c r="C10299" t="s">
        <v>79</v>
      </c>
      <c r="D10299">
        <v>1.06583E-3</v>
      </c>
      <c r="E10299" t="s">
        <v>74</v>
      </c>
      <c r="F10299">
        <v>1.0658300000000001</v>
      </c>
      <c r="G10299" t="s">
        <v>75</v>
      </c>
      <c r="H10299">
        <v>1065.828</v>
      </c>
      <c r="I10299" t="s">
        <v>76</v>
      </c>
      <c r="J10299" t="s">
        <v>77</v>
      </c>
    </row>
    <row r="10300" spans="1:11" x14ac:dyDescent="0.3">
      <c r="A10300" t="s">
        <v>84</v>
      </c>
      <c r="B10300">
        <v>1001</v>
      </c>
      <c r="C10300" t="s">
        <v>94</v>
      </c>
      <c r="D10300">
        <v>2.71178E-3</v>
      </c>
      <c r="E10300" t="s">
        <v>74</v>
      </c>
      <c r="F10300">
        <v>2.7117800000000001</v>
      </c>
      <c r="G10300" t="s">
        <v>75</v>
      </c>
      <c r="H10300">
        <v>2711.7820000000002</v>
      </c>
      <c r="I10300" t="s">
        <v>76</v>
      </c>
      <c r="J10300" t="s">
        <v>77</v>
      </c>
    </row>
    <row r="10301" spans="1:11" x14ac:dyDescent="0.3">
      <c r="A10301" t="s">
        <v>84</v>
      </c>
      <c r="B10301">
        <v>1001</v>
      </c>
      <c r="C10301" t="s">
        <v>80</v>
      </c>
      <c r="D10301">
        <v>2.8459499999999999E-3</v>
      </c>
      <c r="E10301" t="s">
        <v>74</v>
      </c>
      <c r="F10301">
        <v>2.8459500000000002</v>
      </c>
      <c r="G10301" t="s">
        <v>75</v>
      </c>
      <c r="H10301">
        <v>2845.9520000000002</v>
      </c>
      <c r="I10301" t="s">
        <v>76</v>
      </c>
      <c r="J10301" t="s">
        <v>77</v>
      </c>
    </row>
    <row r="10302" spans="1:11" x14ac:dyDescent="0.3">
      <c r="A10302" t="s">
        <v>84</v>
      </c>
      <c r="B10302">
        <v>1001</v>
      </c>
      <c r="C10302" t="s">
        <v>81</v>
      </c>
      <c r="D10302">
        <v>3.9127600000000004E-3</v>
      </c>
      <c r="E10302" t="s">
        <v>74</v>
      </c>
      <c r="F10302">
        <v>3.91276</v>
      </c>
      <c r="G10302" t="s">
        <v>75</v>
      </c>
      <c r="H10302">
        <v>3912.761</v>
      </c>
      <c r="I10302" t="s">
        <v>76</v>
      </c>
      <c r="J10302" t="s">
        <v>82</v>
      </c>
      <c r="K10302">
        <v>255.5740117</v>
      </c>
    </row>
    <row r="10303" spans="1:11" x14ac:dyDescent="0.3">
      <c r="A10303" t="s">
        <v>85</v>
      </c>
      <c r="B10303">
        <v>1001</v>
      </c>
      <c r="C10303" t="s">
        <v>86</v>
      </c>
      <c r="D10303">
        <v>3.9129500000000001E-3</v>
      </c>
      <c r="E10303" t="s">
        <v>74</v>
      </c>
      <c r="F10303">
        <v>3.9129499999999999</v>
      </c>
      <c r="G10303" t="s">
        <v>75</v>
      </c>
      <c r="H10303">
        <v>3912.953</v>
      </c>
      <c r="I10303" t="s">
        <v>76</v>
      </c>
      <c r="J10303" t="s">
        <v>82</v>
      </c>
      <c r="K10303">
        <v>255.56144190000001</v>
      </c>
    </row>
    <row r="10304" spans="1:11" x14ac:dyDescent="0.3">
      <c r="A10304" t="s">
        <v>115</v>
      </c>
    </row>
    <row r="10305" spans="1:11" x14ac:dyDescent="0.3">
      <c r="A10305" t="s">
        <v>127</v>
      </c>
    </row>
    <row r="10306" spans="1:11" x14ac:dyDescent="0.3">
      <c r="A10306" t="s">
        <v>87</v>
      </c>
    </row>
    <row r="10307" spans="1:11" x14ac:dyDescent="0.3">
      <c r="A10307" t="s">
        <v>426</v>
      </c>
    </row>
    <row r="10308" spans="1:11" x14ac:dyDescent="0.3">
      <c r="A10308" t="s">
        <v>72</v>
      </c>
      <c r="B10308">
        <v>1</v>
      </c>
      <c r="C10308" t="s">
        <v>81</v>
      </c>
      <c r="D10308">
        <v>0.12208140000000001</v>
      </c>
      <c r="E10308" t="s">
        <v>74</v>
      </c>
      <c r="F10308">
        <v>122.0814</v>
      </c>
      <c r="G10308" t="s">
        <v>75</v>
      </c>
      <c r="H10308">
        <v>122081.399</v>
      </c>
      <c r="I10308" t="s">
        <v>76</v>
      </c>
      <c r="J10308" t="s">
        <v>82</v>
      </c>
      <c r="K10308">
        <v>8.1912561000000004</v>
      </c>
    </row>
    <row r="10309" spans="1:11" x14ac:dyDescent="0.3">
      <c r="A10309" t="s">
        <v>83</v>
      </c>
      <c r="B10309">
        <v>1000</v>
      </c>
      <c r="C10309" t="s">
        <v>81</v>
      </c>
      <c r="D10309">
        <v>3.3676000000000001E-3</v>
      </c>
      <c r="E10309" t="s">
        <v>74</v>
      </c>
      <c r="F10309">
        <v>3.3675999999999999</v>
      </c>
      <c r="G10309" t="s">
        <v>75</v>
      </c>
      <c r="H10309">
        <v>3367.6</v>
      </c>
      <c r="I10309" t="s">
        <v>76</v>
      </c>
      <c r="J10309" t="s">
        <v>82</v>
      </c>
      <c r="K10309">
        <v>296.94740510000003</v>
      </c>
    </row>
    <row r="10310" spans="1:11" x14ac:dyDescent="0.3">
      <c r="A10310" t="s">
        <v>85</v>
      </c>
      <c r="B10310">
        <v>1001</v>
      </c>
      <c r="C10310" t="s">
        <v>86</v>
      </c>
      <c r="D10310">
        <v>3.4864000000000002E-3</v>
      </c>
      <c r="E10310" t="s">
        <v>74</v>
      </c>
      <c r="F10310">
        <v>3.4864000000000002</v>
      </c>
      <c r="G10310" t="s">
        <v>75</v>
      </c>
      <c r="H10310">
        <v>3486.4050000000002</v>
      </c>
      <c r="I10310" t="s">
        <v>76</v>
      </c>
      <c r="J10310" t="s">
        <v>82</v>
      </c>
      <c r="K10310">
        <v>286.82841860000002</v>
      </c>
    </row>
    <row r="10312" spans="1:11" x14ac:dyDescent="0.3">
      <c r="A10312" t="s">
        <v>427</v>
      </c>
    </row>
    <row r="10313" spans="1:11" x14ac:dyDescent="0.3">
      <c r="A10313" t="s">
        <v>72</v>
      </c>
      <c r="B10313">
        <v>1</v>
      </c>
      <c r="C10313" t="s">
        <v>81</v>
      </c>
      <c r="D10313">
        <v>5.2732999999999999E-3</v>
      </c>
      <c r="E10313" t="s">
        <v>74</v>
      </c>
      <c r="F10313">
        <v>5.2732999999999999</v>
      </c>
      <c r="G10313" t="s">
        <v>75</v>
      </c>
      <c r="H10313">
        <v>5273.3</v>
      </c>
      <c r="I10313" t="s">
        <v>76</v>
      </c>
      <c r="J10313" t="s">
        <v>82</v>
      </c>
      <c r="K10313">
        <v>189.63456619999999</v>
      </c>
    </row>
    <row r="10314" spans="1:11" x14ac:dyDescent="0.3">
      <c r="A10314" t="s">
        <v>83</v>
      </c>
      <c r="B10314">
        <v>1000</v>
      </c>
      <c r="C10314" t="s">
        <v>81</v>
      </c>
      <c r="D10314">
        <v>3.9113999999999998E-3</v>
      </c>
      <c r="E10314" t="s">
        <v>74</v>
      </c>
      <c r="F10314">
        <v>3.9114</v>
      </c>
      <c r="G10314" t="s">
        <v>75</v>
      </c>
      <c r="H10314">
        <v>3911.4009999999998</v>
      </c>
      <c r="I10314" t="s">
        <v>76</v>
      </c>
      <c r="J10314" t="s">
        <v>82</v>
      </c>
      <c r="K10314">
        <v>255.662882</v>
      </c>
    </row>
    <row r="10315" spans="1:11" x14ac:dyDescent="0.3">
      <c r="A10315" t="s">
        <v>85</v>
      </c>
      <c r="B10315">
        <v>1001</v>
      </c>
      <c r="C10315" t="s">
        <v>86</v>
      </c>
      <c r="D10315">
        <v>3.9129500000000001E-3</v>
      </c>
      <c r="E10315" t="s">
        <v>74</v>
      </c>
      <c r="F10315">
        <v>3.9129499999999999</v>
      </c>
      <c r="G10315" t="s">
        <v>75</v>
      </c>
      <c r="H10315">
        <v>3912.953</v>
      </c>
      <c r="I10315" t="s">
        <v>76</v>
      </c>
      <c r="J10315" t="s">
        <v>82</v>
      </c>
      <c r="K10315">
        <v>255.56144190000001</v>
      </c>
    </row>
    <row r="10317" spans="1:11" x14ac:dyDescent="0.3">
      <c r="A10317" t="s">
        <v>66</v>
      </c>
    </row>
    <row r="10319" spans="1:11" x14ac:dyDescent="0.3">
      <c r="A10319" t="s">
        <v>488</v>
      </c>
    </row>
    <row r="10320" spans="1:11" x14ac:dyDescent="0.3">
      <c r="A10320" t="s">
        <v>68</v>
      </c>
    </row>
    <row r="10321" spans="1:1" x14ac:dyDescent="0.3">
      <c r="A10321" t="s">
        <v>69</v>
      </c>
    </row>
    <row r="10322" spans="1:1" x14ac:dyDescent="0.3">
      <c r="A10322" t="s">
        <v>70</v>
      </c>
    </row>
    <row r="10323" spans="1:1" x14ac:dyDescent="0.3">
      <c r="A10323" t="s">
        <v>115</v>
      </c>
    </row>
    <row r="10324" spans="1:1" x14ac:dyDescent="0.3">
      <c r="A10324" t="s">
        <v>384</v>
      </c>
    </row>
    <row r="10325" spans="1:1" x14ac:dyDescent="0.3">
      <c r="A10325" t="s">
        <v>385</v>
      </c>
    </row>
    <row r="10326" spans="1:1" x14ac:dyDescent="0.3">
      <c r="A10326" t="s">
        <v>118</v>
      </c>
    </row>
    <row r="10327" spans="1:1" x14ac:dyDescent="0.3">
      <c r="A10327" t="s">
        <v>119</v>
      </c>
    </row>
    <row r="10328" spans="1:1" x14ac:dyDescent="0.3">
      <c r="A10328" t="s">
        <v>268</v>
      </c>
    </row>
    <row r="10329" spans="1:1" x14ac:dyDescent="0.3">
      <c r="A10329" t="s">
        <v>269</v>
      </c>
    </row>
    <row r="10330" spans="1:1" x14ac:dyDescent="0.3">
      <c r="A10330" t="s">
        <v>386</v>
      </c>
    </row>
    <row r="10331" spans="1:1" x14ac:dyDescent="0.3">
      <c r="A10331" t="s">
        <v>387</v>
      </c>
    </row>
    <row r="10332" spans="1:1" x14ac:dyDescent="0.3">
      <c r="A10332" t="s">
        <v>271</v>
      </c>
    </row>
    <row r="10333" spans="1:1" x14ac:dyDescent="0.3">
      <c r="A10333" t="s">
        <v>125</v>
      </c>
    </row>
    <row r="10334" spans="1:1" x14ac:dyDescent="0.3">
      <c r="A10334" t="s">
        <v>126</v>
      </c>
    </row>
    <row r="10335" spans="1:1" x14ac:dyDescent="0.3">
      <c r="A10335" t="s">
        <v>127</v>
      </c>
    </row>
    <row r="10336" spans="1:1" x14ac:dyDescent="0.3">
      <c r="A10336" t="s">
        <v>185</v>
      </c>
    </row>
    <row r="10337" spans="1:11" x14ac:dyDescent="0.3">
      <c r="A10337" t="s">
        <v>429</v>
      </c>
    </row>
    <row r="10338" spans="1:11" x14ac:dyDescent="0.3">
      <c r="A10338" t="s">
        <v>72</v>
      </c>
      <c r="B10338">
        <v>1</v>
      </c>
      <c r="C10338" t="s">
        <v>73</v>
      </c>
      <c r="D10338">
        <v>5.2000000000000002E-6</v>
      </c>
      <c r="E10338" t="s">
        <v>74</v>
      </c>
      <c r="F10338">
        <v>5.1999999999999998E-3</v>
      </c>
      <c r="G10338" t="s">
        <v>75</v>
      </c>
      <c r="H10338">
        <v>5.2</v>
      </c>
      <c r="I10338" t="s">
        <v>76</v>
      </c>
      <c r="J10338" t="s">
        <v>77</v>
      </c>
    </row>
    <row r="10339" spans="1:11" x14ac:dyDescent="0.3">
      <c r="A10339" t="s">
        <v>72</v>
      </c>
      <c r="B10339">
        <v>1</v>
      </c>
      <c r="C10339" t="s">
        <v>78</v>
      </c>
      <c r="D10339">
        <v>0.1158901</v>
      </c>
      <c r="E10339" t="s">
        <v>74</v>
      </c>
      <c r="F10339">
        <v>115.8901</v>
      </c>
      <c r="G10339" t="s">
        <v>75</v>
      </c>
      <c r="H10339">
        <v>115890.101</v>
      </c>
      <c r="I10339" t="s">
        <v>76</v>
      </c>
      <c r="J10339" t="s">
        <v>77</v>
      </c>
    </row>
    <row r="10340" spans="1:11" x14ac:dyDescent="0.3">
      <c r="A10340" t="s">
        <v>72</v>
      </c>
      <c r="B10340">
        <v>1</v>
      </c>
      <c r="C10340" t="s">
        <v>79</v>
      </c>
      <c r="D10340">
        <v>0.13721659999999999</v>
      </c>
      <c r="E10340" t="s">
        <v>74</v>
      </c>
      <c r="F10340">
        <v>137.2166</v>
      </c>
      <c r="G10340" t="s">
        <v>75</v>
      </c>
      <c r="H10340">
        <v>137216.598</v>
      </c>
      <c r="I10340" t="s">
        <v>76</v>
      </c>
      <c r="J10340" t="s">
        <v>77</v>
      </c>
    </row>
    <row r="10341" spans="1:11" x14ac:dyDescent="0.3">
      <c r="A10341" t="s">
        <v>72</v>
      </c>
      <c r="B10341">
        <v>1</v>
      </c>
      <c r="C10341" t="s">
        <v>94</v>
      </c>
      <c r="D10341">
        <v>9.5131999999999994E-3</v>
      </c>
      <c r="E10341" t="s">
        <v>74</v>
      </c>
      <c r="F10341">
        <v>9.5131999999999994</v>
      </c>
      <c r="G10341" t="s">
        <v>75</v>
      </c>
      <c r="H10341">
        <v>9513.2000000000007</v>
      </c>
      <c r="I10341" t="s">
        <v>76</v>
      </c>
      <c r="J10341" t="s">
        <v>77</v>
      </c>
    </row>
    <row r="10342" spans="1:11" x14ac:dyDescent="0.3">
      <c r="A10342" t="s">
        <v>72</v>
      </c>
      <c r="B10342">
        <v>1</v>
      </c>
      <c r="C10342" t="s">
        <v>80</v>
      </c>
      <c r="D10342">
        <v>9.5139999999999999E-3</v>
      </c>
      <c r="E10342" t="s">
        <v>74</v>
      </c>
      <c r="F10342">
        <v>9.5139999999999993</v>
      </c>
      <c r="G10342" t="s">
        <v>75</v>
      </c>
      <c r="H10342">
        <v>9514</v>
      </c>
      <c r="I10342" t="s">
        <v>76</v>
      </c>
      <c r="J10342" t="s">
        <v>77</v>
      </c>
    </row>
    <row r="10343" spans="1:11" x14ac:dyDescent="0.3">
      <c r="A10343" t="s">
        <v>72</v>
      </c>
      <c r="B10343">
        <v>1</v>
      </c>
      <c r="C10343" t="s">
        <v>81</v>
      </c>
      <c r="D10343">
        <v>0.14673248999999999</v>
      </c>
      <c r="E10343" t="s">
        <v>74</v>
      </c>
      <c r="F10343">
        <v>146.73249000000001</v>
      </c>
      <c r="G10343" t="s">
        <v>75</v>
      </c>
      <c r="H10343">
        <v>146732.49400000001</v>
      </c>
      <c r="I10343" t="s">
        <v>76</v>
      </c>
      <c r="J10343" t="s">
        <v>82</v>
      </c>
      <c r="K10343">
        <v>6.8151229999999998</v>
      </c>
    </row>
    <row r="10344" spans="1:11" x14ac:dyDescent="0.3">
      <c r="A10344" t="s">
        <v>83</v>
      </c>
      <c r="B10344">
        <v>1000</v>
      </c>
      <c r="C10344" t="s">
        <v>79</v>
      </c>
      <c r="D10344">
        <v>2.1719399999999998E-3</v>
      </c>
      <c r="E10344" t="s">
        <v>74</v>
      </c>
      <c r="F10344">
        <v>2.1719400000000002</v>
      </c>
      <c r="G10344" t="s">
        <v>75</v>
      </c>
      <c r="H10344">
        <v>2171.944</v>
      </c>
      <c r="I10344" t="s">
        <v>76</v>
      </c>
      <c r="J10344" t="s">
        <v>77</v>
      </c>
    </row>
    <row r="10345" spans="1:11" x14ac:dyDescent="0.3">
      <c r="A10345" t="s">
        <v>83</v>
      </c>
      <c r="B10345">
        <v>1000</v>
      </c>
      <c r="C10345" t="s">
        <v>94</v>
      </c>
      <c r="D10345">
        <v>2.62378E-3</v>
      </c>
      <c r="E10345" t="s">
        <v>74</v>
      </c>
      <c r="F10345">
        <v>2.62378</v>
      </c>
      <c r="G10345" t="s">
        <v>75</v>
      </c>
      <c r="H10345">
        <v>2623.7759999999998</v>
      </c>
      <c r="I10345" t="s">
        <v>76</v>
      </c>
      <c r="J10345" t="s">
        <v>77</v>
      </c>
    </row>
    <row r="10346" spans="1:11" x14ac:dyDescent="0.3">
      <c r="A10346" t="s">
        <v>83</v>
      </c>
      <c r="B10346">
        <v>1000</v>
      </c>
      <c r="C10346" t="s">
        <v>80</v>
      </c>
      <c r="D10346">
        <v>2.7884199999999998E-3</v>
      </c>
      <c r="E10346" t="s">
        <v>74</v>
      </c>
      <c r="F10346">
        <v>2.7884199999999999</v>
      </c>
      <c r="G10346" t="s">
        <v>75</v>
      </c>
      <c r="H10346">
        <v>2788.4169999999999</v>
      </c>
      <c r="I10346" t="s">
        <v>76</v>
      </c>
      <c r="J10346" t="s">
        <v>77</v>
      </c>
    </row>
    <row r="10347" spans="1:11" x14ac:dyDescent="0.3">
      <c r="A10347" t="s">
        <v>83</v>
      </c>
      <c r="B10347">
        <v>1000</v>
      </c>
      <c r="C10347" t="s">
        <v>81</v>
      </c>
      <c r="D10347">
        <v>4.96116E-3</v>
      </c>
      <c r="E10347" t="s">
        <v>74</v>
      </c>
      <c r="F10347">
        <v>4.9611599999999996</v>
      </c>
      <c r="G10347" t="s">
        <v>75</v>
      </c>
      <c r="H10347">
        <v>4961.1639999999998</v>
      </c>
      <c r="I10347" t="s">
        <v>76</v>
      </c>
      <c r="J10347" t="s">
        <v>82</v>
      </c>
      <c r="K10347">
        <v>201.5655811</v>
      </c>
    </row>
    <row r="10348" spans="1:11" x14ac:dyDescent="0.3">
      <c r="A10348" t="s">
        <v>84</v>
      </c>
      <c r="B10348">
        <v>1001</v>
      </c>
      <c r="C10348" t="s">
        <v>79</v>
      </c>
      <c r="D10348">
        <v>2.30685E-3</v>
      </c>
      <c r="E10348" t="s">
        <v>74</v>
      </c>
      <c r="F10348">
        <v>2.3068499999999998</v>
      </c>
      <c r="G10348" t="s">
        <v>75</v>
      </c>
      <c r="H10348">
        <v>2306.8539999999998</v>
      </c>
      <c r="I10348" t="s">
        <v>76</v>
      </c>
      <c r="J10348" t="s">
        <v>77</v>
      </c>
    </row>
    <row r="10349" spans="1:11" x14ac:dyDescent="0.3">
      <c r="A10349" t="s">
        <v>84</v>
      </c>
      <c r="B10349">
        <v>1001</v>
      </c>
      <c r="C10349" t="s">
        <v>94</v>
      </c>
      <c r="D10349">
        <v>2.6306599999999999E-3</v>
      </c>
      <c r="E10349" t="s">
        <v>74</v>
      </c>
      <c r="F10349">
        <v>2.6306600000000002</v>
      </c>
      <c r="G10349" t="s">
        <v>75</v>
      </c>
      <c r="H10349">
        <v>2630.6579999999999</v>
      </c>
      <c r="I10349" t="s">
        <v>76</v>
      </c>
      <c r="J10349" t="s">
        <v>77</v>
      </c>
    </row>
    <row r="10350" spans="1:11" x14ac:dyDescent="0.3">
      <c r="A10350" t="s">
        <v>84</v>
      </c>
      <c r="B10350">
        <v>1001</v>
      </c>
      <c r="C10350" t="s">
        <v>80</v>
      </c>
      <c r="D10350">
        <v>2.7951400000000002E-3</v>
      </c>
      <c r="E10350" t="s">
        <v>74</v>
      </c>
      <c r="F10350">
        <v>2.79514</v>
      </c>
      <c r="G10350" t="s">
        <v>75</v>
      </c>
      <c r="H10350">
        <v>2795.136</v>
      </c>
      <c r="I10350" t="s">
        <v>76</v>
      </c>
      <c r="J10350" t="s">
        <v>77</v>
      </c>
    </row>
    <row r="10351" spans="1:11" x14ac:dyDescent="0.3">
      <c r="A10351" t="s">
        <v>84</v>
      </c>
      <c r="B10351">
        <v>1001</v>
      </c>
      <c r="C10351" t="s">
        <v>81</v>
      </c>
      <c r="D10351">
        <v>5.1027900000000003E-3</v>
      </c>
      <c r="E10351" t="s">
        <v>74</v>
      </c>
      <c r="F10351">
        <v>5.1027899999999997</v>
      </c>
      <c r="G10351" t="s">
        <v>75</v>
      </c>
      <c r="H10351">
        <v>5102.7939999999999</v>
      </c>
      <c r="I10351" t="s">
        <v>76</v>
      </c>
      <c r="J10351" t="s">
        <v>82</v>
      </c>
      <c r="K10351">
        <v>195.97106959999999</v>
      </c>
    </row>
    <row r="10352" spans="1:11" x14ac:dyDescent="0.3">
      <c r="A10352" t="s">
        <v>85</v>
      </c>
      <c r="B10352">
        <v>1001</v>
      </c>
      <c r="C10352" t="s">
        <v>86</v>
      </c>
      <c r="D10352">
        <v>5.10298E-3</v>
      </c>
      <c r="E10352" t="s">
        <v>74</v>
      </c>
      <c r="F10352">
        <v>5.1029799999999996</v>
      </c>
      <c r="G10352" t="s">
        <v>75</v>
      </c>
      <c r="H10352">
        <v>5102.9809999999998</v>
      </c>
      <c r="I10352" t="s">
        <v>76</v>
      </c>
      <c r="J10352" t="s">
        <v>82</v>
      </c>
      <c r="K10352">
        <v>195.96388010000001</v>
      </c>
    </row>
    <row r="10353" spans="1:11" x14ac:dyDescent="0.3">
      <c r="A10353" t="s">
        <v>187</v>
      </c>
    </row>
    <row r="10354" spans="1:11" x14ac:dyDescent="0.3">
      <c r="A10354" t="s">
        <v>430</v>
      </c>
    </row>
    <row r="10355" spans="1:11" x14ac:dyDescent="0.3">
      <c r="A10355" t="s">
        <v>72</v>
      </c>
      <c r="B10355">
        <v>1</v>
      </c>
      <c r="C10355" t="s">
        <v>73</v>
      </c>
      <c r="D10355">
        <v>5.2000000000000002E-6</v>
      </c>
      <c r="E10355" t="s">
        <v>74</v>
      </c>
      <c r="F10355">
        <v>5.1999999999999998E-3</v>
      </c>
      <c r="G10355" t="s">
        <v>75</v>
      </c>
      <c r="H10355">
        <v>5.2</v>
      </c>
      <c r="I10355" t="s">
        <v>76</v>
      </c>
      <c r="J10355" t="s">
        <v>77</v>
      </c>
    </row>
    <row r="10356" spans="1:11" x14ac:dyDescent="0.3">
      <c r="A10356" t="s">
        <v>72</v>
      </c>
      <c r="B10356">
        <v>1</v>
      </c>
      <c r="C10356" t="s">
        <v>78</v>
      </c>
      <c r="D10356">
        <v>5.5539999999999995E-4</v>
      </c>
      <c r="E10356" t="s">
        <v>74</v>
      </c>
      <c r="F10356">
        <v>0.5554</v>
      </c>
      <c r="G10356" t="s">
        <v>75</v>
      </c>
      <c r="H10356">
        <v>555.4</v>
      </c>
      <c r="I10356" t="s">
        <v>76</v>
      </c>
      <c r="J10356" t="s">
        <v>77</v>
      </c>
    </row>
    <row r="10357" spans="1:11" x14ac:dyDescent="0.3">
      <c r="A10357" t="s">
        <v>72</v>
      </c>
      <c r="B10357">
        <v>1</v>
      </c>
      <c r="C10357" t="s">
        <v>79</v>
      </c>
      <c r="D10357">
        <v>3.9801000000000003E-3</v>
      </c>
      <c r="E10357" t="s">
        <v>74</v>
      </c>
      <c r="F10357">
        <v>3.9801000000000002</v>
      </c>
      <c r="G10357" t="s">
        <v>75</v>
      </c>
      <c r="H10357">
        <v>3980.1</v>
      </c>
      <c r="I10357" t="s">
        <v>76</v>
      </c>
      <c r="J10357" t="s">
        <v>77</v>
      </c>
    </row>
    <row r="10358" spans="1:11" x14ac:dyDescent="0.3">
      <c r="A10358" t="s">
        <v>72</v>
      </c>
      <c r="B10358">
        <v>1</v>
      </c>
      <c r="C10358" t="s">
        <v>94</v>
      </c>
      <c r="D10358">
        <v>2.611E-3</v>
      </c>
      <c r="E10358" t="s">
        <v>74</v>
      </c>
      <c r="F10358">
        <v>2.6110000000000002</v>
      </c>
      <c r="G10358" t="s">
        <v>75</v>
      </c>
      <c r="H10358">
        <v>2611</v>
      </c>
      <c r="I10358" t="s">
        <v>76</v>
      </c>
      <c r="J10358" t="s">
        <v>77</v>
      </c>
    </row>
    <row r="10359" spans="1:11" x14ac:dyDescent="0.3">
      <c r="A10359" t="s">
        <v>72</v>
      </c>
      <c r="B10359">
        <v>1</v>
      </c>
      <c r="C10359" t="s">
        <v>80</v>
      </c>
      <c r="D10359">
        <v>2.7423E-3</v>
      </c>
      <c r="E10359" t="s">
        <v>74</v>
      </c>
      <c r="F10359">
        <v>2.7423000000000002</v>
      </c>
      <c r="G10359" t="s">
        <v>75</v>
      </c>
      <c r="H10359">
        <v>2742.3</v>
      </c>
      <c r="I10359" t="s">
        <v>76</v>
      </c>
      <c r="J10359" t="s">
        <v>77</v>
      </c>
    </row>
    <row r="10360" spans="1:11" x14ac:dyDescent="0.3">
      <c r="A10360" t="s">
        <v>72</v>
      </c>
      <c r="B10360">
        <v>1</v>
      </c>
      <c r="C10360" t="s">
        <v>81</v>
      </c>
      <c r="D10360">
        <v>6.7238000000000003E-3</v>
      </c>
      <c r="E10360" t="s">
        <v>74</v>
      </c>
      <c r="F10360">
        <v>6.7237999999999998</v>
      </c>
      <c r="G10360" t="s">
        <v>75</v>
      </c>
      <c r="H10360">
        <v>6723.8</v>
      </c>
      <c r="I10360" t="s">
        <v>76</v>
      </c>
      <c r="J10360" t="s">
        <v>82</v>
      </c>
      <c r="K10360">
        <v>148.72541849999999</v>
      </c>
    </row>
    <row r="10361" spans="1:11" x14ac:dyDescent="0.3">
      <c r="A10361" t="s">
        <v>83</v>
      </c>
      <c r="B10361">
        <v>1000</v>
      </c>
      <c r="C10361" t="s">
        <v>79</v>
      </c>
      <c r="D10361">
        <v>2.52118E-3</v>
      </c>
      <c r="E10361" t="s">
        <v>74</v>
      </c>
      <c r="F10361">
        <v>2.5211800000000002</v>
      </c>
      <c r="G10361" t="s">
        <v>75</v>
      </c>
      <c r="H10361">
        <v>2521.183</v>
      </c>
      <c r="I10361" t="s">
        <v>76</v>
      </c>
      <c r="J10361" t="s">
        <v>77</v>
      </c>
    </row>
    <row r="10362" spans="1:11" x14ac:dyDescent="0.3">
      <c r="A10362" t="s">
        <v>83</v>
      </c>
      <c r="B10362">
        <v>1000</v>
      </c>
      <c r="C10362" t="s">
        <v>94</v>
      </c>
      <c r="D10362">
        <v>2.6700399999999998E-3</v>
      </c>
      <c r="E10362" t="s">
        <v>74</v>
      </c>
      <c r="F10362">
        <v>2.6700400000000002</v>
      </c>
      <c r="G10362" t="s">
        <v>75</v>
      </c>
      <c r="H10362">
        <v>2670.0360000000001</v>
      </c>
      <c r="I10362" t="s">
        <v>76</v>
      </c>
      <c r="J10362" t="s">
        <v>77</v>
      </c>
    </row>
    <row r="10363" spans="1:11" x14ac:dyDescent="0.3">
      <c r="A10363" t="s">
        <v>83</v>
      </c>
      <c r="B10363">
        <v>1000</v>
      </c>
      <c r="C10363" t="s">
        <v>80</v>
      </c>
      <c r="D10363">
        <v>2.7974200000000001E-3</v>
      </c>
      <c r="E10363" t="s">
        <v>74</v>
      </c>
      <c r="F10363">
        <v>2.7974199999999998</v>
      </c>
      <c r="G10363" t="s">
        <v>75</v>
      </c>
      <c r="H10363">
        <v>2797.42</v>
      </c>
      <c r="I10363" t="s">
        <v>76</v>
      </c>
      <c r="J10363" t="s">
        <v>77</v>
      </c>
    </row>
    <row r="10364" spans="1:11" x14ac:dyDescent="0.3">
      <c r="A10364" t="s">
        <v>83</v>
      </c>
      <c r="B10364">
        <v>1000</v>
      </c>
      <c r="C10364" t="s">
        <v>81</v>
      </c>
      <c r="D10364">
        <v>5.3196099999999998E-3</v>
      </c>
      <c r="E10364" t="s">
        <v>74</v>
      </c>
      <c r="F10364">
        <v>5.3196099999999999</v>
      </c>
      <c r="G10364" t="s">
        <v>75</v>
      </c>
      <c r="H10364">
        <v>5319.6109999999999</v>
      </c>
      <c r="I10364" t="s">
        <v>76</v>
      </c>
      <c r="J10364" t="s">
        <v>82</v>
      </c>
      <c r="K10364">
        <v>187.98368450000001</v>
      </c>
    </row>
    <row r="10365" spans="1:11" x14ac:dyDescent="0.3">
      <c r="A10365" t="s">
        <v>84</v>
      </c>
      <c r="B10365">
        <v>1001</v>
      </c>
      <c r="C10365" t="s">
        <v>79</v>
      </c>
      <c r="D10365">
        <v>2.52264E-3</v>
      </c>
      <c r="E10365" t="s">
        <v>74</v>
      </c>
      <c r="F10365">
        <v>2.52264</v>
      </c>
      <c r="G10365" t="s">
        <v>75</v>
      </c>
      <c r="H10365">
        <v>2522.64</v>
      </c>
      <c r="I10365" t="s">
        <v>76</v>
      </c>
      <c r="J10365" t="s">
        <v>77</v>
      </c>
    </row>
    <row r="10366" spans="1:11" x14ac:dyDescent="0.3">
      <c r="A10366" t="s">
        <v>84</v>
      </c>
      <c r="B10366">
        <v>1001</v>
      </c>
      <c r="C10366" t="s">
        <v>94</v>
      </c>
      <c r="D10366">
        <v>2.6699800000000002E-3</v>
      </c>
      <c r="E10366" t="s">
        <v>74</v>
      </c>
      <c r="F10366">
        <v>2.6699799999999998</v>
      </c>
      <c r="G10366" t="s">
        <v>75</v>
      </c>
      <c r="H10366">
        <v>2669.9769999999999</v>
      </c>
      <c r="I10366" t="s">
        <v>76</v>
      </c>
      <c r="J10366" t="s">
        <v>77</v>
      </c>
    </row>
    <row r="10367" spans="1:11" x14ac:dyDescent="0.3">
      <c r="A10367" t="s">
        <v>84</v>
      </c>
      <c r="B10367">
        <v>1001</v>
      </c>
      <c r="C10367" t="s">
        <v>80</v>
      </c>
      <c r="D10367">
        <v>2.79736E-3</v>
      </c>
      <c r="E10367" t="s">
        <v>74</v>
      </c>
      <c r="F10367">
        <v>2.7973599999999998</v>
      </c>
      <c r="G10367" t="s">
        <v>75</v>
      </c>
      <c r="H10367">
        <v>2797.3649999999998</v>
      </c>
      <c r="I10367" t="s">
        <v>76</v>
      </c>
      <c r="J10367" t="s">
        <v>77</v>
      </c>
    </row>
    <row r="10368" spans="1:11" x14ac:dyDescent="0.3">
      <c r="A10368" t="s">
        <v>84</v>
      </c>
      <c r="B10368">
        <v>1001</v>
      </c>
      <c r="C10368" t="s">
        <v>81</v>
      </c>
      <c r="D10368">
        <v>5.3210100000000001E-3</v>
      </c>
      <c r="E10368" t="s">
        <v>74</v>
      </c>
      <c r="F10368">
        <v>5.3210100000000002</v>
      </c>
      <c r="G10368" t="s">
        <v>75</v>
      </c>
      <c r="H10368">
        <v>5321.0129999999999</v>
      </c>
      <c r="I10368" t="s">
        <v>76</v>
      </c>
      <c r="J10368" t="s">
        <v>82</v>
      </c>
      <c r="K10368">
        <v>187.93412330000001</v>
      </c>
    </row>
    <row r="10369" spans="1:11" x14ac:dyDescent="0.3">
      <c r="A10369" t="s">
        <v>85</v>
      </c>
      <c r="B10369">
        <v>1001</v>
      </c>
      <c r="C10369" t="s">
        <v>86</v>
      </c>
      <c r="D10369">
        <v>5.3212600000000004E-3</v>
      </c>
      <c r="E10369" t="s">
        <v>74</v>
      </c>
      <c r="F10369">
        <v>5.3212599999999997</v>
      </c>
      <c r="G10369" t="s">
        <v>75</v>
      </c>
      <c r="H10369">
        <v>5321.2560000000003</v>
      </c>
      <c r="I10369" t="s">
        <v>76</v>
      </c>
      <c r="J10369" t="s">
        <v>82</v>
      </c>
      <c r="K10369">
        <v>187.9255431</v>
      </c>
    </row>
    <row r="10370" spans="1:11" x14ac:dyDescent="0.3">
      <c r="A10370" t="s">
        <v>115</v>
      </c>
    </row>
    <row r="10371" spans="1:11" x14ac:dyDescent="0.3">
      <c r="A10371" t="s">
        <v>127</v>
      </c>
    </row>
    <row r="10372" spans="1:11" x14ac:dyDescent="0.3">
      <c r="A10372" t="s">
        <v>87</v>
      </c>
    </row>
    <row r="10373" spans="1:11" x14ac:dyDescent="0.3">
      <c r="A10373" t="s">
        <v>431</v>
      </c>
    </row>
    <row r="10374" spans="1:11" x14ac:dyDescent="0.3">
      <c r="A10374" t="s">
        <v>72</v>
      </c>
      <c r="B10374">
        <v>1</v>
      </c>
      <c r="C10374" t="s">
        <v>81</v>
      </c>
      <c r="D10374">
        <v>0.14673248999999999</v>
      </c>
      <c r="E10374" t="s">
        <v>74</v>
      </c>
      <c r="F10374">
        <v>146.73249000000001</v>
      </c>
      <c r="G10374" t="s">
        <v>75</v>
      </c>
      <c r="H10374">
        <v>146732.49400000001</v>
      </c>
      <c r="I10374" t="s">
        <v>76</v>
      </c>
      <c r="J10374" t="s">
        <v>82</v>
      </c>
      <c r="K10374">
        <v>6.8151229999999998</v>
      </c>
    </row>
    <row r="10375" spans="1:11" x14ac:dyDescent="0.3">
      <c r="A10375" t="s">
        <v>83</v>
      </c>
      <c r="B10375">
        <v>1000</v>
      </c>
      <c r="C10375" t="s">
        <v>81</v>
      </c>
      <c r="D10375">
        <v>4.96116E-3</v>
      </c>
      <c r="E10375" t="s">
        <v>74</v>
      </c>
      <c r="F10375">
        <v>4.9611599999999996</v>
      </c>
      <c r="G10375" t="s">
        <v>75</v>
      </c>
      <c r="H10375">
        <v>4961.1639999999998</v>
      </c>
      <c r="I10375" t="s">
        <v>76</v>
      </c>
      <c r="J10375" t="s">
        <v>82</v>
      </c>
      <c r="K10375">
        <v>201.5655811</v>
      </c>
    </row>
    <row r="10376" spans="1:11" x14ac:dyDescent="0.3">
      <c r="A10376" t="s">
        <v>85</v>
      </c>
      <c r="B10376">
        <v>1001</v>
      </c>
      <c r="C10376" t="s">
        <v>86</v>
      </c>
      <c r="D10376">
        <v>5.10298E-3</v>
      </c>
      <c r="E10376" t="s">
        <v>74</v>
      </c>
      <c r="F10376">
        <v>5.1029799999999996</v>
      </c>
      <c r="G10376" t="s">
        <v>75</v>
      </c>
      <c r="H10376">
        <v>5102.9809999999998</v>
      </c>
      <c r="I10376" t="s">
        <v>76</v>
      </c>
      <c r="J10376" t="s">
        <v>82</v>
      </c>
      <c r="K10376">
        <v>195.96388010000001</v>
      </c>
    </row>
    <row r="10378" spans="1:11" x14ac:dyDescent="0.3">
      <c r="A10378" t="s">
        <v>432</v>
      </c>
    </row>
    <row r="10379" spans="1:11" x14ac:dyDescent="0.3">
      <c r="A10379" t="s">
        <v>72</v>
      </c>
      <c r="B10379">
        <v>1</v>
      </c>
      <c r="C10379" t="s">
        <v>81</v>
      </c>
      <c r="D10379">
        <v>6.7238000000000003E-3</v>
      </c>
      <c r="E10379" t="s">
        <v>74</v>
      </c>
      <c r="F10379">
        <v>6.7237999999999998</v>
      </c>
      <c r="G10379" t="s">
        <v>75</v>
      </c>
      <c r="H10379">
        <v>6723.8</v>
      </c>
      <c r="I10379" t="s">
        <v>76</v>
      </c>
      <c r="J10379" t="s">
        <v>82</v>
      </c>
      <c r="K10379">
        <v>148.72541849999999</v>
      </c>
    </row>
    <row r="10380" spans="1:11" x14ac:dyDescent="0.3">
      <c r="A10380" t="s">
        <v>83</v>
      </c>
      <c r="B10380">
        <v>1000</v>
      </c>
      <c r="C10380" t="s">
        <v>81</v>
      </c>
      <c r="D10380">
        <v>5.3196099999999998E-3</v>
      </c>
      <c r="E10380" t="s">
        <v>74</v>
      </c>
      <c r="F10380">
        <v>5.3196099999999999</v>
      </c>
      <c r="G10380" t="s">
        <v>75</v>
      </c>
      <c r="H10380">
        <v>5319.6109999999999</v>
      </c>
      <c r="I10380" t="s">
        <v>76</v>
      </c>
      <c r="J10380" t="s">
        <v>82</v>
      </c>
      <c r="K10380">
        <v>187.98368450000001</v>
      </c>
    </row>
    <row r="10381" spans="1:11" x14ac:dyDescent="0.3">
      <c r="A10381" t="s">
        <v>85</v>
      </c>
      <c r="B10381">
        <v>1001</v>
      </c>
      <c r="C10381" t="s">
        <v>86</v>
      </c>
      <c r="D10381">
        <v>5.3212600000000004E-3</v>
      </c>
      <c r="E10381" t="s">
        <v>74</v>
      </c>
      <c r="F10381">
        <v>5.3212599999999997</v>
      </c>
      <c r="G10381" t="s">
        <v>75</v>
      </c>
      <c r="H10381">
        <v>5321.2560000000003</v>
      </c>
      <c r="I10381" t="s">
        <v>76</v>
      </c>
      <c r="J10381" t="s">
        <v>82</v>
      </c>
      <c r="K10381">
        <v>187.9255431</v>
      </c>
    </row>
    <row r="10383" spans="1:11" x14ac:dyDescent="0.3">
      <c r="A10383" t="s">
        <v>66</v>
      </c>
    </row>
    <row r="10385" spans="1:1" x14ac:dyDescent="0.3">
      <c r="A10385" t="s">
        <v>489</v>
      </c>
    </row>
    <row r="10386" spans="1:1" x14ac:dyDescent="0.3">
      <c r="A10386" t="s">
        <v>68</v>
      </c>
    </row>
    <row r="10387" spans="1:1" x14ac:dyDescent="0.3">
      <c r="A10387" t="s">
        <v>69</v>
      </c>
    </row>
    <row r="10388" spans="1:1" x14ac:dyDescent="0.3">
      <c r="A10388" t="s">
        <v>70</v>
      </c>
    </row>
    <row r="10389" spans="1:1" x14ac:dyDescent="0.3">
      <c r="A10389" t="s">
        <v>115</v>
      </c>
    </row>
    <row r="10390" spans="1:1" x14ac:dyDescent="0.3">
      <c r="A10390" t="s">
        <v>384</v>
      </c>
    </row>
    <row r="10391" spans="1:1" x14ac:dyDescent="0.3">
      <c r="A10391" t="s">
        <v>385</v>
      </c>
    </row>
    <row r="10392" spans="1:1" x14ac:dyDescent="0.3">
      <c r="A10392" t="s">
        <v>118</v>
      </c>
    </row>
    <row r="10393" spans="1:1" x14ac:dyDescent="0.3">
      <c r="A10393" t="s">
        <v>119</v>
      </c>
    </row>
    <row r="10394" spans="1:1" x14ac:dyDescent="0.3">
      <c r="A10394" t="s">
        <v>268</v>
      </c>
    </row>
    <row r="10395" spans="1:1" x14ac:dyDescent="0.3">
      <c r="A10395" t="s">
        <v>269</v>
      </c>
    </row>
    <row r="10396" spans="1:1" x14ac:dyDescent="0.3">
      <c r="A10396" t="s">
        <v>386</v>
      </c>
    </row>
    <row r="10397" spans="1:1" x14ac:dyDescent="0.3">
      <c r="A10397" t="s">
        <v>387</v>
      </c>
    </row>
    <row r="10398" spans="1:1" x14ac:dyDescent="0.3">
      <c r="A10398" t="s">
        <v>271</v>
      </c>
    </row>
    <row r="10399" spans="1:1" x14ac:dyDescent="0.3">
      <c r="A10399" t="s">
        <v>125</v>
      </c>
    </row>
    <row r="10400" spans="1:1" x14ac:dyDescent="0.3">
      <c r="A10400" t="s">
        <v>126</v>
      </c>
    </row>
    <row r="10401" spans="1:11" x14ac:dyDescent="0.3">
      <c r="A10401" t="s">
        <v>127</v>
      </c>
    </row>
    <row r="10402" spans="1:11" x14ac:dyDescent="0.3">
      <c r="A10402" t="s">
        <v>192</v>
      </c>
    </row>
    <row r="10403" spans="1:11" x14ac:dyDescent="0.3">
      <c r="A10403" t="s">
        <v>434</v>
      </c>
    </row>
    <row r="10404" spans="1:11" x14ac:dyDescent="0.3">
      <c r="A10404" t="s">
        <v>72</v>
      </c>
      <c r="B10404">
        <v>1</v>
      </c>
      <c r="C10404" t="s">
        <v>73</v>
      </c>
      <c r="D10404">
        <v>4.1999999999999996E-6</v>
      </c>
      <c r="E10404" t="s">
        <v>74</v>
      </c>
      <c r="F10404">
        <v>4.1999999999999997E-3</v>
      </c>
      <c r="G10404" t="s">
        <v>75</v>
      </c>
      <c r="H10404">
        <v>4.2</v>
      </c>
      <c r="I10404" t="s">
        <v>76</v>
      </c>
      <c r="J10404" t="s">
        <v>77</v>
      </c>
    </row>
    <row r="10405" spans="1:11" x14ac:dyDescent="0.3">
      <c r="A10405" t="s">
        <v>72</v>
      </c>
      <c r="B10405">
        <v>1</v>
      </c>
      <c r="C10405" t="s">
        <v>78</v>
      </c>
      <c r="D10405">
        <v>0.13620979999999999</v>
      </c>
      <c r="E10405" t="s">
        <v>74</v>
      </c>
      <c r="F10405">
        <v>136.2098</v>
      </c>
      <c r="G10405" t="s">
        <v>75</v>
      </c>
      <c r="H10405">
        <v>136209.80100000001</v>
      </c>
      <c r="I10405" t="s">
        <v>76</v>
      </c>
      <c r="J10405" t="s">
        <v>77</v>
      </c>
    </row>
    <row r="10406" spans="1:11" x14ac:dyDescent="0.3">
      <c r="A10406" t="s">
        <v>72</v>
      </c>
      <c r="B10406">
        <v>1</v>
      </c>
      <c r="C10406" t="s">
        <v>79</v>
      </c>
      <c r="D10406">
        <v>0.1042915</v>
      </c>
      <c r="E10406" t="s">
        <v>74</v>
      </c>
      <c r="F10406">
        <v>104.2915</v>
      </c>
      <c r="G10406" t="s">
        <v>75</v>
      </c>
      <c r="H10406">
        <v>104291.499</v>
      </c>
      <c r="I10406" t="s">
        <v>76</v>
      </c>
      <c r="J10406" t="s">
        <v>77</v>
      </c>
    </row>
    <row r="10407" spans="1:11" x14ac:dyDescent="0.3">
      <c r="A10407" t="s">
        <v>72</v>
      </c>
      <c r="B10407">
        <v>1</v>
      </c>
      <c r="C10407" t="s">
        <v>94</v>
      </c>
      <c r="D10407">
        <v>9.4833000000000001E-3</v>
      </c>
      <c r="E10407" t="s">
        <v>74</v>
      </c>
      <c r="F10407">
        <v>9.4832999999999998</v>
      </c>
      <c r="G10407" t="s">
        <v>75</v>
      </c>
      <c r="H10407">
        <v>9483.2999999999993</v>
      </c>
      <c r="I10407" t="s">
        <v>76</v>
      </c>
      <c r="J10407" t="s">
        <v>77</v>
      </c>
    </row>
    <row r="10408" spans="1:11" x14ac:dyDescent="0.3">
      <c r="A10408" t="s">
        <v>72</v>
      </c>
      <c r="B10408">
        <v>1</v>
      </c>
      <c r="C10408" t="s">
        <v>80</v>
      </c>
      <c r="D10408">
        <v>9.4839E-3</v>
      </c>
      <c r="E10408" t="s">
        <v>74</v>
      </c>
      <c r="F10408">
        <v>9.4839000000000002</v>
      </c>
      <c r="G10408" t="s">
        <v>75</v>
      </c>
      <c r="H10408">
        <v>9483.9</v>
      </c>
      <c r="I10408" t="s">
        <v>76</v>
      </c>
      <c r="J10408" t="s">
        <v>77</v>
      </c>
    </row>
    <row r="10409" spans="1:11" x14ac:dyDescent="0.3">
      <c r="A10409" t="s">
        <v>72</v>
      </c>
      <c r="B10409">
        <v>1</v>
      </c>
      <c r="C10409" t="s">
        <v>81</v>
      </c>
      <c r="D10409">
        <v>0.11377809999999999</v>
      </c>
      <c r="E10409" t="s">
        <v>74</v>
      </c>
      <c r="F10409">
        <v>113.77809999999999</v>
      </c>
      <c r="G10409" t="s">
        <v>75</v>
      </c>
      <c r="H10409">
        <v>113778.099</v>
      </c>
      <c r="I10409" t="s">
        <v>76</v>
      </c>
      <c r="J10409" t="s">
        <v>82</v>
      </c>
      <c r="K10409">
        <v>8.7890376999999997</v>
      </c>
    </row>
    <row r="10410" spans="1:11" x14ac:dyDescent="0.3">
      <c r="A10410" t="s">
        <v>83</v>
      </c>
      <c r="B10410">
        <v>1000</v>
      </c>
      <c r="C10410" t="s">
        <v>79</v>
      </c>
      <c r="D10410">
        <v>2.5711499999999999E-3</v>
      </c>
      <c r="E10410" t="s">
        <v>74</v>
      </c>
      <c r="F10410">
        <v>2.5711499999999998</v>
      </c>
      <c r="G10410" t="s">
        <v>75</v>
      </c>
      <c r="H10410">
        <v>2571.152</v>
      </c>
      <c r="I10410" t="s">
        <v>76</v>
      </c>
      <c r="J10410" t="s">
        <v>77</v>
      </c>
    </row>
    <row r="10411" spans="1:11" x14ac:dyDescent="0.3">
      <c r="A10411" t="s">
        <v>83</v>
      </c>
      <c r="B10411">
        <v>1000</v>
      </c>
      <c r="C10411" t="s">
        <v>94</v>
      </c>
      <c r="D10411">
        <v>2.6284300000000002E-3</v>
      </c>
      <c r="E10411" t="s">
        <v>74</v>
      </c>
      <c r="F10411">
        <v>2.6284299999999998</v>
      </c>
      <c r="G10411" t="s">
        <v>75</v>
      </c>
      <c r="H10411">
        <v>2628.4290000000001</v>
      </c>
      <c r="I10411" t="s">
        <v>76</v>
      </c>
      <c r="J10411" t="s">
        <v>77</v>
      </c>
    </row>
    <row r="10412" spans="1:11" x14ac:dyDescent="0.3">
      <c r="A10412" t="s">
        <v>83</v>
      </c>
      <c r="B10412">
        <v>1000</v>
      </c>
      <c r="C10412" t="s">
        <v>80</v>
      </c>
      <c r="D10412">
        <v>2.7893100000000001E-3</v>
      </c>
      <c r="E10412" t="s">
        <v>74</v>
      </c>
      <c r="F10412">
        <v>2.78931</v>
      </c>
      <c r="G10412" t="s">
        <v>75</v>
      </c>
      <c r="H10412">
        <v>2789.31</v>
      </c>
      <c r="I10412" t="s">
        <v>76</v>
      </c>
      <c r="J10412" t="s">
        <v>77</v>
      </c>
    </row>
    <row r="10413" spans="1:11" x14ac:dyDescent="0.3">
      <c r="A10413" t="s">
        <v>83</v>
      </c>
      <c r="B10413">
        <v>1000</v>
      </c>
      <c r="C10413" t="s">
        <v>81</v>
      </c>
      <c r="D10413">
        <v>5.3613000000000003E-3</v>
      </c>
      <c r="E10413" t="s">
        <v>74</v>
      </c>
      <c r="F10413">
        <v>5.3613</v>
      </c>
      <c r="G10413" t="s">
        <v>75</v>
      </c>
      <c r="H10413">
        <v>5361.299</v>
      </c>
      <c r="I10413" t="s">
        <v>76</v>
      </c>
      <c r="J10413" t="s">
        <v>82</v>
      </c>
      <c r="K10413">
        <v>186.52197570000001</v>
      </c>
    </row>
    <row r="10414" spans="1:11" x14ac:dyDescent="0.3">
      <c r="A10414" t="s">
        <v>84</v>
      </c>
      <c r="B10414">
        <v>1001</v>
      </c>
      <c r="C10414" t="s">
        <v>79</v>
      </c>
      <c r="D10414">
        <v>2.6727700000000001E-3</v>
      </c>
      <c r="E10414" t="s">
        <v>74</v>
      </c>
      <c r="F10414">
        <v>2.6727699999999999</v>
      </c>
      <c r="G10414" t="s">
        <v>75</v>
      </c>
      <c r="H10414">
        <v>2672.7710000000002</v>
      </c>
      <c r="I10414" t="s">
        <v>76</v>
      </c>
      <c r="J10414" t="s">
        <v>77</v>
      </c>
    </row>
    <row r="10415" spans="1:11" x14ac:dyDescent="0.3">
      <c r="A10415" t="s">
        <v>84</v>
      </c>
      <c r="B10415">
        <v>1001</v>
      </c>
      <c r="C10415" t="s">
        <v>94</v>
      </c>
      <c r="D10415">
        <v>2.6352799999999998E-3</v>
      </c>
      <c r="E10415" t="s">
        <v>74</v>
      </c>
      <c r="F10415">
        <v>2.6352799999999998</v>
      </c>
      <c r="G10415" t="s">
        <v>75</v>
      </c>
      <c r="H10415">
        <v>2635.277</v>
      </c>
      <c r="I10415" t="s">
        <v>76</v>
      </c>
      <c r="J10415" t="s">
        <v>77</v>
      </c>
    </row>
    <row r="10416" spans="1:11" x14ac:dyDescent="0.3">
      <c r="A10416" t="s">
        <v>84</v>
      </c>
      <c r="B10416">
        <v>1001</v>
      </c>
      <c r="C10416" t="s">
        <v>80</v>
      </c>
      <c r="D10416">
        <v>2.7959999999999999E-3</v>
      </c>
      <c r="E10416" t="s">
        <v>74</v>
      </c>
      <c r="F10416">
        <v>2.7959999999999998</v>
      </c>
      <c r="G10416" t="s">
        <v>75</v>
      </c>
      <c r="H10416">
        <v>2795.998</v>
      </c>
      <c r="I10416" t="s">
        <v>76</v>
      </c>
      <c r="J10416" t="s">
        <v>77</v>
      </c>
    </row>
    <row r="10417" spans="1:11" x14ac:dyDescent="0.3">
      <c r="A10417" t="s">
        <v>84</v>
      </c>
      <c r="B10417">
        <v>1001</v>
      </c>
      <c r="C10417" t="s">
        <v>81</v>
      </c>
      <c r="D10417">
        <v>5.4696099999999997E-3</v>
      </c>
      <c r="E10417" t="s">
        <v>74</v>
      </c>
      <c r="F10417">
        <v>5.4696100000000003</v>
      </c>
      <c r="G10417" t="s">
        <v>75</v>
      </c>
      <c r="H10417">
        <v>5469.6080000000002</v>
      </c>
      <c r="I10417" t="s">
        <v>76</v>
      </c>
      <c r="J10417" t="s">
        <v>82</v>
      </c>
      <c r="K10417">
        <v>182.82845789999999</v>
      </c>
    </row>
    <row r="10418" spans="1:11" x14ac:dyDescent="0.3">
      <c r="A10418" t="s">
        <v>85</v>
      </c>
      <c r="B10418">
        <v>1001</v>
      </c>
      <c r="C10418" t="s">
        <v>86</v>
      </c>
      <c r="D10418">
        <v>5.4698000000000004E-3</v>
      </c>
      <c r="E10418" t="s">
        <v>74</v>
      </c>
      <c r="F10418">
        <v>5.4698000000000002</v>
      </c>
      <c r="G10418" t="s">
        <v>75</v>
      </c>
      <c r="H10418">
        <v>5469.8040000000001</v>
      </c>
      <c r="I10418" t="s">
        <v>76</v>
      </c>
      <c r="J10418" t="s">
        <v>82</v>
      </c>
      <c r="K10418">
        <v>182.8219138</v>
      </c>
    </row>
    <row r="10419" spans="1:11" x14ac:dyDescent="0.3">
      <c r="A10419" t="s">
        <v>194</v>
      </c>
    </row>
    <row r="10420" spans="1:11" x14ac:dyDescent="0.3">
      <c r="A10420" t="s">
        <v>435</v>
      </c>
    </row>
    <row r="10421" spans="1:11" x14ac:dyDescent="0.3">
      <c r="A10421" t="s">
        <v>72</v>
      </c>
      <c r="B10421">
        <v>1</v>
      </c>
      <c r="C10421" t="s">
        <v>73</v>
      </c>
      <c r="D10421">
        <v>4.1999999999999996E-6</v>
      </c>
      <c r="E10421" t="s">
        <v>74</v>
      </c>
      <c r="F10421">
        <v>4.1999999999999997E-3</v>
      </c>
      <c r="G10421" t="s">
        <v>75</v>
      </c>
      <c r="H10421">
        <v>4.2</v>
      </c>
      <c r="I10421" t="s">
        <v>76</v>
      </c>
      <c r="J10421" t="s">
        <v>77</v>
      </c>
    </row>
    <row r="10422" spans="1:11" x14ac:dyDescent="0.3">
      <c r="A10422" t="s">
        <v>72</v>
      </c>
      <c r="B10422">
        <v>1</v>
      </c>
      <c r="C10422" t="s">
        <v>78</v>
      </c>
      <c r="D10422">
        <v>5.0790000000000004E-4</v>
      </c>
      <c r="E10422" t="s">
        <v>74</v>
      </c>
      <c r="F10422">
        <v>0.50790000000000002</v>
      </c>
      <c r="G10422" t="s">
        <v>75</v>
      </c>
      <c r="H10422">
        <v>507.9</v>
      </c>
      <c r="I10422" t="s">
        <v>76</v>
      </c>
      <c r="J10422" t="s">
        <v>77</v>
      </c>
    </row>
    <row r="10423" spans="1:11" x14ac:dyDescent="0.3">
      <c r="A10423" t="s">
        <v>72</v>
      </c>
      <c r="B10423">
        <v>1</v>
      </c>
      <c r="C10423" t="s">
        <v>79</v>
      </c>
      <c r="D10423">
        <v>4.4219999999999997E-3</v>
      </c>
      <c r="E10423" t="s">
        <v>74</v>
      </c>
      <c r="F10423">
        <v>4.4219999999999997</v>
      </c>
      <c r="G10423" t="s">
        <v>75</v>
      </c>
      <c r="H10423">
        <v>4422</v>
      </c>
      <c r="I10423" t="s">
        <v>76</v>
      </c>
      <c r="J10423" t="s">
        <v>77</v>
      </c>
    </row>
    <row r="10424" spans="1:11" x14ac:dyDescent="0.3">
      <c r="A10424" t="s">
        <v>72</v>
      </c>
      <c r="B10424">
        <v>1</v>
      </c>
      <c r="C10424" t="s">
        <v>94</v>
      </c>
      <c r="D10424">
        <v>2.6201000000000002E-3</v>
      </c>
      <c r="E10424" t="s">
        <v>74</v>
      </c>
      <c r="F10424">
        <v>2.6200999999999999</v>
      </c>
      <c r="G10424" t="s">
        <v>75</v>
      </c>
      <c r="H10424">
        <v>2620.1</v>
      </c>
      <c r="I10424" t="s">
        <v>76</v>
      </c>
      <c r="J10424" t="s">
        <v>77</v>
      </c>
    </row>
    <row r="10425" spans="1:11" x14ac:dyDescent="0.3">
      <c r="A10425" t="s">
        <v>72</v>
      </c>
      <c r="B10425">
        <v>1</v>
      </c>
      <c r="C10425" t="s">
        <v>80</v>
      </c>
      <c r="D10425">
        <v>2.7471000000000001E-3</v>
      </c>
      <c r="E10425" t="s">
        <v>74</v>
      </c>
      <c r="F10425">
        <v>2.7471000000000001</v>
      </c>
      <c r="G10425" t="s">
        <v>75</v>
      </c>
      <c r="H10425">
        <v>2747.1</v>
      </c>
      <c r="I10425" t="s">
        <v>76</v>
      </c>
      <c r="J10425" t="s">
        <v>77</v>
      </c>
    </row>
    <row r="10426" spans="1:11" x14ac:dyDescent="0.3">
      <c r="A10426" t="s">
        <v>72</v>
      </c>
      <c r="B10426">
        <v>1</v>
      </c>
      <c r="C10426" t="s">
        <v>81</v>
      </c>
      <c r="D10426">
        <v>7.1704000000000004E-3</v>
      </c>
      <c r="E10426" t="s">
        <v>74</v>
      </c>
      <c r="F10426">
        <v>7.1703999999999999</v>
      </c>
      <c r="G10426" t="s">
        <v>75</v>
      </c>
      <c r="H10426">
        <v>7170.4</v>
      </c>
      <c r="I10426" t="s">
        <v>76</v>
      </c>
      <c r="J10426" t="s">
        <v>82</v>
      </c>
      <c r="K10426">
        <v>139.46223140000001</v>
      </c>
    </row>
    <row r="10427" spans="1:11" x14ac:dyDescent="0.3">
      <c r="A10427" t="s">
        <v>83</v>
      </c>
      <c r="B10427">
        <v>1000</v>
      </c>
      <c r="C10427" t="s">
        <v>79</v>
      </c>
      <c r="D10427">
        <v>3.0178000000000002E-3</v>
      </c>
      <c r="E10427" t="s">
        <v>74</v>
      </c>
      <c r="F10427">
        <v>3.0177999999999998</v>
      </c>
      <c r="G10427" t="s">
        <v>75</v>
      </c>
      <c r="H10427">
        <v>3017.7979999999998</v>
      </c>
      <c r="I10427" t="s">
        <v>76</v>
      </c>
      <c r="J10427" t="s">
        <v>77</v>
      </c>
    </row>
    <row r="10428" spans="1:11" x14ac:dyDescent="0.3">
      <c r="A10428" t="s">
        <v>83</v>
      </c>
      <c r="B10428">
        <v>1000</v>
      </c>
      <c r="C10428" t="s">
        <v>94</v>
      </c>
      <c r="D10428">
        <v>2.6521299999999999E-3</v>
      </c>
      <c r="E10428" t="s">
        <v>74</v>
      </c>
      <c r="F10428">
        <v>2.6521300000000001</v>
      </c>
      <c r="G10428" t="s">
        <v>75</v>
      </c>
      <c r="H10428">
        <v>2652.1260000000002</v>
      </c>
      <c r="I10428" t="s">
        <v>76</v>
      </c>
      <c r="J10428" t="s">
        <v>77</v>
      </c>
    </row>
    <row r="10429" spans="1:11" x14ac:dyDescent="0.3">
      <c r="A10429" t="s">
        <v>83</v>
      </c>
      <c r="B10429">
        <v>1000</v>
      </c>
      <c r="C10429" t="s">
        <v>80</v>
      </c>
      <c r="D10429">
        <v>2.7814799999999998E-3</v>
      </c>
      <c r="E10429" t="s">
        <v>74</v>
      </c>
      <c r="F10429">
        <v>2.7814800000000002</v>
      </c>
      <c r="G10429" t="s">
        <v>75</v>
      </c>
      <c r="H10429">
        <v>2781.4780000000001</v>
      </c>
      <c r="I10429" t="s">
        <v>76</v>
      </c>
      <c r="J10429" t="s">
        <v>77</v>
      </c>
    </row>
    <row r="10430" spans="1:11" x14ac:dyDescent="0.3">
      <c r="A10430" t="s">
        <v>83</v>
      </c>
      <c r="B10430">
        <v>1000</v>
      </c>
      <c r="C10430" t="s">
        <v>81</v>
      </c>
      <c r="D10430">
        <v>5.8004199999999997E-3</v>
      </c>
      <c r="E10430" t="s">
        <v>74</v>
      </c>
      <c r="F10430">
        <v>5.8004199999999999</v>
      </c>
      <c r="G10430" t="s">
        <v>75</v>
      </c>
      <c r="H10430">
        <v>5800.4219999999996</v>
      </c>
      <c r="I10430" t="s">
        <v>76</v>
      </c>
      <c r="J10430" t="s">
        <v>82</v>
      </c>
      <c r="K10430">
        <v>172.40124370000001</v>
      </c>
    </row>
    <row r="10431" spans="1:11" x14ac:dyDescent="0.3">
      <c r="A10431" t="s">
        <v>84</v>
      </c>
      <c r="B10431">
        <v>1001</v>
      </c>
      <c r="C10431" t="s">
        <v>79</v>
      </c>
      <c r="D10431">
        <v>3.0192000000000001E-3</v>
      </c>
      <c r="E10431" t="s">
        <v>74</v>
      </c>
      <c r="F10431">
        <v>3.0192000000000001</v>
      </c>
      <c r="G10431" t="s">
        <v>75</v>
      </c>
      <c r="H10431">
        <v>3019.201</v>
      </c>
      <c r="I10431" t="s">
        <v>76</v>
      </c>
      <c r="J10431" t="s">
        <v>77</v>
      </c>
    </row>
    <row r="10432" spans="1:11" x14ac:dyDescent="0.3">
      <c r="A10432" t="s">
        <v>84</v>
      </c>
      <c r="B10432">
        <v>1001</v>
      </c>
      <c r="C10432" t="s">
        <v>94</v>
      </c>
      <c r="D10432">
        <v>2.6520900000000002E-3</v>
      </c>
      <c r="E10432" t="s">
        <v>74</v>
      </c>
      <c r="F10432">
        <v>2.6520899999999998</v>
      </c>
      <c r="G10432" t="s">
        <v>75</v>
      </c>
      <c r="H10432">
        <v>2652.0940000000001</v>
      </c>
      <c r="I10432" t="s">
        <v>76</v>
      </c>
      <c r="J10432" t="s">
        <v>77</v>
      </c>
    </row>
    <row r="10433" spans="1:11" x14ac:dyDescent="0.3">
      <c r="A10433" t="s">
        <v>84</v>
      </c>
      <c r="B10433">
        <v>1001</v>
      </c>
      <c r="C10433" t="s">
        <v>80</v>
      </c>
      <c r="D10433">
        <v>2.78144E-3</v>
      </c>
      <c r="E10433" t="s">
        <v>74</v>
      </c>
      <c r="F10433">
        <v>2.7814399999999999</v>
      </c>
      <c r="G10433" t="s">
        <v>75</v>
      </c>
      <c r="H10433">
        <v>2781.444</v>
      </c>
      <c r="I10433" t="s">
        <v>76</v>
      </c>
      <c r="J10433" t="s">
        <v>77</v>
      </c>
    </row>
    <row r="10434" spans="1:11" x14ac:dyDescent="0.3">
      <c r="A10434" t="s">
        <v>84</v>
      </c>
      <c r="B10434">
        <v>1001</v>
      </c>
      <c r="C10434" t="s">
        <v>81</v>
      </c>
      <c r="D10434">
        <v>5.8017900000000002E-3</v>
      </c>
      <c r="E10434" t="s">
        <v>74</v>
      </c>
      <c r="F10434">
        <v>5.8017899999999996</v>
      </c>
      <c r="G10434" t="s">
        <v>75</v>
      </c>
      <c r="H10434">
        <v>5801.7910000000002</v>
      </c>
      <c r="I10434" t="s">
        <v>76</v>
      </c>
      <c r="J10434" t="s">
        <v>82</v>
      </c>
      <c r="K10434">
        <v>172.360567</v>
      </c>
    </row>
    <row r="10435" spans="1:11" x14ac:dyDescent="0.3">
      <c r="A10435" t="s">
        <v>85</v>
      </c>
      <c r="B10435">
        <v>1001</v>
      </c>
      <c r="C10435" t="s">
        <v>86</v>
      </c>
      <c r="D10435">
        <v>5.8019500000000002E-3</v>
      </c>
      <c r="E10435" t="s">
        <v>74</v>
      </c>
      <c r="F10435">
        <v>5.8019499999999997</v>
      </c>
      <c r="G10435" t="s">
        <v>75</v>
      </c>
      <c r="H10435">
        <v>5801.9539999999997</v>
      </c>
      <c r="I10435" t="s">
        <v>76</v>
      </c>
      <c r="J10435" t="s">
        <v>82</v>
      </c>
      <c r="K10435">
        <v>172.35572730000001</v>
      </c>
    </row>
    <row r="10436" spans="1:11" x14ac:dyDescent="0.3">
      <c r="A10436" t="s">
        <v>115</v>
      </c>
    </row>
    <row r="10437" spans="1:11" x14ac:dyDescent="0.3">
      <c r="A10437" t="s">
        <v>127</v>
      </c>
    </row>
    <row r="10438" spans="1:11" x14ac:dyDescent="0.3">
      <c r="A10438" t="s">
        <v>87</v>
      </c>
    </row>
    <row r="10439" spans="1:11" x14ac:dyDescent="0.3">
      <c r="A10439" t="s">
        <v>436</v>
      </c>
    </row>
    <row r="10440" spans="1:11" x14ac:dyDescent="0.3">
      <c r="A10440" t="s">
        <v>72</v>
      </c>
      <c r="B10440">
        <v>1</v>
      </c>
      <c r="C10440" t="s">
        <v>81</v>
      </c>
      <c r="D10440">
        <v>0.11377809999999999</v>
      </c>
      <c r="E10440" t="s">
        <v>74</v>
      </c>
      <c r="F10440">
        <v>113.77809999999999</v>
      </c>
      <c r="G10440" t="s">
        <v>75</v>
      </c>
      <c r="H10440">
        <v>113778.099</v>
      </c>
      <c r="I10440" t="s">
        <v>76</v>
      </c>
      <c r="J10440" t="s">
        <v>82</v>
      </c>
      <c r="K10440">
        <v>8.7890376999999997</v>
      </c>
    </row>
    <row r="10441" spans="1:11" x14ac:dyDescent="0.3">
      <c r="A10441" t="s">
        <v>83</v>
      </c>
      <c r="B10441">
        <v>1000</v>
      </c>
      <c r="C10441" t="s">
        <v>81</v>
      </c>
      <c r="D10441">
        <v>5.3613000000000003E-3</v>
      </c>
      <c r="E10441" t="s">
        <v>74</v>
      </c>
      <c r="F10441">
        <v>5.3613</v>
      </c>
      <c r="G10441" t="s">
        <v>75</v>
      </c>
      <c r="H10441">
        <v>5361.299</v>
      </c>
      <c r="I10441" t="s">
        <v>76</v>
      </c>
      <c r="J10441" t="s">
        <v>82</v>
      </c>
      <c r="K10441">
        <v>186.52197570000001</v>
      </c>
    </row>
    <row r="10442" spans="1:11" x14ac:dyDescent="0.3">
      <c r="A10442" t="s">
        <v>85</v>
      </c>
      <c r="B10442">
        <v>1001</v>
      </c>
      <c r="C10442" t="s">
        <v>86</v>
      </c>
      <c r="D10442">
        <v>5.4698000000000004E-3</v>
      </c>
      <c r="E10442" t="s">
        <v>74</v>
      </c>
      <c r="F10442">
        <v>5.4698000000000002</v>
      </c>
      <c r="G10442" t="s">
        <v>75</v>
      </c>
      <c r="H10442">
        <v>5469.8040000000001</v>
      </c>
      <c r="I10442" t="s">
        <v>76</v>
      </c>
      <c r="J10442" t="s">
        <v>82</v>
      </c>
      <c r="K10442">
        <v>182.8219138</v>
      </c>
    </row>
    <row r="10444" spans="1:11" x14ac:dyDescent="0.3">
      <c r="A10444" t="s">
        <v>437</v>
      </c>
    </row>
    <row r="10445" spans="1:11" x14ac:dyDescent="0.3">
      <c r="A10445" t="s">
        <v>72</v>
      </c>
      <c r="B10445">
        <v>1</v>
      </c>
      <c r="C10445" t="s">
        <v>81</v>
      </c>
      <c r="D10445">
        <v>7.1704000000000004E-3</v>
      </c>
      <c r="E10445" t="s">
        <v>74</v>
      </c>
      <c r="F10445">
        <v>7.1703999999999999</v>
      </c>
      <c r="G10445" t="s">
        <v>75</v>
      </c>
      <c r="H10445">
        <v>7170.4</v>
      </c>
      <c r="I10445" t="s">
        <v>76</v>
      </c>
      <c r="J10445" t="s">
        <v>82</v>
      </c>
      <c r="K10445">
        <v>139.46223140000001</v>
      </c>
    </row>
    <row r="10446" spans="1:11" x14ac:dyDescent="0.3">
      <c r="A10446" t="s">
        <v>83</v>
      </c>
      <c r="B10446">
        <v>1000</v>
      </c>
      <c r="C10446" t="s">
        <v>81</v>
      </c>
      <c r="D10446">
        <v>5.8004199999999997E-3</v>
      </c>
      <c r="E10446" t="s">
        <v>74</v>
      </c>
      <c r="F10446">
        <v>5.8004199999999999</v>
      </c>
      <c r="G10446" t="s">
        <v>75</v>
      </c>
      <c r="H10446">
        <v>5800.4219999999996</v>
      </c>
      <c r="I10446" t="s">
        <v>76</v>
      </c>
      <c r="J10446" t="s">
        <v>82</v>
      </c>
      <c r="K10446">
        <v>172.40124370000001</v>
      </c>
    </row>
    <row r="10447" spans="1:11" x14ac:dyDescent="0.3">
      <c r="A10447" t="s">
        <v>85</v>
      </c>
      <c r="B10447">
        <v>1001</v>
      </c>
      <c r="C10447" t="s">
        <v>86</v>
      </c>
      <c r="D10447">
        <v>5.8019500000000002E-3</v>
      </c>
      <c r="E10447" t="s">
        <v>74</v>
      </c>
      <c r="F10447">
        <v>5.8019499999999997</v>
      </c>
      <c r="G10447" t="s">
        <v>75</v>
      </c>
      <c r="H10447">
        <v>5801.9539999999997</v>
      </c>
      <c r="I10447" t="s">
        <v>76</v>
      </c>
      <c r="J10447" t="s">
        <v>82</v>
      </c>
      <c r="K10447">
        <v>172.35572730000001</v>
      </c>
    </row>
    <row r="10449" spans="1:1" x14ac:dyDescent="0.3">
      <c r="A10449" t="s">
        <v>66</v>
      </c>
    </row>
    <row r="10451" spans="1:1" x14ac:dyDescent="0.3">
      <c r="A10451" t="s">
        <v>490</v>
      </c>
    </row>
    <row r="10452" spans="1:1" x14ac:dyDescent="0.3">
      <c r="A10452" t="s">
        <v>68</v>
      </c>
    </row>
    <row r="10453" spans="1:1" x14ac:dyDescent="0.3">
      <c r="A10453" t="s">
        <v>69</v>
      </c>
    </row>
    <row r="10454" spans="1:1" x14ac:dyDescent="0.3">
      <c r="A10454" t="s">
        <v>70</v>
      </c>
    </row>
    <row r="10455" spans="1:1" x14ac:dyDescent="0.3">
      <c r="A10455" t="s">
        <v>115</v>
      </c>
    </row>
    <row r="10456" spans="1:1" x14ac:dyDescent="0.3">
      <c r="A10456" t="s">
        <v>384</v>
      </c>
    </row>
    <row r="10457" spans="1:1" x14ac:dyDescent="0.3">
      <c r="A10457" t="s">
        <v>385</v>
      </c>
    </row>
    <row r="10458" spans="1:1" x14ac:dyDescent="0.3">
      <c r="A10458" t="s">
        <v>118</v>
      </c>
    </row>
    <row r="10459" spans="1:1" x14ac:dyDescent="0.3">
      <c r="A10459" t="s">
        <v>119</v>
      </c>
    </row>
    <row r="10460" spans="1:1" x14ac:dyDescent="0.3">
      <c r="A10460" t="s">
        <v>268</v>
      </c>
    </row>
    <row r="10461" spans="1:1" x14ac:dyDescent="0.3">
      <c r="A10461" t="s">
        <v>269</v>
      </c>
    </row>
    <row r="10462" spans="1:1" x14ac:dyDescent="0.3">
      <c r="A10462" t="s">
        <v>386</v>
      </c>
    </row>
    <row r="10463" spans="1:1" x14ac:dyDescent="0.3">
      <c r="A10463" t="s">
        <v>387</v>
      </c>
    </row>
    <row r="10464" spans="1:1" x14ac:dyDescent="0.3">
      <c r="A10464" t="s">
        <v>271</v>
      </c>
    </row>
    <row r="10465" spans="1:11" x14ac:dyDescent="0.3">
      <c r="A10465" t="s">
        <v>125</v>
      </c>
    </row>
    <row r="10466" spans="1:11" x14ac:dyDescent="0.3">
      <c r="A10466" t="s">
        <v>126</v>
      </c>
    </row>
    <row r="10467" spans="1:11" x14ac:dyDescent="0.3">
      <c r="A10467" t="s">
        <v>127</v>
      </c>
    </row>
    <row r="10468" spans="1:11" x14ac:dyDescent="0.3">
      <c r="A10468" t="s">
        <v>199</v>
      </c>
    </row>
    <row r="10469" spans="1:11" x14ac:dyDescent="0.3">
      <c r="A10469" t="s">
        <v>439</v>
      </c>
    </row>
    <row r="10470" spans="1:11" x14ac:dyDescent="0.3">
      <c r="A10470" t="s">
        <v>72</v>
      </c>
      <c r="B10470">
        <v>1</v>
      </c>
      <c r="C10470" t="s">
        <v>73</v>
      </c>
      <c r="D10470">
        <v>4.0999999999999997E-6</v>
      </c>
      <c r="E10470" t="s">
        <v>74</v>
      </c>
      <c r="F10470">
        <v>4.1000000000000003E-3</v>
      </c>
      <c r="G10470" t="s">
        <v>75</v>
      </c>
      <c r="H10470">
        <v>4.0999999999999996</v>
      </c>
      <c r="I10470" t="s">
        <v>76</v>
      </c>
      <c r="J10470" t="s">
        <v>77</v>
      </c>
    </row>
    <row r="10471" spans="1:11" x14ac:dyDescent="0.3">
      <c r="A10471" t="s">
        <v>72</v>
      </c>
      <c r="B10471">
        <v>1</v>
      </c>
      <c r="C10471" t="s">
        <v>78</v>
      </c>
      <c r="D10471">
        <v>0.13562669999999999</v>
      </c>
      <c r="E10471" t="s">
        <v>74</v>
      </c>
      <c r="F10471">
        <v>135.6267</v>
      </c>
      <c r="G10471" t="s">
        <v>75</v>
      </c>
      <c r="H10471">
        <v>135626.704</v>
      </c>
      <c r="I10471" t="s">
        <v>76</v>
      </c>
      <c r="J10471" t="s">
        <v>77</v>
      </c>
    </row>
    <row r="10472" spans="1:11" x14ac:dyDescent="0.3">
      <c r="A10472" t="s">
        <v>72</v>
      </c>
      <c r="B10472">
        <v>1</v>
      </c>
      <c r="C10472" t="s">
        <v>79</v>
      </c>
      <c r="D10472">
        <v>0.14015370999999999</v>
      </c>
      <c r="E10472" t="s">
        <v>74</v>
      </c>
      <c r="F10472">
        <v>140.15370999999999</v>
      </c>
      <c r="G10472" t="s">
        <v>75</v>
      </c>
      <c r="H10472">
        <v>140153.70600000001</v>
      </c>
      <c r="I10472" t="s">
        <v>76</v>
      </c>
      <c r="J10472" t="s">
        <v>77</v>
      </c>
    </row>
    <row r="10473" spans="1:11" x14ac:dyDescent="0.3">
      <c r="A10473" t="s">
        <v>72</v>
      </c>
      <c r="B10473">
        <v>1</v>
      </c>
      <c r="C10473" t="s">
        <v>94</v>
      </c>
      <c r="D10473">
        <v>1.8658999999999999E-2</v>
      </c>
      <c r="E10473" t="s">
        <v>74</v>
      </c>
      <c r="F10473">
        <v>18.658999999999999</v>
      </c>
      <c r="G10473" t="s">
        <v>75</v>
      </c>
      <c r="H10473">
        <v>18658.999</v>
      </c>
      <c r="I10473" t="s">
        <v>76</v>
      </c>
      <c r="J10473" t="s">
        <v>77</v>
      </c>
    </row>
    <row r="10474" spans="1:11" x14ac:dyDescent="0.3">
      <c r="A10474" t="s">
        <v>72</v>
      </c>
      <c r="B10474">
        <v>1</v>
      </c>
      <c r="C10474" t="s">
        <v>80</v>
      </c>
      <c r="D10474">
        <v>1.8661299999999999E-2</v>
      </c>
      <c r="E10474" t="s">
        <v>74</v>
      </c>
      <c r="F10474">
        <v>18.661300000000001</v>
      </c>
      <c r="G10474" t="s">
        <v>75</v>
      </c>
      <c r="H10474">
        <v>18661.3</v>
      </c>
      <c r="I10474" t="s">
        <v>76</v>
      </c>
      <c r="J10474" t="s">
        <v>77</v>
      </c>
    </row>
    <row r="10475" spans="1:11" x14ac:dyDescent="0.3">
      <c r="A10475" t="s">
        <v>72</v>
      </c>
      <c r="B10475">
        <v>1</v>
      </c>
      <c r="C10475" t="s">
        <v>81</v>
      </c>
      <c r="D10475">
        <v>0.15881790000000001</v>
      </c>
      <c r="E10475" t="s">
        <v>74</v>
      </c>
      <c r="F10475">
        <v>158.81790000000001</v>
      </c>
      <c r="G10475" t="s">
        <v>75</v>
      </c>
      <c r="H10475">
        <v>158817.902</v>
      </c>
      <c r="I10475" t="s">
        <v>76</v>
      </c>
      <c r="J10475" t="s">
        <v>82</v>
      </c>
      <c r="K10475">
        <v>6.2965194000000002</v>
      </c>
    </row>
    <row r="10476" spans="1:11" x14ac:dyDescent="0.3">
      <c r="A10476" t="s">
        <v>83</v>
      </c>
      <c r="B10476">
        <v>1000</v>
      </c>
      <c r="C10476" t="s">
        <v>79</v>
      </c>
      <c r="D10476">
        <v>4.0509999999999998E-4</v>
      </c>
      <c r="E10476" t="s">
        <v>74</v>
      </c>
      <c r="F10476">
        <v>0.40510000000000002</v>
      </c>
      <c r="G10476" t="s">
        <v>75</v>
      </c>
      <c r="H10476">
        <v>405.10300000000001</v>
      </c>
      <c r="I10476" t="s">
        <v>76</v>
      </c>
      <c r="J10476" t="s">
        <v>77</v>
      </c>
    </row>
    <row r="10477" spans="1:11" x14ac:dyDescent="0.3">
      <c r="A10477" t="s">
        <v>83</v>
      </c>
      <c r="B10477">
        <v>1000</v>
      </c>
      <c r="C10477" t="s">
        <v>94</v>
      </c>
      <c r="D10477">
        <v>1.7803900000000001E-2</v>
      </c>
      <c r="E10477" t="s">
        <v>74</v>
      </c>
      <c r="F10477">
        <v>17.803899999999999</v>
      </c>
      <c r="G10477" t="s">
        <v>75</v>
      </c>
      <c r="H10477">
        <v>17803.901999999998</v>
      </c>
      <c r="I10477" t="s">
        <v>76</v>
      </c>
      <c r="J10477" t="s">
        <v>77</v>
      </c>
    </row>
    <row r="10478" spans="1:11" x14ac:dyDescent="0.3">
      <c r="A10478" t="s">
        <v>83</v>
      </c>
      <c r="B10478">
        <v>1000</v>
      </c>
      <c r="C10478" t="s">
        <v>80</v>
      </c>
      <c r="D10478">
        <v>1.7804219999999999E-2</v>
      </c>
      <c r="E10478" t="s">
        <v>74</v>
      </c>
      <c r="F10478">
        <v>17.804220000000001</v>
      </c>
      <c r="G10478" t="s">
        <v>75</v>
      </c>
      <c r="H10478">
        <v>17804.222000000002</v>
      </c>
      <c r="I10478" t="s">
        <v>76</v>
      </c>
      <c r="J10478" t="s">
        <v>77</v>
      </c>
    </row>
    <row r="10479" spans="1:11" x14ac:dyDescent="0.3">
      <c r="A10479" t="s">
        <v>83</v>
      </c>
      <c r="B10479">
        <v>1000</v>
      </c>
      <c r="C10479" t="s">
        <v>81</v>
      </c>
      <c r="D10479">
        <v>1.8211249999999998E-2</v>
      </c>
      <c r="E10479" t="s">
        <v>74</v>
      </c>
      <c r="F10479">
        <v>18.21125</v>
      </c>
      <c r="G10479" t="s">
        <v>75</v>
      </c>
      <c r="H10479">
        <v>18211.252</v>
      </c>
      <c r="I10479" t="s">
        <v>76</v>
      </c>
      <c r="J10479" t="s">
        <v>82</v>
      </c>
      <c r="K10479">
        <v>54.911105999999997</v>
      </c>
    </row>
    <row r="10480" spans="1:11" x14ac:dyDescent="0.3">
      <c r="A10480" t="s">
        <v>84</v>
      </c>
      <c r="B10480">
        <v>1001</v>
      </c>
      <c r="C10480" t="s">
        <v>79</v>
      </c>
      <c r="D10480">
        <v>5.4471000000000001E-4</v>
      </c>
      <c r="E10480" t="s">
        <v>74</v>
      </c>
      <c r="F10480">
        <v>0.54471000000000003</v>
      </c>
      <c r="G10480" t="s">
        <v>75</v>
      </c>
      <c r="H10480">
        <v>544.71199999999999</v>
      </c>
      <c r="I10480" t="s">
        <v>76</v>
      </c>
      <c r="J10480" t="s">
        <v>77</v>
      </c>
    </row>
    <row r="10481" spans="1:11" x14ac:dyDescent="0.3">
      <c r="A10481" t="s">
        <v>84</v>
      </c>
      <c r="B10481">
        <v>1001</v>
      </c>
      <c r="C10481" t="s">
        <v>94</v>
      </c>
      <c r="D10481">
        <v>1.7804750000000001E-2</v>
      </c>
      <c r="E10481" t="s">
        <v>74</v>
      </c>
      <c r="F10481">
        <v>17.804749999999999</v>
      </c>
      <c r="G10481" t="s">
        <v>75</v>
      </c>
      <c r="H10481">
        <v>17804.755000000001</v>
      </c>
      <c r="I10481" t="s">
        <v>76</v>
      </c>
      <c r="J10481" t="s">
        <v>77</v>
      </c>
    </row>
    <row r="10482" spans="1:11" x14ac:dyDescent="0.3">
      <c r="A10482" t="s">
        <v>84</v>
      </c>
      <c r="B10482">
        <v>1001</v>
      </c>
      <c r="C10482" t="s">
        <v>80</v>
      </c>
      <c r="D10482">
        <v>1.7805080000000001E-2</v>
      </c>
      <c r="E10482" t="s">
        <v>74</v>
      </c>
      <c r="F10482">
        <v>17.80508</v>
      </c>
      <c r="G10482" t="s">
        <v>75</v>
      </c>
      <c r="H10482">
        <v>17805.079000000002</v>
      </c>
      <c r="I10482" t="s">
        <v>76</v>
      </c>
      <c r="J10482" t="s">
        <v>77</v>
      </c>
    </row>
    <row r="10483" spans="1:11" x14ac:dyDescent="0.3">
      <c r="A10483" t="s">
        <v>84</v>
      </c>
      <c r="B10483">
        <v>1001</v>
      </c>
      <c r="C10483" t="s">
        <v>81</v>
      </c>
      <c r="D10483">
        <v>1.8351719999999998E-2</v>
      </c>
      <c r="E10483" t="s">
        <v>74</v>
      </c>
      <c r="F10483">
        <v>18.35172</v>
      </c>
      <c r="G10483" t="s">
        <v>75</v>
      </c>
      <c r="H10483">
        <v>18351.716</v>
      </c>
      <c r="I10483" t="s">
        <v>76</v>
      </c>
      <c r="J10483" t="s">
        <v>82</v>
      </c>
      <c r="K10483">
        <v>54.490817499999999</v>
      </c>
    </row>
    <row r="10484" spans="1:11" x14ac:dyDescent="0.3">
      <c r="A10484" t="s">
        <v>85</v>
      </c>
      <c r="B10484">
        <v>1001</v>
      </c>
      <c r="C10484" t="s">
        <v>86</v>
      </c>
      <c r="D10484">
        <v>1.8352090000000001E-2</v>
      </c>
      <c r="E10484" t="s">
        <v>74</v>
      </c>
      <c r="F10484">
        <v>18.35209</v>
      </c>
      <c r="G10484" t="s">
        <v>75</v>
      </c>
      <c r="H10484">
        <v>18352.093000000001</v>
      </c>
      <c r="I10484" t="s">
        <v>76</v>
      </c>
      <c r="J10484" t="s">
        <v>82</v>
      </c>
      <c r="K10484">
        <v>54.489697200000002</v>
      </c>
    </row>
    <row r="10485" spans="1:11" x14ac:dyDescent="0.3">
      <c r="A10485" t="s">
        <v>201</v>
      </c>
    </row>
    <row r="10486" spans="1:11" x14ac:dyDescent="0.3">
      <c r="A10486" t="s">
        <v>440</v>
      </c>
    </row>
    <row r="10487" spans="1:11" x14ac:dyDescent="0.3">
      <c r="A10487" t="s">
        <v>72</v>
      </c>
      <c r="B10487">
        <v>1</v>
      </c>
      <c r="C10487" t="s">
        <v>73</v>
      </c>
      <c r="D10487">
        <v>4.0999999999999997E-6</v>
      </c>
      <c r="E10487" t="s">
        <v>74</v>
      </c>
      <c r="F10487">
        <v>4.1000000000000003E-3</v>
      </c>
      <c r="G10487" t="s">
        <v>75</v>
      </c>
      <c r="H10487">
        <v>4.0999999999999996</v>
      </c>
      <c r="I10487" t="s">
        <v>76</v>
      </c>
      <c r="J10487" t="s">
        <v>77</v>
      </c>
    </row>
    <row r="10488" spans="1:11" x14ac:dyDescent="0.3">
      <c r="A10488" t="s">
        <v>72</v>
      </c>
      <c r="B10488">
        <v>1</v>
      </c>
      <c r="C10488" t="s">
        <v>78</v>
      </c>
      <c r="D10488">
        <v>8.8380999999999998E-3</v>
      </c>
      <c r="E10488" t="s">
        <v>74</v>
      </c>
      <c r="F10488">
        <v>8.8381000000000007</v>
      </c>
      <c r="G10488" t="s">
        <v>75</v>
      </c>
      <c r="H10488">
        <v>8838.1</v>
      </c>
      <c r="I10488" t="s">
        <v>76</v>
      </c>
      <c r="J10488" t="s">
        <v>77</v>
      </c>
    </row>
    <row r="10489" spans="1:11" x14ac:dyDescent="0.3">
      <c r="A10489" t="s">
        <v>72</v>
      </c>
      <c r="B10489">
        <v>1</v>
      </c>
      <c r="C10489" t="s">
        <v>79</v>
      </c>
      <c r="D10489">
        <v>7.4399999999999998E-4</v>
      </c>
      <c r="E10489" t="s">
        <v>74</v>
      </c>
      <c r="F10489">
        <v>0.74399999999999999</v>
      </c>
      <c r="G10489" t="s">
        <v>75</v>
      </c>
      <c r="H10489">
        <v>744</v>
      </c>
      <c r="I10489" t="s">
        <v>76</v>
      </c>
      <c r="J10489" t="s">
        <v>77</v>
      </c>
    </row>
    <row r="10490" spans="1:11" x14ac:dyDescent="0.3">
      <c r="A10490" t="s">
        <v>72</v>
      </c>
      <c r="B10490">
        <v>1</v>
      </c>
      <c r="C10490" t="s">
        <v>94</v>
      </c>
      <c r="D10490">
        <v>0.119434</v>
      </c>
      <c r="E10490" t="s">
        <v>74</v>
      </c>
      <c r="F10490">
        <v>119.434</v>
      </c>
      <c r="G10490" t="s">
        <v>75</v>
      </c>
      <c r="H10490">
        <v>119433.999</v>
      </c>
      <c r="I10490" t="s">
        <v>76</v>
      </c>
      <c r="J10490" t="s">
        <v>77</v>
      </c>
    </row>
    <row r="10491" spans="1:11" x14ac:dyDescent="0.3">
      <c r="A10491" t="s">
        <v>72</v>
      </c>
      <c r="B10491">
        <v>1</v>
      </c>
      <c r="C10491" t="s">
        <v>80</v>
      </c>
      <c r="D10491">
        <v>0.1194349</v>
      </c>
      <c r="E10491" t="s">
        <v>74</v>
      </c>
      <c r="F10491">
        <v>119.4349</v>
      </c>
      <c r="G10491" t="s">
        <v>75</v>
      </c>
      <c r="H10491">
        <v>119434.901</v>
      </c>
      <c r="I10491" t="s">
        <v>76</v>
      </c>
      <c r="J10491" t="s">
        <v>77</v>
      </c>
    </row>
    <row r="10492" spans="1:11" x14ac:dyDescent="0.3">
      <c r="A10492" t="s">
        <v>72</v>
      </c>
      <c r="B10492">
        <v>1</v>
      </c>
      <c r="C10492" t="s">
        <v>81</v>
      </c>
      <c r="D10492">
        <v>0.1201797</v>
      </c>
      <c r="E10492" t="s">
        <v>74</v>
      </c>
      <c r="F10492">
        <v>120.1797</v>
      </c>
      <c r="G10492" t="s">
        <v>75</v>
      </c>
      <c r="H10492">
        <v>120179.698</v>
      </c>
      <c r="I10492" t="s">
        <v>76</v>
      </c>
      <c r="J10492" t="s">
        <v>82</v>
      </c>
      <c r="K10492">
        <v>8.3208730000000006</v>
      </c>
    </row>
    <row r="10493" spans="1:11" x14ac:dyDescent="0.3">
      <c r="A10493" t="s">
        <v>83</v>
      </c>
      <c r="B10493">
        <v>1000</v>
      </c>
      <c r="C10493" t="s">
        <v>79</v>
      </c>
      <c r="D10493">
        <v>4.2055E-4</v>
      </c>
      <c r="E10493" t="s">
        <v>74</v>
      </c>
      <c r="F10493">
        <v>0.42054999999999998</v>
      </c>
      <c r="G10493" t="s">
        <v>75</v>
      </c>
      <c r="H10493">
        <v>420.548</v>
      </c>
      <c r="I10493" t="s">
        <v>76</v>
      </c>
      <c r="J10493" t="s">
        <v>77</v>
      </c>
    </row>
    <row r="10494" spans="1:11" x14ac:dyDescent="0.3">
      <c r="A10494" t="s">
        <v>83</v>
      </c>
      <c r="B10494">
        <v>1000</v>
      </c>
      <c r="C10494" t="s">
        <v>94</v>
      </c>
      <c r="D10494">
        <v>2.790051E-2</v>
      </c>
      <c r="E10494" t="s">
        <v>74</v>
      </c>
      <c r="F10494">
        <v>27.900510000000001</v>
      </c>
      <c r="G10494" t="s">
        <v>75</v>
      </c>
      <c r="H10494">
        <v>27900.507000000001</v>
      </c>
      <c r="I10494" t="s">
        <v>76</v>
      </c>
      <c r="J10494" t="s">
        <v>77</v>
      </c>
    </row>
    <row r="10495" spans="1:11" x14ac:dyDescent="0.3">
      <c r="A10495" t="s">
        <v>83</v>
      </c>
      <c r="B10495">
        <v>1000</v>
      </c>
      <c r="C10495" t="s">
        <v>80</v>
      </c>
      <c r="D10495">
        <v>2.803945E-2</v>
      </c>
      <c r="E10495" t="s">
        <v>74</v>
      </c>
      <c r="F10495">
        <v>28.039449999999999</v>
      </c>
      <c r="G10495" t="s">
        <v>75</v>
      </c>
      <c r="H10495">
        <v>28039.452000000001</v>
      </c>
      <c r="I10495" t="s">
        <v>76</v>
      </c>
      <c r="J10495" t="s">
        <v>77</v>
      </c>
    </row>
    <row r="10496" spans="1:11" x14ac:dyDescent="0.3">
      <c r="A10496" t="s">
        <v>83</v>
      </c>
      <c r="B10496">
        <v>1000</v>
      </c>
      <c r="C10496" t="s">
        <v>81</v>
      </c>
      <c r="D10496">
        <v>2.846106E-2</v>
      </c>
      <c r="E10496" t="s">
        <v>74</v>
      </c>
      <c r="F10496">
        <v>28.46106</v>
      </c>
      <c r="G10496" t="s">
        <v>75</v>
      </c>
      <c r="H10496">
        <v>28461.061000000002</v>
      </c>
      <c r="I10496" t="s">
        <v>76</v>
      </c>
      <c r="J10496" t="s">
        <v>82</v>
      </c>
      <c r="K10496">
        <v>35.135724000000003</v>
      </c>
    </row>
    <row r="10497" spans="1:11" x14ac:dyDescent="0.3">
      <c r="A10497" t="s">
        <v>84</v>
      </c>
      <c r="B10497">
        <v>1001</v>
      </c>
      <c r="C10497" t="s">
        <v>79</v>
      </c>
      <c r="D10497">
        <v>4.2087E-4</v>
      </c>
      <c r="E10497" t="s">
        <v>74</v>
      </c>
      <c r="F10497">
        <v>0.42087000000000002</v>
      </c>
      <c r="G10497" t="s">
        <v>75</v>
      </c>
      <c r="H10497">
        <v>420.87099999999998</v>
      </c>
      <c r="I10497" t="s">
        <v>76</v>
      </c>
      <c r="J10497" t="s">
        <v>77</v>
      </c>
    </row>
    <row r="10498" spans="1:11" x14ac:dyDescent="0.3">
      <c r="A10498" t="s">
        <v>84</v>
      </c>
      <c r="B10498">
        <v>1001</v>
      </c>
      <c r="C10498" t="s">
        <v>94</v>
      </c>
      <c r="D10498">
        <v>2.7991950000000002E-2</v>
      </c>
      <c r="E10498" t="s">
        <v>74</v>
      </c>
      <c r="F10498">
        <v>27.991949999999999</v>
      </c>
      <c r="G10498" t="s">
        <v>75</v>
      </c>
      <c r="H10498">
        <v>27991.947</v>
      </c>
      <c r="I10498" t="s">
        <v>76</v>
      </c>
      <c r="J10498" t="s">
        <v>77</v>
      </c>
    </row>
    <row r="10499" spans="1:11" x14ac:dyDescent="0.3">
      <c r="A10499" t="s">
        <v>84</v>
      </c>
      <c r="B10499">
        <v>1001</v>
      </c>
      <c r="C10499" t="s">
        <v>80</v>
      </c>
      <c r="D10499">
        <v>2.813075E-2</v>
      </c>
      <c r="E10499" t="s">
        <v>74</v>
      </c>
      <c r="F10499">
        <v>28.130749999999999</v>
      </c>
      <c r="G10499" t="s">
        <v>75</v>
      </c>
      <c r="H10499">
        <v>28130.751</v>
      </c>
      <c r="I10499" t="s">
        <v>76</v>
      </c>
      <c r="J10499" t="s">
        <v>77</v>
      </c>
    </row>
    <row r="10500" spans="1:11" x14ac:dyDescent="0.3">
      <c r="A10500" t="s">
        <v>84</v>
      </c>
      <c r="B10500">
        <v>1001</v>
      </c>
      <c r="C10500" t="s">
        <v>81</v>
      </c>
      <c r="D10500">
        <v>2.8552689999999999E-2</v>
      </c>
      <c r="E10500" t="s">
        <v>74</v>
      </c>
      <c r="F10500">
        <v>28.552689999999998</v>
      </c>
      <c r="G10500" t="s">
        <v>75</v>
      </c>
      <c r="H10500">
        <v>28552.687000000002</v>
      </c>
      <c r="I10500" t="s">
        <v>76</v>
      </c>
      <c r="J10500" t="s">
        <v>82</v>
      </c>
      <c r="K10500">
        <v>35.022973499999999</v>
      </c>
    </row>
    <row r="10501" spans="1:11" x14ac:dyDescent="0.3">
      <c r="A10501" t="s">
        <v>85</v>
      </c>
      <c r="B10501">
        <v>1001</v>
      </c>
      <c r="C10501" t="s">
        <v>86</v>
      </c>
      <c r="D10501">
        <v>2.855303E-2</v>
      </c>
      <c r="E10501" t="s">
        <v>74</v>
      </c>
      <c r="F10501">
        <v>28.55303</v>
      </c>
      <c r="G10501" t="s">
        <v>75</v>
      </c>
      <c r="H10501">
        <v>28553.034</v>
      </c>
      <c r="I10501" t="s">
        <v>76</v>
      </c>
      <c r="J10501" t="s">
        <v>82</v>
      </c>
      <c r="K10501">
        <v>35.022548100000002</v>
      </c>
    </row>
    <row r="10502" spans="1:11" x14ac:dyDescent="0.3">
      <c r="A10502" t="s">
        <v>115</v>
      </c>
    </row>
    <row r="10503" spans="1:11" x14ac:dyDescent="0.3">
      <c r="A10503" t="s">
        <v>127</v>
      </c>
    </row>
    <row r="10504" spans="1:11" x14ac:dyDescent="0.3">
      <c r="A10504" t="s">
        <v>87</v>
      </c>
    </row>
    <row r="10505" spans="1:11" x14ac:dyDescent="0.3">
      <c r="A10505" t="s">
        <v>441</v>
      </c>
    </row>
    <row r="10506" spans="1:11" x14ac:dyDescent="0.3">
      <c r="A10506" t="s">
        <v>72</v>
      </c>
      <c r="B10506">
        <v>1</v>
      </c>
      <c r="C10506" t="s">
        <v>81</v>
      </c>
      <c r="D10506">
        <v>0.15881790000000001</v>
      </c>
      <c r="E10506" t="s">
        <v>74</v>
      </c>
      <c r="F10506">
        <v>158.81790000000001</v>
      </c>
      <c r="G10506" t="s">
        <v>75</v>
      </c>
      <c r="H10506">
        <v>158817.902</v>
      </c>
      <c r="I10506" t="s">
        <v>76</v>
      </c>
      <c r="J10506" t="s">
        <v>82</v>
      </c>
      <c r="K10506">
        <v>6.2965194000000002</v>
      </c>
    </row>
    <row r="10507" spans="1:11" x14ac:dyDescent="0.3">
      <c r="A10507" t="s">
        <v>83</v>
      </c>
      <c r="B10507">
        <v>1000</v>
      </c>
      <c r="C10507" t="s">
        <v>81</v>
      </c>
      <c r="D10507">
        <v>1.8211249999999998E-2</v>
      </c>
      <c r="E10507" t="s">
        <v>74</v>
      </c>
      <c r="F10507">
        <v>18.21125</v>
      </c>
      <c r="G10507" t="s">
        <v>75</v>
      </c>
      <c r="H10507">
        <v>18211.252</v>
      </c>
      <c r="I10507" t="s">
        <v>76</v>
      </c>
      <c r="J10507" t="s">
        <v>82</v>
      </c>
      <c r="K10507">
        <v>54.911105999999997</v>
      </c>
    </row>
    <row r="10508" spans="1:11" x14ac:dyDescent="0.3">
      <c r="A10508" t="s">
        <v>85</v>
      </c>
      <c r="B10508">
        <v>1001</v>
      </c>
      <c r="C10508" t="s">
        <v>86</v>
      </c>
      <c r="D10508">
        <v>1.8352090000000001E-2</v>
      </c>
      <c r="E10508" t="s">
        <v>74</v>
      </c>
      <c r="F10508">
        <v>18.35209</v>
      </c>
      <c r="G10508" t="s">
        <v>75</v>
      </c>
      <c r="H10508">
        <v>18352.093000000001</v>
      </c>
      <c r="I10508" t="s">
        <v>76</v>
      </c>
      <c r="J10508" t="s">
        <v>82</v>
      </c>
      <c r="K10508">
        <v>54.489697200000002</v>
      </c>
    </row>
    <row r="10510" spans="1:11" x14ac:dyDescent="0.3">
      <c r="A10510" t="s">
        <v>442</v>
      </c>
    </row>
    <row r="10511" spans="1:11" x14ac:dyDescent="0.3">
      <c r="A10511" t="s">
        <v>72</v>
      </c>
      <c r="B10511">
        <v>1</v>
      </c>
      <c r="C10511" t="s">
        <v>81</v>
      </c>
      <c r="D10511">
        <v>0.1201797</v>
      </c>
      <c r="E10511" t="s">
        <v>74</v>
      </c>
      <c r="F10511">
        <v>120.1797</v>
      </c>
      <c r="G10511" t="s">
        <v>75</v>
      </c>
      <c r="H10511">
        <v>120179.698</v>
      </c>
      <c r="I10511" t="s">
        <v>76</v>
      </c>
      <c r="J10511" t="s">
        <v>82</v>
      </c>
      <c r="K10511">
        <v>8.3208730000000006</v>
      </c>
    </row>
    <row r="10512" spans="1:11" x14ac:dyDescent="0.3">
      <c r="A10512" t="s">
        <v>83</v>
      </c>
      <c r="B10512">
        <v>1000</v>
      </c>
      <c r="C10512" t="s">
        <v>81</v>
      </c>
      <c r="D10512">
        <v>2.846106E-2</v>
      </c>
      <c r="E10512" t="s">
        <v>74</v>
      </c>
      <c r="F10512">
        <v>28.46106</v>
      </c>
      <c r="G10512" t="s">
        <v>75</v>
      </c>
      <c r="H10512">
        <v>28461.061000000002</v>
      </c>
      <c r="I10512" t="s">
        <v>76</v>
      </c>
      <c r="J10512" t="s">
        <v>82</v>
      </c>
      <c r="K10512">
        <v>35.135724000000003</v>
      </c>
    </row>
    <row r="10513" spans="1:11" x14ac:dyDescent="0.3">
      <c r="A10513" t="s">
        <v>85</v>
      </c>
      <c r="B10513">
        <v>1001</v>
      </c>
      <c r="C10513" t="s">
        <v>86</v>
      </c>
      <c r="D10513">
        <v>2.855303E-2</v>
      </c>
      <c r="E10513" t="s">
        <v>74</v>
      </c>
      <c r="F10513">
        <v>28.55303</v>
      </c>
      <c r="G10513" t="s">
        <v>75</v>
      </c>
      <c r="H10513">
        <v>28553.034</v>
      </c>
      <c r="I10513" t="s">
        <v>76</v>
      </c>
      <c r="J10513" t="s">
        <v>82</v>
      </c>
      <c r="K10513">
        <v>35.022548100000002</v>
      </c>
    </row>
    <row r="10515" spans="1:11" x14ac:dyDescent="0.3">
      <c r="A10515" t="s">
        <v>66</v>
      </c>
    </row>
    <row r="10517" spans="1:11" x14ac:dyDescent="0.3">
      <c r="A10517" t="s">
        <v>491</v>
      </c>
    </row>
    <row r="10518" spans="1:11" x14ac:dyDescent="0.3">
      <c r="A10518" t="s">
        <v>68</v>
      </c>
    </row>
    <row r="10519" spans="1:11" x14ac:dyDescent="0.3">
      <c r="A10519" t="s">
        <v>69</v>
      </c>
    </row>
    <row r="10520" spans="1:11" x14ac:dyDescent="0.3">
      <c r="A10520" t="s">
        <v>70</v>
      </c>
    </row>
    <row r="10521" spans="1:11" x14ac:dyDescent="0.3">
      <c r="A10521" t="s">
        <v>115</v>
      </c>
    </row>
    <row r="10522" spans="1:11" x14ac:dyDescent="0.3">
      <c r="A10522" t="s">
        <v>384</v>
      </c>
    </row>
    <row r="10523" spans="1:11" x14ac:dyDescent="0.3">
      <c r="A10523" t="s">
        <v>385</v>
      </c>
    </row>
    <row r="10524" spans="1:11" x14ac:dyDescent="0.3">
      <c r="A10524" t="s">
        <v>118</v>
      </c>
    </row>
    <row r="10525" spans="1:11" x14ac:dyDescent="0.3">
      <c r="A10525" t="s">
        <v>119</v>
      </c>
    </row>
    <row r="10526" spans="1:11" x14ac:dyDescent="0.3">
      <c r="A10526" t="s">
        <v>268</v>
      </c>
    </row>
    <row r="10527" spans="1:11" x14ac:dyDescent="0.3">
      <c r="A10527" t="s">
        <v>269</v>
      </c>
    </row>
    <row r="10528" spans="1:11" x14ac:dyDescent="0.3">
      <c r="A10528" t="s">
        <v>386</v>
      </c>
    </row>
    <row r="10529" spans="1:11" x14ac:dyDescent="0.3">
      <c r="A10529" t="s">
        <v>387</v>
      </c>
    </row>
    <row r="10530" spans="1:11" x14ac:dyDescent="0.3">
      <c r="A10530" t="s">
        <v>271</v>
      </c>
    </row>
    <row r="10531" spans="1:11" x14ac:dyDescent="0.3">
      <c r="A10531" t="s">
        <v>125</v>
      </c>
    </row>
    <row r="10532" spans="1:11" x14ac:dyDescent="0.3">
      <c r="A10532" t="s">
        <v>126</v>
      </c>
    </row>
    <row r="10533" spans="1:11" x14ac:dyDescent="0.3">
      <c r="A10533" t="s">
        <v>127</v>
      </c>
    </row>
    <row r="10534" spans="1:11" x14ac:dyDescent="0.3">
      <c r="A10534" t="s">
        <v>206</v>
      </c>
    </row>
    <row r="10535" spans="1:11" x14ac:dyDescent="0.3">
      <c r="A10535" t="s">
        <v>444</v>
      </c>
    </row>
    <row r="10536" spans="1:11" x14ac:dyDescent="0.3">
      <c r="A10536" t="s">
        <v>72</v>
      </c>
      <c r="B10536">
        <v>1</v>
      </c>
      <c r="C10536" t="s">
        <v>73</v>
      </c>
      <c r="D10536">
        <v>4.0999999999999997E-6</v>
      </c>
      <c r="E10536" t="s">
        <v>74</v>
      </c>
      <c r="F10536">
        <v>4.1000000000000003E-3</v>
      </c>
      <c r="G10536" t="s">
        <v>75</v>
      </c>
      <c r="H10536">
        <v>4.0999999999999996</v>
      </c>
      <c r="I10536" t="s">
        <v>76</v>
      </c>
      <c r="J10536" t="s">
        <v>77</v>
      </c>
    </row>
    <row r="10537" spans="1:11" x14ac:dyDescent="0.3">
      <c r="A10537" t="s">
        <v>72</v>
      </c>
      <c r="B10537">
        <v>1</v>
      </c>
      <c r="C10537" t="s">
        <v>78</v>
      </c>
      <c r="D10537">
        <v>0.1081337</v>
      </c>
      <c r="E10537" t="s">
        <v>74</v>
      </c>
      <c r="F10537">
        <v>108.1337</v>
      </c>
      <c r="G10537" t="s">
        <v>75</v>
      </c>
      <c r="H10537">
        <v>108133.70299999999</v>
      </c>
      <c r="I10537" t="s">
        <v>76</v>
      </c>
      <c r="J10537" t="s">
        <v>77</v>
      </c>
    </row>
    <row r="10538" spans="1:11" x14ac:dyDescent="0.3">
      <c r="A10538" t="s">
        <v>72</v>
      </c>
      <c r="B10538">
        <v>1</v>
      </c>
      <c r="C10538" t="s">
        <v>79</v>
      </c>
      <c r="D10538">
        <v>0.1465418</v>
      </c>
      <c r="E10538" t="s">
        <v>74</v>
      </c>
      <c r="F10538">
        <v>146.54179999999999</v>
      </c>
      <c r="G10538" t="s">
        <v>75</v>
      </c>
      <c r="H10538">
        <v>146541.804</v>
      </c>
      <c r="I10538" t="s">
        <v>76</v>
      </c>
      <c r="J10538" t="s">
        <v>77</v>
      </c>
    </row>
    <row r="10539" spans="1:11" x14ac:dyDescent="0.3">
      <c r="A10539" t="s">
        <v>72</v>
      </c>
      <c r="B10539">
        <v>1</v>
      </c>
      <c r="C10539" t="s">
        <v>94</v>
      </c>
      <c r="D10539">
        <v>1.7065400000000001E-2</v>
      </c>
      <c r="E10539" t="s">
        <v>74</v>
      </c>
      <c r="F10539">
        <v>17.0654</v>
      </c>
      <c r="G10539" t="s">
        <v>75</v>
      </c>
      <c r="H10539">
        <v>17065.400000000001</v>
      </c>
      <c r="I10539" t="s">
        <v>76</v>
      </c>
      <c r="J10539" t="s">
        <v>77</v>
      </c>
    </row>
    <row r="10540" spans="1:11" x14ac:dyDescent="0.3">
      <c r="A10540" t="s">
        <v>72</v>
      </c>
      <c r="B10540">
        <v>1</v>
      </c>
      <c r="C10540" t="s">
        <v>80</v>
      </c>
      <c r="D10540">
        <v>1.7066000000000001E-2</v>
      </c>
      <c r="E10540" t="s">
        <v>74</v>
      </c>
      <c r="F10540">
        <v>17.065999999999999</v>
      </c>
      <c r="G10540" t="s">
        <v>75</v>
      </c>
      <c r="H10540">
        <v>17066</v>
      </c>
      <c r="I10540" t="s">
        <v>76</v>
      </c>
      <c r="J10540" t="s">
        <v>77</v>
      </c>
    </row>
    <row r="10541" spans="1:11" x14ac:dyDescent="0.3">
      <c r="A10541" t="s">
        <v>72</v>
      </c>
      <c r="B10541">
        <v>1</v>
      </c>
      <c r="C10541" t="s">
        <v>81</v>
      </c>
      <c r="D10541">
        <v>0.16361010000000001</v>
      </c>
      <c r="E10541" t="s">
        <v>74</v>
      </c>
      <c r="F10541">
        <v>163.61009999999999</v>
      </c>
      <c r="G10541" t="s">
        <v>75</v>
      </c>
      <c r="H10541">
        <v>163610.101</v>
      </c>
      <c r="I10541" t="s">
        <v>76</v>
      </c>
      <c r="J10541" t="s">
        <v>82</v>
      </c>
      <c r="K10541">
        <v>6.1120920999999999</v>
      </c>
    </row>
    <row r="10542" spans="1:11" x14ac:dyDescent="0.3">
      <c r="A10542" t="s">
        <v>83</v>
      </c>
      <c r="B10542">
        <v>1000</v>
      </c>
      <c r="C10542" t="s">
        <v>79</v>
      </c>
      <c r="D10542">
        <v>4.037E-4</v>
      </c>
      <c r="E10542" t="s">
        <v>74</v>
      </c>
      <c r="F10542">
        <v>0.4037</v>
      </c>
      <c r="G10542" t="s">
        <v>75</v>
      </c>
      <c r="H10542">
        <v>403.70400000000001</v>
      </c>
      <c r="I10542" t="s">
        <v>76</v>
      </c>
      <c r="J10542" t="s">
        <v>77</v>
      </c>
    </row>
    <row r="10543" spans="1:11" x14ac:dyDescent="0.3">
      <c r="A10543" t="s">
        <v>83</v>
      </c>
      <c r="B10543">
        <v>1000</v>
      </c>
      <c r="C10543" t="s">
        <v>94</v>
      </c>
      <c r="D10543">
        <v>1.6609539999999999E-2</v>
      </c>
      <c r="E10543" t="s">
        <v>74</v>
      </c>
      <c r="F10543">
        <v>16.609539999999999</v>
      </c>
      <c r="G10543" t="s">
        <v>75</v>
      </c>
      <c r="H10543">
        <v>16609.543000000001</v>
      </c>
      <c r="I10543" t="s">
        <v>76</v>
      </c>
      <c r="J10543" t="s">
        <v>77</v>
      </c>
    </row>
    <row r="10544" spans="1:11" x14ac:dyDescent="0.3">
      <c r="A10544" t="s">
        <v>83</v>
      </c>
      <c r="B10544">
        <v>1000</v>
      </c>
      <c r="C10544" t="s">
        <v>80</v>
      </c>
      <c r="D10544">
        <v>1.6610059999999999E-2</v>
      </c>
      <c r="E10544" t="s">
        <v>74</v>
      </c>
      <c r="F10544">
        <v>16.610060000000001</v>
      </c>
      <c r="G10544" t="s">
        <v>75</v>
      </c>
      <c r="H10544">
        <v>16610.058000000001</v>
      </c>
      <c r="I10544" t="s">
        <v>76</v>
      </c>
      <c r="J10544" t="s">
        <v>77</v>
      </c>
    </row>
    <row r="10545" spans="1:11" x14ac:dyDescent="0.3">
      <c r="A10545" t="s">
        <v>83</v>
      </c>
      <c r="B10545">
        <v>1000</v>
      </c>
      <c r="C10545" t="s">
        <v>81</v>
      </c>
      <c r="D10545">
        <v>1.7014399999999999E-2</v>
      </c>
      <c r="E10545" t="s">
        <v>74</v>
      </c>
      <c r="F10545">
        <v>17.014399999999998</v>
      </c>
      <c r="G10545" t="s">
        <v>75</v>
      </c>
      <c r="H10545">
        <v>17014.397000000001</v>
      </c>
      <c r="I10545" t="s">
        <v>76</v>
      </c>
      <c r="J10545" t="s">
        <v>82</v>
      </c>
      <c r="K10545">
        <v>58.7737561</v>
      </c>
    </row>
    <row r="10546" spans="1:11" x14ac:dyDescent="0.3">
      <c r="A10546" t="s">
        <v>84</v>
      </c>
      <c r="B10546">
        <v>1001</v>
      </c>
      <c r="C10546" t="s">
        <v>79</v>
      </c>
      <c r="D10546">
        <v>5.4969999999999997E-4</v>
      </c>
      <c r="E10546" t="s">
        <v>74</v>
      </c>
      <c r="F10546">
        <v>0.54969999999999997</v>
      </c>
      <c r="G10546" t="s">
        <v>75</v>
      </c>
      <c r="H10546">
        <v>549.69600000000003</v>
      </c>
      <c r="I10546" t="s">
        <v>76</v>
      </c>
      <c r="J10546" t="s">
        <v>77</v>
      </c>
    </row>
    <row r="10547" spans="1:11" x14ac:dyDescent="0.3">
      <c r="A10547" t="s">
        <v>84</v>
      </c>
      <c r="B10547">
        <v>1001</v>
      </c>
      <c r="C10547" t="s">
        <v>94</v>
      </c>
      <c r="D10547">
        <v>1.661E-2</v>
      </c>
      <c r="E10547" t="s">
        <v>74</v>
      </c>
      <c r="F10547">
        <v>16.61</v>
      </c>
      <c r="G10547" t="s">
        <v>75</v>
      </c>
      <c r="H10547">
        <v>16609.998</v>
      </c>
      <c r="I10547" t="s">
        <v>76</v>
      </c>
      <c r="J10547" t="s">
        <v>77</v>
      </c>
    </row>
    <row r="10548" spans="1:11" x14ac:dyDescent="0.3">
      <c r="A10548" t="s">
        <v>84</v>
      </c>
      <c r="B10548">
        <v>1001</v>
      </c>
      <c r="C10548" t="s">
        <v>80</v>
      </c>
      <c r="D10548">
        <v>1.661052E-2</v>
      </c>
      <c r="E10548" t="s">
        <v>74</v>
      </c>
      <c r="F10548">
        <v>16.610520000000001</v>
      </c>
      <c r="G10548" t="s">
        <v>75</v>
      </c>
      <c r="H10548">
        <v>16610.516</v>
      </c>
      <c r="I10548" t="s">
        <v>76</v>
      </c>
      <c r="J10548" t="s">
        <v>77</v>
      </c>
    </row>
    <row r="10549" spans="1:11" x14ac:dyDescent="0.3">
      <c r="A10549" t="s">
        <v>84</v>
      </c>
      <c r="B10549">
        <v>1001</v>
      </c>
      <c r="C10549" t="s">
        <v>81</v>
      </c>
      <c r="D10549">
        <v>1.7160849999999998E-2</v>
      </c>
      <c r="E10549" t="s">
        <v>74</v>
      </c>
      <c r="F10549">
        <v>17.16085</v>
      </c>
      <c r="G10549" t="s">
        <v>75</v>
      </c>
      <c r="H10549">
        <v>17160.851999999999</v>
      </c>
      <c r="I10549" t="s">
        <v>76</v>
      </c>
      <c r="J10549" t="s">
        <v>82</v>
      </c>
      <c r="K10549">
        <v>58.272165100000002</v>
      </c>
    </row>
    <row r="10550" spans="1:11" x14ac:dyDescent="0.3">
      <c r="A10550" t="s">
        <v>85</v>
      </c>
      <c r="B10550">
        <v>1001</v>
      </c>
      <c r="C10550" t="s">
        <v>86</v>
      </c>
      <c r="D10550">
        <v>1.7161119999999998E-2</v>
      </c>
      <c r="E10550" t="s">
        <v>74</v>
      </c>
      <c r="F10550">
        <v>17.16112</v>
      </c>
      <c r="G10550" t="s">
        <v>75</v>
      </c>
      <c r="H10550">
        <v>17161.116999999998</v>
      </c>
      <c r="I10550" t="s">
        <v>76</v>
      </c>
      <c r="J10550" t="s">
        <v>82</v>
      </c>
      <c r="K10550">
        <v>58.271265700000001</v>
      </c>
    </row>
    <row r="10551" spans="1:11" x14ac:dyDescent="0.3">
      <c r="A10551" t="s">
        <v>208</v>
      </c>
    </row>
    <row r="10552" spans="1:11" x14ac:dyDescent="0.3">
      <c r="A10552" t="s">
        <v>445</v>
      </c>
    </row>
    <row r="10553" spans="1:11" x14ac:dyDescent="0.3">
      <c r="A10553" t="s">
        <v>72</v>
      </c>
      <c r="B10553">
        <v>1</v>
      </c>
      <c r="C10553" t="s">
        <v>73</v>
      </c>
      <c r="D10553">
        <v>4.0999999999999997E-6</v>
      </c>
      <c r="E10553" t="s">
        <v>74</v>
      </c>
      <c r="F10553">
        <v>4.1000000000000003E-3</v>
      </c>
      <c r="G10553" t="s">
        <v>75</v>
      </c>
      <c r="H10553">
        <v>4.0999999999999996</v>
      </c>
      <c r="I10553" t="s">
        <v>76</v>
      </c>
      <c r="J10553" t="s">
        <v>77</v>
      </c>
    </row>
    <row r="10554" spans="1:11" x14ac:dyDescent="0.3">
      <c r="A10554" t="s">
        <v>72</v>
      </c>
      <c r="B10554">
        <v>1</v>
      </c>
      <c r="C10554" t="s">
        <v>78</v>
      </c>
      <c r="D10554">
        <v>8.7112999999999999E-3</v>
      </c>
      <c r="E10554" t="s">
        <v>74</v>
      </c>
      <c r="F10554">
        <v>8.7112999999999996</v>
      </c>
      <c r="G10554" t="s">
        <v>75</v>
      </c>
      <c r="H10554">
        <v>8711.2999999999993</v>
      </c>
      <c r="I10554" t="s">
        <v>76</v>
      </c>
      <c r="J10554" t="s">
        <v>77</v>
      </c>
    </row>
    <row r="10555" spans="1:11" x14ac:dyDescent="0.3">
      <c r="A10555" t="s">
        <v>72</v>
      </c>
      <c r="B10555">
        <v>1</v>
      </c>
      <c r="C10555" t="s">
        <v>79</v>
      </c>
      <c r="D10555">
        <v>7.7320000000000004E-4</v>
      </c>
      <c r="E10555" t="s">
        <v>74</v>
      </c>
      <c r="F10555">
        <v>0.7732</v>
      </c>
      <c r="G10555" t="s">
        <v>75</v>
      </c>
      <c r="H10555">
        <v>773.2</v>
      </c>
      <c r="I10555" t="s">
        <v>76</v>
      </c>
      <c r="J10555" t="s">
        <v>77</v>
      </c>
    </row>
    <row r="10556" spans="1:11" x14ac:dyDescent="0.3">
      <c r="A10556" t="s">
        <v>72</v>
      </c>
      <c r="B10556">
        <v>1</v>
      </c>
      <c r="C10556" t="s">
        <v>94</v>
      </c>
      <c r="D10556">
        <v>2.9481500000000001E-2</v>
      </c>
      <c r="E10556" t="s">
        <v>74</v>
      </c>
      <c r="F10556">
        <v>29.4815</v>
      </c>
      <c r="G10556" t="s">
        <v>75</v>
      </c>
      <c r="H10556">
        <v>29481.5</v>
      </c>
      <c r="I10556" t="s">
        <v>76</v>
      </c>
      <c r="J10556" t="s">
        <v>77</v>
      </c>
    </row>
    <row r="10557" spans="1:11" x14ac:dyDescent="0.3">
      <c r="A10557" t="s">
        <v>72</v>
      </c>
      <c r="B10557">
        <v>1</v>
      </c>
      <c r="C10557" t="s">
        <v>80</v>
      </c>
      <c r="D10557">
        <v>2.9482100000000001E-2</v>
      </c>
      <c r="E10557" t="s">
        <v>74</v>
      </c>
      <c r="F10557">
        <v>29.482099999999999</v>
      </c>
      <c r="G10557" t="s">
        <v>75</v>
      </c>
      <c r="H10557">
        <v>29482.1</v>
      </c>
      <c r="I10557" t="s">
        <v>76</v>
      </c>
      <c r="J10557" t="s">
        <v>77</v>
      </c>
    </row>
    <row r="10558" spans="1:11" x14ac:dyDescent="0.3">
      <c r="A10558" t="s">
        <v>72</v>
      </c>
      <c r="B10558">
        <v>1</v>
      </c>
      <c r="C10558" t="s">
        <v>81</v>
      </c>
      <c r="D10558">
        <v>3.0256700000000001E-2</v>
      </c>
      <c r="E10558" t="s">
        <v>74</v>
      </c>
      <c r="F10558">
        <v>30.256699999999999</v>
      </c>
      <c r="G10558" t="s">
        <v>75</v>
      </c>
      <c r="H10558">
        <v>30256.7</v>
      </c>
      <c r="I10558" t="s">
        <v>76</v>
      </c>
      <c r="J10558" t="s">
        <v>82</v>
      </c>
      <c r="K10558">
        <v>33.050531200000002</v>
      </c>
    </row>
    <row r="10559" spans="1:11" x14ac:dyDescent="0.3">
      <c r="A10559" t="s">
        <v>83</v>
      </c>
      <c r="B10559">
        <v>1000</v>
      </c>
      <c r="C10559" t="s">
        <v>79</v>
      </c>
      <c r="D10559">
        <v>4.1807999999999998E-4</v>
      </c>
      <c r="E10559" t="s">
        <v>74</v>
      </c>
      <c r="F10559">
        <v>0.41808000000000001</v>
      </c>
      <c r="G10559" t="s">
        <v>75</v>
      </c>
      <c r="H10559">
        <v>418.08100000000002</v>
      </c>
      <c r="I10559" t="s">
        <v>76</v>
      </c>
      <c r="J10559" t="s">
        <v>77</v>
      </c>
    </row>
    <row r="10560" spans="1:11" x14ac:dyDescent="0.3">
      <c r="A10560" t="s">
        <v>83</v>
      </c>
      <c r="B10560">
        <v>1000</v>
      </c>
      <c r="C10560" t="s">
        <v>94</v>
      </c>
      <c r="D10560">
        <v>2.6960209999999998E-2</v>
      </c>
      <c r="E10560" t="s">
        <v>74</v>
      </c>
      <c r="F10560">
        <v>26.96021</v>
      </c>
      <c r="G10560" t="s">
        <v>75</v>
      </c>
      <c r="H10560">
        <v>26960.210999999999</v>
      </c>
      <c r="I10560" t="s">
        <v>76</v>
      </c>
      <c r="J10560" t="s">
        <v>77</v>
      </c>
    </row>
    <row r="10561" spans="1:11" x14ac:dyDescent="0.3">
      <c r="A10561" t="s">
        <v>83</v>
      </c>
      <c r="B10561">
        <v>1000</v>
      </c>
      <c r="C10561" t="s">
        <v>80</v>
      </c>
      <c r="D10561">
        <v>2.709918E-2</v>
      </c>
      <c r="E10561" t="s">
        <v>74</v>
      </c>
      <c r="F10561">
        <v>27.09918</v>
      </c>
      <c r="G10561" t="s">
        <v>75</v>
      </c>
      <c r="H10561">
        <v>27099.184000000001</v>
      </c>
      <c r="I10561" t="s">
        <v>76</v>
      </c>
      <c r="J10561" t="s">
        <v>77</v>
      </c>
    </row>
    <row r="10562" spans="1:11" x14ac:dyDescent="0.3">
      <c r="A10562" t="s">
        <v>83</v>
      </c>
      <c r="B10562">
        <v>1000</v>
      </c>
      <c r="C10562" t="s">
        <v>81</v>
      </c>
      <c r="D10562">
        <v>2.7518460000000002E-2</v>
      </c>
      <c r="E10562" t="s">
        <v>74</v>
      </c>
      <c r="F10562">
        <v>27.518460000000001</v>
      </c>
      <c r="G10562" t="s">
        <v>75</v>
      </c>
      <c r="H10562">
        <v>27518.463</v>
      </c>
      <c r="I10562" t="s">
        <v>76</v>
      </c>
      <c r="J10562" t="s">
        <v>82</v>
      </c>
      <c r="K10562">
        <v>36.339238700000003</v>
      </c>
    </row>
    <row r="10563" spans="1:11" x14ac:dyDescent="0.3">
      <c r="A10563" t="s">
        <v>84</v>
      </c>
      <c r="B10563">
        <v>1001</v>
      </c>
      <c r="C10563" t="s">
        <v>79</v>
      </c>
      <c r="D10563">
        <v>4.1844000000000001E-4</v>
      </c>
      <c r="E10563" t="s">
        <v>74</v>
      </c>
      <c r="F10563">
        <v>0.41843999999999998</v>
      </c>
      <c r="G10563" t="s">
        <v>75</v>
      </c>
      <c r="H10563">
        <v>418.43599999999998</v>
      </c>
      <c r="I10563" t="s">
        <v>76</v>
      </c>
      <c r="J10563" t="s">
        <v>77</v>
      </c>
    </row>
    <row r="10564" spans="1:11" x14ac:dyDescent="0.3">
      <c r="A10564" t="s">
        <v>84</v>
      </c>
      <c r="B10564">
        <v>1001</v>
      </c>
      <c r="C10564" t="s">
        <v>94</v>
      </c>
      <c r="D10564">
        <v>2.6962730000000001E-2</v>
      </c>
      <c r="E10564" t="s">
        <v>74</v>
      </c>
      <c r="F10564">
        <v>26.962730000000001</v>
      </c>
      <c r="G10564" t="s">
        <v>75</v>
      </c>
      <c r="H10564">
        <v>26962.727999999999</v>
      </c>
      <c r="I10564" t="s">
        <v>76</v>
      </c>
      <c r="J10564" t="s">
        <v>77</v>
      </c>
    </row>
    <row r="10565" spans="1:11" x14ac:dyDescent="0.3">
      <c r="A10565" t="s">
        <v>84</v>
      </c>
      <c r="B10565">
        <v>1001</v>
      </c>
      <c r="C10565" t="s">
        <v>80</v>
      </c>
      <c r="D10565">
        <v>2.7101569999999998E-2</v>
      </c>
      <c r="E10565" t="s">
        <v>74</v>
      </c>
      <c r="F10565">
        <v>27.101569999999999</v>
      </c>
      <c r="G10565" t="s">
        <v>75</v>
      </c>
      <c r="H10565">
        <v>27101.565999999999</v>
      </c>
      <c r="I10565" t="s">
        <v>76</v>
      </c>
      <c r="J10565" t="s">
        <v>77</v>
      </c>
    </row>
    <row r="10566" spans="1:11" x14ac:dyDescent="0.3">
      <c r="A10566" t="s">
        <v>84</v>
      </c>
      <c r="B10566">
        <v>1001</v>
      </c>
      <c r="C10566" t="s">
        <v>81</v>
      </c>
      <c r="D10566">
        <v>2.7521199999999999E-2</v>
      </c>
      <c r="E10566" t="s">
        <v>74</v>
      </c>
      <c r="F10566">
        <v>27.5212</v>
      </c>
      <c r="G10566" t="s">
        <v>75</v>
      </c>
      <c r="H10566">
        <v>27521.196</v>
      </c>
      <c r="I10566" t="s">
        <v>76</v>
      </c>
      <c r="J10566" t="s">
        <v>82</v>
      </c>
      <c r="K10566">
        <v>36.3356298</v>
      </c>
    </row>
    <row r="10567" spans="1:11" x14ac:dyDescent="0.3">
      <c r="A10567" t="s">
        <v>85</v>
      </c>
      <c r="B10567">
        <v>1001</v>
      </c>
      <c r="C10567" t="s">
        <v>86</v>
      </c>
      <c r="D10567">
        <v>2.7521549999999999E-2</v>
      </c>
      <c r="E10567" t="s">
        <v>74</v>
      </c>
      <c r="F10567">
        <v>27.521550000000001</v>
      </c>
      <c r="G10567" t="s">
        <v>75</v>
      </c>
      <c r="H10567">
        <v>27521.550999999999</v>
      </c>
      <c r="I10567" t="s">
        <v>76</v>
      </c>
      <c r="J10567" t="s">
        <v>82</v>
      </c>
      <c r="K10567">
        <v>36.335161900000003</v>
      </c>
    </row>
    <row r="10568" spans="1:11" x14ac:dyDescent="0.3">
      <c r="A10568" t="s">
        <v>115</v>
      </c>
    </row>
    <row r="10569" spans="1:11" x14ac:dyDescent="0.3">
      <c r="A10569" t="s">
        <v>127</v>
      </c>
    </row>
    <row r="10570" spans="1:11" x14ac:dyDescent="0.3">
      <c r="A10570" t="s">
        <v>87</v>
      </c>
    </row>
    <row r="10571" spans="1:11" x14ac:dyDescent="0.3">
      <c r="A10571" t="s">
        <v>446</v>
      </c>
    </row>
    <row r="10572" spans="1:11" x14ac:dyDescent="0.3">
      <c r="A10572" t="s">
        <v>72</v>
      </c>
      <c r="B10572">
        <v>1</v>
      </c>
      <c r="C10572" t="s">
        <v>81</v>
      </c>
      <c r="D10572">
        <v>0.16361010000000001</v>
      </c>
      <c r="E10572" t="s">
        <v>74</v>
      </c>
      <c r="F10572">
        <v>163.61009999999999</v>
      </c>
      <c r="G10572" t="s">
        <v>75</v>
      </c>
      <c r="H10572">
        <v>163610.101</v>
      </c>
      <c r="I10572" t="s">
        <v>76</v>
      </c>
      <c r="J10572" t="s">
        <v>82</v>
      </c>
      <c r="K10572">
        <v>6.1120920999999999</v>
      </c>
    </row>
    <row r="10573" spans="1:11" x14ac:dyDescent="0.3">
      <c r="A10573" t="s">
        <v>83</v>
      </c>
      <c r="B10573">
        <v>1000</v>
      </c>
      <c r="C10573" t="s">
        <v>81</v>
      </c>
      <c r="D10573">
        <v>1.7014399999999999E-2</v>
      </c>
      <c r="E10573" t="s">
        <v>74</v>
      </c>
      <c r="F10573">
        <v>17.014399999999998</v>
      </c>
      <c r="G10573" t="s">
        <v>75</v>
      </c>
      <c r="H10573">
        <v>17014.397000000001</v>
      </c>
      <c r="I10573" t="s">
        <v>76</v>
      </c>
      <c r="J10573" t="s">
        <v>82</v>
      </c>
      <c r="K10573">
        <v>58.7737561</v>
      </c>
    </row>
    <row r="10574" spans="1:11" x14ac:dyDescent="0.3">
      <c r="A10574" t="s">
        <v>85</v>
      </c>
      <c r="B10574">
        <v>1001</v>
      </c>
      <c r="C10574" t="s">
        <v>86</v>
      </c>
      <c r="D10574">
        <v>1.7161119999999998E-2</v>
      </c>
      <c r="E10574" t="s">
        <v>74</v>
      </c>
      <c r="F10574">
        <v>17.16112</v>
      </c>
      <c r="G10574" t="s">
        <v>75</v>
      </c>
      <c r="H10574">
        <v>17161.116999999998</v>
      </c>
      <c r="I10574" t="s">
        <v>76</v>
      </c>
      <c r="J10574" t="s">
        <v>82</v>
      </c>
      <c r="K10574">
        <v>58.271265700000001</v>
      </c>
    </row>
    <row r="10576" spans="1:11" x14ac:dyDescent="0.3">
      <c r="A10576" t="s">
        <v>447</v>
      </c>
    </row>
    <row r="10577" spans="1:11" x14ac:dyDescent="0.3">
      <c r="A10577" t="s">
        <v>72</v>
      </c>
      <c r="B10577">
        <v>1</v>
      </c>
      <c r="C10577" t="s">
        <v>81</v>
      </c>
      <c r="D10577">
        <v>3.0256700000000001E-2</v>
      </c>
      <c r="E10577" t="s">
        <v>74</v>
      </c>
      <c r="F10577">
        <v>30.256699999999999</v>
      </c>
      <c r="G10577" t="s">
        <v>75</v>
      </c>
      <c r="H10577">
        <v>30256.7</v>
      </c>
      <c r="I10577" t="s">
        <v>76</v>
      </c>
      <c r="J10577" t="s">
        <v>82</v>
      </c>
      <c r="K10577">
        <v>33.050531200000002</v>
      </c>
    </row>
    <row r="10578" spans="1:11" x14ac:dyDescent="0.3">
      <c r="A10578" t="s">
        <v>83</v>
      </c>
      <c r="B10578">
        <v>1000</v>
      </c>
      <c r="C10578" t="s">
        <v>81</v>
      </c>
      <c r="D10578">
        <v>2.7518460000000002E-2</v>
      </c>
      <c r="E10578" t="s">
        <v>74</v>
      </c>
      <c r="F10578">
        <v>27.518460000000001</v>
      </c>
      <c r="G10578" t="s">
        <v>75</v>
      </c>
      <c r="H10578">
        <v>27518.463</v>
      </c>
      <c r="I10578" t="s">
        <v>76</v>
      </c>
      <c r="J10578" t="s">
        <v>82</v>
      </c>
      <c r="K10578">
        <v>36.339238700000003</v>
      </c>
    </row>
    <row r="10579" spans="1:11" x14ac:dyDescent="0.3">
      <c r="A10579" t="s">
        <v>85</v>
      </c>
      <c r="B10579">
        <v>1001</v>
      </c>
      <c r="C10579" t="s">
        <v>86</v>
      </c>
      <c r="D10579">
        <v>2.7521549999999999E-2</v>
      </c>
      <c r="E10579" t="s">
        <v>74</v>
      </c>
      <c r="F10579">
        <v>27.521550000000001</v>
      </c>
      <c r="G10579" t="s">
        <v>75</v>
      </c>
      <c r="H10579">
        <v>27521.550999999999</v>
      </c>
      <c r="I10579" t="s">
        <v>76</v>
      </c>
      <c r="J10579" t="s">
        <v>82</v>
      </c>
      <c r="K10579">
        <v>36.335161900000003</v>
      </c>
    </row>
    <row r="10581" spans="1:11" x14ac:dyDescent="0.3">
      <c r="A10581" t="s">
        <v>66</v>
      </c>
    </row>
    <row r="10583" spans="1:11" x14ac:dyDescent="0.3">
      <c r="A10583" t="s">
        <v>492</v>
      </c>
    </row>
    <row r="10584" spans="1:11" x14ac:dyDescent="0.3">
      <c r="A10584" t="s">
        <v>68</v>
      </c>
    </row>
    <row r="10585" spans="1:11" x14ac:dyDescent="0.3">
      <c r="A10585" t="s">
        <v>69</v>
      </c>
    </row>
    <row r="10586" spans="1:11" x14ac:dyDescent="0.3">
      <c r="A10586" t="s">
        <v>70</v>
      </c>
    </row>
    <row r="10587" spans="1:11" x14ac:dyDescent="0.3">
      <c r="A10587" t="s">
        <v>115</v>
      </c>
    </row>
    <row r="10588" spans="1:11" x14ac:dyDescent="0.3">
      <c r="A10588" t="s">
        <v>384</v>
      </c>
    </row>
    <row r="10589" spans="1:11" x14ac:dyDescent="0.3">
      <c r="A10589" t="s">
        <v>385</v>
      </c>
    </row>
    <row r="10590" spans="1:11" x14ac:dyDescent="0.3">
      <c r="A10590" t="s">
        <v>118</v>
      </c>
    </row>
    <row r="10591" spans="1:11" x14ac:dyDescent="0.3">
      <c r="A10591" t="s">
        <v>119</v>
      </c>
    </row>
    <row r="10592" spans="1:11" x14ac:dyDescent="0.3">
      <c r="A10592" t="s">
        <v>268</v>
      </c>
    </row>
    <row r="10593" spans="1:11" x14ac:dyDescent="0.3">
      <c r="A10593" t="s">
        <v>269</v>
      </c>
    </row>
    <row r="10594" spans="1:11" x14ac:dyDescent="0.3">
      <c r="A10594" t="s">
        <v>386</v>
      </c>
    </row>
    <row r="10595" spans="1:11" x14ac:dyDescent="0.3">
      <c r="A10595" t="s">
        <v>387</v>
      </c>
    </row>
    <row r="10596" spans="1:11" x14ac:dyDescent="0.3">
      <c r="A10596" t="s">
        <v>271</v>
      </c>
    </row>
    <row r="10597" spans="1:11" x14ac:dyDescent="0.3">
      <c r="A10597" t="s">
        <v>125</v>
      </c>
    </row>
    <row r="10598" spans="1:11" x14ac:dyDescent="0.3">
      <c r="A10598" t="s">
        <v>126</v>
      </c>
    </row>
    <row r="10599" spans="1:11" x14ac:dyDescent="0.3">
      <c r="A10599" t="s">
        <v>127</v>
      </c>
    </row>
    <row r="10600" spans="1:11" x14ac:dyDescent="0.3">
      <c r="A10600" t="s">
        <v>213</v>
      </c>
    </row>
    <row r="10601" spans="1:11" x14ac:dyDescent="0.3">
      <c r="A10601" t="s">
        <v>449</v>
      </c>
    </row>
    <row r="10602" spans="1:11" x14ac:dyDescent="0.3">
      <c r="A10602" t="s">
        <v>72</v>
      </c>
      <c r="B10602">
        <v>1</v>
      </c>
      <c r="C10602" t="s">
        <v>73</v>
      </c>
      <c r="D10602">
        <v>3.8999999999999999E-6</v>
      </c>
      <c r="E10602" t="s">
        <v>74</v>
      </c>
      <c r="F10602">
        <v>3.8999999999999998E-3</v>
      </c>
      <c r="G10602" t="s">
        <v>75</v>
      </c>
      <c r="H10602">
        <v>3.9</v>
      </c>
      <c r="I10602" t="s">
        <v>76</v>
      </c>
      <c r="J10602" t="s">
        <v>77</v>
      </c>
    </row>
    <row r="10603" spans="1:11" x14ac:dyDescent="0.3">
      <c r="A10603" t="s">
        <v>72</v>
      </c>
      <c r="B10603">
        <v>1</v>
      </c>
      <c r="C10603" t="s">
        <v>78</v>
      </c>
      <c r="D10603">
        <v>0.14609169999999999</v>
      </c>
      <c r="E10603" t="s">
        <v>74</v>
      </c>
      <c r="F10603">
        <v>146.0917</v>
      </c>
      <c r="G10603" t="s">
        <v>75</v>
      </c>
      <c r="H10603">
        <v>146091.70000000001</v>
      </c>
      <c r="I10603" t="s">
        <v>76</v>
      </c>
      <c r="J10603" t="s">
        <v>77</v>
      </c>
    </row>
    <row r="10604" spans="1:11" x14ac:dyDescent="0.3">
      <c r="A10604" t="s">
        <v>72</v>
      </c>
      <c r="B10604">
        <v>1</v>
      </c>
      <c r="C10604" t="s">
        <v>79</v>
      </c>
      <c r="D10604">
        <v>0.141289</v>
      </c>
      <c r="E10604" t="s">
        <v>74</v>
      </c>
      <c r="F10604">
        <v>141.28899999999999</v>
      </c>
      <c r="G10604" t="s">
        <v>75</v>
      </c>
      <c r="H10604">
        <v>141288.99600000001</v>
      </c>
      <c r="I10604" t="s">
        <v>76</v>
      </c>
      <c r="J10604" t="s">
        <v>77</v>
      </c>
    </row>
    <row r="10605" spans="1:11" x14ac:dyDescent="0.3">
      <c r="A10605" t="s">
        <v>72</v>
      </c>
      <c r="B10605">
        <v>1</v>
      </c>
      <c r="C10605" t="s">
        <v>94</v>
      </c>
      <c r="D10605">
        <v>1.6707400000000001E-2</v>
      </c>
      <c r="E10605" t="s">
        <v>74</v>
      </c>
      <c r="F10605">
        <v>16.7074</v>
      </c>
      <c r="G10605" t="s">
        <v>75</v>
      </c>
      <c r="H10605">
        <v>16707.400000000001</v>
      </c>
      <c r="I10605" t="s">
        <v>76</v>
      </c>
      <c r="J10605" t="s">
        <v>77</v>
      </c>
    </row>
    <row r="10606" spans="1:11" x14ac:dyDescent="0.3">
      <c r="A10606" t="s">
        <v>72</v>
      </c>
      <c r="B10606">
        <v>1</v>
      </c>
      <c r="C10606" t="s">
        <v>80</v>
      </c>
      <c r="D10606">
        <v>1.6708199999999999E-2</v>
      </c>
      <c r="E10606" t="s">
        <v>74</v>
      </c>
      <c r="F10606">
        <v>16.708200000000001</v>
      </c>
      <c r="G10606" t="s">
        <v>75</v>
      </c>
      <c r="H10606">
        <v>16708.201000000001</v>
      </c>
      <c r="I10606" t="s">
        <v>76</v>
      </c>
      <c r="J10606" t="s">
        <v>77</v>
      </c>
    </row>
    <row r="10607" spans="1:11" x14ac:dyDescent="0.3">
      <c r="A10607" t="s">
        <v>72</v>
      </c>
      <c r="B10607">
        <v>1</v>
      </c>
      <c r="C10607" t="s">
        <v>81</v>
      </c>
      <c r="D10607">
        <v>0.15800020000000001</v>
      </c>
      <c r="E10607" t="s">
        <v>74</v>
      </c>
      <c r="F10607">
        <v>158.00020000000001</v>
      </c>
      <c r="G10607" t="s">
        <v>75</v>
      </c>
      <c r="H10607">
        <v>158000.201</v>
      </c>
      <c r="I10607" t="s">
        <v>76</v>
      </c>
      <c r="J10607" t="s">
        <v>82</v>
      </c>
      <c r="K10607">
        <v>6.3291059000000001</v>
      </c>
    </row>
    <row r="10608" spans="1:11" x14ac:dyDescent="0.3">
      <c r="A10608" t="s">
        <v>83</v>
      </c>
      <c r="B10608">
        <v>1000</v>
      </c>
      <c r="C10608" t="s">
        <v>79</v>
      </c>
      <c r="D10608">
        <v>4.0297E-4</v>
      </c>
      <c r="E10608" t="s">
        <v>74</v>
      </c>
      <c r="F10608">
        <v>0.40296999999999999</v>
      </c>
      <c r="G10608" t="s">
        <v>75</v>
      </c>
      <c r="H10608">
        <v>402.96699999999998</v>
      </c>
      <c r="I10608" t="s">
        <v>76</v>
      </c>
      <c r="J10608" t="s">
        <v>77</v>
      </c>
    </row>
    <row r="10609" spans="1:11" x14ac:dyDescent="0.3">
      <c r="A10609" t="s">
        <v>83</v>
      </c>
      <c r="B10609">
        <v>1000</v>
      </c>
      <c r="C10609" t="s">
        <v>94</v>
      </c>
      <c r="D10609">
        <v>1.6584089999999999E-2</v>
      </c>
      <c r="E10609" t="s">
        <v>74</v>
      </c>
      <c r="F10609">
        <v>16.58409</v>
      </c>
      <c r="G10609" t="s">
        <v>75</v>
      </c>
      <c r="H10609">
        <v>16584.087</v>
      </c>
      <c r="I10609" t="s">
        <v>76</v>
      </c>
      <c r="J10609" t="s">
        <v>77</v>
      </c>
    </row>
    <row r="10610" spans="1:11" x14ac:dyDescent="0.3">
      <c r="A10610" t="s">
        <v>83</v>
      </c>
      <c r="B10610">
        <v>1000</v>
      </c>
      <c r="C10610" t="s">
        <v>80</v>
      </c>
      <c r="D10610">
        <v>1.658459E-2</v>
      </c>
      <c r="E10610" t="s">
        <v>74</v>
      </c>
      <c r="F10610">
        <v>16.584589999999999</v>
      </c>
      <c r="G10610" t="s">
        <v>75</v>
      </c>
      <c r="H10610">
        <v>16584.587</v>
      </c>
      <c r="I10610" t="s">
        <v>76</v>
      </c>
      <c r="J10610" t="s">
        <v>77</v>
      </c>
    </row>
    <row r="10611" spans="1:11" x14ac:dyDescent="0.3">
      <c r="A10611" t="s">
        <v>83</v>
      </c>
      <c r="B10611">
        <v>1000</v>
      </c>
      <c r="C10611" t="s">
        <v>81</v>
      </c>
      <c r="D10611">
        <v>1.698827E-2</v>
      </c>
      <c r="E10611" t="s">
        <v>74</v>
      </c>
      <c r="F10611">
        <v>16.98827</v>
      </c>
      <c r="G10611" t="s">
        <v>75</v>
      </c>
      <c r="H10611">
        <v>16988.272000000001</v>
      </c>
      <c r="I10611" t="s">
        <v>76</v>
      </c>
      <c r="J10611" t="s">
        <v>82</v>
      </c>
      <c r="K10611">
        <v>58.864139700000003</v>
      </c>
    </row>
    <row r="10612" spans="1:11" x14ac:dyDescent="0.3">
      <c r="A10612" t="s">
        <v>84</v>
      </c>
      <c r="B10612">
        <v>1001</v>
      </c>
      <c r="C10612" t="s">
        <v>79</v>
      </c>
      <c r="D10612">
        <v>5.4370999999999998E-4</v>
      </c>
      <c r="E10612" t="s">
        <v>74</v>
      </c>
      <c r="F10612">
        <v>0.54371000000000003</v>
      </c>
      <c r="G10612" t="s">
        <v>75</v>
      </c>
      <c r="H10612">
        <v>543.71299999999997</v>
      </c>
      <c r="I10612" t="s">
        <v>76</v>
      </c>
      <c r="J10612" t="s">
        <v>77</v>
      </c>
    </row>
    <row r="10613" spans="1:11" x14ac:dyDescent="0.3">
      <c r="A10613" t="s">
        <v>84</v>
      </c>
      <c r="B10613">
        <v>1001</v>
      </c>
      <c r="C10613" t="s">
        <v>94</v>
      </c>
      <c r="D10613">
        <v>1.6584209999999999E-2</v>
      </c>
      <c r="E10613" t="s">
        <v>74</v>
      </c>
      <c r="F10613">
        <v>16.584209999999999</v>
      </c>
      <c r="G10613" t="s">
        <v>75</v>
      </c>
      <c r="H10613">
        <v>16584.212</v>
      </c>
      <c r="I10613" t="s">
        <v>76</v>
      </c>
      <c r="J10613" t="s">
        <v>77</v>
      </c>
    </row>
    <row r="10614" spans="1:11" x14ac:dyDescent="0.3">
      <c r="A10614" t="s">
        <v>84</v>
      </c>
      <c r="B10614">
        <v>1001</v>
      </c>
      <c r="C10614" t="s">
        <v>80</v>
      </c>
      <c r="D10614">
        <v>1.6584709999999999E-2</v>
      </c>
      <c r="E10614" t="s">
        <v>74</v>
      </c>
      <c r="F10614">
        <v>16.584710000000001</v>
      </c>
      <c r="G10614" t="s">
        <v>75</v>
      </c>
      <c r="H10614">
        <v>16584.708999999999</v>
      </c>
      <c r="I10614" t="s">
        <v>76</v>
      </c>
      <c r="J10614" t="s">
        <v>77</v>
      </c>
    </row>
    <row r="10615" spans="1:11" x14ac:dyDescent="0.3">
      <c r="A10615" t="s">
        <v>84</v>
      </c>
      <c r="B10615">
        <v>1001</v>
      </c>
      <c r="C10615" t="s">
        <v>81</v>
      </c>
      <c r="D10615">
        <v>1.7129140000000001E-2</v>
      </c>
      <c r="E10615" t="s">
        <v>74</v>
      </c>
      <c r="F10615">
        <v>17.12914</v>
      </c>
      <c r="G10615" t="s">
        <v>75</v>
      </c>
      <c r="H10615">
        <v>17129.14</v>
      </c>
      <c r="I10615" t="s">
        <v>76</v>
      </c>
      <c r="J10615" t="s">
        <v>82</v>
      </c>
      <c r="K10615">
        <v>58.380048100000003</v>
      </c>
    </row>
    <row r="10616" spans="1:11" x14ac:dyDescent="0.3">
      <c r="A10616" t="s">
        <v>85</v>
      </c>
      <c r="B10616">
        <v>1001</v>
      </c>
      <c r="C10616" t="s">
        <v>86</v>
      </c>
      <c r="D10616">
        <v>1.7129479999999999E-2</v>
      </c>
      <c r="E10616" t="s">
        <v>74</v>
      </c>
      <c r="F10616">
        <v>17.129480000000001</v>
      </c>
      <c r="G10616" t="s">
        <v>75</v>
      </c>
      <c r="H10616">
        <v>17129.478999999999</v>
      </c>
      <c r="I10616" t="s">
        <v>76</v>
      </c>
      <c r="J10616" t="s">
        <v>82</v>
      </c>
      <c r="K10616">
        <v>58.378892200000003</v>
      </c>
    </row>
    <row r="10617" spans="1:11" x14ac:dyDescent="0.3">
      <c r="A10617" t="s">
        <v>215</v>
      </c>
    </row>
    <row r="10618" spans="1:11" x14ac:dyDescent="0.3">
      <c r="A10618" t="s">
        <v>450</v>
      </c>
    </row>
    <row r="10619" spans="1:11" x14ac:dyDescent="0.3">
      <c r="A10619" t="s">
        <v>72</v>
      </c>
      <c r="B10619">
        <v>1</v>
      </c>
      <c r="C10619" t="s">
        <v>73</v>
      </c>
      <c r="D10619">
        <v>3.8999999999999999E-6</v>
      </c>
      <c r="E10619" t="s">
        <v>74</v>
      </c>
      <c r="F10619">
        <v>3.8999999999999998E-3</v>
      </c>
      <c r="G10619" t="s">
        <v>75</v>
      </c>
      <c r="H10619">
        <v>3.9</v>
      </c>
      <c r="I10619" t="s">
        <v>76</v>
      </c>
      <c r="J10619" t="s">
        <v>77</v>
      </c>
    </row>
    <row r="10620" spans="1:11" x14ac:dyDescent="0.3">
      <c r="A10620" t="s">
        <v>72</v>
      </c>
      <c r="B10620">
        <v>1</v>
      </c>
      <c r="C10620" t="s">
        <v>78</v>
      </c>
      <c r="D10620">
        <v>8.5132999999999997E-3</v>
      </c>
      <c r="E10620" t="s">
        <v>74</v>
      </c>
      <c r="F10620">
        <v>8.5132999999999992</v>
      </c>
      <c r="G10620" t="s">
        <v>75</v>
      </c>
      <c r="H10620">
        <v>8513.2999999999993</v>
      </c>
      <c r="I10620" t="s">
        <v>76</v>
      </c>
      <c r="J10620" t="s">
        <v>77</v>
      </c>
    </row>
    <row r="10621" spans="1:11" x14ac:dyDescent="0.3">
      <c r="A10621" t="s">
        <v>72</v>
      </c>
      <c r="B10621">
        <v>1</v>
      </c>
      <c r="C10621" t="s">
        <v>79</v>
      </c>
      <c r="D10621">
        <v>7.4529999999999996E-4</v>
      </c>
      <c r="E10621" t="s">
        <v>74</v>
      </c>
      <c r="F10621">
        <v>0.74529999999999996</v>
      </c>
      <c r="G10621" t="s">
        <v>75</v>
      </c>
      <c r="H10621">
        <v>745.3</v>
      </c>
      <c r="I10621" t="s">
        <v>76</v>
      </c>
      <c r="J10621" t="s">
        <v>77</v>
      </c>
    </row>
    <row r="10622" spans="1:11" x14ac:dyDescent="0.3">
      <c r="A10622" t="s">
        <v>72</v>
      </c>
      <c r="B10622">
        <v>1</v>
      </c>
      <c r="C10622" t="s">
        <v>94</v>
      </c>
      <c r="D10622">
        <v>2.9559200000000001E-2</v>
      </c>
      <c r="E10622" t="s">
        <v>74</v>
      </c>
      <c r="F10622">
        <v>29.559200000000001</v>
      </c>
      <c r="G10622" t="s">
        <v>75</v>
      </c>
      <c r="H10622">
        <v>29559.201000000001</v>
      </c>
      <c r="I10622" t="s">
        <v>76</v>
      </c>
      <c r="J10622" t="s">
        <v>77</v>
      </c>
    </row>
    <row r="10623" spans="1:11" x14ac:dyDescent="0.3">
      <c r="A10623" t="s">
        <v>72</v>
      </c>
      <c r="B10623">
        <v>1</v>
      </c>
      <c r="C10623" t="s">
        <v>80</v>
      </c>
      <c r="D10623">
        <v>2.9559999999999999E-2</v>
      </c>
      <c r="E10623" t="s">
        <v>74</v>
      </c>
      <c r="F10623">
        <v>29.56</v>
      </c>
      <c r="G10623" t="s">
        <v>75</v>
      </c>
      <c r="H10623">
        <v>29560</v>
      </c>
      <c r="I10623" t="s">
        <v>76</v>
      </c>
      <c r="J10623" t="s">
        <v>77</v>
      </c>
    </row>
    <row r="10624" spans="1:11" x14ac:dyDescent="0.3">
      <c r="A10624" t="s">
        <v>72</v>
      </c>
      <c r="B10624">
        <v>1</v>
      </c>
      <c r="C10624" t="s">
        <v>81</v>
      </c>
      <c r="D10624">
        <v>3.0307000000000001E-2</v>
      </c>
      <c r="E10624" t="s">
        <v>74</v>
      </c>
      <c r="F10624">
        <v>30.306999999999999</v>
      </c>
      <c r="G10624" t="s">
        <v>75</v>
      </c>
      <c r="H10624">
        <v>30307.001</v>
      </c>
      <c r="I10624" t="s">
        <v>76</v>
      </c>
      <c r="J10624" t="s">
        <v>82</v>
      </c>
      <c r="K10624">
        <v>32.995677000000001</v>
      </c>
    </row>
    <row r="10625" spans="1:11" x14ac:dyDescent="0.3">
      <c r="A10625" t="s">
        <v>83</v>
      </c>
      <c r="B10625">
        <v>1000</v>
      </c>
      <c r="C10625" t="s">
        <v>79</v>
      </c>
      <c r="D10625">
        <v>4.2135000000000002E-4</v>
      </c>
      <c r="E10625" t="s">
        <v>74</v>
      </c>
      <c r="F10625">
        <v>0.42135</v>
      </c>
      <c r="G10625" t="s">
        <v>75</v>
      </c>
      <c r="H10625">
        <v>421.34899999999999</v>
      </c>
      <c r="I10625" t="s">
        <v>76</v>
      </c>
      <c r="J10625" t="s">
        <v>77</v>
      </c>
    </row>
    <row r="10626" spans="1:11" x14ac:dyDescent="0.3">
      <c r="A10626" t="s">
        <v>83</v>
      </c>
      <c r="B10626">
        <v>1000</v>
      </c>
      <c r="C10626" t="s">
        <v>94</v>
      </c>
      <c r="D10626">
        <v>2.6984259999999999E-2</v>
      </c>
      <c r="E10626" t="s">
        <v>74</v>
      </c>
      <c r="F10626">
        <v>26.984259999999999</v>
      </c>
      <c r="G10626" t="s">
        <v>75</v>
      </c>
      <c r="H10626">
        <v>26984.258999999998</v>
      </c>
      <c r="I10626" t="s">
        <v>76</v>
      </c>
      <c r="J10626" t="s">
        <v>77</v>
      </c>
    </row>
    <row r="10627" spans="1:11" x14ac:dyDescent="0.3">
      <c r="A10627" t="s">
        <v>83</v>
      </c>
      <c r="B10627">
        <v>1000</v>
      </c>
      <c r="C10627" t="s">
        <v>80</v>
      </c>
      <c r="D10627">
        <v>2.7130379999999999E-2</v>
      </c>
      <c r="E10627" t="s">
        <v>74</v>
      </c>
      <c r="F10627">
        <v>27.130379999999999</v>
      </c>
      <c r="G10627" t="s">
        <v>75</v>
      </c>
      <c r="H10627">
        <v>27130.381000000001</v>
      </c>
      <c r="I10627" t="s">
        <v>76</v>
      </c>
      <c r="J10627" t="s">
        <v>77</v>
      </c>
    </row>
    <row r="10628" spans="1:11" x14ac:dyDescent="0.3">
      <c r="A10628" t="s">
        <v>83</v>
      </c>
      <c r="B10628">
        <v>1000</v>
      </c>
      <c r="C10628" t="s">
        <v>81</v>
      </c>
      <c r="D10628">
        <v>2.755281E-2</v>
      </c>
      <c r="E10628" t="s">
        <v>74</v>
      </c>
      <c r="F10628">
        <v>27.552810000000001</v>
      </c>
      <c r="G10628" t="s">
        <v>75</v>
      </c>
      <c r="H10628">
        <v>27552.807000000001</v>
      </c>
      <c r="I10628" t="s">
        <v>76</v>
      </c>
      <c r="J10628" t="s">
        <v>82</v>
      </c>
      <c r="K10628">
        <v>36.293942899999998</v>
      </c>
    </row>
    <row r="10629" spans="1:11" x14ac:dyDescent="0.3">
      <c r="A10629" t="s">
        <v>84</v>
      </c>
      <c r="B10629">
        <v>1001</v>
      </c>
      <c r="C10629" t="s">
        <v>79</v>
      </c>
      <c r="D10629">
        <v>4.2167000000000002E-4</v>
      </c>
      <c r="E10629" t="s">
        <v>74</v>
      </c>
      <c r="F10629">
        <v>0.42166999999999999</v>
      </c>
      <c r="G10629" t="s">
        <v>75</v>
      </c>
      <c r="H10629">
        <v>421.673</v>
      </c>
      <c r="I10629" t="s">
        <v>76</v>
      </c>
      <c r="J10629" t="s">
        <v>77</v>
      </c>
    </row>
    <row r="10630" spans="1:11" x14ac:dyDescent="0.3">
      <c r="A10630" t="s">
        <v>84</v>
      </c>
      <c r="B10630">
        <v>1001</v>
      </c>
      <c r="C10630" t="s">
        <v>94</v>
      </c>
      <c r="D10630">
        <v>2.698683E-2</v>
      </c>
      <c r="E10630" t="s">
        <v>74</v>
      </c>
      <c r="F10630">
        <v>26.986830000000001</v>
      </c>
      <c r="G10630" t="s">
        <v>75</v>
      </c>
      <c r="H10630">
        <v>26986.828000000001</v>
      </c>
      <c r="I10630" t="s">
        <v>76</v>
      </c>
      <c r="J10630" t="s">
        <v>77</v>
      </c>
    </row>
    <row r="10631" spans="1:11" x14ac:dyDescent="0.3">
      <c r="A10631" t="s">
        <v>84</v>
      </c>
      <c r="B10631">
        <v>1001</v>
      </c>
      <c r="C10631" t="s">
        <v>80</v>
      </c>
      <c r="D10631">
        <v>2.713281E-2</v>
      </c>
      <c r="E10631" t="s">
        <v>74</v>
      </c>
      <c r="F10631">
        <v>27.132809999999999</v>
      </c>
      <c r="G10631" t="s">
        <v>75</v>
      </c>
      <c r="H10631">
        <v>27132.806</v>
      </c>
      <c r="I10631" t="s">
        <v>76</v>
      </c>
      <c r="J10631" t="s">
        <v>77</v>
      </c>
    </row>
    <row r="10632" spans="1:11" x14ac:dyDescent="0.3">
      <c r="A10632" t="s">
        <v>84</v>
      </c>
      <c r="B10632">
        <v>1001</v>
      </c>
      <c r="C10632" t="s">
        <v>81</v>
      </c>
      <c r="D10632">
        <v>2.755556E-2</v>
      </c>
      <c r="E10632" t="s">
        <v>74</v>
      </c>
      <c r="F10632">
        <v>27.55556</v>
      </c>
      <c r="G10632" t="s">
        <v>75</v>
      </c>
      <c r="H10632">
        <v>27555.559000000001</v>
      </c>
      <c r="I10632" t="s">
        <v>76</v>
      </c>
      <c r="J10632" t="s">
        <v>82</v>
      </c>
      <c r="K10632">
        <v>36.290317999999999</v>
      </c>
    </row>
    <row r="10633" spans="1:11" x14ac:dyDescent="0.3">
      <c r="A10633" t="s">
        <v>85</v>
      </c>
      <c r="B10633">
        <v>1001</v>
      </c>
      <c r="C10633" t="s">
        <v>86</v>
      </c>
      <c r="D10633">
        <v>2.7556000000000001E-2</v>
      </c>
      <c r="E10633" t="s">
        <v>74</v>
      </c>
      <c r="F10633">
        <v>27.556000000000001</v>
      </c>
      <c r="G10633" t="s">
        <v>75</v>
      </c>
      <c r="H10633">
        <v>27555.996999999999</v>
      </c>
      <c r="I10633" t="s">
        <v>76</v>
      </c>
      <c r="J10633" t="s">
        <v>82</v>
      </c>
      <c r="K10633">
        <v>36.289740799999997</v>
      </c>
    </row>
    <row r="10634" spans="1:11" x14ac:dyDescent="0.3">
      <c r="A10634" t="s">
        <v>115</v>
      </c>
    </row>
    <row r="10635" spans="1:11" x14ac:dyDescent="0.3">
      <c r="A10635" t="s">
        <v>127</v>
      </c>
    </row>
    <row r="10636" spans="1:11" x14ac:dyDescent="0.3">
      <c r="A10636" t="s">
        <v>87</v>
      </c>
    </row>
    <row r="10637" spans="1:11" x14ac:dyDescent="0.3">
      <c r="A10637" t="s">
        <v>451</v>
      </c>
    </row>
    <row r="10638" spans="1:11" x14ac:dyDescent="0.3">
      <c r="A10638" t="s">
        <v>72</v>
      </c>
      <c r="B10638">
        <v>1</v>
      </c>
      <c r="C10638" t="s">
        <v>81</v>
      </c>
      <c r="D10638">
        <v>0.15800020000000001</v>
      </c>
      <c r="E10638" t="s">
        <v>74</v>
      </c>
      <c r="F10638">
        <v>158.00020000000001</v>
      </c>
      <c r="G10638" t="s">
        <v>75</v>
      </c>
      <c r="H10638">
        <v>158000.201</v>
      </c>
      <c r="I10638" t="s">
        <v>76</v>
      </c>
      <c r="J10638" t="s">
        <v>82</v>
      </c>
      <c r="K10638">
        <v>6.3291059000000001</v>
      </c>
    </row>
    <row r="10639" spans="1:11" x14ac:dyDescent="0.3">
      <c r="A10639" t="s">
        <v>83</v>
      </c>
      <c r="B10639">
        <v>1000</v>
      </c>
      <c r="C10639" t="s">
        <v>81</v>
      </c>
      <c r="D10639">
        <v>1.698827E-2</v>
      </c>
      <c r="E10639" t="s">
        <v>74</v>
      </c>
      <c r="F10639">
        <v>16.98827</v>
      </c>
      <c r="G10639" t="s">
        <v>75</v>
      </c>
      <c r="H10639">
        <v>16988.272000000001</v>
      </c>
      <c r="I10639" t="s">
        <v>76</v>
      </c>
      <c r="J10639" t="s">
        <v>82</v>
      </c>
      <c r="K10639">
        <v>58.864139700000003</v>
      </c>
    </row>
    <row r="10640" spans="1:11" x14ac:dyDescent="0.3">
      <c r="A10640" t="s">
        <v>85</v>
      </c>
      <c r="B10640">
        <v>1001</v>
      </c>
      <c r="C10640" t="s">
        <v>86</v>
      </c>
      <c r="D10640">
        <v>1.7129479999999999E-2</v>
      </c>
      <c r="E10640" t="s">
        <v>74</v>
      </c>
      <c r="F10640">
        <v>17.129480000000001</v>
      </c>
      <c r="G10640" t="s">
        <v>75</v>
      </c>
      <c r="H10640">
        <v>17129.478999999999</v>
      </c>
      <c r="I10640" t="s">
        <v>76</v>
      </c>
      <c r="J10640" t="s">
        <v>82</v>
      </c>
      <c r="K10640">
        <v>58.378892200000003</v>
      </c>
    </row>
    <row r="10642" spans="1:11" x14ac:dyDescent="0.3">
      <c r="A10642" t="s">
        <v>452</v>
      </c>
    </row>
    <row r="10643" spans="1:11" x14ac:dyDescent="0.3">
      <c r="A10643" t="s">
        <v>72</v>
      </c>
      <c r="B10643">
        <v>1</v>
      </c>
      <c r="C10643" t="s">
        <v>81</v>
      </c>
      <c r="D10643">
        <v>3.0307000000000001E-2</v>
      </c>
      <c r="E10643" t="s">
        <v>74</v>
      </c>
      <c r="F10643">
        <v>30.306999999999999</v>
      </c>
      <c r="G10643" t="s">
        <v>75</v>
      </c>
      <c r="H10643">
        <v>30307.001</v>
      </c>
      <c r="I10643" t="s">
        <v>76</v>
      </c>
      <c r="J10643" t="s">
        <v>82</v>
      </c>
      <c r="K10643">
        <v>32.995677000000001</v>
      </c>
    </row>
    <row r="10644" spans="1:11" x14ac:dyDescent="0.3">
      <c r="A10644" t="s">
        <v>83</v>
      </c>
      <c r="B10644">
        <v>1000</v>
      </c>
      <c r="C10644" t="s">
        <v>81</v>
      </c>
      <c r="D10644">
        <v>2.755281E-2</v>
      </c>
      <c r="E10644" t="s">
        <v>74</v>
      </c>
      <c r="F10644">
        <v>27.552810000000001</v>
      </c>
      <c r="G10644" t="s">
        <v>75</v>
      </c>
      <c r="H10644">
        <v>27552.807000000001</v>
      </c>
      <c r="I10644" t="s">
        <v>76</v>
      </c>
      <c r="J10644" t="s">
        <v>82</v>
      </c>
      <c r="K10644">
        <v>36.293942899999998</v>
      </c>
    </row>
    <row r="10645" spans="1:11" x14ac:dyDescent="0.3">
      <c r="A10645" t="s">
        <v>85</v>
      </c>
      <c r="B10645">
        <v>1001</v>
      </c>
      <c r="C10645" t="s">
        <v>86</v>
      </c>
      <c r="D10645">
        <v>2.7556000000000001E-2</v>
      </c>
      <c r="E10645" t="s">
        <v>74</v>
      </c>
      <c r="F10645">
        <v>27.556000000000001</v>
      </c>
      <c r="G10645" t="s">
        <v>75</v>
      </c>
      <c r="H10645">
        <v>27555.996999999999</v>
      </c>
      <c r="I10645" t="s">
        <v>76</v>
      </c>
      <c r="J10645" t="s">
        <v>82</v>
      </c>
      <c r="K10645">
        <v>36.289740799999997</v>
      </c>
    </row>
    <row r="10647" spans="1:11" x14ac:dyDescent="0.3">
      <c r="A10647" t="s">
        <v>64</v>
      </c>
    </row>
    <row r="10648" spans="1:11" x14ac:dyDescent="0.3">
      <c r="A10648" t="s">
        <v>493</v>
      </c>
    </row>
    <row r="10650" spans="1:11" x14ac:dyDescent="0.3">
      <c r="A10650" t="s">
        <v>494</v>
      </c>
    </row>
    <row r="10651" spans="1:11" x14ac:dyDescent="0.3">
      <c r="A10651" t="s">
        <v>68</v>
      </c>
    </row>
    <row r="10652" spans="1:11" x14ac:dyDescent="0.3">
      <c r="A10652" t="s">
        <v>69</v>
      </c>
    </row>
    <row r="10653" spans="1:11" x14ac:dyDescent="0.3">
      <c r="A10653" t="s">
        <v>68</v>
      </c>
    </row>
    <row r="10654" spans="1:11" x14ac:dyDescent="0.3">
      <c r="A10654" t="s">
        <v>69</v>
      </c>
    </row>
    <row r="10655" spans="1:11" x14ac:dyDescent="0.3">
      <c r="A10655" t="s">
        <v>70</v>
      </c>
    </row>
    <row r="10656" spans="1:11" x14ac:dyDescent="0.3">
      <c r="A10656" t="s">
        <v>115</v>
      </c>
    </row>
    <row r="10657" spans="1:1" x14ac:dyDescent="0.3">
      <c r="A10657" t="s">
        <v>116</v>
      </c>
    </row>
    <row r="10658" spans="1:1" x14ac:dyDescent="0.3">
      <c r="A10658" t="s">
        <v>117</v>
      </c>
    </row>
    <row r="10659" spans="1:1" x14ac:dyDescent="0.3">
      <c r="A10659" t="s">
        <v>118</v>
      </c>
    </row>
    <row r="10660" spans="1:1" x14ac:dyDescent="0.3">
      <c r="A10660" t="s">
        <v>119</v>
      </c>
    </row>
    <row r="10661" spans="1:1" x14ac:dyDescent="0.3">
      <c r="A10661" t="s">
        <v>120</v>
      </c>
    </row>
    <row r="10662" spans="1:1" x14ac:dyDescent="0.3">
      <c r="A10662" t="s">
        <v>121</v>
      </c>
    </row>
    <row r="10663" spans="1:1" x14ac:dyDescent="0.3">
      <c r="A10663" t="s">
        <v>122</v>
      </c>
    </row>
    <row r="10664" spans="1:1" x14ac:dyDescent="0.3">
      <c r="A10664" t="s">
        <v>123</v>
      </c>
    </row>
    <row r="10665" spans="1:1" x14ac:dyDescent="0.3">
      <c r="A10665" t="s">
        <v>124</v>
      </c>
    </row>
    <row r="10666" spans="1:1" x14ac:dyDescent="0.3">
      <c r="A10666" t="s">
        <v>125</v>
      </c>
    </row>
    <row r="10667" spans="1:1" x14ac:dyDescent="0.3">
      <c r="A10667" t="s">
        <v>126</v>
      </c>
    </row>
    <row r="10668" spans="1:1" x14ac:dyDescent="0.3">
      <c r="A10668" t="s">
        <v>127</v>
      </c>
    </row>
    <row r="10669" spans="1:1" x14ac:dyDescent="0.3">
      <c r="A10669" t="s">
        <v>128</v>
      </c>
    </row>
    <row r="10670" spans="1:1" x14ac:dyDescent="0.3">
      <c r="A10670" t="s">
        <v>115</v>
      </c>
    </row>
    <row r="10671" spans="1:1" x14ac:dyDescent="0.3">
      <c r="A10671" t="s">
        <v>266</v>
      </c>
    </row>
    <row r="10672" spans="1:1" x14ac:dyDescent="0.3">
      <c r="A10672" t="s">
        <v>267</v>
      </c>
    </row>
    <row r="10673" spans="1:11" x14ac:dyDescent="0.3">
      <c r="A10673" t="s">
        <v>118</v>
      </c>
    </row>
    <row r="10674" spans="1:11" x14ac:dyDescent="0.3">
      <c r="A10674" t="s">
        <v>119</v>
      </c>
    </row>
    <row r="10675" spans="1:11" x14ac:dyDescent="0.3">
      <c r="A10675" t="s">
        <v>268</v>
      </c>
    </row>
    <row r="10676" spans="1:11" x14ac:dyDescent="0.3">
      <c r="A10676" t="s">
        <v>269</v>
      </c>
    </row>
    <row r="10677" spans="1:11" x14ac:dyDescent="0.3">
      <c r="A10677" t="s">
        <v>122</v>
      </c>
    </row>
    <row r="10678" spans="1:11" x14ac:dyDescent="0.3">
      <c r="A10678" t="s">
        <v>270</v>
      </c>
    </row>
    <row r="10679" spans="1:11" x14ac:dyDescent="0.3">
      <c r="A10679" t="s">
        <v>271</v>
      </c>
    </row>
    <row r="10680" spans="1:11" x14ac:dyDescent="0.3">
      <c r="A10680" t="s">
        <v>125</v>
      </c>
    </row>
    <row r="10681" spans="1:11" x14ac:dyDescent="0.3">
      <c r="A10681" t="s">
        <v>126</v>
      </c>
    </row>
    <row r="10682" spans="1:11" x14ac:dyDescent="0.3">
      <c r="A10682" t="s">
        <v>127</v>
      </c>
    </row>
    <row r="10683" spans="1:11" x14ac:dyDescent="0.3">
      <c r="A10683" t="s">
        <v>128</v>
      </c>
    </row>
    <row r="10684" spans="1:11" x14ac:dyDescent="0.3">
      <c r="A10684" t="s">
        <v>495</v>
      </c>
    </row>
    <row r="10685" spans="1:11" x14ac:dyDescent="0.3">
      <c r="A10685" t="s">
        <v>496</v>
      </c>
      <c r="B10685" t="s">
        <v>72</v>
      </c>
      <c r="C10685">
        <v>1</v>
      </c>
      <c r="D10685" t="s">
        <v>91</v>
      </c>
      <c r="E10685">
        <v>0.30001100000000003</v>
      </c>
      <c r="F10685" t="s">
        <v>74</v>
      </c>
      <c r="G10685">
        <v>300.01139999999998</v>
      </c>
      <c r="H10685" t="s">
        <v>75</v>
      </c>
      <c r="I10685">
        <v>300011.39600000001</v>
      </c>
      <c r="J10685" t="s">
        <v>76</v>
      </c>
      <c r="K10685" t="s">
        <v>77</v>
      </c>
    </row>
    <row r="10686" spans="1:11" x14ac:dyDescent="0.3">
      <c r="A10686" t="s">
        <v>496</v>
      </c>
      <c r="B10686" t="s">
        <v>72</v>
      </c>
      <c r="C10686">
        <v>1</v>
      </c>
      <c r="D10686" t="s">
        <v>92</v>
      </c>
      <c r="E10686">
        <v>4.9509999999999997E-3</v>
      </c>
      <c r="F10686" t="s">
        <v>74</v>
      </c>
      <c r="G10686">
        <v>4.9512999999999998</v>
      </c>
      <c r="H10686" t="s">
        <v>75</v>
      </c>
      <c r="I10686">
        <v>4951.3</v>
      </c>
      <c r="J10686" t="s">
        <v>76</v>
      </c>
      <c r="K10686" t="s">
        <v>77</v>
      </c>
    </row>
    <row r="10687" spans="1:11" x14ac:dyDescent="0.3">
      <c r="A10687" t="s">
        <v>496</v>
      </c>
      <c r="B10687" t="s">
        <v>72</v>
      </c>
      <c r="C10687">
        <v>1</v>
      </c>
      <c r="D10687" t="s">
        <v>93</v>
      </c>
      <c r="E10687">
        <v>0.113775</v>
      </c>
      <c r="F10687" t="s">
        <v>74</v>
      </c>
      <c r="G10687">
        <v>113.77509999999999</v>
      </c>
      <c r="H10687" t="s">
        <v>75</v>
      </c>
      <c r="I10687">
        <v>113775.09699999999</v>
      </c>
      <c r="J10687" t="s">
        <v>76</v>
      </c>
      <c r="K10687" t="s">
        <v>77</v>
      </c>
    </row>
    <row r="10688" spans="1:11" x14ac:dyDescent="0.3">
      <c r="A10688" t="s">
        <v>496</v>
      </c>
      <c r="B10688" t="s">
        <v>72</v>
      </c>
      <c r="C10688">
        <v>1</v>
      </c>
      <c r="D10688" t="s">
        <v>79</v>
      </c>
      <c r="E10688">
        <v>0.41874</v>
      </c>
      <c r="F10688" t="s">
        <v>74</v>
      </c>
      <c r="G10688">
        <v>418.74</v>
      </c>
      <c r="H10688" t="s">
        <v>75</v>
      </c>
      <c r="I10688">
        <v>418740.00400000002</v>
      </c>
      <c r="J10688" t="s">
        <v>76</v>
      </c>
      <c r="K10688" t="s">
        <v>77</v>
      </c>
    </row>
    <row r="10689" spans="1:12" x14ac:dyDescent="0.3">
      <c r="A10689" t="s">
        <v>496</v>
      </c>
      <c r="B10689" t="s">
        <v>72</v>
      </c>
      <c r="C10689">
        <v>1</v>
      </c>
      <c r="D10689" t="s">
        <v>94</v>
      </c>
      <c r="E10689">
        <v>1.536E-2</v>
      </c>
      <c r="F10689" t="s">
        <v>74</v>
      </c>
      <c r="G10689">
        <v>15.3605</v>
      </c>
      <c r="H10689" t="s">
        <v>75</v>
      </c>
      <c r="I10689">
        <v>15360.5</v>
      </c>
      <c r="J10689" t="s">
        <v>76</v>
      </c>
      <c r="K10689" t="s">
        <v>77</v>
      </c>
    </row>
    <row r="10690" spans="1:12" x14ac:dyDescent="0.3">
      <c r="A10690" t="s">
        <v>496</v>
      </c>
      <c r="B10690" t="s">
        <v>72</v>
      </c>
      <c r="C10690">
        <v>1</v>
      </c>
      <c r="D10690" t="s">
        <v>80</v>
      </c>
      <c r="E10690">
        <v>1.5361E-2</v>
      </c>
      <c r="F10690" t="s">
        <v>74</v>
      </c>
      <c r="G10690">
        <v>15.3614</v>
      </c>
      <c r="H10690" t="s">
        <v>75</v>
      </c>
      <c r="I10690">
        <v>15361.4</v>
      </c>
      <c r="J10690" t="s">
        <v>76</v>
      </c>
      <c r="K10690" t="s">
        <v>77</v>
      </c>
    </row>
    <row r="10691" spans="1:12" x14ac:dyDescent="0.3">
      <c r="A10691" t="s">
        <v>496</v>
      </c>
      <c r="B10691" t="s">
        <v>72</v>
      </c>
      <c r="C10691">
        <v>1</v>
      </c>
      <c r="D10691" t="s">
        <v>81</v>
      </c>
      <c r="E10691">
        <v>0.43410199999999999</v>
      </c>
      <c r="F10691" t="s">
        <v>74</v>
      </c>
      <c r="G10691">
        <v>434.10160999999999</v>
      </c>
      <c r="H10691" t="s">
        <v>75</v>
      </c>
      <c r="I10691">
        <v>434101.61099999998</v>
      </c>
      <c r="J10691" t="s">
        <v>76</v>
      </c>
      <c r="K10691" t="s">
        <v>82</v>
      </c>
      <c r="L10691">
        <v>2.3036080999999999</v>
      </c>
    </row>
    <row r="10692" spans="1:12" x14ac:dyDescent="0.3">
      <c r="A10692" t="s">
        <v>496</v>
      </c>
      <c r="B10692" t="s">
        <v>83</v>
      </c>
      <c r="C10692">
        <v>579</v>
      </c>
      <c r="D10692" t="s">
        <v>91</v>
      </c>
      <c r="E10692">
        <v>5.5999999999999995E-4</v>
      </c>
      <c r="F10692" t="s">
        <v>74</v>
      </c>
      <c r="G10692">
        <v>0.56020999999999999</v>
      </c>
      <c r="H10692" t="s">
        <v>75</v>
      </c>
      <c r="I10692">
        <v>560.21100000000001</v>
      </c>
      <c r="J10692" t="s">
        <v>76</v>
      </c>
      <c r="K10692" t="s">
        <v>77</v>
      </c>
    </row>
    <row r="10693" spans="1:12" x14ac:dyDescent="0.3">
      <c r="A10693" t="s">
        <v>496</v>
      </c>
      <c r="B10693" t="s">
        <v>83</v>
      </c>
      <c r="C10693">
        <v>579</v>
      </c>
      <c r="D10693" t="s">
        <v>92</v>
      </c>
      <c r="E10693">
        <v>8.3500000000000002E-4</v>
      </c>
      <c r="F10693" t="s">
        <v>74</v>
      </c>
      <c r="G10693">
        <v>0.83516000000000001</v>
      </c>
      <c r="H10693" t="s">
        <v>75</v>
      </c>
      <c r="I10693">
        <v>835.15700000000004</v>
      </c>
      <c r="J10693" t="s">
        <v>76</v>
      </c>
      <c r="K10693" t="s">
        <v>77</v>
      </c>
    </row>
    <row r="10694" spans="1:12" x14ac:dyDescent="0.3">
      <c r="A10694" t="s">
        <v>496</v>
      </c>
      <c r="B10694" t="s">
        <v>83</v>
      </c>
      <c r="C10694">
        <v>579</v>
      </c>
      <c r="D10694" t="s">
        <v>93</v>
      </c>
      <c r="E10694">
        <v>5.2599999999999999E-4</v>
      </c>
      <c r="F10694" t="s">
        <v>74</v>
      </c>
      <c r="G10694">
        <v>0.52571000000000001</v>
      </c>
      <c r="H10694" t="s">
        <v>75</v>
      </c>
      <c r="I10694">
        <v>525.71</v>
      </c>
      <c r="J10694" t="s">
        <v>76</v>
      </c>
      <c r="K10694" t="s">
        <v>77</v>
      </c>
    </row>
    <row r="10695" spans="1:12" x14ac:dyDescent="0.3">
      <c r="A10695" t="s">
        <v>496</v>
      </c>
      <c r="B10695" t="s">
        <v>83</v>
      </c>
      <c r="C10695">
        <v>579</v>
      </c>
      <c r="D10695" t="s">
        <v>79</v>
      </c>
      <c r="E10695">
        <v>1.9220000000000001E-3</v>
      </c>
      <c r="F10695" t="s">
        <v>74</v>
      </c>
      <c r="G10695">
        <v>1.9220900000000001</v>
      </c>
      <c r="H10695" t="s">
        <v>75</v>
      </c>
      <c r="I10695">
        <v>1922.088</v>
      </c>
      <c r="J10695" t="s">
        <v>76</v>
      </c>
      <c r="K10695" t="s">
        <v>77</v>
      </c>
    </row>
    <row r="10696" spans="1:12" x14ac:dyDescent="0.3">
      <c r="A10696" t="s">
        <v>496</v>
      </c>
      <c r="B10696" t="s">
        <v>83</v>
      </c>
      <c r="C10696">
        <v>579</v>
      </c>
      <c r="D10696" t="s">
        <v>94</v>
      </c>
      <c r="E10696">
        <v>4.3670000000000002E-3</v>
      </c>
      <c r="F10696" t="s">
        <v>74</v>
      </c>
      <c r="G10696">
        <v>4.3668699999999996</v>
      </c>
      <c r="H10696" t="s">
        <v>75</v>
      </c>
      <c r="I10696">
        <v>4366.8649999999998</v>
      </c>
      <c r="J10696" t="s">
        <v>76</v>
      </c>
      <c r="K10696" t="s">
        <v>77</v>
      </c>
    </row>
    <row r="10697" spans="1:12" x14ac:dyDescent="0.3">
      <c r="A10697" t="s">
        <v>496</v>
      </c>
      <c r="B10697" t="s">
        <v>83</v>
      </c>
      <c r="C10697">
        <v>579</v>
      </c>
      <c r="D10697" t="s">
        <v>80</v>
      </c>
      <c r="E10697">
        <v>4.5469999999999998E-3</v>
      </c>
      <c r="F10697" t="s">
        <v>74</v>
      </c>
      <c r="G10697">
        <v>4.5474699999999997</v>
      </c>
      <c r="H10697" t="s">
        <v>75</v>
      </c>
      <c r="I10697">
        <v>4547.4660000000003</v>
      </c>
      <c r="J10697" t="s">
        <v>76</v>
      </c>
      <c r="K10697" t="s">
        <v>77</v>
      </c>
    </row>
    <row r="10698" spans="1:12" x14ac:dyDescent="0.3">
      <c r="A10698" t="s">
        <v>496</v>
      </c>
      <c r="B10698" t="s">
        <v>83</v>
      </c>
      <c r="C10698">
        <v>579</v>
      </c>
      <c r="D10698" t="s">
        <v>81</v>
      </c>
      <c r="E10698">
        <v>6.4700000000000001E-3</v>
      </c>
      <c r="F10698" t="s">
        <v>74</v>
      </c>
      <c r="G10698">
        <v>6.4696999999999996</v>
      </c>
      <c r="H10698" t="s">
        <v>75</v>
      </c>
      <c r="I10698">
        <v>6469.701</v>
      </c>
      <c r="J10698" t="s">
        <v>76</v>
      </c>
      <c r="K10698" t="s">
        <v>82</v>
      </c>
      <c r="L10698">
        <v>154.5666477</v>
      </c>
    </row>
    <row r="10699" spans="1:12" x14ac:dyDescent="0.3">
      <c r="A10699" t="s">
        <v>496</v>
      </c>
      <c r="B10699" t="s">
        <v>84</v>
      </c>
      <c r="C10699">
        <v>580</v>
      </c>
      <c r="D10699" t="s">
        <v>91</v>
      </c>
      <c r="E10699">
        <v>1.077E-3</v>
      </c>
      <c r="F10699" t="s">
        <v>74</v>
      </c>
      <c r="G10699">
        <v>1.0765100000000001</v>
      </c>
      <c r="H10699" t="s">
        <v>75</v>
      </c>
      <c r="I10699">
        <v>1076.5060000000001</v>
      </c>
      <c r="J10699" t="s">
        <v>76</v>
      </c>
      <c r="K10699" t="s">
        <v>77</v>
      </c>
    </row>
    <row r="10700" spans="1:12" x14ac:dyDescent="0.3">
      <c r="A10700" t="s">
        <v>496</v>
      </c>
      <c r="B10700" t="s">
        <v>84</v>
      </c>
      <c r="C10700">
        <v>580</v>
      </c>
      <c r="D10700" t="s">
        <v>92</v>
      </c>
      <c r="E10700">
        <v>8.4199999999999998E-4</v>
      </c>
      <c r="F10700" t="s">
        <v>74</v>
      </c>
      <c r="G10700">
        <v>0.84225000000000005</v>
      </c>
      <c r="H10700" t="s">
        <v>75</v>
      </c>
      <c r="I10700">
        <v>842.25300000000004</v>
      </c>
      <c r="J10700" t="s">
        <v>76</v>
      </c>
      <c r="K10700" t="s">
        <v>77</v>
      </c>
    </row>
    <row r="10701" spans="1:12" x14ac:dyDescent="0.3">
      <c r="A10701" t="s">
        <v>496</v>
      </c>
      <c r="B10701" t="s">
        <v>84</v>
      </c>
      <c r="C10701">
        <v>580</v>
      </c>
      <c r="D10701" t="s">
        <v>93</v>
      </c>
      <c r="E10701">
        <v>7.2099999999999996E-4</v>
      </c>
      <c r="F10701" t="s">
        <v>74</v>
      </c>
      <c r="G10701">
        <v>0.72097</v>
      </c>
      <c r="H10701" t="s">
        <v>75</v>
      </c>
      <c r="I10701">
        <v>720.96799999999996</v>
      </c>
      <c r="J10701" t="s">
        <v>76</v>
      </c>
      <c r="K10701" t="s">
        <v>77</v>
      </c>
    </row>
    <row r="10702" spans="1:12" x14ac:dyDescent="0.3">
      <c r="A10702" t="s">
        <v>496</v>
      </c>
      <c r="B10702" t="s">
        <v>84</v>
      </c>
      <c r="C10702">
        <v>580</v>
      </c>
      <c r="D10702" t="s">
        <v>79</v>
      </c>
      <c r="E10702">
        <v>2.6410000000000001E-3</v>
      </c>
      <c r="F10702" t="s">
        <v>74</v>
      </c>
      <c r="G10702">
        <v>2.6407400000000001</v>
      </c>
      <c r="H10702" t="s">
        <v>75</v>
      </c>
      <c r="I10702">
        <v>2640.741</v>
      </c>
      <c r="J10702" t="s">
        <v>76</v>
      </c>
      <c r="K10702" t="s">
        <v>77</v>
      </c>
    </row>
    <row r="10703" spans="1:12" x14ac:dyDescent="0.3">
      <c r="A10703" t="s">
        <v>496</v>
      </c>
      <c r="B10703" t="s">
        <v>84</v>
      </c>
      <c r="C10703">
        <v>580</v>
      </c>
      <c r="D10703" t="s">
        <v>94</v>
      </c>
      <c r="E10703">
        <v>4.3860000000000001E-3</v>
      </c>
      <c r="F10703" t="s">
        <v>74</v>
      </c>
      <c r="G10703">
        <v>4.3858199999999998</v>
      </c>
      <c r="H10703" t="s">
        <v>75</v>
      </c>
      <c r="I10703">
        <v>4385.8190000000004</v>
      </c>
      <c r="J10703" t="s">
        <v>76</v>
      </c>
      <c r="K10703" t="s">
        <v>77</v>
      </c>
    </row>
    <row r="10704" spans="1:12" x14ac:dyDescent="0.3">
      <c r="A10704" t="s">
        <v>496</v>
      </c>
      <c r="B10704" t="s">
        <v>84</v>
      </c>
      <c r="C10704">
        <v>580</v>
      </c>
      <c r="D10704" t="s">
        <v>80</v>
      </c>
      <c r="E10704">
        <v>4.5659999999999997E-3</v>
      </c>
      <c r="F10704" t="s">
        <v>74</v>
      </c>
      <c r="G10704">
        <v>4.5661100000000001</v>
      </c>
      <c r="H10704" t="s">
        <v>75</v>
      </c>
      <c r="I10704">
        <v>4566.1109999999999</v>
      </c>
      <c r="J10704" t="s">
        <v>76</v>
      </c>
      <c r="K10704" t="s">
        <v>77</v>
      </c>
    </row>
    <row r="10705" spans="1:12" x14ac:dyDescent="0.3">
      <c r="A10705" t="s">
        <v>496</v>
      </c>
      <c r="B10705" t="s">
        <v>84</v>
      </c>
      <c r="C10705">
        <v>580</v>
      </c>
      <c r="D10705" t="s">
        <v>81</v>
      </c>
      <c r="E10705">
        <v>7.2069999999999999E-3</v>
      </c>
      <c r="F10705" t="s">
        <v>74</v>
      </c>
      <c r="G10705">
        <v>7.2069999999999999</v>
      </c>
      <c r="H10705" t="s">
        <v>75</v>
      </c>
      <c r="I10705">
        <v>7206.9989999999998</v>
      </c>
      <c r="J10705" t="s">
        <v>76</v>
      </c>
      <c r="K10705" t="s">
        <v>82</v>
      </c>
      <c r="L10705">
        <v>138.754008</v>
      </c>
    </row>
    <row r="10706" spans="1:12" x14ac:dyDescent="0.3">
      <c r="A10706" t="s">
        <v>497</v>
      </c>
      <c r="B10706" t="s">
        <v>72</v>
      </c>
      <c r="C10706">
        <v>1</v>
      </c>
      <c r="D10706" t="s">
        <v>91</v>
      </c>
      <c r="E10706">
        <v>0.106472</v>
      </c>
      <c r="F10706" t="s">
        <v>74</v>
      </c>
      <c r="G10706">
        <v>106.47199999999999</v>
      </c>
      <c r="H10706" t="s">
        <v>75</v>
      </c>
      <c r="I10706">
        <v>106472</v>
      </c>
      <c r="J10706" t="s">
        <v>76</v>
      </c>
      <c r="K10706" t="s">
        <v>77</v>
      </c>
    </row>
    <row r="10707" spans="1:12" x14ac:dyDescent="0.3">
      <c r="A10707" t="s">
        <v>497</v>
      </c>
      <c r="B10707" t="s">
        <v>72</v>
      </c>
      <c r="C10707">
        <v>1</v>
      </c>
      <c r="D10707" t="s">
        <v>92</v>
      </c>
      <c r="E10707">
        <v>6.0800000000000003E-4</v>
      </c>
      <c r="F10707" t="s">
        <v>74</v>
      </c>
      <c r="G10707">
        <v>0.60809999999999997</v>
      </c>
      <c r="H10707" t="s">
        <v>75</v>
      </c>
      <c r="I10707">
        <v>608.1</v>
      </c>
      <c r="J10707" t="s">
        <v>76</v>
      </c>
      <c r="K10707" t="s">
        <v>77</v>
      </c>
    </row>
    <row r="10708" spans="1:12" x14ac:dyDescent="0.3">
      <c r="A10708" t="s">
        <v>497</v>
      </c>
      <c r="B10708" t="s">
        <v>72</v>
      </c>
      <c r="C10708">
        <v>1</v>
      </c>
      <c r="D10708" t="s">
        <v>93</v>
      </c>
      <c r="E10708">
        <v>8.1104999999999997E-2</v>
      </c>
      <c r="F10708" t="s">
        <v>74</v>
      </c>
      <c r="G10708">
        <v>81.1053</v>
      </c>
      <c r="H10708" t="s">
        <v>75</v>
      </c>
      <c r="I10708">
        <v>81105.298999999999</v>
      </c>
      <c r="J10708" t="s">
        <v>76</v>
      </c>
      <c r="K10708" t="s">
        <v>77</v>
      </c>
    </row>
    <row r="10709" spans="1:12" x14ac:dyDescent="0.3">
      <c r="A10709" t="s">
        <v>497</v>
      </c>
      <c r="B10709" t="s">
        <v>72</v>
      </c>
      <c r="C10709">
        <v>1</v>
      </c>
      <c r="D10709" t="s">
        <v>79</v>
      </c>
      <c r="E10709">
        <v>0.18818699999999999</v>
      </c>
      <c r="F10709" t="s">
        <v>74</v>
      </c>
      <c r="G10709">
        <v>188.18700000000001</v>
      </c>
      <c r="H10709" t="s">
        <v>75</v>
      </c>
      <c r="I10709">
        <v>188187.003</v>
      </c>
      <c r="J10709" t="s">
        <v>76</v>
      </c>
      <c r="K10709" t="s">
        <v>77</v>
      </c>
    </row>
    <row r="10710" spans="1:12" x14ac:dyDescent="0.3">
      <c r="A10710" t="s">
        <v>497</v>
      </c>
      <c r="B10710" t="s">
        <v>72</v>
      </c>
      <c r="C10710">
        <v>1</v>
      </c>
      <c r="D10710" t="s">
        <v>94</v>
      </c>
      <c r="E10710">
        <v>9.6279999999999994E-3</v>
      </c>
      <c r="F10710" t="s">
        <v>74</v>
      </c>
      <c r="G10710">
        <v>9.6280000000000001</v>
      </c>
      <c r="H10710" t="s">
        <v>75</v>
      </c>
      <c r="I10710">
        <v>9628</v>
      </c>
      <c r="J10710" t="s">
        <v>76</v>
      </c>
      <c r="K10710" t="s">
        <v>77</v>
      </c>
    </row>
    <row r="10711" spans="1:12" x14ac:dyDescent="0.3">
      <c r="A10711" t="s">
        <v>497</v>
      </c>
      <c r="B10711" t="s">
        <v>72</v>
      </c>
      <c r="C10711">
        <v>1</v>
      </c>
      <c r="D10711" t="s">
        <v>80</v>
      </c>
      <c r="E10711">
        <v>9.6290000000000004E-3</v>
      </c>
      <c r="F10711" t="s">
        <v>74</v>
      </c>
      <c r="G10711">
        <v>9.6294000000000004</v>
      </c>
      <c r="H10711" t="s">
        <v>75</v>
      </c>
      <c r="I10711">
        <v>9629.4</v>
      </c>
      <c r="J10711" t="s">
        <v>76</v>
      </c>
      <c r="K10711" t="s">
        <v>77</v>
      </c>
    </row>
    <row r="10712" spans="1:12" x14ac:dyDescent="0.3">
      <c r="A10712" t="s">
        <v>497</v>
      </c>
      <c r="B10712" t="s">
        <v>72</v>
      </c>
      <c r="C10712">
        <v>1</v>
      </c>
      <c r="D10712" t="s">
        <v>81</v>
      </c>
      <c r="E10712">
        <v>0.19781699999999999</v>
      </c>
      <c r="F10712" t="s">
        <v>74</v>
      </c>
      <c r="G10712">
        <v>197.81659999999999</v>
      </c>
      <c r="H10712" t="s">
        <v>75</v>
      </c>
      <c r="I10712">
        <v>197816.595</v>
      </c>
      <c r="J10712" t="s">
        <v>76</v>
      </c>
      <c r="K10712" t="s">
        <v>82</v>
      </c>
      <c r="L10712">
        <v>5.0551876</v>
      </c>
    </row>
    <row r="10713" spans="1:12" x14ac:dyDescent="0.3">
      <c r="A10713" t="s">
        <v>497</v>
      </c>
      <c r="B10713" t="s">
        <v>83</v>
      </c>
      <c r="C10713">
        <v>420</v>
      </c>
      <c r="D10713" t="s">
        <v>91</v>
      </c>
      <c r="E10713">
        <v>9.1799999999999998E-4</v>
      </c>
      <c r="F10713" t="s">
        <v>74</v>
      </c>
      <c r="G10713">
        <v>0.91801999999999995</v>
      </c>
      <c r="H10713" t="s">
        <v>75</v>
      </c>
      <c r="I10713">
        <v>918.01800000000003</v>
      </c>
      <c r="J10713" t="s">
        <v>76</v>
      </c>
      <c r="K10713" t="s">
        <v>77</v>
      </c>
    </row>
    <row r="10714" spans="1:12" x14ac:dyDescent="0.3">
      <c r="A10714" t="s">
        <v>497</v>
      </c>
      <c r="B10714" t="s">
        <v>83</v>
      </c>
      <c r="C10714">
        <v>420</v>
      </c>
      <c r="D10714" t="s">
        <v>92</v>
      </c>
      <c r="E10714">
        <v>5.8100000000000003E-4</v>
      </c>
      <c r="F10714" t="s">
        <v>74</v>
      </c>
      <c r="G10714">
        <v>0.58123999999999998</v>
      </c>
      <c r="H10714" t="s">
        <v>75</v>
      </c>
      <c r="I10714">
        <v>581.245</v>
      </c>
      <c r="J10714" t="s">
        <v>76</v>
      </c>
      <c r="K10714" t="s">
        <v>77</v>
      </c>
    </row>
    <row r="10715" spans="1:12" x14ac:dyDescent="0.3">
      <c r="A10715" t="s">
        <v>497</v>
      </c>
      <c r="B10715" t="s">
        <v>83</v>
      </c>
      <c r="C10715">
        <v>420</v>
      </c>
      <c r="D10715" t="s">
        <v>93</v>
      </c>
      <c r="E10715">
        <v>6.2699999999999995E-4</v>
      </c>
      <c r="F10715" t="s">
        <v>74</v>
      </c>
      <c r="G10715">
        <v>0.62692000000000003</v>
      </c>
      <c r="H10715" t="s">
        <v>75</v>
      </c>
      <c r="I10715">
        <v>626.92200000000003</v>
      </c>
      <c r="J10715" t="s">
        <v>76</v>
      </c>
      <c r="K10715" t="s">
        <v>77</v>
      </c>
    </row>
    <row r="10716" spans="1:12" x14ac:dyDescent="0.3">
      <c r="A10716" t="s">
        <v>497</v>
      </c>
      <c r="B10716" t="s">
        <v>83</v>
      </c>
      <c r="C10716">
        <v>420</v>
      </c>
      <c r="D10716" t="s">
        <v>79</v>
      </c>
      <c r="E10716">
        <v>2.1280000000000001E-3</v>
      </c>
      <c r="F10716" t="s">
        <v>74</v>
      </c>
      <c r="G10716">
        <v>2.12778</v>
      </c>
      <c r="H10716" t="s">
        <v>75</v>
      </c>
      <c r="I10716">
        <v>2127.7809999999999</v>
      </c>
      <c r="J10716" t="s">
        <v>76</v>
      </c>
      <c r="K10716" t="s">
        <v>77</v>
      </c>
    </row>
    <row r="10717" spans="1:12" x14ac:dyDescent="0.3">
      <c r="A10717" t="s">
        <v>497</v>
      </c>
      <c r="B10717" t="s">
        <v>83</v>
      </c>
      <c r="C10717">
        <v>420</v>
      </c>
      <c r="D10717" t="s">
        <v>94</v>
      </c>
      <c r="E10717">
        <v>7.1380000000000002E-3</v>
      </c>
      <c r="F10717" t="s">
        <v>74</v>
      </c>
      <c r="G10717">
        <v>7.1381899999999998</v>
      </c>
      <c r="H10717" t="s">
        <v>75</v>
      </c>
      <c r="I10717">
        <v>7138.1949999999997</v>
      </c>
      <c r="J10717" t="s">
        <v>76</v>
      </c>
      <c r="K10717" t="s">
        <v>77</v>
      </c>
    </row>
    <row r="10718" spans="1:12" x14ac:dyDescent="0.3">
      <c r="A10718" t="s">
        <v>497</v>
      </c>
      <c r="B10718" t="s">
        <v>83</v>
      </c>
      <c r="C10718">
        <v>420</v>
      </c>
      <c r="D10718" t="s">
        <v>80</v>
      </c>
      <c r="E10718">
        <v>7.3369999999999998E-3</v>
      </c>
      <c r="F10718" t="s">
        <v>74</v>
      </c>
      <c r="G10718">
        <v>7.3373999999999997</v>
      </c>
      <c r="H10718" t="s">
        <v>75</v>
      </c>
      <c r="I10718">
        <v>7337.4030000000002</v>
      </c>
      <c r="J10718" t="s">
        <v>76</v>
      </c>
      <c r="K10718" t="s">
        <v>77</v>
      </c>
    </row>
    <row r="10719" spans="1:12" x14ac:dyDescent="0.3">
      <c r="A10719" t="s">
        <v>497</v>
      </c>
      <c r="B10719" t="s">
        <v>83</v>
      </c>
      <c r="C10719">
        <v>420</v>
      </c>
      <c r="D10719" t="s">
        <v>81</v>
      </c>
      <c r="E10719">
        <v>9.4660000000000005E-3</v>
      </c>
      <c r="F10719" t="s">
        <v>74</v>
      </c>
      <c r="G10719">
        <v>9.4656699999999994</v>
      </c>
      <c r="H10719" t="s">
        <v>75</v>
      </c>
      <c r="I10719">
        <v>9465.6689999999999</v>
      </c>
      <c r="J10719" t="s">
        <v>76</v>
      </c>
      <c r="K10719" t="s">
        <v>82</v>
      </c>
      <c r="L10719">
        <v>105.64493779999999</v>
      </c>
    </row>
    <row r="10720" spans="1:12" x14ac:dyDescent="0.3">
      <c r="A10720" t="s">
        <v>497</v>
      </c>
      <c r="B10720" t="s">
        <v>84</v>
      </c>
      <c r="C10720">
        <v>421</v>
      </c>
      <c r="D10720" t="s">
        <v>91</v>
      </c>
      <c r="E10720">
        <v>1.1689999999999999E-3</v>
      </c>
      <c r="F10720" t="s">
        <v>74</v>
      </c>
      <c r="G10720">
        <v>1.1687399999999999</v>
      </c>
      <c r="H10720" t="s">
        <v>75</v>
      </c>
      <c r="I10720">
        <v>1168.741</v>
      </c>
      <c r="J10720" t="s">
        <v>76</v>
      </c>
      <c r="K10720" t="s">
        <v>77</v>
      </c>
    </row>
    <row r="10721" spans="1:12" x14ac:dyDescent="0.3">
      <c r="A10721" t="s">
        <v>497</v>
      </c>
      <c r="B10721" t="s">
        <v>84</v>
      </c>
      <c r="C10721">
        <v>421</v>
      </c>
      <c r="D10721" t="s">
        <v>92</v>
      </c>
      <c r="E10721">
        <v>5.8100000000000003E-4</v>
      </c>
      <c r="F10721" t="s">
        <v>74</v>
      </c>
      <c r="G10721">
        <v>0.58130999999999999</v>
      </c>
      <c r="H10721" t="s">
        <v>75</v>
      </c>
      <c r="I10721">
        <v>581.30799999999999</v>
      </c>
      <c r="J10721" t="s">
        <v>76</v>
      </c>
      <c r="K10721" t="s">
        <v>77</v>
      </c>
    </row>
    <row r="10722" spans="1:12" x14ac:dyDescent="0.3">
      <c r="A10722" t="s">
        <v>497</v>
      </c>
      <c r="B10722" t="s">
        <v>84</v>
      </c>
      <c r="C10722">
        <v>421</v>
      </c>
      <c r="D10722" t="s">
        <v>93</v>
      </c>
      <c r="E10722">
        <v>8.1800000000000004E-4</v>
      </c>
      <c r="F10722" t="s">
        <v>74</v>
      </c>
      <c r="G10722">
        <v>0.81808000000000003</v>
      </c>
      <c r="H10722" t="s">
        <v>75</v>
      </c>
      <c r="I10722">
        <v>818.08199999999999</v>
      </c>
      <c r="J10722" t="s">
        <v>76</v>
      </c>
      <c r="K10722" t="s">
        <v>77</v>
      </c>
    </row>
    <row r="10723" spans="1:12" x14ac:dyDescent="0.3">
      <c r="A10723" t="s">
        <v>497</v>
      </c>
      <c r="B10723" t="s">
        <v>84</v>
      </c>
      <c r="C10723">
        <v>421</v>
      </c>
      <c r="D10723" t="s">
        <v>79</v>
      </c>
      <c r="E10723">
        <v>2.5699999999999998E-3</v>
      </c>
      <c r="F10723" t="s">
        <v>74</v>
      </c>
      <c r="G10723">
        <v>2.5697299999999998</v>
      </c>
      <c r="H10723" t="s">
        <v>75</v>
      </c>
      <c r="I10723">
        <v>2569.7280000000001</v>
      </c>
      <c r="J10723" t="s">
        <v>76</v>
      </c>
      <c r="K10723" t="s">
        <v>77</v>
      </c>
    </row>
    <row r="10724" spans="1:12" x14ac:dyDescent="0.3">
      <c r="A10724" t="s">
        <v>497</v>
      </c>
      <c r="B10724" t="s">
        <v>84</v>
      </c>
      <c r="C10724">
        <v>421</v>
      </c>
      <c r="D10724" t="s">
        <v>94</v>
      </c>
      <c r="E10724">
        <v>7.1440000000000002E-3</v>
      </c>
      <c r="F10724" t="s">
        <v>74</v>
      </c>
      <c r="G10724">
        <v>7.1441100000000004</v>
      </c>
      <c r="H10724" t="s">
        <v>75</v>
      </c>
      <c r="I10724">
        <v>7144.1090000000004</v>
      </c>
      <c r="J10724" t="s">
        <v>76</v>
      </c>
      <c r="K10724" t="s">
        <v>77</v>
      </c>
    </row>
    <row r="10725" spans="1:12" x14ac:dyDescent="0.3">
      <c r="A10725" t="s">
        <v>497</v>
      </c>
      <c r="B10725" t="s">
        <v>84</v>
      </c>
      <c r="C10725">
        <v>421</v>
      </c>
      <c r="D10725" t="s">
        <v>80</v>
      </c>
      <c r="E10725">
        <v>7.3429999999999997E-3</v>
      </c>
      <c r="F10725" t="s">
        <v>74</v>
      </c>
      <c r="G10725">
        <v>7.3428500000000003</v>
      </c>
      <c r="H10725" t="s">
        <v>75</v>
      </c>
      <c r="I10725">
        <v>7342.848</v>
      </c>
      <c r="J10725" t="s">
        <v>76</v>
      </c>
      <c r="K10725" t="s">
        <v>77</v>
      </c>
    </row>
    <row r="10726" spans="1:12" x14ac:dyDescent="0.3">
      <c r="A10726" t="s">
        <v>497</v>
      </c>
      <c r="B10726" t="s">
        <v>84</v>
      </c>
      <c r="C10726">
        <v>421</v>
      </c>
      <c r="D10726" t="s">
        <v>81</v>
      </c>
      <c r="E10726">
        <v>9.9129999999999999E-3</v>
      </c>
      <c r="F10726" t="s">
        <v>74</v>
      </c>
      <c r="G10726">
        <v>9.9130599999999998</v>
      </c>
      <c r="H10726" t="s">
        <v>75</v>
      </c>
      <c r="I10726">
        <v>9913.0580000000009</v>
      </c>
      <c r="J10726" t="s">
        <v>76</v>
      </c>
      <c r="K10726" t="s">
        <v>82</v>
      </c>
      <c r="L10726">
        <v>100.87704220000001</v>
      </c>
    </row>
    <row r="10727" spans="1:12" x14ac:dyDescent="0.3">
      <c r="A10727" t="s">
        <v>498</v>
      </c>
      <c r="B10727" t="s">
        <v>72</v>
      </c>
      <c r="C10727">
        <v>1</v>
      </c>
      <c r="D10727" t="s">
        <v>73</v>
      </c>
      <c r="E10727">
        <v>5.7000000000000003E-5</v>
      </c>
      <c r="F10727" t="s">
        <v>74</v>
      </c>
      <c r="G10727">
        <v>5.6599999999999998E-2</v>
      </c>
      <c r="H10727" t="s">
        <v>75</v>
      </c>
      <c r="I10727">
        <v>56.6</v>
      </c>
      <c r="J10727" t="s">
        <v>76</v>
      </c>
      <c r="K10727" t="s">
        <v>77</v>
      </c>
    </row>
    <row r="10728" spans="1:12" x14ac:dyDescent="0.3">
      <c r="A10728" t="s">
        <v>498</v>
      </c>
      <c r="B10728" t="s">
        <v>72</v>
      </c>
      <c r="C10728">
        <v>1</v>
      </c>
      <c r="D10728" t="s">
        <v>78</v>
      </c>
      <c r="E10728">
        <v>0.14135500000000001</v>
      </c>
      <c r="F10728" t="s">
        <v>74</v>
      </c>
      <c r="G10728">
        <v>141.35461000000001</v>
      </c>
      <c r="H10728" t="s">
        <v>75</v>
      </c>
      <c r="I10728">
        <v>141354.606</v>
      </c>
      <c r="J10728" t="s">
        <v>76</v>
      </c>
      <c r="K10728" t="s">
        <v>77</v>
      </c>
    </row>
    <row r="10729" spans="1:12" x14ac:dyDescent="0.3">
      <c r="A10729" t="s">
        <v>498</v>
      </c>
      <c r="B10729" t="s">
        <v>72</v>
      </c>
      <c r="C10729">
        <v>2</v>
      </c>
      <c r="D10729" t="s">
        <v>86</v>
      </c>
      <c r="E10729">
        <v>0.21707199999999999</v>
      </c>
      <c r="F10729" t="s">
        <v>74</v>
      </c>
      <c r="G10729">
        <v>217.07246000000001</v>
      </c>
      <c r="H10729" t="s">
        <v>75</v>
      </c>
      <c r="I10729">
        <v>217072.45699999999</v>
      </c>
      <c r="J10729" t="s">
        <v>76</v>
      </c>
      <c r="K10729" t="s">
        <v>82</v>
      </c>
      <c r="L10729">
        <v>4.6067567</v>
      </c>
    </row>
    <row r="10730" spans="1:12" x14ac:dyDescent="0.3">
      <c r="A10730" t="s">
        <v>498</v>
      </c>
      <c r="B10730" t="s">
        <v>83</v>
      </c>
      <c r="C10730">
        <v>999</v>
      </c>
      <c r="D10730" t="s">
        <v>86</v>
      </c>
      <c r="E10730">
        <v>3.9899999999999996E-3</v>
      </c>
      <c r="F10730" t="s">
        <v>74</v>
      </c>
      <c r="G10730">
        <v>3.99037</v>
      </c>
      <c r="H10730" t="s">
        <v>75</v>
      </c>
      <c r="I10730">
        <v>3990.3739999999998</v>
      </c>
      <c r="J10730" t="s">
        <v>76</v>
      </c>
      <c r="K10730" t="s">
        <v>82</v>
      </c>
      <c r="L10730">
        <v>250.6031031</v>
      </c>
    </row>
    <row r="10731" spans="1:12" x14ac:dyDescent="0.3">
      <c r="A10731" t="s">
        <v>498</v>
      </c>
      <c r="B10731" t="s">
        <v>85</v>
      </c>
      <c r="C10731">
        <v>1001</v>
      </c>
      <c r="D10731" t="s">
        <v>86</v>
      </c>
      <c r="E10731">
        <v>4.1850000000000004E-3</v>
      </c>
      <c r="F10731" t="s">
        <v>74</v>
      </c>
      <c r="G10731">
        <v>4.1849999999999996</v>
      </c>
      <c r="H10731" t="s">
        <v>75</v>
      </c>
      <c r="I10731">
        <v>4185.0029999999997</v>
      </c>
      <c r="J10731" t="s">
        <v>76</v>
      </c>
      <c r="K10731" t="s">
        <v>82</v>
      </c>
      <c r="L10731">
        <v>238.94845470000001</v>
      </c>
    </row>
    <row r="10732" spans="1:12" x14ac:dyDescent="0.3">
      <c r="A10732" t="s">
        <v>115</v>
      </c>
    </row>
    <row r="10733" spans="1:12" x14ac:dyDescent="0.3">
      <c r="A10733" t="s">
        <v>127</v>
      </c>
    </row>
    <row r="10734" spans="1:12" x14ac:dyDescent="0.3">
      <c r="A10734" t="s">
        <v>87</v>
      </c>
    </row>
    <row r="10735" spans="1:12" x14ac:dyDescent="0.3">
      <c r="A10735" t="s">
        <v>499</v>
      </c>
    </row>
    <row r="10736" spans="1:12" x14ac:dyDescent="0.3">
      <c r="A10736" t="s">
        <v>496</v>
      </c>
      <c r="B10736" t="s">
        <v>72</v>
      </c>
      <c r="C10736">
        <v>1</v>
      </c>
      <c r="D10736" t="s">
        <v>81</v>
      </c>
      <c r="E10736">
        <v>0.43410199999999999</v>
      </c>
      <c r="F10736" t="s">
        <v>74</v>
      </c>
      <c r="G10736">
        <v>434.10160999999999</v>
      </c>
      <c r="H10736" t="s">
        <v>75</v>
      </c>
      <c r="I10736">
        <v>434101.61099999998</v>
      </c>
      <c r="J10736" t="s">
        <v>76</v>
      </c>
      <c r="K10736" t="s">
        <v>82</v>
      </c>
      <c r="L10736">
        <v>2.3036080999999999</v>
      </c>
    </row>
    <row r="10737" spans="1:12" x14ac:dyDescent="0.3">
      <c r="A10737" t="s">
        <v>496</v>
      </c>
      <c r="B10737" t="s">
        <v>83</v>
      </c>
      <c r="C10737">
        <v>579</v>
      </c>
      <c r="D10737" t="s">
        <v>81</v>
      </c>
      <c r="E10737">
        <v>6.4700000000000001E-3</v>
      </c>
      <c r="F10737" t="s">
        <v>74</v>
      </c>
      <c r="G10737">
        <v>6.4696999999999996</v>
      </c>
      <c r="H10737" t="s">
        <v>75</v>
      </c>
      <c r="I10737">
        <v>6469.701</v>
      </c>
      <c r="J10737" t="s">
        <v>76</v>
      </c>
      <c r="K10737" t="s">
        <v>82</v>
      </c>
      <c r="L10737">
        <v>154.5666477</v>
      </c>
    </row>
    <row r="10738" spans="1:12" x14ac:dyDescent="0.3">
      <c r="A10738" t="s">
        <v>496</v>
      </c>
      <c r="B10738" t="s">
        <v>84</v>
      </c>
      <c r="C10738">
        <v>580</v>
      </c>
      <c r="D10738" t="s">
        <v>81</v>
      </c>
      <c r="E10738">
        <v>7.2069999999999999E-3</v>
      </c>
      <c r="F10738" t="s">
        <v>74</v>
      </c>
      <c r="G10738">
        <v>7.2069999999999999</v>
      </c>
      <c r="H10738" t="s">
        <v>75</v>
      </c>
      <c r="I10738">
        <v>7206.9989999999998</v>
      </c>
      <c r="J10738" t="s">
        <v>76</v>
      </c>
      <c r="K10738" t="s">
        <v>82</v>
      </c>
      <c r="L10738">
        <v>138.754008</v>
      </c>
    </row>
    <row r="10739" spans="1:12" x14ac:dyDescent="0.3">
      <c r="A10739" t="s">
        <v>497</v>
      </c>
      <c r="B10739" t="s">
        <v>72</v>
      </c>
      <c r="C10739">
        <v>1</v>
      </c>
      <c r="D10739" t="s">
        <v>81</v>
      </c>
      <c r="E10739">
        <v>0.19781699999999999</v>
      </c>
      <c r="F10739" t="s">
        <v>74</v>
      </c>
      <c r="G10739">
        <v>197.81659999999999</v>
      </c>
      <c r="H10739" t="s">
        <v>75</v>
      </c>
      <c r="I10739">
        <v>197816.595</v>
      </c>
      <c r="J10739" t="s">
        <v>76</v>
      </c>
      <c r="K10739" t="s">
        <v>82</v>
      </c>
      <c r="L10739">
        <v>5.0551876</v>
      </c>
    </row>
    <row r="10740" spans="1:12" x14ac:dyDescent="0.3">
      <c r="A10740" t="s">
        <v>497</v>
      </c>
      <c r="B10740" t="s">
        <v>83</v>
      </c>
      <c r="C10740">
        <v>420</v>
      </c>
      <c r="D10740" t="s">
        <v>81</v>
      </c>
      <c r="E10740">
        <v>9.4660000000000005E-3</v>
      </c>
      <c r="F10740" t="s">
        <v>74</v>
      </c>
      <c r="G10740">
        <v>9.4656699999999994</v>
      </c>
      <c r="H10740" t="s">
        <v>75</v>
      </c>
      <c r="I10740">
        <v>9465.6689999999999</v>
      </c>
      <c r="J10740" t="s">
        <v>76</v>
      </c>
      <c r="K10740" t="s">
        <v>82</v>
      </c>
      <c r="L10740">
        <v>105.64493779999999</v>
      </c>
    </row>
    <row r="10741" spans="1:12" x14ac:dyDescent="0.3">
      <c r="A10741" t="s">
        <v>497</v>
      </c>
      <c r="B10741" t="s">
        <v>84</v>
      </c>
      <c r="C10741">
        <v>421</v>
      </c>
      <c r="D10741" t="s">
        <v>81</v>
      </c>
      <c r="E10741">
        <v>9.9129999999999999E-3</v>
      </c>
      <c r="F10741" t="s">
        <v>74</v>
      </c>
      <c r="G10741">
        <v>9.9130599999999998</v>
      </c>
      <c r="H10741" t="s">
        <v>75</v>
      </c>
      <c r="I10741">
        <v>9913.0580000000009</v>
      </c>
      <c r="J10741" t="s">
        <v>76</v>
      </c>
      <c r="K10741" t="s">
        <v>82</v>
      </c>
      <c r="L10741">
        <v>100.87704220000001</v>
      </c>
    </row>
    <row r="10742" spans="1:12" x14ac:dyDescent="0.3">
      <c r="A10742" t="s">
        <v>498</v>
      </c>
      <c r="B10742" t="s">
        <v>72</v>
      </c>
      <c r="C10742">
        <v>2</v>
      </c>
      <c r="D10742" t="s">
        <v>86</v>
      </c>
      <c r="E10742">
        <v>0.21707199999999999</v>
      </c>
      <c r="F10742" t="s">
        <v>74</v>
      </c>
      <c r="G10742">
        <v>217.07246000000001</v>
      </c>
      <c r="H10742" t="s">
        <v>75</v>
      </c>
      <c r="I10742">
        <v>217072.45699999999</v>
      </c>
      <c r="J10742" t="s">
        <v>76</v>
      </c>
      <c r="K10742" t="s">
        <v>82</v>
      </c>
      <c r="L10742">
        <v>4.6067567</v>
      </c>
    </row>
    <row r="10743" spans="1:12" x14ac:dyDescent="0.3">
      <c r="A10743" t="s">
        <v>498</v>
      </c>
      <c r="B10743" t="s">
        <v>83</v>
      </c>
      <c r="C10743">
        <v>999</v>
      </c>
      <c r="D10743" t="s">
        <v>86</v>
      </c>
      <c r="E10743">
        <v>3.9899999999999996E-3</v>
      </c>
      <c r="F10743" t="s">
        <v>74</v>
      </c>
      <c r="G10743">
        <v>3.99037</v>
      </c>
      <c r="H10743" t="s">
        <v>75</v>
      </c>
      <c r="I10743">
        <v>3990.3739999999998</v>
      </c>
      <c r="J10743" t="s">
        <v>76</v>
      </c>
      <c r="K10743" t="s">
        <v>82</v>
      </c>
      <c r="L10743">
        <v>250.6031031</v>
      </c>
    </row>
    <row r="10744" spans="1:12" x14ac:dyDescent="0.3">
      <c r="A10744" t="s">
        <v>498</v>
      </c>
      <c r="B10744" t="s">
        <v>85</v>
      </c>
      <c r="C10744">
        <v>1001</v>
      </c>
      <c r="D10744" t="s">
        <v>86</v>
      </c>
      <c r="E10744">
        <v>4.1850000000000004E-3</v>
      </c>
      <c r="F10744" t="s">
        <v>74</v>
      </c>
      <c r="G10744">
        <v>4.1849999999999996</v>
      </c>
      <c r="H10744" t="s">
        <v>75</v>
      </c>
      <c r="I10744">
        <v>4185.0029999999997</v>
      </c>
      <c r="J10744" t="s">
        <v>76</v>
      </c>
      <c r="K10744" t="s">
        <v>82</v>
      </c>
      <c r="L10744">
        <v>238.94845470000001</v>
      </c>
    </row>
    <row r="10746" spans="1:12" x14ac:dyDescent="0.3">
      <c r="A10746" t="s">
        <v>66</v>
      </c>
    </row>
    <row r="10748" spans="1:12" x14ac:dyDescent="0.3">
      <c r="A10748" t="s">
        <v>500</v>
      </c>
    </row>
    <row r="10749" spans="1:12" x14ac:dyDescent="0.3">
      <c r="A10749" t="s">
        <v>68</v>
      </c>
    </row>
    <row r="10750" spans="1:12" x14ac:dyDescent="0.3">
      <c r="A10750" t="s">
        <v>69</v>
      </c>
    </row>
    <row r="10751" spans="1:12" x14ac:dyDescent="0.3">
      <c r="A10751" t="s">
        <v>68</v>
      </c>
    </row>
    <row r="10752" spans="1:12" x14ac:dyDescent="0.3">
      <c r="A10752" t="s">
        <v>69</v>
      </c>
    </row>
    <row r="10753" spans="1:1" x14ac:dyDescent="0.3">
      <c r="A10753" t="s">
        <v>70</v>
      </c>
    </row>
    <row r="10754" spans="1:1" x14ac:dyDescent="0.3">
      <c r="A10754" t="s">
        <v>115</v>
      </c>
    </row>
    <row r="10755" spans="1:1" x14ac:dyDescent="0.3">
      <c r="A10755" t="s">
        <v>116</v>
      </c>
    </row>
    <row r="10756" spans="1:1" x14ac:dyDescent="0.3">
      <c r="A10756" t="s">
        <v>117</v>
      </c>
    </row>
    <row r="10757" spans="1:1" x14ac:dyDescent="0.3">
      <c r="A10757" t="s">
        <v>118</v>
      </c>
    </row>
    <row r="10758" spans="1:1" x14ac:dyDescent="0.3">
      <c r="A10758" t="s">
        <v>119</v>
      </c>
    </row>
    <row r="10759" spans="1:1" x14ac:dyDescent="0.3">
      <c r="A10759" t="s">
        <v>120</v>
      </c>
    </row>
    <row r="10760" spans="1:1" x14ac:dyDescent="0.3">
      <c r="A10760" t="s">
        <v>121</v>
      </c>
    </row>
    <row r="10761" spans="1:1" x14ac:dyDescent="0.3">
      <c r="A10761" t="s">
        <v>122</v>
      </c>
    </row>
    <row r="10762" spans="1:1" x14ac:dyDescent="0.3">
      <c r="A10762" t="s">
        <v>123</v>
      </c>
    </row>
    <row r="10763" spans="1:1" x14ac:dyDescent="0.3">
      <c r="A10763" t="s">
        <v>124</v>
      </c>
    </row>
    <row r="10764" spans="1:1" x14ac:dyDescent="0.3">
      <c r="A10764" t="s">
        <v>125</v>
      </c>
    </row>
    <row r="10765" spans="1:1" x14ac:dyDescent="0.3">
      <c r="A10765" t="s">
        <v>126</v>
      </c>
    </row>
    <row r="10766" spans="1:1" x14ac:dyDescent="0.3">
      <c r="A10766" t="s">
        <v>127</v>
      </c>
    </row>
    <row r="10767" spans="1:1" x14ac:dyDescent="0.3">
      <c r="A10767" t="s">
        <v>132</v>
      </c>
    </row>
    <row r="10768" spans="1:1" x14ac:dyDescent="0.3">
      <c r="A10768" t="s">
        <v>115</v>
      </c>
    </row>
    <row r="10769" spans="1:11" x14ac:dyDescent="0.3">
      <c r="A10769" t="s">
        <v>266</v>
      </c>
    </row>
    <row r="10770" spans="1:11" x14ac:dyDescent="0.3">
      <c r="A10770" t="s">
        <v>267</v>
      </c>
    </row>
    <row r="10771" spans="1:11" x14ac:dyDescent="0.3">
      <c r="A10771" t="s">
        <v>118</v>
      </c>
    </row>
    <row r="10772" spans="1:11" x14ac:dyDescent="0.3">
      <c r="A10772" t="s">
        <v>119</v>
      </c>
    </row>
    <row r="10773" spans="1:11" x14ac:dyDescent="0.3">
      <c r="A10773" t="s">
        <v>268</v>
      </c>
    </row>
    <row r="10774" spans="1:11" x14ac:dyDescent="0.3">
      <c r="A10774" t="s">
        <v>269</v>
      </c>
    </row>
    <row r="10775" spans="1:11" x14ac:dyDescent="0.3">
      <c r="A10775" t="s">
        <v>122</v>
      </c>
    </row>
    <row r="10776" spans="1:11" x14ac:dyDescent="0.3">
      <c r="A10776" t="s">
        <v>270</v>
      </c>
    </row>
    <row r="10777" spans="1:11" x14ac:dyDescent="0.3">
      <c r="A10777" t="s">
        <v>271</v>
      </c>
    </row>
    <row r="10778" spans="1:11" x14ac:dyDescent="0.3">
      <c r="A10778" t="s">
        <v>125</v>
      </c>
    </row>
    <row r="10779" spans="1:11" x14ac:dyDescent="0.3">
      <c r="A10779" t="s">
        <v>126</v>
      </c>
    </row>
    <row r="10780" spans="1:11" x14ac:dyDescent="0.3">
      <c r="A10780" t="s">
        <v>127</v>
      </c>
    </row>
    <row r="10781" spans="1:11" x14ac:dyDescent="0.3">
      <c r="A10781" t="s">
        <v>132</v>
      </c>
    </row>
    <row r="10782" spans="1:11" x14ac:dyDescent="0.3">
      <c r="A10782" t="s">
        <v>501</v>
      </c>
    </row>
    <row r="10783" spans="1:11" x14ac:dyDescent="0.3">
      <c r="A10783" t="s">
        <v>496</v>
      </c>
      <c r="B10783" t="s">
        <v>72</v>
      </c>
      <c r="C10783">
        <v>1</v>
      </c>
      <c r="D10783" t="s">
        <v>79</v>
      </c>
      <c r="E10783">
        <v>0.31381900000000001</v>
      </c>
      <c r="F10783" t="s">
        <v>74</v>
      </c>
      <c r="G10783">
        <v>313.81941</v>
      </c>
      <c r="H10783" t="s">
        <v>75</v>
      </c>
      <c r="I10783">
        <v>313819.408</v>
      </c>
      <c r="J10783" t="s">
        <v>76</v>
      </c>
      <c r="K10783" t="s">
        <v>77</v>
      </c>
    </row>
    <row r="10784" spans="1:11" x14ac:dyDescent="0.3">
      <c r="A10784" t="s">
        <v>496</v>
      </c>
      <c r="B10784" t="s">
        <v>72</v>
      </c>
      <c r="C10784">
        <v>1</v>
      </c>
      <c r="D10784" t="s">
        <v>94</v>
      </c>
      <c r="E10784">
        <v>2.9510000000000001E-3</v>
      </c>
      <c r="F10784" t="s">
        <v>74</v>
      </c>
      <c r="G10784">
        <v>2.9512999999999998</v>
      </c>
      <c r="H10784" t="s">
        <v>75</v>
      </c>
      <c r="I10784">
        <v>2951.3</v>
      </c>
      <c r="J10784" t="s">
        <v>76</v>
      </c>
      <c r="K10784" t="s">
        <v>77</v>
      </c>
    </row>
    <row r="10785" spans="1:12" x14ac:dyDescent="0.3">
      <c r="A10785" t="s">
        <v>496</v>
      </c>
      <c r="B10785" t="s">
        <v>72</v>
      </c>
      <c r="C10785">
        <v>1</v>
      </c>
      <c r="D10785" t="s">
        <v>80</v>
      </c>
      <c r="E10785">
        <v>2.9520000000000002E-3</v>
      </c>
      <c r="F10785" t="s">
        <v>74</v>
      </c>
      <c r="G10785">
        <v>2.9521000000000002</v>
      </c>
      <c r="H10785" t="s">
        <v>75</v>
      </c>
      <c r="I10785">
        <v>2952.1</v>
      </c>
      <c r="J10785" t="s">
        <v>76</v>
      </c>
      <c r="K10785" t="s">
        <v>77</v>
      </c>
    </row>
    <row r="10786" spans="1:12" x14ac:dyDescent="0.3">
      <c r="A10786" t="s">
        <v>496</v>
      </c>
      <c r="B10786" t="s">
        <v>72</v>
      </c>
      <c r="C10786">
        <v>1</v>
      </c>
      <c r="D10786" t="s">
        <v>81</v>
      </c>
      <c r="E10786">
        <v>0.316772</v>
      </c>
      <c r="F10786" t="s">
        <v>74</v>
      </c>
      <c r="G10786">
        <v>316.77181000000002</v>
      </c>
      <c r="H10786" t="s">
        <v>75</v>
      </c>
      <c r="I10786">
        <v>316771.80499999999</v>
      </c>
      <c r="J10786" t="s">
        <v>76</v>
      </c>
      <c r="K10786" t="s">
        <v>82</v>
      </c>
      <c r="L10786">
        <v>3.1568466000000002</v>
      </c>
    </row>
    <row r="10787" spans="1:12" x14ac:dyDescent="0.3">
      <c r="A10787" t="s">
        <v>496</v>
      </c>
      <c r="B10787" t="s">
        <v>83</v>
      </c>
      <c r="C10787">
        <v>626</v>
      </c>
      <c r="D10787" t="s">
        <v>79</v>
      </c>
      <c r="E10787">
        <v>5.9100000000000005E-4</v>
      </c>
      <c r="F10787" t="s">
        <v>74</v>
      </c>
      <c r="G10787">
        <v>0.59126000000000001</v>
      </c>
      <c r="H10787" t="s">
        <v>75</v>
      </c>
      <c r="I10787">
        <v>591.25599999999997</v>
      </c>
      <c r="J10787" t="s">
        <v>76</v>
      </c>
      <c r="K10787" t="s">
        <v>77</v>
      </c>
    </row>
    <row r="10788" spans="1:12" x14ac:dyDescent="0.3">
      <c r="A10788" t="s">
        <v>496</v>
      </c>
      <c r="B10788" t="s">
        <v>83</v>
      </c>
      <c r="C10788">
        <v>626</v>
      </c>
      <c r="D10788" t="s">
        <v>94</v>
      </c>
      <c r="E10788">
        <v>3.5639999999999999E-3</v>
      </c>
      <c r="F10788" t="s">
        <v>74</v>
      </c>
      <c r="G10788">
        <v>3.56386</v>
      </c>
      <c r="H10788" t="s">
        <v>75</v>
      </c>
      <c r="I10788">
        <v>3563.8629999999998</v>
      </c>
      <c r="J10788" t="s">
        <v>76</v>
      </c>
      <c r="K10788" t="s">
        <v>77</v>
      </c>
    </row>
    <row r="10789" spans="1:12" x14ac:dyDescent="0.3">
      <c r="A10789" t="s">
        <v>496</v>
      </c>
      <c r="B10789" t="s">
        <v>83</v>
      </c>
      <c r="C10789">
        <v>626</v>
      </c>
      <c r="D10789" t="s">
        <v>80</v>
      </c>
      <c r="E10789">
        <v>3.741E-3</v>
      </c>
      <c r="F10789" t="s">
        <v>74</v>
      </c>
      <c r="G10789">
        <v>3.7413400000000001</v>
      </c>
      <c r="H10789" t="s">
        <v>75</v>
      </c>
      <c r="I10789">
        <v>3741.3440000000001</v>
      </c>
      <c r="J10789" t="s">
        <v>76</v>
      </c>
      <c r="K10789" t="s">
        <v>77</v>
      </c>
    </row>
    <row r="10790" spans="1:12" x14ac:dyDescent="0.3">
      <c r="A10790" t="s">
        <v>496</v>
      </c>
      <c r="B10790" t="s">
        <v>83</v>
      </c>
      <c r="C10790">
        <v>626</v>
      </c>
      <c r="D10790" t="s">
        <v>81</v>
      </c>
      <c r="E10790">
        <v>4.333E-3</v>
      </c>
      <c r="F10790" t="s">
        <v>74</v>
      </c>
      <c r="G10790">
        <v>4.3328300000000004</v>
      </c>
      <c r="H10790" t="s">
        <v>75</v>
      </c>
      <c r="I10790">
        <v>4332.8289999999997</v>
      </c>
      <c r="J10790" t="s">
        <v>76</v>
      </c>
      <c r="K10790" t="s">
        <v>82</v>
      </c>
      <c r="L10790">
        <v>230.7960808</v>
      </c>
    </row>
    <row r="10791" spans="1:12" x14ac:dyDescent="0.3">
      <c r="A10791" t="s">
        <v>496</v>
      </c>
      <c r="B10791" t="s">
        <v>84</v>
      </c>
      <c r="C10791">
        <v>627</v>
      </c>
      <c r="D10791" t="s">
        <v>79</v>
      </c>
      <c r="E10791">
        <v>1.091E-3</v>
      </c>
      <c r="F10791" t="s">
        <v>74</v>
      </c>
      <c r="G10791">
        <v>1.0908199999999999</v>
      </c>
      <c r="H10791" t="s">
        <v>75</v>
      </c>
      <c r="I10791">
        <v>1090.8230000000001</v>
      </c>
      <c r="J10791" t="s">
        <v>76</v>
      </c>
      <c r="K10791" t="s">
        <v>77</v>
      </c>
    </row>
    <row r="10792" spans="1:12" x14ac:dyDescent="0.3">
      <c r="A10792" t="s">
        <v>496</v>
      </c>
      <c r="B10792" t="s">
        <v>84</v>
      </c>
      <c r="C10792">
        <v>627</v>
      </c>
      <c r="D10792" t="s">
        <v>94</v>
      </c>
      <c r="E10792">
        <v>3.5630000000000002E-3</v>
      </c>
      <c r="F10792" t="s">
        <v>74</v>
      </c>
      <c r="G10792">
        <v>3.5628899999999999</v>
      </c>
      <c r="H10792" t="s">
        <v>75</v>
      </c>
      <c r="I10792">
        <v>3562.886</v>
      </c>
      <c r="J10792" t="s">
        <v>76</v>
      </c>
      <c r="K10792" t="s">
        <v>77</v>
      </c>
    </row>
    <row r="10793" spans="1:12" x14ac:dyDescent="0.3">
      <c r="A10793" t="s">
        <v>496</v>
      </c>
      <c r="B10793" t="s">
        <v>84</v>
      </c>
      <c r="C10793">
        <v>627</v>
      </c>
      <c r="D10793" t="s">
        <v>80</v>
      </c>
      <c r="E10793">
        <v>3.7399999999999998E-3</v>
      </c>
      <c r="F10793" t="s">
        <v>74</v>
      </c>
      <c r="G10793">
        <v>3.7400899999999999</v>
      </c>
      <c r="H10793" t="s">
        <v>75</v>
      </c>
      <c r="I10793">
        <v>3740.085</v>
      </c>
      <c r="J10793" t="s">
        <v>76</v>
      </c>
      <c r="K10793" t="s">
        <v>77</v>
      </c>
    </row>
    <row r="10794" spans="1:12" x14ac:dyDescent="0.3">
      <c r="A10794" t="s">
        <v>496</v>
      </c>
      <c r="B10794" t="s">
        <v>84</v>
      </c>
      <c r="C10794">
        <v>627</v>
      </c>
      <c r="D10794" t="s">
        <v>81</v>
      </c>
      <c r="E10794">
        <v>4.8310000000000002E-3</v>
      </c>
      <c r="F10794" t="s">
        <v>74</v>
      </c>
      <c r="G10794">
        <v>4.8311299999999999</v>
      </c>
      <c r="H10794" t="s">
        <v>75</v>
      </c>
      <c r="I10794">
        <v>4831.1350000000002</v>
      </c>
      <c r="J10794" t="s">
        <v>76</v>
      </c>
      <c r="K10794" t="s">
        <v>82</v>
      </c>
      <c r="L10794">
        <v>206.99069729999999</v>
      </c>
    </row>
    <row r="10795" spans="1:12" x14ac:dyDescent="0.3">
      <c r="A10795" t="s">
        <v>497</v>
      </c>
      <c r="B10795" t="s">
        <v>72</v>
      </c>
      <c r="C10795">
        <v>1</v>
      </c>
      <c r="D10795" t="s">
        <v>79</v>
      </c>
      <c r="E10795">
        <v>0.117995</v>
      </c>
      <c r="F10795" t="s">
        <v>74</v>
      </c>
      <c r="G10795">
        <v>117.9953</v>
      </c>
      <c r="H10795" t="s">
        <v>75</v>
      </c>
      <c r="I10795">
        <v>117995.299</v>
      </c>
      <c r="J10795" t="s">
        <v>76</v>
      </c>
      <c r="K10795" t="s">
        <v>77</v>
      </c>
    </row>
    <row r="10796" spans="1:12" x14ac:dyDescent="0.3">
      <c r="A10796" t="s">
        <v>497</v>
      </c>
      <c r="B10796" t="s">
        <v>72</v>
      </c>
      <c r="C10796">
        <v>1</v>
      </c>
      <c r="D10796" t="s">
        <v>94</v>
      </c>
      <c r="E10796">
        <v>9.7870000000000006E-3</v>
      </c>
      <c r="F10796" t="s">
        <v>74</v>
      </c>
      <c r="G10796">
        <v>9.7866</v>
      </c>
      <c r="H10796" t="s">
        <v>75</v>
      </c>
      <c r="I10796">
        <v>9786.6</v>
      </c>
      <c r="J10796" t="s">
        <v>76</v>
      </c>
      <c r="K10796" t="s">
        <v>77</v>
      </c>
    </row>
    <row r="10797" spans="1:12" x14ac:dyDescent="0.3">
      <c r="A10797" t="s">
        <v>497</v>
      </c>
      <c r="B10797" t="s">
        <v>72</v>
      </c>
      <c r="C10797">
        <v>1</v>
      </c>
      <c r="D10797" t="s">
        <v>80</v>
      </c>
      <c r="E10797">
        <v>9.7879999999999998E-3</v>
      </c>
      <c r="F10797" t="s">
        <v>74</v>
      </c>
      <c r="G10797">
        <v>9.7875999999999994</v>
      </c>
      <c r="H10797" t="s">
        <v>75</v>
      </c>
      <c r="I10797">
        <v>9787.6</v>
      </c>
      <c r="J10797" t="s">
        <v>76</v>
      </c>
      <c r="K10797" t="s">
        <v>77</v>
      </c>
    </row>
    <row r="10798" spans="1:12" x14ac:dyDescent="0.3">
      <c r="A10798" t="s">
        <v>497</v>
      </c>
      <c r="B10798" t="s">
        <v>72</v>
      </c>
      <c r="C10798">
        <v>1</v>
      </c>
      <c r="D10798" t="s">
        <v>81</v>
      </c>
      <c r="E10798">
        <v>0.12778400000000001</v>
      </c>
      <c r="F10798" t="s">
        <v>74</v>
      </c>
      <c r="G10798">
        <v>127.78351000000001</v>
      </c>
      <c r="H10798" t="s">
        <v>75</v>
      </c>
      <c r="I10798">
        <v>127783.507</v>
      </c>
      <c r="J10798" t="s">
        <v>76</v>
      </c>
      <c r="K10798" t="s">
        <v>82</v>
      </c>
      <c r="L10798">
        <v>7.8257361000000003</v>
      </c>
    </row>
    <row r="10799" spans="1:12" x14ac:dyDescent="0.3">
      <c r="A10799" t="s">
        <v>497</v>
      </c>
      <c r="B10799" t="s">
        <v>83</v>
      </c>
      <c r="C10799">
        <v>373</v>
      </c>
      <c r="D10799" t="s">
        <v>79</v>
      </c>
      <c r="E10799">
        <v>7.7899999999999996E-4</v>
      </c>
      <c r="F10799" t="s">
        <v>74</v>
      </c>
      <c r="G10799">
        <v>0.77858000000000005</v>
      </c>
      <c r="H10799" t="s">
        <v>75</v>
      </c>
      <c r="I10799">
        <v>778.58199999999999</v>
      </c>
      <c r="J10799" t="s">
        <v>76</v>
      </c>
      <c r="K10799" t="s">
        <v>77</v>
      </c>
    </row>
    <row r="10800" spans="1:12" x14ac:dyDescent="0.3">
      <c r="A10800" t="s">
        <v>497</v>
      </c>
      <c r="B10800" t="s">
        <v>83</v>
      </c>
      <c r="C10800">
        <v>373</v>
      </c>
      <c r="D10800" t="s">
        <v>94</v>
      </c>
      <c r="E10800">
        <v>6.8079999999999998E-3</v>
      </c>
      <c r="F10800" t="s">
        <v>74</v>
      </c>
      <c r="G10800">
        <v>6.8075599999999996</v>
      </c>
      <c r="H10800" t="s">
        <v>75</v>
      </c>
      <c r="I10800">
        <v>6807.5590000000002</v>
      </c>
      <c r="J10800" t="s">
        <v>76</v>
      </c>
      <c r="K10800" t="s">
        <v>77</v>
      </c>
    </row>
    <row r="10801" spans="1:12" x14ac:dyDescent="0.3">
      <c r="A10801" t="s">
        <v>497</v>
      </c>
      <c r="B10801" t="s">
        <v>83</v>
      </c>
      <c r="C10801">
        <v>373</v>
      </c>
      <c r="D10801" t="s">
        <v>80</v>
      </c>
      <c r="E10801">
        <v>6.9779999999999998E-3</v>
      </c>
      <c r="F10801" t="s">
        <v>74</v>
      </c>
      <c r="G10801">
        <v>6.9779400000000003</v>
      </c>
      <c r="H10801" t="s">
        <v>75</v>
      </c>
      <c r="I10801">
        <v>6977.9350000000004</v>
      </c>
      <c r="J10801" t="s">
        <v>76</v>
      </c>
      <c r="K10801" t="s">
        <v>77</v>
      </c>
    </row>
    <row r="10802" spans="1:12" x14ac:dyDescent="0.3">
      <c r="A10802" t="s">
        <v>497</v>
      </c>
      <c r="B10802" t="s">
        <v>83</v>
      </c>
      <c r="C10802">
        <v>373</v>
      </c>
      <c r="D10802" t="s">
        <v>81</v>
      </c>
      <c r="E10802">
        <v>7.757E-3</v>
      </c>
      <c r="F10802" t="s">
        <v>74</v>
      </c>
      <c r="G10802">
        <v>7.75671</v>
      </c>
      <c r="H10802" t="s">
        <v>75</v>
      </c>
      <c r="I10802">
        <v>7756.7089999999998</v>
      </c>
      <c r="J10802" t="s">
        <v>76</v>
      </c>
      <c r="K10802" t="s">
        <v>82</v>
      </c>
      <c r="L10802">
        <v>128.9206581</v>
      </c>
    </row>
    <row r="10803" spans="1:12" x14ac:dyDescent="0.3">
      <c r="A10803" t="s">
        <v>497</v>
      </c>
      <c r="B10803" t="s">
        <v>84</v>
      </c>
      <c r="C10803">
        <v>374</v>
      </c>
      <c r="D10803" t="s">
        <v>79</v>
      </c>
      <c r="E10803">
        <v>1.0920000000000001E-3</v>
      </c>
      <c r="F10803" t="s">
        <v>74</v>
      </c>
      <c r="G10803">
        <v>1.0920000000000001</v>
      </c>
      <c r="H10803" t="s">
        <v>75</v>
      </c>
      <c r="I10803">
        <v>1091.9949999999999</v>
      </c>
      <c r="J10803" t="s">
        <v>76</v>
      </c>
      <c r="K10803" t="s">
        <v>77</v>
      </c>
    </row>
    <row r="10804" spans="1:12" x14ac:dyDescent="0.3">
      <c r="A10804" t="s">
        <v>497</v>
      </c>
      <c r="B10804" t="s">
        <v>84</v>
      </c>
      <c r="C10804">
        <v>374</v>
      </c>
      <c r="D10804" t="s">
        <v>94</v>
      </c>
      <c r="E10804">
        <v>6.816E-3</v>
      </c>
      <c r="F10804" t="s">
        <v>74</v>
      </c>
      <c r="G10804">
        <v>6.8155200000000002</v>
      </c>
      <c r="H10804" t="s">
        <v>75</v>
      </c>
      <c r="I10804">
        <v>6815.5240000000003</v>
      </c>
      <c r="J10804" t="s">
        <v>76</v>
      </c>
      <c r="K10804" t="s">
        <v>77</v>
      </c>
    </row>
    <row r="10805" spans="1:12" x14ac:dyDescent="0.3">
      <c r="A10805" t="s">
        <v>497</v>
      </c>
      <c r="B10805" t="s">
        <v>84</v>
      </c>
      <c r="C10805">
        <v>374</v>
      </c>
      <c r="D10805" t="s">
        <v>80</v>
      </c>
      <c r="E10805">
        <v>6.9849999999999999E-3</v>
      </c>
      <c r="F10805" t="s">
        <v>74</v>
      </c>
      <c r="G10805">
        <v>6.9854500000000002</v>
      </c>
      <c r="H10805" t="s">
        <v>75</v>
      </c>
      <c r="I10805">
        <v>6985.4480000000003</v>
      </c>
      <c r="J10805" t="s">
        <v>76</v>
      </c>
      <c r="K10805" t="s">
        <v>77</v>
      </c>
    </row>
    <row r="10806" spans="1:12" x14ac:dyDescent="0.3">
      <c r="A10806" t="s">
        <v>497</v>
      </c>
      <c r="B10806" t="s">
        <v>84</v>
      </c>
      <c r="C10806">
        <v>374</v>
      </c>
      <c r="D10806" t="s">
        <v>81</v>
      </c>
      <c r="E10806">
        <v>8.0780000000000001E-3</v>
      </c>
      <c r="F10806" t="s">
        <v>74</v>
      </c>
      <c r="G10806">
        <v>8.0776400000000006</v>
      </c>
      <c r="H10806" t="s">
        <v>75</v>
      </c>
      <c r="I10806">
        <v>8077.6369999999997</v>
      </c>
      <c r="J10806" t="s">
        <v>76</v>
      </c>
      <c r="K10806" t="s">
        <v>82</v>
      </c>
      <c r="L10806">
        <v>123.79858489999999</v>
      </c>
    </row>
    <row r="10807" spans="1:12" x14ac:dyDescent="0.3">
      <c r="A10807" t="s">
        <v>498</v>
      </c>
      <c r="B10807" t="s">
        <v>72</v>
      </c>
      <c r="C10807">
        <v>1</v>
      </c>
      <c r="D10807" t="s">
        <v>73</v>
      </c>
      <c r="E10807">
        <v>5.1E-5</v>
      </c>
      <c r="F10807" t="s">
        <v>74</v>
      </c>
      <c r="G10807">
        <v>5.0900000000000001E-2</v>
      </c>
      <c r="H10807" t="s">
        <v>75</v>
      </c>
      <c r="I10807">
        <v>50.9</v>
      </c>
      <c r="J10807" t="s">
        <v>76</v>
      </c>
      <c r="K10807" t="s">
        <v>77</v>
      </c>
    </row>
    <row r="10808" spans="1:12" x14ac:dyDescent="0.3">
      <c r="A10808" t="s">
        <v>498</v>
      </c>
      <c r="B10808" t="s">
        <v>72</v>
      </c>
      <c r="C10808">
        <v>1</v>
      </c>
      <c r="D10808" t="s">
        <v>78</v>
      </c>
      <c r="E10808">
        <v>0.141677</v>
      </c>
      <c r="F10808" t="s">
        <v>74</v>
      </c>
      <c r="G10808">
        <v>141.67660000000001</v>
      </c>
      <c r="H10808" t="s">
        <v>75</v>
      </c>
      <c r="I10808">
        <v>141676.60500000001</v>
      </c>
      <c r="J10808" t="s">
        <v>76</v>
      </c>
      <c r="K10808" t="s">
        <v>77</v>
      </c>
    </row>
    <row r="10809" spans="1:12" x14ac:dyDescent="0.3">
      <c r="A10809" t="s">
        <v>498</v>
      </c>
      <c r="B10809" t="s">
        <v>72</v>
      </c>
      <c r="C10809">
        <v>2</v>
      </c>
      <c r="D10809" t="s">
        <v>86</v>
      </c>
      <c r="E10809">
        <v>0.15841</v>
      </c>
      <c r="F10809" t="s">
        <v>74</v>
      </c>
      <c r="G10809">
        <v>158.41040000000001</v>
      </c>
      <c r="H10809" t="s">
        <v>75</v>
      </c>
      <c r="I10809">
        <v>158410.4</v>
      </c>
      <c r="J10809" t="s">
        <v>76</v>
      </c>
      <c r="K10809" t="s">
        <v>82</v>
      </c>
      <c r="L10809">
        <v>6.3127167999999996</v>
      </c>
    </row>
    <row r="10810" spans="1:12" x14ac:dyDescent="0.3">
      <c r="A10810" t="s">
        <v>498</v>
      </c>
      <c r="B10810" t="s">
        <v>83</v>
      </c>
      <c r="C10810">
        <v>999</v>
      </c>
      <c r="D10810" t="s">
        <v>86</v>
      </c>
      <c r="E10810">
        <v>2.9139999999999999E-3</v>
      </c>
      <c r="F10810" t="s">
        <v>74</v>
      </c>
      <c r="G10810">
        <v>2.9136299999999999</v>
      </c>
      <c r="H10810" t="s">
        <v>75</v>
      </c>
      <c r="I10810">
        <v>2913.6350000000002</v>
      </c>
      <c r="J10810" t="s">
        <v>76</v>
      </c>
      <c r="K10810" t="s">
        <v>82</v>
      </c>
      <c r="L10810">
        <v>343.2138966</v>
      </c>
    </row>
    <row r="10811" spans="1:12" x14ac:dyDescent="0.3">
      <c r="A10811" t="s">
        <v>498</v>
      </c>
      <c r="B10811" t="s">
        <v>85</v>
      </c>
      <c r="C10811">
        <v>1001</v>
      </c>
      <c r="D10811" t="s">
        <v>86</v>
      </c>
      <c r="E10811">
        <v>3.039E-3</v>
      </c>
      <c r="F10811" t="s">
        <v>74</v>
      </c>
      <c r="G10811">
        <v>3.03945</v>
      </c>
      <c r="H10811" t="s">
        <v>75</v>
      </c>
      <c r="I10811">
        <v>3039.453</v>
      </c>
      <c r="J10811" t="s">
        <v>76</v>
      </c>
      <c r="K10811" t="s">
        <v>82</v>
      </c>
      <c r="L10811">
        <v>329.00660060000001</v>
      </c>
    </row>
    <row r="10812" spans="1:12" x14ac:dyDescent="0.3">
      <c r="A10812" t="s">
        <v>134</v>
      </c>
    </row>
    <row r="10813" spans="1:12" x14ac:dyDescent="0.3">
      <c r="A10813" t="s">
        <v>134</v>
      </c>
    </row>
    <row r="10814" spans="1:12" x14ac:dyDescent="0.3">
      <c r="A10814" t="s">
        <v>502</v>
      </c>
    </row>
    <row r="10815" spans="1:12" x14ac:dyDescent="0.3">
      <c r="A10815" t="s">
        <v>496</v>
      </c>
      <c r="B10815" t="s">
        <v>72</v>
      </c>
      <c r="C10815">
        <v>1</v>
      </c>
      <c r="D10815" t="s">
        <v>79</v>
      </c>
      <c r="E10815">
        <v>5.0439999999999999E-3</v>
      </c>
      <c r="F10815" t="s">
        <v>74</v>
      </c>
      <c r="G10815">
        <v>5.0439999999999996</v>
      </c>
      <c r="H10815" t="s">
        <v>75</v>
      </c>
      <c r="I10815">
        <v>5044</v>
      </c>
      <c r="J10815" t="s">
        <v>76</v>
      </c>
      <c r="K10815" t="s">
        <v>77</v>
      </c>
    </row>
    <row r="10816" spans="1:12" x14ac:dyDescent="0.3">
      <c r="A10816" t="s">
        <v>496</v>
      </c>
      <c r="B10816" t="s">
        <v>72</v>
      </c>
      <c r="C10816">
        <v>1</v>
      </c>
      <c r="D10816" t="s">
        <v>94</v>
      </c>
      <c r="E10816">
        <v>1.9224000000000002E-2</v>
      </c>
      <c r="F10816" t="s">
        <v>74</v>
      </c>
      <c r="G10816">
        <v>19.224399999999999</v>
      </c>
      <c r="H10816" t="s">
        <v>75</v>
      </c>
      <c r="I10816">
        <v>19224.400000000001</v>
      </c>
      <c r="J10816" t="s">
        <v>76</v>
      </c>
      <c r="K10816" t="s">
        <v>77</v>
      </c>
    </row>
    <row r="10817" spans="1:12" x14ac:dyDescent="0.3">
      <c r="A10817" t="s">
        <v>496</v>
      </c>
      <c r="B10817" t="s">
        <v>72</v>
      </c>
      <c r="C10817">
        <v>1</v>
      </c>
      <c r="D10817" t="s">
        <v>80</v>
      </c>
      <c r="E10817">
        <v>1.9373000000000001E-2</v>
      </c>
      <c r="F10817" t="s">
        <v>74</v>
      </c>
      <c r="G10817">
        <v>19.372599999999998</v>
      </c>
      <c r="H10817" t="s">
        <v>75</v>
      </c>
      <c r="I10817">
        <v>19372.598999999998</v>
      </c>
      <c r="J10817" t="s">
        <v>76</v>
      </c>
      <c r="K10817" t="s">
        <v>77</v>
      </c>
    </row>
    <row r="10818" spans="1:12" x14ac:dyDescent="0.3">
      <c r="A10818" t="s">
        <v>496</v>
      </c>
      <c r="B10818" t="s">
        <v>72</v>
      </c>
      <c r="C10818">
        <v>1</v>
      </c>
      <c r="D10818" t="s">
        <v>81</v>
      </c>
      <c r="E10818">
        <v>2.4417000000000001E-2</v>
      </c>
      <c r="F10818" t="s">
        <v>74</v>
      </c>
      <c r="G10818">
        <v>24.417100000000001</v>
      </c>
      <c r="H10818" t="s">
        <v>75</v>
      </c>
      <c r="I10818">
        <v>24417.1</v>
      </c>
      <c r="J10818" t="s">
        <v>76</v>
      </c>
      <c r="K10818" t="s">
        <v>82</v>
      </c>
      <c r="L10818">
        <v>40.954903799999997</v>
      </c>
    </row>
    <row r="10819" spans="1:12" x14ac:dyDescent="0.3">
      <c r="A10819" t="s">
        <v>496</v>
      </c>
      <c r="B10819" t="s">
        <v>83</v>
      </c>
      <c r="C10819">
        <v>689</v>
      </c>
      <c r="D10819" t="s">
        <v>79</v>
      </c>
      <c r="E10819">
        <v>9.8700000000000003E-4</v>
      </c>
      <c r="F10819" t="s">
        <v>74</v>
      </c>
      <c r="G10819">
        <v>0.98702000000000001</v>
      </c>
      <c r="H10819" t="s">
        <v>75</v>
      </c>
      <c r="I10819">
        <v>987.02</v>
      </c>
      <c r="J10819" t="s">
        <v>76</v>
      </c>
      <c r="K10819" t="s">
        <v>77</v>
      </c>
    </row>
    <row r="10820" spans="1:12" x14ac:dyDescent="0.3">
      <c r="A10820" t="s">
        <v>496</v>
      </c>
      <c r="B10820" t="s">
        <v>83</v>
      </c>
      <c r="C10820">
        <v>689</v>
      </c>
      <c r="D10820" t="s">
        <v>94</v>
      </c>
      <c r="E10820">
        <v>3.5270000000000002E-3</v>
      </c>
      <c r="F10820" t="s">
        <v>74</v>
      </c>
      <c r="G10820">
        <v>3.5266799999999998</v>
      </c>
      <c r="H10820" t="s">
        <v>75</v>
      </c>
      <c r="I10820">
        <v>3526.6779999999999</v>
      </c>
      <c r="J10820" t="s">
        <v>76</v>
      </c>
      <c r="K10820" t="s">
        <v>77</v>
      </c>
    </row>
    <row r="10821" spans="1:12" x14ac:dyDescent="0.3">
      <c r="A10821" t="s">
        <v>496</v>
      </c>
      <c r="B10821" t="s">
        <v>83</v>
      </c>
      <c r="C10821">
        <v>689</v>
      </c>
      <c r="D10821" t="s">
        <v>80</v>
      </c>
      <c r="E10821">
        <v>3.7100000000000002E-3</v>
      </c>
      <c r="F10821" t="s">
        <v>74</v>
      </c>
      <c r="G10821">
        <v>3.71007</v>
      </c>
      <c r="H10821" t="s">
        <v>75</v>
      </c>
      <c r="I10821">
        <v>3710.069</v>
      </c>
      <c r="J10821" t="s">
        <v>76</v>
      </c>
      <c r="K10821" t="s">
        <v>77</v>
      </c>
    </row>
    <row r="10822" spans="1:12" x14ac:dyDescent="0.3">
      <c r="A10822" t="s">
        <v>496</v>
      </c>
      <c r="B10822" t="s">
        <v>83</v>
      </c>
      <c r="C10822">
        <v>689</v>
      </c>
      <c r="D10822" t="s">
        <v>81</v>
      </c>
      <c r="E10822">
        <v>4.6969999999999998E-3</v>
      </c>
      <c r="F10822" t="s">
        <v>74</v>
      </c>
      <c r="G10822">
        <v>4.6973000000000003</v>
      </c>
      <c r="H10822" t="s">
        <v>75</v>
      </c>
      <c r="I10822">
        <v>4697.3019999999997</v>
      </c>
      <c r="J10822" t="s">
        <v>76</v>
      </c>
      <c r="K10822" t="s">
        <v>82</v>
      </c>
      <c r="L10822">
        <v>212.88814489999999</v>
      </c>
    </row>
    <row r="10823" spans="1:12" x14ac:dyDescent="0.3">
      <c r="A10823" t="s">
        <v>496</v>
      </c>
      <c r="B10823" t="s">
        <v>84</v>
      </c>
      <c r="C10823">
        <v>690</v>
      </c>
      <c r="D10823" t="s">
        <v>79</v>
      </c>
      <c r="E10823">
        <v>9.9299999999999996E-4</v>
      </c>
      <c r="F10823" t="s">
        <v>74</v>
      </c>
      <c r="G10823">
        <v>0.9929</v>
      </c>
      <c r="H10823" t="s">
        <v>75</v>
      </c>
      <c r="I10823">
        <v>992.9</v>
      </c>
      <c r="J10823" t="s">
        <v>76</v>
      </c>
      <c r="K10823" t="s">
        <v>77</v>
      </c>
    </row>
    <row r="10824" spans="1:12" x14ac:dyDescent="0.3">
      <c r="A10824" t="s">
        <v>496</v>
      </c>
      <c r="B10824" t="s">
        <v>84</v>
      </c>
      <c r="C10824">
        <v>690</v>
      </c>
      <c r="D10824" t="s">
        <v>94</v>
      </c>
      <c r="E10824">
        <v>3.5490000000000001E-3</v>
      </c>
      <c r="F10824" t="s">
        <v>74</v>
      </c>
      <c r="G10824">
        <v>3.5494300000000001</v>
      </c>
      <c r="H10824" t="s">
        <v>75</v>
      </c>
      <c r="I10824">
        <v>3549.4290000000001</v>
      </c>
      <c r="J10824" t="s">
        <v>76</v>
      </c>
      <c r="K10824" t="s">
        <v>77</v>
      </c>
    </row>
    <row r="10825" spans="1:12" x14ac:dyDescent="0.3">
      <c r="A10825" t="s">
        <v>496</v>
      </c>
      <c r="B10825" t="s">
        <v>84</v>
      </c>
      <c r="C10825">
        <v>690</v>
      </c>
      <c r="D10825" t="s">
        <v>80</v>
      </c>
      <c r="E10825">
        <v>3.7330000000000002E-3</v>
      </c>
      <c r="F10825" t="s">
        <v>74</v>
      </c>
      <c r="G10825">
        <v>3.7327699999999999</v>
      </c>
      <c r="H10825" t="s">
        <v>75</v>
      </c>
      <c r="I10825">
        <v>3732.768</v>
      </c>
      <c r="J10825" t="s">
        <v>76</v>
      </c>
      <c r="K10825" t="s">
        <v>77</v>
      </c>
    </row>
    <row r="10826" spans="1:12" x14ac:dyDescent="0.3">
      <c r="A10826" t="s">
        <v>496</v>
      </c>
      <c r="B10826" t="s">
        <v>84</v>
      </c>
      <c r="C10826">
        <v>690</v>
      </c>
      <c r="D10826" t="s">
        <v>81</v>
      </c>
      <c r="E10826">
        <v>4.7260000000000002E-3</v>
      </c>
      <c r="F10826" t="s">
        <v>74</v>
      </c>
      <c r="G10826">
        <v>4.7258800000000001</v>
      </c>
      <c r="H10826" t="s">
        <v>75</v>
      </c>
      <c r="I10826">
        <v>4725.8819999999996</v>
      </c>
      <c r="J10826" t="s">
        <v>76</v>
      </c>
      <c r="K10826" t="s">
        <v>82</v>
      </c>
      <c r="L10826">
        <v>211.60070020000001</v>
      </c>
    </row>
    <row r="10827" spans="1:12" x14ac:dyDescent="0.3">
      <c r="A10827" t="s">
        <v>497</v>
      </c>
      <c r="B10827" t="s">
        <v>72</v>
      </c>
      <c r="C10827">
        <v>1</v>
      </c>
      <c r="D10827" t="s">
        <v>79</v>
      </c>
      <c r="E10827">
        <v>3.0270000000000002E-3</v>
      </c>
      <c r="F10827" t="s">
        <v>74</v>
      </c>
      <c r="G10827">
        <v>3.0265</v>
      </c>
      <c r="H10827" t="s">
        <v>75</v>
      </c>
      <c r="I10827">
        <v>3026.5</v>
      </c>
      <c r="J10827" t="s">
        <v>76</v>
      </c>
      <c r="K10827" t="s">
        <v>77</v>
      </c>
    </row>
    <row r="10828" spans="1:12" x14ac:dyDescent="0.3">
      <c r="A10828" t="s">
        <v>497</v>
      </c>
      <c r="B10828" t="s">
        <v>72</v>
      </c>
      <c r="C10828">
        <v>1</v>
      </c>
      <c r="D10828" t="s">
        <v>94</v>
      </c>
      <c r="E10828">
        <v>3.539E-3</v>
      </c>
      <c r="F10828" t="s">
        <v>74</v>
      </c>
      <c r="G10828">
        <v>3.5390000000000001</v>
      </c>
      <c r="H10828" t="s">
        <v>75</v>
      </c>
      <c r="I10828">
        <v>3539</v>
      </c>
      <c r="J10828" t="s">
        <v>76</v>
      </c>
      <c r="K10828" t="s">
        <v>77</v>
      </c>
    </row>
    <row r="10829" spans="1:12" x14ac:dyDescent="0.3">
      <c r="A10829" t="s">
        <v>497</v>
      </c>
      <c r="B10829" t="s">
        <v>72</v>
      </c>
      <c r="C10829">
        <v>1</v>
      </c>
      <c r="D10829" t="s">
        <v>80</v>
      </c>
      <c r="E10829">
        <v>3.6849999999999999E-3</v>
      </c>
      <c r="F10829" t="s">
        <v>74</v>
      </c>
      <c r="G10829">
        <v>3.6850000000000001</v>
      </c>
      <c r="H10829" t="s">
        <v>75</v>
      </c>
      <c r="I10829">
        <v>3685</v>
      </c>
      <c r="J10829" t="s">
        <v>76</v>
      </c>
      <c r="K10829" t="s">
        <v>77</v>
      </c>
    </row>
    <row r="10830" spans="1:12" x14ac:dyDescent="0.3">
      <c r="A10830" t="s">
        <v>497</v>
      </c>
      <c r="B10830" t="s">
        <v>72</v>
      </c>
      <c r="C10830">
        <v>1</v>
      </c>
      <c r="D10830" t="s">
        <v>81</v>
      </c>
      <c r="E10830">
        <v>6.7120000000000001E-3</v>
      </c>
      <c r="F10830" t="s">
        <v>74</v>
      </c>
      <c r="G10830">
        <v>6.7119</v>
      </c>
      <c r="H10830" t="s">
        <v>75</v>
      </c>
      <c r="I10830">
        <v>6711.9</v>
      </c>
      <c r="J10830" t="s">
        <v>76</v>
      </c>
      <c r="K10830" t="s">
        <v>82</v>
      </c>
      <c r="L10830">
        <v>148.989114</v>
      </c>
    </row>
    <row r="10831" spans="1:12" x14ac:dyDescent="0.3">
      <c r="A10831" t="s">
        <v>497</v>
      </c>
      <c r="B10831" t="s">
        <v>83</v>
      </c>
      <c r="C10831">
        <v>310</v>
      </c>
      <c r="D10831" t="s">
        <v>79</v>
      </c>
      <c r="E10831">
        <v>1.439E-3</v>
      </c>
      <c r="F10831" t="s">
        <v>74</v>
      </c>
      <c r="G10831">
        <v>1.43865</v>
      </c>
      <c r="H10831" t="s">
        <v>75</v>
      </c>
      <c r="I10831">
        <v>1438.65</v>
      </c>
      <c r="J10831" t="s">
        <v>76</v>
      </c>
      <c r="K10831" t="s">
        <v>77</v>
      </c>
    </row>
    <row r="10832" spans="1:12" x14ac:dyDescent="0.3">
      <c r="A10832" t="s">
        <v>497</v>
      </c>
      <c r="B10832" t="s">
        <v>83</v>
      </c>
      <c r="C10832">
        <v>310</v>
      </c>
      <c r="D10832" t="s">
        <v>94</v>
      </c>
      <c r="E10832">
        <v>8.8950000000000001E-3</v>
      </c>
      <c r="F10832" t="s">
        <v>74</v>
      </c>
      <c r="G10832">
        <v>8.8948900000000002</v>
      </c>
      <c r="H10832" t="s">
        <v>75</v>
      </c>
      <c r="I10832">
        <v>8894.8860000000004</v>
      </c>
      <c r="J10832" t="s">
        <v>76</v>
      </c>
      <c r="K10832" t="s">
        <v>77</v>
      </c>
    </row>
    <row r="10833" spans="1:12" x14ac:dyDescent="0.3">
      <c r="A10833" t="s">
        <v>497</v>
      </c>
      <c r="B10833" t="s">
        <v>83</v>
      </c>
      <c r="C10833">
        <v>310</v>
      </c>
      <c r="D10833" t="s">
        <v>80</v>
      </c>
      <c r="E10833">
        <v>9.0860000000000003E-3</v>
      </c>
      <c r="F10833" t="s">
        <v>74</v>
      </c>
      <c r="G10833">
        <v>9.0863700000000005</v>
      </c>
      <c r="H10833" t="s">
        <v>75</v>
      </c>
      <c r="I10833">
        <v>9086.3700000000008</v>
      </c>
      <c r="J10833" t="s">
        <v>76</v>
      </c>
      <c r="K10833" t="s">
        <v>77</v>
      </c>
    </row>
    <row r="10834" spans="1:12" x14ac:dyDescent="0.3">
      <c r="A10834" t="s">
        <v>497</v>
      </c>
      <c r="B10834" t="s">
        <v>83</v>
      </c>
      <c r="C10834">
        <v>310</v>
      </c>
      <c r="D10834" t="s">
        <v>81</v>
      </c>
      <c r="E10834">
        <v>1.0525E-2</v>
      </c>
      <c r="F10834" t="s">
        <v>74</v>
      </c>
      <c r="G10834">
        <v>10.525460000000001</v>
      </c>
      <c r="H10834" t="s">
        <v>75</v>
      </c>
      <c r="I10834">
        <v>10525.460999999999</v>
      </c>
      <c r="J10834" t="s">
        <v>76</v>
      </c>
      <c r="K10834" t="s">
        <v>82</v>
      </c>
      <c r="L10834">
        <v>95.007713600000002</v>
      </c>
    </row>
    <row r="10835" spans="1:12" x14ac:dyDescent="0.3">
      <c r="A10835" t="s">
        <v>497</v>
      </c>
      <c r="B10835" t="s">
        <v>84</v>
      </c>
      <c r="C10835">
        <v>311</v>
      </c>
      <c r="D10835" t="s">
        <v>79</v>
      </c>
      <c r="E10835">
        <v>1.444E-3</v>
      </c>
      <c r="F10835" t="s">
        <v>74</v>
      </c>
      <c r="G10835">
        <v>1.4437599999999999</v>
      </c>
      <c r="H10835" t="s">
        <v>75</v>
      </c>
      <c r="I10835">
        <v>1443.7560000000001</v>
      </c>
      <c r="J10835" t="s">
        <v>76</v>
      </c>
      <c r="K10835" t="s">
        <v>77</v>
      </c>
    </row>
    <row r="10836" spans="1:12" x14ac:dyDescent="0.3">
      <c r="A10836" t="s">
        <v>497</v>
      </c>
      <c r="B10836" t="s">
        <v>84</v>
      </c>
      <c r="C10836">
        <v>311</v>
      </c>
      <c r="D10836" t="s">
        <v>94</v>
      </c>
      <c r="E10836">
        <v>8.8780000000000005E-3</v>
      </c>
      <c r="F10836" t="s">
        <v>74</v>
      </c>
      <c r="G10836">
        <v>8.8776600000000006</v>
      </c>
      <c r="H10836" t="s">
        <v>75</v>
      </c>
      <c r="I10836">
        <v>8877.6640000000007</v>
      </c>
      <c r="J10836" t="s">
        <v>76</v>
      </c>
      <c r="K10836" t="s">
        <v>77</v>
      </c>
    </row>
    <row r="10837" spans="1:12" x14ac:dyDescent="0.3">
      <c r="A10837" t="s">
        <v>497</v>
      </c>
      <c r="B10837" t="s">
        <v>84</v>
      </c>
      <c r="C10837">
        <v>311</v>
      </c>
      <c r="D10837" t="s">
        <v>80</v>
      </c>
      <c r="E10837">
        <v>9.0690000000000007E-3</v>
      </c>
      <c r="F10837" t="s">
        <v>74</v>
      </c>
      <c r="G10837">
        <v>9.0690000000000008</v>
      </c>
      <c r="H10837" t="s">
        <v>75</v>
      </c>
      <c r="I10837">
        <v>9069.0030000000006</v>
      </c>
      <c r="J10837" t="s">
        <v>76</v>
      </c>
      <c r="K10837" t="s">
        <v>77</v>
      </c>
    </row>
    <row r="10838" spans="1:12" x14ac:dyDescent="0.3">
      <c r="A10838" t="s">
        <v>497</v>
      </c>
      <c r="B10838" t="s">
        <v>84</v>
      </c>
      <c r="C10838">
        <v>311</v>
      </c>
      <c r="D10838" t="s">
        <v>81</v>
      </c>
      <c r="E10838">
        <v>1.0513E-2</v>
      </c>
      <c r="F10838" t="s">
        <v>74</v>
      </c>
      <c r="G10838">
        <v>10.513199999999999</v>
      </c>
      <c r="H10838" t="s">
        <v>75</v>
      </c>
      <c r="I10838">
        <v>10513.199000000001</v>
      </c>
      <c r="J10838" t="s">
        <v>76</v>
      </c>
      <c r="K10838" t="s">
        <v>82</v>
      </c>
      <c r="L10838">
        <v>95.1185258</v>
      </c>
    </row>
    <row r="10839" spans="1:12" x14ac:dyDescent="0.3">
      <c r="A10839" t="s">
        <v>498</v>
      </c>
      <c r="B10839" t="s">
        <v>72</v>
      </c>
      <c r="C10839">
        <v>1</v>
      </c>
      <c r="D10839" t="s">
        <v>73</v>
      </c>
      <c r="E10839">
        <v>5.1E-5</v>
      </c>
      <c r="F10839" t="s">
        <v>74</v>
      </c>
      <c r="G10839">
        <v>5.0900000000000001E-2</v>
      </c>
      <c r="H10839" t="s">
        <v>75</v>
      </c>
      <c r="I10839">
        <v>50.9</v>
      </c>
      <c r="J10839" t="s">
        <v>76</v>
      </c>
      <c r="K10839" t="s">
        <v>77</v>
      </c>
    </row>
    <row r="10840" spans="1:12" x14ac:dyDescent="0.3">
      <c r="A10840" t="s">
        <v>498</v>
      </c>
      <c r="B10840" t="s">
        <v>72</v>
      </c>
      <c r="C10840">
        <v>1</v>
      </c>
      <c r="D10840" t="s">
        <v>78</v>
      </c>
      <c r="E10840">
        <v>1.44E-4</v>
      </c>
      <c r="F10840" t="s">
        <v>74</v>
      </c>
      <c r="G10840">
        <v>0.1444</v>
      </c>
      <c r="H10840" t="s">
        <v>75</v>
      </c>
      <c r="I10840">
        <v>144.4</v>
      </c>
      <c r="J10840" t="s">
        <v>76</v>
      </c>
      <c r="K10840" t="s">
        <v>77</v>
      </c>
    </row>
    <row r="10841" spans="1:12" x14ac:dyDescent="0.3">
      <c r="A10841" t="s">
        <v>498</v>
      </c>
      <c r="B10841" t="s">
        <v>72</v>
      </c>
      <c r="C10841">
        <v>2</v>
      </c>
      <c r="D10841" t="s">
        <v>86</v>
      </c>
      <c r="E10841">
        <v>1.2212000000000001E-2</v>
      </c>
      <c r="F10841" t="s">
        <v>74</v>
      </c>
      <c r="G10841">
        <v>12.2118</v>
      </c>
      <c r="H10841" t="s">
        <v>75</v>
      </c>
      <c r="I10841">
        <v>12211.8</v>
      </c>
      <c r="J10841" t="s">
        <v>76</v>
      </c>
      <c r="K10841" t="s">
        <v>82</v>
      </c>
      <c r="L10841">
        <v>81.888012500000002</v>
      </c>
    </row>
    <row r="10842" spans="1:12" x14ac:dyDescent="0.3">
      <c r="A10842" t="s">
        <v>498</v>
      </c>
      <c r="B10842" t="s">
        <v>83</v>
      </c>
      <c r="C10842">
        <v>999</v>
      </c>
      <c r="D10842" t="s">
        <v>86</v>
      </c>
      <c r="E10842">
        <v>3.2690000000000002E-3</v>
      </c>
      <c r="F10842" t="s">
        <v>74</v>
      </c>
      <c r="G10842">
        <v>3.2693500000000002</v>
      </c>
      <c r="H10842" t="s">
        <v>75</v>
      </c>
      <c r="I10842">
        <v>3269.3490000000002</v>
      </c>
      <c r="J10842" t="s">
        <v>76</v>
      </c>
      <c r="K10842" t="s">
        <v>82</v>
      </c>
      <c r="L10842">
        <v>305.87126760000001</v>
      </c>
    </row>
    <row r="10843" spans="1:12" x14ac:dyDescent="0.3">
      <c r="A10843" t="s">
        <v>498</v>
      </c>
      <c r="B10843" t="s">
        <v>85</v>
      </c>
      <c r="C10843">
        <v>1001</v>
      </c>
      <c r="D10843" t="s">
        <v>86</v>
      </c>
      <c r="E10843">
        <v>3.274E-3</v>
      </c>
      <c r="F10843" t="s">
        <v>74</v>
      </c>
      <c r="G10843">
        <v>3.2736700000000001</v>
      </c>
      <c r="H10843" t="s">
        <v>75</v>
      </c>
      <c r="I10843">
        <v>3273.6709999999998</v>
      </c>
      <c r="J10843" t="s">
        <v>76</v>
      </c>
      <c r="K10843" t="s">
        <v>82</v>
      </c>
      <c r="L10843">
        <v>305.46745149999998</v>
      </c>
    </row>
    <row r="10844" spans="1:12" x14ac:dyDescent="0.3">
      <c r="A10844" t="s">
        <v>115</v>
      </c>
    </row>
    <row r="10845" spans="1:12" x14ac:dyDescent="0.3">
      <c r="A10845" t="s">
        <v>127</v>
      </c>
    </row>
    <row r="10846" spans="1:12" x14ac:dyDescent="0.3">
      <c r="A10846" t="s">
        <v>87</v>
      </c>
    </row>
    <row r="10847" spans="1:12" x14ac:dyDescent="0.3">
      <c r="A10847" t="s">
        <v>503</v>
      </c>
    </row>
    <row r="10848" spans="1:12" x14ac:dyDescent="0.3">
      <c r="A10848" t="s">
        <v>496</v>
      </c>
      <c r="B10848" t="s">
        <v>72</v>
      </c>
      <c r="C10848">
        <v>1</v>
      </c>
      <c r="D10848" t="s">
        <v>81</v>
      </c>
      <c r="E10848">
        <v>0.316772</v>
      </c>
      <c r="F10848" t="s">
        <v>74</v>
      </c>
      <c r="G10848">
        <v>316.77181000000002</v>
      </c>
      <c r="H10848" t="s">
        <v>75</v>
      </c>
      <c r="I10848">
        <v>316771.80499999999</v>
      </c>
      <c r="J10848" t="s">
        <v>76</v>
      </c>
      <c r="K10848" t="s">
        <v>82</v>
      </c>
      <c r="L10848">
        <v>3.1568466000000002</v>
      </c>
    </row>
    <row r="10849" spans="1:12" x14ac:dyDescent="0.3">
      <c r="A10849" t="s">
        <v>496</v>
      </c>
      <c r="B10849" t="s">
        <v>83</v>
      </c>
      <c r="C10849">
        <v>626</v>
      </c>
      <c r="D10849" t="s">
        <v>81</v>
      </c>
      <c r="E10849">
        <v>4.333E-3</v>
      </c>
      <c r="F10849" t="s">
        <v>74</v>
      </c>
      <c r="G10849">
        <v>4.3328300000000004</v>
      </c>
      <c r="H10849" t="s">
        <v>75</v>
      </c>
      <c r="I10849">
        <v>4332.8289999999997</v>
      </c>
      <c r="J10849" t="s">
        <v>76</v>
      </c>
      <c r="K10849" t="s">
        <v>82</v>
      </c>
      <c r="L10849">
        <v>230.7960808</v>
      </c>
    </row>
    <row r="10850" spans="1:12" x14ac:dyDescent="0.3">
      <c r="A10850" t="s">
        <v>496</v>
      </c>
      <c r="B10850" t="s">
        <v>84</v>
      </c>
      <c r="C10850">
        <v>627</v>
      </c>
      <c r="D10850" t="s">
        <v>81</v>
      </c>
      <c r="E10850">
        <v>4.8310000000000002E-3</v>
      </c>
      <c r="F10850" t="s">
        <v>74</v>
      </c>
      <c r="G10850">
        <v>4.8311299999999999</v>
      </c>
      <c r="H10850" t="s">
        <v>75</v>
      </c>
      <c r="I10850">
        <v>4831.1350000000002</v>
      </c>
      <c r="J10850" t="s">
        <v>76</v>
      </c>
      <c r="K10850" t="s">
        <v>82</v>
      </c>
      <c r="L10850">
        <v>206.99069729999999</v>
      </c>
    </row>
    <row r="10851" spans="1:12" x14ac:dyDescent="0.3">
      <c r="A10851" t="s">
        <v>497</v>
      </c>
      <c r="B10851" t="s">
        <v>72</v>
      </c>
      <c r="C10851">
        <v>1</v>
      </c>
      <c r="D10851" t="s">
        <v>81</v>
      </c>
      <c r="E10851">
        <v>0.12778400000000001</v>
      </c>
      <c r="F10851" t="s">
        <v>74</v>
      </c>
      <c r="G10851">
        <v>127.78351000000001</v>
      </c>
      <c r="H10851" t="s">
        <v>75</v>
      </c>
      <c r="I10851">
        <v>127783.507</v>
      </c>
      <c r="J10851" t="s">
        <v>76</v>
      </c>
      <c r="K10851" t="s">
        <v>82</v>
      </c>
      <c r="L10851">
        <v>7.8257361000000003</v>
      </c>
    </row>
    <row r="10852" spans="1:12" x14ac:dyDescent="0.3">
      <c r="A10852" t="s">
        <v>497</v>
      </c>
      <c r="B10852" t="s">
        <v>83</v>
      </c>
      <c r="C10852">
        <v>373</v>
      </c>
      <c r="D10852" t="s">
        <v>81</v>
      </c>
      <c r="E10852">
        <v>7.757E-3</v>
      </c>
      <c r="F10852" t="s">
        <v>74</v>
      </c>
      <c r="G10852">
        <v>7.75671</v>
      </c>
      <c r="H10852" t="s">
        <v>75</v>
      </c>
      <c r="I10852">
        <v>7756.7089999999998</v>
      </c>
      <c r="J10852" t="s">
        <v>76</v>
      </c>
      <c r="K10852" t="s">
        <v>82</v>
      </c>
      <c r="L10852">
        <v>128.9206581</v>
      </c>
    </row>
    <row r="10853" spans="1:12" x14ac:dyDescent="0.3">
      <c r="A10853" t="s">
        <v>497</v>
      </c>
      <c r="B10853" t="s">
        <v>84</v>
      </c>
      <c r="C10853">
        <v>374</v>
      </c>
      <c r="D10853" t="s">
        <v>81</v>
      </c>
      <c r="E10853">
        <v>8.0780000000000001E-3</v>
      </c>
      <c r="F10853" t="s">
        <v>74</v>
      </c>
      <c r="G10853">
        <v>8.0776400000000006</v>
      </c>
      <c r="H10853" t="s">
        <v>75</v>
      </c>
      <c r="I10853">
        <v>8077.6369999999997</v>
      </c>
      <c r="J10853" t="s">
        <v>76</v>
      </c>
      <c r="K10853" t="s">
        <v>82</v>
      </c>
      <c r="L10853">
        <v>123.79858489999999</v>
      </c>
    </row>
    <row r="10854" spans="1:12" x14ac:dyDescent="0.3">
      <c r="A10854" t="s">
        <v>498</v>
      </c>
      <c r="B10854" t="s">
        <v>72</v>
      </c>
      <c r="C10854">
        <v>2</v>
      </c>
      <c r="D10854" t="s">
        <v>86</v>
      </c>
      <c r="E10854">
        <v>0.15841</v>
      </c>
      <c r="F10854" t="s">
        <v>74</v>
      </c>
      <c r="G10854">
        <v>158.41040000000001</v>
      </c>
      <c r="H10854" t="s">
        <v>75</v>
      </c>
      <c r="I10854">
        <v>158410.4</v>
      </c>
      <c r="J10854" t="s">
        <v>76</v>
      </c>
      <c r="K10854" t="s">
        <v>82</v>
      </c>
      <c r="L10854">
        <v>6.3127167999999996</v>
      </c>
    </row>
    <row r="10855" spans="1:12" x14ac:dyDescent="0.3">
      <c r="A10855" t="s">
        <v>498</v>
      </c>
      <c r="B10855" t="s">
        <v>83</v>
      </c>
      <c r="C10855">
        <v>999</v>
      </c>
      <c r="D10855" t="s">
        <v>86</v>
      </c>
      <c r="E10855">
        <v>2.9139999999999999E-3</v>
      </c>
      <c r="F10855" t="s">
        <v>74</v>
      </c>
      <c r="G10855">
        <v>2.9136299999999999</v>
      </c>
      <c r="H10855" t="s">
        <v>75</v>
      </c>
      <c r="I10855">
        <v>2913.6350000000002</v>
      </c>
      <c r="J10855" t="s">
        <v>76</v>
      </c>
      <c r="K10855" t="s">
        <v>82</v>
      </c>
      <c r="L10855">
        <v>343.2138966</v>
      </c>
    </row>
    <row r="10856" spans="1:12" x14ac:dyDescent="0.3">
      <c r="A10856" t="s">
        <v>498</v>
      </c>
      <c r="B10856" t="s">
        <v>85</v>
      </c>
      <c r="C10856">
        <v>1001</v>
      </c>
      <c r="D10856" t="s">
        <v>86</v>
      </c>
      <c r="E10856">
        <v>3.039E-3</v>
      </c>
      <c r="F10856" t="s">
        <v>74</v>
      </c>
      <c r="G10856">
        <v>3.03945</v>
      </c>
      <c r="H10856" t="s">
        <v>75</v>
      </c>
      <c r="I10856">
        <v>3039.453</v>
      </c>
      <c r="J10856" t="s">
        <v>76</v>
      </c>
      <c r="K10856" t="s">
        <v>82</v>
      </c>
      <c r="L10856">
        <v>329.00660060000001</v>
      </c>
    </row>
    <row r="10858" spans="1:12" x14ac:dyDescent="0.3">
      <c r="A10858" t="s">
        <v>504</v>
      </c>
    </row>
    <row r="10859" spans="1:12" x14ac:dyDescent="0.3">
      <c r="A10859" t="s">
        <v>496</v>
      </c>
      <c r="B10859" t="s">
        <v>72</v>
      </c>
      <c r="C10859">
        <v>1</v>
      </c>
      <c r="D10859" t="s">
        <v>81</v>
      </c>
      <c r="E10859">
        <v>2.4417000000000001E-2</v>
      </c>
      <c r="F10859" t="s">
        <v>74</v>
      </c>
      <c r="G10859">
        <v>24.417100000000001</v>
      </c>
      <c r="H10859" t="s">
        <v>75</v>
      </c>
      <c r="I10859">
        <v>24417.1</v>
      </c>
      <c r="J10859" t="s">
        <v>76</v>
      </c>
      <c r="K10859" t="s">
        <v>82</v>
      </c>
      <c r="L10859">
        <v>40.954903799999997</v>
      </c>
    </row>
    <row r="10860" spans="1:12" x14ac:dyDescent="0.3">
      <c r="A10860" t="s">
        <v>496</v>
      </c>
      <c r="B10860" t="s">
        <v>83</v>
      </c>
      <c r="C10860">
        <v>689</v>
      </c>
      <c r="D10860" t="s">
        <v>81</v>
      </c>
      <c r="E10860">
        <v>4.6969999999999998E-3</v>
      </c>
      <c r="F10860" t="s">
        <v>74</v>
      </c>
      <c r="G10860">
        <v>4.6973000000000003</v>
      </c>
      <c r="H10860" t="s">
        <v>75</v>
      </c>
      <c r="I10860">
        <v>4697.3019999999997</v>
      </c>
      <c r="J10860" t="s">
        <v>76</v>
      </c>
      <c r="K10860" t="s">
        <v>82</v>
      </c>
      <c r="L10860">
        <v>212.88814489999999</v>
      </c>
    </row>
    <row r="10861" spans="1:12" x14ac:dyDescent="0.3">
      <c r="A10861" t="s">
        <v>496</v>
      </c>
      <c r="B10861" t="s">
        <v>84</v>
      </c>
      <c r="C10861">
        <v>690</v>
      </c>
      <c r="D10861" t="s">
        <v>81</v>
      </c>
      <c r="E10861">
        <v>4.7260000000000002E-3</v>
      </c>
      <c r="F10861" t="s">
        <v>74</v>
      </c>
      <c r="G10861">
        <v>4.7258800000000001</v>
      </c>
      <c r="H10861" t="s">
        <v>75</v>
      </c>
      <c r="I10861">
        <v>4725.8819999999996</v>
      </c>
      <c r="J10861" t="s">
        <v>76</v>
      </c>
      <c r="K10861" t="s">
        <v>82</v>
      </c>
      <c r="L10861">
        <v>211.60070020000001</v>
      </c>
    </row>
    <row r="10862" spans="1:12" x14ac:dyDescent="0.3">
      <c r="A10862" t="s">
        <v>497</v>
      </c>
      <c r="B10862" t="s">
        <v>72</v>
      </c>
      <c r="C10862">
        <v>1</v>
      </c>
      <c r="D10862" t="s">
        <v>81</v>
      </c>
      <c r="E10862">
        <v>6.7120000000000001E-3</v>
      </c>
      <c r="F10862" t="s">
        <v>74</v>
      </c>
      <c r="G10862">
        <v>6.7119</v>
      </c>
      <c r="H10862" t="s">
        <v>75</v>
      </c>
      <c r="I10862">
        <v>6711.9</v>
      </c>
      <c r="J10862" t="s">
        <v>76</v>
      </c>
      <c r="K10862" t="s">
        <v>82</v>
      </c>
      <c r="L10862">
        <v>148.989114</v>
      </c>
    </row>
    <row r="10863" spans="1:12" x14ac:dyDescent="0.3">
      <c r="A10863" t="s">
        <v>497</v>
      </c>
      <c r="B10863" t="s">
        <v>83</v>
      </c>
      <c r="C10863">
        <v>310</v>
      </c>
      <c r="D10863" t="s">
        <v>81</v>
      </c>
      <c r="E10863">
        <v>1.0525E-2</v>
      </c>
      <c r="F10863" t="s">
        <v>74</v>
      </c>
      <c r="G10863">
        <v>10.525460000000001</v>
      </c>
      <c r="H10863" t="s">
        <v>75</v>
      </c>
      <c r="I10863">
        <v>10525.460999999999</v>
      </c>
      <c r="J10863" t="s">
        <v>76</v>
      </c>
      <c r="K10863" t="s">
        <v>82</v>
      </c>
      <c r="L10863">
        <v>95.007713600000002</v>
      </c>
    </row>
    <row r="10864" spans="1:12" x14ac:dyDescent="0.3">
      <c r="A10864" t="s">
        <v>497</v>
      </c>
      <c r="B10864" t="s">
        <v>84</v>
      </c>
      <c r="C10864">
        <v>311</v>
      </c>
      <c r="D10864" t="s">
        <v>81</v>
      </c>
      <c r="E10864">
        <v>1.0513E-2</v>
      </c>
      <c r="F10864" t="s">
        <v>74</v>
      </c>
      <c r="G10864">
        <v>10.513199999999999</v>
      </c>
      <c r="H10864" t="s">
        <v>75</v>
      </c>
      <c r="I10864">
        <v>10513.199000000001</v>
      </c>
      <c r="J10864" t="s">
        <v>76</v>
      </c>
      <c r="K10864" t="s">
        <v>82</v>
      </c>
      <c r="L10864">
        <v>95.1185258</v>
      </c>
    </row>
    <row r="10865" spans="1:12" x14ac:dyDescent="0.3">
      <c r="A10865" t="s">
        <v>498</v>
      </c>
      <c r="B10865" t="s">
        <v>72</v>
      </c>
      <c r="C10865">
        <v>2</v>
      </c>
      <c r="D10865" t="s">
        <v>86</v>
      </c>
      <c r="E10865">
        <v>1.2212000000000001E-2</v>
      </c>
      <c r="F10865" t="s">
        <v>74</v>
      </c>
      <c r="G10865">
        <v>12.2118</v>
      </c>
      <c r="H10865" t="s">
        <v>75</v>
      </c>
      <c r="I10865">
        <v>12211.8</v>
      </c>
      <c r="J10865" t="s">
        <v>76</v>
      </c>
      <c r="K10865" t="s">
        <v>82</v>
      </c>
      <c r="L10865">
        <v>81.888012500000002</v>
      </c>
    </row>
    <row r="10866" spans="1:12" x14ac:dyDescent="0.3">
      <c r="A10866" t="s">
        <v>498</v>
      </c>
      <c r="B10866" t="s">
        <v>83</v>
      </c>
      <c r="C10866">
        <v>999</v>
      </c>
      <c r="D10866" t="s">
        <v>86</v>
      </c>
      <c r="E10866">
        <v>3.2690000000000002E-3</v>
      </c>
      <c r="F10866" t="s">
        <v>74</v>
      </c>
      <c r="G10866">
        <v>3.2693500000000002</v>
      </c>
      <c r="H10866" t="s">
        <v>75</v>
      </c>
      <c r="I10866">
        <v>3269.3490000000002</v>
      </c>
      <c r="J10866" t="s">
        <v>76</v>
      </c>
      <c r="K10866" t="s">
        <v>82</v>
      </c>
      <c r="L10866">
        <v>305.87126760000001</v>
      </c>
    </row>
    <row r="10867" spans="1:12" x14ac:dyDescent="0.3">
      <c r="A10867" t="s">
        <v>498</v>
      </c>
      <c r="B10867" t="s">
        <v>85</v>
      </c>
      <c r="C10867">
        <v>1001</v>
      </c>
      <c r="D10867" t="s">
        <v>86</v>
      </c>
      <c r="E10867">
        <v>3.274E-3</v>
      </c>
      <c r="F10867" t="s">
        <v>74</v>
      </c>
      <c r="G10867">
        <v>3.2736700000000001</v>
      </c>
      <c r="H10867" t="s">
        <v>75</v>
      </c>
      <c r="I10867">
        <v>3273.6709999999998</v>
      </c>
      <c r="J10867" t="s">
        <v>76</v>
      </c>
      <c r="K10867" t="s">
        <v>82</v>
      </c>
      <c r="L10867">
        <v>305.46745149999998</v>
      </c>
    </row>
    <row r="10869" spans="1:12" x14ac:dyDescent="0.3">
      <c r="A10869" t="s">
        <v>66</v>
      </c>
    </row>
    <row r="10871" spans="1:12" x14ac:dyDescent="0.3">
      <c r="A10871" t="s">
        <v>505</v>
      </c>
    </row>
    <row r="10872" spans="1:12" x14ac:dyDescent="0.3">
      <c r="A10872" t="s">
        <v>68</v>
      </c>
    </row>
    <row r="10873" spans="1:12" x14ac:dyDescent="0.3">
      <c r="A10873" t="s">
        <v>69</v>
      </c>
    </row>
    <row r="10874" spans="1:12" x14ac:dyDescent="0.3">
      <c r="A10874" t="s">
        <v>68</v>
      </c>
    </row>
    <row r="10875" spans="1:12" x14ac:dyDescent="0.3">
      <c r="A10875" t="s">
        <v>69</v>
      </c>
    </row>
    <row r="10876" spans="1:12" x14ac:dyDescent="0.3">
      <c r="A10876" t="s">
        <v>70</v>
      </c>
    </row>
    <row r="10877" spans="1:12" x14ac:dyDescent="0.3">
      <c r="A10877" t="s">
        <v>115</v>
      </c>
    </row>
    <row r="10878" spans="1:12" x14ac:dyDescent="0.3">
      <c r="A10878" t="s">
        <v>116</v>
      </c>
    </row>
    <row r="10879" spans="1:12" x14ac:dyDescent="0.3">
      <c r="A10879" t="s">
        <v>117</v>
      </c>
    </row>
    <row r="10880" spans="1:12" x14ac:dyDescent="0.3">
      <c r="A10880" t="s">
        <v>118</v>
      </c>
    </row>
    <row r="10881" spans="1:1" x14ac:dyDescent="0.3">
      <c r="A10881" t="s">
        <v>119</v>
      </c>
    </row>
    <row r="10882" spans="1:1" x14ac:dyDescent="0.3">
      <c r="A10882" t="s">
        <v>120</v>
      </c>
    </row>
    <row r="10883" spans="1:1" x14ac:dyDescent="0.3">
      <c r="A10883" t="s">
        <v>121</v>
      </c>
    </row>
    <row r="10884" spans="1:1" x14ac:dyDescent="0.3">
      <c r="A10884" t="s">
        <v>122</v>
      </c>
    </row>
    <row r="10885" spans="1:1" x14ac:dyDescent="0.3">
      <c r="A10885" t="s">
        <v>123</v>
      </c>
    </row>
    <row r="10886" spans="1:1" x14ac:dyDescent="0.3">
      <c r="A10886" t="s">
        <v>124</v>
      </c>
    </row>
    <row r="10887" spans="1:1" x14ac:dyDescent="0.3">
      <c r="A10887" t="s">
        <v>125</v>
      </c>
    </row>
    <row r="10888" spans="1:1" x14ac:dyDescent="0.3">
      <c r="A10888" t="s">
        <v>126</v>
      </c>
    </row>
    <row r="10889" spans="1:1" x14ac:dyDescent="0.3">
      <c r="A10889" t="s">
        <v>127</v>
      </c>
    </row>
    <row r="10890" spans="1:1" x14ac:dyDescent="0.3">
      <c r="A10890" t="s">
        <v>139</v>
      </c>
    </row>
    <row r="10891" spans="1:1" x14ac:dyDescent="0.3">
      <c r="A10891" t="s">
        <v>115</v>
      </c>
    </row>
    <row r="10892" spans="1:1" x14ac:dyDescent="0.3">
      <c r="A10892" t="s">
        <v>266</v>
      </c>
    </row>
    <row r="10893" spans="1:1" x14ac:dyDescent="0.3">
      <c r="A10893" t="s">
        <v>267</v>
      </c>
    </row>
    <row r="10894" spans="1:1" x14ac:dyDescent="0.3">
      <c r="A10894" t="s">
        <v>118</v>
      </c>
    </row>
    <row r="10895" spans="1:1" x14ac:dyDescent="0.3">
      <c r="A10895" t="s">
        <v>119</v>
      </c>
    </row>
    <row r="10896" spans="1:1" x14ac:dyDescent="0.3">
      <c r="A10896" t="s">
        <v>268</v>
      </c>
    </row>
    <row r="10897" spans="1:12" x14ac:dyDescent="0.3">
      <c r="A10897" t="s">
        <v>269</v>
      </c>
    </row>
    <row r="10898" spans="1:12" x14ac:dyDescent="0.3">
      <c r="A10898" t="s">
        <v>122</v>
      </c>
    </row>
    <row r="10899" spans="1:12" x14ac:dyDescent="0.3">
      <c r="A10899" t="s">
        <v>270</v>
      </c>
    </row>
    <row r="10900" spans="1:12" x14ac:dyDescent="0.3">
      <c r="A10900" t="s">
        <v>271</v>
      </c>
    </row>
    <row r="10901" spans="1:12" x14ac:dyDescent="0.3">
      <c r="A10901" t="s">
        <v>125</v>
      </c>
    </row>
    <row r="10902" spans="1:12" x14ac:dyDescent="0.3">
      <c r="A10902" t="s">
        <v>126</v>
      </c>
    </row>
    <row r="10903" spans="1:12" x14ac:dyDescent="0.3">
      <c r="A10903" t="s">
        <v>127</v>
      </c>
    </row>
    <row r="10904" spans="1:12" x14ac:dyDescent="0.3">
      <c r="A10904" t="s">
        <v>139</v>
      </c>
    </row>
    <row r="10905" spans="1:12" x14ac:dyDescent="0.3">
      <c r="A10905" t="s">
        <v>506</v>
      </c>
    </row>
    <row r="10906" spans="1:12" x14ac:dyDescent="0.3">
      <c r="A10906" t="s">
        <v>496</v>
      </c>
      <c r="B10906" t="s">
        <v>72</v>
      </c>
      <c r="C10906">
        <v>1</v>
      </c>
      <c r="D10906" t="s">
        <v>79</v>
      </c>
      <c r="E10906">
        <v>0.39824500000000002</v>
      </c>
      <c r="F10906" t="s">
        <v>74</v>
      </c>
      <c r="G10906">
        <v>398.24500999999998</v>
      </c>
      <c r="H10906" t="s">
        <v>75</v>
      </c>
      <c r="I10906">
        <v>398245.00699999998</v>
      </c>
      <c r="J10906" t="s">
        <v>76</v>
      </c>
      <c r="K10906" t="s">
        <v>77</v>
      </c>
    </row>
    <row r="10907" spans="1:12" x14ac:dyDescent="0.3">
      <c r="A10907" t="s">
        <v>496</v>
      </c>
      <c r="B10907" t="s">
        <v>72</v>
      </c>
      <c r="C10907">
        <v>1</v>
      </c>
      <c r="D10907" t="s">
        <v>94</v>
      </c>
      <c r="E10907">
        <v>3.0409999999999999E-3</v>
      </c>
      <c r="F10907" t="s">
        <v>74</v>
      </c>
      <c r="G10907">
        <v>3.0415000000000001</v>
      </c>
      <c r="H10907" t="s">
        <v>75</v>
      </c>
      <c r="I10907">
        <v>3041.5</v>
      </c>
      <c r="J10907" t="s">
        <v>76</v>
      </c>
      <c r="K10907" t="s">
        <v>77</v>
      </c>
    </row>
    <row r="10908" spans="1:12" x14ac:dyDescent="0.3">
      <c r="A10908" t="s">
        <v>496</v>
      </c>
      <c r="B10908" t="s">
        <v>72</v>
      </c>
      <c r="C10908">
        <v>1</v>
      </c>
      <c r="D10908" t="s">
        <v>80</v>
      </c>
      <c r="E10908">
        <v>3.042E-3</v>
      </c>
      <c r="F10908" t="s">
        <v>74</v>
      </c>
      <c r="G10908">
        <v>3.0421999999999998</v>
      </c>
      <c r="H10908" t="s">
        <v>75</v>
      </c>
      <c r="I10908">
        <v>3042.2</v>
      </c>
      <c r="J10908" t="s">
        <v>76</v>
      </c>
      <c r="K10908" t="s">
        <v>77</v>
      </c>
    </row>
    <row r="10909" spans="1:12" x14ac:dyDescent="0.3">
      <c r="A10909" t="s">
        <v>496</v>
      </c>
      <c r="B10909" t="s">
        <v>72</v>
      </c>
      <c r="C10909">
        <v>1</v>
      </c>
      <c r="D10909" t="s">
        <v>81</v>
      </c>
      <c r="E10909">
        <v>0.40128799999999998</v>
      </c>
      <c r="F10909" t="s">
        <v>74</v>
      </c>
      <c r="G10909">
        <v>401.28791000000001</v>
      </c>
      <c r="H10909" t="s">
        <v>75</v>
      </c>
      <c r="I10909">
        <v>401287.913</v>
      </c>
      <c r="J10909" t="s">
        <v>76</v>
      </c>
      <c r="K10909" t="s">
        <v>82</v>
      </c>
      <c r="L10909">
        <v>2.4919764</v>
      </c>
    </row>
    <row r="10910" spans="1:12" x14ac:dyDescent="0.3">
      <c r="A10910" t="s">
        <v>496</v>
      </c>
      <c r="B10910" t="s">
        <v>83</v>
      </c>
      <c r="C10910">
        <v>582</v>
      </c>
      <c r="D10910" t="s">
        <v>79</v>
      </c>
      <c r="E10910">
        <v>2.5920000000000001E-3</v>
      </c>
      <c r="F10910" t="s">
        <v>74</v>
      </c>
      <c r="G10910">
        <v>2.5918000000000001</v>
      </c>
      <c r="H10910" t="s">
        <v>75</v>
      </c>
      <c r="I10910">
        <v>2591.8009999999999</v>
      </c>
      <c r="J10910" t="s">
        <v>76</v>
      </c>
      <c r="K10910" t="s">
        <v>77</v>
      </c>
    </row>
    <row r="10911" spans="1:12" x14ac:dyDescent="0.3">
      <c r="A10911" t="s">
        <v>496</v>
      </c>
      <c r="B10911" t="s">
        <v>83</v>
      </c>
      <c r="C10911">
        <v>582</v>
      </c>
      <c r="D10911" t="s">
        <v>94</v>
      </c>
      <c r="E10911">
        <v>4.2040000000000003E-3</v>
      </c>
      <c r="F10911" t="s">
        <v>74</v>
      </c>
      <c r="G10911">
        <v>4.2041199999999996</v>
      </c>
      <c r="H10911" t="s">
        <v>75</v>
      </c>
      <c r="I10911">
        <v>4204.1180000000004</v>
      </c>
      <c r="J10911" t="s">
        <v>76</v>
      </c>
      <c r="K10911" t="s">
        <v>77</v>
      </c>
    </row>
    <row r="10912" spans="1:12" x14ac:dyDescent="0.3">
      <c r="A10912" t="s">
        <v>496</v>
      </c>
      <c r="B10912" t="s">
        <v>83</v>
      </c>
      <c r="C10912">
        <v>582</v>
      </c>
      <c r="D10912" t="s">
        <v>80</v>
      </c>
      <c r="E10912">
        <v>4.3800000000000002E-3</v>
      </c>
      <c r="F10912" t="s">
        <v>74</v>
      </c>
      <c r="G10912">
        <v>4.3801899999999998</v>
      </c>
      <c r="H10912" t="s">
        <v>75</v>
      </c>
      <c r="I10912">
        <v>4380.192</v>
      </c>
      <c r="J10912" t="s">
        <v>76</v>
      </c>
      <c r="K10912" t="s">
        <v>77</v>
      </c>
    </row>
    <row r="10913" spans="1:12" x14ac:dyDescent="0.3">
      <c r="A10913" t="s">
        <v>496</v>
      </c>
      <c r="B10913" t="s">
        <v>83</v>
      </c>
      <c r="C10913">
        <v>582</v>
      </c>
      <c r="D10913" t="s">
        <v>81</v>
      </c>
      <c r="E10913">
        <v>6.9719999999999999E-3</v>
      </c>
      <c r="F10913" t="s">
        <v>74</v>
      </c>
      <c r="G10913">
        <v>6.9722999999999997</v>
      </c>
      <c r="H10913" t="s">
        <v>75</v>
      </c>
      <c r="I10913">
        <v>6972.3040000000001</v>
      </c>
      <c r="J10913" t="s">
        <v>76</v>
      </c>
      <c r="K10913" t="s">
        <v>82</v>
      </c>
      <c r="L10913">
        <v>143.4246143</v>
      </c>
    </row>
    <row r="10914" spans="1:12" x14ac:dyDescent="0.3">
      <c r="A10914" t="s">
        <v>496</v>
      </c>
      <c r="B10914" t="s">
        <v>84</v>
      </c>
      <c r="C10914">
        <v>583</v>
      </c>
      <c r="D10914" t="s">
        <v>79</v>
      </c>
      <c r="E10914">
        <v>3.2699999999999999E-3</v>
      </c>
      <c r="F10914" t="s">
        <v>74</v>
      </c>
      <c r="G10914">
        <v>3.2704499999999999</v>
      </c>
      <c r="H10914" t="s">
        <v>75</v>
      </c>
      <c r="I10914">
        <v>3270.451</v>
      </c>
      <c r="J10914" t="s">
        <v>76</v>
      </c>
      <c r="K10914" t="s">
        <v>77</v>
      </c>
    </row>
    <row r="10915" spans="1:12" x14ac:dyDescent="0.3">
      <c r="A10915" t="s">
        <v>496</v>
      </c>
      <c r="B10915" t="s">
        <v>84</v>
      </c>
      <c r="C10915">
        <v>583</v>
      </c>
      <c r="D10915" t="s">
        <v>94</v>
      </c>
      <c r="E10915">
        <v>4.202E-3</v>
      </c>
      <c r="F10915" t="s">
        <v>74</v>
      </c>
      <c r="G10915">
        <v>4.2021199999999999</v>
      </c>
      <c r="H10915" t="s">
        <v>75</v>
      </c>
      <c r="I10915">
        <v>4202.1239999999998</v>
      </c>
      <c r="J10915" t="s">
        <v>76</v>
      </c>
      <c r="K10915" t="s">
        <v>77</v>
      </c>
    </row>
    <row r="10916" spans="1:12" x14ac:dyDescent="0.3">
      <c r="A10916" t="s">
        <v>496</v>
      </c>
      <c r="B10916" t="s">
        <v>84</v>
      </c>
      <c r="C10916">
        <v>583</v>
      </c>
      <c r="D10916" t="s">
        <v>80</v>
      </c>
      <c r="E10916">
        <v>4.3779999999999999E-3</v>
      </c>
      <c r="F10916" t="s">
        <v>74</v>
      </c>
      <c r="G10916">
        <v>4.3779000000000003</v>
      </c>
      <c r="H10916" t="s">
        <v>75</v>
      </c>
      <c r="I10916">
        <v>4377.8969999999999</v>
      </c>
      <c r="J10916" t="s">
        <v>76</v>
      </c>
      <c r="K10916" t="s">
        <v>77</v>
      </c>
    </row>
    <row r="10917" spans="1:12" x14ac:dyDescent="0.3">
      <c r="A10917" t="s">
        <v>496</v>
      </c>
      <c r="B10917" t="s">
        <v>84</v>
      </c>
      <c r="C10917">
        <v>583</v>
      </c>
      <c r="D10917" t="s">
        <v>81</v>
      </c>
      <c r="E10917">
        <v>7.6490000000000004E-3</v>
      </c>
      <c r="F10917" t="s">
        <v>74</v>
      </c>
      <c r="G10917">
        <v>7.6486599999999996</v>
      </c>
      <c r="H10917" t="s">
        <v>75</v>
      </c>
      <c r="I10917">
        <v>7648.66</v>
      </c>
      <c r="J10917" t="s">
        <v>76</v>
      </c>
      <c r="K10917" t="s">
        <v>82</v>
      </c>
      <c r="L10917">
        <v>130.74185159999999</v>
      </c>
    </row>
    <row r="10918" spans="1:12" x14ac:dyDescent="0.3">
      <c r="A10918" t="s">
        <v>497</v>
      </c>
      <c r="B10918" t="s">
        <v>72</v>
      </c>
      <c r="C10918">
        <v>1</v>
      </c>
      <c r="D10918" t="s">
        <v>79</v>
      </c>
      <c r="E10918">
        <v>0.14221500000000001</v>
      </c>
      <c r="F10918" t="s">
        <v>74</v>
      </c>
      <c r="G10918">
        <v>142.215</v>
      </c>
      <c r="H10918" t="s">
        <v>75</v>
      </c>
      <c r="I10918">
        <v>142214.99900000001</v>
      </c>
      <c r="J10918" t="s">
        <v>76</v>
      </c>
      <c r="K10918" t="s">
        <v>77</v>
      </c>
    </row>
    <row r="10919" spans="1:12" x14ac:dyDescent="0.3">
      <c r="A10919" t="s">
        <v>497</v>
      </c>
      <c r="B10919" t="s">
        <v>72</v>
      </c>
      <c r="C10919">
        <v>1</v>
      </c>
      <c r="D10919" t="s">
        <v>94</v>
      </c>
      <c r="E10919">
        <v>9.7129999999999994E-3</v>
      </c>
      <c r="F10919" t="s">
        <v>74</v>
      </c>
      <c r="G10919">
        <v>9.7127999999999997</v>
      </c>
      <c r="H10919" t="s">
        <v>75</v>
      </c>
      <c r="I10919">
        <v>9712.7999999999993</v>
      </c>
      <c r="J10919" t="s">
        <v>76</v>
      </c>
      <c r="K10919" t="s">
        <v>77</v>
      </c>
    </row>
    <row r="10920" spans="1:12" x14ac:dyDescent="0.3">
      <c r="A10920" t="s">
        <v>497</v>
      </c>
      <c r="B10920" t="s">
        <v>72</v>
      </c>
      <c r="C10920">
        <v>1</v>
      </c>
      <c r="D10920" t="s">
        <v>80</v>
      </c>
      <c r="E10920">
        <v>9.7140000000000004E-3</v>
      </c>
      <c r="F10920" t="s">
        <v>74</v>
      </c>
      <c r="G10920">
        <v>9.7140000000000004</v>
      </c>
      <c r="H10920" t="s">
        <v>75</v>
      </c>
      <c r="I10920">
        <v>9714</v>
      </c>
      <c r="J10920" t="s">
        <v>76</v>
      </c>
      <c r="K10920" t="s">
        <v>77</v>
      </c>
    </row>
    <row r="10921" spans="1:12" x14ac:dyDescent="0.3">
      <c r="A10921" t="s">
        <v>497</v>
      </c>
      <c r="B10921" t="s">
        <v>72</v>
      </c>
      <c r="C10921">
        <v>1</v>
      </c>
      <c r="D10921" t="s">
        <v>81</v>
      </c>
      <c r="E10921">
        <v>0.15193000000000001</v>
      </c>
      <c r="F10921" t="s">
        <v>74</v>
      </c>
      <c r="G10921">
        <v>151.9299</v>
      </c>
      <c r="H10921" t="s">
        <v>75</v>
      </c>
      <c r="I10921">
        <v>151929.9</v>
      </c>
      <c r="J10921" t="s">
        <v>76</v>
      </c>
      <c r="K10921" t="s">
        <v>82</v>
      </c>
      <c r="L10921">
        <v>6.5819828999999999</v>
      </c>
    </row>
    <row r="10922" spans="1:12" x14ac:dyDescent="0.3">
      <c r="A10922" t="s">
        <v>497</v>
      </c>
      <c r="B10922" t="s">
        <v>83</v>
      </c>
      <c r="C10922">
        <v>417</v>
      </c>
      <c r="D10922" t="s">
        <v>79</v>
      </c>
      <c r="E10922">
        <v>2.3770000000000002E-3</v>
      </c>
      <c r="F10922" t="s">
        <v>74</v>
      </c>
      <c r="G10922">
        <v>2.37696</v>
      </c>
      <c r="H10922" t="s">
        <v>75</v>
      </c>
      <c r="I10922">
        <v>2376.96</v>
      </c>
      <c r="J10922" t="s">
        <v>76</v>
      </c>
      <c r="K10922" t="s">
        <v>77</v>
      </c>
    </row>
    <row r="10923" spans="1:12" x14ac:dyDescent="0.3">
      <c r="A10923" t="s">
        <v>497</v>
      </c>
      <c r="B10923" t="s">
        <v>83</v>
      </c>
      <c r="C10923">
        <v>417</v>
      </c>
      <c r="D10923" t="s">
        <v>94</v>
      </c>
      <c r="E10923">
        <v>7.705E-3</v>
      </c>
      <c r="F10923" t="s">
        <v>74</v>
      </c>
      <c r="G10923">
        <v>7.7053799999999999</v>
      </c>
      <c r="H10923" t="s">
        <v>75</v>
      </c>
      <c r="I10923">
        <v>7705.3770000000004</v>
      </c>
      <c r="J10923" t="s">
        <v>76</v>
      </c>
      <c r="K10923" t="s">
        <v>77</v>
      </c>
    </row>
    <row r="10924" spans="1:12" x14ac:dyDescent="0.3">
      <c r="A10924" t="s">
        <v>497</v>
      </c>
      <c r="B10924" t="s">
        <v>83</v>
      </c>
      <c r="C10924">
        <v>417</v>
      </c>
      <c r="D10924" t="s">
        <v>80</v>
      </c>
      <c r="E10924">
        <v>7.8810000000000009E-3</v>
      </c>
      <c r="F10924" t="s">
        <v>74</v>
      </c>
      <c r="G10924">
        <v>7.8813599999999999</v>
      </c>
      <c r="H10924" t="s">
        <v>75</v>
      </c>
      <c r="I10924">
        <v>7881.357</v>
      </c>
      <c r="J10924" t="s">
        <v>76</v>
      </c>
      <c r="K10924" t="s">
        <v>77</v>
      </c>
    </row>
    <row r="10925" spans="1:12" x14ac:dyDescent="0.3">
      <c r="A10925" t="s">
        <v>497</v>
      </c>
      <c r="B10925" t="s">
        <v>83</v>
      </c>
      <c r="C10925">
        <v>417</v>
      </c>
      <c r="D10925" t="s">
        <v>81</v>
      </c>
      <c r="E10925">
        <v>1.0259000000000001E-2</v>
      </c>
      <c r="F10925" t="s">
        <v>74</v>
      </c>
      <c r="G10925">
        <v>10.258620000000001</v>
      </c>
      <c r="H10925" t="s">
        <v>75</v>
      </c>
      <c r="I10925">
        <v>10258.620999999999</v>
      </c>
      <c r="J10925" t="s">
        <v>76</v>
      </c>
      <c r="K10925" t="s">
        <v>82</v>
      </c>
      <c r="L10925">
        <v>97.478989799999994</v>
      </c>
    </row>
    <row r="10926" spans="1:12" x14ac:dyDescent="0.3">
      <c r="A10926" t="s">
        <v>497</v>
      </c>
      <c r="B10926" t="s">
        <v>84</v>
      </c>
      <c r="C10926">
        <v>418</v>
      </c>
      <c r="D10926" t="s">
        <v>79</v>
      </c>
      <c r="E10926">
        <v>2.712E-3</v>
      </c>
      <c r="F10926" t="s">
        <v>74</v>
      </c>
      <c r="G10926">
        <v>2.7115</v>
      </c>
      <c r="H10926" t="s">
        <v>75</v>
      </c>
      <c r="I10926">
        <v>2711.5</v>
      </c>
      <c r="J10926" t="s">
        <v>76</v>
      </c>
      <c r="K10926" t="s">
        <v>77</v>
      </c>
    </row>
    <row r="10927" spans="1:12" x14ac:dyDescent="0.3">
      <c r="A10927" t="s">
        <v>497</v>
      </c>
      <c r="B10927" t="s">
        <v>84</v>
      </c>
      <c r="C10927">
        <v>418</v>
      </c>
      <c r="D10927" t="s">
        <v>94</v>
      </c>
      <c r="E10927">
        <v>7.7099999999999998E-3</v>
      </c>
      <c r="F10927" t="s">
        <v>74</v>
      </c>
      <c r="G10927">
        <v>7.7101800000000003</v>
      </c>
      <c r="H10927" t="s">
        <v>75</v>
      </c>
      <c r="I10927">
        <v>7710.18</v>
      </c>
      <c r="J10927" t="s">
        <v>76</v>
      </c>
      <c r="K10927" t="s">
        <v>77</v>
      </c>
    </row>
    <row r="10928" spans="1:12" x14ac:dyDescent="0.3">
      <c r="A10928" t="s">
        <v>497</v>
      </c>
      <c r="B10928" t="s">
        <v>84</v>
      </c>
      <c r="C10928">
        <v>418</v>
      </c>
      <c r="D10928" t="s">
        <v>80</v>
      </c>
      <c r="E10928">
        <v>7.8860000000000006E-3</v>
      </c>
      <c r="F10928" t="s">
        <v>74</v>
      </c>
      <c r="G10928">
        <v>7.8857400000000002</v>
      </c>
      <c r="H10928" t="s">
        <v>75</v>
      </c>
      <c r="I10928">
        <v>7885.741</v>
      </c>
      <c r="J10928" t="s">
        <v>76</v>
      </c>
      <c r="K10928" t="s">
        <v>77</v>
      </c>
    </row>
    <row r="10929" spans="1:12" x14ac:dyDescent="0.3">
      <c r="A10929" t="s">
        <v>497</v>
      </c>
      <c r="B10929" t="s">
        <v>84</v>
      </c>
      <c r="C10929">
        <v>418</v>
      </c>
      <c r="D10929" t="s">
        <v>81</v>
      </c>
      <c r="E10929">
        <v>1.0598E-2</v>
      </c>
      <c r="F10929" t="s">
        <v>74</v>
      </c>
      <c r="G10929">
        <v>10.59755</v>
      </c>
      <c r="H10929" t="s">
        <v>75</v>
      </c>
      <c r="I10929">
        <v>10597.548000000001</v>
      </c>
      <c r="J10929" t="s">
        <v>76</v>
      </c>
      <c r="K10929" t="s">
        <v>82</v>
      </c>
      <c r="L10929">
        <v>94.361446700000002</v>
      </c>
    </row>
    <row r="10930" spans="1:12" x14ac:dyDescent="0.3">
      <c r="A10930" t="s">
        <v>498</v>
      </c>
      <c r="B10930" t="s">
        <v>72</v>
      </c>
      <c r="C10930">
        <v>1</v>
      </c>
      <c r="D10930" t="s">
        <v>73</v>
      </c>
      <c r="E10930">
        <v>5.1999999999999997E-5</v>
      </c>
      <c r="F10930" t="s">
        <v>74</v>
      </c>
      <c r="G10930">
        <v>5.1999999999999998E-2</v>
      </c>
      <c r="H10930" t="s">
        <v>75</v>
      </c>
      <c r="I10930">
        <v>52</v>
      </c>
      <c r="J10930" t="s">
        <v>76</v>
      </c>
      <c r="K10930" t="s">
        <v>77</v>
      </c>
    </row>
    <row r="10931" spans="1:12" x14ac:dyDescent="0.3">
      <c r="A10931" t="s">
        <v>498</v>
      </c>
      <c r="B10931" t="s">
        <v>72</v>
      </c>
      <c r="C10931">
        <v>1</v>
      </c>
      <c r="D10931" t="s">
        <v>78</v>
      </c>
      <c r="E10931">
        <v>0.15031</v>
      </c>
      <c r="F10931" t="s">
        <v>74</v>
      </c>
      <c r="G10931">
        <v>150.30969999999999</v>
      </c>
      <c r="H10931" t="s">
        <v>75</v>
      </c>
      <c r="I10931">
        <v>150309.69699999999</v>
      </c>
      <c r="J10931" t="s">
        <v>76</v>
      </c>
      <c r="K10931" t="s">
        <v>77</v>
      </c>
    </row>
    <row r="10932" spans="1:12" x14ac:dyDescent="0.3">
      <c r="A10932" t="s">
        <v>498</v>
      </c>
      <c r="B10932" t="s">
        <v>72</v>
      </c>
      <c r="C10932">
        <v>2</v>
      </c>
      <c r="D10932" t="s">
        <v>86</v>
      </c>
      <c r="E10932">
        <v>0.20066500000000001</v>
      </c>
      <c r="F10932" t="s">
        <v>74</v>
      </c>
      <c r="G10932">
        <v>200.66506000000001</v>
      </c>
      <c r="H10932" t="s">
        <v>75</v>
      </c>
      <c r="I10932">
        <v>200665.057</v>
      </c>
      <c r="J10932" t="s">
        <v>76</v>
      </c>
      <c r="K10932" t="s">
        <v>82</v>
      </c>
      <c r="L10932">
        <v>4.9834287000000002</v>
      </c>
    </row>
    <row r="10933" spans="1:12" x14ac:dyDescent="0.3">
      <c r="A10933" t="s">
        <v>498</v>
      </c>
      <c r="B10933" t="s">
        <v>83</v>
      </c>
      <c r="C10933">
        <v>999</v>
      </c>
      <c r="D10933" t="s">
        <v>86</v>
      </c>
      <c r="E10933">
        <v>4.3140000000000001E-3</v>
      </c>
      <c r="F10933" t="s">
        <v>74</v>
      </c>
      <c r="G10933">
        <v>4.3140999999999998</v>
      </c>
      <c r="H10933" t="s">
        <v>75</v>
      </c>
      <c r="I10933">
        <v>4314.0950000000003</v>
      </c>
      <c r="J10933" t="s">
        <v>76</v>
      </c>
      <c r="K10933" t="s">
        <v>82</v>
      </c>
      <c r="L10933">
        <v>231.79831709999999</v>
      </c>
    </row>
    <row r="10934" spans="1:12" x14ac:dyDescent="0.3">
      <c r="A10934" t="s">
        <v>498</v>
      </c>
      <c r="B10934" t="s">
        <v>85</v>
      </c>
      <c r="C10934">
        <v>1001</v>
      </c>
      <c r="D10934" t="s">
        <v>86</v>
      </c>
      <c r="E10934">
        <v>4.463E-3</v>
      </c>
      <c r="F10934" t="s">
        <v>74</v>
      </c>
      <c r="G10934">
        <v>4.4626999999999999</v>
      </c>
      <c r="H10934" t="s">
        <v>75</v>
      </c>
      <c r="I10934">
        <v>4462.6959999999999</v>
      </c>
      <c r="J10934" t="s">
        <v>76</v>
      </c>
      <c r="K10934" t="s">
        <v>82</v>
      </c>
      <c r="L10934">
        <v>224.07978900000001</v>
      </c>
    </row>
    <row r="10935" spans="1:12" x14ac:dyDescent="0.3">
      <c r="A10935" t="s">
        <v>141</v>
      </c>
    </row>
    <row r="10936" spans="1:12" x14ac:dyDescent="0.3">
      <c r="A10936" t="s">
        <v>141</v>
      </c>
    </row>
    <row r="10937" spans="1:12" x14ac:dyDescent="0.3">
      <c r="A10937" t="s">
        <v>507</v>
      </c>
    </row>
    <row r="10938" spans="1:12" x14ac:dyDescent="0.3">
      <c r="A10938" t="s">
        <v>496</v>
      </c>
      <c r="B10938" t="s">
        <v>72</v>
      </c>
      <c r="C10938">
        <v>1</v>
      </c>
      <c r="D10938" t="s">
        <v>79</v>
      </c>
      <c r="E10938">
        <v>7.1580000000000003E-3</v>
      </c>
      <c r="F10938" t="s">
        <v>74</v>
      </c>
      <c r="G10938">
        <v>7.1576000000000004</v>
      </c>
      <c r="H10938" t="s">
        <v>75</v>
      </c>
      <c r="I10938">
        <v>7157.6</v>
      </c>
      <c r="J10938" t="s">
        <v>76</v>
      </c>
      <c r="K10938" t="s">
        <v>77</v>
      </c>
    </row>
    <row r="10939" spans="1:12" x14ac:dyDescent="0.3">
      <c r="A10939" t="s">
        <v>496</v>
      </c>
      <c r="B10939" t="s">
        <v>72</v>
      </c>
      <c r="C10939">
        <v>1</v>
      </c>
      <c r="D10939" t="s">
        <v>94</v>
      </c>
      <c r="E10939">
        <v>1.7784999999999999E-2</v>
      </c>
      <c r="F10939" t="s">
        <v>74</v>
      </c>
      <c r="G10939">
        <v>17.784800000000001</v>
      </c>
      <c r="H10939" t="s">
        <v>75</v>
      </c>
      <c r="I10939">
        <v>17784.8</v>
      </c>
      <c r="J10939" t="s">
        <v>76</v>
      </c>
      <c r="K10939" t="s">
        <v>77</v>
      </c>
    </row>
    <row r="10940" spans="1:12" x14ac:dyDescent="0.3">
      <c r="A10940" t="s">
        <v>496</v>
      </c>
      <c r="B10940" t="s">
        <v>72</v>
      </c>
      <c r="C10940">
        <v>1</v>
      </c>
      <c r="D10940" t="s">
        <v>80</v>
      </c>
      <c r="E10940">
        <v>1.7971000000000001E-2</v>
      </c>
      <c r="F10940" t="s">
        <v>74</v>
      </c>
      <c r="G10940">
        <v>17.970700000000001</v>
      </c>
      <c r="H10940" t="s">
        <v>75</v>
      </c>
      <c r="I10940">
        <v>17970.7</v>
      </c>
      <c r="J10940" t="s">
        <v>76</v>
      </c>
      <c r="K10940" t="s">
        <v>77</v>
      </c>
    </row>
    <row r="10941" spans="1:12" x14ac:dyDescent="0.3">
      <c r="A10941" t="s">
        <v>496</v>
      </c>
      <c r="B10941" t="s">
        <v>72</v>
      </c>
      <c r="C10941">
        <v>1</v>
      </c>
      <c r="D10941" t="s">
        <v>81</v>
      </c>
      <c r="E10941">
        <v>2.5135000000000001E-2</v>
      </c>
      <c r="F10941" t="s">
        <v>74</v>
      </c>
      <c r="G10941">
        <v>25.134899999999998</v>
      </c>
      <c r="H10941" t="s">
        <v>75</v>
      </c>
      <c r="I10941">
        <v>25134.901000000002</v>
      </c>
      <c r="J10941" t="s">
        <v>76</v>
      </c>
      <c r="K10941" t="s">
        <v>82</v>
      </c>
      <c r="L10941">
        <v>39.785317499999998</v>
      </c>
    </row>
    <row r="10942" spans="1:12" x14ac:dyDescent="0.3">
      <c r="A10942" t="s">
        <v>496</v>
      </c>
      <c r="B10942" t="s">
        <v>83</v>
      </c>
      <c r="C10942">
        <v>627</v>
      </c>
      <c r="D10942" t="s">
        <v>79</v>
      </c>
      <c r="E10942">
        <v>2.7209999999999999E-3</v>
      </c>
      <c r="F10942" t="s">
        <v>74</v>
      </c>
      <c r="G10942">
        <v>2.72106</v>
      </c>
      <c r="H10942" t="s">
        <v>75</v>
      </c>
      <c r="I10942">
        <v>2721.0569999999998</v>
      </c>
      <c r="J10942" t="s">
        <v>76</v>
      </c>
      <c r="K10942" t="s">
        <v>77</v>
      </c>
    </row>
    <row r="10943" spans="1:12" x14ac:dyDescent="0.3">
      <c r="A10943" t="s">
        <v>496</v>
      </c>
      <c r="B10943" t="s">
        <v>83</v>
      </c>
      <c r="C10943">
        <v>627</v>
      </c>
      <c r="D10943" t="s">
        <v>94</v>
      </c>
      <c r="E10943">
        <v>4.2929999999999999E-3</v>
      </c>
      <c r="F10943" t="s">
        <v>74</v>
      </c>
      <c r="G10943">
        <v>4.2927400000000002</v>
      </c>
      <c r="H10943" t="s">
        <v>75</v>
      </c>
      <c r="I10943">
        <v>4292.7430000000004</v>
      </c>
      <c r="J10943" t="s">
        <v>76</v>
      </c>
      <c r="K10943" t="s">
        <v>77</v>
      </c>
    </row>
    <row r="10944" spans="1:12" x14ac:dyDescent="0.3">
      <c r="A10944" t="s">
        <v>496</v>
      </c>
      <c r="B10944" t="s">
        <v>83</v>
      </c>
      <c r="C10944">
        <v>627</v>
      </c>
      <c r="D10944" t="s">
        <v>80</v>
      </c>
      <c r="E10944">
        <v>4.4749999999999998E-3</v>
      </c>
      <c r="F10944" t="s">
        <v>74</v>
      </c>
      <c r="G10944">
        <v>4.4752299999999998</v>
      </c>
      <c r="H10944" t="s">
        <v>75</v>
      </c>
      <c r="I10944">
        <v>4475.2299999999996</v>
      </c>
      <c r="J10944" t="s">
        <v>76</v>
      </c>
      <c r="K10944" t="s">
        <v>77</v>
      </c>
    </row>
    <row r="10945" spans="1:12" x14ac:dyDescent="0.3">
      <c r="A10945" t="s">
        <v>496</v>
      </c>
      <c r="B10945" t="s">
        <v>83</v>
      </c>
      <c r="C10945">
        <v>627</v>
      </c>
      <c r="D10945" t="s">
        <v>81</v>
      </c>
      <c r="E10945">
        <v>7.1970000000000003E-3</v>
      </c>
      <c r="F10945" t="s">
        <v>74</v>
      </c>
      <c r="G10945">
        <v>7.1965700000000004</v>
      </c>
      <c r="H10945" t="s">
        <v>75</v>
      </c>
      <c r="I10945">
        <v>7196.5709999999999</v>
      </c>
      <c r="J10945" t="s">
        <v>76</v>
      </c>
      <c r="K10945" t="s">
        <v>82</v>
      </c>
      <c r="L10945">
        <v>138.95506839999999</v>
      </c>
    </row>
    <row r="10946" spans="1:12" x14ac:dyDescent="0.3">
      <c r="A10946" t="s">
        <v>496</v>
      </c>
      <c r="B10946" t="s">
        <v>84</v>
      </c>
      <c r="C10946">
        <v>628</v>
      </c>
      <c r="D10946" t="s">
        <v>79</v>
      </c>
      <c r="E10946">
        <v>2.728E-3</v>
      </c>
      <c r="F10946" t="s">
        <v>74</v>
      </c>
      <c r="G10946">
        <v>2.7281200000000001</v>
      </c>
      <c r="H10946" t="s">
        <v>75</v>
      </c>
      <c r="I10946">
        <v>2728.1219999999998</v>
      </c>
      <c r="J10946" t="s">
        <v>76</v>
      </c>
      <c r="K10946" t="s">
        <v>77</v>
      </c>
    </row>
    <row r="10947" spans="1:12" x14ac:dyDescent="0.3">
      <c r="A10947" t="s">
        <v>496</v>
      </c>
      <c r="B10947" t="s">
        <v>84</v>
      </c>
      <c r="C10947">
        <v>628</v>
      </c>
      <c r="D10947" t="s">
        <v>94</v>
      </c>
      <c r="E10947">
        <v>4.3140000000000001E-3</v>
      </c>
      <c r="F10947" t="s">
        <v>74</v>
      </c>
      <c r="G10947">
        <v>4.3142300000000002</v>
      </c>
      <c r="H10947" t="s">
        <v>75</v>
      </c>
      <c r="I10947">
        <v>4314.2269999999999</v>
      </c>
      <c r="J10947" t="s">
        <v>76</v>
      </c>
      <c r="K10947" t="s">
        <v>77</v>
      </c>
    </row>
    <row r="10948" spans="1:12" x14ac:dyDescent="0.3">
      <c r="A10948" t="s">
        <v>496</v>
      </c>
      <c r="B10948" t="s">
        <v>84</v>
      </c>
      <c r="C10948">
        <v>628</v>
      </c>
      <c r="D10948" t="s">
        <v>80</v>
      </c>
      <c r="E10948">
        <v>4.4970000000000001E-3</v>
      </c>
      <c r="F10948" t="s">
        <v>74</v>
      </c>
      <c r="G10948">
        <v>4.4967199999999998</v>
      </c>
      <c r="H10948" t="s">
        <v>75</v>
      </c>
      <c r="I10948">
        <v>4496.7179999999998</v>
      </c>
      <c r="J10948" t="s">
        <v>76</v>
      </c>
      <c r="K10948" t="s">
        <v>77</v>
      </c>
    </row>
    <row r="10949" spans="1:12" x14ac:dyDescent="0.3">
      <c r="A10949" t="s">
        <v>496</v>
      </c>
      <c r="B10949" t="s">
        <v>84</v>
      </c>
      <c r="C10949">
        <v>628</v>
      </c>
      <c r="D10949" t="s">
        <v>81</v>
      </c>
      <c r="E10949">
        <v>7.2249999999999997E-3</v>
      </c>
      <c r="F10949" t="s">
        <v>74</v>
      </c>
      <c r="G10949">
        <v>7.2251399999999997</v>
      </c>
      <c r="H10949" t="s">
        <v>75</v>
      </c>
      <c r="I10949">
        <v>7225.1350000000002</v>
      </c>
      <c r="J10949" t="s">
        <v>76</v>
      </c>
      <c r="K10949" t="s">
        <v>82</v>
      </c>
      <c r="L10949">
        <v>138.40571209999999</v>
      </c>
    </row>
    <row r="10950" spans="1:12" x14ac:dyDescent="0.3">
      <c r="A10950" t="s">
        <v>497</v>
      </c>
      <c r="B10950" t="s">
        <v>72</v>
      </c>
      <c r="C10950">
        <v>1</v>
      </c>
      <c r="D10950" t="s">
        <v>79</v>
      </c>
      <c r="E10950">
        <v>6.2269999999999999E-3</v>
      </c>
      <c r="F10950" t="s">
        <v>74</v>
      </c>
      <c r="G10950">
        <v>6.2274000000000003</v>
      </c>
      <c r="H10950" t="s">
        <v>75</v>
      </c>
      <c r="I10950">
        <v>6227.4</v>
      </c>
      <c r="J10950" t="s">
        <v>76</v>
      </c>
      <c r="K10950" t="s">
        <v>77</v>
      </c>
    </row>
    <row r="10951" spans="1:12" x14ac:dyDescent="0.3">
      <c r="A10951" t="s">
        <v>497</v>
      </c>
      <c r="B10951" t="s">
        <v>72</v>
      </c>
      <c r="C10951">
        <v>1</v>
      </c>
      <c r="D10951" t="s">
        <v>94</v>
      </c>
      <c r="E10951">
        <v>3.0140000000000002E-3</v>
      </c>
      <c r="F10951" t="s">
        <v>74</v>
      </c>
      <c r="G10951">
        <v>3.0135999999999998</v>
      </c>
      <c r="H10951" t="s">
        <v>75</v>
      </c>
      <c r="I10951">
        <v>3013.6</v>
      </c>
      <c r="J10951" t="s">
        <v>76</v>
      </c>
      <c r="K10951" t="s">
        <v>77</v>
      </c>
    </row>
    <row r="10952" spans="1:12" x14ac:dyDescent="0.3">
      <c r="A10952" t="s">
        <v>497</v>
      </c>
      <c r="B10952" t="s">
        <v>72</v>
      </c>
      <c r="C10952">
        <v>1</v>
      </c>
      <c r="D10952" t="s">
        <v>80</v>
      </c>
      <c r="E10952">
        <v>3.166E-3</v>
      </c>
      <c r="F10952" t="s">
        <v>74</v>
      </c>
      <c r="G10952">
        <v>3.1661999999999999</v>
      </c>
      <c r="H10952" t="s">
        <v>75</v>
      </c>
      <c r="I10952">
        <v>3166.2</v>
      </c>
      <c r="J10952" t="s">
        <v>76</v>
      </c>
      <c r="K10952" t="s">
        <v>77</v>
      </c>
    </row>
    <row r="10953" spans="1:12" x14ac:dyDescent="0.3">
      <c r="A10953" t="s">
        <v>497</v>
      </c>
      <c r="B10953" t="s">
        <v>72</v>
      </c>
      <c r="C10953">
        <v>1</v>
      </c>
      <c r="D10953" t="s">
        <v>81</v>
      </c>
      <c r="E10953">
        <v>9.3939999999999996E-3</v>
      </c>
      <c r="F10953" t="s">
        <v>74</v>
      </c>
      <c r="G10953">
        <v>9.3942999999999994</v>
      </c>
      <c r="H10953" t="s">
        <v>75</v>
      </c>
      <c r="I10953">
        <v>9394.2999999999993</v>
      </c>
      <c r="J10953" t="s">
        <v>76</v>
      </c>
      <c r="K10953" t="s">
        <v>82</v>
      </c>
      <c r="L10953">
        <v>106.4475248</v>
      </c>
    </row>
    <row r="10954" spans="1:12" x14ac:dyDescent="0.3">
      <c r="A10954" t="s">
        <v>497</v>
      </c>
      <c r="B10954" t="s">
        <v>83</v>
      </c>
      <c r="C10954">
        <v>372</v>
      </c>
      <c r="D10954" t="s">
        <v>79</v>
      </c>
      <c r="E10954">
        <v>3.0170000000000002E-3</v>
      </c>
      <c r="F10954" t="s">
        <v>74</v>
      </c>
      <c r="G10954">
        <v>3.0171899999999998</v>
      </c>
      <c r="H10954" t="s">
        <v>75</v>
      </c>
      <c r="I10954">
        <v>3017.1860000000001</v>
      </c>
      <c r="J10954" t="s">
        <v>76</v>
      </c>
      <c r="K10954" t="s">
        <v>77</v>
      </c>
    </row>
    <row r="10955" spans="1:12" x14ac:dyDescent="0.3">
      <c r="A10955" t="s">
        <v>497</v>
      </c>
      <c r="B10955" t="s">
        <v>83</v>
      </c>
      <c r="C10955">
        <v>372</v>
      </c>
      <c r="D10955" t="s">
        <v>94</v>
      </c>
      <c r="E10955">
        <v>8.9449999999999998E-3</v>
      </c>
      <c r="F10955" t="s">
        <v>74</v>
      </c>
      <c r="G10955">
        <v>8.9451900000000002</v>
      </c>
      <c r="H10955" t="s">
        <v>75</v>
      </c>
      <c r="I10955">
        <v>8945.1910000000007</v>
      </c>
      <c r="J10955" t="s">
        <v>76</v>
      </c>
      <c r="K10955" t="s">
        <v>77</v>
      </c>
    </row>
    <row r="10956" spans="1:12" x14ac:dyDescent="0.3">
      <c r="A10956" t="s">
        <v>497</v>
      </c>
      <c r="B10956" t="s">
        <v>83</v>
      </c>
      <c r="C10956">
        <v>372</v>
      </c>
      <c r="D10956" t="s">
        <v>80</v>
      </c>
      <c r="E10956">
        <v>9.1339999999999998E-3</v>
      </c>
      <c r="F10956" t="s">
        <v>74</v>
      </c>
      <c r="G10956">
        <v>9.1335599999999992</v>
      </c>
      <c r="H10956" t="s">
        <v>75</v>
      </c>
      <c r="I10956">
        <v>9133.5630000000001</v>
      </c>
      <c r="J10956" t="s">
        <v>76</v>
      </c>
      <c r="K10956" t="s">
        <v>77</v>
      </c>
    </row>
    <row r="10957" spans="1:12" x14ac:dyDescent="0.3">
      <c r="A10957" t="s">
        <v>497</v>
      </c>
      <c r="B10957" t="s">
        <v>83</v>
      </c>
      <c r="C10957">
        <v>372</v>
      </c>
      <c r="D10957" t="s">
        <v>81</v>
      </c>
      <c r="E10957">
        <v>1.2151E-2</v>
      </c>
      <c r="F10957" t="s">
        <v>74</v>
      </c>
      <c r="G10957">
        <v>12.15123</v>
      </c>
      <c r="H10957" t="s">
        <v>75</v>
      </c>
      <c r="I10957">
        <v>12151.232</v>
      </c>
      <c r="J10957" t="s">
        <v>76</v>
      </c>
      <c r="K10957" t="s">
        <v>82</v>
      </c>
      <c r="L10957">
        <v>82.296179800000004</v>
      </c>
    </row>
    <row r="10958" spans="1:12" x14ac:dyDescent="0.3">
      <c r="A10958" t="s">
        <v>497</v>
      </c>
      <c r="B10958" t="s">
        <v>84</v>
      </c>
      <c r="C10958">
        <v>373</v>
      </c>
      <c r="D10958" t="s">
        <v>79</v>
      </c>
      <c r="E10958">
        <v>3.026E-3</v>
      </c>
      <c r="F10958" t="s">
        <v>74</v>
      </c>
      <c r="G10958">
        <v>3.0257900000000002</v>
      </c>
      <c r="H10958" t="s">
        <v>75</v>
      </c>
      <c r="I10958">
        <v>3025.7919999999999</v>
      </c>
      <c r="J10958" t="s">
        <v>76</v>
      </c>
      <c r="K10958" t="s">
        <v>77</v>
      </c>
    </row>
    <row r="10959" spans="1:12" x14ac:dyDescent="0.3">
      <c r="A10959" t="s">
        <v>497</v>
      </c>
      <c r="B10959" t="s">
        <v>84</v>
      </c>
      <c r="C10959">
        <v>373</v>
      </c>
      <c r="D10959" t="s">
        <v>94</v>
      </c>
      <c r="E10959">
        <v>8.9289999999999994E-3</v>
      </c>
      <c r="F10959" t="s">
        <v>74</v>
      </c>
      <c r="G10959">
        <v>8.9292899999999999</v>
      </c>
      <c r="H10959" t="s">
        <v>75</v>
      </c>
      <c r="I10959">
        <v>8929.2880000000005</v>
      </c>
      <c r="J10959" t="s">
        <v>76</v>
      </c>
      <c r="K10959" t="s">
        <v>77</v>
      </c>
    </row>
    <row r="10960" spans="1:12" x14ac:dyDescent="0.3">
      <c r="A10960" t="s">
        <v>497</v>
      </c>
      <c r="B10960" t="s">
        <v>84</v>
      </c>
      <c r="C10960">
        <v>373</v>
      </c>
      <c r="D10960" t="s">
        <v>80</v>
      </c>
      <c r="E10960">
        <v>9.1179999999999994E-3</v>
      </c>
      <c r="F10960" t="s">
        <v>74</v>
      </c>
      <c r="G10960">
        <v>9.1175599999999992</v>
      </c>
      <c r="H10960" t="s">
        <v>75</v>
      </c>
      <c r="I10960">
        <v>9117.5650000000005</v>
      </c>
      <c r="J10960" t="s">
        <v>76</v>
      </c>
      <c r="K10960" t="s">
        <v>77</v>
      </c>
    </row>
    <row r="10961" spans="1:12" x14ac:dyDescent="0.3">
      <c r="A10961" t="s">
        <v>497</v>
      </c>
      <c r="B10961" t="s">
        <v>84</v>
      </c>
      <c r="C10961">
        <v>373</v>
      </c>
      <c r="D10961" t="s">
        <v>81</v>
      </c>
      <c r="E10961">
        <v>1.2144E-2</v>
      </c>
      <c r="F10961" t="s">
        <v>74</v>
      </c>
      <c r="G10961">
        <v>12.143840000000001</v>
      </c>
      <c r="H10961" t="s">
        <v>75</v>
      </c>
      <c r="I10961">
        <v>12143.842000000001</v>
      </c>
      <c r="J10961" t="s">
        <v>76</v>
      </c>
      <c r="K10961" t="s">
        <v>82</v>
      </c>
      <c r="L10961">
        <v>82.346262300000006</v>
      </c>
    </row>
    <row r="10962" spans="1:12" x14ac:dyDescent="0.3">
      <c r="A10962" t="s">
        <v>498</v>
      </c>
      <c r="B10962" t="s">
        <v>72</v>
      </c>
      <c r="C10962">
        <v>1</v>
      </c>
      <c r="D10962" t="s">
        <v>73</v>
      </c>
      <c r="E10962">
        <v>5.1999999999999997E-5</v>
      </c>
      <c r="F10962" t="s">
        <v>74</v>
      </c>
      <c r="G10962">
        <v>5.1999999999999998E-2</v>
      </c>
      <c r="H10962" t="s">
        <v>75</v>
      </c>
      <c r="I10962">
        <v>52</v>
      </c>
      <c r="J10962" t="s">
        <v>76</v>
      </c>
      <c r="K10962" t="s">
        <v>77</v>
      </c>
    </row>
    <row r="10963" spans="1:12" x14ac:dyDescent="0.3">
      <c r="A10963" t="s">
        <v>498</v>
      </c>
      <c r="B10963" t="s">
        <v>72</v>
      </c>
      <c r="C10963">
        <v>1</v>
      </c>
      <c r="D10963" t="s">
        <v>78</v>
      </c>
      <c r="E10963">
        <v>1.4100000000000001E-4</v>
      </c>
      <c r="F10963" t="s">
        <v>74</v>
      </c>
      <c r="G10963">
        <v>0.14080000000000001</v>
      </c>
      <c r="H10963" t="s">
        <v>75</v>
      </c>
      <c r="I10963">
        <v>140.80000000000001</v>
      </c>
      <c r="J10963" t="s">
        <v>76</v>
      </c>
      <c r="K10963" t="s">
        <v>77</v>
      </c>
    </row>
    <row r="10964" spans="1:12" x14ac:dyDescent="0.3">
      <c r="A10964" t="s">
        <v>498</v>
      </c>
      <c r="B10964" t="s">
        <v>72</v>
      </c>
      <c r="C10964">
        <v>2</v>
      </c>
      <c r="D10964" t="s">
        <v>86</v>
      </c>
      <c r="E10964">
        <v>1.257E-2</v>
      </c>
      <c r="F10964" t="s">
        <v>74</v>
      </c>
      <c r="G10964">
        <v>12.570449999999999</v>
      </c>
      <c r="H10964" t="s">
        <v>75</v>
      </c>
      <c r="I10964">
        <v>12570.45</v>
      </c>
      <c r="J10964" t="s">
        <v>76</v>
      </c>
      <c r="K10964" t="s">
        <v>82</v>
      </c>
      <c r="L10964">
        <v>79.551646399999996</v>
      </c>
    </row>
    <row r="10965" spans="1:12" x14ac:dyDescent="0.3">
      <c r="A10965" t="s">
        <v>498</v>
      </c>
      <c r="B10965" t="s">
        <v>83</v>
      </c>
      <c r="C10965">
        <v>999</v>
      </c>
      <c r="D10965" t="s">
        <v>86</v>
      </c>
      <c r="E10965">
        <v>4.5450000000000004E-3</v>
      </c>
      <c r="F10965" t="s">
        <v>74</v>
      </c>
      <c r="G10965">
        <v>4.5450999999999997</v>
      </c>
      <c r="H10965" t="s">
        <v>75</v>
      </c>
      <c r="I10965">
        <v>4545.0990000000002</v>
      </c>
      <c r="J10965" t="s">
        <v>76</v>
      </c>
      <c r="K10965" t="s">
        <v>82</v>
      </c>
      <c r="L10965">
        <v>220.01720270000001</v>
      </c>
    </row>
    <row r="10966" spans="1:12" x14ac:dyDescent="0.3">
      <c r="A10966" t="s">
        <v>498</v>
      </c>
      <c r="B10966" t="s">
        <v>85</v>
      </c>
      <c r="C10966">
        <v>1001</v>
      </c>
      <c r="D10966" t="s">
        <v>86</v>
      </c>
      <c r="E10966">
        <v>4.5510000000000004E-3</v>
      </c>
      <c r="F10966" t="s">
        <v>74</v>
      </c>
      <c r="G10966">
        <v>4.55098</v>
      </c>
      <c r="H10966" t="s">
        <v>75</v>
      </c>
      <c r="I10966">
        <v>4550.9809999999998</v>
      </c>
      <c r="J10966" t="s">
        <v>76</v>
      </c>
      <c r="K10966" t="s">
        <v>82</v>
      </c>
      <c r="L10966">
        <v>219.7328215</v>
      </c>
    </row>
    <row r="10967" spans="1:12" x14ac:dyDescent="0.3">
      <c r="A10967" t="s">
        <v>115</v>
      </c>
    </row>
    <row r="10968" spans="1:12" x14ac:dyDescent="0.3">
      <c r="A10968" t="s">
        <v>127</v>
      </c>
    </row>
    <row r="10969" spans="1:12" x14ac:dyDescent="0.3">
      <c r="A10969" t="s">
        <v>87</v>
      </c>
    </row>
    <row r="10970" spans="1:12" x14ac:dyDescent="0.3">
      <c r="A10970" t="s">
        <v>508</v>
      </c>
    </row>
    <row r="10971" spans="1:12" x14ac:dyDescent="0.3">
      <c r="A10971" t="s">
        <v>496</v>
      </c>
      <c r="B10971" t="s">
        <v>72</v>
      </c>
      <c r="C10971">
        <v>1</v>
      </c>
      <c r="D10971" t="s">
        <v>81</v>
      </c>
      <c r="E10971">
        <v>0.40128799999999998</v>
      </c>
      <c r="F10971" t="s">
        <v>74</v>
      </c>
      <c r="G10971">
        <v>401.28791000000001</v>
      </c>
      <c r="H10971" t="s">
        <v>75</v>
      </c>
      <c r="I10971">
        <v>401287.913</v>
      </c>
      <c r="J10971" t="s">
        <v>76</v>
      </c>
      <c r="K10971" t="s">
        <v>82</v>
      </c>
      <c r="L10971">
        <v>2.4919764</v>
      </c>
    </row>
    <row r="10972" spans="1:12" x14ac:dyDescent="0.3">
      <c r="A10972" t="s">
        <v>496</v>
      </c>
      <c r="B10972" t="s">
        <v>83</v>
      </c>
      <c r="C10972">
        <v>582</v>
      </c>
      <c r="D10972" t="s">
        <v>81</v>
      </c>
      <c r="E10972">
        <v>6.9719999999999999E-3</v>
      </c>
      <c r="F10972" t="s">
        <v>74</v>
      </c>
      <c r="G10972">
        <v>6.9722999999999997</v>
      </c>
      <c r="H10972" t="s">
        <v>75</v>
      </c>
      <c r="I10972">
        <v>6972.3040000000001</v>
      </c>
      <c r="J10972" t="s">
        <v>76</v>
      </c>
      <c r="K10972" t="s">
        <v>82</v>
      </c>
      <c r="L10972">
        <v>143.4246143</v>
      </c>
    </row>
    <row r="10973" spans="1:12" x14ac:dyDescent="0.3">
      <c r="A10973" t="s">
        <v>496</v>
      </c>
      <c r="B10973" t="s">
        <v>84</v>
      </c>
      <c r="C10973">
        <v>583</v>
      </c>
      <c r="D10973" t="s">
        <v>81</v>
      </c>
      <c r="E10973">
        <v>7.6490000000000004E-3</v>
      </c>
      <c r="F10973" t="s">
        <v>74</v>
      </c>
      <c r="G10973">
        <v>7.6486599999999996</v>
      </c>
      <c r="H10973" t="s">
        <v>75</v>
      </c>
      <c r="I10973">
        <v>7648.66</v>
      </c>
      <c r="J10973" t="s">
        <v>76</v>
      </c>
      <c r="K10973" t="s">
        <v>82</v>
      </c>
      <c r="L10973">
        <v>130.74185159999999</v>
      </c>
    </row>
    <row r="10974" spans="1:12" x14ac:dyDescent="0.3">
      <c r="A10974" t="s">
        <v>497</v>
      </c>
      <c r="B10974" t="s">
        <v>72</v>
      </c>
      <c r="C10974">
        <v>1</v>
      </c>
      <c r="D10974" t="s">
        <v>81</v>
      </c>
      <c r="E10974">
        <v>0.15193000000000001</v>
      </c>
      <c r="F10974" t="s">
        <v>74</v>
      </c>
      <c r="G10974">
        <v>151.9299</v>
      </c>
      <c r="H10974" t="s">
        <v>75</v>
      </c>
      <c r="I10974">
        <v>151929.9</v>
      </c>
      <c r="J10974" t="s">
        <v>76</v>
      </c>
      <c r="K10974" t="s">
        <v>82</v>
      </c>
      <c r="L10974">
        <v>6.5819828999999999</v>
      </c>
    </row>
    <row r="10975" spans="1:12" x14ac:dyDescent="0.3">
      <c r="A10975" t="s">
        <v>497</v>
      </c>
      <c r="B10975" t="s">
        <v>83</v>
      </c>
      <c r="C10975">
        <v>417</v>
      </c>
      <c r="D10975" t="s">
        <v>81</v>
      </c>
      <c r="E10975">
        <v>1.0259000000000001E-2</v>
      </c>
      <c r="F10975" t="s">
        <v>74</v>
      </c>
      <c r="G10975">
        <v>10.258620000000001</v>
      </c>
      <c r="H10975" t="s">
        <v>75</v>
      </c>
      <c r="I10975">
        <v>10258.620999999999</v>
      </c>
      <c r="J10975" t="s">
        <v>76</v>
      </c>
      <c r="K10975" t="s">
        <v>82</v>
      </c>
      <c r="L10975">
        <v>97.478989799999994</v>
      </c>
    </row>
    <row r="10976" spans="1:12" x14ac:dyDescent="0.3">
      <c r="A10976" t="s">
        <v>497</v>
      </c>
      <c r="B10976" t="s">
        <v>84</v>
      </c>
      <c r="C10976">
        <v>418</v>
      </c>
      <c r="D10976" t="s">
        <v>81</v>
      </c>
      <c r="E10976">
        <v>1.0598E-2</v>
      </c>
      <c r="F10976" t="s">
        <v>74</v>
      </c>
      <c r="G10976">
        <v>10.59755</v>
      </c>
      <c r="H10976" t="s">
        <v>75</v>
      </c>
      <c r="I10976">
        <v>10597.548000000001</v>
      </c>
      <c r="J10976" t="s">
        <v>76</v>
      </c>
      <c r="K10976" t="s">
        <v>82</v>
      </c>
      <c r="L10976">
        <v>94.361446700000002</v>
      </c>
    </row>
    <row r="10977" spans="1:12" x14ac:dyDescent="0.3">
      <c r="A10977" t="s">
        <v>498</v>
      </c>
      <c r="B10977" t="s">
        <v>72</v>
      </c>
      <c r="C10977">
        <v>2</v>
      </c>
      <c r="D10977" t="s">
        <v>86</v>
      </c>
      <c r="E10977">
        <v>0.20066500000000001</v>
      </c>
      <c r="F10977" t="s">
        <v>74</v>
      </c>
      <c r="G10977">
        <v>200.66506000000001</v>
      </c>
      <c r="H10977" t="s">
        <v>75</v>
      </c>
      <c r="I10977">
        <v>200665.057</v>
      </c>
      <c r="J10977" t="s">
        <v>76</v>
      </c>
      <c r="K10977" t="s">
        <v>82</v>
      </c>
      <c r="L10977">
        <v>4.9834287000000002</v>
      </c>
    </row>
    <row r="10978" spans="1:12" x14ac:dyDescent="0.3">
      <c r="A10978" t="s">
        <v>498</v>
      </c>
      <c r="B10978" t="s">
        <v>83</v>
      </c>
      <c r="C10978">
        <v>999</v>
      </c>
      <c r="D10978" t="s">
        <v>86</v>
      </c>
      <c r="E10978">
        <v>4.3140000000000001E-3</v>
      </c>
      <c r="F10978" t="s">
        <v>74</v>
      </c>
      <c r="G10978">
        <v>4.3140999999999998</v>
      </c>
      <c r="H10978" t="s">
        <v>75</v>
      </c>
      <c r="I10978">
        <v>4314.0950000000003</v>
      </c>
      <c r="J10978" t="s">
        <v>76</v>
      </c>
      <c r="K10978" t="s">
        <v>82</v>
      </c>
      <c r="L10978">
        <v>231.79831709999999</v>
      </c>
    </row>
    <row r="10979" spans="1:12" x14ac:dyDescent="0.3">
      <c r="A10979" t="s">
        <v>498</v>
      </c>
      <c r="B10979" t="s">
        <v>85</v>
      </c>
      <c r="C10979">
        <v>1001</v>
      </c>
      <c r="D10979" t="s">
        <v>86</v>
      </c>
      <c r="E10979">
        <v>4.463E-3</v>
      </c>
      <c r="F10979" t="s">
        <v>74</v>
      </c>
      <c r="G10979">
        <v>4.4626999999999999</v>
      </c>
      <c r="H10979" t="s">
        <v>75</v>
      </c>
      <c r="I10979">
        <v>4462.6959999999999</v>
      </c>
      <c r="J10979" t="s">
        <v>76</v>
      </c>
      <c r="K10979" t="s">
        <v>82</v>
      </c>
      <c r="L10979">
        <v>224.07978900000001</v>
      </c>
    </row>
    <row r="10981" spans="1:12" x14ac:dyDescent="0.3">
      <c r="A10981" t="s">
        <v>509</v>
      </c>
    </row>
    <row r="10982" spans="1:12" x14ac:dyDescent="0.3">
      <c r="A10982" t="s">
        <v>496</v>
      </c>
      <c r="B10982" t="s">
        <v>72</v>
      </c>
      <c r="C10982">
        <v>1</v>
      </c>
      <c r="D10982" t="s">
        <v>81</v>
      </c>
      <c r="E10982">
        <v>2.5135000000000001E-2</v>
      </c>
      <c r="F10982" t="s">
        <v>74</v>
      </c>
      <c r="G10982">
        <v>25.134899999999998</v>
      </c>
      <c r="H10982" t="s">
        <v>75</v>
      </c>
      <c r="I10982">
        <v>25134.901000000002</v>
      </c>
      <c r="J10982" t="s">
        <v>76</v>
      </c>
      <c r="K10982" t="s">
        <v>82</v>
      </c>
      <c r="L10982">
        <v>39.785317499999998</v>
      </c>
    </row>
    <row r="10983" spans="1:12" x14ac:dyDescent="0.3">
      <c r="A10983" t="s">
        <v>496</v>
      </c>
      <c r="B10983" t="s">
        <v>83</v>
      </c>
      <c r="C10983">
        <v>627</v>
      </c>
      <c r="D10983" t="s">
        <v>81</v>
      </c>
      <c r="E10983">
        <v>7.1970000000000003E-3</v>
      </c>
      <c r="F10983" t="s">
        <v>74</v>
      </c>
      <c r="G10983">
        <v>7.1965700000000004</v>
      </c>
      <c r="H10983" t="s">
        <v>75</v>
      </c>
      <c r="I10983">
        <v>7196.5709999999999</v>
      </c>
      <c r="J10983" t="s">
        <v>76</v>
      </c>
      <c r="K10983" t="s">
        <v>82</v>
      </c>
      <c r="L10983">
        <v>138.95506839999999</v>
      </c>
    </row>
    <row r="10984" spans="1:12" x14ac:dyDescent="0.3">
      <c r="A10984" t="s">
        <v>496</v>
      </c>
      <c r="B10984" t="s">
        <v>84</v>
      </c>
      <c r="C10984">
        <v>628</v>
      </c>
      <c r="D10984" t="s">
        <v>81</v>
      </c>
      <c r="E10984">
        <v>7.2249999999999997E-3</v>
      </c>
      <c r="F10984" t="s">
        <v>74</v>
      </c>
      <c r="G10984">
        <v>7.2251399999999997</v>
      </c>
      <c r="H10984" t="s">
        <v>75</v>
      </c>
      <c r="I10984">
        <v>7225.1350000000002</v>
      </c>
      <c r="J10984" t="s">
        <v>76</v>
      </c>
      <c r="K10984" t="s">
        <v>82</v>
      </c>
      <c r="L10984">
        <v>138.40571209999999</v>
      </c>
    </row>
    <row r="10985" spans="1:12" x14ac:dyDescent="0.3">
      <c r="A10985" t="s">
        <v>497</v>
      </c>
      <c r="B10985" t="s">
        <v>72</v>
      </c>
      <c r="C10985">
        <v>1</v>
      </c>
      <c r="D10985" t="s">
        <v>81</v>
      </c>
      <c r="E10985">
        <v>9.3939999999999996E-3</v>
      </c>
      <c r="F10985" t="s">
        <v>74</v>
      </c>
      <c r="G10985">
        <v>9.3942999999999994</v>
      </c>
      <c r="H10985" t="s">
        <v>75</v>
      </c>
      <c r="I10985">
        <v>9394.2999999999993</v>
      </c>
      <c r="J10985" t="s">
        <v>76</v>
      </c>
      <c r="K10985" t="s">
        <v>82</v>
      </c>
      <c r="L10985">
        <v>106.4475248</v>
      </c>
    </row>
    <row r="10986" spans="1:12" x14ac:dyDescent="0.3">
      <c r="A10986" t="s">
        <v>497</v>
      </c>
      <c r="B10986" t="s">
        <v>83</v>
      </c>
      <c r="C10986">
        <v>372</v>
      </c>
      <c r="D10986" t="s">
        <v>81</v>
      </c>
      <c r="E10986">
        <v>1.2151E-2</v>
      </c>
      <c r="F10986" t="s">
        <v>74</v>
      </c>
      <c r="G10986">
        <v>12.15123</v>
      </c>
      <c r="H10986" t="s">
        <v>75</v>
      </c>
      <c r="I10986">
        <v>12151.232</v>
      </c>
      <c r="J10986" t="s">
        <v>76</v>
      </c>
      <c r="K10986" t="s">
        <v>82</v>
      </c>
      <c r="L10986">
        <v>82.296179800000004</v>
      </c>
    </row>
    <row r="10987" spans="1:12" x14ac:dyDescent="0.3">
      <c r="A10987" t="s">
        <v>497</v>
      </c>
      <c r="B10987" t="s">
        <v>84</v>
      </c>
      <c r="C10987">
        <v>373</v>
      </c>
      <c r="D10987" t="s">
        <v>81</v>
      </c>
      <c r="E10987">
        <v>1.2144E-2</v>
      </c>
      <c r="F10987" t="s">
        <v>74</v>
      </c>
      <c r="G10987">
        <v>12.143840000000001</v>
      </c>
      <c r="H10987" t="s">
        <v>75</v>
      </c>
      <c r="I10987">
        <v>12143.842000000001</v>
      </c>
      <c r="J10987" t="s">
        <v>76</v>
      </c>
      <c r="K10987" t="s">
        <v>82</v>
      </c>
      <c r="L10987">
        <v>82.346262300000006</v>
      </c>
    </row>
    <row r="10988" spans="1:12" x14ac:dyDescent="0.3">
      <c r="A10988" t="s">
        <v>498</v>
      </c>
      <c r="B10988" t="s">
        <v>72</v>
      </c>
      <c r="C10988">
        <v>2</v>
      </c>
      <c r="D10988" t="s">
        <v>86</v>
      </c>
      <c r="E10988">
        <v>1.257E-2</v>
      </c>
      <c r="F10988" t="s">
        <v>74</v>
      </c>
      <c r="G10988">
        <v>12.570449999999999</v>
      </c>
      <c r="H10988" t="s">
        <v>75</v>
      </c>
      <c r="I10988">
        <v>12570.45</v>
      </c>
      <c r="J10988" t="s">
        <v>76</v>
      </c>
      <c r="K10988" t="s">
        <v>82</v>
      </c>
      <c r="L10988">
        <v>79.551646399999996</v>
      </c>
    </row>
    <row r="10989" spans="1:12" x14ac:dyDescent="0.3">
      <c r="A10989" t="s">
        <v>498</v>
      </c>
      <c r="B10989" t="s">
        <v>83</v>
      </c>
      <c r="C10989">
        <v>999</v>
      </c>
      <c r="D10989" t="s">
        <v>86</v>
      </c>
      <c r="E10989">
        <v>4.5450000000000004E-3</v>
      </c>
      <c r="F10989" t="s">
        <v>74</v>
      </c>
      <c r="G10989">
        <v>4.5450999999999997</v>
      </c>
      <c r="H10989" t="s">
        <v>75</v>
      </c>
      <c r="I10989">
        <v>4545.0990000000002</v>
      </c>
      <c r="J10989" t="s">
        <v>76</v>
      </c>
      <c r="K10989" t="s">
        <v>82</v>
      </c>
      <c r="L10989">
        <v>220.01720270000001</v>
      </c>
    </row>
    <row r="10990" spans="1:12" x14ac:dyDescent="0.3">
      <c r="A10990" t="s">
        <v>498</v>
      </c>
      <c r="B10990" t="s">
        <v>85</v>
      </c>
      <c r="C10990">
        <v>1001</v>
      </c>
      <c r="D10990" t="s">
        <v>86</v>
      </c>
      <c r="E10990">
        <v>4.5510000000000004E-3</v>
      </c>
      <c r="F10990" t="s">
        <v>74</v>
      </c>
      <c r="G10990">
        <v>4.55098</v>
      </c>
      <c r="H10990" t="s">
        <v>75</v>
      </c>
      <c r="I10990">
        <v>4550.9809999999998</v>
      </c>
      <c r="J10990" t="s">
        <v>76</v>
      </c>
      <c r="K10990" t="s">
        <v>82</v>
      </c>
      <c r="L10990">
        <v>219.7328215</v>
      </c>
    </row>
    <row r="10992" spans="1:12" x14ac:dyDescent="0.3">
      <c r="A10992" t="s">
        <v>66</v>
      </c>
    </row>
    <row r="10994" spans="1:1" x14ac:dyDescent="0.3">
      <c r="A10994" t="s">
        <v>510</v>
      </c>
    </row>
    <row r="10995" spans="1:1" x14ac:dyDescent="0.3">
      <c r="A10995" t="s">
        <v>68</v>
      </c>
    </row>
    <row r="10996" spans="1:1" x14ac:dyDescent="0.3">
      <c r="A10996" t="s">
        <v>69</v>
      </c>
    </row>
    <row r="10997" spans="1:1" x14ac:dyDescent="0.3">
      <c r="A10997" t="s">
        <v>68</v>
      </c>
    </row>
    <row r="10998" spans="1:1" x14ac:dyDescent="0.3">
      <c r="A10998" t="s">
        <v>69</v>
      </c>
    </row>
    <row r="10999" spans="1:1" x14ac:dyDescent="0.3">
      <c r="A10999" t="s">
        <v>70</v>
      </c>
    </row>
    <row r="11000" spans="1:1" x14ac:dyDescent="0.3">
      <c r="A11000" t="s">
        <v>115</v>
      </c>
    </row>
    <row r="11001" spans="1:1" x14ac:dyDescent="0.3">
      <c r="A11001" t="s">
        <v>116</v>
      </c>
    </row>
    <row r="11002" spans="1:1" x14ac:dyDescent="0.3">
      <c r="A11002" t="s">
        <v>117</v>
      </c>
    </row>
    <row r="11003" spans="1:1" x14ac:dyDescent="0.3">
      <c r="A11003" t="s">
        <v>118</v>
      </c>
    </row>
    <row r="11004" spans="1:1" x14ac:dyDescent="0.3">
      <c r="A11004" t="s">
        <v>119</v>
      </c>
    </row>
    <row r="11005" spans="1:1" x14ac:dyDescent="0.3">
      <c r="A11005" t="s">
        <v>120</v>
      </c>
    </row>
    <row r="11006" spans="1:1" x14ac:dyDescent="0.3">
      <c r="A11006" t="s">
        <v>121</v>
      </c>
    </row>
    <row r="11007" spans="1:1" x14ac:dyDescent="0.3">
      <c r="A11007" t="s">
        <v>122</v>
      </c>
    </row>
    <row r="11008" spans="1:1" x14ac:dyDescent="0.3">
      <c r="A11008" t="s">
        <v>123</v>
      </c>
    </row>
    <row r="11009" spans="1:1" x14ac:dyDescent="0.3">
      <c r="A11009" t="s">
        <v>124</v>
      </c>
    </row>
    <row r="11010" spans="1:1" x14ac:dyDescent="0.3">
      <c r="A11010" t="s">
        <v>125</v>
      </c>
    </row>
    <row r="11011" spans="1:1" x14ac:dyDescent="0.3">
      <c r="A11011" t="s">
        <v>126</v>
      </c>
    </row>
    <row r="11012" spans="1:1" x14ac:dyDescent="0.3">
      <c r="A11012" t="s">
        <v>127</v>
      </c>
    </row>
    <row r="11013" spans="1:1" x14ac:dyDescent="0.3">
      <c r="A11013" t="s">
        <v>146</v>
      </c>
    </row>
    <row r="11014" spans="1:1" x14ac:dyDescent="0.3">
      <c r="A11014" t="s">
        <v>115</v>
      </c>
    </row>
    <row r="11015" spans="1:1" x14ac:dyDescent="0.3">
      <c r="A11015" t="s">
        <v>266</v>
      </c>
    </row>
    <row r="11016" spans="1:1" x14ac:dyDescent="0.3">
      <c r="A11016" t="s">
        <v>267</v>
      </c>
    </row>
    <row r="11017" spans="1:1" x14ac:dyDescent="0.3">
      <c r="A11017" t="s">
        <v>118</v>
      </c>
    </row>
    <row r="11018" spans="1:1" x14ac:dyDescent="0.3">
      <c r="A11018" t="s">
        <v>119</v>
      </c>
    </row>
    <row r="11019" spans="1:1" x14ac:dyDescent="0.3">
      <c r="A11019" t="s">
        <v>268</v>
      </c>
    </row>
    <row r="11020" spans="1:1" x14ac:dyDescent="0.3">
      <c r="A11020" t="s">
        <v>269</v>
      </c>
    </row>
    <row r="11021" spans="1:1" x14ac:dyDescent="0.3">
      <c r="A11021" t="s">
        <v>122</v>
      </c>
    </row>
    <row r="11022" spans="1:1" x14ac:dyDescent="0.3">
      <c r="A11022" t="s">
        <v>270</v>
      </c>
    </row>
    <row r="11023" spans="1:1" x14ac:dyDescent="0.3">
      <c r="A11023" t="s">
        <v>271</v>
      </c>
    </row>
    <row r="11024" spans="1:1" x14ac:dyDescent="0.3">
      <c r="A11024" t="s">
        <v>125</v>
      </c>
    </row>
    <row r="11025" spans="1:12" x14ac:dyDescent="0.3">
      <c r="A11025" t="s">
        <v>126</v>
      </c>
    </row>
    <row r="11026" spans="1:12" x14ac:dyDescent="0.3">
      <c r="A11026" t="s">
        <v>127</v>
      </c>
    </row>
    <row r="11027" spans="1:12" x14ac:dyDescent="0.3">
      <c r="A11027" t="s">
        <v>146</v>
      </c>
    </row>
    <row r="11028" spans="1:12" x14ac:dyDescent="0.3">
      <c r="A11028" t="s">
        <v>511</v>
      </c>
    </row>
    <row r="11029" spans="1:12" x14ac:dyDescent="0.3">
      <c r="A11029" t="s">
        <v>496</v>
      </c>
      <c r="B11029" t="s">
        <v>72</v>
      </c>
      <c r="C11029">
        <v>1</v>
      </c>
      <c r="D11029" t="s">
        <v>79</v>
      </c>
      <c r="E11029">
        <v>0.311191</v>
      </c>
      <c r="F11029" t="s">
        <v>74</v>
      </c>
      <c r="G11029">
        <v>311.19060999999999</v>
      </c>
      <c r="H11029" t="s">
        <v>75</v>
      </c>
      <c r="I11029">
        <v>311190.60499999998</v>
      </c>
      <c r="J11029" t="s">
        <v>76</v>
      </c>
      <c r="K11029" t="s">
        <v>77</v>
      </c>
    </row>
    <row r="11030" spans="1:12" x14ac:dyDescent="0.3">
      <c r="A11030" t="s">
        <v>496</v>
      </c>
      <c r="B11030" t="s">
        <v>72</v>
      </c>
      <c r="C11030">
        <v>1</v>
      </c>
      <c r="D11030" t="s">
        <v>94</v>
      </c>
      <c r="E11030">
        <v>2.944E-3</v>
      </c>
      <c r="F11030" t="s">
        <v>74</v>
      </c>
      <c r="G11030">
        <v>2.9436</v>
      </c>
      <c r="H11030" t="s">
        <v>75</v>
      </c>
      <c r="I11030">
        <v>2943.6</v>
      </c>
      <c r="J11030" t="s">
        <v>76</v>
      </c>
      <c r="K11030" t="s">
        <v>77</v>
      </c>
    </row>
    <row r="11031" spans="1:12" x14ac:dyDescent="0.3">
      <c r="A11031" t="s">
        <v>496</v>
      </c>
      <c r="B11031" t="s">
        <v>72</v>
      </c>
      <c r="C11031">
        <v>1</v>
      </c>
      <c r="D11031" t="s">
        <v>80</v>
      </c>
      <c r="E11031">
        <v>2.9450000000000001E-3</v>
      </c>
      <c r="F11031" t="s">
        <v>74</v>
      </c>
      <c r="G11031">
        <v>2.9447999999999999</v>
      </c>
      <c r="H11031" t="s">
        <v>75</v>
      </c>
      <c r="I11031">
        <v>2944.8</v>
      </c>
      <c r="J11031" t="s">
        <v>76</v>
      </c>
      <c r="K11031" t="s">
        <v>77</v>
      </c>
    </row>
    <row r="11032" spans="1:12" x14ac:dyDescent="0.3">
      <c r="A11032" t="s">
        <v>496</v>
      </c>
      <c r="B11032" t="s">
        <v>72</v>
      </c>
      <c r="C11032">
        <v>1</v>
      </c>
      <c r="D11032" t="s">
        <v>81</v>
      </c>
      <c r="E11032">
        <v>0.31413600000000003</v>
      </c>
      <c r="F11032" t="s">
        <v>74</v>
      </c>
      <c r="G11032">
        <v>314.13600000000002</v>
      </c>
      <c r="H11032" t="s">
        <v>75</v>
      </c>
      <c r="I11032">
        <v>314135.99800000002</v>
      </c>
      <c r="J11032" t="s">
        <v>76</v>
      </c>
      <c r="K11032" t="s">
        <v>82</v>
      </c>
      <c r="L11032">
        <v>3.1833345999999998</v>
      </c>
    </row>
    <row r="11033" spans="1:12" x14ac:dyDescent="0.3">
      <c r="A11033" t="s">
        <v>496</v>
      </c>
      <c r="B11033" t="s">
        <v>83</v>
      </c>
      <c r="C11033">
        <v>541</v>
      </c>
      <c r="D11033" t="s">
        <v>79</v>
      </c>
      <c r="E11033">
        <v>3.8440000000000002E-3</v>
      </c>
      <c r="F11033" t="s">
        <v>74</v>
      </c>
      <c r="G11033">
        <v>3.8441999999999998</v>
      </c>
      <c r="H11033" t="s">
        <v>75</v>
      </c>
      <c r="I11033">
        <v>3844.2</v>
      </c>
      <c r="J11033" t="s">
        <v>76</v>
      </c>
      <c r="K11033" t="s">
        <v>77</v>
      </c>
    </row>
    <row r="11034" spans="1:12" x14ac:dyDescent="0.3">
      <c r="A11034" t="s">
        <v>496</v>
      </c>
      <c r="B11034" t="s">
        <v>83</v>
      </c>
      <c r="C11034">
        <v>541</v>
      </c>
      <c r="D11034" t="s">
        <v>94</v>
      </c>
      <c r="E11034">
        <v>5.0099999999999997E-3</v>
      </c>
      <c r="F11034" t="s">
        <v>74</v>
      </c>
      <c r="G11034">
        <v>5.0098399999999996</v>
      </c>
      <c r="H11034" t="s">
        <v>75</v>
      </c>
      <c r="I11034">
        <v>5009.8419999999996</v>
      </c>
      <c r="J11034" t="s">
        <v>76</v>
      </c>
      <c r="K11034" t="s">
        <v>77</v>
      </c>
    </row>
    <row r="11035" spans="1:12" x14ac:dyDescent="0.3">
      <c r="A11035" t="s">
        <v>496</v>
      </c>
      <c r="B11035" t="s">
        <v>83</v>
      </c>
      <c r="C11035">
        <v>541</v>
      </c>
      <c r="D11035" t="s">
        <v>80</v>
      </c>
      <c r="E11035">
        <v>5.1830000000000001E-3</v>
      </c>
      <c r="F11035" t="s">
        <v>74</v>
      </c>
      <c r="G11035">
        <v>5.1834300000000004</v>
      </c>
      <c r="H11035" t="s">
        <v>75</v>
      </c>
      <c r="I11035">
        <v>5183.4340000000002</v>
      </c>
      <c r="J11035" t="s">
        <v>76</v>
      </c>
      <c r="K11035" t="s">
        <v>77</v>
      </c>
    </row>
    <row r="11036" spans="1:12" x14ac:dyDescent="0.3">
      <c r="A11036" t="s">
        <v>496</v>
      </c>
      <c r="B11036" t="s">
        <v>83</v>
      </c>
      <c r="C11036">
        <v>541</v>
      </c>
      <c r="D11036" t="s">
        <v>81</v>
      </c>
      <c r="E11036">
        <v>9.0279999999999996E-3</v>
      </c>
      <c r="F11036" t="s">
        <v>74</v>
      </c>
      <c r="G11036">
        <v>9.0278500000000008</v>
      </c>
      <c r="H11036" t="s">
        <v>75</v>
      </c>
      <c r="I11036">
        <v>9027.8449999999993</v>
      </c>
      <c r="J11036" t="s">
        <v>76</v>
      </c>
      <c r="K11036" t="s">
        <v>82</v>
      </c>
      <c r="L11036">
        <v>110.7684048</v>
      </c>
    </row>
    <row r="11037" spans="1:12" x14ac:dyDescent="0.3">
      <c r="A11037" t="s">
        <v>496</v>
      </c>
      <c r="B11037" t="s">
        <v>84</v>
      </c>
      <c r="C11037">
        <v>542</v>
      </c>
      <c r="D11037" t="s">
        <v>79</v>
      </c>
      <c r="E11037">
        <v>4.411E-3</v>
      </c>
      <c r="F11037" t="s">
        <v>74</v>
      </c>
      <c r="G11037">
        <v>4.4112600000000004</v>
      </c>
      <c r="H11037" t="s">
        <v>75</v>
      </c>
      <c r="I11037">
        <v>4411.2619999999997</v>
      </c>
      <c r="J11037" t="s">
        <v>76</v>
      </c>
      <c r="K11037" t="s">
        <v>77</v>
      </c>
    </row>
    <row r="11038" spans="1:12" x14ac:dyDescent="0.3">
      <c r="A11038" t="s">
        <v>496</v>
      </c>
      <c r="B11038" t="s">
        <v>84</v>
      </c>
      <c r="C11038">
        <v>542</v>
      </c>
      <c r="D11038" t="s">
        <v>94</v>
      </c>
      <c r="E11038">
        <v>5.006E-3</v>
      </c>
      <c r="F11038" t="s">
        <v>74</v>
      </c>
      <c r="G11038">
        <v>5.00603</v>
      </c>
      <c r="H11038" t="s">
        <v>75</v>
      </c>
      <c r="I11038">
        <v>5006.03</v>
      </c>
      <c r="J11038" t="s">
        <v>76</v>
      </c>
      <c r="K11038" t="s">
        <v>77</v>
      </c>
    </row>
    <row r="11039" spans="1:12" x14ac:dyDescent="0.3">
      <c r="A11039" t="s">
        <v>496</v>
      </c>
      <c r="B11039" t="s">
        <v>84</v>
      </c>
      <c r="C11039">
        <v>542</v>
      </c>
      <c r="D11039" t="s">
        <v>80</v>
      </c>
      <c r="E11039">
        <v>5.1789999999999996E-3</v>
      </c>
      <c r="F11039" t="s">
        <v>74</v>
      </c>
      <c r="G11039">
        <v>5.1792999999999996</v>
      </c>
      <c r="H11039" t="s">
        <v>75</v>
      </c>
      <c r="I11039">
        <v>5179.3040000000001</v>
      </c>
      <c r="J11039" t="s">
        <v>76</v>
      </c>
      <c r="K11039" t="s">
        <v>77</v>
      </c>
    </row>
    <row r="11040" spans="1:12" x14ac:dyDescent="0.3">
      <c r="A11040" t="s">
        <v>496</v>
      </c>
      <c r="B11040" t="s">
        <v>84</v>
      </c>
      <c r="C11040">
        <v>542</v>
      </c>
      <c r="D11040" t="s">
        <v>81</v>
      </c>
      <c r="E11040">
        <v>9.5910000000000006E-3</v>
      </c>
      <c r="F11040" t="s">
        <v>74</v>
      </c>
      <c r="G11040">
        <v>9.5907800000000005</v>
      </c>
      <c r="H11040" t="s">
        <v>75</v>
      </c>
      <c r="I11040">
        <v>9590.7759999999998</v>
      </c>
      <c r="J11040" t="s">
        <v>76</v>
      </c>
      <c r="K11040" t="s">
        <v>82</v>
      </c>
      <c r="L11040">
        <v>104.2668475</v>
      </c>
    </row>
    <row r="11041" spans="1:12" x14ac:dyDescent="0.3">
      <c r="A11041" t="s">
        <v>497</v>
      </c>
      <c r="B11041" t="s">
        <v>72</v>
      </c>
      <c r="C11041">
        <v>1</v>
      </c>
      <c r="D11041" t="s">
        <v>79</v>
      </c>
      <c r="E11041">
        <v>0.10975</v>
      </c>
      <c r="F11041" t="s">
        <v>74</v>
      </c>
      <c r="G11041">
        <v>109.7497</v>
      </c>
      <c r="H11041" t="s">
        <v>75</v>
      </c>
      <c r="I11041">
        <v>109749.697</v>
      </c>
      <c r="J11041" t="s">
        <v>76</v>
      </c>
      <c r="K11041" t="s">
        <v>77</v>
      </c>
    </row>
    <row r="11042" spans="1:12" x14ac:dyDescent="0.3">
      <c r="A11042" t="s">
        <v>497</v>
      </c>
      <c r="B11042" t="s">
        <v>72</v>
      </c>
      <c r="C11042">
        <v>1</v>
      </c>
      <c r="D11042" t="s">
        <v>94</v>
      </c>
      <c r="E11042">
        <v>9.3769999999999999E-3</v>
      </c>
      <c r="F11042" t="s">
        <v>74</v>
      </c>
      <c r="G11042">
        <v>9.3773</v>
      </c>
      <c r="H11042" t="s">
        <v>75</v>
      </c>
      <c r="I11042">
        <v>9377.2999999999993</v>
      </c>
      <c r="J11042" t="s">
        <v>76</v>
      </c>
      <c r="K11042" t="s">
        <v>77</v>
      </c>
    </row>
    <row r="11043" spans="1:12" x14ac:dyDescent="0.3">
      <c r="A11043" t="s">
        <v>497</v>
      </c>
      <c r="B11043" t="s">
        <v>72</v>
      </c>
      <c r="C11043">
        <v>1</v>
      </c>
      <c r="D11043" t="s">
        <v>80</v>
      </c>
      <c r="E11043">
        <v>9.3779999999999992E-3</v>
      </c>
      <c r="F11043" t="s">
        <v>74</v>
      </c>
      <c r="G11043">
        <v>9.3781999999999996</v>
      </c>
      <c r="H11043" t="s">
        <v>75</v>
      </c>
      <c r="I11043">
        <v>9378.2000000000007</v>
      </c>
      <c r="J11043" t="s">
        <v>76</v>
      </c>
      <c r="K11043" t="s">
        <v>77</v>
      </c>
    </row>
    <row r="11044" spans="1:12" x14ac:dyDescent="0.3">
      <c r="A11044" t="s">
        <v>497</v>
      </c>
      <c r="B11044" t="s">
        <v>72</v>
      </c>
      <c r="C11044">
        <v>1</v>
      </c>
      <c r="D11044" t="s">
        <v>81</v>
      </c>
      <c r="E11044">
        <v>0.119128</v>
      </c>
      <c r="F11044" t="s">
        <v>74</v>
      </c>
      <c r="G11044">
        <v>119.1284</v>
      </c>
      <c r="H11044" t="s">
        <v>75</v>
      </c>
      <c r="I11044">
        <v>119128.399</v>
      </c>
      <c r="J11044" t="s">
        <v>76</v>
      </c>
      <c r="K11044" t="s">
        <v>82</v>
      </c>
      <c r="L11044">
        <v>8.3943040999999994</v>
      </c>
    </row>
    <row r="11045" spans="1:12" x14ac:dyDescent="0.3">
      <c r="A11045" t="s">
        <v>497</v>
      </c>
      <c r="B11045" t="s">
        <v>83</v>
      </c>
      <c r="C11045">
        <v>458</v>
      </c>
      <c r="D11045" t="s">
        <v>79</v>
      </c>
      <c r="E11045">
        <v>3.4659999999999999E-3</v>
      </c>
      <c r="F11045" t="s">
        <v>74</v>
      </c>
      <c r="G11045">
        <v>3.4656500000000001</v>
      </c>
      <c r="H11045" t="s">
        <v>75</v>
      </c>
      <c r="I11045">
        <v>3465.6489999999999</v>
      </c>
      <c r="J11045" t="s">
        <v>76</v>
      </c>
      <c r="K11045" t="s">
        <v>77</v>
      </c>
    </row>
    <row r="11046" spans="1:12" x14ac:dyDescent="0.3">
      <c r="A11046" t="s">
        <v>497</v>
      </c>
      <c r="B11046" t="s">
        <v>83</v>
      </c>
      <c r="C11046">
        <v>458</v>
      </c>
      <c r="D11046" t="s">
        <v>94</v>
      </c>
      <c r="E11046">
        <v>7.3610000000000004E-3</v>
      </c>
      <c r="F11046" t="s">
        <v>74</v>
      </c>
      <c r="G11046">
        <v>7.36104</v>
      </c>
      <c r="H11046" t="s">
        <v>75</v>
      </c>
      <c r="I11046">
        <v>7361.0420000000004</v>
      </c>
      <c r="J11046" t="s">
        <v>76</v>
      </c>
      <c r="K11046" t="s">
        <v>77</v>
      </c>
    </row>
    <row r="11047" spans="1:12" x14ac:dyDescent="0.3">
      <c r="A11047" t="s">
        <v>497</v>
      </c>
      <c r="B11047" t="s">
        <v>83</v>
      </c>
      <c r="C11047">
        <v>458</v>
      </c>
      <c r="D11047" t="s">
        <v>80</v>
      </c>
      <c r="E11047">
        <v>7.5449999999999996E-3</v>
      </c>
      <c r="F11047" t="s">
        <v>74</v>
      </c>
      <c r="G11047">
        <v>7.5453299999999999</v>
      </c>
      <c r="H11047" t="s">
        <v>75</v>
      </c>
      <c r="I11047">
        <v>7545.33</v>
      </c>
      <c r="J11047" t="s">
        <v>76</v>
      </c>
      <c r="K11047" t="s">
        <v>77</v>
      </c>
    </row>
    <row r="11048" spans="1:12" x14ac:dyDescent="0.3">
      <c r="A11048" t="s">
        <v>497</v>
      </c>
      <c r="B11048" t="s">
        <v>83</v>
      </c>
      <c r="C11048">
        <v>458</v>
      </c>
      <c r="D11048" t="s">
        <v>81</v>
      </c>
      <c r="E11048">
        <v>1.1011E-2</v>
      </c>
      <c r="F11048" t="s">
        <v>74</v>
      </c>
      <c r="G11048">
        <v>11.011240000000001</v>
      </c>
      <c r="H11048" t="s">
        <v>75</v>
      </c>
      <c r="I11048">
        <v>11011.243</v>
      </c>
      <c r="J11048" t="s">
        <v>76</v>
      </c>
      <c r="K11048" t="s">
        <v>82</v>
      </c>
      <c r="L11048">
        <v>90.816265200000004</v>
      </c>
    </row>
    <row r="11049" spans="1:12" x14ac:dyDescent="0.3">
      <c r="A11049" t="s">
        <v>497</v>
      </c>
      <c r="B11049" t="s">
        <v>84</v>
      </c>
      <c r="C11049">
        <v>459</v>
      </c>
      <c r="D11049" t="s">
        <v>79</v>
      </c>
      <c r="E11049">
        <v>3.6970000000000002E-3</v>
      </c>
      <c r="F11049" t="s">
        <v>74</v>
      </c>
      <c r="G11049">
        <v>3.6972</v>
      </c>
      <c r="H11049" t="s">
        <v>75</v>
      </c>
      <c r="I11049">
        <v>3697.2040000000002</v>
      </c>
      <c r="J11049" t="s">
        <v>76</v>
      </c>
      <c r="K11049" t="s">
        <v>77</v>
      </c>
    </row>
    <row r="11050" spans="1:12" x14ac:dyDescent="0.3">
      <c r="A11050" t="s">
        <v>497</v>
      </c>
      <c r="B11050" t="s">
        <v>84</v>
      </c>
      <c r="C11050">
        <v>459</v>
      </c>
      <c r="D11050" t="s">
        <v>94</v>
      </c>
      <c r="E11050">
        <v>7.365E-3</v>
      </c>
      <c r="F11050" t="s">
        <v>74</v>
      </c>
      <c r="G11050">
        <v>7.3654299999999999</v>
      </c>
      <c r="H11050" t="s">
        <v>75</v>
      </c>
      <c r="I11050">
        <v>7365.4340000000002</v>
      </c>
      <c r="J11050" t="s">
        <v>76</v>
      </c>
      <c r="K11050" t="s">
        <v>77</v>
      </c>
    </row>
    <row r="11051" spans="1:12" x14ac:dyDescent="0.3">
      <c r="A11051" t="s">
        <v>497</v>
      </c>
      <c r="B11051" t="s">
        <v>84</v>
      </c>
      <c r="C11051">
        <v>459</v>
      </c>
      <c r="D11051" t="s">
        <v>80</v>
      </c>
      <c r="E11051">
        <v>7.5490000000000002E-3</v>
      </c>
      <c r="F11051" t="s">
        <v>74</v>
      </c>
      <c r="G11051">
        <v>7.5493199999999998</v>
      </c>
      <c r="H11051" t="s">
        <v>75</v>
      </c>
      <c r="I11051">
        <v>7549.3220000000001</v>
      </c>
      <c r="J11051" t="s">
        <v>76</v>
      </c>
      <c r="K11051" t="s">
        <v>77</v>
      </c>
    </row>
    <row r="11052" spans="1:12" x14ac:dyDescent="0.3">
      <c r="A11052" t="s">
        <v>497</v>
      </c>
      <c r="B11052" t="s">
        <v>84</v>
      </c>
      <c r="C11052">
        <v>459</v>
      </c>
      <c r="D11052" t="s">
        <v>81</v>
      </c>
      <c r="E11052">
        <v>1.1247E-2</v>
      </c>
      <c r="F11052" t="s">
        <v>74</v>
      </c>
      <c r="G11052">
        <v>11.246790000000001</v>
      </c>
      <c r="H11052" t="s">
        <v>75</v>
      </c>
      <c r="I11052">
        <v>11246.793</v>
      </c>
      <c r="J11052" t="s">
        <v>76</v>
      </c>
      <c r="K11052" t="s">
        <v>82</v>
      </c>
      <c r="L11052">
        <v>88.914232100000007</v>
      </c>
    </row>
    <row r="11053" spans="1:12" x14ac:dyDescent="0.3">
      <c r="A11053" t="s">
        <v>498</v>
      </c>
      <c r="B11053" t="s">
        <v>72</v>
      </c>
      <c r="C11053">
        <v>1</v>
      </c>
      <c r="D11053" t="s">
        <v>73</v>
      </c>
      <c r="E11053">
        <v>8.0000000000000007E-5</v>
      </c>
      <c r="F11053" t="s">
        <v>74</v>
      </c>
      <c r="G11053">
        <v>7.9799999999999996E-2</v>
      </c>
      <c r="H11053" t="s">
        <v>75</v>
      </c>
      <c r="I11053">
        <v>79.8</v>
      </c>
      <c r="J11053" t="s">
        <v>76</v>
      </c>
      <c r="K11053" t="s">
        <v>77</v>
      </c>
    </row>
    <row r="11054" spans="1:12" x14ac:dyDescent="0.3">
      <c r="A11054" t="s">
        <v>498</v>
      </c>
      <c r="B11054" t="s">
        <v>72</v>
      </c>
      <c r="C11054">
        <v>1</v>
      </c>
      <c r="D11054" t="s">
        <v>78</v>
      </c>
      <c r="E11054">
        <v>0.15937299999999999</v>
      </c>
      <c r="F11054" t="s">
        <v>74</v>
      </c>
      <c r="G11054">
        <v>159.37280999999999</v>
      </c>
      <c r="H11054" t="s">
        <v>75</v>
      </c>
      <c r="I11054">
        <v>159372.807</v>
      </c>
      <c r="J11054" t="s">
        <v>76</v>
      </c>
      <c r="K11054" t="s">
        <v>77</v>
      </c>
    </row>
    <row r="11055" spans="1:12" x14ac:dyDescent="0.3">
      <c r="A11055" t="s">
        <v>498</v>
      </c>
      <c r="B11055" t="s">
        <v>72</v>
      </c>
      <c r="C11055">
        <v>2</v>
      </c>
      <c r="D11055" t="s">
        <v>86</v>
      </c>
      <c r="E11055">
        <v>0.15708900000000001</v>
      </c>
      <c r="F11055" t="s">
        <v>74</v>
      </c>
      <c r="G11055">
        <v>157.08865</v>
      </c>
      <c r="H11055" t="s">
        <v>75</v>
      </c>
      <c r="I11055">
        <v>157088.652</v>
      </c>
      <c r="J11055" t="s">
        <v>76</v>
      </c>
      <c r="K11055" t="s">
        <v>82</v>
      </c>
      <c r="L11055">
        <v>6.3658321999999998</v>
      </c>
    </row>
    <row r="11056" spans="1:12" x14ac:dyDescent="0.3">
      <c r="A11056" t="s">
        <v>498</v>
      </c>
      <c r="B11056" t="s">
        <v>83</v>
      </c>
      <c r="C11056">
        <v>999</v>
      </c>
      <c r="D11056" t="s">
        <v>86</v>
      </c>
      <c r="E11056">
        <v>5.0959999999999998E-3</v>
      </c>
      <c r="F11056" t="s">
        <v>74</v>
      </c>
      <c r="G11056">
        <v>5.0960200000000002</v>
      </c>
      <c r="H11056" t="s">
        <v>75</v>
      </c>
      <c r="I11056">
        <v>5096.0169999999998</v>
      </c>
      <c r="J11056" t="s">
        <v>76</v>
      </c>
      <c r="K11056" t="s">
        <v>82</v>
      </c>
      <c r="L11056">
        <v>196.23168670000001</v>
      </c>
    </row>
    <row r="11057" spans="1:12" x14ac:dyDescent="0.3">
      <c r="A11057" t="s">
        <v>498</v>
      </c>
      <c r="B11057" t="s">
        <v>85</v>
      </c>
      <c r="C11057">
        <v>1001</v>
      </c>
      <c r="D11057" t="s">
        <v>86</v>
      </c>
      <c r="E11057">
        <v>5.2110000000000004E-3</v>
      </c>
      <c r="F11057" t="s">
        <v>74</v>
      </c>
      <c r="G11057">
        <v>5.2113500000000004</v>
      </c>
      <c r="H11057" t="s">
        <v>75</v>
      </c>
      <c r="I11057">
        <v>5211.3450000000003</v>
      </c>
      <c r="J11057" t="s">
        <v>76</v>
      </c>
      <c r="K11057" t="s">
        <v>82</v>
      </c>
      <c r="L11057">
        <v>191.8890346</v>
      </c>
    </row>
    <row r="11058" spans="1:12" x14ac:dyDescent="0.3">
      <c r="A11058" t="s">
        <v>148</v>
      </c>
    </row>
    <row r="11059" spans="1:12" x14ac:dyDescent="0.3">
      <c r="A11059" t="s">
        <v>148</v>
      </c>
    </row>
    <row r="11060" spans="1:12" x14ac:dyDescent="0.3">
      <c r="A11060" t="s">
        <v>512</v>
      </c>
    </row>
    <row r="11061" spans="1:12" x14ac:dyDescent="0.3">
      <c r="A11061" t="s">
        <v>496</v>
      </c>
      <c r="B11061" t="s">
        <v>72</v>
      </c>
      <c r="C11061">
        <v>1</v>
      </c>
      <c r="D11061" t="s">
        <v>79</v>
      </c>
      <c r="E11061">
        <v>8.8400000000000006E-3</v>
      </c>
      <c r="F11061" t="s">
        <v>74</v>
      </c>
      <c r="G11061">
        <v>8.8404000000000007</v>
      </c>
      <c r="H11061" t="s">
        <v>75</v>
      </c>
      <c r="I11061">
        <v>8840.4</v>
      </c>
      <c r="J11061" t="s">
        <v>76</v>
      </c>
      <c r="K11061" t="s">
        <v>77</v>
      </c>
    </row>
    <row r="11062" spans="1:12" x14ac:dyDescent="0.3">
      <c r="A11062" t="s">
        <v>496</v>
      </c>
      <c r="B11062" t="s">
        <v>72</v>
      </c>
      <c r="C11062">
        <v>1</v>
      </c>
      <c r="D11062" t="s">
        <v>94</v>
      </c>
      <c r="E11062">
        <v>2.8860000000000001E-3</v>
      </c>
      <c r="F11062" t="s">
        <v>74</v>
      </c>
      <c r="G11062">
        <v>2.8858000000000001</v>
      </c>
      <c r="H11062" t="s">
        <v>75</v>
      </c>
      <c r="I11062">
        <v>2885.8</v>
      </c>
      <c r="J11062" t="s">
        <v>76</v>
      </c>
      <c r="K11062" t="s">
        <v>77</v>
      </c>
    </row>
    <row r="11063" spans="1:12" x14ac:dyDescent="0.3">
      <c r="A11063" t="s">
        <v>496</v>
      </c>
      <c r="B11063" t="s">
        <v>72</v>
      </c>
      <c r="C11063">
        <v>1</v>
      </c>
      <c r="D11063" t="s">
        <v>80</v>
      </c>
      <c r="E11063">
        <v>3.1380000000000002E-3</v>
      </c>
      <c r="F11063" t="s">
        <v>74</v>
      </c>
      <c r="G11063">
        <v>3.1375999999999999</v>
      </c>
      <c r="H11063" t="s">
        <v>75</v>
      </c>
      <c r="I11063">
        <v>3137.6</v>
      </c>
      <c r="J11063" t="s">
        <v>76</v>
      </c>
      <c r="K11063" t="s">
        <v>77</v>
      </c>
    </row>
    <row r="11064" spans="1:12" x14ac:dyDescent="0.3">
      <c r="A11064" t="s">
        <v>496</v>
      </c>
      <c r="B11064" t="s">
        <v>72</v>
      </c>
      <c r="C11064">
        <v>1</v>
      </c>
      <c r="D11064" t="s">
        <v>81</v>
      </c>
      <c r="E11064">
        <v>1.1982E-2</v>
      </c>
      <c r="F11064" t="s">
        <v>74</v>
      </c>
      <c r="G11064">
        <v>11.9818</v>
      </c>
      <c r="H11064" t="s">
        <v>75</v>
      </c>
      <c r="I11064">
        <v>11981.8</v>
      </c>
      <c r="J11064" t="s">
        <v>76</v>
      </c>
      <c r="K11064" t="s">
        <v>82</v>
      </c>
      <c r="L11064">
        <v>83.459912799999998</v>
      </c>
    </row>
    <row r="11065" spans="1:12" x14ac:dyDescent="0.3">
      <c r="A11065" t="s">
        <v>496</v>
      </c>
      <c r="B11065" t="s">
        <v>83</v>
      </c>
      <c r="C11065">
        <v>557</v>
      </c>
      <c r="D11065" t="s">
        <v>79</v>
      </c>
      <c r="E11065">
        <v>4.3449999999999999E-3</v>
      </c>
      <c r="F11065" t="s">
        <v>74</v>
      </c>
      <c r="G11065">
        <v>4.3448799999999999</v>
      </c>
      <c r="H11065" t="s">
        <v>75</v>
      </c>
      <c r="I11065">
        <v>4344.8760000000002</v>
      </c>
      <c r="J11065" t="s">
        <v>76</v>
      </c>
      <c r="K11065" t="s">
        <v>77</v>
      </c>
    </row>
    <row r="11066" spans="1:12" x14ac:dyDescent="0.3">
      <c r="A11066" t="s">
        <v>496</v>
      </c>
      <c r="B11066" t="s">
        <v>83</v>
      </c>
      <c r="C11066">
        <v>557</v>
      </c>
      <c r="D11066" t="s">
        <v>94</v>
      </c>
      <c r="E11066">
        <v>5.3860000000000002E-3</v>
      </c>
      <c r="F11066" t="s">
        <v>74</v>
      </c>
      <c r="G11066">
        <v>5.3860999999999999</v>
      </c>
      <c r="H11066" t="s">
        <v>75</v>
      </c>
      <c r="I11066">
        <v>5386.1049999999996</v>
      </c>
      <c r="J11066" t="s">
        <v>76</v>
      </c>
      <c r="K11066" t="s">
        <v>77</v>
      </c>
    </row>
    <row r="11067" spans="1:12" x14ac:dyDescent="0.3">
      <c r="A11067" t="s">
        <v>496</v>
      </c>
      <c r="B11067" t="s">
        <v>83</v>
      </c>
      <c r="C11067">
        <v>557</v>
      </c>
      <c r="D11067" t="s">
        <v>80</v>
      </c>
      <c r="E11067">
        <v>5.5659999999999998E-3</v>
      </c>
      <c r="F11067" t="s">
        <v>74</v>
      </c>
      <c r="G11067">
        <v>5.5657899999999998</v>
      </c>
      <c r="H11067" t="s">
        <v>75</v>
      </c>
      <c r="I11067">
        <v>5565.7929999999997</v>
      </c>
      <c r="J11067" t="s">
        <v>76</v>
      </c>
      <c r="K11067" t="s">
        <v>77</v>
      </c>
    </row>
    <row r="11068" spans="1:12" x14ac:dyDescent="0.3">
      <c r="A11068" t="s">
        <v>496</v>
      </c>
      <c r="B11068" t="s">
        <v>83</v>
      </c>
      <c r="C11068">
        <v>557</v>
      </c>
      <c r="D11068" t="s">
        <v>81</v>
      </c>
      <c r="E11068">
        <v>9.9109999999999997E-3</v>
      </c>
      <c r="F11068" t="s">
        <v>74</v>
      </c>
      <c r="G11068">
        <v>9.9109200000000008</v>
      </c>
      <c r="H11068" t="s">
        <v>75</v>
      </c>
      <c r="I11068">
        <v>9910.9210000000003</v>
      </c>
      <c r="J11068" t="s">
        <v>76</v>
      </c>
      <c r="K11068" t="s">
        <v>82</v>
      </c>
      <c r="L11068">
        <v>100.8987985</v>
      </c>
    </row>
    <row r="11069" spans="1:12" x14ac:dyDescent="0.3">
      <c r="A11069" t="s">
        <v>496</v>
      </c>
      <c r="B11069" t="s">
        <v>84</v>
      </c>
      <c r="C11069">
        <v>558</v>
      </c>
      <c r="D11069" t="s">
        <v>79</v>
      </c>
      <c r="E11069">
        <v>4.3530000000000001E-3</v>
      </c>
      <c r="F11069" t="s">
        <v>74</v>
      </c>
      <c r="G11069">
        <v>4.3529299999999997</v>
      </c>
      <c r="H11069" t="s">
        <v>75</v>
      </c>
      <c r="I11069">
        <v>4352.933</v>
      </c>
      <c r="J11069" t="s">
        <v>76</v>
      </c>
      <c r="K11069" t="s">
        <v>77</v>
      </c>
    </row>
    <row r="11070" spans="1:12" x14ac:dyDescent="0.3">
      <c r="A11070" t="s">
        <v>496</v>
      </c>
      <c r="B11070" t="s">
        <v>84</v>
      </c>
      <c r="C11070">
        <v>558</v>
      </c>
      <c r="D11070" t="s">
        <v>94</v>
      </c>
      <c r="E11070">
        <v>5.3819999999999996E-3</v>
      </c>
      <c r="F11070" t="s">
        <v>74</v>
      </c>
      <c r="G11070">
        <v>5.3816199999999998</v>
      </c>
      <c r="H11070" t="s">
        <v>75</v>
      </c>
      <c r="I11070">
        <v>5381.6239999999998</v>
      </c>
      <c r="J11070" t="s">
        <v>76</v>
      </c>
      <c r="K11070" t="s">
        <v>77</v>
      </c>
    </row>
    <row r="11071" spans="1:12" x14ac:dyDescent="0.3">
      <c r="A11071" t="s">
        <v>496</v>
      </c>
      <c r="B11071" t="s">
        <v>84</v>
      </c>
      <c r="C11071">
        <v>558</v>
      </c>
      <c r="D11071" t="s">
        <v>80</v>
      </c>
      <c r="E11071">
        <v>5.561E-3</v>
      </c>
      <c r="F11071" t="s">
        <v>74</v>
      </c>
      <c r="G11071">
        <v>5.5614400000000002</v>
      </c>
      <c r="H11071" t="s">
        <v>75</v>
      </c>
      <c r="I11071">
        <v>5561.442</v>
      </c>
      <c r="J11071" t="s">
        <v>76</v>
      </c>
      <c r="K11071" t="s">
        <v>77</v>
      </c>
    </row>
    <row r="11072" spans="1:12" x14ac:dyDescent="0.3">
      <c r="A11072" t="s">
        <v>496</v>
      </c>
      <c r="B11072" t="s">
        <v>84</v>
      </c>
      <c r="C11072">
        <v>558</v>
      </c>
      <c r="D11072" t="s">
        <v>81</v>
      </c>
      <c r="E11072">
        <v>9.9150000000000002E-3</v>
      </c>
      <c r="F11072" t="s">
        <v>74</v>
      </c>
      <c r="G11072">
        <v>9.9146300000000007</v>
      </c>
      <c r="H11072" t="s">
        <v>75</v>
      </c>
      <c r="I11072">
        <v>9914.6309999999994</v>
      </c>
      <c r="J11072" t="s">
        <v>76</v>
      </c>
      <c r="K11072" t="s">
        <v>82</v>
      </c>
      <c r="L11072">
        <v>100.8610357</v>
      </c>
    </row>
    <row r="11073" spans="1:12" x14ac:dyDescent="0.3">
      <c r="A11073" t="s">
        <v>497</v>
      </c>
      <c r="B11073" t="s">
        <v>72</v>
      </c>
      <c r="C11073">
        <v>1</v>
      </c>
      <c r="D11073" t="s">
        <v>79</v>
      </c>
      <c r="E11073">
        <v>8.9409999999999993E-3</v>
      </c>
      <c r="F11073" t="s">
        <v>74</v>
      </c>
      <c r="G11073">
        <v>8.9407999999999994</v>
      </c>
      <c r="H11073" t="s">
        <v>75</v>
      </c>
      <c r="I11073">
        <v>8940.7999999999993</v>
      </c>
      <c r="J11073" t="s">
        <v>76</v>
      </c>
      <c r="K11073" t="s">
        <v>77</v>
      </c>
    </row>
    <row r="11074" spans="1:12" x14ac:dyDescent="0.3">
      <c r="A11074" t="s">
        <v>497</v>
      </c>
      <c r="B11074" t="s">
        <v>72</v>
      </c>
      <c r="C11074">
        <v>1</v>
      </c>
      <c r="D11074" t="s">
        <v>94</v>
      </c>
      <c r="E11074">
        <v>2.6029E-2</v>
      </c>
      <c r="F11074" t="s">
        <v>74</v>
      </c>
      <c r="G11074">
        <v>26.028700000000001</v>
      </c>
      <c r="H11074" t="s">
        <v>75</v>
      </c>
      <c r="I11074">
        <v>26028.7</v>
      </c>
      <c r="J11074" t="s">
        <v>76</v>
      </c>
      <c r="K11074" t="s">
        <v>77</v>
      </c>
    </row>
    <row r="11075" spans="1:12" x14ac:dyDescent="0.3">
      <c r="A11075" t="s">
        <v>497</v>
      </c>
      <c r="B11075" t="s">
        <v>72</v>
      </c>
      <c r="C11075">
        <v>1</v>
      </c>
      <c r="D11075" t="s">
        <v>80</v>
      </c>
      <c r="E11075">
        <v>2.6179999999999998E-2</v>
      </c>
      <c r="F11075" t="s">
        <v>74</v>
      </c>
      <c r="G11075">
        <v>26.179600000000001</v>
      </c>
      <c r="H11075" t="s">
        <v>75</v>
      </c>
      <c r="I11075">
        <v>26179.600999999999</v>
      </c>
      <c r="J11075" t="s">
        <v>76</v>
      </c>
      <c r="K11075" t="s">
        <v>77</v>
      </c>
    </row>
    <row r="11076" spans="1:12" x14ac:dyDescent="0.3">
      <c r="A11076" t="s">
        <v>497</v>
      </c>
      <c r="B11076" t="s">
        <v>72</v>
      </c>
      <c r="C11076">
        <v>1</v>
      </c>
      <c r="D11076" t="s">
        <v>81</v>
      </c>
      <c r="E11076">
        <v>3.5120999999999999E-2</v>
      </c>
      <c r="F11076" t="s">
        <v>74</v>
      </c>
      <c r="G11076">
        <v>35.120800000000003</v>
      </c>
      <c r="H11076" t="s">
        <v>75</v>
      </c>
      <c r="I11076">
        <v>35120.800000000003</v>
      </c>
      <c r="J11076" t="s">
        <v>76</v>
      </c>
      <c r="K11076" t="s">
        <v>82</v>
      </c>
      <c r="L11076">
        <v>28.4731554</v>
      </c>
    </row>
    <row r="11077" spans="1:12" x14ac:dyDescent="0.3">
      <c r="A11077" t="s">
        <v>497</v>
      </c>
      <c r="B11077" t="s">
        <v>83</v>
      </c>
      <c r="C11077">
        <v>442</v>
      </c>
      <c r="D11077" t="s">
        <v>79</v>
      </c>
      <c r="E11077">
        <v>4.2459999999999998E-3</v>
      </c>
      <c r="F11077" t="s">
        <v>74</v>
      </c>
      <c r="G11077">
        <v>4.2458999999999998</v>
      </c>
      <c r="H11077" t="s">
        <v>75</v>
      </c>
      <c r="I11077">
        <v>4245.9030000000002</v>
      </c>
      <c r="J11077" t="s">
        <v>76</v>
      </c>
      <c r="K11077" t="s">
        <v>77</v>
      </c>
    </row>
    <row r="11078" spans="1:12" x14ac:dyDescent="0.3">
      <c r="A11078" t="s">
        <v>497</v>
      </c>
      <c r="B11078" t="s">
        <v>83</v>
      </c>
      <c r="C11078">
        <v>442</v>
      </c>
      <c r="D11078" t="s">
        <v>94</v>
      </c>
      <c r="E11078">
        <v>7.8790000000000006E-3</v>
      </c>
      <c r="F11078" t="s">
        <v>74</v>
      </c>
      <c r="G11078">
        <v>7.8787799999999999</v>
      </c>
      <c r="H11078" t="s">
        <v>75</v>
      </c>
      <c r="I11078">
        <v>7878.7820000000002</v>
      </c>
      <c r="J11078" t="s">
        <v>76</v>
      </c>
      <c r="K11078" t="s">
        <v>77</v>
      </c>
    </row>
    <row r="11079" spans="1:12" x14ac:dyDescent="0.3">
      <c r="A11079" t="s">
        <v>497</v>
      </c>
      <c r="B11079" t="s">
        <v>83</v>
      </c>
      <c r="C11079">
        <v>442</v>
      </c>
      <c r="D11079" t="s">
        <v>80</v>
      </c>
      <c r="E11079">
        <v>8.0829999999999999E-3</v>
      </c>
      <c r="F11079" t="s">
        <v>74</v>
      </c>
      <c r="G11079">
        <v>8.0833200000000005</v>
      </c>
      <c r="H11079" t="s">
        <v>75</v>
      </c>
      <c r="I11079">
        <v>8083.3190000000004</v>
      </c>
      <c r="J11079" t="s">
        <v>76</v>
      </c>
      <c r="K11079" t="s">
        <v>77</v>
      </c>
    </row>
    <row r="11080" spans="1:12" x14ac:dyDescent="0.3">
      <c r="A11080" t="s">
        <v>497</v>
      </c>
      <c r="B11080" t="s">
        <v>83</v>
      </c>
      <c r="C11080">
        <v>442</v>
      </c>
      <c r="D11080" t="s">
        <v>81</v>
      </c>
      <c r="E11080">
        <v>1.2330000000000001E-2</v>
      </c>
      <c r="F11080" t="s">
        <v>74</v>
      </c>
      <c r="G11080">
        <v>12.32962</v>
      </c>
      <c r="H11080" t="s">
        <v>75</v>
      </c>
      <c r="I11080">
        <v>12329.619000000001</v>
      </c>
      <c r="J11080" t="s">
        <v>76</v>
      </c>
      <c r="K11080" t="s">
        <v>82</v>
      </c>
      <c r="L11080">
        <v>81.105504400000001</v>
      </c>
    </row>
    <row r="11081" spans="1:12" x14ac:dyDescent="0.3">
      <c r="A11081" t="s">
        <v>497</v>
      </c>
      <c r="B11081" t="s">
        <v>84</v>
      </c>
      <c r="C11081">
        <v>443</v>
      </c>
      <c r="D11081" t="s">
        <v>79</v>
      </c>
      <c r="E11081">
        <v>4.2570000000000004E-3</v>
      </c>
      <c r="F11081" t="s">
        <v>74</v>
      </c>
      <c r="G11081">
        <v>4.2565</v>
      </c>
      <c r="H11081" t="s">
        <v>75</v>
      </c>
      <c r="I11081">
        <v>4256.5</v>
      </c>
      <c r="J11081" t="s">
        <v>76</v>
      </c>
      <c r="K11081" t="s">
        <v>77</v>
      </c>
    </row>
    <row r="11082" spans="1:12" x14ac:dyDescent="0.3">
      <c r="A11082" t="s">
        <v>497</v>
      </c>
      <c r="B11082" t="s">
        <v>84</v>
      </c>
      <c r="C11082">
        <v>443</v>
      </c>
      <c r="D11082" t="s">
        <v>94</v>
      </c>
      <c r="E11082">
        <v>7.92E-3</v>
      </c>
      <c r="F11082" t="s">
        <v>74</v>
      </c>
      <c r="G11082">
        <v>7.9197499999999996</v>
      </c>
      <c r="H11082" t="s">
        <v>75</v>
      </c>
      <c r="I11082">
        <v>7919.7520000000004</v>
      </c>
      <c r="J11082" t="s">
        <v>76</v>
      </c>
      <c r="K11082" t="s">
        <v>77</v>
      </c>
    </row>
    <row r="11083" spans="1:12" x14ac:dyDescent="0.3">
      <c r="A11083" t="s">
        <v>497</v>
      </c>
      <c r="B11083" t="s">
        <v>84</v>
      </c>
      <c r="C11083">
        <v>443</v>
      </c>
      <c r="D11083" t="s">
        <v>80</v>
      </c>
      <c r="E11083">
        <v>8.1239999999999993E-3</v>
      </c>
      <c r="F11083" t="s">
        <v>74</v>
      </c>
      <c r="G11083">
        <v>8.1241699999999994</v>
      </c>
      <c r="H11083" t="s">
        <v>75</v>
      </c>
      <c r="I11083">
        <v>8124.1689999999999</v>
      </c>
      <c r="J11083" t="s">
        <v>76</v>
      </c>
      <c r="K11083" t="s">
        <v>77</v>
      </c>
    </row>
    <row r="11084" spans="1:12" x14ac:dyDescent="0.3">
      <c r="A11084" t="s">
        <v>497</v>
      </c>
      <c r="B11084" t="s">
        <v>84</v>
      </c>
      <c r="C11084">
        <v>443</v>
      </c>
      <c r="D11084" t="s">
        <v>81</v>
      </c>
      <c r="E11084">
        <v>1.2381E-2</v>
      </c>
      <c r="F11084" t="s">
        <v>74</v>
      </c>
      <c r="G11084">
        <v>12.38106</v>
      </c>
      <c r="H11084" t="s">
        <v>75</v>
      </c>
      <c r="I11084">
        <v>12381.065000000001</v>
      </c>
      <c r="J11084" t="s">
        <v>76</v>
      </c>
      <c r="K11084" t="s">
        <v>82</v>
      </c>
      <c r="L11084">
        <v>80.768496299999995</v>
      </c>
    </row>
    <row r="11085" spans="1:12" x14ac:dyDescent="0.3">
      <c r="A11085" t="s">
        <v>498</v>
      </c>
      <c r="B11085" t="s">
        <v>72</v>
      </c>
      <c r="C11085">
        <v>1</v>
      </c>
      <c r="D11085" t="s">
        <v>73</v>
      </c>
      <c r="E11085">
        <v>8.0000000000000007E-5</v>
      </c>
      <c r="F11085" t="s">
        <v>74</v>
      </c>
      <c r="G11085">
        <v>7.9799999999999996E-2</v>
      </c>
      <c r="H11085" t="s">
        <v>75</v>
      </c>
      <c r="I11085">
        <v>79.8</v>
      </c>
      <c r="J11085" t="s">
        <v>76</v>
      </c>
      <c r="K11085" t="s">
        <v>77</v>
      </c>
    </row>
    <row r="11086" spans="1:12" x14ac:dyDescent="0.3">
      <c r="A11086" t="s">
        <v>498</v>
      </c>
      <c r="B11086" t="s">
        <v>72</v>
      </c>
      <c r="C11086">
        <v>1</v>
      </c>
      <c r="D11086" t="s">
        <v>78</v>
      </c>
      <c r="E11086">
        <v>1.2899999999999999E-4</v>
      </c>
      <c r="F11086" t="s">
        <v>74</v>
      </c>
      <c r="G11086">
        <v>0.12909999999999999</v>
      </c>
      <c r="H11086" t="s">
        <v>75</v>
      </c>
      <c r="I11086">
        <v>129.1</v>
      </c>
      <c r="J11086" t="s">
        <v>76</v>
      </c>
      <c r="K11086" t="s">
        <v>77</v>
      </c>
    </row>
    <row r="11087" spans="1:12" x14ac:dyDescent="0.3">
      <c r="A11087" t="s">
        <v>498</v>
      </c>
      <c r="B11087" t="s">
        <v>72</v>
      </c>
      <c r="C11087">
        <v>2</v>
      </c>
      <c r="D11087" t="s">
        <v>86</v>
      </c>
      <c r="E11087">
        <v>1.7562999999999999E-2</v>
      </c>
      <c r="F11087" t="s">
        <v>74</v>
      </c>
      <c r="G11087">
        <v>17.56305</v>
      </c>
      <c r="H11087" t="s">
        <v>75</v>
      </c>
      <c r="I11087">
        <v>17563.050999999999</v>
      </c>
      <c r="J11087" t="s">
        <v>76</v>
      </c>
      <c r="K11087" t="s">
        <v>82</v>
      </c>
      <c r="L11087">
        <v>56.937716700000003</v>
      </c>
    </row>
    <row r="11088" spans="1:12" x14ac:dyDescent="0.3">
      <c r="A11088" t="s">
        <v>498</v>
      </c>
      <c r="B11088" t="s">
        <v>83</v>
      </c>
      <c r="C11088">
        <v>999</v>
      </c>
      <c r="D11088" t="s">
        <v>86</v>
      </c>
      <c r="E11088">
        <v>5.5259999999999997E-3</v>
      </c>
      <c r="F11088" t="s">
        <v>74</v>
      </c>
      <c r="G11088">
        <v>5.5259099999999997</v>
      </c>
      <c r="H11088" t="s">
        <v>75</v>
      </c>
      <c r="I11088">
        <v>5525.91</v>
      </c>
      <c r="J11088" t="s">
        <v>76</v>
      </c>
      <c r="K11088" t="s">
        <v>82</v>
      </c>
      <c r="L11088">
        <v>180.9656617</v>
      </c>
    </row>
    <row r="11089" spans="1:12" x14ac:dyDescent="0.3">
      <c r="A11089" t="s">
        <v>498</v>
      </c>
      <c r="B11089" t="s">
        <v>85</v>
      </c>
      <c r="C11089">
        <v>1001</v>
      </c>
      <c r="D11089" t="s">
        <v>86</v>
      </c>
      <c r="E11089">
        <v>5.5339999999999999E-3</v>
      </c>
      <c r="F11089" t="s">
        <v>74</v>
      </c>
      <c r="G11089">
        <v>5.5338900000000004</v>
      </c>
      <c r="H11089" t="s">
        <v>75</v>
      </c>
      <c r="I11089">
        <v>5533.8860000000004</v>
      </c>
      <c r="J11089" t="s">
        <v>76</v>
      </c>
      <c r="K11089" t="s">
        <v>82</v>
      </c>
      <c r="L11089">
        <v>180.704835</v>
      </c>
    </row>
    <row r="11090" spans="1:12" x14ac:dyDescent="0.3">
      <c r="A11090" t="s">
        <v>115</v>
      </c>
    </row>
    <row r="11091" spans="1:12" x14ac:dyDescent="0.3">
      <c r="A11091" t="s">
        <v>127</v>
      </c>
    </row>
    <row r="11092" spans="1:12" x14ac:dyDescent="0.3">
      <c r="A11092" t="s">
        <v>87</v>
      </c>
    </row>
    <row r="11093" spans="1:12" x14ac:dyDescent="0.3">
      <c r="A11093" t="s">
        <v>513</v>
      </c>
    </row>
    <row r="11094" spans="1:12" x14ac:dyDescent="0.3">
      <c r="A11094" t="s">
        <v>496</v>
      </c>
      <c r="B11094" t="s">
        <v>72</v>
      </c>
      <c r="C11094">
        <v>1</v>
      </c>
      <c r="D11094" t="s">
        <v>81</v>
      </c>
      <c r="E11094">
        <v>0.31413600000000003</v>
      </c>
      <c r="F11094" t="s">
        <v>74</v>
      </c>
      <c r="G11094">
        <v>314.13600000000002</v>
      </c>
      <c r="H11094" t="s">
        <v>75</v>
      </c>
      <c r="I11094">
        <v>314135.99800000002</v>
      </c>
      <c r="J11094" t="s">
        <v>76</v>
      </c>
      <c r="K11094" t="s">
        <v>82</v>
      </c>
      <c r="L11094">
        <v>3.1833345999999998</v>
      </c>
    </row>
    <row r="11095" spans="1:12" x14ac:dyDescent="0.3">
      <c r="A11095" t="s">
        <v>496</v>
      </c>
      <c r="B11095" t="s">
        <v>83</v>
      </c>
      <c r="C11095">
        <v>541</v>
      </c>
      <c r="D11095" t="s">
        <v>81</v>
      </c>
      <c r="E11095">
        <v>9.0279999999999996E-3</v>
      </c>
      <c r="F11095" t="s">
        <v>74</v>
      </c>
      <c r="G11095">
        <v>9.0278500000000008</v>
      </c>
      <c r="H11095" t="s">
        <v>75</v>
      </c>
      <c r="I11095">
        <v>9027.8449999999993</v>
      </c>
      <c r="J11095" t="s">
        <v>76</v>
      </c>
      <c r="K11095" t="s">
        <v>82</v>
      </c>
      <c r="L11095">
        <v>110.7684048</v>
      </c>
    </row>
    <row r="11096" spans="1:12" x14ac:dyDescent="0.3">
      <c r="A11096" t="s">
        <v>496</v>
      </c>
      <c r="B11096" t="s">
        <v>84</v>
      </c>
      <c r="C11096">
        <v>542</v>
      </c>
      <c r="D11096" t="s">
        <v>81</v>
      </c>
      <c r="E11096">
        <v>9.5910000000000006E-3</v>
      </c>
      <c r="F11096" t="s">
        <v>74</v>
      </c>
      <c r="G11096">
        <v>9.5907800000000005</v>
      </c>
      <c r="H11096" t="s">
        <v>75</v>
      </c>
      <c r="I11096">
        <v>9590.7759999999998</v>
      </c>
      <c r="J11096" t="s">
        <v>76</v>
      </c>
      <c r="K11096" t="s">
        <v>82</v>
      </c>
      <c r="L11096">
        <v>104.2668475</v>
      </c>
    </row>
    <row r="11097" spans="1:12" x14ac:dyDescent="0.3">
      <c r="A11097" t="s">
        <v>497</v>
      </c>
      <c r="B11097" t="s">
        <v>72</v>
      </c>
      <c r="C11097">
        <v>1</v>
      </c>
      <c r="D11097" t="s">
        <v>81</v>
      </c>
      <c r="E11097">
        <v>0.119128</v>
      </c>
      <c r="F11097" t="s">
        <v>74</v>
      </c>
      <c r="G11097">
        <v>119.1284</v>
      </c>
      <c r="H11097" t="s">
        <v>75</v>
      </c>
      <c r="I11097">
        <v>119128.399</v>
      </c>
      <c r="J11097" t="s">
        <v>76</v>
      </c>
      <c r="K11097" t="s">
        <v>82</v>
      </c>
      <c r="L11097">
        <v>8.3943040999999994</v>
      </c>
    </row>
    <row r="11098" spans="1:12" x14ac:dyDescent="0.3">
      <c r="A11098" t="s">
        <v>497</v>
      </c>
      <c r="B11098" t="s">
        <v>83</v>
      </c>
      <c r="C11098">
        <v>458</v>
      </c>
      <c r="D11098" t="s">
        <v>81</v>
      </c>
      <c r="E11098">
        <v>1.1011E-2</v>
      </c>
      <c r="F11098" t="s">
        <v>74</v>
      </c>
      <c r="G11098">
        <v>11.011240000000001</v>
      </c>
      <c r="H11098" t="s">
        <v>75</v>
      </c>
      <c r="I11098">
        <v>11011.243</v>
      </c>
      <c r="J11098" t="s">
        <v>76</v>
      </c>
      <c r="K11098" t="s">
        <v>82</v>
      </c>
      <c r="L11098">
        <v>90.816265200000004</v>
      </c>
    </row>
    <row r="11099" spans="1:12" x14ac:dyDescent="0.3">
      <c r="A11099" t="s">
        <v>497</v>
      </c>
      <c r="B11099" t="s">
        <v>84</v>
      </c>
      <c r="C11099">
        <v>459</v>
      </c>
      <c r="D11099" t="s">
        <v>81</v>
      </c>
      <c r="E11099">
        <v>1.1247E-2</v>
      </c>
      <c r="F11099" t="s">
        <v>74</v>
      </c>
      <c r="G11099">
        <v>11.246790000000001</v>
      </c>
      <c r="H11099" t="s">
        <v>75</v>
      </c>
      <c r="I11099">
        <v>11246.793</v>
      </c>
      <c r="J11099" t="s">
        <v>76</v>
      </c>
      <c r="K11099" t="s">
        <v>82</v>
      </c>
      <c r="L11099">
        <v>88.914232100000007</v>
      </c>
    </row>
    <row r="11100" spans="1:12" x14ac:dyDescent="0.3">
      <c r="A11100" t="s">
        <v>498</v>
      </c>
      <c r="B11100" t="s">
        <v>72</v>
      </c>
      <c r="C11100">
        <v>2</v>
      </c>
      <c r="D11100" t="s">
        <v>86</v>
      </c>
      <c r="E11100">
        <v>0.15708900000000001</v>
      </c>
      <c r="F11100" t="s">
        <v>74</v>
      </c>
      <c r="G11100">
        <v>157.08865</v>
      </c>
      <c r="H11100" t="s">
        <v>75</v>
      </c>
      <c r="I11100">
        <v>157088.652</v>
      </c>
      <c r="J11100" t="s">
        <v>76</v>
      </c>
      <c r="K11100" t="s">
        <v>82</v>
      </c>
      <c r="L11100">
        <v>6.3658321999999998</v>
      </c>
    </row>
    <row r="11101" spans="1:12" x14ac:dyDescent="0.3">
      <c r="A11101" t="s">
        <v>498</v>
      </c>
      <c r="B11101" t="s">
        <v>83</v>
      </c>
      <c r="C11101">
        <v>999</v>
      </c>
      <c r="D11101" t="s">
        <v>86</v>
      </c>
      <c r="E11101">
        <v>5.0959999999999998E-3</v>
      </c>
      <c r="F11101" t="s">
        <v>74</v>
      </c>
      <c r="G11101">
        <v>5.0960200000000002</v>
      </c>
      <c r="H11101" t="s">
        <v>75</v>
      </c>
      <c r="I11101">
        <v>5096.0169999999998</v>
      </c>
      <c r="J11101" t="s">
        <v>76</v>
      </c>
      <c r="K11101" t="s">
        <v>82</v>
      </c>
      <c r="L11101">
        <v>196.23168670000001</v>
      </c>
    </row>
    <row r="11102" spans="1:12" x14ac:dyDescent="0.3">
      <c r="A11102" t="s">
        <v>498</v>
      </c>
      <c r="B11102" t="s">
        <v>85</v>
      </c>
      <c r="C11102">
        <v>1001</v>
      </c>
      <c r="D11102" t="s">
        <v>86</v>
      </c>
      <c r="E11102">
        <v>5.2110000000000004E-3</v>
      </c>
      <c r="F11102" t="s">
        <v>74</v>
      </c>
      <c r="G11102">
        <v>5.2113500000000004</v>
      </c>
      <c r="H11102" t="s">
        <v>75</v>
      </c>
      <c r="I11102">
        <v>5211.3450000000003</v>
      </c>
      <c r="J11102" t="s">
        <v>76</v>
      </c>
      <c r="K11102" t="s">
        <v>82</v>
      </c>
      <c r="L11102">
        <v>191.8890346</v>
      </c>
    </row>
    <row r="11104" spans="1:12" x14ac:dyDescent="0.3">
      <c r="A11104" t="s">
        <v>514</v>
      </c>
    </row>
    <row r="11105" spans="1:12" x14ac:dyDescent="0.3">
      <c r="A11105" t="s">
        <v>496</v>
      </c>
      <c r="B11105" t="s">
        <v>72</v>
      </c>
      <c r="C11105">
        <v>1</v>
      </c>
      <c r="D11105" t="s">
        <v>81</v>
      </c>
      <c r="E11105">
        <v>1.1982E-2</v>
      </c>
      <c r="F11105" t="s">
        <v>74</v>
      </c>
      <c r="G11105">
        <v>11.9818</v>
      </c>
      <c r="H11105" t="s">
        <v>75</v>
      </c>
      <c r="I11105">
        <v>11981.8</v>
      </c>
      <c r="J11105" t="s">
        <v>76</v>
      </c>
      <c r="K11105" t="s">
        <v>82</v>
      </c>
      <c r="L11105">
        <v>83.459912799999998</v>
      </c>
    </row>
    <row r="11106" spans="1:12" x14ac:dyDescent="0.3">
      <c r="A11106" t="s">
        <v>496</v>
      </c>
      <c r="B11106" t="s">
        <v>83</v>
      </c>
      <c r="C11106">
        <v>557</v>
      </c>
      <c r="D11106" t="s">
        <v>81</v>
      </c>
      <c r="E11106">
        <v>9.9109999999999997E-3</v>
      </c>
      <c r="F11106" t="s">
        <v>74</v>
      </c>
      <c r="G11106">
        <v>9.9109200000000008</v>
      </c>
      <c r="H11106" t="s">
        <v>75</v>
      </c>
      <c r="I11106">
        <v>9910.9210000000003</v>
      </c>
      <c r="J11106" t="s">
        <v>76</v>
      </c>
      <c r="K11106" t="s">
        <v>82</v>
      </c>
      <c r="L11106">
        <v>100.8987985</v>
      </c>
    </row>
    <row r="11107" spans="1:12" x14ac:dyDescent="0.3">
      <c r="A11107" t="s">
        <v>496</v>
      </c>
      <c r="B11107" t="s">
        <v>84</v>
      </c>
      <c r="C11107">
        <v>558</v>
      </c>
      <c r="D11107" t="s">
        <v>81</v>
      </c>
      <c r="E11107">
        <v>9.9150000000000002E-3</v>
      </c>
      <c r="F11107" t="s">
        <v>74</v>
      </c>
      <c r="G11107">
        <v>9.9146300000000007</v>
      </c>
      <c r="H11107" t="s">
        <v>75</v>
      </c>
      <c r="I11107">
        <v>9914.6309999999994</v>
      </c>
      <c r="J11107" t="s">
        <v>76</v>
      </c>
      <c r="K11107" t="s">
        <v>82</v>
      </c>
      <c r="L11107">
        <v>100.8610357</v>
      </c>
    </row>
    <row r="11108" spans="1:12" x14ac:dyDescent="0.3">
      <c r="A11108" t="s">
        <v>497</v>
      </c>
      <c r="B11108" t="s">
        <v>72</v>
      </c>
      <c r="C11108">
        <v>1</v>
      </c>
      <c r="D11108" t="s">
        <v>81</v>
      </c>
      <c r="E11108">
        <v>3.5120999999999999E-2</v>
      </c>
      <c r="F11108" t="s">
        <v>74</v>
      </c>
      <c r="G11108">
        <v>35.120800000000003</v>
      </c>
      <c r="H11108" t="s">
        <v>75</v>
      </c>
      <c r="I11108">
        <v>35120.800000000003</v>
      </c>
      <c r="J11108" t="s">
        <v>76</v>
      </c>
      <c r="K11108" t="s">
        <v>82</v>
      </c>
      <c r="L11108">
        <v>28.4731554</v>
      </c>
    </row>
    <row r="11109" spans="1:12" x14ac:dyDescent="0.3">
      <c r="A11109" t="s">
        <v>497</v>
      </c>
      <c r="B11109" t="s">
        <v>83</v>
      </c>
      <c r="C11109">
        <v>442</v>
      </c>
      <c r="D11109" t="s">
        <v>81</v>
      </c>
      <c r="E11109">
        <v>1.2330000000000001E-2</v>
      </c>
      <c r="F11109" t="s">
        <v>74</v>
      </c>
      <c r="G11109">
        <v>12.32962</v>
      </c>
      <c r="H11109" t="s">
        <v>75</v>
      </c>
      <c r="I11109">
        <v>12329.619000000001</v>
      </c>
      <c r="J11109" t="s">
        <v>76</v>
      </c>
      <c r="K11109" t="s">
        <v>82</v>
      </c>
      <c r="L11109">
        <v>81.105504400000001</v>
      </c>
    </row>
    <row r="11110" spans="1:12" x14ac:dyDescent="0.3">
      <c r="A11110" t="s">
        <v>497</v>
      </c>
      <c r="B11110" t="s">
        <v>84</v>
      </c>
      <c r="C11110">
        <v>443</v>
      </c>
      <c r="D11110" t="s">
        <v>81</v>
      </c>
      <c r="E11110">
        <v>1.2381E-2</v>
      </c>
      <c r="F11110" t="s">
        <v>74</v>
      </c>
      <c r="G11110">
        <v>12.38106</v>
      </c>
      <c r="H11110" t="s">
        <v>75</v>
      </c>
      <c r="I11110">
        <v>12381.065000000001</v>
      </c>
      <c r="J11110" t="s">
        <v>76</v>
      </c>
      <c r="K11110" t="s">
        <v>82</v>
      </c>
      <c r="L11110">
        <v>80.768496299999995</v>
      </c>
    </row>
    <row r="11111" spans="1:12" x14ac:dyDescent="0.3">
      <c r="A11111" t="s">
        <v>498</v>
      </c>
      <c r="B11111" t="s">
        <v>72</v>
      </c>
      <c r="C11111">
        <v>2</v>
      </c>
      <c r="D11111" t="s">
        <v>86</v>
      </c>
      <c r="E11111">
        <v>1.7562999999999999E-2</v>
      </c>
      <c r="F11111" t="s">
        <v>74</v>
      </c>
      <c r="G11111">
        <v>17.56305</v>
      </c>
      <c r="H11111" t="s">
        <v>75</v>
      </c>
      <c r="I11111">
        <v>17563.050999999999</v>
      </c>
      <c r="J11111" t="s">
        <v>76</v>
      </c>
      <c r="K11111" t="s">
        <v>82</v>
      </c>
      <c r="L11111">
        <v>56.937716700000003</v>
      </c>
    </row>
    <row r="11112" spans="1:12" x14ac:dyDescent="0.3">
      <c r="A11112" t="s">
        <v>498</v>
      </c>
      <c r="B11112" t="s">
        <v>83</v>
      </c>
      <c r="C11112">
        <v>999</v>
      </c>
      <c r="D11112" t="s">
        <v>86</v>
      </c>
      <c r="E11112">
        <v>5.5259999999999997E-3</v>
      </c>
      <c r="F11112" t="s">
        <v>74</v>
      </c>
      <c r="G11112">
        <v>5.5259099999999997</v>
      </c>
      <c r="H11112" t="s">
        <v>75</v>
      </c>
      <c r="I11112">
        <v>5525.91</v>
      </c>
      <c r="J11112" t="s">
        <v>76</v>
      </c>
      <c r="K11112" t="s">
        <v>82</v>
      </c>
      <c r="L11112">
        <v>180.9656617</v>
      </c>
    </row>
    <row r="11113" spans="1:12" x14ac:dyDescent="0.3">
      <c r="A11113" t="s">
        <v>498</v>
      </c>
      <c r="B11113" t="s">
        <v>85</v>
      </c>
      <c r="C11113">
        <v>1001</v>
      </c>
      <c r="D11113" t="s">
        <v>86</v>
      </c>
      <c r="E11113">
        <v>5.5339999999999999E-3</v>
      </c>
      <c r="F11113" t="s">
        <v>74</v>
      </c>
      <c r="G11113">
        <v>5.5338900000000004</v>
      </c>
      <c r="H11113" t="s">
        <v>75</v>
      </c>
      <c r="I11113">
        <v>5533.8860000000004</v>
      </c>
      <c r="J11113" t="s">
        <v>76</v>
      </c>
      <c r="K11113" t="s">
        <v>82</v>
      </c>
      <c r="L11113">
        <v>180.704835</v>
      </c>
    </row>
    <row r="11115" spans="1:12" x14ac:dyDescent="0.3">
      <c r="A11115" t="s">
        <v>66</v>
      </c>
    </row>
    <row r="11117" spans="1:12" x14ac:dyDescent="0.3">
      <c r="A11117" t="s">
        <v>515</v>
      </c>
    </row>
    <row r="11118" spans="1:12" x14ac:dyDescent="0.3">
      <c r="A11118" t="s">
        <v>68</v>
      </c>
    </row>
    <row r="11119" spans="1:12" x14ac:dyDescent="0.3">
      <c r="A11119" t="s">
        <v>69</v>
      </c>
    </row>
    <row r="11120" spans="1:12" x14ac:dyDescent="0.3">
      <c r="A11120" t="s">
        <v>68</v>
      </c>
    </row>
    <row r="11121" spans="1:1" x14ac:dyDescent="0.3">
      <c r="A11121" t="s">
        <v>69</v>
      </c>
    </row>
    <row r="11122" spans="1:1" x14ac:dyDescent="0.3">
      <c r="A11122" t="s">
        <v>70</v>
      </c>
    </row>
    <row r="11123" spans="1:1" x14ac:dyDescent="0.3">
      <c r="A11123" t="s">
        <v>115</v>
      </c>
    </row>
    <row r="11124" spans="1:1" x14ac:dyDescent="0.3">
      <c r="A11124" t="s">
        <v>116</v>
      </c>
    </row>
    <row r="11125" spans="1:1" x14ac:dyDescent="0.3">
      <c r="A11125" t="s">
        <v>117</v>
      </c>
    </row>
    <row r="11126" spans="1:1" x14ac:dyDescent="0.3">
      <c r="A11126" t="s">
        <v>118</v>
      </c>
    </row>
    <row r="11127" spans="1:1" x14ac:dyDescent="0.3">
      <c r="A11127" t="s">
        <v>119</v>
      </c>
    </row>
    <row r="11128" spans="1:1" x14ac:dyDescent="0.3">
      <c r="A11128" t="s">
        <v>120</v>
      </c>
    </row>
    <row r="11129" spans="1:1" x14ac:dyDescent="0.3">
      <c r="A11129" t="s">
        <v>121</v>
      </c>
    </row>
    <row r="11130" spans="1:1" x14ac:dyDescent="0.3">
      <c r="A11130" t="s">
        <v>122</v>
      </c>
    </row>
    <row r="11131" spans="1:1" x14ac:dyDescent="0.3">
      <c r="A11131" t="s">
        <v>123</v>
      </c>
    </row>
    <row r="11132" spans="1:1" x14ac:dyDescent="0.3">
      <c r="A11132" t="s">
        <v>124</v>
      </c>
    </row>
    <row r="11133" spans="1:1" x14ac:dyDescent="0.3">
      <c r="A11133" t="s">
        <v>125</v>
      </c>
    </row>
    <row r="11134" spans="1:1" x14ac:dyDescent="0.3">
      <c r="A11134" t="s">
        <v>126</v>
      </c>
    </row>
    <row r="11135" spans="1:1" x14ac:dyDescent="0.3">
      <c r="A11135" t="s">
        <v>127</v>
      </c>
    </row>
    <row r="11136" spans="1:1" x14ac:dyDescent="0.3">
      <c r="A11136" t="s">
        <v>153</v>
      </c>
    </row>
    <row r="11137" spans="1:11" x14ac:dyDescent="0.3">
      <c r="A11137" t="s">
        <v>115</v>
      </c>
    </row>
    <row r="11138" spans="1:11" x14ac:dyDescent="0.3">
      <c r="A11138" t="s">
        <v>266</v>
      </c>
    </row>
    <row r="11139" spans="1:11" x14ac:dyDescent="0.3">
      <c r="A11139" t="s">
        <v>267</v>
      </c>
    </row>
    <row r="11140" spans="1:11" x14ac:dyDescent="0.3">
      <c r="A11140" t="s">
        <v>118</v>
      </c>
    </row>
    <row r="11141" spans="1:11" x14ac:dyDescent="0.3">
      <c r="A11141" t="s">
        <v>119</v>
      </c>
    </row>
    <row r="11142" spans="1:11" x14ac:dyDescent="0.3">
      <c r="A11142" t="s">
        <v>268</v>
      </c>
    </row>
    <row r="11143" spans="1:11" x14ac:dyDescent="0.3">
      <c r="A11143" t="s">
        <v>269</v>
      </c>
    </row>
    <row r="11144" spans="1:11" x14ac:dyDescent="0.3">
      <c r="A11144" t="s">
        <v>122</v>
      </c>
    </row>
    <row r="11145" spans="1:11" x14ac:dyDescent="0.3">
      <c r="A11145" t="s">
        <v>270</v>
      </c>
    </row>
    <row r="11146" spans="1:11" x14ac:dyDescent="0.3">
      <c r="A11146" t="s">
        <v>271</v>
      </c>
    </row>
    <row r="11147" spans="1:11" x14ac:dyDescent="0.3">
      <c r="A11147" t="s">
        <v>125</v>
      </c>
    </row>
    <row r="11148" spans="1:11" x14ac:dyDescent="0.3">
      <c r="A11148" t="s">
        <v>126</v>
      </c>
    </row>
    <row r="11149" spans="1:11" x14ac:dyDescent="0.3">
      <c r="A11149" t="s">
        <v>127</v>
      </c>
    </row>
    <row r="11150" spans="1:11" x14ac:dyDescent="0.3">
      <c r="A11150" t="s">
        <v>153</v>
      </c>
    </row>
    <row r="11151" spans="1:11" x14ac:dyDescent="0.3">
      <c r="A11151" t="s">
        <v>516</v>
      </c>
    </row>
    <row r="11152" spans="1:11" x14ac:dyDescent="0.3">
      <c r="A11152" t="s">
        <v>496</v>
      </c>
      <c r="B11152" t="s">
        <v>72</v>
      </c>
      <c r="C11152">
        <v>1</v>
      </c>
      <c r="D11152" t="s">
        <v>79</v>
      </c>
      <c r="E11152">
        <v>0.45083400000000001</v>
      </c>
      <c r="F11152" t="s">
        <v>74</v>
      </c>
      <c r="G11152">
        <v>450.83400999999998</v>
      </c>
      <c r="H11152" t="s">
        <v>75</v>
      </c>
      <c r="I11152">
        <v>450834.00599999999</v>
      </c>
      <c r="J11152" t="s">
        <v>76</v>
      </c>
      <c r="K11152" t="s">
        <v>77</v>
      </c>
    </row>
    <row r="11153" spans="1:12" x14ac:dyDescent="0.3">
      <c r="A11153" t="s">
        <v>496</v>
      </c>
      <c r="B11153" t="s">
        <v>72</v>
      </c>
      <c r="C11153">
        <v>1</v>
      </c>
      <c r="D11153" t="s">
        <v>94</v>
      </c>
      <c r="E11153">
        <v>3.9042E-2</v>
      </c>
      <c r="F11153" t="s">
        <v>74</v>
      </c>
      <c r="G11153">
        <v>39.042499999999997</v>
      </c>
      <c r="H11153" t="s">
        <v>75</v>
      </c>
      <c r="I11153">
        <v>39042.499000000003</v>
      </c>
      <c r="J11153" t="s">
        <v>76</v>
      </c>
      <c r="K11153" t="s">
        <v>77</v>
      </c>
    </row>
    <row r="11154" spans="1:12" x14ac:dyDescent="0.3">
      <c r="A11154" t="s">
        <v>496</v>
      </c>
      <c r="B11154" t="s">
        <v>72</v>
      </c>
      <c r="C11154">
        <v>1</v>
      </c>
      <c r="D11154" t="s">
        <v>80</v>
      </c>
      <c r="E11154">
        <v>3.9043000000000001E-2</v>
      </c>
      <c r="F11154" t="s">
        <v>74</v>
      </c>
      <c r="G11154">
        <v>39.043199999999999</v>
      </c>
      <c r="H11154" t="s">
        <v>75</v>
      </c>
      <c r="I11154">
        <v>39043.199000000001</v>
      </c>
      <c r="J11154" t="s">
        <v>76</v>
      </c>
      <c r="K11154" t="s">
        <v>77</v>
      </c>
    </row>
    <row r="11155" spans="1:12" x14ac:dyDescent="0.3">
      <c r="A11155" t="s">
        <v>496</v>
      </c>
      <c r="B11155" t="s">
        <v>72</v>
      </c>
      <c r="C11155">
        <v>1</v>
      </c>
      <c r="D11155" t="s">
        <v>81</v>
      </c>
      <c r="E11155">
        <v>0.48987799999999998</v>
      </c>
      <c r="F11155" t="s">
        <v>74</v>
      </c>
      <c r="G11155">
        <v>489.8777</v>
      </c>
      <c r="H11155" t="s">
        <v>75</v>
      </c>
      <c r="I11155">
        <v>489877.701</v>
      </c>
      <c r="J11155" t="s">
        <v>76</v>
      </c>
      <c r="K11155" t="s">
        <v>82</v>
      </c>
      <c r="L11155">
        <v>2.0413258000000001</v>
      </c>
    </row>
    <row r="11156" spans="1:12" x14ac:dyDescent="0.3">
      <c r="A11156" t="s">
        <v>496</v>
      </c>
      <c r="B11156" t="s">
        <v>83</v>
      </c>
      <c r="C11156">
        <v>539</v>
      </c>
      <c r="D11156" t="s">
        <v>79</v>
      </c>
      <c r="E11156">
        <v>5.9000000000000003E-4</v>
      </c>
      <c r="F11156" t="s">
        <v>74</v>
      </c>
      <c r="G11156">
        <v>0.59041999999999994</v>
      </c>
      <c r="H11156" t="s">
        <v>75</v>
      </c>
      <c r="I11156">
        <v>590.41999999999996</v>
      </c>
      <c r="J11156" t="s">
        <v>76</v>
      </c>
      <c r="K11156" t="s">
        <v>77</v>
      </c>
    </row>
    <row r="11157" spans="1:12" x14ac:dyDescent="0.3">
      <c r="A11157" t="s">
        <v>496</v>
      </c>
      <c r="B11157" t="s">
        <v>83</v>
      </c>
      <c r="C11157">
        <v>539</v>
      </c>
      <c r="D11157" t="s">
        <v>94</v>
      </c>
      <c r="E11157">
        <v>1.402E-3</v>
      </c>
      <c r="F11157" t="s">
        <v>74</v>
      </c>
      <c r="G11157">
        <v>1.4015899999999999</v>
      </c>
      <c r="H11157" t="s">
        <v>75</v>
      </c>
      <c r="I11157">
        <v>1401.5909999999999</v>
      </c>
      <c r="J11157" t="s">
        <v>76</v>
      </c>
      <c r="K11157" t="s">
        <v>77</v>
      </c>
    </row>
    <row r="11158" spans="1:12" x14ac:dyDescent="0.3">
      <c r="A11158" t="s">
        <v>496</v>
      </c>
      <c r="B11158" t="s">
        <v>83</v>
      </c>
      <c r="C11158">
        <v>539</v>
      </c>
      <c r="D11158" t="s">
        <v>80</v>
      </c>
      <c r="E11158">
        <v>1.402E-3</v>
      </c>
      <c r="F11158" t="s">
        <v>74</v>
      </c>
      <c r="G11158">
        <v>1.4023600000000001</v>
      </c>
      <c r="H11158" t="s">
        <v>75</v>
      </c>
      <c r="I11158">
        <v>1402.3610000000001</v>
      </c>
      <c r="J11158" t="s">
        <v>76</v>
      </c>
      <c r="K11158" t="s">
        <v>77</v>
      </c>
    </row>
    <row r="11159" spans="1:12" x14ac:dyDescent="0.3">
      <c r="A11159" t="s">
        <v>496</v>
      </c>
      <c r="B11159" t="s">
        <v>83</v>
      </c>
      <c r="C11159">
        <v>539</v>
      </c>
      <c r="D11159" t="s">
        <v>81</v>
      </c>
      <c r="E11159">
        <v>1.993E-3</v>
      </c>
      <c r="F11159" t="s">
        <v>74</v>
      </c>
      <c r="G11159">
        <v>1.9931000000000001</v>
      </c>
      <c r="H11159" t="s">
        <v>75</v>
      </c>
      <c r="I11159">
        <v>1993.1010000000001</v>
      </c>
      <c r="J11159" t="s">
        <v>76</v>
      </c>
      <c r="K11159" t="s">
        <v>82</v>
      </c>
      <c r="L11159">
        <v>501.7307131</v>
      </c>
    </row>
    <row r="11160" spans="1:12" x14ac:dyDescent="0.3">
      <c r="A11160" t="s">
        <v>496</v>
      </c>
      <c r="B11160" t="s">
        <v>84</v>
      </c>
      <c r="C11160">
        <v>540</v>
      </c>
      <c r="D11160" t="s">
        <v>79</v>
      </c>
      <c r="E11160">
        <v>1.4239999999999999E-3</v>
      </c>
      <c r="F11160" t="s">
        <v>74</v>
      </c>
      <c r="G11160">
        <v>1.42421</v>
      </c>
      <c r="H11160" t="s">
        <v>75</v>
      </c>
      <c r="I11160">
        <v>1424.2059999999999</v>
      </c>
      <c r="J11160" t="s">
        <v>76</v>
      </c>
      <c r="K11160" t="s">
        <v>77</v>
      </c>
    </row>
    <row r="11161" spans="1:12" x14ac:dyDescent="0.3">
      <c r="A11161" t="s">
        <v>496</v>
      </c>
      <c r="B11161" t="s">
        <v>84</v>
      </c>
      <c r="C11161">
        <v>540</v>
      </c>
      <c r="D11161" t="s">
        <v>94</v>
      </c>
      <c r="E11161">
        <v>1.4710000000000001E-3</v>
      </c>
      <c r="F11161" t="s">
        <v>74</v>
      </c>
      <c r="G11161">
        <v>1.4713000000000001</v>
      </c>
      <c r="H11161" t="s">
        <v>75</v>
      </c>
      <c r="I11161">
        <v>1471.297</v>
      </c>
      <c r="J11161" t="s">
        <v>76</v>
      </c>
      <c r="K11161" t="s">
        <v>77</v>
      </c>
    </row>
    <row r="11162" spans="1:12" x14ac:dyDescent="0.3">
      <c r="A11162" t="s">
        <v>496</v>
      </c>
      <c r="B11162" t="s">
        <v>84</v>
      </c>
      <c r="C11162">
        <v>540</v>
      </c>
      <c r="D11162" t="s">
        <v>80</v>
      </c>
      <c r="E11162">
        <v>1.472E-3</v>
      </c>
      <c r="F11162" t="s">
        <v>74</v>
      </c>
      <c r="G11162">
        <v>1.47207</v>
      </c>
      <c r="H11162" t="s">
        <v>75</v>
      </c>
      <c r="I11162">
        <v>1472.067</v>
      </c>
      <c r="J11162" t="s">
        <v>76</v>
      </c>
      <c r="K11162" t="s">
        <v>77</v>
      </c>
    </row>
    <row r="11163" spans="1:12" x14ac:dyDescent="0.3">
      <c r="A11163" t="s">
        <v>496</v>
      </c>
      <c r="B11163" t="s">
        <v>84</v>
      </c>
      <c r="C11163">
        <v>540</v>
      </c>
      <c r="D11163" t="s">
        <v>81</v>
      </c>
      <c r="E11163">
        <v>2.8969999999999998E-3</v>
      </c>
      <c r="F11163" t="s">
        <v>74</v>
      </c>
      <c r="G11163">
        <v>2.8965900000000002</v>
      </c>
      <c r="H11163" t="s">
        <v>75</v>
      </c>
      <c r="I11163">
        <v>2896.5920000000001</v>
      </c>
      <c r="J11163" t="s">
        <v>76</v>
      </c>
      <c r="K11163" t="s">
        <v>82</v>
      </c>
      <c r="L11163">
        <v>345.23330549999997</v>
      </c>
    </row>
    <row r="11164" spans="1:12" x14ac:dyDescent="0.3">
      <c r="A11164" t="s">
        <v>497</v>
      </c>
      <c r="B11164" t="s">
        <v>72</v>
      </c>
      <c r="C11164">
        <v>1</v>
      </c>
      <c r="D11164" t="s">
        <v>79</v>
      </c>
      <c r="E11164">
        <v>0.17454700000000001</v>
      </c>
      <c r="F11164" t="s">
        <v>74</v>
      </c>
      <c r="G11164">
        <v>174.54730000000001</v>
      </c>
      <c r="H11164" t="s">
        <v>75</v>
      </c>
      <c r="I11164">
        <v>174547.3</v>
      </c>
      <c r="J11164" t="s">
        <v>76</v>
      </c>
      <c r="K11164" t="s">
        <v>77</v>
      </c>
    </row>
    <row r="11165" spans="1:12" x14ac:dyDescent="0.3">
      <c r="A11165" t="s">
        <v>497</v>
      </c>
      <c r="B11165" t="s">
        <v>72</v>
      </c>
      <c r="C11165">
        <v>1</v>
      </c>
      <c r="D11165" t="s">
        <v>94</v>
      </c>
      <c r="E11165">
        <v>1.8821999999999998E-2</v>
      </c>
      <c r="F11165" t="s">
        <v>74</v>
      </c>
      <c r="G11165">
        <v>18.822299999999998</v>
      </c>
      <c r="H11165" t="s">
        <v>75</v>
      </c>
      <c r="I11165">
        <v>18822.298999999999</v>
      </c>
      <c r="J11165" t="s">
        <v>76</v>
      </c>
      <c r="K11165" t="s">
        <v>77</v>
      </c>
    </row>
    <row r="11166" spans="1:12" x14ac:dyDescent="0.3">
      <c r="A11166" t="s">
        <v>497</v>
      </c>
      <c r="B11166" t="s">
        <v>72</v>
      </c>
      <c r="C11166">
        <v>1</v>
      </c>
      <c r="D11166" t="s">
        <v>80</v>
      </c>
      <c r="E11166">
        <v>1.8822999999999999E-2</v>
      </c>
      <c r="F11166" t="s">
        <v>74</v>
      </c>
      <c r="G11166">
        <v>18.8233</v>
      </c>
      <c r="H11166" t="s">
        <v>75</v>
      </c>
      <c r="I11166">
        <v>18823.3</v>
      </c>
      <c r="J11166" t="s">
        <v>76</v>
      </c>
      <c r="K11166" t="s">
        <v>77</v>
      </c>
    </row>
    <row r="11167" spans="1:12" x14ac:dyDescent="0.3">
      <c r="A11167" t="s">
        <v>497</v>
      </c>
      <c r="B11167" t="s">
        <v>72</v>
      </c>
      <c r="C11167">
        <v>1</v>
      </c>
      <c r="D11167" t="s">
        <v>81</v>
      </c>
      <c r="E11167">
        <v>0.19337099999999999</v>
      </c>
      <c r="F11167" t="s">
        <v>74</v>
      </c>
      <c r="G11167">
        <v>193.37120999999999</v>
      </c>
      <c r="H11167" t="s">
        <v>75</v>
      </c>
      <c r="I11167">
        <v>193371.20699999999</v>
      </c>
      <c r="J11167" t="s">
        <v>76</v>
      </c>
      <c r="K11167" t="s">
        <v>82</v>
      </c>
      <c r="L11167">
        <v>5.1714007000000004</v>
      </c>
    </row>
    <row r="11168" spans="1:12" x14ac:dyDescent="0.3">
      <c r="A11168" t="s">
        <v>497</v>
      </c>
      <c r="B11168" t="s">
        <v>83</v>
      </c>
      <c r="C11168">
        <v>460</v>
      </c>
      <c r="D11168" t="s">
        <v>79</v>
      </c>
      <c r="E11168">
        <v>7.3399999999999995E-4</v>
      </c>
      <c r="F11168" t="s">
        <v>74</v>
      </c>
      <c r="G11168">
        <v>0.73423000000000005</v>
      </c>
      <c r="H11168" t="s">
        <v>75</v>
      </c>
      <c r="I11168">
        <v>734.22699999999998</v>
      </c>
      <c r="J11168" t="s">
        <v>76</v>
      </c>
      <c r="K11168" t="s">
        <v>77</v>
      </c>
    </row>
    <row r="11169" spans="1:12" x14ac:dyDescent="0.3">
      <c r="A11169" t="s">
        <v>497</v>
      </c>
      <c r="B11169" t="s">
        <v>83</v>
      </c>
      <c r="C11169">
        <v>460</v>
      </c>
      <c r="D11169" t="s">
        <v>94</v>
      </c>
      <c r="E11169">
        <v>2.2109999999999999E-3</v>
      </c>
      <c r="F11169" t="s">
        <v>74</v>
      </c>
      <c r="G11169">
        <v>2.2111999999999998</v>
      </c>
      <c r="H11169" t="s">
        <v>75</v>
      </c>
      <c r="I11169">
        <v>2211.201</v>
      </c>
      <c r="J11169" t="s">
        <v>76</v>
      </c>
      <c r="K11169" t="s">
        <v>77</v>
      </c>
    </row>
    <row r="11170" spans="1:12" x14ac:dyDescent="0.3">
      <c r="A11170" t="s">
        <v>497</v>
      </c>
      <c r="B11170" t="s">
        <v>83</v>
      </c>
      <c r="C11170">
        <v>460</v>
      </c>
      <c r="D11170" t="s">
        <v>80</v>
      </c>
      <c r="E11170">
        <v>2.212E-3</v>
      </c>
      <c r="F11170" t="s">
        <v>74</v>
      </c>
      <c r="G11170">
        <v>2.2122700000000002</v>
      </c>
      <c r="H11170" t="s">
        <v>75</v>
      </c>
      <c r="I11170">
        <v>2212.2730000000001</v>
      </c>
      <c r="J11170" t="s">
        <v>76</v>
      </c>
      <c r="K11170" t="s">
        <v>77</v>
      </c>
    </row>
    <row r="11171" spans="1:12" x14ac:dyDescent="0.3">
      <c r="A11171" t="s">
        <v>497</v>
      </c>
      <c r="B11171" t="s">
        <v>83</v>
      </c>
      <c r="C11171">
        <v>460</v>
      </c>
      <c r="D11171" t="s">
        <v>81</v>
      </c>
      <c r="E11171">
        <v>2.947E-3</v>
      </c>
      <c r="F11171" t="s">
        <v>74</v>
      </c>
      <c r="G11171">
        <v>2.9473400000000001</v>
      </c>
      <c r="H11171" t="s">
        <v>75</v>
      </c>
      <c r="I11171">
        <v>2947.3389999999999</v>
      </c>
      <c r="J11171" t="s">
        <v>76</v>
      </c>
      <c r="K11171" t="s">
        <v>82</v>
      </c>
      <c r="L11171">
        <v>339.28906819999997</v>
      </c>
    </row>
    <row r="11172" spans="1:12" x14ac:dyDescent="0.3">
      <c r="A11172" t="s">
        <v>497</v>
      </c>
      <c r="B11172" t="s">
        <v>84</v>
      </c>
      <c r="C11172">
        <v>461</v>
      </c>
      <c r="D11172" t="s">
        <v>79</v>
      </c>
      <c r="E11172">
        <v>1.111E-3</v>
      </c>
      <c r="F11172" t="s">
        <v>74</v>
      </c>
      <c r="G11172">
        <v>1.1112599999999999</v>
      </c>
      <c r="H11172" t="s">
        <v>75</v>
      </c>
      <c r="I11172">
        <v>1111.2619999999999</v>
      </c>
      <c r="J11172" t="s">
        <v>76</v>
      </c>
      <c r="K11172" t="s">
        <v>77</v>
      </c>
    </row>
    <row r="11173" spans="1:12" x14ac:dyDescent="0.3">
      <c r="A11173" t="s">
        <v>497</v>
      </c>
      <c r="B11173" t="s">
        <v>84</v>
      </c>
      <c r="C11173">
        <v>461</v>
      </c>
      <c r="D11173" t="s">
        <v>94</v>
      </c>
      <c r="E11173">
        <v>2.2469999999999999E-3</v>
      </c>
      <c r="F11173" t="s">
        <v>74</v>
      </c>
      <c r="G11173">
        <v>2.2472300000000001</v>
      </c>
      <c r="H11173" t="s">
        <v>75</v>
      </c>
      <c r="I11173">
        <v>2247.2330000000002</v>
      </c>
      <c r="J11173" t="s">
        <v>76</v>
      </c>
      <c r="K11173" t="s">
        <v>77</v>
      </c>
    </row>
    <row r="11174" spans="1:12" x14ac:dyDescent="0.3">
      <c r="A11174" t="s">
        <v>497</v>
      </c>
      <c r="B11174" t="s">
        <v>84</v>
      </c>
      <c r="C11174">
        <v>461</v>
      </c>
      <c r="D11174" t="s">
        <v>80</v>
      </c>
      <c r="E11174">
        <v>2.248E-3</v>
      </c>
      <c r="F11174" t="s">
        <v>74</v>
      </c>
      <c r="G11174">
        <v>2.24831</v>
      </c>
      <c r="H11174" t="s">
        <v>75</v>
      </c>
      <c r="I11174">
        <v>2248.306</v>
      </c>
      <c r="J11174" t="s">
        <v>76</v>
      </c>
      <c r="K11174" t="s">
        <v>77</v>
      </c>
    </row>
    <row r="11175" spans="1:12" x14ac:dyDescent="0.3">
      <c r="A11175" t="s">
        <v>497</v>
      </c>
      <c r="B11175" t="s">
        <v>84</v>
      </c>
      <c r="C11175">
        <v>461</v>
      </c>
      <c r="D11175" t="s">
        <v>81</v>
      </c>
      <c r="E11175">
        <v>3.3600000000000001E-3</v>
      </c>
      <c r="F11175" t="s">
        <v>74</v>
      </c>
      <c r="G11175">
        <v>3.3604099999999999</v>
      </c>
      <c r="H11175" t="s">
        <v>75</v>
      </c>
      <c r="I11175">
        <v>3360.4070000000002</v>
      </c>
      <c r="J11175" t="s">
        <v>76</v>
      </c>
      <c r="K11175" t="s">
        <v>82</v>
      </c>
      <c r="L11175">
        <v>297.5830052</v>
      </c>
    </row>
    <row r="11176" spans="1:12" x14ac:dyDescent="0.3">
      <c r="A11176" t="s">
        <v>498</v>
      </c>
      <c r="B11176" t="s">
        <v>72</v>
      </c>
      <c r="C11176">
        <v>1</v>
      </c>
      <c r="D11176" t="s">
        <v>73</v>
      </c>
      <c r="E11176">
        <v>4.8000000000000001E-5</v>
      </c>
      <c r="F11176" t="s">
        <v>74</v>
      </c>
      <c r="G11176">
        <v>4.7500000000000001E-2</v>
      </c>
      <c r="H11176" t="s">
        <v>75</v>
      </c>
      <c r="I11176">
        <v>47.5</v>
      </c>
      <c r="J11176" t="s">
        <v>76</v>
      </c>
      <c r="K11176" t="s">
        <v>77</v>
      </c>
    </row>
    <row r="11177" spans="1:12" x14ac:dyDescent="0.3">
      <c r="A11177" t="s">
        <v>498</v>
      </c>
      <c r="B11177" t="s">
        <v>72</v>
      </c>
      <c r="C11177">
        <v>1</v>
      </c>
      <c r="D11177" t="s">
        <v>78</v>
      </c>
      <c r="E11177">
        <v>0.14704100000000001</v>
      </c>
      <c r="F11177" t="s">
        <v>74</v>
      </c>
      <c r="G11177">
        <v>147.04089999999999</v>
      </c>
      <c r="H11177" t="s">
        <v>75</v>
      </c>
      <c r="I11177">
        <v>147040.90400000001</v>
      </c>
      <c r="J11177" t="s">
        <v>76</v>
      </c>
      <c r="K11177" t="s">
        <v>77</v>
      </c>
    </row>
    <row r="11178" spans="1:12" x14ac:dyDescent="0.3">
      <c r="A11178" t="s">
        <v>498</v>
      </c>
      <c r="B11178" t="s">
        <v>72</v>
      </c>
      <c r="C11178">
        <v>2</v>
      </c>
      <c r="D11178" t="s">
        <v>86</v>
      </c>
      <c r="E11178">
        <v>0.24496000000000001</v>
      </c>
      <c r="F11178" t="s">
        <v>74</v>
      </c>
      <c r="G11178">
        <v>244.9597</v>
      </c>
      <c r="H11178" t="s">
        <v>75</v>
      </c>
      <c r="I11178">
        <v>244959.69699999999</v>
      </c>
      <c r="J11178" t="s">
        <v>76</v>
      </c>
      <c r="K11178" t="s">
        <v>82</v>
      </c>
      <c r="L11178">
        <v>4.0823042000000003</v>
      </c>
    </row>
    <row r="11179" spans="1:12" x14ac:dyDescent="0.3">
      <c r="A11179" t="s">
        <v>498</v>
      </c>
      <c r="B11179" t="s">
        <v>83</v>
      </c>
      <c r="C11179">
        <v>999</v>
      </c>
      <c r="D11179" t="s">
        <v>86</v>
      </c>
      <c r="E11179">
        <v>1.377E-3</v>
      </c>
      <c r="F11179" t="s">
        <v>74</v>
      </c>
      <c r="G11179">
        <v>1.3767499999999999</v>
      </c>
      <c r="H11179" t="s">
        <v>75</v>
      </c>
      <c r="I11179">
        <v>1376.748</v>
      </c>
      <c r="J11179" t="s">
        <v>76</v>
      </c>
      <c r="K11179" t="s">
        <v>82</v>
      </c>
      <c r="L11179">
        <v>726.34942020000005</v>
      </c>
    </row>
    <row r="11180" spans="1:12" x14ac:dyDescent="0.3">
      <c r="A11180" t="s">
        <v>498</v>
      </c>
      <c r="B11180" t="s">
        <v>85</v>
      </c>
      <c r="C11180">
        <v>1001</v>
      </c>
      <c r="D11180" t="s">
        <v>86</v>
      </c>
      <c r="E11180">
        <v>1.57E-3</v>
      </c>
      <c r="F11180" t="s">
        <v>74</v>
      </c>
      <c r="G11180">
        <v>1.56985</v>
      </c>
      <c r="H11180" t="s">
        <v>75</v>
      </c>
      <c r="I11180">
        <v>1569.85</v>
      </c>
      <c r="J11180" t="s">
        <v>76</v>
      </c>
      <c r="K11180" t="s">
        <v>82</v>
      </c>
      <c r="L11180">
        <v>637.00349310000001</v>
      </c>
    </row>
    <row r="11181" spans="1:12" x14ac:dyDescent="0.3">
      <c r="A11181" t="s">
        <v>155</v>
      </c>
    </row>
    <row r="11182" spans="1:12" x14ac:dyDescent="0.3">
      <c r="A11182" t="s">
        <v>155</v>
      </c>
    </row>
    <row r="11183" spans="1:12" x14ac:dyDescent="0.3">
      <c r="A11183" t="s">
        <v>517</v>
      </c>
    </row>
    <row r="11184" spans="1:12" x14ac:dyDescent="0.3">
      <c r="A11184" t="s">
        <v>496</v>
      </c>
      <c r="B11184" t="s">
        <v>72</v>
      </c>
      <c r="C11184">
        <v>1</v>
      </c>
      <c r="D11184" t="s">
        <v>79</v>
      </c>
      <c r="E11184">
        <v>7.6909999999999999E-3</v>
      </c>
      <c r="F11184" t="s">
        <v>74</v>
      </c>
      <c r="G11184">
        <v>7.6913999999999998</v>
      </c>
      <c r="H11184" t="s">
        <v>75</v>
      </c>
      <c r="I11184">
        <v>7691.4</v>
      </c>
      <c r="J11184" t="s">
        <v>76</v>
      </c>
      <c r="K11184" t="s">
        <v>77</v>
      </c>
    </row>
    <row r="11185" spans="1:12" x14ac:dyDescent="0.3">
      <c r="A11185" t="s">
        <v>496</v>
      </c>
      <c r="B11185" t="s">
        <v>72</v>
      </c>
      <c r="C11185">
        <v>1</v>
      </c>
      <c r="D11185" t="s">
        <v>94</v>
      </c>
      <c r="E11185">
        <v>3.1549000000000001E-2</v>
      </c>
      <c r="F11185" t="s">
        <v>74</v>
      </c>
      <c r="G11185">
        <v>31.549499999999998</v>
      </c>
      <c r="H11185" t="s">
        <v>75</v>
      </c>
      <c r="I11185">
        <v>31549.498</v>
      </c>
      <c r="J11185" t="s">
        <v>76</v>
      </c>
      <c r="K11185" t="s">
        <v>77</v>
      </c>
    </row>
    <row r="11186" spans="1:12" x14ac:dyDescent="0.3">
      <c r="A11186" t="s">
        <v>496</v>
      </c>
      <c r="B11186" t="s">
        <v>72</v>
      </c>
      <c r="C11186">
        <v>1</v>
      </c>
      <c r="D11186" t="s">
        <v>80</v>
      </c>
      <c r="E11186">
        <v>3.1551000000000003E-2</v>
      </c>
      <c r="F11186" t="s">
        <v>74</v>
      </c>
      <c r="G11186">
        <v>31.550699999999999</v>
      </c>
      <c r="H11186" t="s">
        <v>75</v>
      </c>
      <c r="I11186">
        <v>31550.702000000001</v>
      </c>
      <c r="J11186" t="s">
        <v>76</v>
      </c>
      <c r="K11186" t="s">
        <v>77</v>
      </c>
    </row>
    <row r="11187" spans="1:12" x14ac:dyDescent="0.3">
      <c r="A11187" t="s">
        <v>496</v>
      </c>
      <c r="B11187" t="s">
        <v>72</v>
      </c>
      <c r="C11187">
        <v>1</v>
      </c>
      <c r="D11187" t="s">
        <v>81</v>
      </c>
      <c r="E11187">
        <v>3.9241999999999999E-2</v>
      </c>
      <c r="F11187" t="s">
        <v>74</v>
      </c>
      <c r="G11187">
        <v>39.2423</v>
      </c>
      <c r="H11187" t="s">
        <v>75</v>
      </c>
      <c r="I11187">
        <v>39242.300999999999</v>
      </c>
      <c r="J11187" t="s">
        <v>76</v>
      </c>
      <c r="K11187" t="s">
        <v>82</v>
      </c>
      <c r="L11187">
        <v>25.4827054</v>
      </c>
    </row>
    <row r="11188" spans="1:12" x14ac:dyDescent="0.3">
      <c r="A11188" t="s">
        <v>496</v>
      </c>
      <c r="B11188" t="s">
        <v>83</v>
      </c>
      <c r="C11188">
        <v>615</v>
      </c>
      <c r="D11188" t="s">
        <v>79</v>
      </c>
      <c r="E11188">
        <v>6.1499999999999999E-4</v>
      </c>
      <c r="F11188" t="s">
        <v>74</v>
      </c>
      <c r="G11188">
        <v>0.61502000000000001</v>
      </c>
      <c r="H11188" t="s">
        <v>75</v>
      </c>
      <c r="I11188">
        <v>615.02200000000005</v>
      </c>
      <c r="J11188" t="s">
        <v>76</v>
      </c>
      <c r="K11188" t="s">
        <v>77</v>
      </c>
    </row>
    <row r="11189" spans="1:12" x14ac:dyDescent="0.3">
      <c r="A11189" t="s">
        <v>496</v>
      </c>
      <c r="B11189" t="s">
        <v>83</v>
      </c>
      <c r="C11189">
        <v>615</v>
      </c>
      <c r="D11189" t="s">
        <v>94</v>
      </c>
      <c r="E11189">
        <v>1.939E-3</v>
      </c>
      <c r="F11189" t="s">
        <v>74</v>
      </c>
      <c r="G11189">
        <v>1.93906</v>
      </c>
      <c r="H11189" t="s">
        <v>75</v>
      </c>
      <c r="I11189">
        <v>1939.0630000000001</v>
      </c>
      <c r="J11189" t="s">
        <v>76</v>
      </c>
      <c r="K11189" t="s">
        <v>77</v>
      </c>
    </row>
    <row r="11190" spans="1:12" x14ac:dyDescent="0.3">
      <c r="A11190" t="s">
        <v>496</v>
      </c>
      <c r="B11190" t="s">
        <v>83</v>
      </c>
      <c r="C11190">
        <v>615</v>
      </c>
      <c r="D11190" t="s">
        <v>80</v>
      </c>
      <c r="E11190">
        <v>2.1350000000000002E-3</v>
      </c>
      <c r="F11190" t="s">
        <v>74</v>
      </c>
      <c r="G11190">
        <v>2.13544</v>
      </c>
      <c r="H11190" t="s">
        <v>75</v>
      </c>
      <c r="I11190">
        <v>2135.4430000000002</v>
      </c>
      <c r="J11190" t="s">
        <v>76</v>
      </c>
      <c r="K11190" t="s">
        <v>77</v>
      </c>
    </row>
    <row r="11191" spans="1:12" x14ac:dyDescent="0.3">
      <c r="A11191" t="s">
        <v>496</v>
      </c>
      <c r="B11191" t="s">
        <v>83</v>
      </c>
      <c r="C11191">
        <v>615</v>
      </c>
      <c r="D11191" t="s">
        <v>81</v>
      </c>
      <c r="E11191">
        <v>2.751E-3</v>
      </c>
      <c r="F11191" t="s">
        <v>74</v>
      </c>
      <c r="G11191">
        <v>2.7507799999999998</v>
      </c>
      <c r="H11191" t="s">
        <v>75</v>
      </c>
      <c r="I11191">
        <v>2750.78</v>
      </c>
      <c r="J11191" t="s">
        <v>76</v>
      </c>
      <c r="K11191" t="s">
        <v>82</v>
      </c>
      <c r="L11191">
        <v>363.53320869999999</v>
      </c>
    </row>
    <row r="11192" spans="1:12" x14ac:dyDescent="0.3">
      <c r="A11192" t="s">
        <v>496</v>
      </c>
      <c r="B11192" t="s">
        <v>84</v>
      </c>
      <c r="C11192">
        <v>616</v>
      </c>
      <c r="D11192" t="s">
        <v>79</v>
      </c>
      <c r="E11192">
        <v>6.2699999999999995E-4</v>
      </c>
      <c r="F11192" t="s">
        <v>74</v>
      </c>
      <c r="G11192">
        <v>0.62651000000000001</v>
      </c>
      <c r="H11192" t="s">
        <v>75</v>
      </c>
      <c r="I11192">
        <v>626.50900000000001</v>
      </c>
      <c r="J11192" t="s">
        <v>76</v>
      </c>
      <c r="K11192" t="s">
        <v>77</v>
      </c>
    </row>
    <row r="11193" spans="1:12" x14ac:dyDescent="0.3">
      <c r="A11193" t="s">
        <v>496</v>
      </c>
      <c r="B11193" t="s">
        <v>84</v>
      </c>
      <c r="C11193">
        <v>616</v>
      </c>
      <c r="D11193" t="s">
        <v>94</v>
      </c>
      <c r="E11193">
        <v>1.9870000000000001E-3</v>
      </c>
      <c r="F11193" t="s">
        <v>74</v>
      </c>
      <c r="G11193">
        <v>1.9871300000000001</v>
      </c>
      <c r="H11193" t="s">
        <v>75</v>
      </c>
      <c r="I11193">
        <v>1987.1320000000001</v>
      </c>
      <c r="J11193" t="s">
        <v>76</v>
      </c>
      <c r="K11193" t="s">
        <v>77</v>
      </c>
    </row>
    <row r="11194" spans="1:12" x14ac:dyDescent="0.3">
      <c r="A11194" t="s">
        <v>496</v>
      </c>
      <c r="B11194" t="s">
        <v>84</v>
      </c>
      <c r="C11194">
        <v>616</v>
      </c>
      <c r="D11194" t="s">
        <v>80</v>
      </c>
      <c r="E11194">
        <v>2.183E-3</v>
      </c>
      <c r="F11194" t="s">
        <v>74</v>
      </c>
      <c r="G11194">
        <v>2.1831999999999998</v>
      </c>
      <c r="H11194" t="s">
        <v>75</v>
      </c>
      <c r="I11194">
        <v>2183.1950000000002</v>
      </c>
      <c r="J11194" t="s">
        <v>76</v>
      </c>
      <c r="K11194" t="s">
        <v>77</v>
      </c>
    </row>
    <row r="11195" spans="1:12" x14ac:dyDescent="0.3">
      <c r="A11195" t="s">
        <v>496</v>
      </c>
      <c r="B11195" t="s">
        <v>84</v>
      </c>
      <c r="C11195">
        <v>616</v>
      </c>
      <c r="D11195" t="s">
        <v>81</v>
      </c>
      <c r="E11195">
        <v>2.81E-3</v>
      </c>
      <c r="F11195" t="s">
        <v>74</v>
      </c>
      <c r="G11195">
        <v>2.8100200000000002</v>
      </c>
      <c r="H11195" t="s">
        <v>75</v>
      </c>
      <c r="I11195">
        <v>2810.02</v>
      </c>
      <c r="J11195" t="s">
        <v>76</v>
      </c>
      <c r="K11195" t="s">
        <v>82</v>
      </c>
      <c r="L11195">
        <v>355.86933490000001</v>
      </c>
    </row>
    <row r="11196" spans="1:12" x14ac:dyDescent="0.3">
      <c r="A11196" t="s">
        <v>497</v>
      </c>
      <c r="B11196" t="s">
        <v>72</v>
      </c>
      <c r="C11196">
        <v>1</v>
      </c>
      <c r="D11196" t="s">
        <v>79</v>
      </c>
      <c r="E11196">
        <v>3.2490999999999999E-2</v>
      </c>
      <c r="F11196" t="s">
        <v>74</v>
      </c>
      <c r="G11196">
        <v>32.4908</v>
      </c>
      <c r="H11196" t="s">
        <v>75</v>
      </c>
      <c r="I11196">
        <v>32490.800999999999</v>
      </c>
      <c r="J11196" t="s">
        <v>76</v>
      </c>
      <c r="K11196" t="s">
        <v>77</v>
      </c>
    </row>
    <row r="11197" spans="1:12" x14ac:dyDescent="0.3">
      <c r="A11197" t="s">
        <v>497</v>
      </c>
      <c r="B11197" t="s">
        <v>72</v>
      </c>
      <c r="C11197">
        <v>1</v>
      </c>
      <c r="D11197" t="s">
        <v>94</v>
      </c>
      <c r="E11197">
        <v>3.8205000000000003E-2</v>
      </c>
      <c r="F11197" t="s">
        <v>74</v>
      </c>
      <c r="G11197">
        <v>38.205300000000001</v>
      </c>
      <c r="H11197" t="s">
        <v>75</v>
      </c>
      <c r="I11197">
        <v>38205.300000000003</v>
      </c>
      <c r="J11197" t="s">
        <v>76</v>
      </c>
      <c r="K11197" t="s">
        <v>77</v>
      </c>
    </row>
    <row r="11198" spans="1:12" x14ac:dyDescent="0.3">
      <c r="A11198" t="s">
        <v>497</v>
      </c>
      <c r="B11198" t="s">
        <v>72</v>
      </c>
      <c r="C11198">
        <v>1</v>
      </c>
      <c r="D11198" t="s">
        <v>80</v>
      </c>
      <c r="E11198">
        <v>3.8206999999999998E-2</v>
      </c>
      <c r="F11198" t="s">
        <v>74</v>
      </c>
      <c r="G11198">
        <v>38.206800000000001</v>
      </c>
      <c r="H11198" t="s">
        <v>75</v>
      </c>
      <c r="I11198">
        <v>38206.800999999999</v>
      </c>
      <c r="J11198" t="s">
        <v>76</v>
      </c>
      <c r="K11198" t="s">
        <v>77</v>
      </c>
    </row>
    <row r="11199" spans="1:12" x14ac:dyDescent="0.3">
      <c r="A11199" t="s">
        <v>497</v>
      </c>
      <c r="B11199" t="s">
        <v>72</v>
      </c>
      <c r="C11199">
        <v>1</v>
      </c>
      <c r="D11199" t="s">
        <v>81</v>
      </c>
      <c r="E11199">
        <v>7.0698999999999998E-2</v>
      </c>
      <c r="F11199" t="s">
        <v>74</v>
      </c>
      <c r="G11199">
        <v>70.698599999999999</v>
      </c>
      <c r="H11199" t="s">
        <v>75</v>
      </c>
      <c r="I11199">
        <v>70698.596999999994</v>
      </c>
      <c r="J11199" t="s">
        <v>76</v>
      </c>
      <c r="K11199" t="s">
        <v>82</v>
      </c>
      <c r="L11199">
        <v>14.1445524</v>
      </c>
    </row>
    <row r="11200" spans="1:12" x14ac:dyDescent="0.3">
      <c r="A11200" t="s">
        <v>497</v>
      </c>
      <c r="B11200" t="s">
        <v>83</v>
      </c>
      <c r="C11200">
        <v>384</v>
      </c>
      <c r="D11200" t="s">
        <v>79</v>
      </c>
      <c r="E11200">
        <v>6.0899999999999995E-4</v>
      </c>
      <c r="F11200" t="s">
        <v>74</v>
      </c>
      <c r="G11200">
        <v>0.60928000000000004</v>
      </c>
      <c r="H11200" t="s">
        <v>75</v>
      </c>
      <c r="I11200">
        <v>609.27800000000002</v>
      </c>
      <c r="J11200" t="s">
        <v>76</v>
      </c>
      <c r="K11200" t="s">
        <v>77</v>
      </c>
    </row>
    <row r="11201" spans="1:12" x14ac:dyDescent="0.3">
      <c r="A11201" t="s">
        <v>497</v>
      </c>
      <c r="B11201" t="s">
        <v>83</v>
      </c>
      <c r="C11201">
        <v>384</v>
      </c>
      <c r="D11201" t="s">
        <v>94</v>
      </c>
      <c r="E11201">
        <v>3.339E-3</v>
      </c>
      <c r="F11201" t="s">
        <v>74</v>
      </c>
      <c r="G11201">
        <v>3.3392200000000001</v>
      </c>
      <c r="H11201" t="s">
        <v>75</v>
      </c>
      <c r="I11201">
        <v>3339.2240000000002</v>
      </c>
      <c r="J11201" t="s">
        <v>76</v>
      </c>
      <c r="K11201" t="s">
        <v>77</v>
      </c>
    </row>
    <row r="11202" spans="1:12" x14ac:dyDescent="0.3">
      <c r="A11202" t="s">
        <v>497</v>
      </c>
      <c r="B11202" t="s">
        <v>83</v>
      </c>
      <c r="C11202">
        <v>384</v>
      </c>
      <c r="D11202" t="s">
        <v>80</v>
      </c>
      <c r="E11202">
        <v>3.5760000000000002E-3</v>
      </c>
      <c r="F11202" t="s">
        <v>74</v>
      </c>
      <c r="G11202">
        <v>3.5763400000000001</v>
      </c>
      <c r="H11202" t="s">
        <v>75</v>
      </c>
      <c r="I11202">
        <v>3576.3359999999998</v>
      </c>
      <c r="J11202" t="s">
        <v>76</v>
      </c>
      <c r="K11202" t="s">
        <v>77</v>
      </c>
    </row>
    <row r="11203" spans="1:12" x14ac:dyDescent="0.3">
      <c r="A11203" t="s">
        <v>497</v>
      </c>
      <c r="B11203" t="s">
        <v>83</v>
      </c>
      <c r="C11203">
        <v>384</v>
      </c>
      <c r="D11203" t="s">
        <v>81</v>
      </c>
      <c r="E11203">
        <v>4.1859999999999996E-3</v>
      </c>
      <c r="F11203" t="s">
        <v>74</v>
      </c>
      <c r="G11203">
        <v>4.1860499999999998</v>
      </c>
      <c r="H11203" t="s">
        <v>75</v>
      </c>
      <c r="I11203">
        <v>4186.0529999999999</v>
      </c>
      <c r="J11203" t="s">
        <v>76</v>
      </c>
      <c r="K11203" t="s">
        <v>82</v>
      </c>
      <c r="L11203">
        <v>238.88854610000001</v>
      </c>
    </row>
    <row r="11204" spans="1:12" x14ac:dyDescent="0.3">
      <c r="A11204" t="s">
        <v>497</v>
      </c>
      <c r="B11204" t="s">
        <v>84</v>
      </c>
      <c r="C11204">
        <v>385</v>
      </c>
      <c r="D11204" t="s">
        <v>79</v>
      </c>
      <c r="E11204">
        <v>6.9200000000000002E-4</v>
      </c>
      <c r="F11204" t="s">
        <v>74</v>
      </c>
      <c r="G11204">
        <v>0.69208999999999998</v>
      </c>
      <c r="H11204" t="s">
        <v>75</v>
      </c>
      <c r="I11204">
        <v>692.08699999999999</v>
      </c>
      <c r="J11204" t="s">
        <v>76</v>
      </c>
      <c r="K11204" t="s">
        <v>77</v>
      </c>
    </row>
    <row r="11205" spans="1:12" x14ac:dyDescent="0.3">
      <c r="A11205" t="s">
        <v>497</v>
      </c>
      <c r="B11205" t="s">
        <v>84</v>
      </c>
      <c r="C11205">
        <v>385</v>
      </c>
      <c r="D11205" t="s">
        <v>94</v>
      </c>
      <c r="E11205">
        <v>3.4299999999999999E-3</v>
      </c>
      <c r="F11205" t="s">
        <v>74</v>
      </c>
      <c r="G11205">
        <v>3.4297900000000001</v>
      </c>
      <c r="H11205" t="s">
        <v>75</v>
      </c>
      <c r="I11205">
        <v>3429.7860000000001</v>
      </c>
      <c r="J11205" t="s">
        <v>76</v>
      </c>
      <c r="K11205" t="s">
        <v>77</v>
      </c>
    </row>
    <row r="11206" spans="1:12" x14ac:dyDescent="0.3">
      <c r="A11206" t="s">
        <v>497</v>
      </c>
      <c r="B11206" t="s">
        <v>84</v>
      </c>
      <c r="C11206">
        <v>385</v>
      </c>
      <c r="D11206" t="s">
        <v>80</v>
      </c>
      <c r="E11206">
        <v>3.666E-3</v>
      </c>
      <c r="F11206" t="s">
        <v>74</v>
      </c>
      <c r="G11206">
        <v>3.66629</v>
      </c>
      <c r="H11206" t="s">
        <v>75</v>
      </c>
      <c r="I11206">
        <v>3666.2860000000001</v>
      </c>
      <c r="J11206" t="s">
        <v>76</v>
      </c>
      <c r="K11206" t="s">
        <v>77</v>
      </c>
    </row>
    <row r="11207" spans="1:12" x14ac:dyDescent="0.3">
      <c r="A11207" t="s">
        <v>497</v>
      </c>
      <c r="B11207" t="s">
        <v>84</v>
      </c>
      <c r="C11207">
        <v>385</v>
      </c>
      <c r="D11207" t="s">
        <v>81</v>
      </c>
      <c r="E11207">
        <v>4.359E-3</v>
      </c>
      <c r="F11207" t="s">
        <v>74</v>
      </c>
      <c r="G11207">
        <v>4.3588100000000001</v>
      </c>
      <c r="H11207" t="s">
        <v>75</v>
      </c>
      <c r="I11207">
        <v>4358.8130000000001</v>
      </c>
      <c r="J11207" t="s">
        <v>76</v>
      </c>
      <c r="K11207" t="s">
        <v>82</v>
      </c>
      <c r="L11207">
        <v>229.42027089999999</v>
      </c>
    </row>
    <row r="11208" spans="1:12" x14ac:dyDescent="0.3">
      <c r="A11208" t="s">
        <v>498</v>
      </c>
      <c r="B11208" t="s">
        <v>72</v>
      </c>
      <c r="C11208">
        <v>1</v>
      </c>
      <c r="D11208" t="s">
        <v>73</v>
      </c>
      <c r="E11208">
        <v>4.8000000000000001E-5</v>
      </c>
      <c r="F11208" t="s">
        <v>74</v>
      </c>
      <c r="G11208">
        <v>4.7500000000000001E-2</v>
      </c>
      <c r="H11208" t="s">
        <v>75</v>
      </c>
      <c r="I11208">
        <v>47.5</v>
      </c>
      <c r="J11208" t="s">
        <v>76</v>
      </c>
      <c r="K11208" t="s">
        <v>77</v>
      </c>
    </row>
    <row r="11209" spans="1:12" x14ac:dyDescent="0.3">
      <c r="A11209" t="s">
        <v>498</v>
      </c>
      <c r="B11209" t="s">
        <v>72</v>
      </c>
      <c r="C11209">
        <v>1</v>
      </c>
      <c r="D11209" t="s">
        <v>78</v>
      </c>
      <c r="E11209">
        <v>5.3799999999999996E-4</v>
      </c>
      <c r="F11209" t="s">
        <v>74</v>
      </c>
      <c r="G11209">
        <v>0.53759999999999997</v>
      </c>
      <c r="H11209" t="s">
        <v>75</v>
      </c>
      <c r="I11209">
        <v>537.6</v>
      </c>
      <c r="J11209" t="s">
        <v>76</v>
      </c>
      <c r="K11209" t="s">
        <v>77</v>
      </c>
    </row>
    <row r="11210" spans="1:12" x14ac:dyDescent="0.3">
      <c r="A11210" t="s">
        <v>498</v>
      </c>
      <c r="B11210" t="s">
        <v>72</v>
      </c>
      <c r="C11210">
        <v>2</v>
      </c>
      <c r="D11210" t="s">
        <v>86</v>
      </c>
      <c r="E11210">
        <v>3.5353000000000002E-2</v>
      </c>
      <c r="F11210" t="s">
        <v>74</v>
      </c>
      <c r="G11210">
        <v>35.352550000000001</v>
      </c>
      <c r="H11210" t="s">
        <v>75</v>
      </c>
      <c r="I11210">
        <v>35352.550000000003</v>
      </c>
      <c r="J11210" t="s">
        <v>76</v>
      </c>
      <c r="K11210" t="s">
        <v>82</v>
      </c>
      <c r="L11210">
        <v>28.286502299999999</v>
      </c>
    </row>
    <row r="11211" spans="1:12" x14ac:dyDescent="0.3">
      <c r="A11211" t="s">
        <v>498</v>
      </c>
      <c r="B11211" t="s">
        <v>83</v>
      </c>
      <c r="C11211">
        <v>999</v>
      </c>
      <c r="D11211" t="s">
        <v>86</v>
      </c>
      <c r="E11211">
        <v>1.6969999999999999E-3</v>
      </c>
      <c r="F11211" t="s">
        <v>74</v>
      </c>
      <c r="G11211">
        <v>1.69736</v>
      </c>
      <c r="H11211" t="s">
        <v>75</v>
      </c>
      <c r="I11211">
        <v>1697.3630000000001</v>
      </c>
      <c r="J11211" t="s">
        <v>76</v>
      </c>
      <c r="K11211" t="s">
        <v>82</v>
      </c>
      <c r="L11211">
        <v>589.14905780000004</v>
      </c>
    </row>
    <row r="11212" spans="1:12" x14ac:dyDescent="0.3">
      <c r="A11212" t="s">
        <v>498</v>
      </c>
      <c r="B11212" t="s">
        <v>85</v>
      </c>
      <c r="C11212">
        <v>1001</v>
      </c>
      <c r="D11212" t="s">
        <v>86</v>
      </c>
      <c r="E11212">
        <v>1.74E-3</v>
      </c>
      <c r="F11212" t="s">
        <v>74</v>
      </c>
      <c r="G11212">
        <v>1.7402599999999999</v>
      </c>
      <c r="H11212" t="s">
        <v>75</v>
      </c>
      <c r="I11212">
        <v>1740.2570000000001</v>
      </c>
      <c r="J11212" t="s">
        <v>76</v>
      </c>
      <c r="K11212" t="s">
        <v>82</v>
      </c>
      <c r="L11212">
        <v>574.62781480000001</v>
      </c>
    </row>
    <row r="11213" spans="1:12" x14ac:dyDescent="0.3">
      <c r="A11213" t="s">
        <v>115</v>
      </c>
    </row>
    <row r="11214" spans="1:12" x14ac:dyDescent="0.3">
      <c r="A11214" t="s">
        <v>127</v>
      </c>
    </row>
    <row r="11215" spans="1:12" x14ac:dyDescent="0.3">
      <c r="A11215" t="s">
        <v>87</v>
      </c>
    </row>
    <row r="11216" spans="1:12" x14ac:dyDescent="0.3">
      <c r="A11216" t="s">
        <v>518</v>
      </c>
    </row>
    <row r="11217" spans="1:12" x14ac:dyDescent="0.3">
      <c r="A11217" t="s">
        <v>496</v>
      </c>
      <c r="B11217" t="s">
        <v>72</v>
      </c>
      <c r="C11217">
        <v>1</v>
      </c>
      <c r="D11217" t="s">
        <v>81</v>
      </c>
      <c r="E11217">
        <v>0.48987799999999998</v>
      </c>
      <c r="F11217" t="s">
        <v>74</v>
      </c>
      <c r="G11217">
        <v>489.8777</v>
      </c>
      <c r="H11217" t="s">
        <v>75</v>
      </c>
      <c r="I11217">
        <v>489877.701</v>
      </c>
      <c r="J11217" t="s">
        <v>76</v>
      </c>
      <c r="K11217" t="s">
        <v>82</v>
      </c>
      <c r="L11217">
        <v>2.0413258000000001</v>
      </c>
    </row>
    <row r="11218" spans="1:12" x14ac:dyDescent="0.3">
      <c r="A11218" t="s">
        <v>496</v>
      </c>
      <c r="B11218" t="s">
        <v>83</v>
      </c>
      <c r="C11218">
        <v>539</v>
      </c>
      <c r="D11218" t="s">
        <v>81</v>
      </c>
      <c r="E11218">
        <v>1.993E-3</v>
      </c>
      <c r="F11218" t="s">
        <v>74</v>
      </c>
      <c r="G11218">
        <v>1.9931000000000001</v>
      </c>
      <c r="H11218" t="s">
        <v>75</v>
      </c>
      <c r="I11218">
        <v>1993.1010000000001</v>
      </c>
      <c r="J11218" t="s">
        <v>76</v>
      </c>
      <c r="K11218" t="s">
        <v>82</v>
      </c>
      <c r="L11218">
        <v>501.7307131</v>
      </c>
    </row>
    <row r="11219" spans="1:12" x14ac:dyDescent="0.3">
      <c r="A11219" t="s">
        <v>496</v>
      </c>
      <c r="B11219" t="s">
        <v>84</v>
      </c>
      <c r="C11219">
        <v>540</v>
      </c>
      <c r="D11219" t="s">
        <v>81</v>
      </c>
      <c r="E11219">
        <v>2.8969999999999998E-3</v>
      </c>
      <c r="F11219" t="s">
        <v>74</v>
      </c>
      <c r="G11219">
        <v>2.8965900000000002</v>
      </c>
      <c r="H11219" t="s">
        <v>75</v>
      </c>
      <c r="I11219">
        <v>2896.5920000000001</v>
      </c>
      <c r="J11219" t="s">
        <v>76</v>
      </c>
      <c r="K11219" t="s">
        <v>82</v>
      </c>
      <c r="L11219">
        <v>345.23330549999997</v>
      </c>
    </row>
    <row r="11220" spans="1:12" x14ac:dyDescent="0.3">
      <c r="A11220" t="s">
        <v>497</v>
      </c>
      <c r="B11220" t="s">
        <v>72</v>
      </c>
      <c r="C11220">
        <v>1</v>
      </c>
      <c r="D11220" t="s">
        <v>81</v>
      </c>
      <c r="E11220">
        <v>0.19337099999999999</v>
      </c>
      <c r="F11220" t="s">
        <v>74</v>
      </c>
      <c r="G11220">
        <v>193.37120999999999</v>
      </c>
      <c r="H11220" t="s">
        <v>75</v>
      </c>
      <c r="I11220">
        <v>193371.20699999999</v>
      </c>
      <c r="J11220" t="s">
        <v>76</v>
      </c>
      <c r="K11220" t="s">
        <v>82</v>
      </c>
      <c r="L11220">
        <v>5.1714007000000004</v>
      </c>
    </row>
    <row r="11221" spans="1:12" x14ac:dyDescent="0.3">
      <c r="A11221" t="s">
        <v>497</v>
      </c>
      <c r="B11221" t="s">
        <v>83</v>
      </c>
      <c r="C11221">
        <v>460</v>
      </c>
      <c r="D11221" t="s">
        <v>81</v>
      </c>
      <c r="E11221">
        <v>2.947E-3</v>
      </c>
      <c r="F11221" t="s">
        <v>74</v>
      </c>
      <c r="G11221">
        <v>2.9473400000000001</v>
      </c>
      <c r="H11221" t="s">
        <v>75</v>
      </c>
      <c r="I11221">
        <v>2947.3389999999999</v>
      </c>
      <c r="J11221" t="s">
        <v>76</v>
      </c>
      <c r="K11221" t="s">
        <v>82</v>
      </c>
      <c r="L11221">
        <v>339.28906819999997</v>
      </c>
    </row>
    <row r="11222" spans="1:12" x14ac:dyDescent="0.3">
      <c r="A11222" t="s">
        <v>497</v>
      </c>
      <c r="B11222" t="s">
        <v>84</v>
      </c>
      <c r="C11222">
        <v>461</v>
      </c>
      <c r="D11222" t="s">
        <v>81</v>
      </c>
      <c r="E11222">
        <v>3.3600000000000001E-3</v>
      </c>
      <c r="F11222" t="s">
        <v>74</v>
      </c>
      <c r="G11222">
        <v>3.3604099999999999</v>
      </c>
      <c r="H11222" t="s">
        <v>75</v>
      </c>
      <c r="I11222">
        <v>3360.4070000000002</v>
      </c>
      <c r="J11222" t="s">
        <v>76</v>
      </c>
      <c r="K11222" t="s">
        <v>82</v>
      </c>
      <c r="L11222">
        <v>297.5830052</v>
      </c>
    </row>
    <row r="11223" spans="1:12" x14ac:dyDescent="0.3">
      <c r="A11223" t="s">
        <v>498</v>
      </c>
      <c r="B11223" t="s">
        <v>72</v>
      </c>
      <c r="C11223">
        <v>2</v>
      </c>
      <c r="D11223" t="s">
        <v>86</v>
      </c>
      <c r="E11223">
        <v>0.24496000000000001</v>
      </c>
      <c r="F11223" t="s">
        <v>74</v>
      </c>
      <c r="G11223">
        <v>244.9597</v>
      </c>
      <c r="H11223" t="s">
        <v>75</v>
      </c>
      <c r="I11223">
        <v>244959.69699999999</v>
      </c>
      <c r="J11223" t="s">
        <v>76</v>
      </c>
      <c r="K11223" t="s">
        <v>82</v>
      </c>
      <c r="L11223">
        <v>4.0823042000000003</v>
      </c>
    </row>
    <row r="11224" spans="1:12" x14ac:dyDescent="0.3">
      <c r="A11224" t="s">
        <v>498</v>
      </c>
      <c r="B11224" t="s">
        <v>83</v>
      </c>
      <c r="C11224">
        <v>999</v>
      </c>
      <c r="D11224" t="s">
        <v>86</v>
      </c>
      <c r="E11224">
        <v>1.377E-3</v>
      </c>
      <c r="F11224" t="s">
        <v>74</v>
      </c>
      <c r="G11224">
        <v>1.3767499999999999</v>
      </c>
      <c r="H11224" t="s">
        <v>75</v>
      </c>
      <c r="I11224">
        <v>1376.748</v>
      </c>
      <c r="J11224" t="s">
        <v>76</v>
      </c>
      <c r="K11224" t="s">
        <v>82</v>
      </c>
      <c r="L11224">
        <v>726.34942020000005</v>
      </c>
    </row>
    <row r="11225" spans="1:12" x14ac:dyDescent="0.3">
      <c r="A11225" t="s">
        <v>498</v>
      </c>
      <c r="B11225" t="s">
        <v>85</v>
      </c>
      <c r="C11225">
        <v>1001</v>
      </c>
      <c r="D11225" t="s">
        <v>86</v>
      </c>
      <c r="E11225">
        <v>1.57E-3</v>
      </c>
      <c r="F11225" t="s">
        <v>74</v>
      </c>
      <c r="G11225">
        <v>1.56985</v>
      </c>
      <c r="H11225" t="s">
        <v>75</v>
      </c>
      <c r="I11225">
        <v>1569.85</v>
      </c>
      <c r="J11225" t="s">
        <v>76</v>
      </c>
      <c r="K11225" t="s">
        <v>82</v>
      </c>
      <c r="L11225">
        <v>637.00349310000001</v>
      </c>
    </row>
    <row r="11227" spans="1:12" x14ac:dyDescent="0.3">
      <c r="A11227" t="s">
        <v>519</v>
      </c>
    </row>
    <row r="11228" spans="1:12" x14ac:dyDescent="0.3">
      <c r="A11228" t="s">
        <v>496</v>
      </c>
      <c r="B11228" t="s">
        <v>72</v>
      </c>
      <c r="C11228">
        <v>1</v>
      </c>
      <c r="D11228" t="s">
        <v>81</v>
      </c>
      <c r="E11228">
        <v>3.9241999999999999E-2</v>
      </c>
      <c r="F11228" t="s">
        <v>74</v>
      </c>
      <c r="G11228">
        <v>39.2423</v>
      </c>
      <c r="H11228" t="s">
        <v>75</v>
      </c>
      <c r="I11228">
        <v>39242.300999999999</v>
      </c>
      <c r="J11228" t="s">
        <v>76</v>
      </c>
      <c r="K11228" t="s">
        <v>82</v>
      </c>
      <c r="L11228">
        <v>25.4827054</v>
      </c>
    </row>
    <row r="11229" spans="1:12" x14ac:dyDescent="0.3">
      <c r="A11229" t="s">
        <v>496</v>
      </c>
      <c r="B11229" t="s">
        <v>83</v>
      </c>
      <c r="C11229">
        <v>615</v>
      </c>
      <c r="D11229" t="s">
        <v>81</v>
      </c>
      <c r="E11229">
        <v>2.751E-3</v>
      </c>
      <c r="F11229" t="s">
        <v>74</v>
      </c>
      <c r="G11229">
        <v>2.7507799999999998</v>
      </c>
      <c r="H11229" t="s">
        <v>75</v>
      </c>
      <c r="I11229">
        <v>2750.78</v>
      </c>
      <c r="J11229" t="s">
        <v>76</v>
      </c>
      <c r="K11229" t="s">
        <v>82</v>
      </c>
      <c r="L11229">
        <v>363.53320869999999</v>
      </c>
    </row>
    <row r="11230" spans="1:12" x14ac:dyDescent="0.3">
      <c r="A11230" t="s">
        <v>496</v>
      </c>
      <c r="B11230" t="s">
        <v>84</v>
      </c>
      <c r="C11230">
        <v>616</v>
      </c>
      <c r="D11230" t="s">
        <v>81</v>
      </c>
      <c r="E11230">
        <v>2.81E-3</v>
      </c>
      <c r="F11230" t="s">
        <v>74</v>
      </c>
      <c r="G11230">
        <v>2.8100200000000002</v>
      </c>
      <c r="H11230" t="s">
        <v>75</v>
      </c>
      <c r="I11230">
        <v>2810.02</v>
      </c>
      <c r="J11230" t="s">
        <v>76</v>
      </c>
      <c r="K11230" t="s">
        <v>82</v>
      </c>
      <c r="L11230">
        <v>355.86933490000001</v>
      </c>
    </row>
    <row r="11231" spans="1:12" x14ac:dyDescent="0.3">
      <c r="A11231" t="s">
        <v>497</v>
      </c>
      <c r="B11231" t="s">
        <v>72</v>
      </c>
      <c r="C11231">
        <v>1</v>
      </c>
      <c r="D11231" t="s">
        <v>81</v>
      </c>
      <c r="E11231">
        <v>7.0698999999999998E-2</v>
      </c>
      <c r="F11231" t="s">
        <v>74</v>
      </c>
      <c r="G11231">
        <v>70.698599999999999</v>
      </c>
      <c r="H11231" t="s">
        <v>75</v>
      </c>
      <c r="I11231">
        <v>70698.596999999994</v>
      </c>
      <c r="J11231" t="s">
        <v>76</v>
      </c>
      <c r="K11231" t="s">
        <v>82</v>
      </c>
      <c r="L11231">
        <v>14.1445524</v>
      </c>
    </row>
    <row r="11232" spans="1:12" x14ac:dyDescent="0.3">
      <c r="A11232" t="s">
        <v>497</v>
      </c>
      <c r="B11232" t="s">
        <v>83</v>
      </c>
      <c r="C11232">
        <v>384</v>
      </c>
      <c r="D11232" t="s">
        <v>81</v>
      </c>
      <c r="E11232">
        <v>4.1859999999999996E-3</v>
      </c>
      <c r="F11232" t="s">
        <v>74</v>
      </c>
      <c r="G11232">
        <v>4.1860499999999998</v>
      </c>
      <c r="H11232" t="s">
        <v>75</v>
      </c>
      <c r="I11232">
        <v>4186.0529999999999</v>
      </c>
      <c r="J11232" t="s">
        <v>76</v>
      </c>
      <c r="K11232" t="s">
        <v>82</v>
      </c>
      <c r="L11232">
        <v>238.88854610000001</v>
      </c>
    </row>
    <row r="11233" spans="1:12" x14ac:dyDescent="0.3">
      <c r="A11233" t="s">
        <v>497</v>
      </c>
      <c r="B11233" t="s">
        <v>84</v>
      </c>
      <c r="C11233">
        <v>385</v>
      </c>
      <c r="D11233" t="s">
        <v>81</v>
      </c>
      <c r="E11233">
        <v>4.359E-3</v>
      </c>
      <c r="F11233" t="s">
        <v>74</v>
      </c>
      <c r="G11233">
        <v>4.3588100000000001</v>
      </c>
      <c r="H11233" t="s">
        <v>75</v>
      </c>
      <c r="I11233">
        <v>4358.8130000000001</v>
      </c>
      <c r="J11233" t="s">
        <v>76</v>
      </c>
      <c r="K11233" t="s">
        <v>82</v>
      </c>
      <c r="L11233">
        <v>229.42027089999999</v>
      </c>
    </row>
    <row r="11234" spans="1:12" x14ac:dyDescent="0.3">
      <c r="A11234" t="s">
        <v>498</v>
      </c>
      <c r="B11234" t="s">
        <v>72</v>
      </c>
      <c r="C11234">
        <v>2</v>
      </c>
      <c r="D11234" t="s">
        <v>86</v>
      </c>
      <c r="E11234">
        <v>3.5353000000000002E-2</v>
      </c>
      <c r="F11234" t="s">
        <v>74</v>
      </c>
      <c r="G11234">
        <v>35.352550000000001</v>
      </c>
      <c r="H11234" t="s">
        <v>75</v>
      </c>
      <c r="I11234">
        <v>35352.550000000003</v>
      </c>
      <c r="J11234" t="s">
        <v>76</v>
      </c>
      <c r="K11234" t="s">
        <v>82</v>
      </c>
      <c r="L11234">
        <v>28.286502299999999</v>
      </c>
    </row>
    <row r="11235" spans="1:12" x14ac:dyDescent="0.3">
      <c r="A11235" t="s">
        <v>498</v>
      </c>
      <c r="B11235" t="s">
        <v>83</v>
      </c>
      <c r="C11235">
        <v>999</v>
      </c>
      <c r="D11235" t="s">
        <v>86</v>
      </c>
      <c r="E11235">
        <v>1.6969999999999999E-3</v>
      </c>
      <c r="F11235" t="s">
        <v>74</v>
      </c>
      <c r="G11235">
        <v>1.69736</v>
      </c>
      <c r="H11235" t="s">
        <v>75</v>
      </c>
      <c r="I11235">
        <v>1697.3630000000001</v>
      </c>
      <c r="J11235" t="s">
        <v>76</v>
      </c>
      <c r="K11235" t="s">
        <v>82</v>
      </c>
      <c r="L11235">
        <v>589.14905780000004</v>
      </c>
    </row>
    <row r="11236" spans="1:12" x14ac:dyDescent="0.3">
      <c r="A11236" t="s">
        <v>498</v>
      </c>
      <c r="B11236" t="s">
        <v>85</v>
      </c>
      <c r="C11236">
        <v>1001</v>
      </c>
      <c r="D11236" t="s">
        <v>86</v>
      </c>
      <c r="E11236">
        <v>1.74E-3</v>
      </c>
      <c r="F11236" t="s">
        <v>74</v>
      </c>
      <c r="G11236">
        <v>1.7402599999999999</v>
      </c>
      <c r="H11236" t="s">
        <v>75</v>
      </c>
      <c r="I11236">
        <v>1740.2570000000001</v>
      </c>
      <c r="J11236" t="s">
        <v>76</v>
      </c>
      <c r="K11236" t="s">
        <v>82</v>
      </c>
      <c r="L11236">
        <v>574.62781480000001</v>
      </c>
    </row>
    <row r="11238" spans="1:12" x14ac:dyDescent="0.3">
      <c r="A11238" t="s">
        <v>66</v>
      </c>
    </row>
    <row r="11240" spans="1:12" x14ac:dyDescent="0.3">
      <c r="A11240" t="s">
        <v>520</v>
      </c>
    </row>
    <row r="11241" spans="1:12" x14ac:dyDescent="0.3">
      <c r="A11241" t="s">
        <v>68</v>
      </c>
    </row>
    <row r="11242" spans="1:12" x14ac:dyDescent="0.3">
      <c r="A11242" t="s">
        <v>69</v>
      </c>
    </row>
    <row r="11243" spans="1:12" x14ac:dyDescent="0.3">
      <c r="A11243" t="s">
        <v>68</v>
      </c>
    </row>
    <row r="11244" spans="1:12" x14ac:dyDescent="0.3">
      <c r="A11244" t="s">
        <v>69</v>
      </c>
    </row>
    <row r="11245" spans="1:12" x14ac:dyDescent="0.3">
      <c r="A11245" t="s">
        <v>70</v>
      </c>
    </row>
    <row r="11246" spans="1:12" x14ac:dyDescent="0.3">
      <c r="A11246" t="s">
        <v>115</v>
      </c>
    </row>
    <row r="11247" spans="1:12" x14ac:dyDescent="0.3">
      <c r="A11247" t="s">
        <v>116</v>
      </c>
    </row>
    <row r="11248" spans="1:12" x14ac:dyDescent="0.3">
      <c r="A11248" t="s">
        <v>117</v>
      </c>
    </row>
    <row r="11249" spans="1:1" x14ac:dyDescent="0.3">
      <c r="A11249" t="s">
        <v>118</v>
      </c>
    </row>
    <row r="11250" spans="1:1" x14ac:dyDescent="0.3">
      <c r="A11250" t="s">
        <v>119</v>
      </c>
    </row>
    <row r="11251" spans="1:1" x14ac:dyDescent="0.3">
      <c r="A11251" t="s">
        <v>120</v>
      </c>
    </row>
    <row r="11252" spans="1:1" x14ac:dyDescent="0.3">
      <c r="A11252" t="s">
        <v>121</v>
      </c>
    </row>
    <row r="11253" spans="1:1" x14ac:dyDescent="0.3">
      <c r="A11253" t="s">
        <v>122</v>
      </c>
    </row>
    <row r="11254" spans="1:1" x14ac:dyDescent="0.3">
      <c r="A11254" t="s">
        <v>123</v>
      </c>
    </row>
    <row r="11255" spans="1:1" x14ac:dyDescent="0.3">
      <c r="A11255" t="s">
        <v>124</v>
      </c>
    </row>
    <row r="11256" spans="1:1" x14ac:dyDescent="0.3">
      <c r="A11256" t="s">
        <v>125</v>
      </c>
    </row>
    <row r="11257" spans="1:1" x14ac:dyDescent="0.3">
      <c r="A11257" t="s">
        <v>126</v>
      </c>
    </row>
    <row r="11258" spans="1:1" x14ac:dyDescent="0.3">
      <c r="A11258" t="s">
        <v>127</v>
      </c>
    </row>
    <row r="11259" spans="1:1" x14ac:dyDescent="0.3">
      <c r="A11259" t="s">
        <v>160</v>
      </c>
    </row>
    <row r="11260" spans="1:1" x14ac:dyDescent="0.3">
      <c r="A11260" t="s">
        <v>115</v>
      </c>
    </row>
    <row r="11261" spans="1:1" x14ac:dyDescent="0.3">
      <c r="A11261" t="s">
        <v>266</v>
      </c>
    </row>
    <row r="11262" spans="1:1" x14ac:dyDescent="0.3">
      <c r="A11262" t="s">
        <v>267</v>
      </c>
    </row>
    <row r="11263" spans="1:1" x14ac:dyDescent="0.3">
      <c r="A11263" t="s">
        <v>118</v>
      </c>
    </row>
    <row r="11264" spans="1:1" x14ac:dyDescent="0.3">
      <c r="A11264" t="s">
        <v>119</v>
      </c>
    </row>
    <row r="11265" spans="1:12" x14ac:dyDescent="0.3">
      <c r="A11265" t="s">
        <v>268</v>
      </c>
    </row>
    <row r="11266" spans="1:12" x14ac:dyDescent="0.3">
      <c r="A11266" t="s">
        <v>269</v>
      </c>
    </row>
    <row r="11267" spans="1:12" x14ac:dyDescent="0.3">
      <c r="A11267" t="s">
        <v>122</v>
      </c>
    </row>
    <row r="11268" spans="1:12" x14ac:dyDescent="0.3">
      <c r="A11268" t="s">
        <v>270</v>
      </c>
    </row>
    <row r="11269" spans="1:12" x14ac:dyDescent="0.3">
      <c r="A11269" t="s">
        <v>271</v>
      </c>
    </row>
    <row r="11270" spans="1:12" x14ac:dyDescent="0.3">
      <c r="A11270" t="s">
        <v>125</v>
      </c>
    </row>
    <row r="11271" spans="1:12" x14ac:dyDescent="0.3">
      <c r="A11271" t="s">
        <v>126</v>
      </c>
    </row>
    <row r="11272" spans="1:12" x14ac:dyDescent="0.3">
      <c r="A11272" t="s">
        <v>127</v>
      </c>
    </row>
    <row r="11273" spans="1:12" x14ac:dyDescent="0.3">
      <c r="A11273" t="s">
        <v>160</v>
      </c>
    </row>
    <row r="11274" spans="1:12" x14ac:dyDescent="0.3">
      <c r="A11274" t="s">
        <v>521</v>
      </c>
    </row>
    <row r="11275" spans="1:12" x14ac:dyDescent="0.3">
      <c r="A11275" t="s">
        <v>496</v>
      </c>
      <c r="B11275" t="s">
        <v>72</v>
      </c>
      <c r="C11275">
        <v>1</v>
      </c>
      <c r="D11275" t="s">
        <v>79</v>
      </c>
      <c r="E11275">
        <v>0.31831799999999999</v>
      </c>
      <c r="F11275" t="s">
        <v>74</v>
      </c>
      <c r="G11275">
        <v>318.31819000000002</v>
      </c>
      <c r="H11275" t="s">
        <v>75</v>
      </c>
      <c r="I11275">
        <v>318318.18800000002</v>
      </c>
      <c r="J11275" t="s">
        <v>76</v>
      </c>
      <c r="K11275" t="s">
        <v>77</v>
      </c>
    </row>
    <row r="11276" spans="1:12" x14ac:dyDescent="0.3">
      <c r="A11276" t="s">
        <v>496</v>
      </c>
      <c r="B11276" t="s">
        <v>72</v>
      </c>
      <c r="C11276">
        <v>1</v>
      </c>
      <c r="D11276" t="s">
        <v>94</v>
      </c>
      <c r="E11276">
        <v>0.211087</v>
      </c>
      <c r="F11276" t="s">
        <v>74</v>
      </c>
      <c r="G11276">
        <v>211.08679000000001</v>
      </c>
      <c r="H11276" t="s">
        <v>75</v>
      </c>
      <c r="I11276">
        <v>211086.79500000001</v>
      </c>
      <c r="J11276" t="s">
        <v>76</v>
      </c>
      <c r="K11276" t="s">
        <v>77</v>
      </c>
    </row>
    <row r="11277" spans="1:12" x14ac:dyDescent="0.3">
      <c r="A11277" t="s">
        <v>496</v>
      </c>
      <c r="B11277" t="s">
        <v>72</v>
      </c>
      <c r="C11277">
        <v>1</v>
      </c>
      <c r="D11277" t="s">
        <v>80</v>
      </c>
      <c r="E11277">
        <v>0.211087</v>
      </c>
      <c r="F11277" t="s">
        <v>74</v>
      </c>
      <c r="G11277">
        <v>211.08750000000001</v>
      </c>
      <c r="H11277" t="s">
        <v>75</v>
      </c>
      <c r="I11277">
        <v>211087.495</v>
      </c>
      <c r="J11277" t="s">
        <v>76</v>
      </c>
      <c r="K11277" t="s">
        <v>77</v>
      </c>
    </row>
    <row r="11278" spans="1:12" x14ac:dyDescent="0.3">
      <c r="A11278" t="s">
        <v>496</v>
      </c>
      <c r="B11278" t="s">
        <v>72</v>
      </c>
      <c r="C11278">
        <v>1</v>
      </c>
      <c r="D11278" t="s">
        <v>81</v>
      </c>
      <c r="E11278">
        <v>0.52940600000000004</v>
      </c>
      <c r="F11278" t="s">
        <v>74</v>
      </c>
      <c r="G11278">
        <v>529.40630999999996</v>
      </c>
      <c r="H11278" t="s">
        <v>75</v>
      </c>
      <c r="I11278">
        <v>529406.30900000001</v>
      </c>
      <c r="J11278" t="s">
        <v>76</v>
      </c>
      <c r="K11278" t="s">
        <v>82</v>
      </c>
      <c r="L11278">
        <v>1.8889084</v>
      </c>
    </row>
    <row r="11279" spans="1:12" x14ac:dyDescent="0.3">
      <c r="A11279" t="s">
        <v>496</v>
      </c>
      <c r="B11279" t="s">
        <v>83</v>
      </c>
      <c r="C11279">
        <v>402</v>
      </c>
      <c r="D11279" t="s">
        <v>79</v>
      </c>
      <c r="E11279">
        <v>6.0599999999999998E-4</v>
      </c>
      <c r="F11279" t="s">
        <v>74</v>
      </c>
      <c r="G11279">
        <v>0.60621000000000003</v>
      </c>
      <c r="H11279" t="s">
        <v>75</v>
      </c>
      <c r="I11279">
        <v>606.20500000000004</v>
      </c>
      <c r="J11279" t="s">
        <v>76</v>
      </c>
      <c r="K11279" t="s">
        <v>77</v>
      </c>
    </row>
    <row r="11280" spans="1:12" x14ac:dyDescent="0.3">
      <c r="A11280" t="s">
        <v>496</v>
      </c>
      <c r="B11280" t="s">
        <v>83</v>
      </c>
      <c r="C11280">
        <v>402</v>
      </c>
      <c r="D11280" t="s">
        <v>94</v>
      </c>
      <c r="E11280">
        <v>1.482E-3</v>
      </c>
      <c r="F11280" t="s">
        <v>74</v>
      </c>
      <c r="G11280">
        <v>1.48197</v>
      </c>
      <c r="H11280" t="s">
        <v>75</v>
      </c>
      <c r="I11280">
        <v>1481.973</v>
      </c>
      <c r="J11280" t="s">
        <v>76</v>
      </c>
      <c r="K11280" t="s">
        <v>77</v>
      </c>
    </row>
    <row r="11281" spans="1:12" x14ac:dyDescent="0.3">
      <c r="A11281" t="s">
        <v>496</v>
      </c>
      <c r="B11281" t="s">
        <v>83</v>
      </c>
      <c r="C11281">
        <v>402</v>
      </c>
      <c r="D11281" t="s">
        <v>80</v>
      </c>
      <c r="E11281">
        <v>1.4829999999999999E-3</v>
      </c>
      <c r="F11281" t="s">
        <v>74</v>
      </c>
      <c r="G11281">
        <v>1.4826999999999999</v>
      </c>
      <c r="H11281" t="s">
        <v>75</v>
      </c>
      <c r="I11281">
        <v>1482.6969999999999</v>
      </c>
      <c r="J11281" t="s">
        <v>76</v>
      </c>
      <c r="K11281" t="s">
        <v>77</v>
      </c>
    </row>
    <row r="11282" spans="1:12" x14ac:dyDescent="0.3">
      <c r="A11282" t="s">
        <v>496</v>
      </c>
      <c r="B11282" t="s">
        <v>83</v>
      </c>
      <c r="C11282">
        <v>402</v>
      </c>
      <c r="D11282" t="s">
        <v>81</v>
      </c>
      <c r="E11282">
        <v>2.0890000000000001E-3</v>
      </c>
      <c r="F11282" t="s">
        <v>74</v>
      </c>
      <c r="G11282">
        <v>2.08935</v>
      </c>
      <c r="H11282" t="s">
        <v>75</v>
      </c>
      <c r="I11282">
        <v>2089.3519999999999</v>
      </c>
      <c r="J11282" t="s">
        <v>76</v>
      </c>
      <c r="K11282" t="s">
        <v>82</v>
      </c>
      <c r="L11282">
        <v>478.6173258</v>
      </c>
    </row>
    <row r="11283" spans="1:12" x14ac:dyDescent="0.3">
      <c r="A11283" t="s">
        <v>496</v>
      </c>
      <c r="B11283" t="s">
        <v>84</v>
      </c>
      <c r="C11283">
        <v>403</v>
      </c>
      <c r="D11283" t="s">
        <v>79</v>
      </c>
      <c r="E11283">
        <v>1.395E-3</v>
      </c>
      <c r="F11283" t="s">
        <v>74</v>
      </c>
      <c r="G11283">
        <v>1.3945700000000001</v>
      </c>
      <c r="H11283" t="s">
        <v>75</v>
      </c>
      <c r="I11283">
        <v>1394.5730000000001</v>
      </c>
      <c r="J11283" t="s">
        <v>76</v>
      </c>
      <c r="K11283" t="s">
        <v>77</v>
      </c>
    </row>
    <row r="11284" spans="1:12" x14ac:dyDescent="0.3">
      <c r="A11284" t="s">
        <v>496</v>
      </c>
      <c r="B11284" t="s">
        <v>84</v>
      </c>
      <c r="C11284">
        <v>403</v>
      </c>
      <c r="D11284" t="s">
        <v>94</v>
      </c>
      <c r="E11284">
        <v>2.0019999999999999E-3</v>
      </c>
      <c r="F11284" t="s">
        <v>74</v>
      </c>
      <c r="G11284">
        <v>2.0020899999999999</v>
      </c>
      <c r="H11284" t="s">
        <v>75</v>
      </c>
      <c r="I11284">
        <v>2002.085</v>
      </c>
      <c r="J11284" t="s">
        <v>76</v>
      </c>
      <c r="K11284" t="s">
        <v>77</v>
      </c>
    </row>
    <row r="11285" spans="1:12" x14ac:dyDescent="0.3">
      <c r="A11285" t="s">
        <v>496</v>
      </c>
      <c r="B11285" t="s">
        <v>84</v>
      </c>
      <c r="C11285">
        <v>403</v>
      </c>
      <c r="D11285" t="s">
        <v>80</v>
      </c>
      <c r="E11285">
        <v>2.003E-3</v>
      </c>
      <c r="F11285" t="s">
        <v>74</v>
      </c>
      <c r="G11285">
        <v>2.0028100000000002</v>
      </c>
      <c r="H11285" t="s">
        <v>75</v>
      </c>
      <c r="I11285">
        <v>2002.808</v>
      </c>
      <c r="J11285" t="s">
        <v>76</v>
      </c>
      <c r="K11285" t="s">
        <v>77</v>
      </c>
    </row>
    <row r="11286" spans="1:12" x14ac:dyDescent="0.3">
      <c r="A11286" t="s">
        <v>496</v>
      </c>
      <c r="B11286" t="s">
        <v>84</v>
      </c>
      <c r="C11286">
        <v>403</v>
      </c>
      <c r="D11286" t="s">
        <v>81</v>
      </c>
      <c r="E11286">
        <v>3.398E-3</v>
      </c>
      <c r="F11286" t="s">
        <v>74</v>
      </c>
      <c r="G11286">
        <v>3.3978299999999999</v>
      </c>
      <c r="H11286" t="s">
        <v>75</v>
      </c>
      <c r="I11286">
        <v>3397.8290000000002</v>
      </c>
      <c r="J11286" t="s">
        <v>76</v>
      </c>
      <c r="K11286" t="s">
        <v>82</v>
      </c>
      <c r="L11286">
        <v>294.30552829999999</v>
      </c>
    </row>
    <row r="11287" spans="1:12" x14ac:dyDescent="0.3">
      <c r="A11287" t="s">
        <v>497</v>
      </c>
      <c r="B11287" t="s">
        <v>72</v>
      </c>
      <c r="C11287">
        <v>1</v>
      </c>
      <c r="D11287" t="s">
        <v>79</v>
      </c>
      <c r="E11287">
        <v>0.13392000000000001</v>
      </c>
      <c r="F11287" t="s">
        <v>74</v>
      </c>
      <c r="G11287">
        <v>133.91981000000001</v>
      </c>
      <c r="H11287" t="s">
        <v>75</v>
      </c>
      <c r="I11287">
        <v>133919.80499999999</v>
      </c>
      <c r="J11287" t="s">
        <v>76</v>
      </c>
      <c r="K11287" t="s">
        <v>77</v>
      </c>
    </row>
    <row r="11288" spans="1:12" x14ac:dyDescent="0.3">
      <c r="A11288" t="s">
        <v>497</v>
      </c>
      <c r="B11288" t="s">
        <v>72</v>
      </c>
      <c r="C11288">
        <v>1</v>
      </c>
      <c r="D11288" t="s">
        <v>94</v>
      </c>
      <c r="E11288">
        <v>0.110919</v>
      </c>
      <c r="F11288" t="s">
        <v>74</v>
      </c>
      <c r="G11288">
        <v>110.9192</v>
      </c>
      <c r="H11288" t="s">
        <v>75</v>
      </c>
      <c r="I11288">
        <v>110919.2</v>
      </c>
      <c r="J11288" t="s">
        <v>76</v>
      </c>
      <c r="K11288" t="s">
        <v>77</v>
      </c>
    </row>
    <row r="11289" spans="1:12" x14ac:dyDescent="0.3">
      <c r="A11289" t="s">
        <v>497</v>
      </c>
      <c r="B11289" t="s">
        <v>72</v>
      </c>
      <c r="C11289">
        <v>1</v>
      </c>
      <c r="D11289" t="s">
        <v>80</v>
      </c>
      <c r="E11289">
        <v>0.110932</v>
      </c>
      <c r="F11289" t="s">
        <v>74</v>
      </c>
      <c r="G11289">
        <v>110.93170000000001</v>
      </c>
      <c r="H11289" t="s">
        <v>75</v>
      </c>
      <c r="I11289">
        <v>110931.702</v>
      </c>
      <c r="J11289" t="s">
        <v>76</v>
      </c>
      <c r="K11289" t="s">
        <v>77</v>
      </c>
    </row>
    <row r="11290" spans="1:12" x14ac:dyDescent="0.3">
      <c r="A11290" t="s">
        <v>497</v>
      </c>
      <c r="B11290" t="s">
        <v>72</v>
      </c>
      <c r="C11290">
        <v>1</v>
      </c>
      <c r="D11290" t="s">
        <v>81</v>
      </c>
      <c r="E11290">
        <v>0.24485199999999999</v>
      </c>
      <c r="F11290" t="s">
        <v>74</v>
      </c>
      <c r="G11290">
        <v>244.85220000000001</v>
      </c>
      <c r="H11290" t="s">
        <v>75</v>
      </c>
      <c r="I11290">
        <v>244852.2</v>
      </c>
      <c r="J11290" t="s">
        <v>76</v>
      </c>
      <c r="K11290" t="s">
        <v>82</v>
      </c>
      <c r="L11290">
        <v>4.0840964</v>
      </c>
    </row>
    <row r="11291" spans="1:12" x14ac:dyDescent="0.3">
      <c r="A11291" t="s">
        <v>497</v>
      </c>
      <c r="B11291" t="s">
        <v>83</v>
      </c>
      <c r="C11291">
        <v>597</v>
      </c>
      <c r="D11291" t="s">
        <v>79</v>
      </c>
      <c r="E11291">
        <v>6.1899999999999998E-4</v>
      </c>
      <c r="F11291" t="s">
        <v>74</v>
      </c>
      <c r="G11291">
        <v>0.61934</v>
      </c>
      <c r="H11291" t="s">
        <v>75</v>
      </c>
      <c r="I11291">
        <v>619.34400000000005</v>
      </c>
      <c r="J11291" t="s">
        <v>76</v>
      </c>
      <c r="K11291" t="s">
        <v>77</v>
      </c>
    </row>
    <row r="11292" spans="1:12" x14ac:dyDescent="0.3">
      <c r="A11292" t="s">
        <v>497</v>
      </c>
      <c r="B11292" t="s">
        <v>83</v>
      </c>
      <c r="C11292">
        <v>597</v>
      </c>
      <c r="D11292" t="s">
        <v>94</v>
      </c>
      <c r="E11292">
        <v>1.2229999999999999E-3</v>
      </c>
      <c r="F11292" t="s">
        <v>74</v>
      </c>
      <c r="G11292">
        <v>1.22251</v>
      </c>
      <c r="H11292" t="s">
        <v>75</v>
      </c>
      <c r="I11292">
        <v>1222.511</v>
      </c>
      <c r="J11292" t="s">
        <v>76</v>
      </c>
      <c r="K11292" t="s">
        <v>77</v>
      </c>
    </row>
    <row r="11293" spans="1:12" x14ac:dyDescent="0.3">
      <c r="A11293" t="s">
        <v>497</v>
      </c>
      <c r="B11293" t="s">
        <v>83</v>
      </c>
      <c r="C11293">
        <v>597</v>
      </c>
      <c r="D11293" t="s">
        <v>80</v>
      </c>
      <c r="E11293">
        <v>1.224E-3</v>
      </c>
      <c r="F11293" t="s">
        <v>74</v>
      </c>
      <c r="G11293">
        <v>1.2236800000000001</v>
      </c>
      <c r="H11293" t="s">
        <v>75</v>
      </c>
      <c r="I11293">
        <v>1223.6780000000001</v>
      </c>
      <c r="J11293" t="s">
        <v>76</v>
      </c>
      <c r="K11293" t="s">
        <v>77</v>
      </c>
    </row>
    <row r="11294" spans="1:12" x14ac:dyDescent="0.3">
      <c r="A11294" t="s">
        <v>497</v>
      </c>
      <c r="B11294" t="s">
        <v>83</v>
      </c>
      <c r="C11294">
        <v>597</v>
      </c>
      <c r="D11294" t="s">
        <v>81</v>
      </c>
      <c r="E11294">
        <v>1.843E-3</v>
      </c>
      <c r="F11294" t="s">
        <v>74</v>
      </c>
      <c r="G11294">
        <v>1.8433200000000001</v>
      </c>
      <c r="H11294" t="s">
        <v>75</v>
      </c>
      <c r="I11294">
        <v>1843.3209999999999</v>
      </c>
      <c r="J11294" t="s">
        <v>76</v>
      </c>
      <c r="K11294" t="s">
        <v>82</v>
      </c>
      <c r="L11294">
        <v>542.4989726</v>
      </c>
    </row>
    <row r="11295" spans="1:12" x14ac:dyDescent="0.3">
      <c r="A11295" t="s">
        <v>497</v>
      </c>
      <c r="B11295" t="s">
        <v>84</v>
      </c>
      <c r="C11295">
        <v>598</v>
      </c>
      <c r="D11295" t="s">
        <v>79</v>
      </c>
      <c r="E11295">
        <v>8.4199999999999998E-4</v>
      </c>
      <c r="F11295" t="s">
        <v>74</v>
      </c>
      <c r="G11295">
        <v>0.84225000000000005</v>
      </c>
      <c r="H11295" t="s">
        <v>75</v>
      </c>
      <c r="I11295">
        <v>842.25400000000002</v>
      </c>
      <c r="J11295" t="s">
        <v>76</v>
      </c>
      <c r="K11295" t="s">
        <v>77</v>
      </c>
    </row>
    <row r="11296" spans="1:12" x14ac:dyDescent="0.3">
      <c r="A11296" t="s">
        <v>497</v>
      </c>
      <c r="B11296" t="s">
        <v>84</v>
      </c>
      <c r="C11296">
        <v>598</v>
      </c>
      <c r="D11296" t="s">
        <v>94</v>
      </c>
      <c r="E11296">
        <v>1.4059999999999999E-3</v>
      </c>
      <c r="F11296" t="s">
        <v>74</v>
      </c>
      <c r="G11296">
        <v>1.40595</v>
      </c>
      <c r="H11296" t="s">
        <v>75</v>
      </c>
      <c r="I11296">
        <v>1405.951</v>
      </c>
      <c r="J11296" t="s">
        <v>76</v>
      </c>
      <c r="K11296" t="s">
        <v>77</v>
      </c>
    </row>
    <row r="11297" spans="1:12" x14ac:dyDescent="0.3">
      <c r="A11297" t="s">
        <v>497</v>
      </c>
      <c r="B11297" t="s">
        <v>84</v>
      </c>
      <c r="C11297">
        <v>598</v>
      </c>
      <c r="D11297" t="s">
        <v>80</v>
      </c>
      <c r="E11297">
        <v>1.407E-3</v>
      </c>
      <c r="F11297" t="s">
        <v>74</v>
      </c>
      <c r="G11297">
        <v>1.4071400000000001</v>
      </c>
      <c r="H11297" t="s">
        <v>75</v>
      </c>
      <c r="I11297">
        <v>1407.1369999999999</v>
      </c>
      <c r="J11297" t="s">
        <v>76</v>
      </c>
      <c r="K11297" t="s">
        <v>77</v>
      </c>
    </row>
    <row r="11298" spans="1:12" x14ac:dyDescent="0.3">
      <c r="A11298" t="s">
        <v>497</v>
      </c>
      <c r="B11298" t="s">
        <v>84</v>
      </c>
      <c r="C11298">
        <v>598</v>
      </c>
      <c r="D11298" t="s">
        <v>81</v>
      </c>
      <c r="E11298">
        <v>2.2499999999999998E-3</v>
      </c>
      <c r="F11298" t="s">
        <v>74</v>
      </c>
      <c r="G11298">
        <v>2.2496900000000002</v>
      </c>
      <c r="H11298" t="s">
        <v>75</v>
      </c>
      <c r="I11298">
        <v>2249.692</v>
      </c>
      <c r="J11298" t="s">
        <v>76</v>
      </c>
      <c r="K11298" t="s">
        <v>82</v>
      </c>
      <c r="L11298">
        <v>444.50533230000002</v>
      </c>
    </row>
    <row r="11299" spans="1:12" x14ac:dyDescent="0.3">
      <c r="A11299" t="s">
        <v>498</v>
      </c>
      <c r="B11299" t="s">
        <v>72</v>
      </c>
      <c r="C11299">
        <v>1</v>
      </c>
      <c r="D11299" t="s">
        <v>73</v>
      </c>
      <c r="E11299">
        <v>4.6E-5</v>
      </c>
      <c r="F11299" t="s">
        <v>74</v>
      </c>
      <c r="G11299">
        <v>4.6199999999999998E-2</v>
      </c>
      <c r="H11299" t="s">
        <v>75</v>
      </c>
      <c r="I11299">
        <v>46.2</v>
      </c>
      <c r="J11299" t="s">
        <v>76</v>
      </c>
      <c r="K11299" t="s">
        <v>77</v>
      </c>
    </row>
    <row r="11300" spans="1:12" x14ac:dyDescent="0.3">
      <c r="A11300" t="s">
        <v>498</v>
      </c>
      <c r="B11300" t="s">
        <v>72</v>
      </c>
      <c r="C11300">
        <v>1</v>
      </c>
      <c r="D11300" t="s">
        <v>78</v>
      </c>
      <c r="E11300">
        <v>0.132581</v>
      </c>
      <c r="F11300" t="s">
        <v>74</v>
      </c>
      <c r="G11300">
        <v>132.5812</v>
      </c>
      <c r="H11300" t="s">
        <v>75</v>
      </c>
      <c r="I11300">
        <v>132581.204</v>
      </c>
      <c r="J11300" t="s">
        <v>76</v>
      </c>
      <c r="K11300" t="s">
        <v>77</v>
      </c>
    </row>
    <row r="11301" spans="1:12" x14ac:dyDescent="0.3">
      <c r="A11301" t="s">
        <v>498</v>
      </c>
      <c r="B11301" t="s">
        <v>72</v>
      </c>
      <c r="C11301">
        <v>2</v>
      </c>
      <c r="D11301" t="s">
        <v>86</v>
      </c>
      <c r="E11301">
        <v>0.26472600000000002</v>
      </c>
      <c r="F11301" t="s">
        <v>74</v>
      </c>
      <c r="G11301">
        <v>264.72645999999997</v>
      </c>
      <c r="H11301" t="s">
        <v>75</v>
      </c>
      <c r="I11301">
        <v>264726.46000000002</v>
      </c>
      <c r="J11301" t="s">
        <v>76</v>
      </c>
      <c r="K11301" t="s">
        <v>82</v>
      </c>
      <c r="L11301">
        <v>3.7774841000000001</v>
      </c>
    </row>
    <row r="11302" spans="1:12" x14ac:dyDescent="0.3">
      <c r="A11302" t="s">
        <v>498</v>
      </c>
      <c r="B11302" t="s">
        <v>83</v>
      </c>
      <c r="C11302">
        <v>999</v>
      </c>
      <c r="D11302" t="s">
        <v>86</v>
      </c>
      <c r="E11302">
        <v>1.129E-3</v>
      </c>
      <c r="F11302" t="s">
        <v>74</v>
      </c>
      <c r="G11302">
        <v>1.1293800000000001</v>
      </c>
      <c r="H11302" t="s">
        <v>75</v>
      </c>
      <c r="I11302">
        <v>1129.384</v>
      </c>
      <c r="J11302" t="s">
        <v>76</v>
      </c>
      <c r="K11302" t="s">
        <v>82</v>
      </c>
      <c r="L11302">
        <v>885.43877959999998</v>
      </c>
    </row>
    <row r="11303" spans="1:12" x14ac:dyDescent="0.3">
      <c r="A11303" t="s">
        <v>498</v>
      </c>
      <c r="B11303" t="s">
        <v>85</v>
      </c>
      <c r="C11303">
        <v>1001</v>
      </c>
      <c r="D11303" t="s">
        <v>86</v>
      </c>
      <c r="E11303">
        <v>1.3730000000000001E-3</v>
      </c>
      <c r="F11303" t="s">
        <v>74</v>
      </c>
      <c r="G11303">
        <v>1.37314</v>
      </c>
      <c r="H11303" t="s">
        <v>75</v>
      </c>
      <c r="I11303">
        <v>1373.1369999999999</v>
      </c>
      <c r="J11303" t="s">
        <v>76</v>
      </c>
      <c r="K11303" t="s">
        <v>82</v>
      </c>
      <c r="L11303">
        <v>728.25949879999996</v>
      </c>
    </row>
    <row r="11304" spans="1:12" x14ac:dyDescent="0.3">
      <c r="A11304" t="s">
        <v>162</v>
      </c>
    </row>
    <row r="11305" spans="1:12" x14ac:dyDescent="0.3">
      <c r="A11305" t="s">
        <v>162</v>
      </c>
    </row>
    <row r="11306" spans="1:12" x14ac:dyDescent="0.3">
      <c r="A11306" t="s">
        <v>522</v>
      </c>
    </row>
    <row r="11307" spans="1:12" x14ac:dyDescent="0.3">
      <c r="A11307" t="s">
        <v>496</v>
      </c>
      <c r="B11307" t="s">
        <v>72</v>
      </c>
      <c r="C11307">
        <v>1</v>
      </c>
      <c r="D11307" t="s">
        <v>79</v>
      </c>
      <c r="E11307">
        <v>5.6829999999999997E-3</v>
      </c>
      <c r="F11307" t="s">
        <v>74</v>
      </c>
      <c r="G11307">
        <v>5.6829000000000001</v>
      </c>
      <c r="H11307" t="s">
        <v>75</v>
      </c>
      <c r="I11307">
        <v>5682.9</v>
      </c>
      <c r="J11307" t="s">
        <v>76</v>
      </c>
      <c r="K11307" t="s">
        <v>77</v>
      </c>
    </row>
    <row r="11308" spans="1:12" x14ac:dyDescent="0.3">
      <c r="A11308" t="s">
        <v>496</v>
      </c>
      <c r="B11308" t="s">
        <v>72</v>
      </c>
      <c r="C11308">
        <v>1</v>
      </c>
      <c r="D11308" t="s">
        <v>94</v>
      </c>
      <c r="E11308">
        <v>3.3146000000000002E-2</v>
      </c>
      <c r="F11308" t="s">
        <v>74</v>
      </c>
      <c r="G11308">
        <v>33.145800000000001</v>
      </c>
      <c r="H11308" t="s">
        <v>75</v>
      </c>
      <c r="I11308">
        <v>33145.800000000003</v>
      </c>
      <c r="J11308" t="s">
        <v>76</v>
      </c>
      <c r="K11308" t="s">
        <v>77</v>
      </c>
    </row>
    <row r="11309" spans="1:12" x14ac:dyDescent="0.3">
      <c r="A11309" t="s">
        <v>496</v>
      </c>
      <c r="B11309" t="s">
        <v>72</v>
      </c>
      <c r="C11309">
        <v>1</v>
      </c>
      <c r="D11309" t="s">
        <v>80</v>
      </c>
      <c r="E11309">
        <v>3.3147999999999997E-2</v>
      </c>
      <c r="F11309" t="s">
        <v>74</v>
      </c>
      <c r="G11309">
        <v>33.148299999999999</v>
      </c>
      <c r="H11309" t="s">
        <v>75</v>
      </c>
      <c r="I11309">
        <v>33148.300000000003</v>
      </c>
      <c r="J11309" t="s">
        <v>76</v>
      </c>
      <c r="K11309" t="s">
        <v>77</v>
      </c>
    </row>
    <row r="11310" spans="1:12" x14ac:dyDescent="0.3">
      <c r="A11310" t="s">
        <v>496</v>
      </c>
      <c r="B11310" t="s">
        <v>72</v>
      </c>
      <c r="C11310">
        <v>1</v>
      </c>
      <c r="D11310" t="s">
        <v>81</v>
      </c>
      <c r="E11310">
        <v>3.8831999999999998E-2</v>
      </c>
      <c r="F11310" t="s">
        <v>74</v>
      </c>
      <c r="G11310">
        <v>38.831699999999998</v>
      </c>
      <c r="H11310" t="s">
        <v>75</v>
      </c>
      <c r="I11310">
        <v>38831.699999999997</v>
      </c>
      <c r="J11310" t="s">
        <v>76</v>
      </c>
      <c r="K11310" t="s">
        <v>82</v>
      </c>
      <c r="L11310">
        <v>25.752156299999999</v>
      </c>
    </row>
    <row r="11311" spans="1:12" x14ac:dyDescent="0.3">
      <c r="A11311" t="s">
        <v>496</v>
      </c>
      <c r="B11311" t="s">
        <v>83</v>
      </c>
      <c r="C11311">
        <v>594</v>
      </c>
      <c r="D11311" t="s">
        <v>79</v>
      </c>
      <c r="E11311">
        <v>6.5399999999999996E-4</v>
      </c>
      <c r="F11311" t="s">
        <v>74</v>
      </c>
      <c r="G11311">
        <v>0.65412999999999999</v>
      </c>
      <c r="H11311" t="s">
        <v>75</v>
      </c>
      <c r="I11311">
        <v>654.13300000000004</v>
      </c>
      <c r="J11311" t="s">
        <v>76</v>
      </c>
      <c r="K11311" t="s">
        <v>77</v>
      </c>
    </row>
    <row r="11312" spans="1:12" x14ac:dyDescent="0.3">
      <c r="A11312" t="s">
        <v>496</v>
      </c>
      <c r="B11312" t="s">
        <v>83</v>
      </c>
      <c r="C11312">
        <v>594</v>
      </c>
      <c r="D11312" t="s">
        <v>94</v>
      </c>
      <c r="E11312">
        <v>1.6490000000000001E-3</v>
      </c>
      <c r="F11312" t="s">
        <v>74</v>
      </c>
      <c r="G11312">
        <v>1.6491499999999999</v>
      </c>
      <c r="H11312" t="s">
        <v>75</v>
      </c>
      <c r="I11312">
        <v>1649.1510000000001</v>
      </c>
      <c r="J11312" t="s">
        <v>76</v>
      </c>
      <c r="K11312" t="s">
        <v>77</v>
      </c>
    </row>
    <row r="11313" spans="1:12" x14ac:dyDescent="0.3">
      <c r="A11313" t="s">
        <v>496</v>
      </c>
      <c r="B11313" t="s">
        <v>83</v>
      </c>
      <c r="C11313">
        <v>594</v>
      </c>
      <c r="D11313" t="s">
        <v>80</v>
      </c>
      <c r="E11313">
        <v>1.8710000000000001E-3</v>
      </c>
      <c r="F11313" t="s">
        <v>74</v>
      </c>
      <c r="G11313">
        <v>1.8708899999999999</v>
      </c>
      <c r="H11313" t="s">
        <v>75</v>
      </c>
      <c r="I11313">
        <v>1870.8889999999999</v>
      </c>
      <c r="J11313" t="s">
        <v>76</v>
      </c>
      <c r="K11313" t="s">
        <v>77</v>
      </c>
    </row>
    <row r="11314" spans="1:12" x14ac:dyDescent="0.3">
      <c r="A11314" t="s">
        <v>496</v>
      </c>
      <c r="B11314" t="s">
        <v>83</v>
      </c>
      <c r="C11314">
        <v>594</v>
      </c>
      <c r="D11314" t="s">
        <v>81</v>
      </c>
      <c r="E11314">
        <v>2.5249999999999999E-3</v>
      </c>
      <c r="F11314" t="s">
        <v>74</v>
      </c>
      <c r="G11314">
        <v>2.5254799999999999</v>
      </c>
      <c r="H11314" t="s">
        <v>75</v>
      </c>
      <c r="I11314">
        <v>2525.4810000000002</v>
      </c>
      <c r="J11314" t="s">
        <v>76</v>
      </c>
      <c r="K11314" t="s">
        <v>82</v>
      </c>
      <c r="L11314">
        <v>395.9641575</v>
      </c>
    </row>
    <row r="11315" spans="1:12" x14ac:dyDescent="0.3">
      <c r="A11315" t="s">
        <v>496</v>
      </c>
      <c r="B11315" t="s">
        <v>84</v>
      </c>
      <c r="C11315">
        <v>595</v>
      </c>
      <c r="D11315" t="s">
        <v>79</v>
      </c>
      <c r="E11315">
        <v>6.6299999999999996E-4</v>
      </c>
      <c r="F11315" t="s">
        <v>74</v>
      </c>
      <c r="G11315">
        <v>0.66259000000000001</v>
      </c>
      <c r="H11315" t="s">
        <v>75</v>
      </c>
      <c r="I11315">
        <v>662.58500000000004</v>
      </c>
      <c r="J11315" t="s">
        <v>76</v>
      </c>
      <c r="K11315" t="s">
        <v>77</v>
      </c>
    </row>
    <row r="11316" spans="1:12" x14ac:dyDescent="0.3">
      <c r="A11316" t="s">
        <v>496</v>
      </c>
      <c r="B11316" t="s">
        <v>84</v>
      </c>
      <c r="C11316">
        <v>595</v>
      </c>
      <c r="D11316" t="s">
        <v>94</v>
      </c>
      <c r="E11316">
        <v>1.702E-3</v>
      </c>
      <c r="F11316" t="s">
        <v>74</v>
      </c>
      <c r="G11316">
        <v>1.7020900000000001</v>
      </c>
      <c r="H11316" t="s">
        <v>75</v>
      </c>
      <c r="I11316">
        <v>1702.086</v>
      </c>
      <c r="J11316" t="s">
        <v>76</v>
      </c>
      <c r="K11316" t="s">
        <v>77</v>
      </c>
    </row>
    <row r="11317" spans="1:12" x14ac:dyDescent="0.3">
      <c r="A11317" t="s">
        <v>496</v>
      </c>
      <c r="B11317" t="s">
        <v>84</v>
      </c>
      <c r="C11317">
        <v>595</v>
      </c>
      <c r="D11317" t="s">
        <v>80</v>
      </c>
      <c r="E11317">
        <v>1.923E-3</v>
      </c>
      <c r="F11317" t="s">
        <v>74</v>
      </c>
      <c r="G11317">
        <v>1.9234599999999999</v>
      </c>
      <c r="H11317" t="s">
        <v>75</v>
      </c>
      <c r="I11317">
        <v>1923.4570000000001</v>
      </c>
      <c r="J11317" t="s">
        <v>76</v>
      </c>
      <c r="K11317" t="s">
        <v>77</v>
      </c>
    </row>
    <row r="11318" spans="1:12" x14ac:dyDescent="0.3">
      <c r="A11318" t="s">
        <v>496</v>
      </c>
      <c r="B11318" t="s">
        <v>84</v>
      </c>
      <c r="C11318">
        <v>595</v>
      </c>
      <c r="D11318" t="s">
        <v>81</v>
      </c>
      <c r="E11318">
        <v>2.5869999999999999E-3</v>
      </c>
      <c r="F11318" t="s">
        <v>74</v>
      </c>
      <c r="G11318">
        <v>2.5865</v>
      </c>
      <c r="H11318" t="s">
        <v>75</v>
      </c>
      <c r="I11318">
        <v>2586.5</v>
      </c>
      <c r="J11318" t="s">
        <v>76</v>
      </c>
      <c r="K11318" t="s">
        <v>82</v>
      </c>
      <c r="L11318">
        <v>386.62282190000002</v>
      </c>
    </row>
    <row r="11319" spans="1:12" x14ac:dyDescent="0.3">
      <c r="A11319" t="s">
        <v>497</v>
      </c>
      <c r="B11319" t="s">
        <v>72</v>
      </c>
      <c r="C11319">
        <v>1</v>
      </c>
      <c r="D11319" t="s">
        <v>79</v>
      </c>
      <c r="E11319">
        <v>1.7729999999999999E-2</v>
      </c>
      <c r="F11319" t="s">
        <v>74</v>
      </c>
      <c r="G11319">
        <v>17.73</v>
      </c>
      <c r="H11319" t="s">
        <v>75</v>
      </c>
      <c r="I11319">
        <v>17729.999</v>
      </c>
      <c r="J11319" t="s">
        <v>76</v>
      </c>
      <c r="K11319" t="s">
        <v>77</v>
      </c>
    </row>
    <row r="11320" spans="1:12" x14ac:dyDescent="0.3">
      <c r="A11320" t="s">
        <v>497</v>
      </c>
      <c r="B11320" t="s">
        <v>72</v>
      </c>
      <c r="C11320">
        <v>1</v>
      </c>
      <c r="D11320" t="s">
        <v>94</v>
      </c>
      <c r="E11320">
        <v>5.321E-2</v>
      </c>
      <c r="F11320" t="s">
        <v>74</v>
      </c>
      <c r="G11320">
        <v>53.210299999999997</v>
      </c>
      <c r="H11320" t="s">
        <v>75</v>
      </c>
      <c r="I11320">
        <v>53210.298999999999</v>
      </c>
      <c r="J11320" t="s">
        <v>76</v>
      </c>
      <c r="K11320" t="s">
        <v>77</v>
      </c>
    </row>
    <row r="11321" spans="1:12" x14ac:dyDescent="0.3">
      <c r="A11321" t="s">
        <v>497</v>
      </c>
      <c r="B11321" t="s">
        <v>72</v>
      </c>
      <c r="C11321">
        <v>1</v>
      </c>
      <c r="D11321" t="s">
        <v>80</v>
      </c>
      <c r="E11321">
        <v>5.3211000000000001E-2</v>
      </c>
      <c r="F11321" t="s">
        <v>74</v>
      </c>
      <c r="G11321">
        <v>53.211199999999998</v>
      </c>
      <c r="H11321" t="s">
        <v>75</v>
      </c>
      <c r="I11321">
        <v>53211.201000000001</v>
      </c>
      <c r="J11321" t="s">
        <v>76</v>
      </c>
      <c r="K11321" t="s">
        <v>77</v>
      </c>
    </row>
    <row r="11322" spans="1:12" x14ac:dyDescent="0.3">
      <c r="A11322" t="s">
        <v>497</v>
      </c>
      <c r="B11322" t="s">
        <v>72</v>
      </c>
      <c r="C11322">
        <v>1</v>
      </c>
      <c r="D11322" t="s">
        <v>81</v>
      </c>
      <c r="E11322">
        <v>7.0942000000000005E-2</v>
      </c>
      <c r="F11322" t="s">
        <v>74</v>
      </c>
      <c r="G11322">
        <v>70.942300000000003</v>
      </c>
      <c r="H11322" t="s">
        <v>75</v>
      </c>
      <c r="I11322">
        <v>70942.297999999995</v>
      </c>
      <c r="J11322" t="s">
        <v>76</v>
      </c>
      <c r="K11322" t="s">
        <v>82</v>
      </c>
      <c r="L11322">
        <v>14.095962999999999</v>
      </c>
    </row>
    <row r="11323" spans="1:12" x14ac:dyDescent="0.3">
      <c r="A11323" t="s">
        <v>497</v>
      </c>
      <c r="B11323" t="s">
        <v>83</v>
      </c>
      <c r="C11323">
        <v>405</v>
      </c>
      <c r="D11323" t="s">
        <v>79</v>
      </c>
      <c r="E11323">
        <v>6.4999999999999997E-4</v>
      </c>
      <c r="F11323" t="s">
        <v>74</v>
      </c>
      <c r="G11323">
        <v>0.64956000000000003</v>
      </c>
      <c r="H11323" t="s">
        <v>75</v>
      </c>
      <c r="I11323">
        <v>649.56299999999999</v>
      </c>
      <c r="J11323" t="s">
        <v>76</v>
      </c>
      <c r="K11323" t="s">
        <v>77</v>
      </c>
    </row>
    <row r="11324" spans="1:12" x14ac:dyDescent="0.3">
      <c r="A11324" t="s">
        <v>497</v>
      </c>
      <c r="B11324" t="s">
        <v>83</v>
      </c>
      <c r="C11324">
        <v>405</v>
      </c>
      <c r="D11324" t="s">
        <v>94</v>
      </c>
      <c r="E11324">
        <v>2.627E-3</v>
      </c>
      <c r="F11324" t="s">
        <v>74</v>
      </c>
      <c r="G11324">
        <v>2.6267200000000002</v>
      </c>
      <c r="H11324" t="s">
        <v>75</v>
      </c>
      <c r="I11324">
        <v>2626.7179999999998</v>
      </c>
      <c r="J11324" t="s">
        <v>76</v>
      </c>
      <c r="K11324" t="s">
        <v>77</v>
      </c>
    </row>
    <row r="11325" spans="1:12" x14ac:dyDescent="0.3">
      <c r="A11325" t="s">
        <v>497</v>
      </c>
      <c r="B11325" t="s">
        <v>83</v>
      </c>
      <c r="C11325">
        <v>405</v>
      </c>
      <c r="D11325" t="s">
        <v>80</v>
      </c>
      <c r="E11325">
        <v>2.8670000000000002E-3</v>
      </c>
      <c r="F11325" t="s">
        <v>74</v>
      </c>
      <c r="G11325">
        <v>2.8666200000000002</v>
      </c>
      <c r="H11325" t="s">
        <v>75</v>
      </c>
      <c r="I11325">
        <v>2866.6179999999999</v>
      </c>
      <c r="J11325" t="s">
        <v>76</v>
      </c>
      <c r="K11325" t="s">
        <v>77</v>
      </c>
    </row>
    <row r="11326" spans="1:12" x14ac:dyDescent="0.3">
      <c r="A11326" t="s">
        <v>497</v>
      </c>
      <c r="B11326" t="s">
        <v>83</v>
      </c>
      <c r="C11326">
        <v>405</v>
      </c>
      <c r="D11326" t="s">
        <v>81</v>
      </c>
      <c r="E11326">
        <v>3.5170000000000002E-3</v>
      </c>
      <c r="F11326" t="s">
        <v>74</v>
      </c>
      <c r="G11326">
        <v>3.51688</v>
      </c>
      <c r="H11326" t="s">
        <v>75</v>
      </c>
      <c r="I11326">
        <v>3516.8820000000001</v>
      </c>
      <c r="J11326" t="s">
        <v>76</v>
      </c>
      <c r="K11326" t="s">
        <v>82</v>
      </c>
      <c r="L11326">
        <v>284.34281470000002</v>
      </c>
    </row>
    <row r="11327" spans="1:12" x14ac:dyDescent="0.3">
      <c r="A11327" t="s">
        <v>497</v>
      </c>
      <c r="B11327" t="s">
        <v>84</v>
      </c>
      <c r="C11327">
        <v>406</v>
      </c>
      <c r="D11327" t="s">
        <v>79</v>
      </c>
      <c r="E11327">
        <v>6.9200000000000002E-4</v>
      </c>
      <c r="F11327" t="s">
        <v>74</v>
      </c>
      <c r="G11327">
        <v>0.69162999999999997</v>
      </c>
      <c r="H11327" t="s">
        <v>75</v>
      </c>
      <c r="I11327">
        <v>691.63300000000004</v>
      </c>
      <c r="J11327" t="s">
        <v>76</v>
      </c>
      <c r="K11327" t="s">
        <v>77</v>
      </c>
    </row>
    <row r="11328" spans="1:12" x14ac:dyDescent="0.3">
      <c r="A11328" t="s">
        <v>497</v>
      </c>
      <c r="B11328" t="s">
        <v>84</v>
      </c>
      <c r="C11328">
        <v>406</v>
      </c>
      <c r="D11328" t="s">
        <v>94</v>
      </c>
      <c r="E11328">
        <v>2.751E-3</v>
      </c>
      <c r="F11328" t="s">
        <v>74</v>
      </c>
      <c r="G11328">
        <v>2.7513100000000001</v>
      </c>
      <c r="H11328" t="s">
        <v>75</v>
      </c>
      <c r="I11328">
        <v>2751.3090000000002</v>
      </c>
      <c r="J11328" t="s">
        <v>76</v>
      </c>
      <c r="K11328" t="s">
        <v>77</v>
      </c>
    </row>
    <row r="11329" spans="1:12" x14ac:dyDescent="0.3">
      <c r="A11329" t="s">
        <v>497</v>
      </c>
      <c r="B11329" t="s">
        <v>84</v>
      </c>
      <c r="C11329">
        <v>406</v>
      </c>
      <c r="D11329" t="s">
        <v>80</v>
      </c>
      <c r="E11329">
        <v>2.9910000000000002E-3</v>
      </c>
      <c r="F11329" t="s">
        <v>74</v>
      </c>
      <c r="G11329">
        <v>2.9906199999999998</v>
      </c>
      <c r="H11329" t="s">
        <v>75</v>
      </c>
      <c r="I11329">
        <v>2990.62</v>
      </c>
      <c r="J11329" t="s">
        <v>76</v>
      </c>
      <c r="K11329" t="s">
        <v>77</v>
      </c>
    </row>
    <row r="11330" spans="1:12" x14ac:dyDescent="0.3">
      <c r="A11330" t="s">
        <v>497</v>
      </c>
      <c r="B11330" t="s">
        <v>84</v>
      </c>
      <c r="C11330">
        <v>406</v>
      </c>
      <c r="D11330" t="s">
        <v>81</v>
      </c>
      <c r="E11330">
        <v>3.6830000000000001E-3</v>
      </c>
      <c r="F11330" t="s">
        <v>74</v>
      </c>
      <c r="G11330">
        <v>3.6829499999999999</v>
      </c>
      <c r="H11330" t="s">
        <v>75</v>
      </c>
      <c r="I11330">
        <v>3682.9540000000002</v>
      </c>
      <c r="J11330" t="s">
        <v>76</v>
      </c>
      <c r="K11330" t="s">
        <v>82</v>
      </c>
      <c r="L11330">
        <v>271.52115620000001</v>
      </c>
    </row>
    <row r="11331" spans="1:12" x14ac:dyDescent="0.3">
      <c r="A11331" t="s">
        <v>498</v>
      </c>
      <c r="B11331" t="s">
        <v>72</v>
      </c>
      <c r="C11331">
        <v>1</v>
      </c>
      <c r="D11331" t="s">
        <v>73</v>
      </c>
      <c r="E11331">
        <v>4.6E-5</v>
      </c>
      <c r="F11331" t="s">
        <v>74</v>
      </c>
      <c r="G11331">
        <v>4.6199999999999998E-2</v>
      </c>
      <c r="H11331" t="s">
        <v>75</v>
      </c>
      <c r="I11331">
        <v>46.2</v>
      </c>
      <c r="J11331" t="s">
        <v>76</v>
      </c>
      <c r="K11331" t="s">
        <v>77</v>
      </c>
    </row>
    <row r="11332" spans="1:12" x14ac:dyDescent="0.3">
      <c r="A11332" t="s">
        <v>498</v>
      </c>
      <c r="B11332" t="s">
        <v>72</v>
      </c>
      <c r="C11332">
        <v>1</v>
      </c>
      <c r="D11332" t="s">
        <v>78</v>
      </c>
      <c r="E11332">
        <v>5.6099999999999998E-4</v>
      </c>
      <c r="F11332" t="s">
        <v>74</v>
      </c>
      <c r="G11332">
        <v>0.56059999999999999</v>
      </c>
      <c r="H11332" t="s">
        <v>75</v>
      </c>
      <c r="I11332">
        <v>560.6</v>
      </c>
      <c r="J11332" t="s">
        <v>76</v>
      </c>
      <c r="K11332" t="s">
        <v>77</v>
      </c>
    </row>
    <row r="11333" spans="1:12" x14ac:dyDescent="0.3">
      <c r="A11333" t="s">
        <v>498</v>
      </c>
      <c r="B11333" t="s">
        <v>72</v>
      </c>
      <c r="C11333">
        <v>2</v>
      </c>
      <c r="D11333" t="s">
        <v>86</v>
      </c>
      <c r="E11333">
        <v>3.5475E-2</v>
      </c>
      <c r="F11333" t="s">
        <v>74</v>
      </c>
      <c r="G11333">
        <v>35.474800000000002</v>
      </c>
      <c r="H11333" t="s">
        <v>75</v>
      </c>
      <c r="I11333">
        <v>35474.800000000003</v>
      </c>
      <c r="J11333" t="s">
        <v>76</v>
      </c>
      <c r="K11333" t="s">
        <v>82</v>
      </c>
      <c r="L11333">
        <v>28.189024700000001</v>
      </c>
    </row>
    <row r="11334" spans="1:12" x14ac:dyDescent="0.3">
      <c r="A11334" t="s">
        <v>498</v>
      </c>
      <c r="B11334" t="s">
        <v>83</v>
      </c>
      <c r="C11334">
        <v>999</v>
      </c>
      <c r="D11334" t="s">
        <v>86</v>
      </c>
      <c r="E11334">
        <v>1.503E-3</v>
      </c>
      <c r="F11334" t="s">
        <v>74</v>
      </c>
      <c r="G11334">
        <v>1.5033399999999999</v>
      </c>
      <c r="H11334" t="s">
        <v>75</v>
      </c>
      <c r="I11334">
        <v>1503.3409999999999</v>
      </c>
      <c r="J11334" t="s">
        <v>76</v>
      </c>
      <c r="K11334" t="s">
        <v>82</v>
      </c>
      <c r="L11334">
        <v>665.18525729999999</v>
      </c>
    </row>
    <row r="11335" spans="1:12" x14ac:dyDescent="0.3">
      <c r="A11335" t="s">
        <v>498</v>
      </c>
      <c r="B11335" t="s">
        <v>85</v>
      </c>
      <c r="C11335">
        <v>1001</v>
      </c>
      <c r="D11335" t="s">
        <v>86</v>
      </c>
      <c r="E11335">
        <v>1.5460000000000001E-3</v>
      </c>
      <c r="F11335" t="s">
        <v>74</v>
      </c>
      <c r="G11335">
        <v>1.5456399999999999</v>
      </c>
      <c r="H11335" t="s">
        <v>75</v>
      </c>
      <c r="I11335">
        <v>1545.6389999999999</v>
      </c>
      <c r="J11335" t="s">
        <v>76</v>
      </c>
      <c r="K11335" t="s">
        <v>82</v>
      </c>
      <c r="L11335">
        <v>646.98167620000004</v>
      </c>
    </row>
    <row r="11336" spans="1:12" x14ac:dyDescent="0.3">
      <c r="A11336" t="s">
        <v>115</v>
      </c>
    </row>
    <row r="11337" spans="1:12" x14ac:dyDescent="0.3">
      <c r="A11337" t="s">
        <v>127</v>
      </c>
    </row>
    <row r="11338" spans="1:12" x14ac:dyDescent="0.3">
      <c r="A11338" t="s">
        <v>87</v>
      </c>
    </row>
    <row r="11339" spans="1:12" x14ac:dyDescent="0.3">
      <c r="A11339" t="s">
        <v>523</v>
      </c>
    </row>
    <row r="11340" spans="1:12" x14ac:dyDescent="0.3">
      <c r="A11340" t="s">
        <v>496</v>
      </c>
      <c r="B11340" t="s">
        <v>72</v>
      </c>
      <c r="C11340">
        <v>1</v>
      </c>
      <c r="D11340" t="s">
        <v>81</v>
      </c>
      <c r="E11340">
        <v>0.52940600000000004</v>
      </c>
      <c r="F11340" t="s">
        <v>74</v>
      </c>
      <c r="G11340">
        <v>529.40630999999996</v>
      </c>
      <c r="H11340" t="s">
        <v>75</v>
      </c>
      <c r="I11340">
        <v>529406.30900000001</v>
      </c>
      <c r="J11340" t="s">
        <v>76</v>
      </c>
      <c r="K11340" t="s">
        <v>82</v>
      </c>
      <c r="L11340">
        <v>1.8889084</v>
      </c>
    </row>
    <row r="11341" spans="1:12" x14ac:dyDescent="0.3">
      <c r="A11341" t="s">
        <v>496</v>
      </c>
      <c r="B11341" t="s">
        <v>83</v>
      </c>
      <c r="C11341">
        <v>402</v>
      </c>
      <c r="D11341" t="s">
        <v>81</v>
      </c>
      <c r="E11341">
        <v>2.0890000000000001E-3</v>
      </c>
      <c r="F11341" t="s">
        <v>74</v>
      </c>
      <c r="G11341">
        <v>2.08935</v>
      </c>
      <c r="H11341" t="s">
        <v>75</v>
      </c>
      <c r="I11341">
        <v>2089.3519999999999</v>
      </c>
      <c r="J11341" t="s">
        <v>76</v>
      </c>
      <c r="K11341" t="s">
        <v>82</v>
      </c>
      <c r="L11341">
        <v>478.6173258</v>
      </c>
    </row>
    <row r="11342" spans="1:12" x14ac:dyDescent="0.3">
      <c r="A11342" t="s">
        <v>496</v>
      </c>
      <c r="B11342" t="s">
        <v>84</v>
      </c>
      <c r="C11342">
        <v>403</v>
      </c>
      <c r="D11342" t="s">
        <v>81</v>
      </c>
      <c r="E11342">
        <v>3.398E-3</v>
      </c>
      <c r="F11342" t="s">
        <v>74</v>
      </c>
      <c r="G11342">
        <v>3.3978299999999999</v>
      </c>
      <c r="H11342" t="s">
        <v>75</v>
      </c>
      <c r="I11342">
        <v>3397.8290000000002</v>
      </c>
      <c r="J11342" t="s">
        <v>76</v>
      </c>
      <c r="K11342" t="s">
        <v>82</v>
      </c>
      <c r="L11342">
        <v>294.30552829999999</v>
      </c>
    </row>
    <row r="11343" spans="1:12" x14ac:dyDescent="0.3">
      <c r="A11343" t="s">
        <v>497</v>
      </c>
      <c r="B11343" t="s">
        <v>72</v>
      </c>
      <c r="C11343">
        <v>1</v>
      </c>
      <c r="D11343" t="s">
        <v>81</v>
      </c>
      <c r="E11343">
        <v>0.24485199999999999</v>
      </c>
      <c r="F11343" t="s">
        <v>74</v>
      </c>
      <c r="G11343">
        <v>244.85220000000001</v>
      </c>
      <c r="H11343" t="s">
        <v>75</v>
      </c>
      <c r="I11343">
        <v>244852.2</v>
      </c>
      <c r="J11343" t="s">
        <v>76</v>
      </c>
      <c r="K11343" t="s">
        <v>82</v>
      </c>
      <c r="L11343">
        <v>4.0840964</v>
      </c>
    </row>
    <row r="11344" spans="1:12" x14ac:dyDescent="0.3">
      <c r="A11344" t="s">
        <v>497</v>
      </c>
      <c r="B11344" t="s">
        <v>83</v>
      </c>
      <c r="C11344">
        <v>597</v>
      </c>
      <c r="D11344" t="s">
        <v>81</v>
      </c>
      <c r="E11344">
        <v>1.843E-3</v>
      </c>
      <c r="F11344" t="s">
        <v>74</v>
      </c>
      <c r="G11344">
        <v>1.8433200000000001</v>
      </c>
      <c r="H11344" t="s">
        <v>75</v>
      </c>
      <c r="I11344">
        <v>1843.3209999999999</v>
      </c>
      <c r="J11344" t="s">
        <v>76</v>
      </c>
      <c r="K11344" t="s">
        <v>82</v>
      </c>
      <c r="L11344">
        <v>542.4989726</v>
      </c>
    </row>
    <row r="11345" spans="1:12" x14ac:dyDescent="0.3">
      <c r="A11345" t="s">
        <v>497</v>
      </c>
      <c r="B11345" t="s">
        <v>84</v>
      </c>
      <c r="C11345">
        <v>598</v>
      </c>
      <c r="D11345" t="s">
        <v>81</v>
      </c>
      <c r="E11345">
        <v>2.2499999999999998E-3</v>
      </c>
      <c r="F11345" t="s">
        <v>74</v>
      </c>
      <c r="G11345">
        <v>2.2496900000000002</v>
      </c>
      <c r="H11345" t="s">
        <v>75</v>
      </c>
      <c r="I11345">
        <v>2249.692</v>
      </c>
      <c r="J11345" t="s">
        <v>76</v>
      </c>
      <c r="K11345" t="s">
        <v>82</v>
      </c>
      <c r="L11345">
        <v>444.50533230000002</v>
      </c>
    </row>
    <row r="11346" spans="1:12" x14ac:dyDescent="0.3">
      <c r="A11346" t="s">
        <v>498</v>
      </c>
      <c r="B11346" t="s">
        <v>72</v>
      </c>
      <c r="C11346">
        <v>2</v>
      </c>
      <c r="D11346" t="s">
        <v>86</v>
      </c>
      <c r="E11346">
        <v>0.26472600000000002</v>
      </c>
      <c r="F11346" t="s">
        <v>74</v>
      </c>
      <c r="G11346">
        <v>264.72645999999997</v>
      </c>
      <c r="H11346" t="s">
        <v>75</v>
      </c>
      <c r="I11346">
        <v>264726.46000000002</v>
      </c>
      <c r="J11346" t="s">
        <v>76</v>
      </c>
      <c r="K11346" t="s">
        <v>82</v>
      </c>
      <c r="L11346">
        <v>3.7774841000000001</v>
      </c>
    </row>
    <row r="11347" spans="1:12" x14ac:dyDescent="0.3">
      <c r="A11347" t="s">
        <v>498</v>
      </c>
      <c r="B11347" t="s">
        <v>83</v>
      </c>
      <c r="C11347">
        <v>999</v>
      </c>
      <c r="D11347" t="s">
        <v>86</v>
      </c>
      <c r="E11347">
        <v>1.129E-3</v>
      </c>
      <c r="F11347" t="s">
        <v>74</v>
      </c>
      <c r="G11347">
        <v>1.1293800000000001</v>
      </c>
      <c r="H11347" t="s">
        <v>75</v>
      </c>
      <c r="I11347">
        <v>1129.384</v>
      </c>
      <c r="J11347" t="s">
        <v>76</v>
      </c>
      <c r="K11347" t="s">
        <v>82</v>
      </c>
      <c r="L11347">
        <v>885.43877959999998</v>
      </c>
    </row>
    <row r="11348" spans="1:12" x14ac:dyDescent="0.3">
      <c r="A11348" t="s">
        <v>498</v>
      </c>
      <c r="B11348" t="s">
        <v>85</v>
      </c>
      <c r="C11348">
        <v>1001</v>
      </c>
      <c r="D11348" t="s">
        <v>86</v>
      </c>
      <c r="E11348">
        <v>1.3730000000000001E-3</v>
      </c>
      <c r="F11348" t="s">
        <v>74</v>
      </c>
      <c r="G11348">
        <v>1.37314</v>
      </c>
      <c r="H11348" t="s">
        <v>75</v>
      </c>
      <c r="I11348">
        <v>1373.1369999999999</v>
      </c>
      <c r="J11348" t="s">
        <v>76</v>
      </c>
      <c r="K11348" t="s">
        <v>82</v>
      </c>
      <c r="L11348">
        <v>728.25949879999996</v>
      </c>
    </row>
    <row r="11350" spans="1:12" x14ac:dyDescent="0.3">
      <c r="A11350" t="s">
        <v>524</v>
      </c>
    </row>
    <row r="11351" spans="1:12" x14ac:dyDescent="0.3">
      <c r="A11351" t="s">
        <v>496</v>
      </c>
      <c r="B11351" t="s">
        <v>72</v>
      </c>
      <c r="C11351">
        <v>1</v>
      </c>
      <c r="D11351" t="s">
        <v>81</v>
      </c>
      <c r="E11351">
        <v>3.8831999999999998E-2</v>
      </c>
      <c r="F11351" t="s">
        <v>74</v>
      </c>
      <c r="G11351">
        <v>38.831699999999998</v>
      </c>
      <c r="H11351" t="s">
        <v>75</v>
      </c>
      <c r="I11351">
        <v>38831.699999999997</v>
      </c>
      <c r="J11351" t="s">
        <v>76</v>
      </c>
      <c r="K11351" t="s">
        <v>82</v>
      </c>
      <c r="L11351">
        <v>25.752156299999999</v>
      </c>
    </row>
    <row r="11352" spans="1:12" x14ac:dyDescent="0.3">
      <c r="A11352" t="s">
        <v>496</v>
      </c>
      <c r="B11352" t="s">
        <v>83</v>
      </c>
      <c r="C11352">
        <v>594</v>
      </c>
      <c r="D11352" t="s">
        <v>81</v>
      </c>
      <c r="E11352">
        <v>2.5249999999999999E-3</v>
      </c>
      <c r="F11352" t="s">
        <v>74</v>
      </c>
      <c r="G11352">
        <v>2.5254799999999999</v>
      </c>
      <c r="H11352" t="s">
        <v>75</v>
      </c>
      <c r="I11352">
        <v>2525.4810000000002</v>
      </c>
      <c r="J11352" t="s">
        <v>76</v>
      </c>
      <c r="K11352" t="s">
        <v>82</v>
      </c>
      <c r="L11352">
        <v>395.9641575</v>
      </c>
    </row>
    <row r="11353" spans="1:12" x14ac:dyDescent="0.3">
      <c r="A11353" t="s">
        <v>496</v>
      </c>
      <c r="B11353" t="s">
        <v>84</v>
      </c>
      <c r="C11353">
        <v>595</v>
      </c>
      <c r="D11353" t="s">
        <v>81</v>
      </c>
      <c r="E11353">
        <v>2.5869999999999999E-3</v>
      </c>
      <c r="F11353" t="s">
        <v>74</v>
      </c>
      <c r="G11353">
        <v>2.5865</v>
      </c>
      <c r="H11353" t="s">
        <v>75</v>
      </c>
      <c r="I11353">
        <v>2586.5</v>
      </c>
      <c r="J11353" t="s">
        <v>76</v>
      </c>
      <c r="K11353" t="s">
        <v>82</v>
      </c>
      <c r="L11353">
        <v>386.62282190000002</v>
      </c>
    </row>
    <row r="11354" spans="1:12" x14ac:dyDescent="0.3">
      <c r="A11354" t="s">
        <v>497</v>
      </c>
      <c r="B11354" t="s">
        <v>72</v>
      </c>
      <c r="C11354">
        <v>1</v>
      </c>
      <c r="D11354" t="s">
        <v>81</v>
      </c>
      <c r="E11354">
        <v>7.0942000000000005E-2</v>
      </c>
      <c r="F11354" t="s">
        <v>74</v>
      </c>
      <c r="G11354">
        <v>70.942300000000003</v>
      </c>
      <c r="H11354" t="s">
        <v>75</v>
      </c>
      <c r="I11354">
        <v>70942.297999999995</v>
      </c>
      <c r="J11354" t="s">
        <v>76</v>
      </c>
      <c r="K11354" t="s">
        <v>82</v>
      </c>
      <c r="L11354">
        <v>14.095962999999999</v>
      </c>
    </row>
    <row r="11355" spans="1:12" x14ac:dyDescent="0.3">
      <c r="A11355" t="s">
        <v>497</v>
      </c>
      <c r="B11355" t="s">
        <v>83</v>
      </c>
      <c r="C11355">
        <v>405</v>
      </c>
      <c r="D11355" t="s">
        <v>81</v>
      </c>
      <c r="E11355">
        <v>3.5170000000000002E-3</v>
      </c>
      <c r="F11355" t="s">
        <v>74</v>
      </c>
      <c r="G11355">
        <v>3.51688</v>
      </c>
      <c r="H11355" t="s">
        <v>75</v>
      </c>
      <c r="I11355">
        <v>3516.8820000000001</v>
      </c>
      <c r="J11355" t="s">
        <v>76</v>
      </c>
      <c r="K11355" t="s">
        <v>82</v>
      </c>
      <c r="L11355">
        <v>284.34281470000002</v>
      </c>
    </row>
    <row r="11356" spans="1:12" x14ac:dyDescent="0.3">
      <c r="A11356" t="s">
        <v>497</v>
      </c>
      <c r="B11356" t="s">
        <v>84</v>
      </c>
      <c r="C11356">
        <v>406</v>
      </c>
      <c r="D11356" t="s">
        <v>81</v>
      </c>
      <c r="E11356">
        <v>3.6830000000000001E-3</v>
      </c>
      <c r="F11356" t="s">
        <v>74</v>
      </c>
      <c r="G11356">
        <v>3.6829499999999999</v>
      </c>
      <c r="H11356" t="s">
        <v>75</v>
      </c>
      <c r="I11356">
        <v>3682.9540000000002</v>
      </c>
      <c r="J11356" t="s">
        <v>76</v>
      </c>
      <c r="K11356" t="s">
        <v>82</v>
      </c>
      <c r="L11356">
        <v>271.52115620000001</v>
      </c>
    </row>
    <row r="11357" spans="1:12" x14ac:dyDescent="0.3">
      <c r="A11357" t="s">
        <v>498</v>
      </c>
      <c r="B11357" t="s">
        <v>72</v>
      </c>
      <c r="C11357">
        <v>2</v>
      </c>
      <c r="D11357" t="s">
        <v>86</v>
      </c>
      <c r="E11357">
        <v>3.5475E-2</v>
      </c>
      <c r="F11357" t="s">
        <v>74</v>
      </c>
      <c r="G11357">
        <v>35.474800000000002</v>
      </c>
      <c r="H11357" t="s">
        <v>75</v>
      </c>
      <c r="I11357">
        <v>35474.800000000003</v>
      </c>
      <c r="J11357" t="s">
        <v>76</v>
      </c>
      <c r="K11357" t="s">
        <v>82</v>
      </c>
      <c r="L11357">
        <v>28.189024700000001</v>
      </c>
    </row>
    <row r="11358" spans="1:12" x14ac:dyDescent="0.3">
      <c r="A11358" t="s">
        <v>498</v>
      </c>
      <c r="B11358" t="s">
        <v>83</v>
      </c>
      <c r="C11358">
        <v>999</v>
      </c>
      <c r="D11358" t="s">
        <v>86</v>
      </c>
      <c r="E11358">
        <v>1.503E-3</v>
      </c>
      <c r="F11358" t="s">
        <v>74</v>
      </c>
      <c r="G11358">
        <v>1.5033399999999999</v>
      </c>
      <c r="H11358" t="s">
        <v>75</v>
      </c>
      <c r="I11358">
        <v>1503.3409999999999</v>
      </c>
      <c r="J11358" t="s">
        <v>76</v>
      </c>
      <c r="K11358" t="s">
        <v>82</v>
      </c>
      <c r="L11358">
        <v>665.18525729999999</v>
      </c>
    </row>
    <row r="11359" spans="1:12" x14ac:dyDescent="0.3">
      <c r="A11359" t="s">
        <v>498</v>
      </c>
      <c r="B11359" t="s">
        <v>85</v>
      </c>
      <c r="C11359">
        <v>1001</v>
      </c>
      <c r="D11359" t="s">
        <v>86</v>
      </c>
      <c r="E11359">
        <v>1.5460000000000001E-3</v>
      </c>
      <c r="F11359" t="s">
        <v>74</v>
      </c>
      <c r="G11359">
        <v>1.5456399999999999</v>
      </c>
      <c r="H11359" t="s">
        <v>75</v>
      </c>
      <c r="I11359">
        <v>1545.6389999999999</v>
      </c>
      <c r="J11359" t="s">
        <v>76</v>
      </c>
      <c r="K11359" t="s">
        <v>82</v>
      </c>
      <c r="L11359">
        <v>646.98167620000004</v>
      </c>
    </row>
    <row r="11361" spans="1:1" x14ac:dyDescent="0.3">
      <c r="A11361" t="s">
        <v>66</v>
      </c>
    </row>
    <row r="11363" spans="1:1" x14ac:dyDescent="0.3">
      <c r="A11363" t="s">
        <v>525</v>
      </c>
    </row>
    <row r="11364" spans="1:1" x14ac:dyDescent="0.3">
      <c r="A11364" t="s">
        <v>68</v>
      </c>
    </row>
    <row r="11365" spans="1:1" x14ac:dyDescent="0.3">
      <c r="A11365" t="s">
        <v>69</v>
      </c>
    </row>
    <row r="11366" spans="1:1" x14ac:dyDescent="0.3">
      <c r="A11366" t="s">
        <v>68</v>
      </c>
    </row>
    <row r="11367" spans="1:1" x14ac:dyDescent="0.3">
      <c r="A11367" t="s">
        <v>69</v>
      </c>
    </row>
    <row r="11368" spans="1:1" x14ac:dyDescent="0.3">
      <c r="A11368" t="s">
        <v>70</v>
      </c>
    </row>
    <row r="11369" spans="1:1" x14ac:dyDescent="0.3">
      <c r="A11369" t="s">
        <v>115</v>
      </c>
    </row>
    <row r="11370" spans="1:1" x14ac:dyDescent="0.3">
      <c r="A11370" t="s">
        <v>116</v>
      </c>
    </row>
    <row r="11371" spans="1:1" x14ac:dyDescent="0.3">
      <c r="A11371" t="s">
        <v>117</v>
      </c>
    </row>
    <row r="11372" spans="1:1" x14ac:dyDescent="0.3">
      <c r="A11372" t="s">
        <v>118</v>
      </c>
    </row>
    <row r="11373" spans="1:1" x14ac:dyDescent="0.3">
      <c r="A11373" t="s">
        <v>119</v>
      </c>
    </row>
    <row r="11374" spans="1:1" x14ac:dyDescent="0.3">
      <c r="A11374" t="s">
        <v>120</v>
      </c>
    </row>
    <row r="11375" spans="1:1" x14ac:dyDescent="0.3">
      <c r="A11375" t="s">
        <v>121</v>
      </c>
    </row>
    <row r="11376" spans="1:1" x14ac:dyDescent="0.3">
      <c r="A11376" t="s">
        <v>122</v>
      </c>
    </row>
    <row r="11377" spans="1:1" x14ac:dyDescent="0.3">
      <c r="A11377" t="s">
        <v>123</v>
      </c>
    </row>
    <row r="11378" spans="1:1" x14ac:dyDescent="0.3">
      <c r="A11378" t="s">
        <v>124</v>
      </c>
    </row>
    <row r="11379" spans="1:1" x14ac:dyDescent="0.3">
      <c r="A11379" t="s">
        <v>125</v>
      </c>
    </row>
    <row r="11380" spans="1:1" x14ac:dyDescent="0.3">
      <c r="A11380" t="s">
        <v>126</v>
      </c>
    </row>
    <row r="11381" spans="1:1" x14ac:dyDescent="0.3">
      <c r="A11381" t="s">
        <v>127</v>
      </c>
    </row>
    <row r="11382" spans="1:1" x14ac:dyDescent="0.3">
      <c r="A11382" t="s">
        <v>167</v>
      </c>
    </row>
    <row r="11383" spans="1:1" x14ac:dyDescent="0.3">
      <c r="A11383" t="s">
        <v>115</v>
      </c>
    </row>
    <row r="11384" spans="1:1" x14ac:dyDescent="0.3">
      <c r="A11384" t="s">
        <v>266</v>
      </c>
    </row>
    <row r="11385" spans="1:1" x14ac:dyDescent="0.3">
      <c r="A11385" t="s">
        <v>267</v>
      </c>
    </row>
    <row r="11386" spans="1:1" x14ac:dyDescent="0.3">
      <c r="A11386" t="s">
        <v>118</v>
      </c>
    </row>
    <row r="11387" spans="1:1" x14ac:dyDescent="0.3">
      <c r="A11387" t="s">
        <v>119</v>
      </c>
    </row>
    <row r="11388" spans="1:1" x14ac:dyDescent="0.3">
      <c r="A11388" t="s">
        <v>268</v>
      </c>
    </row>
    <row r="11389" spans="1:1" x14ac:dyDescent="0.3">
      <c r="A11389" t="s">
        <v>269</v>
      </c>
    </row>
    <row r="11390" spans="1:1" x14ac:dyDescent="0.3">
      <c r="A11390" t="s">
        <v>122</v>
      </c>
    </row>
    <row r="11391" spans="1:1" x14ac:dyDescent="0.3">
      <c r="A11391" t="s">
        <v>270</v>
      </c>
    </row>
    <row r="11392" spans="1:1" x14ac:dyDescent="0.3">
      <c r="A11392" t="s">
        <v>271</v>
      </c>
    </row>
    <row r="11393" spans="1:12" x14ac:dyDescent="0.3">
      <c r="A11393" t="s">
        <v>125</v>
      </c>
    </row>
    <row r="11394" spans="1:12" x14ac:dyDescent="0.3">
      <c r="A11394" t="s">
        <v>126</v>
      </c>
    </row>
    <row r="11395" spans="1:12" x14ac:dyDescent="0.3">
      <c r="A11395" t="s">
        <v>127</v>
      </c>
    </row>
    <row r="11396" spans="1:12" x14ac:dyDescent="0.3">
      <c r="A11396" t="s">
        <v>167</v>
      </c>
    </row>
    <row r="11397" spans="1:12" x14ac:dyDescent="0.3">
      <c r="A11397" t="s">
        <v>526</v>
      </c>
    </row>
    <row r="11398" spans="1:12" x14ac:dyDescent="0.3">
      <c r="A11398" t="s">
        <v>496</v>
      </c>
      <c r="B11398" t="s">
        <v>72</v>
      </c>
      <c r="C11398">
        <v>1</v>
      </c>
      <c r="D11398" t="s">
        <v>79</v>
      </c>
      <c r="E11398">
        <v>0.30697999999999998</v>
      </c>
      <c r="F11398" t="s">
        <v>74</v>
      </c>
      <c r="G11398">
        <v>306.98048999999997</v>
      </c>
      <c r="H11398" t="s">
        <v>75</v>
      </c>
      <c r="I11398">
        <v>306980.49099999998</v>
      </c>
      <c r="J11398" t="s">
        <v>76</v>
      </c>
      <c r="K11398" t="s">
        <v>77</v>
      </c>
    </row>
    <row r="11399" spans="1:12" x14ac:dyDescent="0.3">
      <c r="A11399" t="s">
        <v>496</v>
      </c>
      <c r="B11399" t="s">
        <v>72</v>
      </c>
      <c r="C11399">
        <v>1</v>
      </c>
      <c r="D11399" t="s">
        <v>94</v>
      </c>
      <c r="E11399">
        <v>0.166188</v>
      </c>
      <c r="F11399" t="s">
        <v>74</v>
      </c>
      <c r="G11399">
        <v>166.18799999999999</v>
      </c>
      <c r="H11399" t="s">
        <v>75</v>
      </c>
      <c r="I11399">
        <v>166188.00200000001</v>
      </c>
      <c r="J11399" t="s">
        <v>76</v>
      </c>
      <c r="K11399" t="s">
        <v>77</v>
      </c>
    </row>
    <row r="11400" spans="1:12" x14ac:dyDescent="0.3">
      <c r="A11400" t="s">
        <v>496</v>
      </c>
      <c r="B11400" t="s">
        <v>72</v>
      </c>
      <c r="C11400">
        <v>1</v>
      </c>
      <c r="D11400" t="s">
        <v>80</v>
      </c>
      <c r="E11400">
        <v>0.166189</v>
      </c>
      <c r="F11400" t="s">
        <v>74</v>
      </c>
      <c r="G11400">
        <v>166.18860000000001</v>
      </c>
      <c r="H11400" t="s">
        <v>75</v>
      </c>
      <c r="I11400">
        <v>166188.598</v>
      </c>
      <c r="J11400" t="s">
        <v>76</v>
      </c>
      <c r="K11400" t="s">
        <v>77</v>
      </c>
    </row>
    <row r="11401" spans="1:12" x14ac:dyDescent="0.3">
      <c r="A11401" t="s">
        <v>496</v>
      </c>
      <c r="B11401" t="s">
        <v>72</v>
      </c>
      <c r="C11401">
        <v>1</v>
      </c>
      <c r="D11401" t="s">
        <v>81</v>
      </c>
      <c r="E11401">
        <v>0.47316999999999998</v>
      </c>
      <c r="F11401" t="s">
        <v>74</v>
      </c>
      <c r="G11401">
        <v>473.1696</v>
      </c>
      <c r="H11401" t="s">
        <v>75</v>
      </c>
      <c r="I11401">
        <v>473169.59499999997</v>
      </c>
      <c r="J11401" t="s">
        <v>76</v>
      </c>
      <c r="K11401" t="s">
        <v>82</v>
      </c>
      <c r="L11401">
        <v>2.1134070999999999</v>
      </c>
    </row>
    <row r="11402" spans="1:12" x14ac:dyDescent="0.3">
      <c r="A11402" t="s">
        <v>496</v>
      </c>
      <c r="B11402" t="s">
        <v>83</v>
      </c>
      <c r="C11402">
        <v>422</v>
      </c>
      <c r="D11402" t="s">
        <v>79</v>
      </c>
      <c r="E11402">
        <v>6.0499999999999996E-4</v>
      </c>
      <c r="F11402" t="s">
        <v>74</v>
      </c>
      <c r="G11402">
        <v>0.60475000000000001</v>
      </c>
      <c r="H11402" t="s">
        <v>75</v>
      </c>
      <c r="I11402">
        <v>604.75099999999998</v>
      </c>
      <c r="J11402" t="s">
        <v>76</v>
      </c>
      <c r="K11402" t="s">
        <v>77</v>
      </c>
    </row>
    <row r="11403" spans="1:12" x14ac:dyDescent="0.3">
      <c r="A11403" t="s">
        <v>496</v>
      </c>
      <c r="B11403" t="s">
        <v>83</v>
      </c>
      <c r="C11403">
        <v>422</v>
      </c>
      <c r="D11403" t="s">
        <v>94</v>
      </c>
      <c r="E11403">
        <v>1.4970000000000001E-3</v>
      </c>
      <c r="F11403" t="s">
        <v>74</v>
      </c>
      <c r="G11403">
        <v>1.49742</v>
      </c>
      <c r="H11403" t="s">
        <v>75</v>
      </c>
      <c r="I11403">
        <v>1497.424</v>
      </c>
      <c r="J11403" t="s">
        <v>76</v>
      </c>
      <c r="K11403" t="s">
        <v>77</v>
      </c>
    </row>
    <row r="11404" spans="1:12" x14ac:dyDescent="0.3">
      <c r="A11404" t="s">
        <v>496</v>
      </c>
      <c r="B11404" t="s">
        <v>83</v>
      </c>
      <c r="C11404">
        <v>422</v>
      </c>
      <c r="D11404" t="s">
        <v>80</v>
      </c>
      <c r="E11404">
        <v>1.498E-3</v>
      </c>
      <c r="F11404" t="s">
        <v>74</v>
      </c>
      <c r="G11404">
        <v>1.4981800000000001</v>
      </c>
      <c r="H11404" t="s">
        <v>75</v>
      </c>
      <c r="I11404">
        <v>1498.1769999999999</v>
      </c>
      <c r="J11404" t="s">
        <v>76</v>
      </c>
      <c r="K11404" t="s">
        <v>77</v>
      </c>
    </row>
    <row r="11405" spans="1:12" x14ac:dyDescent="0.3">
      <c r="A11405" t="s">
        <v>496</v>
      </c>
      <c r="B11405" t="s">
        <v>83</v>
      </c>
      <c r="C11405">
        <v>422</v>
      </c>
      <c r="D11405" t="s">
        <v>81</v>
      </c>
      <c r="E11405">
        <v>2.1029999999999998E-3</v>
      </c>
      <c r="F11405" t="s">
        <v>74</v>
      </c>
      <c r="G11405">
        <v>2.1033200000000001</v>
      </c>
      <c r="H11405" t="s">
        <v>75</v>
      </c>
      <c r="I11405">
        <v>2103.3220000000001</v>
      </c>
      <c r="J11405" t="s">
        <v>76</v>
      </c>
      <c r="K11405" t="s">
        <v>82</v>
      </c>
      <c r="L11405">
        <v>475.43833100000001</v>
      </c>
    </row>
    <row r="11406" spans="1:12" x14ac:dyDescent="0.3">
      <c r="A11406" t="s">
        <v>496</v>
      </c>
      <c r="B11406" t="s">
        <v>84</v>
      </c>
      <c r="C11406">
        <v>423</v>
      </c>
      <c r="D11406" t="s">
        <v>79</v>
      </c>
      <c r="E11406">
        <v>1.3290000000000001E-3</v>
      </c>
      <c r="F11406" t="s">
        <v>74</v>
      </c>
      <c r="G11406">
        <v>1.32904</v>
      </c>
      <c r="H11406" t="s">
        <v>75</v>
      </c>
      <c r="I11406">
        <v>1329.0440000000001</v>
      </c>
      <c r="J11406" t="s">
        <v>76</v>
      </c>
      <c r="K11406" t="s">
        <v>77</v>
      </c>
    </row>
    <row r="11407" spans="1:12" x14ac:dyDescent="0.3">
      <c r="A11407" t="s">
        <v>496</v>
      </c>
      <c r="B11407" t="s">
        <v>84</v>
      </c>
      <c r="C11407">
        <v>423</v>
      </c>
      <c r="D11407" t="s">
        <v>94</v>
      </c>
      <c r="E11407">
        <v>1.887E-3</v>
      </c>
      <c r="F11407" t="s">
        <v>74</v>
      </c>
      <c r="G11407">
        <v>1.88676</v>
      </c>
      <c r="H11407" t="s">
        <v>75</v>
      </c>
      <c r="I11407">
        <v>1886.7629999999999</v>
      </c>
      <c r="J11407" t="s">
        <v>76</v>
      </c>
      <c r="K11407" t="s">
        <v>77</v>
      </c>
    </row>
    <row r="11408" spans="1:12" x14ac:dyDescent="0.3">
      <c r="A11408" t="s">
        <v>496</v>
      </c>
      <c r="B11408" t="s">
        <v>84</v>
      </c>
      <c r="C11408">
        <v>423</v>
      </c>
      <c r="D11408" t="s">
        <v>80</v>
      </c>
      <c r="E11408">
        <v>1.8879999999999999E-3</v>
      </c>
      <c r="F11408" t="s">
        <v>74</v>
      </c>
      <c r="G11408">
        <v>1.8875200000000001</v>
      </c>
      <c r="H11408" t="s">
        <v>75</v>
      </c>
      <c r="I11408">
        <v>1887.5160000000001</v>
      </c>
      <c r="J11408" t="s">
        <v>76</v>
      </c>
      <c r="K11408" t="s">
        <v>77</v>
      </c>
    </row>
    <row r="11409" spans="1:12" x14ac:dyDescent="0.3">
      <c r="A11409" t="s">
        <v>496</v>
      </c>
      <c r="B11409" t="s">
        <v>84</v>
      </c>
      <c r="C11409">
        <v>423</v>
      </c>
      <c r="D11409" t="s">
        <v>81</v>
      </c>
      <c r="E11409">
        <v>3.2169999999999998E-3</v>
      </c>
      <c r="F11409" t="s">
        <v>74</v>
      </c>
      <c r="G11409">
        <v>3.2169599999999998</v>
      </c>
      <c r="H11409" t="s">
        <v>75</v>
      </c>
      <c r="I11409">
        <v>3216.9569999999999</v>
      </c>
      <c r="J11409" t="s">
        <v>76</v>
      </c>
      <c r="K11409" t="s">
        <v>82</v>
      </c>
      <c r="L11409">
        <v>310.8528177</v>
      </c>
    </row>
    <row r="11410" spans="1:12" x14ac:dyDescent="0.3">
      <c r="A11410" t="s">
        <v>497</v>
      </c>
      <c r="B11410" t="s">
        <v>72</v>
      </c>
      <c r="C11410">
        <v>1</v>
      </c>
      <c r="D11410" t="s">
        <v>79</v>
      </c>
      <c r="E11410">
        <v>0.130272</v>
      </c>
      <c r="F11410" t="s">
        <v>74</v>
      </c>
      <c r="G11410">
        <v>130.27170000000001</v>
      </c>
      <c r="H11410" t="s">
        <v>75</v>
      </c>
      <c r="I11410">
        <v>130271.70299999999</v>
      </c>
      <c r="J11410" t="s">
        <v>76</v>
      </c>
      <c r="K11410" t="s">
        <v>77</v>
      </c>
    </row>
    <row r="11411" spans="1:12" x14ac:dyDescent="0.3">
      <c r="A11411" t="s">
        <v>497</v>
      </c>
      <c r="B11411" t="s">
        <v>72</v>
      </c>
      <c r="C11411">
        <v>1</v>
      </c>
      <c r="D11411" t="s">
        <v>94</v>
      </c>
      <c r="E11411">
        <v>0.10981100000000001</v>
      </c>
      <c r="F11411" t="s">
        <v>74</v>
      </c>
      <c r="G11411">
        <v>109.81100000000001</v>
      </c>
      <c r="H11411" t="s">
        <v>75</v>
      </c>
      <c r="I11411">
        <v>109811.001</v>
      </c>
      <c r="J11411" t="s">
        <v>76</v>
      </c>
      <c r="K11411" t="s">
        <v>77</v>
      </c>
    </row>
    <row r="11412" spans="1:12" x14ac:dyDescent="0.3">
      <c r="A11412" t="s">
        <v>497</v>
      </c>
      <c r="B11412" t="s">
        <v>72</v>
      </c>
      <c r="C11412">
        <v>1</v>
      </c>
      <c r="D11412" t="s">
        <v>80</v>
      </c>
      <c r="E11412">
        <v>0.10981200000000001</v>
      </c>
      <c r="F11412" t="s">
        <v>74</v>
      </c>
      <c r="G11412">
        <v>109.8124</v>
      </c>
      <c r="H11412" t="s">
        <v>75</v>
      </c>
      <c r="I11412">
        <v>109812.401</v>
      </c>
      <c r="J11412" t="s">
        <v>76</v>
      </c>
      <c r="K11412" t="s">
        <v>77</v>
      </c>
    </row>
    <row r="11413" spans="1:12" x14ac:dyDescent="0.3">
      <c r="A11413" t="s">
        <v>497</v>
      </c>
      <c r="B11413" t="s">
        <v>72</v>
      </c>
      <c r="C11413">
        <v>1</v>
      </c>
      <c r="D11413" t="s">
        <v>81</v>
      </c>
      <c r="E11413">
        <v>0.24008499999999999</v>
      </c>
      <c r="F11413" t="s">
        <v>74</v>
      </c>
      <c r="G11413">
        <v>240.0848</v>
      </c>
      <c r="H11413" t="s">
        <v>75</v>
      </c>
      <c r="I11413">
        <v>240084.79699999999</v>
      </c>
      <c r="J11413" t="s">
        <v>76</v>
      </c>
      <c r="K11413" t="s">
        <v>82</v>
      </c>
      <c r="L11413">
        <v>4.1651949999999998</v>
      </c>
    </row>
    <row r="11414" spans="1:12" x14ac:dyDescent="0.3">
      <c r="A11414" t="s">
        <v>497</v>
      </c>
      <c r="B11414" t="s">
        <v>83</v>
      </c>
      <c r="C11414">
        <v>577</v>
      </c>
      <c r="D11414" t="s">
        <v>79</v>
      </c>
      <c r="E11414">
        <v>6.2E-4</v>
      </c>
      <c r="F11414" t="s">
        <v>74</v>
      </c>
      <c r="G11414">
        <v>0.62033000000000005</v>
      </c>
      <c r="H11414" t="s">
        <v>75</v>
      </c>
      <c r="I11414">
        <v>620.32899999999995</v>
      </c>
      <c r="J11414" t="s">
        <v>76</v>
      </c>
      <c r="K11414" t="s">
        <v>77</v>
      </c>
    </row>
    <row r="11415" spans="1:12" x14ac:dyDescent="0.3">
      <c r="A11415" t="s">
        <v>497</v>
      </c>
      <c r="B11415" t="s">
        <v>83</v>
      </c>
      <c r="C11415">
        <v>577</v>
      </c>
      <c r="D11415" t="s">
        <v>94</v>
      </c>
      <c r="E11415">
        <v>1.279E-3</v>
      </c>
      <c r="F11415" t="s">
        <v>74</v>
      </c>
      <c r="G11415">
        <v>1.2791699999999999</v>
      </c>
      <c r="H11415" t="s">
        <v>75</v>
      </c>
      <c r="I11415">
        <v>1279.171</v>
      </c>
      <c r="J11415" t="s">
        <v>76</v>
      </c>
      <c r="K11415" t="s">
        <v>77</v>
      </c>
    </row>
    <row r="11416" spans="1:12" x14ac:dyDescent="0.3">
      <c r="A11416" t="s">
        <v>497</v>
      </c>
      <c r="B11416" t="s">
        <v>83</v>
      </c>
      <c r="C11416">
        <v>577</v>
      </c>
      <c r="D11416" t="s">
        <v>80</v>
      </c>
      <c r="E11416">
        <v>1.281E-3</v>
      </c>
      <c r="F11416" t="s">
        <v>74</v>
      </c>
      <c r="G11416">
        <v>1.2810900000000001</v>
      </c>
      <c r="H11416" t="s">
        <v>75</v>
      </c>
      <c r="I11416">
        <v>1281.087</v>
      </c>
      <c r="J11416" t="s">
        <v>76</v>
      </c>
      <c r="K11416" t="s">
        <v>77</v>
      </c>
    </row>
    <row r="11417" spans="1:12" x14ac:dyDescent="0.3">
      <c r="A11417" t="s">
        <v>497</v>
      </c>
      <c r="B11417" t="s">
        <v>83</v>
      </c>
      <c r="C11417">
        <v>577</v>
      </c>
      <c r="D11417" t="s">
        <v>81</v>
      </c>
      <c r="E11417">
        <v>1.902E-3</v>
      </c>
      <c r="F11417" t="s">
        <v>74</v>
      </c>
      <c r="G11417">
        <v>1.90198</v>
      </c>
      <c r="H11417" t="s">
        <v>75</v>
      </c>
      <c r="I11417">
        <v>1901.9780000000001</v>
      </c>
      <c r="J11417" t="s">
        <v>76</v>
      </c>
      <c r="K11417" t="s">
        <v>82</v>
      </c>
      <c r="L11417">
        <v>525.76854649999996</v>
      </c>
    </row>
    <row r="11418" spans="1:12" x14ac:dyDescent="0.3">
      <c r="A11418" t="s">
        <v>497</v>
      </c>
      <c r="B11418" t="s">
        <v>84</v>
      </c>
      <c r="C11418">
        <v>578</v>
      </c>
      <c r="D11418" t="s">
        <v>79</v>
      </c>
      <c r="E11418">
        <v>8.4500000000000005E-4</v>
      </c>
      <c r="F11418" t="s">
        <v>74</v>
      </c>
      <c r="G11418">
        <v>0.84463999999999995</v>
      </c>
      <c r="H11418" t="s">
        <v>75</v>
      </c>
      <c r="I11418">
        <v>844.63900000000001</v>
      </c>
      <c r="J11418" t="s">
        <v>76</v>
      </c>
      <c r="K11418" t="s">
        <v>77</v>
      </c>
    </row>
    <row r="11419" spans="1:12" x14ac:dyDescent="0.3">
      <c r="A11419" t="s">
        <v>497</v>
      </c>
      <c r="B11419" t="s">
        <v>84</v>
      </c>
      <c r="C11419">
        <v>578</v>
      </c>
      <c r="D11419" t="s">
        <v>94</v>
      </c>
      <c r="E11419">
        <v>1.467E-3</v>
      </c>
      <c r="F11419" t="s">
        <v>74</v>
      </c>
      <c r="G11419">
        <v>1.4669399999999999</v>
      </c>
      <c r="H11419" t="s">
        <v>75</v>
      </c>
      <c r="I11419">
        <v>1466.942</v>
      </c>
      <c r="J11419" t="s">
        <v>76</v>
      </c>
      <c r="K11419" t="s">
        <v>77</v>
      </c>
    </row>
    <row r="11420" spans="1:12" x14ac:dyDescent="0.3">
      <c r="A11420" t="s">
        <v>497</v>
      </c>
      <c r="B11420" t="s">
        <v>84</v>
      </c>
      <c r="C11420">
        <v>578</v>
      </c>
      <c r="D11420" t="s">
        <v>80</v>
      </c>
      <c r="E11420">
        <v>1.469E-3</v>
      </c>
      <c r="F11420" t="s">
        <v>74</v>
      </c>
      <c r="G11420">
        <v>1.4688600000000001</v>
      </c>
      <c r="H11420" t="s">
        <v>75</v>
      </c>
      <c r="I11420">
        <v>1468.857</v>
      </c>
      <c r="J11420" t="s">
        <v>76</v>
      </c>
      <c r="K11420" t="s">
        <v>77</v>
      </c>
    </row>
    <row r="11421" spans="1:12" x14ac:dyDescent="0.3">
      <c r="A11421" t="s">
        <v>497</v>
      </c>
      <c r="B11421" t="s">
        <v>84</v>
      </c>
      <c r="C11421">
        <v>578</v>
      </c>
      <c r="D11421" t="s">
        <v>81</v>
      </c>
      <c r="E11421">
        <v>2.3140000000000001E-3</v>
      </c>
      <c r="F11421" t="s">
        <v>74</v>
      </c>
      <c r="G11421">
        <v>2.31406</v>
      </c>
      <c r="H11421" t="s">
        <v>75</v>
      </c>
      <c r="I11421">
        <v>2314.0569999999998</v>
      </c>
      <c r="J11421" t="s">
        <v>76</v>
      </c>
      <c r="K11421" t="s">
        <v>82</v>
      </c>
      <c r="L11421">
        <v>432.14145200000002</v>
      </c>
    </row>
    <row r="11422" spans="1:12" x14ac:dyDescent="0.3">
      <c r="A11422" t="s">
        <v>498</v>
      </c>
      <c r="B11422" t="s">
        <v>72</v>
      </c>
      <c r="C11422">
        <v>1</v>
      </c>
      <c r="D11422" t="s">
        <v>73</v>
      </c>
      <c r="E11422">
        <v>5.1E-5</v>
      </c>
      <c r="F11422" t="s">
        <v>74</v>
      </c>
      <c r="G11422">
        <v>5.1200000000000002E-2</v>
      </c>
      <c r="H11422" t="s">
        <v>75</v>
      </c>
      <c r="I11422">
        <v>51.2</v>
      </c>
      <c r="J11422" t="s">
        <v>76</v>
      </c>
      <c r="K11422" t="s">
        <v>77</v>
      </c>
    </row>
    <row r="11423" spans="1:12" x14ac:dyDescent="0.3">
      <c r="A11423" t="s">
        <v>498</v>
      </c>
      <c r="B11423" t="s">
        <v>72</v>
      </c>
      <c r="C11423">
        <v>1</v>
      </c>
      <c r="D11423" t="s">
        <v>78</v>
      </c>
      <c r="E11423">
        <v>0.12943399999999999</v>
      </c>
      <c r="F11423" t="s">
        <v>74</v>
      </c>
      <c r="G11423">
        <v>129.43370999999999</v>
      </c>
      <c r="H11423" t="s">
        <v>75</v>
      </c>
      <c r="I11423">
        <v>129433.70600000001</v>
      </c>
      <c r="J11423" t="s">
        <v>76</v>
      </c>
      <c r="K11423" t="s">
        <v>77</v>
      </c>
    </row>
    <row r="11424" spans="1:12" x14ac:dyDescent="0.3">
      <c r="A11424" t="s">
        <v>498</v>
      </c>
      <c r="B11424" t="s">
        <v>72</v>
      </c>
      <c r="C11424">
        <v>2</v>
      </c>
      <c r="D11424" t="s">
        <v>86</v>
      </c>
      <c r="E11424">
        <v>0.23660999999999999</v>
      </c>
      <c r="F11424" t="s">
        <v>74</v>
      </c>
      <c r="G11424">
        <v>236.61009999999999</v>
      </c>
      <c r="H11424" t="s">
        <v>75</v>
      </c>
      <c r="I11424">
        <v>236610.1</v>
      </c>
      <c r="J11424" t="s">
        <v>76</v>
      </c>
      <c r="K11424" t="s">
        <v>82</v>
      </c>
      <c r="L11424">
        <v>4.2263622999999999</v>
      </c>
    </row>
    <row r="11425" spans="1:12" x14ac:dyDescent="0.3">
      <c r="A11425" t="s">
        <v>498</v>
      </c>
      <c r="B11425" t="s">
        <v>83</v>
      </c>
      <c r="C11425">
        <v>999</v>
      </c>
      <c r="D11425" t="s">
        <v>86</v>
      </c>
      <c r="E11425">
        <v>1.124E-3</v>
      </c>
      <c r="F11425" t="s">
        <v>74</v>
      </c>
      <c r="G11425">
        <v>1.1240699999999999</v>
      </c>
      <c r="H11425" t="s">
        <v>75</v>
      </c>
      <c r="I11425">
        <v>1124.066</v>
      </c>
      <c r="J11425" t="s">
        <v>76</v>
      </c>
      <c r="K11425" t="s">
        <v>82</v>
      </c>
      <c r="L11425">
        <v>889.62773149999998</v>
      </c>
    </row>
    <row r="11426" spans="1:12" x14ac:dyDescent="0.3">
      <c r="A11426" t="s">
        <v>498</v>
      </c>
      <c r="B11426" t="s">
        <v>85</v>
      </c>
      <c r="C11426">
        <v>1001</v>
      </c>
      <c r="D11426" t="s">
        <v>86</v>
      </c>
      <c r="E11426">
        <v>1.3630000000000001E-3</v>
      </c>
      <c r="F11426" t="s">
        <v>74</v>
      </c>
      <c r="G11426">
        <v>1.3631599999999999</v>
      </c>
      <c r="H11426" t="s">
        <v>75</v>
      </c>
      <c r="I11426">
        <v>1363.16</v>
      </c>
      <c r="J11426" t="s">
        <v>76</v>
      </c>
      <c r="K11426" t="s">
        <v>82</v>
      </c>
      <c r="L11426">
        <v>733.58965809999995</v>
      </c>
    </row>
    <row r="11427" spans="1:12" x14ac:dyDescent="0.3">
      <c r="A11427" t="s">
        <v>169</v>
      </c>
    </row>
    <row r="11428" spans="1:12" x14ac:dyDescent="0.3">
      <c r="A11428" t="s">
        <v>169</v>
      </c>
    </row>
    <row r="11429" spans="1:12" x14ac:dyDescent="0.3">
      <c r="A11429" t="s">
        <v>527</v>
      </c>
    </row>
    <row r="11430" spans="1:12" x14ac:dyDescent="0.3">
      <c r="A11430" t="s">
        <v>496</v>
      </c>
      <c r="B11430" t="s">
        <v>72</v>
      </c>
      <c r="C11430">
        <v>1</v>
      </c>
      <c r="D11430" t="s">
        <v>79</v>
      </c>
      <c r="E11430">
        <v>6.019E-3</v>
      </c>
      <c r="F11430" t="s">
        <v>74</v>
      </c>
      <c r="G11430">
        <v>6.0189000000000004</v>
      </c>
      <c r="H11430" t="s">
        <v>75</v>
      </c>
      <c r="I11430">
        <v>6018.9</v>
      </c>
      <c r="J11430" t="s">
        <v>76</v>
      </c>
      <c r="K11430" t="s">
        <v>77</v>
      </c>
    </row>
    <row r="11431" spans="1:12" x14ac:dyDescent="0.3">
      <c r="A11431" t="s">
        <v>496</v>
      </c>
      <c r="B11431" t="s">
        <v>72</v>
      </c>
      <c r="C11431">
        <v>1</v>
      </c>
      <c r="D11431" t="s">
        <v>94</v>
      </c>
      <c r="E11431">
        <v>4.7070000000000002E-3</v>
      </c>
      <c r="F11431" t="s">
        <v>74</v>
      </c>
      <c r="G11431">
        <v>4.7065000000000001</v>
      </c>
      <c r="H11431" t="s">
        <v>75</v>
      </c>
      <c r="I11431">
        <v>4706.5</v>
      </c>
      <c r="J11431" t="s">
        <v>76</v>
      </c>
      <c r="K11431" t="s">
        <v>77</v>
      </c>
    </row>
    <row r="11432" spans="1:12" x14ac:dyDescent="0.3">
      <c r="A11432" t="s">
        <v>496</v>
      </c>
      <c r="B11432" t="s">
        <v>72</v>
      </c>
      <c r="C11432">
        <v>1</v>
      </c>
      <c r="D11432" t="s">
        <v>80</v>
      </c>
      <c r="E11432">
        <v>4.7089999999999996E-3</v>
      </c>
      <c r="F11432" t="s">
        <v>74</v>
      </c>
      <c r="G11432">
        <v>4.7087000000000003</v>
      </c>
      <c r="H11432" t="s">
        <v>75</v>
      </c>
      <c r="I11432">
        <v>4708.7</v>
      </c>
      <c r="J11432" t="s">
        <v>76</v>
      </c>
      <c r="K11432" t="s">
        <v>77</v>
      </c>
    </row>
    <row r="11433" spans="1:12" x14ac:dyDescent="0.3">
      <c r="A11433" t="s">
        <v>496</v>
      </c>
      <c r="B11433" t="s">
        <v>72</v>
      </c>
      <c r="C11433">
        <v>1</v>
      </c>
      <c r="D11433" t="s">
        <v>81</v>
      </c>
      <c r="E11433">
        <v>1.0728E-2</v>
      </c>
      <c r="F11433" t="s">
        <v>74</v>
      </c>
      <c r="G11433">
        <v>10.7278</v>
      </c>
      <c r="H11433" t="s">
        <v>75</v>
      </c>
      <c r="I11433">
        <v>10727.8</v>
      </c>
      <c r="J11433" t="s">
        <v>76</v>
      </c>
      <c r="K11433" t="s">
        <v>82</v>
      </c>
      <c r="L11433">
        <v>93.215753500000005</v>
      </c>
    </row>
    <row r="11434" spans="1:12" x14ac:dyDescent="0.3">
      <c r="A11434" t="s">
        <v>496</v>
      </c>
      <c r="B11434" t="s">
        <v>83</v>
      </c>
      <c r="C11434">
        <v>590</v>
      </c>
      <c r="D11434" t="s">
        <v>79</v>
      </c>
      <c r="E11434">
        <v>6.5099999999999999E-4</v>
      </c>
      <c r="F11434" t="s">
        <v>74</v>
      </c>
      <c r="G11434">
        <v>0.65069999999999995</v>
      </c>
      <c r="H11434" t="s">
        <v>75</v>
      </c>
      <c r="I11434">
        <v>650.69600000000003</v>
      </c>
      <c r="J11434" t="s">
        <v>76</v>
      </c>
      <c r="K11434" t="s">
        <v>77</v>
      </c>
    </row>
    <row r="11435" spans="1:12" x14ac:dyDescent="0.3">
      <c r="A11435" t="s">
        <v>496</v>
      </c>
      <c r="B11435" t="s">
        <v>83</v>
      </c>
      <c r="C11435">
        <v>590</v>
      </c>
      <c r="D11435" t="s">
        <v>94</v>
      </c>
      <c r="E11435">
        <v>1.694E-3</v>
      </c>
      <c r="F11435" t="s">
        <v>74</v>
      </c>
      <c r="G11435">
        <v>1.6938200000000001</v>
      </c>
      <c r="H11435" t="s">
        <v>75</v>
      </c>
      <c r="I11435">
        <v>1693.8209999999999</v>
      </c>
      <c r="J11435" t="s">
        <v>76</v>
      </c>
      <c r="K11435" t="s">
        <v>77</v>
      </c>
    </row>
    <row r="11436" spans="1:12" x14ac:dyDescent="0.3">
      <c r="A11436" t="s">
        <v>496</v>
      </c>
      <c r="B11436" t="s">
        <v>83</v>
      </c>
      <c r="C11436">
        <v>590</v>
      </c>
      <c r="D11436" t="s">
        <v>80</v>
      </c>
      <c r="E11436">
        <v>1.918E-3</v>
      </c>
      <c r="F11436" t="s">
        <v>74</v>
      </c>
      <c r="G11436">
        <v>1.91754</v>
      </c>
      <c r="H11436" t="s">
        <v>75</v>
      </c>
      <c r="I11436">
        <v>1917.5450000000001</v>
      </c>
      <c r="J11436" t="s">
        <v>76</v>
      </c>
      <c r="K11436" t="s">
        <v>77</v>
      </c>
    </row>
    <row r="11437" spans="1:12" x14ac:dyDescent="0.3">
      <c r="A11437" t="s">
        <v>496</v>
      </c>
      <c r="B11437" t="s">
        <v>83</v>
      </c>
      <c r="C11437">
        <v>590</v>
      </c>
      <c r="D11437" t="s">
        <v>81</v>
      </c>
      <c r="E11437">
        <v>2.5690000000000001E-3</v>
      </c>
      <c r="F11437" t="s">
        <v>74</v>
      </c>
      <c r="G11437">
        <v>2.5686100000000001</v>
      </c>
      <c r="H11437" t="s">
        <v>75</v>
      </c>
      <c r="I11437">
        <v>2568.6060000000002</v>
      </c>
      <c r="J11437" t="s">
        <v>76</v>
      </c>
      <c r="K11437" t="s">
        <v>82</v>
      </c>
      <c r="L11437">
        <v>389.31622879999998</v>
      </c>
    </row>
    <row r="11438" spans="1:12" x14ac:dyDescent="0.3">
      <c r="A11438" t="s">
        <v>496</v>
      </c>
      <c r="B11438" t="s">
        <v>84</v>
      </c>
      <c r="C11438">
        <v>591</v>
      </c>
      <c r="D11438" t="s">
        <v>79</v>
      </c>
      <c r="E11438">
        <v>6.6E-4</v>
      </c>
      <c r="F11438" t="s">
        <v>74</v>
      </c>
      <c r="G11438">
        <v>0.65978000000000003</v>
      </c>
      <c r="H11438" t="s">
        <v>75</v>
      </c>
      <c r="I11438">
        <v>659.78</v>
      </c>
      <c r="J11438" t="s">
        <v>76</v>
      </c>
      <c r="K11438" t="s">
        <v>77</v>
      </c>
    </row>
    <row r="11439" spans="1:12" x14ac:dyDescent="0.3">
      <c r="A11439" t="s">
        <v>496</v>
      </c>
      <c r="B11439" t="s">
        <v>84</v>
      </c>
      <c r="C11439">
        <v>591</v>
      </c>
      <c r="D11439" t="s">
        <v>94</v>
      </c>
      <c r="E11439">
        <v>1.699E-3</v>
      </c>
      <c r="F11439" t="s">
        <v>74</v>
      </c>
      <c r="G11439">
        <v>1.69892</v>
      </c>
      <c r="H11439" t="s">
        <v>75</v>
      </c>
      <c r="I11439">
        <v>1698.9179999999999</v>
      </c>
      <c r="J11439" t="s">
        <v>76</v>
      </c>
      <c r="K11439" t="s">
        <v>77</v>
      </c>
    </row>
    <row r="11440" spans="1:12" x14ac:dyDescent="0.3">
      <c r="A11440" t="s">
        <v>496</v>
      </c>
      <c r="B11440" t="s">
        <v>84</v>
      </c>
      <c r="C11440">
        <v>591</v>
      </c>
      <c r="D11440" t="s">
        <v>80</v>
      </c>
      <c r="E11440">
        <v>1.9220000000000001E-3</v>
      </c>
      <c r="F11440" t="s">
        <v>74</v>
      </c>
      <c r="G11440">
        <v>1.9222699999999999</v>
      </c>
      <c r="H11440" t="s">
        <v>75</v>
      </c>
      <c r="I11440">
        <v>1922.2670000000001</v>
      </c>
      <c r="J11440" t="s">
        <v>76</v>
      </c>
      <c r="K11440" t="s">
        <v>77</v>
      </c>
    </row>
    <row r="11441" spans="1:12" x14ac:dyDescent="0.3">
      <c r="A11441" t="s">
        <v>496</v>
      </c>
      <c r="B11441" t="s">
        <v>84</v>
      </c>
      <c r="C11441">
        <v>591</v>
      </c>
      <c r="D11441" t="s">
        <v>81</v>
      </c>
      <c r="E11441">
        <v>2.5820000000000001E-3</v>
      </c>
      <c r="F11441" t="s">
        <v>74</v>
      </c>
      <c r="G11441">
        <v>2.5824099999999999</v>
      </c>
      <c r="H11441" t="s">
        <v>75</v>
      </c>
      <c r="I11441">
        <v>2582.4119999999998</v>
      </c>
      <c r="J11441" t="s">
        <v>76</v>
      </c>
      <c r="K11441" t="s">
        <v>82</v>
      </c>
      <c r="L11441">
        <v>387.23492800000002</v>
      </c>
    </row>
    <row r="11442" spans="1:12" x14ac:dyDescent="0.3">
      <c r="A11442" t="s">
        <v>497</v>
      </c>
      <c r="B11442" t="s">
        <v>72</v>
      </c>
      <c r="C11442">
        <v>1</v>
      </c>
      <c r="D11442" t="s">
        <v>79</v>
      </c>
      <c r="E11442">
        <v>8.3110000000000007E-3</v>
      </c>
      <c r="F11442" t="s">
        <v>74</v>
      </c>
      <c r="G11442">
        <v>8.3112999999999992</v>
      </c>
      <c r="H11442" t="s">
        <v>75</v>
      </c>
      <c r="I11442">
        <v>8311.2999999999993</v>
      </c>
      <c r="J11442" t="s">
        <v>76</v>
      </c>
      <c r="K11442" t="s">
        <v>77</v>
      </c>
    </row>
    <row r="11443" spans="1:12" x14ac:dyDescent="0.3">
      <c r="A11443" t="s">
        <v>497</v>
      </c>
      <c r="B11443" t="s">
        <v>72</v>
      </c>
      <c r="C11443">
        <v>1</v>
      </c>
      <c r="D11443" t="s">
        <v>94</v>
      </c>
      <c r="E11443">
        <v>4.1054E-2</v>
      </c>
      <c r="F11443" t="s">
        <v>74</v>
      </c>
      <c r="G11443">
        <v>41.053600000000003</v>
      </c>
      <c r="H11443" t="s">
        <v>75</v>
      </c>
      <c r="I11443">
        <v>41053.601000000002</v>
      </c>
      <c r="J11443" t="s">
        <v>76</v>
      </c>
      <c r="K11443" t="s">
        <v>77</v>
      </c>
    </row>
    <row r="11444" spans="1:12" x14ac:dyDescent="0.3">
      <c r="A11444" t="s">
        <v>497</v>
      </c>
      <c r="B11444" t="s">
        <v>72</v>
      </c>
      <c r="C11444">
        <v>1</v>
      </c>
      <c r="D11444" t="s">
        <v>80</v>
      </c>
      <c r="E11444">
        <v>4.1056000000000002E-2</v>
      </c>
      <c r="F11444" t="s">
        <v>74</v>
      </c>
      <c r="G11444">
        <v>41.055500000000002</v>
      </c>
      <c r="H11444" t="s">
        <v>75</v>
      </c>
      <c r="I11444">
        <v>41055.500999999997</v>
      </c>
      <c r="J11444" t="s">
        <v>76</v>
      </c>
      <c r="K11444" t="s">
        <v>77</v>
      </c>
    </row>
    <row r="11445" spans="1:12" x14ac:dyDescent="0.3">
      <c r="A11445" t="s">
        <v>497</v>
      </c>
      <c r="B11445" t="s">
        <v>72</v>
      </c>
      <c r="C11445">
        <v>1</v>
      </c>
      <c r="D11445" t="s">
        <v>81</v>
      </c>
      <c r="E11445">
        <v>4.9367000000000001E-2</v>
      </c>
      <c r="F11445" t="s">
        <v>74</v>
      </c>
      <c r="G11445">
        <v>49.366999999999997</v>
      </c>
      <c r="H11445" t="s">
        <v>75</v>
      </c>
      <c r="I11445">
        <v>49366.999000000003</v>
      </c>
      <c r="J11445" t="s">
        <v>76</v>
      </c>
      <c r="K11445" t="s">
        <v>82</v>
      </c>
      <c r="L11445">
        <v>20.2564469</v>
      </c>
    </row>
    <row r="11446" spans="1:12" x14ac:dyDescent="0.3">
      <c r="A11446" t="s">
        <v>497</v>
      </c>
      <c r="B11446" t="s">
        <v>83</v>
      </c>
      <c r="C11446">
        <v>409</v>
      </c>
      <c r="D11446" t="s">
        <v>79</v>
      </c>
      <c r="E11446">
        <v>6.4800000000000003E-4</v>
      </c>
      <c r="F11446" t="s">
        <v>74</v>
      </c>
      <c r="G11446">
        <v>0.64824999999999999</v>
      </c>
      <c r="H11446" t="s">
        <v>75</v>
      </c>
      <c r="I11446">
        <v>648.24800000000005</v>
      </c>
      <c r="J11446" t="s">
        <v>76</v>
      </c>
      <c r="K11446" t="s">
        <v>77</v>
      </c>
    </row>
    <row r="11447" spans="1:12" x14ac:dyDescent="0.3">
      <c r="A11447" t="s">
        <v>497</v>
      </c>
      <c r="B11447" t="s">
        <v>83</v>
      </c>
      <c r="C11447">
        <v>409</v>
      </c>
      <c r="D11447" t="s">
        <v>94</v>
      </c>
      <c r="E11447">
        <v>2.5990000000000002E-3</v>
      </c>
      <c r="F11447" t="s">
        <v>74</v>
      </c>
      <c r="G11447">
        <v>2.5985399999999998</v>
      </c>
      <c r="H11447" t="s">
        <v>75</v>
      </c>
      <c r="I11447">
        <v>2598.5419999999999</v>
      </c>
      <c r="J11447" t="s">
        <v>76</v>
      </c>
      <c r="K11447" t="s">
        <v>77</v>
      </c>
    </row>
    <row r="11448" spans="1:12" x14ac:dyDescent="0.3">
      <c r="A11448" t="s">
        <v>497</v>
      </c>
      <c r="B11448" t="s">
        <v>83</v>
      </c>
      <c r="C11448">
        <v>409</v>
      </c>
      <c r="D11448" t="s">
        <v>80</v>
      </c>
      <c r="E11448">
        <v>2.8440000000000002E-3</v>
      </c>
      <c r="F11448" t="s">
        <v>74</v>
      </c>
      <c r="G11448">
        <v>2.84402</v>
      </c>
      <c r="H11448" t="s">
        <v>75</v>
      </c>
      <c r="I11448">
        <v>2844.0189999999998</v>
      </c>
      <c r="J11448" t="s">
        <v>76</v>
      </c>
      <c r="K11448" t="s">
        <v>77</v>
      </c>
    </row>
    <row r="11449" spans="1:12" x14ac:dyDescent="0.3">
      <c r="A11449" t="s">
        <v>497</v>
      </c>
      <c r="B11449" t="s">
        <v>83</v>
      </c>
      <c r="C11449">
        <v>409</v>
      </c>
      <c r="D11449" t="s">
        <v>81</v>
      </c>
      <c r="E11449">
        <v>3.493E-3</v>
      </c>
      <c r="F11449" t="s">
        <v>74</v>
      </c>
      <c r="G11449">
        <v>3.4928699999999999</v>
      </c>
      <c r="H11449" t="s">
        <v>75</v>
      </c>
      <c r="I11449">
        <v>3492.8719999999998</v>
      </c>
      <c r="J11449" t="s">
        <v>76</v>
      </c>
      <c r="K11449" t="s">
        <v>82</v>
      </c>
      <c r="L11449">
        <v>286.2973652</v>
      </c>
    </row>
    <row r="11450" spans="1:12" x14ac:dyDescent="0.3">
      <c r="A11450" t="s">
        <v>497</v>
      </c>
      <c r="B11450" t="s">
        <v>84</v>
      </c>
      <c r="C11450">
        <v>410</v>
      </c>
      <c r="D11450" t="s">
        <v>79</v>
      </c>
      <c r="E11450">
        <v>6.6699999999999995E-4</v>
      </c>
      <c r="F11450" t="s">
        <v>74</v>
      </c>
      <c r="G11450">
        <v>0.66693999999999998</v>
      </c>
      <c r="H11450" t="s">
        <v>75</v>
      </c>
      <c r="I11450">
        <v>666.93799999999999</v>
      </c>
      <c r="J11450" t="s">
        <v>76</v>
      </c>
      <c r="K11450" t="s">
        <v>77</v>
      </c>
    </row>
    <row r="11451" spans="1:12" x14ac:dyDescent="0.3">
      <c r="A11451" t="s">
        <v>497</v>
      </c>
      <c r="B11451" t="s">
        <v>84</v>
      </c>
      <c r="C11451">
        <v>410</v>
      </c>
      <c r="D11451" t="s">
        <v>94</v>
      </c>
      <c r="E11451">
        <v>2.6919999999999999E-3</v>
      </c>
      <c r="F11451" t="s">
        <v>74</v>
      </c>
      <c r="G11451">
        <v>2.6923400000000002</v>
      </c>
      <c r="H11451" t="s">
        <v>75</v>
      </c>
      <c r="I11451">
        <v>2692.3359999999998</v>
      </c>
      <c r="J11451" t="s">
        <v>76</v>
      </c>
      <c r="K11451" t="s">
        <v>77</v>
      </c>
    </row>
    <row r="11452" spans="1:12" x14ac:dyDescent="0.3">
      <c r="A11452" t="s">
        <v>497</v>
      </c>
      <c r="B11452" t="s">
        <v>84</v>
      </c>
      <c r="C11452">
        <v>410</v>
      </c>
      <c r="D11452" t="s">
        <v>80</v>
      </c>
      <c r="E11452">
        <v>2.9369999999999999E-3</v>
      </c>
      <c r="F11452" t="s">
        <v>74</v>
      </c>
      <c r="G11452">
        <v>2.9372199999999999</v>
      </c>
      <c r="H11452" t="s">
        <v>75</v>
      </c>
      <c r="I11452">
        <v>2937.2190000000001</v>
      </c>
      <c r="J11452" t="s">
        <v>76</v>
      </c>
      <c r="K11452" t="s">
        <v>77</v>
      </c>
    </row>
    <row r="11453" spans="1:12" x14ac:dyDescent="0.3">
      <c r="A11453" t="s">
        <v>497</v>
      </c>
      <c r="B11453" t="s">
        <v>84</v>
      </c>
      <c r="C11453">
        <v>410</v>
      </c>
      <c r="D11453" t="s">
        <v>81</v>
      </c>
      <c r="E11453">
        <v>3.6050000000000001E-3</v>
      </c>
      <c r="F11453" t="s">
        <v>74</v>
      </c>
      <c r="G11453">
        <v>3.6047600000000002</v>
      </c>
      <c r="H11453" t="s">
        <v>75</v>
      </c>
      <c r="I11453">
        <v>3604.76</v>
      </c>
      <c r="J11453" t="s">
        <v>76</v>
      </c>
      <c r="K11453" t="s">
        <v>82</v>
      </c>
      <c r="L11453">
        <v>277.41099259999999</v>
      </c>
    </row>
    <row r="11454" spans="1:12" x14ac:dyDescent="0.3">
      <c r="A11454" t="s">
        <v>498</v>
      </c>
      <c r="B11454" t="s">
        <v>72</v>
      </c>
      <c r="C11454">
        <v>1</v>
      </c>
      <c r="D11454" t="s">
        <v>73</v>
      </c>
      <c r="E11454">
        <v>5.1E-5</v>
      </c>
      <c r="F11454" t="s">
        <v>74</v>
      </c>
      <c r="G11454">
        <v>5.1200000000000002E-2</v>
      </c>
      <c r="H11454" t="s">
        <v>75</v>
      </c>
      <c r="I11454">
        <v>51.2</v>
      </c>
      <c r="J11454" t="s">
        <v>76</v>
      </c>
      <c r="K11454" t="s">
        <v>77</v>
      </c>
    </row>
    <row r="11455" spans="1:12" x14ac:dyDescent="0.3">
      <c r="A11455" t="s">
        <v>498</v>
      </c>
      <c r="B11455" t="s">
        <v>72</v>
      </c>
      <c r="C11455">
        <v>1</v>
      </c>
      <c r="D11455" t="s">
        <v>78</v>
      </c>
      <c r="E11455">
        <v>5.5400000000000002E-4</v>
      </c>
      <c r="F11455" t="s">
        <v>74</v>
      </c>
      <c r="G11455">
        <v>0.55430000000000001</v>
      </c>
      <c r="H11455" t="s">
        <v>75</v>
      </c>
      <c r="I11455">
        <v>554.29999999999995</v>
      </c>
      <c r="J11455" t="s">
        <v>76</v>
      </c>
      <c r="K11455" t="s">
        <v>77</v>
      </c>
    </row>
    <row r="11456" spans="1:12" x14ac:dyDescent="0.3">
      <c r="A11456" t="s">
        <v>498</v>
      </c>
      <c r="B11456" t="s">
        <v>72</v>
      </c>
      <c r="C11456">
        <v>2</v>
      </c>
      <c r="D11456" t="s">
        <v>86</v>
      </c>
      <c r="E11456">
        <v>2.4688000000000002E-2</v>
      </c>
      <c r="F11456" t="s">
        <v>74</v>
      </c>
      <c r="G11456">
        <v>24.6875</v>
      </c>
      <c r="H11456" t="s">
        <v>75</v>
      </c>
      <c r="I11456">
        <v>24687.501</v>
      </c>
      <c r="J11456" t="s">
        <v>76</v>
      </c>
      <c r="K11456" t="s">
        <v>82</v>
      </c>
      <c r="L11456">
        <v>40.506328000000003</v>
      </c>
    </row>
    <row r="11457" spans="1:12" x14ac:dyDescent="0.3">
      <c r="A11457" t="s">
        <v>498</v>
      </c>
      <c r="B11457" t="s">
        <v>83</v>
      </c>
      <c r="C11457">
        <v>999</v>
      </c>
      <c r="D11457" t="s">
        <v>86</v>
      </c>
      <c r="E11457">
        <v>1.523E-3</v>
      </c>
      <c r="F11457" t="s">
        <v>74</v>
      </c>
      <c r="G11457">
        <v>1.5229600000000001</v>
      </c>
      <c r="H11457" t="s">
        <v>75</v>
      </c>
      <c r="I11457">
        <v>1522.9549999999999</v>
      </c>
      <c r="J11457" t="s">
        <v>76</v>
      </c>
      <c r="K11457" t="s">
        <v>82</v>
      </c>
      <c r="L11457">
        <v>656.61811750000004</v>
      </c>
    </row>
    <row r="11458" spans="1:12" x14ac:dyDescent="0.3">
      <c r="A11458" t="s">
        <v>498</v>
      </c>
      <c r="B11458" t="s">
        <v>85</v>
      </c>
      <c r="C11458">
        <v>1001</v>
      </c>
      <c r="D11458" t="s">
        <v>86</v>
      </c>
      <c r="E11458">
        <v>1.5330000000000001E-3</v>
      </c>
      <c r="F11458" t="s">
        <v>74</v>
      </c>
      <c r="G11458">
        <v>1.5325299999999999</v>
      </c>
      <c r="H11458" t="s">
        <v>75</v>
      </c>
      <c r="I11458">
        <v>1532.5260000000001</v>
      </c>
      <c r="J11458" t="s">
        <v>76</v>
      </c>
      <c r="K11458" t="s">
        <v>82</v>
      </c>
      <c r="L11458">
        <v>652.51766139999995</v>
      </c>
    </row>
    <row r="11459" spans="1:12" x14ac:dyDescent="0.3">
      <c r="A11459" t="s">
        <v>115</v>
      </c>
    </row>
    <row r="11460" spans="1:12" x14ac:dyDescent="0.3">
      <c r="A11460" t="s">
        <v>127</v>
      </c>
    </row>
    <row r="11461" spans="1:12" x14ac:dyDescent="0.3">
      <c r="A11461" t="s">
        <v>87</v>
      </c>
    </row>
    <row r="11462" spans="1:12" x14ac:dyDescent="0.3">
      <c r="A11462" t="s">
        <v>528</v>
      </c>
    </row>
    <row r="11463" spans="1:12" x14ac:dyDescent="0.3">
      <c r="A11463" t="s">
        <v>496</v>
      </c>
      <c r="B11463" t="s">
        <v>72</v>
      </c>
      <c r="C11463">
        <v>1</v>
      </c>
      <c r="D11463" t="s">
        <v>81</v>
      </c>
      <c r="E11463">
        <v>0.47316999999999998</v>
      </c>
      <c r="F11463" t="s">
        <v>74</v>
      </c>
      <c r="G11463">
        <v>473.1696</v>
      </c>
      <c r="H11463" t="s">
        <v>75</v>
      </c>
      <c r="I11463">
        <v>473169.59499999997</v>
      </c>
      <c r="J11463" t="s">
        <v>76</v>
      </c>
      <c r="K11463" t="s">
        <v>82</v>
      </c>
      <c r="L11463">
        <v>2.1134070999999999</v>
      </c>
    </row>
    <row r="11464" spans="1:12" x14ac:dyDescent="0.3">
      <c r="A11464" t="s">
        <v>496</v>
      </c>
      <c r="B11464" t="s">
        <v>83</v>
      </c>
      <c r="C11464">
        <v>422</v>
      </c>
      <c r="D11464" t="s">
        <v>81</v>
      </c>
      <c r="E11464">
        <v>2.1029999999999998E-3</v>
      </c>
      <c r="F11464" t="s">
        <v>74</v>
      </c>
      <c r="G11464">
        <v>2.1033200000000001</v>
      </c>
      <c r="H11464" t="s">
        <v>75</v>
      </c>
      <c r="I11464">
        <v>2103.3220000000001</v>
      </c>
      <c r="J11464" t="s">
        <v>76</v>
      </c>
      <c r="K11464" t="s">
        <v>82</v>
      </c>
      <c r="L11464">
        <v>475.43833100000001</v>
      </c>
    </row>
    <row r="11465" spans="1:12" x14ac:dyDescent="0.3">
      <c r="A11465" t="s">
        <v>496</v>
      </c>
      <c r="B11465" t="s">
        <v>84</v>
      </c>
      <c r="C11465">
        <v>423</v>
      </c>
      <c r="D11465" t="s">
        <v>81</v>
      </c>
      <c r="E11465">
        <v>3.2169999999999998E-3</v>
      </c>
      <c r="F11465" t="s">
        <v>74</v>
      </c>
      <c r="G11465">
        <v>3.2169599999999998</v>
      </c>
      <c r="H11465" t="s">
        <v>75</v>
      </c>
      <c r="I11465">
        <v>3216.9569999999999</v>
      </c>
      <c r="J11465" t="s">
        <v>76</v>
      </c>
      <c r="K11465" t="s">
        <v>82</v>
      </c>
      <c r="L11465">
        <v>310.8528177</v>
      </c>
    </row>
    <row r="11466" spans="1:12" x14ac:dyDescent="0.3">
      <c r="A11466" t="s">
        <v>497</v>
      </c>
      <c r="B11466" t="s">
        <v>72</v>
      </c>
      <c r="C11466">
        <v>1</v>
      </c>
      <c r="D11466" t="s">
        <v>81</v>
      </c>
      <c r="E11466">
        <v>0.24008499999999999</v>
      </c>
      <c r="F11466" t="s">
        <v>74</v>
      </c>
      <c r="G11466">
        <v>240.0848</v>
      </c>
      <c r="H11466" t="s">
        <v>75</v>
      </c>
      <c r="I11466">
        <v>240084.79699999999</v>
      </c>
      <c r="J11466" t="s">
        <v>76</v>
      </c>
      <c r="K11466" t="s">
        <v>82</v>
      </c>
      <c r="L11466">
        <v>4.1651949999999998</v>
      </c>
    </row>
    <row r="11467" spans="1:12" x14ac:dyDescent="0.3">
      <c r="A11467" t="s">
        <v>497</v>
      </c>
      <c r="B11467" t="s">
        <v>83</v>
      </c>
      <c r="C11467">
        <v>577</v>
      </c>
      <c r="D11467" t="s">
        <v>81</v>
      </c>
      <c r="E11467">
        <v>1.902E-3</v>
      </c>
      <c r="F11467" t="s">
        <v>74</v>
      </c>
      <c r="G11467">
        <v>1.90198</v>
      </c>
      <c r="H11467" t="s">
        <v>75</v>
      </c>
      <c r="I11467">
        <v>1901.9780000000001</v>
      </c>
      <c r="J11467" t="s">
        <v>76</v>
      </c>
      <c r="K11467" t="s">
        <v>82</v>
      </c>
      <c r="L11467">
        <v>525.76854649999996</v>
      </c>
    </row>
    <row r="11468" spans="1:12" x14ac:dyDescent="0.3">
      <c r="A11468" t="s">
        <v>497</v>
      </c>
      <c r="B11468" t="s">
        <v>84</v>
      </c>
      <c r="C11468">
        <v>578</v>
      </c>
      <c r="D11468" t="s">
        <v>81</v>
      </c>
      <c r="E11468">
        <v>2.3140000000000001E-3</v>
      </c>
      <c r="F11468" t="s">
        <v>74</v>
      </c>
      <c r="G11468">
        <v>2.31406</v>
      </c>
      <c r="H11468" t="s">
        <v>75</v>
      </c>
      <c r="I11468">
        <v>2314.0569999999998</v>
      </c>
      <c r="J11468" t="s">
        <v>76</v>
      </c>
      <c r="K11468" t="s">
        <v>82</v>
      </c>
      <c r="L11468">
        <v>432.14145200000002</v>
      </c>
    </row>
    <row r="11469" spans="1:12" x14ac:dyDescent="0.3">
      <c r="A11469" t="s">
        <v>498</v>
      </c>
      <c r="B11469" t="s">
        <v>72</v>
      </c>
      <c r="C11469">
        <v>2</v>
      </c>
      <c r="D11469" t="s">
        <v>86</v>
      </c>
      <c r="E11469">
        <v>0.23660999999999999</v>
      </c>
      <c r="F11469" t="s">
        <v>74</v>
      </c>
      <c r="G11469">
        <v>236.61009999999999</v>
      </c>
      <c r="H11469" t="s">
        <v>75</v>
      </c>
      <c r="I11469">
        <v>236610.1</v>
      </c>
      <c r="J11469" t="s">
        <v>76</v>
      </c>
      <c r="K11469" t="s">
        <v>82</v>
      </c>
      <c r="L11469">
        <v>4.2263622999999999</v>
      </c>
    </row>
    <row r="11470" spans="1:12" x14ac:dyDescent="0.3">
      <c r="A11470" t="s">
        <v>498</v>
      </c>
      <c r="B11470" t="s">
        <v>83</v>
      </c>
      <c r="C11470">
        <v>999</v>
      </c>
      <c r="D11470" t="s">
        <v>86</v>
      </c>
      <c r="E11470">
        <v>1.124E-3</v>
      </c>
      <c r="F11470" t="s">
        <v>74</v>
      </c>
      <c r="G11470">
        <v>1.1240699999999999</v>
      </c>
      <c r="H11470" t="s">
        <v>75</v>
      </c>
      <c r="I11470">
        <v>1124.066</v>
      </c>
      <c r="J11470" t="s">
        <v>76</v>
      </c>
      <c r="K11470" t="s">
        <v>82</v>
      </c>
      <c r="L11470">
        <v>889.62773149999998</v>
      </c>
    </row>
    <row r="11471" spans="1:12" x14ac:dyDescent="0.3">
      <c r="A11471" t="s">
        <v>498</v>
      </c>
      <c r="B11471" t="s">
        <v>85</v>
      </c>
      <c r="C11471">
        <v>1001</v>
      </c>
      <c r="D11471" t="s">
        <v>86</v>
      </c>
      <c r="E11471">
        <v>1.3630000000000001E-3</v>
      </c>
      <c r="F11471" t="s">
        <v>74</v>
      </c>
      <c r="G11471">
        <v>1.3631599999999999</v>
      </c>
      <c r="H11471" t="s">
        <v>75</v>
      </c>
      <c r="I11471">
        <v>1363.16</v>
      </c>
      <c r="J11471" t="s">
        <v>76</v>
      </c>
      <c r="K11471" t="s">
        <v>82</v>
      </c>
      <c r="L11471">
        <v>733.58965809999995</v>
      </c>
    </row>
    <row r="11473" spans="1:12" x14ac:dyDescent="0.3">
      <c r="A11473" t="s">
        <v>529</v>
      </c>
    </row>
    <row r="11474" spans="1:12" x14ac:dyDescent="0.3">
      <c r="A11474" t="s">
        <v>496</v>
      </c>
      <c r="B11474" t="s">
        <v>72</v>
      </c>
      <c r="C11474">
        <v>1</v>
      </c>
      <c r="D11474" t="s">
        <v>81</v>
      </c>
      <c r="E11474">
        <v>1.0728E-2</v>
      </c>
      <c r="F11474" t="s">
        <v>74</v>
      </c>
      <c r="G11474">
        <v>10.7278</v>
      </c>
      <c r="H11474" t="s">
        <v>75</v>
      </c>
      <c r="I11474">
        <v>10727.8</v>
      </c>
      <c r="J11474" t="s">
        <v>76</v>
      </c>
      <c r="K11474" t="s">
        <v>82</v>
      </c>
      <c r="L11474">
        <v>93.215753500000005</v>
      </c>
    </row>
    <row r="11475" spans="1:12" x14ac:dyDescent="0.3">
      <c r="A11475" t="s">
        <v>496</v>
      </c>
      <c r="B11475" t="s">
        <v>83</v>
      </c>
      <c r="C11475">
        <v>590</v>
      </c>
      <c r="D11475" t="s">
        <v>81</v>
      </c>
      <c r="E11475">
        <v>2.5690000000000001E-3</v>
      </c>
      <c r="F11475" t="s">
        <v>74</v>
      </c>
      <c r="G11475">
        <v>2.5686100000000001</v>
      </c>
      <c r="H11475" t="s">
        <v>75</v>
      </c>
      <c r="I11475">
        <v>2568.6060000000002</v>
      </c>
      <c r="J11475" t="s">
        <v>76</v>
      </c>
      <c r="K11475" t="s">
        <v>82</v>
      </c>
      <c r="L11475">
        <v>389.31622879999998</v>
      </c>
    </row>
    <row r="11476" spans="1:12" x14ac:dyDescent="0.3">
      <c r="A11476" t="s">
        <v>496</v>
      </c>
      <c r="B11476" t="s">
        <v>84</v>
      </c>
      <c r="C11476">
        <v>591</v>
      </c>
      <c r="D11476" t="s">
        <v>81</v>
      </c>
      <c r="E11476">
        <v>2.5820000000000001E-3</v>
      </c>
      <c r="F11476" t="s">
        <v>74</v>
      </c>
      <c r="G11476">
        <v>2.5824099999999999</v>
      </c>
      <c r="H11476" t="s">
        <v>75</v>
      </c>
      <c r="I11476">
        <v>2582.4119999999998</v>
      </c>
      <c r="J11476" t="s">
        <v>76</v>
      </c>
      <c r="K11476" t="s">
        <v>82</v>
      </c>
      <c r="L11476">
        <v>387.23492800000002</v>
      </c>
    </row>
    <row r="11477" spans="1:12" x14ac:dyDescent="0.3">
      <c r="A11477" t="s">
        <v>497</v>
      </c>
      <c r="B11477" t="s">
        <v>72</v>
      </c>
      <c r="C11477">
        <v>1</v>
      </c>
      <c r="D11477" t="s">
        <v>81</v>
      </c>
      <c r="E11477">
        <v>4.9367000000000001E-2</v>
      </c>
      <c r="F11477" t="s">
        <v>74</v>
      </c>
      <c r="G11477">
        <v>49.366999999999997</v>
      </c>
      <c r="H11477" t="s">
        <v>75</v>
      </c>
      <c r="I11477">
        <v>49366.999000000003</v>
      </c>
      <c r="J11477" t="s">
        <v>76</v>
      </c>
      <c r="K11477" t="s">
        <v>82</v>
      </c>
      <c r="L11477">
        <v>20.2564469</v>
      </c>
    </row>
    <row r="11478" spans="1:12" x14ac:dyDescent="0.3">
      <c r="A11478" t="s">
        <v>497</v>
      </c>
      <c r="B11478" t="s">
        <v>83</v>
      </c>
      <c r="C11478">
        <v>409</v>
      </c>
      <c r="D11478" t="s">
        <v>81</v>
      </c>
      <c r="E11478">
        <v>3.493E-3</v>
      </c>
      <c r="F11478" t="s">
        <v>74</v>
      </c>
      <c r="G11478">
        <v>3.4928699999999999</v>
      </c>
      <c r="H11478" t="s">
        <v>75</v>
      </c>
      <c r="I11478">
        <v>3492.8719999999998</v>
      </c>
      <c r="J11478" t="s">
        <v>76</v>
      </c>
      <c r="K11478" t="s">
        <v>82</v>
      </c>
      <c r="L11478">
        <v>286.2973652</v>
      </c>
    </row>
    <row r="11479" spans="1:12" x14ac:dyDescent="0.3">
      <c r="A11479" t="s">
        <v>497</v>
      </c>
      <c r="B11479" t="s">
        <v>84</v>
      </c>
      <c r="C11479">
        <v>410</v>
      </c>
      <c r="D11479" t="s">
        <v>81</v>
      </c>
      <c r="E11479">
        <v>3.6050000000000001E-3</v>
      </c>
      <c r="F11479" t="s">
        <v>74</v>
      </c>
      <c r="G11479">
        <v>3.6047600000000002</v>
      </c>
      <c r="H11479" t="s">
        <v>75</v>
      </c>
      <c r="I11479">
        <v>3604.76</v>
      </c>
      <c r="J11479" t="s">
        <v>76</v>
      </c>
      <c r="K11479" t="s">
        <v>82</v>
      </c>
      <c r="L11479">
        <v>277.41099259999999</v>
      </c>
    </row>
    <row r="11480" spans="1:12" x14ac:dyDescent="0.3">
      <c r="A11480" t="s">
        <v>498</v>
      </c>
      <c r="B11480" t="s">
        <v>72</v>
      </c>
      <c r="C11480">
        <v>2</v>
      </c>
      <c r="D11480" t="s">
        <v>86</v>
      </c>
      <c r="E11480">
        <v>2.4688000000000002E-2</v>
      </c>
      <c r="F11480" t="s">
        <v>74</v>
      </c>
      <c r="G11480">
        <v>24.6875</v>
      </c>
      <c r="H11480" t="s">
        <v>75</v>
      </c>
      <c r="I11480">
        <v>24687.501</v>
      </c>
      <c r="J11480" t="s">
        <v>76</v>
      </c>
      <c r="K11480" t="s">
        <v>82</v>
      </c>
      <c r="L11480">
        <v>40.506328000000003</v>
      </c>
    </row>
    <row r="11481" spans="1:12" x14ac:dyDescent="0.3">
      <c r="A11481" t="s">
        <v>498</v>
      </c>
      <c r="B11481" t="s">
        <v>83</v>
      </c>
      <c r="C11481">
        <v>999</v>
      </c>
      <c r="D11481" t="s">
        <v>86</v>
      </c>
      <c r="E11481">
        <v>1.523E-3</v>
      </c>
      <c r="F11481" t="s">
        <v>74</v>
      </c>
      <c r="G11481">
        <v>1.5229600000000001</v>
      </c>
      <c r="H11481" t="s">
        <v>75</v>
      </c>
      <c r="I11481">
        <v>1522.9549999999999</v>
      </c>
      <c r="J11481" t="s">
        <v>76</v>
      </c>
      <c r="K11481" t="s">
        <v>82</v>
      </c>
      <c r="L11481">
        <v>656.61811750000004</v>
      </c>
    </row>
    <row r="11482" spans="1:12" x14ac:dyDescent="0.3">
      <c r="A11482" t="s">
        <v>498</v>
      </c>
      <c r="B11482" t="s">
        <v>85</v>
      </c>
      <c r="C11482">
        <v>1001</v>
      </c>
      <c r="D11482" t="s">
        <v>86</v>
      </c>
      <c r="E11482">
        <v>1.5330000000000001E-3</v>
      </c>
      <c r="F11482" t="s">
        <v>74</v>
      </c>
      <c r="G11482">
        <v>1.5325299999999999</v>
      </c>
      <c r="H11482" t="s">
        <v>75</v>
      </c>
      <c r="I11482">
        <v>1532.5260000000001</v>
      </c>
      <c r="J11482" t="s">
        <v>76</v>
      </c>
      <c r="K11482" t="s">
        <v>82</v>
      </c>
      <c r="L11482">
        <v>652.51766139999995</v>
      </c>
    </row>
    <row r="11484" spans="1:12" x14ac:dyDescent="0.3">
      <c r="A11484" t="s">
        <v>66</v>
      </c>
    </row>
    <row r="11486" spans="1:12" x14ac:dyDescent="0.3">
      <c r="A11486" t="s">
        <v>530</v>
      </c>
    </row>
    <row r="11487" spans="1:12" x14ac:dyDescent="0.3">
      <c r="A11487" t="s">
        <v>68</v>
      </c>
    </row>
    <row r="11488" spans="1:12" x14ac:dyDescent="0.3">
      <c r="A11488" t="s">
        <v>69</v>
      </c>
    </row>
    <row r="11489" spans="1:1" x14ac:dyDescent="0.3">
      <c r="A11489" t="s">
        <v>68</v>
      </c>
    </row>
    <row r="11490" spans="1:1" x14ac:dyDescent="0.3">
      <c r="A11490" t="s">
        <v>69</v>
      </c>
    </row>
    <row r="11491" spans="1:1" x14ac:dyDescent="0.3">
      <c r="A11491" t="s">
        <v>70</v>
      </c>
    </row>
    <row r="11492" spans="1:1" x14ac:dyDescent="0.3">
      <c r="A11492" t="s">
        <v>115</v>
      </c>
    </row>
    <row r="11493" spans="1:1" x14ac:dyDescent="0.3">
      <c r="A11493" t="s">
        <v>116</v>
      </c>
    </row>
    <row r="11494" spans="1:1" x14ac:dyDescent="0.3">
      <c r="A11494" t="s">
        <v>117</v>
      </c>
    </row>
    <row r="11495" spans="1:1" x14ac:dyDescent="0.3">
      <c r="A11495" t="s">
        <v>118</v>
      </c>
    </row>
    <row r="11496" spans="1:1" x14ac:dyDescent="0.3">
      <c r="A11496" t="s">
        <v>119</v>
      </c>
    </row>
    <row r="11497" spans="1:1" x14ac:dyDescent="0.3">
      <c r="A11497" t="s">
        <v>120</v>
      </c>
    </row>
    <row r="11498" spans="1:1" x14ac:dyDescent="0.3">
      <c r="A11498" t="s">
        <v>121</v>
      </c>
    </row>
    <row r="11499" spans="1:1" x14ac:dyDescent="0.3">
      <c r="A11499" t="s">
        <v>122</v>
      </c>
    </row>
    <row r="11500" spans="1:1" x14ac:dyDescent="0.3">
      <c r="A11500" t="s">
        <v>123</v>
      </c>
    </row>
    <row r="11501" spans="1:1" x14ac:dyDescent="0.3">
      <c r="A11501" t="s">
        <v>124</v>
      </c>
    </row>
    <row r="11502" spans="1:1" x14ac:dyDescent="0.3">
      <c r="A11502" t="s">
        <v>125</v>
      </c>
    </row>
    <row r="11503" spans="1:1" x14ac:dyDescent="0.3">
      <c r="A11503" t="s">
        <v>126</v>
      </c>
    </row>
    <row r="11504" spans="1:1" x14ac:dyDescent="0.3">
      <c r="A11504" t="s">
        <v>127</v>
      </c>
    </row>
    <row r="11505" spans="1:1" x14ac:dyDescent="0.3">
      <c r="A11505" t="s">
        <v>174</v>
      </c>
    </row>
    <row r="11506" spans="1:1" x14ac:dyDescent="0.3">
      <c r="A11506" t="s">
        <v>115</v>
      </c>
    </row>
    <row r="11507" spans="1:1" x14ac:dyDescent="0.3">
      <c r="A11507" t="s">
        <v>266</v>
      </c>
    </row>
    <row r="11508" spans="1:1" x14ac:dyDescent="0.3">
      <c r="A11508" t="s">
        <v>267</v>
      </c>
    </row>
    <row r="11509" spans="1:1" x14ac:dyDescent="0.3">
      <c r="A11509" t="s">
        <v>118</v>
      </c>
    </row>
    <row r="11510" spans="1:1" x14ac:dyDescent="0.3">
      <c r="A11510" t="s">
        <v>119</v>
      </c>
    </row>
    <row r="11511" spans="1:1" x14ac:dyDescent="0.3">
      <c r="A11511" t="s">
        <v>268</v>
      </c>
    </row>
    <row r="11512" spans="1:1" x14ac:dyDescent="0.3">
      <c r="A11512" t="s">
        <v>269</v>
      </c>
    </row>
    <row r="11513" spans="1:1" x14ac:dyDescent="0.3">
      <c r="A11513" t="s">
        <v>122</v>
      </c>
    </row>
    <row r="11514" spans="1:1" x14ac:dyDescent="0.3">
      <c r="A11514" t="s">
        <v>270</v>
      </c>
    </row>
    <row r="11515" spans="1:1" x14ac:dyDescent="0.3">
      <c r="A11515" t="s">
        <v>271</v>
      </c>
    </row>
    <row r="11516" spans="1:1" x14ac:dyDescent="0.3">
      <c r="A11516" t="s">
        <v>125</v>
      </c>
    </row>
    <row r="11517" spans="1:1" x14ac:dyDescent="0.3">
      <c r="A11517" t="s">
        <v>126</v>
      </c>
    </row>
    <row r="11518" spans="1:1" x14ac:dyDescent="0.3">
      <c r="A11518" t="s">
        <v>127</v>
      </c>
    </row>
    <row r="11519" spans="1:1" x14ac:dyDescent="0.3">
      <c r="A11519" t="s">
        <v>174</v>
      </c>
    </row>
    <row r="11520" spans="1:1" x14ac:dyDescent="0.3">
      <c r="A11520" t="s">
        <v>531</v>
      </c>
    </row>
    <row r="11521" spans="1:12" x14ac:dyDescent="0.3">
      <c r="A11521" t="s">
        <v>496</v>
      </c>
      <c r="B11521" t="s">
        <v>72</v>
      </c>
      <c r="C11521">
        <v>1</v>
      </c>
      <c r="D11521" t="s">
        <v>91</v>
      </c>
      <c r="E11521">
        <v>0.33963700000000002</v>
      </c>
      <c r="F11521" t="s">
        <v>74</v>
      </c>
      <c r="G11521">
        <v>339.63650000000001</v>
      </c>
      <c r="H11521" t="s">
        <v>75</v>
      </c>
      <c r="I11521">
        <v>339636.505</v>
      </c>
      <c r="J11521" t="s">
        <v>76</v>
      </c>
      <c r="K11521" t="s">
        <v>77</v>
      </c>
    </row>
    <row r="11522" spans="1:12" x14ac:dyDescent="0.3">
      <c r="A11522" t="s">
        <v>496</v>
      </c>
      <c r="B11522" t="s">
        <v>72</v>
      </c>
      <c r="C11522">
        <v>1</v>
      </c>
      <c r="D11522" t="s">
        <v>92</v>
      </c>
      <c r="E11522">
        <v>5.8669999999999998E-3</v>
      </c>
      <c r="F11522" t="s">
        <v>74</v>
      </c>
      <c r="G11522">
        <v>5.8666999999999998</v>
      </c>
      <c r="H11522" t="s">
        <v>75</v>
      </c>
      <c r="I11522">
        <v>5866.7</v>
      </c>
      <c r="J11522" t="s">
        <v>76</v>
      </c>
      <c r="K11522" t="s">
        <v>77</v>
      </c>
    </row>
    <row r="11523" spans="1:12" x14ac:dyDescent="0.3">
      <c r="A11523" t="s">
        <v>496</v>
      </c>
      <c r="B11523" t="s">
        <v>72</v>
      </c>
      <c r="C11523">
        <v>1</v>
      </c>
      <c r="D11523" t="s">
        <v>93</v>
      </c>
      <c r="E11523">
        <v>4.8050000000000002E-3</v>
      </c>
      <c r="F11523" t="s">
        <v>74</v>
      </c>
      <c r="G11523">
        <v>4.8047000000000004</v>
      </c>
      <c r="H11523" t="s">
        <v>75</v>
      </c>
      <c r="I11523">
        <v>4804.7</v>
      </c>
      <c r="J11523" t="s">
        <v>76</v>
      </c>
      <c r="K11523" t="s">
        <v>77</v>
      </c>
    </row>
    <row r="11524" spans="1:12" x14ac:dyDescent="0.3">
      <c r="A11524" t="s">
        <v>496</v>
      </c>
      <c r="B11524" t="s">
        <v>72</v>
      </c>
      <c r="C11524">
        <v>1</v>
      </c>
      <c r="D11524" t="s">
        <v>79</v>
      </c>
      <c r="E11524">
        <v>0.35031000000000001</v>
      </c>
      <c r="F11524" t="s">
        <v>74</v>
      </c>
      <c r="G11524">
        <v>350.30979000000002</v>
      </c>
      <c r="H11524" t="s">
        <v>75</v>
      </c>
      <c r="I11524">
        <v>350309.78899999999</v>
      </c>
      <c r="J11524" t="s">
        <v>76</v>
      </c>
      <c r="K11524" t="s">
        <v>77</v>
      </c>
    </row>
    <row r="11525" spans="1:12" x14ac:dyDescent="0.3">
      <c r="A11525" t="s">
        <v>496</v>
      </c>
      <c r="B11525" t="s">
        <v>72</v>
      </c>
      <c r="C11525">
        <v>1</v>
      </c>
      <c r="D11525" t="s">
        <v>94</v>
      </c>
      <c r="E11525">
        <v>1.5748000000000002E-2</v>
      </c>
      <c r="F11525" t="s">
        <v>74</v>
      </c>
      <c r="G11525">
        <v>15.7477</v>
      </c>
      <c r="H11525" t="s">
        <v>75</v>
      </c>
      <c r="I11525">
        <v>15747.7</v>
      </c>
      <c r="J11525" t="s">
        <v>76</v>
      </c>
      <c r="K11525" t="s">
        <v>77</v>
      </c>
    </row>
    <row r="11526" spans="1:12" x14ac:dyDescent="0.3">
      <c r="A11526" t="s">
        <v>496</v>
      </c>
      <c r="B11526" t="s">
        <v>72</v>
      </c>
      <c r="C11526">
        <v>1</v>
      </c>
      <c r="D11526" t="s">
        <v>80</v>
      </c>
      <c r="E11526">
        <v>1.5748999999999999E-2</v>
      </c>
      <c r="F11526" t="s">
        <v>74</v>
      </c>
      <c r="G11526">
        <v>15.748699999999999</v>
      </c>
      <c r="H11526" t="s">
        <v>75</v>
      </c>
      <c r="I11526">
        <v>15748.7</v>
      </c>
      <c r="J11526" t="s">
        <v>76</v>
      </c>
      <c r="K11526" t="s">
        <v>77</v>
      </c>
    </row>
    <row r="11527" spans="1:12" x14ac:dyDescent="0.3">
      <c r="A11527" t="s">
        <v>496</v>
      </c>
      <c r="B11527" t="s">
        <v>72</v>
      </c>
      <c r="C11527">
        <v>1</v>
      </c>
      <c r="D11527" t="s">
        <v>81</v>
      </c>
      <c r="E11527">
        <v>0.36605900000000002</v>
      </c>
      <c r="F11527" t="s">
        <v>74</v>
      </c>
      <c r="G11527">
        <v>366.05880000000002</v>
      </c>
      <c r="H11527" t="s">
        <v>75</v>
      </c>
      <c r="I11527">
        <v>366058.79700000002</v>
      </c>
      <c r="J11527" t="s">
        <v>76</v>
      </c>
      <c r="K11527" t="s">
        <v>82</v>
      </c>
      <c r="L11527">
        <v>2.7318015999999998</v>
      </c>
    </row>
    <row r="11528" spans="1:12" x14ac:dyDescent="0.3">
      <c r="A11528" t="s">
        <v>496</v>
      </c>
      <c r="B11528" t="s">
        <v>83</v>
      </c>
      <c r="C11528">
        <v>545</v>
      </c>
      <c r="D11528" t="s">
        <v>91</v>
      </c>
      <c r="E11528">
        <v>5.6999999999999998E-4</v>
      </c>
      <c r="F11528" t="s">
        <v>74</v>
      </c>
      <c r="G11528">
        <v>0.56964999999999999</v>
      </c>
      <c r="H11528" t="s">
        <v>75</v>
      </c>
      <c r="I11528">
        <v>569.649</v>
      </c>
      <c r="J11528" t="s">
        <v>76</v>
      </c>
      <c r="K11528" t="s">
        <v>77</v>
      </c>
    </row>
    <row r="11529" spans="1:12" x14ac:dyDescent="0.3">
      <c r="A11529" t="s">
        <v>496</v>
      </c>
      <c r="B11529" t="s">
        <v>83</v>
      </c>
      <c r="C11529">
        <v>545</v>
      </c>
      <c r="D11529" t="s">
        <v>92</v>
      </c>
      <c r="E11529">
        <v>8.4800000000000001E-4</v>
      </c>
      <c r="F11529" t="s">
        <v>74</v>
      </c>
      <c r="G11529">
        <v>0.84794999999999998</v>
      </c>
      <c r="H11529" t="s">
        <v>75</v>
      </c>
      <c r="I11529">
        <v>847.95100000000002</v>
      </c>
      <c r="J11529" t="s">
        <v>76</v>
      </c>
      <c r="K11529" t="s">
        <v>77</v>
      </c>
    </row>
    <row r="11530" spans="1:12" x14ac:dyDescent="0.3">
      <c r="A11530" t="s">
        <v>496</v>
      </c>
      <c r="B11530" t="s">
        <v>83</v>
      </c>
      <c r="C11530">
        <v>545</v>
      </c>
      <c r="D11530" t="s">
        <v>93</v>
      </c>
      <c r="E11530">
        <v>5.2599999999999999E-4</v>
      </c>
      <c r="F11530" t="s">
        <v>74</v>
      </c>
      <c r="G11530">
        <v>0.52617000000000003</v>
      </c>
      <c r="H11530" t="s">
        <v>75</v>
      </c>
      <c r="I11530">
        <v>526.16600000000005</v>
      </c>
      <c r="J11530" t="s">
        <v>76</v>
      </c>
      <c r="K11530" t="s">
        <v>77</v>
      </c>
    </row>
    <row r="11531" spans="1:12" x14ac:dyDescent="0.3">
      <c r="A11531" t="s">
        <v>496</v>
      </c>
      <c r="B11531" t="s">
        <v>83</v>
      </c>
      <c r="C11531">
        <v>545</v>
      </c>
      <c r="D11531" t="s">
        <v>79</v>
      </c>
      <c r="E11531">
        <v>1.9449999999999999E-3</v>
      </c>
      <c r="F11531" t="s">
        <v>74</v>
      </c>
      <c r="G11531">
        <v>1.94485</v>
      </c>
      <c r="H11531" t="s">
        <v>75</v>
      </c>
      <c r="I11531">
        <v>1944.854</v>
      </c>
      <c r="J11531" t="s">
        <v>76</v>
      </c>
      <c r="K11531" t="s">
        <v>77</v>
      </c>
    </row>
    <row r="11532" spans="1:12" x14ac:dyDescent="0.3">
      <c r="A11532" t="s">
        <v>496</v>
      </c>
      <c r="B11532" t="s">
        <v>83</v>
      </c>
      <c r="C11532">
        <v>545</v>
      </c>
      <c r="D11532" t="s">
        <v>94</v>
      </c>
      <c r="E11532">
        <v>4.705E-3</v>
      </c>
      <c r="F11532" t="s">
        <v>74</v>
      </c>
      <c r="G11532">
        <v>4.70472</v>
      </c>
      <c r="H11532" t="s">
        <v>75</v>
      </c>
      <c r="I11532">
        <v>4704.7179999999998</v>
      </c>
      <c r="J11532" t="s">
        <v>76</v>
      </c>
      <c r="K11532" t="s">
        <v>77</v>
      </c>
    </row>
    <row r="11533" spans="1:12" x14ac:dyDescent="0.3">
      <c r="A11533" t="s">
        <v>496</v>
      </c>
      <c r="B11533" t="s">
        <v>83</v>
      </c>
      <c r="C11533">
        <v>545</v>
      </c>
      <c r="D11533" t="s">
        <v>80</v>
      </c>
      <c r="E11533">
        <v>4.8869999999999999E-3</v>
      </c>
      <c r="F11533" t="s">
        <v>74</v>
      </c>
      <c r="G11533">
        <v>4.8872099999999996</v>
      </c>
      <c r="H11533" t="s">
        <v>75</v>
      </c>
      <c r="I11533">
        <v>4887.2120000000004</v>
      </c>
      <c r="J11533" t="s">
        <v>76</v>
      </c>
      <c r="K11533" t="s">
        <v>77</v>
      </c>
    </row>
    <row r="11534" spans="1:12" x14ac:dyDescent="0.3">
      <c r="A11534" t="s">
        <v>496</v>
      </c>
      <c r="B11534" t="s">
        <v>83</v>
      </c>
      <c r="C11534">
        <v>545</v>
      </c>
      <c r="D11534" t="s">
        <v>81</v>
      </c>
      <c r="E11534">
        <v>6.8320000000000004E-3</v>
      </c>
      <c r="F11534" t="s">
        <v>74</v>
      </c>
      <c r="G11534">
        <v>6.8322200000000004</v>
      </c>
      <c r="H11534" t="s">
        <v>75</v>
      </c>
      <c r="I11534">
        <v>6832.2169999999996</v>
      </c>
      <c r="J11534" t="s">
        <v>76</v>
      </c>
      <c r="K11534" t="s">
        <v>82</v>
      </c>
      <c r="L11534">
        <v>146.36537759999999</v>
      </c>
    </row>
    <row r="11535" spans="1:12" x14ac:dyDescent="0.3">
      <c r="A11535" t="s">
        <v>496</v>
      </c>
      <c r="B11535" t="s">
        <v>84</v>
      </c>
      <c r="C11535">
        <v>546</v>
      </c>
      <c r="D11535" t="s">
        <v>91</v>
      </c>
      <c r="E11535">
        <v>1.191E-3</v>
      </c>
      <c r="F11535" t="s">
        <v>74</v>
      </c>
      <c r="G11535">
        <v>1.19065</v>
      </c>
      <c r="H11535" t="s">
        <v>75</v>
      </c>
      <c r="I11535">
        <v>1190.6510000000001</v>
      </c>
      <c r="J11535" t="s">
        <v>76</v>
      </c>
      <c r="K11535" t="s">
        <v>77</v>
      </c>
    </row>
    <row r="11536" spans="1:12" x14ac:dyDescent="0.3">
      <c r="A11536" t="s">
        <v>496</v>
      </c>
      <c r="B11536" t="s">
        <v>84</v>
      </c>
      <c r="C11536">
        <v>546</v>
      </c>
      <c r="D11536" t="s">
        <v>92</v>
      </c>
      <c r="E11536">
        <v>8.5700000000000001E-4</v>
      </c>
      <c r="F11536" t="s">
        <v>74</v>
      </c>
      <c r="G11536">
        <v>0.85714000000000001</v>
      </c>
      <c r="H11536" t="s">
        <v>75</v>
      </c>
      <c r="I11536">
        <v>857.14300000000003</v>
      </c>
      <c r="J11536" t="s">
        <v>76</v>
      </c>
      <c r="K11536" t="s">
        <v>77</v>
      </c>
    </row>
    <row r="11537" spans="1:12" x14ac:dyDescent="0.3">
      <c r="A11537" t="s">
        <v>496</v>
      </c>
      <c r="B11537" t="s">
        <v>84</v>
      </c>
      <c r="C11537">
        <v>546</v>
      </c>
      <c r="D11537" t="s">
        <v>93</v>
      </c>
      <c r="E11537">
        <v>5.3399999999999997E-4</v>
      </c>
      <c r="F11537" t="s">
        <v>74</v>
      </c>
      <c r="G11537">
        <v>0.53400000000000003</v>
      </c>
      <c r="H11537" t="s">
        <v>75</v>
      </c>
      <c r="I11537">
        <v>534.00300000000004</v>
      </c>
      <c r="J11537" t="s">
        <v>76</v>
      </c>
      <c r="K11537" t="s">
        <v>77</v>
      </c>
    </row>
    <row r="11538" spans="1:12" x14ac:dyDescent="0.3">
      <c r="A11538" t="s">
        <v>496</v>
      </c>
      <c r="B11538" t="s">
        <v>84</v>
      </c>
      <c r="C11538">
        <v>546</v>
      </c>
      <c r="D11538" t="s">
        <v>79</v>
      </c>
      <c r="E11538">
        <v>2.5829999999999998E-3</v>
      </c>
      <c r="F11538" t="s">
        <v>74</v>
      </c>
      <c r="G11538">
        <v>2.5828899999999999</v>
      </c>
      <c r="H11538" t="s">
        <v>75</v>
      </c>
      <c r="I11538">
        <v>2582.8870000000002</v>
      </c>
      <c r="J11538" t="s">
        <v>76</v>
      </c>
      <c r="K11538" t="s">
        <v>77</v>
      </c>
    </row>
    <row r="11539" spans="1:12" x14ac:dyDescent="0.3">
      <c r="A11539" t="s">
        <v>496</v>
      </c>
      <c r="B11539" t="s">
        <v>84</v>
      </c>
      <c r="C11539">
        <v>546</v>
      </c>
      <c r="D11539" t="s">
        <v>94</v>
      </c>
      <c r="E11539">
        <v>4.725E-3</v>
      </c>
      <c r="F11539" t="s">
        <v>74</v>
      </c>
      <c r="G11539">
        <v>4.7249400000000001</v>
      </c>
      <c r="H11539" t="s">
        <v>75</v>
      </c>
      <c r="I11539">
        <v>4724.9430000000002</v>
      </c>
      <c r="J11539" t="s">
        <v>76</v>
      </c>
      <c r="K11539" t="s">
        <v>77</v>
      </c>
    </row>
    <row r="11540" spans="1:12" x14ac:dyDescent="0.3">
      <c r="A11540" t="s">
        <v>496</v>
      </c>
      <c r="B11540" t="s">
        <v>84</v>
      </c>
      <c r="C11540">
        <v>546</v>
      </c>
      <c r="D11540" t="s">
        <v>80</v>
      </c>
      <c r="E11540">
        <v>4.9069999999999999E-3</v>
      </c>
      <c r="F11540" t="s">
        <v>74</v>
      </c>
      <c r="G11540">
        <v>4.9070999999999998</v>
      </c>
      <c r="H11540" t="s">
        <v>75</v>
      </c>
      <c r="I11540">
        <v>4907.1040000000003</v>
      </c>
      <c r="J11540" t="s">
        <v>76</v>
      </c>
      <c r="K11540" t="s">
        <v>77</v>
      </c>
    </row>
    <row r="11541" spans="1:12" x14ac:dyDescent="0.3">
      <c r="A11541" t="s">
        <v>496</v>
      </c>
      <c r="B11541" t="s">
        <v>84</v>
      </c>
      <c r="C11541">
        <v>546</v>
      </c>
      <c r="D11541" t="s">
        <v>81</v>
      </c>
      <c r="E11541">
        <v>7.4900000000000001E-3</v>
      </c>
      <c r="F11541" t="s">
        <v>74</v>
      </c>
      <c r="G11541">
        <v>7.4901400000000002</v>
      </c>
      <c r="H11541" t="s">
        <v>75</v>
      </c>
      <c r="I11541">
        <v>7490.1440000000002</v>
      </c>
      <c r="J11541" t="s">
        <v>76</v>
      </c>
      <c r="K11541" t="s">
        <v>82</v>
      </c>
      <c r="L11541">
        <v>133.50877980000001</v>
      </c>
    </row>
    <row r="11542" spans="1:12" x14ac:dyDescent="0.3">
      <c r="A11542" t="s">
        <v>497</v>
      </c>
      <c r="B11542" t="s">
        <v>72</v>
      </c>
      <c r="C11542">
        <v>1</v>
      </c>
      <c r="D11542" t="s">
        <v>91</v>
      </c>
      <c r="E11542">
        <v>0.121549</v>
      </c>
      <c r="F11542" t="s">
        <v>74</v>
      </c>
      <c r="G11542">
        <v>121.54900000000001</v>
      </c>
      <c r="H11542" t="s">
        <v>75</v>
      </c>
      <c r="I11542">
        <v>121549.003</v>
      </c>
      <c r="J11542" t="s">
        <v>76</v>
      </c>
      <c r="K11542" t="s">
        <v>77</v>
      </c>
    </row>
    <row r="11543" spans="1:12" x14ac:dyDescent="0.3">
      <c r="A11543" t="s">
        <v>497</v>
      </c>
      <c r="B11543" t="s">
        <v>72</v>
      </c>
      <c r="C11543">
        <v>1</v>
      </c>
      <c r="D11543" t="s">
        <v>92</v>
      </c>
      <c r="E11543">
        <v>6.2299999999999996E-4</v>
      </c>
      <c r="F11543" t="s">
        <v>74</v>
      </c>
      <c r="G11543">
        <v>0.62350000000000005</v>
      </c>
      <c r="H11543" t="s">
        <v>75</v>
      </c>
      <c r="I11543">
        <v>623.5</v>
      </c>
      <c r="J11543" t="s">
        <v>76</v>
      </c>
      <c r="K11543" t="s">
        <v>77</v>
      </c>
    </row>
    <row r="11544" spans="1:12" x14ac:dyDescent="0.3">
      <c r="A11544" t="s">
        <v>497</v>
      </c>
      <c r="B11544" t="s">
        <v>72</v>
      </c>
      <c r="C11544">
        <v>1</v>
      </c>
      <c r="D11544" t="s">
        <v>93</v>
      </c>
      <c r="E11544">
        <v>4.6099999999999998E-4</v>
      </c>
      <c r="F11544" t="s">
        <v>74</v>
      </c>
      <c r="G11544">
        <v>0.4612</v>
      </c>
      <c r="H11544" t="s">
        <v>75</v>
      </c>
      <c r="I11544">
        <v>461.2</v>
      </c>
      <c r="J11544" t="s">
        <v>76</v>
      </c>
      <c r="K11544" t="s">
        <v>77</v>
      </c>
    </row>
    <row r="11545" spans="1:12" x14ac:dyDescent="0.3">
      <c r="A11545" t="s">
        <v>497</v>
      </c>
      <c r="B11545" t="s">
        <v>72</v>
      </c>
      <c r="C11545">
        <v>1</v>
      </c>
      <c r="D11545" t="s">
        <v>79</v>
      </c>
      <c r="E11545">
        <v>0.12263499999999999</v>
      </c>
      <c r="F11545" t="s">
        <v>74</v>
      </c>
      <c r="G11545">
        <v>122.6353</v>
      </c>
      <c r="H11545" t="s">
        <v>75</v>
      </c>
      <c r="I11545">
        <v>122635.29700000001</v>
      </c>
      <c r="J11545" t="s">
        <v>76</v>
      </c>
      <c r="K11545" t="s">
        <v>77</v>
      </c>
    </row>
    <row r="11546" spans="1:12" x14ac:dyDescent="0.3">
      <c r="A11546" t="s">
        <v>497</v>
      </c>
      <c r="B11546" t="s">
        <v>72</v>
      </c>
      <c r="C11546">
        <v>1</v>
      </c>
      <c r="D11546" t="s">
        <v>94</v>
      </c>
      <c r="E11546">
        <v>9.9360000000000004E-3</v>
      </c>
      <c r="F11546" t="s">
        <v>74</v>
      </c>
      <c r="G11546">
        <v>9.9360999999999997</v>
      </c>
      <c r="H11546" t="s">
        <v>75</v>
      </c>
      <c r="I11546">
        <v>9936.1</v>
      </c>
      <c r="J11546" t="s">
        <v>76</v>
      </c>
      <c r="K11546" t="s">
        <v>77</v>
      </c>
    </row>
    <row r="11547" spans="1:12" x14ac:dyDescent="0.3">
      <c r="A11547" t="s">
        <v>497</v>
      </c>
      <c r="B11547" t="s">
        <v>72</v>
      </c>
      <c r="C11547">
        <v>1</v>
      </c>
      <c r="D11547" t="s">
        <v>80</v>
      </c>
      <c r="E11547">
        <v>9.9369999999999997E-3</v>
      </c>
      <c r="F11547" t="s">
        <v>74</v>
      </c>
      <c r="G11547">
        <v>9.9368999999999996</v>
      </c>
      <c r="H11547" t="s">
        <v>75</v>
      </c>
      <c r="I11547">
        <v>9936.9</v>
      </c>
      <c r="J11547" t="s">
        <v>76</v>
      </c>
      <c r="K11547" t="s">
        <v>77</v>
      </c>
    </row>
    <row r="11548" spans="1:12" x14ac:dyDescent="0.3">
      <c r="A11548" t="s">
        <v>497</v>
      </c>
      <c r="B11548" t="s">
        <v>72</v>
      </c>
      <c r="C11548">
        <v>1</v>
      </c>
      <c r="D11548" t="s">
        <v>81</v>
      </c>
      <c r="E11548">
        <v>0.132572</v>
      </c>
      <c r="F11548" t="s">
        <v>74</v>
      </c>
      <c r="G11548">
        <v>132.57239999999999</v>
      </c>
      <c r="H11548" t="s">
        <v>75</v>
      </c>
      <c r="I11548">
        <v>132572.39799999999</v>
      </c>
      <c r="J11548" t="s">
        <v>76</v>
      </c>
      <c r="K11548" t="s">
        <v>82</v>
      </c>
      <c r="L11548">
        <v>7.5430482999999997</v>
      </c>
    </row>
    <row r="11549" spans="1:12" x14ac:dyDescent="0.3">
      <c r="A11549" t="s">
        <v>497</v>
      </c>
      <c r="B11549" t="s">
        <v>83</v>
      </c>
      <c r="C11549">
        <v>454</v>
      </c>
      <c r="D11549" t="s">
        <v>91</v>
      </c>
      <c r="E11549">
        <v>9.1100000000000003E-4</v>
      </c>
      <c r="F11549" t="s">
        <v>74</v>
      </c>
      <c r="G11549">
        <v>0.91100000000000003</v>
      </c>
      <c r="H11549" t="s">
        <v>75</v>
      </c>
      <c r="I11549">
        <v>911.00199999999995</v>
      </c>
      <c r="J11549" t="s">
        <v>76</v>
      </c>
      <c r="K11549" t="s">
        <v>77</v>
      </c>
    </row>
    <row r="11550" spans="1:12" x14ac:dyDescent="0.3">
      <c r="A11550" t="s">
        <v>497</v>
      </c>
      <c r="B11550" t="s">
        <v>83</v>
      </c>
      <c r="C11550">
        <v>454</v>
      </c>
      <c r="D11550" t="s">
        <v>92</v>
      </c>
      <c r="E11550">
        <v>5.6499999999999996E-4</v>
      </c>
      <c r="F11550" t="s">
        <v>74</v>
      </c>
      <c r="G11550">
        <v>0.56503999999999999</v>
      </c>
      <c r="H11550" t="s">
        <v>75</v>
      </c>
      <c r="I11550">
        <v>565.03800000000001</v>
      </c>
      <c r="J11550" t="s">
        <v>76</v>
      </c>
      <c r="K11550" t="s">
        <v>77</v>
      </c>
    </row>
    <row r="11551" spans="1:12" x14ac:dyDescent="0.3">
      <c r="A11551" t="s">
        <v>497</v>
      </c>
      <c r="B11551" t="s">
        <v>83</v>
      </c>
      <c r="C11551">
        <v>454</v>
      </c>
      <c r="D11551" t="s">
        <v>93</v>
      </c>
      <c r="E11551">
        <v>5.5900000000000004E-4</v>
      </c>
      <c r="F11551" t="s">
        <v>74</v>
      </c>
      <c r="G11551">
        <v>0.55855999999999995</v>
      </c>
      <c r="H11551" t="s">
        <v>75</v>
      </c>
      <c r="I11551">
        <v>558.56200000000001</v>
      </c>
      <c r="J11551" t="s">
        <v>76</v>
      </c>
      <c r="K11551" t="s">
        <v>77</v>
      </c>
    </row>
    <row r="11552" spans="1:12" x14ac:dyDescent="0.3">
      <c r="A11552" t="s">
        <v>497</v>
      </c>
      <c r="B11552" t="s">
        <v>83</v>
      </c>
      <c r="C11552">
        <v>454</v>
      </c>
      <c r="D11552" t="s">
        <v>79</v>
      </c>
      <c r="E11552">
        <v>2.0370000000000002E-3</v>
      </c>
      <c r="F11552" t="s">
        <v>74</v>
      </c>
      <c r="G11552">
        <v>2.03695</v>
      </c>
      <c r="H11552" t="s">
        <v>75</v>
      </c>
      <c r="I11552">
        <v>2036.954</v>
      </c>
      <c r="J11552" t="s">
        <v>76</v>
      </c>
      <c r="K11552" t="s">
        <v>77</v>
      </c>
    </row>
    <row r="11553" spans="1:12" x14ac:dyDescent="0.3">
      <c r="A11553" t="s">
        <v>497</v>
      </c>
      <c r="B11553" t="s">
        <v>83</v>
      </c>
      <c r="C11553">
        <v>454</v>
      </c>
      <c r="D11553" t="s">
        <v>94</v>
      </c>
      <c r="E11553">
        <v>6.4949999999999999E-3</v>
      </c>
      <c r="F11553" t="s">
        <v>74</v>
      </c>
      <c r="G11553">
        <v>6.4950200000000002</v>
      </c>
      <c r="H11553" t="s">
        <v>75</v>
      </c>
      <c r="I11553">
        <v>6495.0159999999996</v>
      </c>
      <c r="J11553" t="s">
        <v>76</v>
      </c>
      <c r="K11553" t="s">
        <v>77</v>
      </c>
    </row>
    <row r="11554" spans="1:12" x14ac:dyDescent="0.3">
      <c r="A11554" t="s">
        <v>497</v>
      </c>
      <c r="B11554" t="s">
        <v>83</v>
      </c>
      <c r="C11554">
        <v>454</v>
      </c>
      <c r="D11554" t="s">
        <v>80</v>
      </c>
      <c r="E11554">
        <v>6.6909999999999999E-3</v>
      </c>
      <c r="F11554" t="s">
        <v>74</v>
      </c>
      <c r="G11554">
        <v>6.6913799999999997</v>
      </c>
      <c r="H11554" t="s">
        <v>75</v>
      </c>
      <c r="I11554">
        <v>6691.3779999999997</v>
      </c>
      <c r="J11554" t="s">
        <v>76</v>
      </c>
      <c r="K11554" t="s">
        <v>77</v>
      </c>
    </row>
    <row r="11555" spans="1:12" x14ac:dyDescent="0.3">
      <c r="A11555" t="s">
        <v>497</v>
      </c>
      <c r="B11555" t="s">
        <v>83</v>
      </c>
      <c r="C11555">
        <v>454</v>
      </c>
      <c r="D11555" t="s">
        <v>81</v>
      </c>
      <c r="E11555">
        <v>8.7290000000000006E-3</v>
      </c>
      <c r="F11555" t="s">
        <v>74</v>
      </c>
      <c r="G11555">
        <v>8.7290600000000005</v>
      </c>
      <c r="H11555" t="s">
        <v>75</v>
      </c>
      <c r="I11555">
        <v>8729.06</v>
      </c>
      <c r="J11555" t="s">
        <v>76</v>
      </c>
      <c r="K11555" t="s">
        <v>82</v>
      </c>
      <c r="L11555">
        <v>114.55986830000001</v>
      </c>
    </row>
    <row r="11556" spans="1:12" x14ac:dyDescent="0.3">
      <c r="A11556" t="s">
        <v>497</v>
      </c>
      <c r="B11556" t="s">
        <v>84</v>
      </c>
      <c r="C11556">
        <v>455</v>
      </c>
      <c r="D11556" t="s">
        <v>91</v>
      </c>
      <c r="E11556">
        <v>1.176E-3</v>
      </c>
      <c r="F11556" t="s">
        <v>74</v>
      </c>
      <c r="G11556">
        <v>1.17614</v>
      </c>
      <c r="H11556" t="s">
        <v>75</v>
      </c>
      <c r="I11556">
        <v>1176.1400000000001</v>
      </c>
      <c r="J11556" t="s">
        <v>76</v>
      </c>
      <c r="K11556" t="s">
        <v>77</v>
      </c>
    </row>
    <row r="11557" spans="1:12" x14ac:dyDescent="0.3">
      <c r="A11557" t="s">
        <v>497</v>
      </c>
      <c r="B11557" t="s">
        <v>84</v>
      </c>
      <c r="C11557">
        <v>455</v>
      </c>
      <c r="D11557" t="s">
        <v>92</v>
      </c>
      <c r="E11557">
        <v>5.6499999999999996E-4</v>
      </c>
      <c r="F11557" t="s">
        <v>74</v>
      </c>
      <c r="G11557">
        <v>0.56516999999999995</v>
      </c>
      <c r="H11557" t="s">
        <v>75</v>
      </c>
      <c r="I11557">
        <v>565.16600000000005</v>
      </c>
      <c r="J11557" t="s">
        <v>76</v>
      </c>
      <c r="K11557" t="s">
        <v>77</v>
      </c>
    </row>
    <row r="11558" spans="1:12" x14ac:dyDescent="0.3">
      <c r="A11558" t="s">
        <v>497</v>
      </c>
      <c r="B11558" t="s">
        <v>84</v>
      </c>
      <c r="C11558">
        <v>455</v>
      </c>
      <c r="D11558" t="s">
        <v>93</v>
      </c>
      <c r="E11558">
        <v>5.5800000000000001E-4</v>
      </c>
      <c r="F11558" t="s">
        <v>74</v>
      </c>
      <c r="G11558">
        <v>0.55835000000000001</v>
      </c>
      <c r="H11558" t="s">
        <v>75</v>
      </c>
      <c r="I11558">
        <v>558.34799999999996</v>
      </c>
      <c r="J11558" t="s">
        <v>76</v>
      </c>
      <c r="K11558" t="s">
        <v>77</v>
      </c>
    </row>
    <row r="11559" spans="1:12" x14ac:dyDescent="0.3">
      <c r="A11559" t="s">
        <v>497</v>
      </c>
      <c r="B11559" t="s">
        <v>84</v>
      </c>
      <c r="C11559">
        <v>455</v>
      </c>
      <c r="D11559" t="s">
        <v>79</v>
      </c>
      <c r="E11559">
        <v>2.3019999999999998E-3</v>
      </c>
      <c r="F11559" t="s">
        <v>74</v>
      </c>
      <c r="G11559">
        <v>2.302</v>
      </c>
      <c r="H11559" t="s">
        <v>75</v>
      </c>
      <c r="I11559">
        <v>2302.0039999999999</v>
      </c>
      <c r="J11559" t="s">
        <v>76</v>
      </c>
      <c r="K11559" t="s">
        <v>77</v>
      </c>
    </row>
    <row r="11560" spans="1:12" x14ac:dyDescent="0.3">
      <c r="A11560" t="s">
        <v>497</v>
      </c>
      <c r="B11560" t="s">
        <v>84</v>
      </c>
      <c r="C11560">
        <v>455</v>
      </c>
      <c r="D11560" t="s">
        <v>94</v>
      </c>
      <c r="E11560">
        <v>6.5030000000000001E-3</v>
      </c>
      <c r="F11560" t="s">
        <v>74</v>
      </c>
      <c r="G11560">
        <v>6.50258</v>
      </c>
      <c r="H11560" t="s">
        <v>75</v>
      </c>
      <c r="I11560">
        <v>6502.5789999999997</v>
      </c>
      <c r="J11560" t="s">
        <v>76</v>
      </c>
      <c r="K11560" t="s">
        <v>77</v>
      </c>
    </row>
    <row r="11561" spans="1:12" x14ac:dyDescent="0.3">
      <c r="A11561" t="s">
        <v>497</v>
      </c>
      <c r="B11561" t="s">
        <v>84</v>
      </c>
      <c r="C11561">
        <v>455</v>
      </c>
      <c r="D11561" t="s">
        <v>80</v>
      </c>
      <c r="E11561">
        <v>6.6990000000000001E-3</v>
      </c>
      <c r="F11561" t="s">
        <v>74</v>
      </c>
      <c r="G11561">
        <v>6.6985099999999997</v>
      </c>
      <c r="H11561" t="s">
        <v>75</v>
      </c>
      <c r="I11561">
        <v>6698.5110000000004</v>
      </c>
      <c r="J11561" t="s">
        <v>76</v>
      </c>
      <c r="K11561" t="s">
        <v>77</v>
      </c>
    </row>
    <row r="11562" spans="1:12" x14ac:dyDescent="0.3">
      <c r="A11562" t="s">
        <v>497</v>
      </c>
      <c r="B11562" t="s">
        <v>84</v>
      </c>
      <c r="C11562">
        <v>455</v>
      </c>
      <c r="D11562" t="s">
        <v>81</v>
      </c>
      <c r="E11562">
        <v>9.0010000000000003E-3</v>
      </c>
      <c r="F11562" t="s">
        <v>74</v>
      </c>
      <c r="G11562">
        <v>9.0012500000000006</v>
      </c>
      <c r="H11562" t="s">
        <v>75</v>
      </c>
      <c r="I11562">
        <v>9001.2469999999994</v>
      </c>
      <c r="J11562" t="s">
        <v>76</v>
      </c>
      <c r="K11562" t="s">
        <v>82</v>
      </c>
      <c r="L11562">
        <v>111.09572249999999</v>
      </c>
    </row>
    <row r="11563" spans="1:12" x14ac:dyDescent="0.3">
      <c r="A11563" t="s">
        <v>498</v>
      </c>
      <c r="B11563" t="s">
        <v>72</v>
      </c>
      <c r="C11563">
        <v>1</v>
      </c>
      <c r="D11563" t="s">
        <v>73</v>
      </c>
      <c r="E11563">
        <v>5.7000000000000003E-5</v>
      </c>
      <c r="F11563" t="s">
        <v>74</v>
      </c>
      <c r="G11563">
        <v>5.67E-2</v>
      </c>
      <c r="H11563" t="s">
        <v>75</v>
      </c>
      <c r="I11563">
        <v>56.7</v>
      </c>
      <c r="J11563" t="s">
        <v>76</v>
      </c>
      <c r="K11563" t="s">
        <v>77</v>
      </c>
    </row>
    <row r="11564" spans="1:12" x14ac:dyDescent="0.3">
      <c r="A11564" t="s">
        <v>498</v>
      </c>
      <c r="B11564" t="s">
        <v>72</v>
      </c>
      <c r="C11564">
        <v>1</v>
      </c>
      <c r="D11564" t="s">
        <v>78</v>
      </c>
      <c r="E11564">
        <v>0.13228500000000001</v>
      </c>
      <c r="F11564" t="s">
        <v>74</v>
      </c>
      <c r="G11564">
        <v>132.28460000000001</v>
      </c>
      <c r="H11564" t="s">
        <v>75</v>
      </c>
      <c r="I11564">
        <v>132284.59700000001</v>
      </c>
      <c r="J11564" t="s">
        <v>76</v>
      </c>
      <c r="K11564" t="s">
        <v>77</v>
      </c>
    </row>
    <row r="11565" spans="1:12" x14ac:dyDescent="0.3">
      <c r="A11565" t="s">
        <v>498</v>
      </c>
      <c r="B11565" t="s">
        <v>72</v>
      </c>
      <c r="C11565">
        <v>2</v>
      </c>
      <c r="D11565" t="s">
        <v>86</v>
      </c>
      <c r="E11565">
        <v>0.183058</v>
      </c>
      <c r="F11565" t="s">
        <v>74</v>
      </c>
      <c r="G11565">
        <v>183.05789999999999</v>
      </c>
      <c r="H11565" t="s">
        <v>75</v>
      </c>
      <c r="I11565">
        <v>183057.90400000001</v>
      </c>
      <c r="J11565" t="s">
        <v>76</v>
      </c>
      <c r="K11565" t="s">
        <v>82</v>
      </c>
      <c r="L11565">
        <v>5.4627524000000003</v>
      </c>
    </row>
    <row r="11566" spans="1:12" x14ac:dyDescent="0.3">
      <c r="A11566" t="s">
        <v>498</v>
      </c>
      <c r="B11566" t="s">
        <v>83</v>
      </c>
      <c r="C11566">
        <v>999</v>
      </c>
      <c r="D11566" t="s">
        <v>86</v>
      </c>
      <c r="E11566">
        <v>3.9750000000000002E-3</v>
      </c>
      <c r="F11566" t="s">
        <v>74</v>
      </c>
      <c r="G11566">
        <v>3.9751699999999999</v>
      </c>
      <c r="H11566" t="s">
        <v>75</v>
      </c>
      <c r="I11566">
        <v>3975.1689999999999</v>
      </c>
      <c r="J11566" t="s">
        <v>76</v>
      </c>
      <c r="K11566" t="s">
        <v>82</v>
      </c>
      <c r="L11566">
        <v>251.56163430000001</v>
      </c>
    </row>
    <row r="11567" spans="1:12" x14ac:dyDescent="0.3">
      <c r="A11567" t="s">
        <v>498</v>
      </c>
      <c r="B11567" t="s">
        <v>85</v>
      </c>
      <c r="C11567">
        <v>1001</v>
      </c>
      <c r="D11567" t="s">
        <v>86</v>
      </c>
      <c r="E11567">
        <v>4.1050000000000001E-3</v>
      </c>
      <c r="F11567" t="s">
        <v>74</v>
      </c>
      <c r="G11567">
        <v>4.1046800000000001</v>
      </c>
      <c r="H11567" t="s">
        <v>75</v>
      </c>
      <c r="I11567">
        <v>4104.6760000000004</v>
      </c>
      <c r="J11567" t="s">
        <v>76</v>
      </c>
      <c r="K11567" t="s">
        <v>82</v>
      </c>
      <c r="L11567">
        <v>243.6246055</v>
      </c>
    </row>
    <row r="11568" spans="1:12" x14ac:dyDescent="0.3">
      <c r="A11568" t="s">
        <v>115</v>
      </c>
    </row>
    <row r="11569" spans="1:12" x14ac:dyDescent="0.3">
      <c r="A11569" t="s">
        <v>127</v>
      </c>
    </row>
    <row r="11570" spans="1:12" x14ac:dyDescent="0.3">
      <c r="A11570" t="s">
        <v>87</v>
      </c>
    </row>
    <row r="11571" spans="1:12" x14ac:dyDescent="0.3">
      <c r="A11571" t="s">
        <v>532</v>
      </c>
    </row>
    <row r="11572" spans="1:12" x14ac:dyDescent="0.3">
      <c r="A11572" t="s">
        <v>496</v>
      </c>
      <c r="B11572" t="s">
        <v>72</v>
      </c>
      <c r="C11572">
        <v>1</v>
      </c>
      <c r="D11572" t="s">
        <v>81</v>
      </c>
      <c r="E11572">
        <v>0.36605900000000002</v>
      </c>
      <c r="F11572" t="s">
        <v>74</v>
      </c>
      <c r="G11572">
        <v>366.05880000000002</v>
      </c>
      <c r="H11572" t="s">
        <v>75</v>
      </c>
      <c r="I11572">
        <v>366058.79700000002</v>
      </c>
      <c r="J11572" t="s">
        <v>76</v>
      </c>
      <c r="K11572" t="s">
        <v>82</v>
      </c>
      <c r="L11572">
        <v>2.7318015999999998</v>
      </c>
    </row>
    <row r="11573" spans="1:12" x14ac:dyDescent="0.3">
      <c r="A11573" t="s">
        <v>496</v>
      </c>
      <c r="B11573" t="s">
        <v>83</v>
      </c>
      <c r="C11573">
        <v>545</v>
      </c>
      <c r="D11573" t="s">
        <v>81</v>
      </c>
      <c r="E11573">
        <v>6.8320000000000004E-3</v>
      </c>
      <c r="F11573" t="s">
        <v>74</v>
      </c>
      <c r="G11573">
        <v>6.8322200000000004</v>
      </c>
      <c r="H11573" t="s">
        <v>75</v>
      </c>
      <c r="I11573">
        <v>6832.2169999999996</v>
      </c>
      <c r="J11573" t="s">
        <v>76</v>
      </c>
      <c r="K11573" t="s">
        <v>82</v>
      </c>
      <c r="L11573">
        <v>146.36537759999999</v>
      </c>
    </row>
    <row r="11574" spans="1:12" x14ac:dyDescent="0.3">
      <c r="A11574" t="s">
        <v>496</v>
      </c>
      <c r="B11574" t="s">
        <v>84</v>
      </c>
      <c r="C11574">
        <v>546</v>
      </c>
      <c r="D11574" t="s">
        <v>81</v>
      </c>
      <c r="E11574">
        <v>7.4900000000000001E-3</v>
      </c>
      <c r="F11574" t="s">
        <v>74</v>
      </c>
      <c r="G11574">
        <v>7.4901400000000002</v>
      </c>
      <c r="H11574" t="s">
        <v>75</v>
      </c>
      <c r="I11574">
        <v>7490.1440000000002</v>
      </c>
      <c r="J11574" t="s">
        <v>76</v>
      </c>
      <c r="K11574" t="s">
        <v>82</v>
      </c>
      <c r="L11574">
        <v>133.50877980000001</v>
      </c>
    </row>
    <row r="11575" spans="1:12" x14ac:dyDescent="0.3">
      <c r="A11575" t="s">
        <v>497</v>
      </c>
      <c r="B11575" t="s">
        <v>72</v>
      </c>
      <c r="C11575">
        <v>1</v>
      </c>
      <c r="D11575" t="s">
        <v>81</v>
      </c>
      <c r="E11575">
        <v>0.132572</v>
      </c>
      <c r="F11575" t="s">
        <v>74</v>
      </c>
      <c r="G11575">
        <v>132.57239999999999</v>
      </c>
      <c r="H11575" t="s">
        <v>75</v>
      </c>
      <c r="I11575">
        <v>132572.39799999999</v>
      </c>
      <c r="J11575" t="s">
        <v>76</v>
      </c>
      <c r="K11575" t="s">
        <v>82</v>
      </c>
      <c r="L11575">
        <v>7.5430482999999997</v>
      </c>
    </row>
    <row r="11576" spans="1:12" x14ac:dyDescent="0.3">
      <c r="A11576" t="s">
        <v>497</v>
      </c>
      <c r="B11576" t="s">
        <v>83</v>
      </c>
      <c r="C11576">
        <v>454</v>
      </c>
      <c r="D11576" t="s">
        <v>81</v>
      </c>
      <c r="E11576">
        <v>8.7290000000000006E-3</v>
      </c>
      <c r="F11576" t="s">
        <v>74</v>
      </c>
      <c r="G11576">
        <v>8.7290600000000005</v>
      </c>
      <c r="H11576" t="s">
        <v>75</v>
      </c>
      <c r="I11576">
        <v>8729.06</v>
      </c>
      <c r="J11576" t="s">
        <v>76</v>
      </c>
      <c r="K11576" t="s">
        <v>82</v>
      </c>
      <c r="L11576">
        <v>114.55986830000001</v>
      </c>
    </row>
    <row r="11577" spans="1:12" x14ac:dyDescent="0.3">
      <c r="A11577" t="s">
        <v>497</v>
      </c>
      <c r="B11577" t="s">
        <v>84</v>
      </c>
      <c r="C11577">
        <v>455</v>
      </c>
      <c r="D11577" t="s">
        <v>81</v>
      </c>
      <c r="E11577">
        <v>9.0010000000000003E-3</v>
      </c>
      <c r="F11577" t="s">
        <v>74</v>
      </c>
      <c r="G11577">
        <v>9.0012500000000006</v>
      </c>
      <c r="H11577" t="s">
        <v>75</v>
      </c>
      <c r="I11577">
        <v>9001.2469999999994</v>
      </c>
      <c r="J11577" t="s">
        <v>76</v>
      </c>
      <c r="K11577" t="s">
        <v>82</v>
      </c>
      <c r="L11577">
        <v>111.09572249999999</v>
      </c>
    </row>
    <row r="11578" spans="1:12" x14ac:dyDescent="0.3">
      <c r="A11578" t="s">
        <v>498</v>
      </c>
      <c r="B11578" t="s">
        <v>72</v>
      </c>
      <c r="C11578">
        <v>2</v>
      </c>
      <c r="D11578" t="s">
        <v>86</v>
      </c>
      <c r="E11578">
        <v>0.183058</v>
      </c>
      <c r="F11578" t="s">
        <v>74</v>
      </c>
      <c r="G11578">
        <v>183.05789999999999</v>
      </c>
      <c r="H11578" t="s">
        <v>75</v>
      </c>
      <c r="I11578">
        <v>183057.90400000001</v>
      </c>
      <c r="J11578" t="s">
        <v>76</v>
      </c>
      <c r="K11578" t="s">
        <v>82</v>
      </c>
      <c r="L11578">
        <v>5.4627524000000003</v>
      </c>
    </row>
    <row r="11579" spans="1:12" x14ac:dyDescent="0.3">
      <c r="A11579" t="s">
        <v>498</v>
      </c>
      <c r="B11579" t="s">
        <v>83</v>
      </c>
      <c r="C11579">
        <v>999</v>
      </c>
      <c r="D11579" t="s">
        <v>86</v>
      </c>
      <c r="E11579">
        <v>3.9750000000000002E-3</v>
      </c>
      <c r="F11579" t="s">
        <v>74</v>
      </c>
      <c r="G11579">
        <v>3.9751699999999999</v>
      </c>
      <c r="H11579" t="s">
        <v>75</v>
      </c>
      <c r="I11579">
        <v>3975.1689999999999</v>
      </c>
      <c r="J11579" t="s">
        <v>76</v>
      </c>
      <c r="K11579" t="s">
        <v>82</v>
      </c>
      <c r="L11579">
        <v>251.56163430000001</v>
      </c>
    </row>
    <row r="11580" spans="1:12" x14ac:dyDescent="0.3">
      <c r="A11580" t="s">
        <v>498</v>
      </c>
      <c r="B11580" t="s">
        <v>85</v>
      </c>
      <c r="C11580">
        <v>1001</v>
      </c>
      <c r="D11580" t="s">
        <v>86</v>
      </c>
      <c r="E11580">
        <v>4.1050000000000001E-3</v>
      </c>
      <c r="F11580" t="s">
        <v>74</v>
      </c>
      <c r="G11580">
        <v>4.1046800000000001</v>
      </c>
      <c r="H11580" t="s">
        <v>75</v>
      </c>
      <c r="I11580">
        <v>4104.6760000000004</v>
      </c>
      <c r="J11580" t="s">
        <v>76</v>
      </c>
      <c r="K11580" t="s">
        <v>82</v>
      </c>
      <c r="L11580">
        <v>243.6246055</v>
      </c>
    </row>
    <row r="11582" spans="1:12" x14ac:dyDescent="0.3">
      <c r="A11582" t="s">
        <v>66</v>
      </c>
    </row>
    <row r="11584" spans="1:12" x14ac:dyDescent="0.3">
      <c r="A11584" t="s">
        <v>533</v>
      </c>
    </row>
    <row r="11585" spans="1:1" x14ac:dyDescent="0.3">
      <c r="A11585" t="s">
        <v>68</v>
      </c>
    </row>
    <row r="11586" spans="1:1" x14ac:dyDescent="0.3">
      <c r="A11586" t="s">
        <v>69</v>
      </c>
    </row>
    <row r="11587" spans="1:1" x14ac:dyDescent="0.3">
      <c r="A11587" t="s">
        <v>68</v>
      </c>
    </row>
    <row r="11588" spans="1:1" x14ac:dyDescent="0.3">
      <c r="A11588" t="s">
        <v>69</v>
      </c>
    </row>
    <row r="11589" spans="1:1" x14ac:dyDescent="0.3">
      <c r="A11589" t="s">
        <v>70</v>
      </c>
    </row>
    <row r="11590" spans="1:1" x14ac:dyDescent="0.3">
      <c r="A11590" t="s">
        <v>115</v>
      </c>
    </row>
    <row r="11591" spans="1:1" x14ac:dyDescent="0.3">
      <c r="A11591" t="s">
        <v>116</v>
      </c>
    </row>
    <row r="11592" spans="1:1" x14ac:dyDescent="0.3">
      <c r="A11592" t="s">
        <v>117</v>
      </c>
    </row>
    <row r="11593" spans="1:1" x14ac:dyDescent="0.3">
      <c r="A11593" t="s">
        <v>118</v>
      </c>
    </row>
    <row r="11594" spans="1:1" x14ac:dyDescent="0.3">
      <c r="A11594" t="s">
        <v>119</v>
      </c>
    </row>
    <row r="11595" spans="1:1" x14ac:dyDescent="0.3">
      <c r="A11595" t="s">
        <v>120</v>
      </c>
    </row>
    <row r="11596" spans="1:1" x14ac:dyDescent="0.3">
      <c r="A11596" t="s">
        <v>121</v>
      </c>
    </row>
    <row r="11597" spans="1:1" x14ac:dyDescent="0.3">
      <c r="A11597" t="s">
        <v>122</v>
      </c>
    </row>
    <row r="11598" spans="1:1" x14ac:dyDescent="0.3">
      <c r="A11598" t="s">
        <v>123</v>
      </c>
    </row>
    <row r="11599" spans="1:1" x14ac:dyDescent="0.3">
      <c r="A11599" t="s">
        <v>124</v>
      </c>
    </row>
    <row r="11600" spans="1:1" x14ac:dyDescent="0.3">
      <c r="A11600" t="s">
        <v>125</v>
      </c>
    </row>
    <row r="11601" spans="1:1" x14ac:dyDescent="0.3">
      <c r="A11601" t="s">
        <v>126</v>
      </c>
    </row>
    <row r="11602" spans="1:1" x14ac:dyDescent="0.3">
      <c r="A11602" t="s">
        <v>127</v>
      </c>
    </row>
    <row r="11603" spans="1:1" x14ac:dyDescent="0.3">
      <c r="A11603" t="s">
        <v>178</v>
      </c>
    </row>
    <row r="11604" spans="1:1" x14ac:dyDescent="0.3">
      <c r="A11604" t="s">
        <v>115</v>
      </c>
    </row>
    <row r="11605" spans="1:1" x14ac:dyDescent="0.3">
      <c r="A11605" t="s">
        <v>266</v>
      </c>
    </row>
    <row r="11606" spans="1:1" x14ac:dyDescent="0.3">
      <c r="A11606" t="s">
        <v>267</v>
      </c>
    </row>
    <row r="11607" spans="1:1" x14ac:dyDescent="0.3">
      <c r="A11607" t="s">
        <v>118</v>
      </c>
    </row>
    <row r="11608" spans="1:1" x14ac:dyDescent="0.3">
      <c r="A11608" t="s">
        <v>119</v>
      </c>
    </row>
    <row r="11609" spans="1:1" x14ac:dyDescent="0.3">
      <c r="A11609" t="s">
        <v>268</v>
      </c>
    </row>
    <row r="11610" spans="1:1" x14ac:dyDescent="0.3">
      <c r="A11610" t="s">
        <v>269</v>
      </c>
    </row>
    <row r="11611" spans="1:1" x14ac:dyDescent="0.3">
      <c r="A11611" t="s">
        <v>122</v>
      </c>
    </row>
    <row r="11612" spans="1:1" x14ac:dyDescent="0.3">
      <c r="A11612" t="s">
        <v>270</v>
      </c>
    </row>
    <row r="11613" spans="1:1" x14ac:dyDescent="0.3">
      <c r="A11613" t="s">
        <v>271</v>
      </c>
    </row>
    <row r="11614" spans="1:1" x14ac:dyDescent="0.3">
      <c r="A11614" t="s">
        <v>125</v>
      </c>
    </row>
    <row r="11615" spans="1:1" x14ac:dyDescent="0.3">
      <c r="A11615" t="s">
        <v>126</v>
      </c>
    </row>
    <row r="11616" spans="1:1" x14ac:dyDescent="0.3">
      <c r="A11616" t="s">
        <v>127</v>
      </c>
    </row>
    <row r="11617" spans="1:12" x14ac:dyDescent="0.3">
      <c r="A11617" t="s">
        <v>178</v>
      </c>
    </row>
    <row r="11618" spans="1:12" x14ac:dyDescent="0.3">
      <c r="A11618" t="s">
        <v>534</v>
      </c>
    </row>
    <row r="11619" spans="1:12" x14ac:dyDescent="0.3">
      <c r="A11619" t="s">
        <v>496</v>
      </c>
      <c r="B11619" t="s">
        <v>72</v>
      </c>
      <c r="C11619">
        <v>1</v>
      </c>
      <c r="D11619" t="s">
        <v>79</v>
      </c>
      <c r="E11619">
        <v>0.31584000000000001</v>
      </c>
      <c r="F11619" t="s">
        <v>74</v>
      </c>
      <c r="G11619">
        <v>315.83958999999999</v>
      </c>
      <c r="H11619" t="s">
        <v>75</v>
      </c>
      <c r="I11619">
        <v>315839.58899999998</v>
      </c>
      <c r="J11619" t="s">
        <v>76</v>
      </c>
      <c r="K11619" t="s">
        <v>77</v>
      </c>
    </row>
    <row r="11620" spans="1:12" x14ac:dyDescent="0.3">
      <c r="A11620" t="s">
        <v>496</v>
      </c>
      <c r="B11620" t="s">
        <v>72</v>
      </c>
      <c r="C11620">
        <v>1</v>
      </c>
      <c r="D11620" t="s">
        <v>94</v>
      </c>
      <c r="E11620">
        <v>1.4546E-2</v>
      </c>
      <c r="F11620" t="s">
        <v>74</v>
      </c>
      <c r="G11620">
        <v>14.546099999999999</v>
      </c>
      <c r="H11620" t="s">
        <v>75</v>
      </c>
      <c r="I11620">
        <v>14546.1</v>
      </c>
      <c r="J11620" t="s">
        <v>76</v>
      </c>
      <c r="K11620" t="s">
        <v>77</v>
      </c>
    </row>
    <row r="11621" spans="1:12" x14ac:dyDescent="0.3">
      <c r="A11621" t="s">
        <v>496</v>
      </c>
      <c r="B11621" t="s">
        <v>72</v>
      </c>
      <c r="C11621">
        <v>1</v>
      </c>
      <c r="D11621" t="s">
        <v>80</v>
      </c>
      <c r="E11621">
        <v>1.4546999999999999E-2</v>
      </c>
      <c r="F11621" t="s">
        <v>74</v>
      </c>
      <c r="G11621">
        <v>14.5471</v>
      </c>
      <c r="H11621" t="s">
        <v>75</v>
      </c>
      <c r="I11621">
        <v>14547.1</v>
      </c>
      <c r="J11621" t="s">
        <v>76</v>
      </c>
      <c r="K11621" t="s">
        <v>77</v>
      </c>
    </row>
    <row r="11622" spans="1:12" x14ac:dyDescent="0.3">
      <c r="A11622" t="s">
        <v>496</v>
      </c>
      <c r="B11622" t="s">
        <v>72</v>
      </c>
      <c r="C11622">
        <v>1</v>
      </c>
      <c r="D11622" t="s">
        <v>81</v>
      </c>
      <c r="E11622">
        <v>0.33038800000000001</v>
      </c>
      <c r="F11622" t="s">
        <v>74</v>
      </c>
      <c r="G11622">
        <v>330.38758999999999</v>
      </c>
      <c r="H11622" t="s">
        <v>75</v>
      </c>
      <c r="I11622">
        <v>330387.592</v>
      </c>
      <c r="J11622" t="s">
        <v>76</v>
      </c>
      <c r="K11622" t="s">
        <v>82</v>
      </c>
      <c r="L11622">
        <v>3.026748</v>
      </c>
    </row>
    <row r="11623" spans="1:12" x14ac:dyDescent="0.3">
      <c r="A11623" t="s">
        <v>496</v>
      </c>
      <c r="B11623" t="s">
        <v>83</v>
      </c>
      <c r="C11623">
        <v>596</v>
      </c>
      <c r="D11623" t="s">
        <v>79</v>
      </c>
      <c r="E11623">
        <v>5.6999999999999998E-4</v>
      </c>
      <c r="F11623" t="s">
        <v>74</v>
      </c>
      <c r="G11623">
        <v>0.56960999999999995</v>
      </c>
      <c r="H11623" t="s">
        <v>75</v>
      </c>
      <c r="I11623">
        <v>569.60799999999995</v>
      </c>
      <c r="J11623" t="s">
        <v>76</v>
      </c>
      <c r="K11623" t="s">
        <v>77</v>
      </c>
    </row>
    <row r="11624" spans="1:12" x14ac:dyDescent="0.3">
      <c r="A11624" t="s">
        <v>496</v>
      </c>
      <c r="B11624" t="s">
        <v>83</v>
      </c>
      <c r="C11624">
        <v>596</v>
      </c>
      <c r="D11624" t="s">
        <v>94</v>
      </c>
      <c r="E11624">
        <v>3.7090000000000001E-3</v>
      </c>
      <c r="F11624" t="s">
        <v>74</v>
      </c>
      <c r="G11624">
        <v>3.70912</v>
      </c>
      <c r="H11624" t="s">
        <v>75</v>
      </c>
      <c r="I11624">
        <v>3709.1239999999998</v>
      </c>
      <c r="J11624" t="s">
        <v>76</v>
      </c>
      <c r="K11624" t="s">
        <v>77</v>
      </c>
    </row>
    <row r="11625" spans="1:12" x14ac:dyDescent="0.3">
      <c r="A11625" t="s">
        <v>496</v>
      </c>
      <c r="B11625" t="s">
        <v>83</v>
      </c>
      <c r="C11625">
        <v>596</v>
      </c>
      <c r="D11625" t="s">
        <v>80</v>
      </c>
      <c r="E11625">
        <v>3.8860000000000001E-3</v>
      </c>
      <c r="F11625" t="s">
        <v>74</v>
      </c>
      <c r="G11625">
        <v>3.88632</v>
      </c>
      <c r="H11625" t="s">
        <v>75</v>
      </c>
      <c r="I11625">
        <v>3886.3159999999998</v>
      </c>
      <c r="J11625" t="s">
        <v>76</v>
      </c>
      <c r="K11625" t="s">
        <v>77</v>
      </c>
    </row>
    <row r="11626" spans="1:12" x14ac:dyDescent="0.3">
      <c r="A11626" t="s">
        <v>496</v>
      </c>
      <c r="B11626" t="s">
        <v>83</v>
      </c>
      <c r="C11626">
        <v>596</v>
      </c>
      <c r="D11626" t="s">
        <v>81</v>
      </c>
      <c r="E11626">
        <v>4.4559999999999999E-3</v>
      </c>
      <c r="F11626" t="s">
        <v>74</v>
      </c>
      <c r="G11626">
        <v>4.4561299999999999</v>
      </c>
      <c r="H11626" t="s">
        <v>75</v>
      </c>
      <c r="I11626">
        <v>4456.1319999999996</v>
      </c>
      <c r="J11626" t="s">
        <v>76</v>
      </c>
      <c r="K11626" t="s">
        <v>82</v>
      </c>
      <c r="L11626">
        <v>224.409887</v>
      </c>
    </row>
    <row r="11627" spans="1:12" x14ac:dyDescent="0.3">
      <c r="A11627" t="s">
        <v>496</v>
      </c>
      <c r="B11627" t="s">
        <v>84</v>
      </c>
      <c r="C11627">
        <v>597</v>
      </c>
      <c r="D11627" t="s">
        <v>79</v>
      </c>
      <c r="E11627">
        <v>1.098E-3</v>
      </c>
      <c r="F11627" t="s">
        <v>74</v>
      </c>
      <c r="G11627">
        <v>1.0976999999999999</v>
      </c>
      <c r="H11627" t="s">
        <v>75</v>
      </c>
      <c r="I11627">
        <v>1097.6990000000001</v>
      </c>
      <c r="J11627" t="s">
        <v>76</v>
      </c>
      <c r="K11627" t="s">
        <v>77</v>
      </c>
    </row>
    <row r="11628" spans="1:12" x14ac:dyDescent="0.3">
      <c r="A11628" t="s">
        <v>496</v>
      </c>
      <c r="B11628" t="s">
        <v>84</v>
      </c>
      <c r="C11628">
        <v>597</v>
      </c>
      <c r="D11628" t="s">
        <v>94</v>
      </c>
      <c r="E11628">
        <v>3.7269999999999998E-3</v>
      </c>
      <c r="F11628" t="s">
        <v>74</v>
      </c>
      <c r="G11628">
        <v>3.7272799999999999</v>
      </c>
      <c r="H11628" t="s">
        <v>75</v>
      </c>
      <c r="I11628">
        <v>3727.2759999999998</v>
      </c>
      <c r="J11628" t="s">
        <v>76</v>
      </c>
      <c r="K11628" t="s">
        <v>77</v>
      </c>
    </row>
    <row r="11629" spans="1:12" x14ac:dyDescent="0.3">
      <c r="A11629" t="s">
        <v>496</v>
      </c>
      <c r="B11629" t="s">
        <v>84</v>
      </c>
      <c r="C11629">
        <v>597</v>
      </c>
      <c r="D11629" t="s">
        <v>80</v>
      </c>
      <c r="E11629">
        <v>3.9039999999999999E-3</v>
      </c>
      <c r="F11629" t="s">
        <v>74</v>
      </c>
      <c r="G11629">
        <v>3.9041700000000001</v>
      </c>
      <c r="H11629" t="s">
        <v>75</v>
      </c>
      <c r="I11629">
        <v>3904.174</v>
      </c>
      <c r="J11629" t="s">
        <v>76</v>
      </c>
      <c r="K11629" t="s">
        <v>77</v>
      </c>
    </row>
    <row r="11630" spans="1:12" x14ac:dyDescent="0.3">
      <c r="A11630" t="s">
        <v>496</v>
      </c>
      <c r="B11630" t="s">
        <v>84</v>
      </c>
      <c r="C11630">
        <v>597</v>
      </c>
      <c r="D11630" t="s">
        <v>81</v>
      </c>
      <c r="E11630">
        <v>5.0020000000000004E-3</v>
      </c>
      <c r="F11630" t="s">
        <v>74</v>
      </c>
      <c r="G11630">
        <v>5.0020800000000003</v>
      </c>
      <c r="H11630" t="s">
        <v>75</v>
      </c>
      <c r="I11630">
        <v>5002.0820000000003</v>
      </c>
      <c r="J11630" t="s">
        <v>76</v>
      </c>
      <c r="K11630" t="s">
        <v>82</v>
      </c>
      <c r="L11630">
        <v>199.91675090000001</v>
      </c>
    </row>
    <row r="11631" spans="1:12" x14ac:dyDescent="0.3">
      <c r="A11631" t="s">
        <v>497</v>
      </c>
      <c r="B11631" t="s">
        <v>72</v>
      </c>
      <c r="C11631">
        <v>1</v>
      </c>
      <c r="D11631" t="s">
        <v>79</v>
      </c>
      <c r="E11631">
        <v>0.118154</v>
      </c>
      <c r="F11631" t="s">
        <v>74</v>
      </c>
      <c r="G11631">
        <v>118.15389999999999</v>
      </c>
      <c r="H11631" t="s">
        <v>75</v>
      </c>
      <c r="I11631">
        <v>118153.9</v>
      </c>
      <c r="J11631" t="s">
        <v>76</v>
      </c>
      <c r="K11631" t="s">
        <v>77</v>
      </c>
    </row>
    <row r="11632" spans="1:12" x14ac:dyDescent="0.3">
      <c r="A11632" t="s">
        <v>497</v>
      </c>
      <c r="B11632" t="s">
        <v>72</v>
      </c>
      <c r="C11632">
        <v>1</v>
      </c>
      <c r="D11632" t="s">
        <v>94</v>
      </c>
      <c r="E11632">
        <v>9.6950000000000005E-3</v>
      </c>
      <c r="F11632" t="s">
        <v>74</v>
      </c>
      <c r="G11632">
        <v>9.6945999999999994</v>
      </c>
      <c r="H11632" t="s">
        <v>75</v>
      </c>
      <c r="I11632">
        <v>9694.6</v>
      </c>
      <c r="J11632" t="s">
        <v>76</v>
      </c>
      <c r="K11632" t="s">
        <v>77</v>
      </c>
    </row>
    <row r="11633" spans="1:12" x14ac:dyDescent="0.3">
      <c r="A11633" t="s">
        <v>497</v>
      </c>
      <c r="B11633" t="s">
        <v>72</v>
      </c>
      <c r="C11633">
        <v>1</v>
      </c>
      <c r="D11633" t="s">
        <v>80</v>
      </c>
      <c r="E11633">
        <v>9.6959999999999998E-3</v>
      </c>
      <c r="F11633" t="s">
        <v>74</v>
      </c>
      <c r="G11633">
        <v>9.6960999999999995</v>
      </c>
      <c r="H11633" t="s">
        <v>75</v>
      </c>
      <c r="I11633">
        <v>9696.1</v>
      </c>
      <c r="J11633" t="s">
        <v>76</v>
      </c>
      <c r="K11633" t="s">
        <v>77</v>
      </c>
    </row>
    <row r="11634" spans="1:12" x14ac:dyDescent="0.3">
      <c r="A11634" t="s">
        <v>497</v>
      </c>
      <c r="B11634" t="s">
        <v>72</v>
      </c>
      <c r="C11634">
        <v>1</v>
      </c>
      <c r="D11634" t="s">
        <v>81</v>
      </c>
      <c r="E11634">
        <v>0.12785099999999999</v>
      </c>
      <c r="F11634" t="s">
        <v>74</v>
      </c>
      <c r="G11634">
        <v>127.85061</v>
      </c>
      <c r="H11634" t="s">
        <v>75</v>
      </c>
      <c r="I11634">
        <v>127850.607</v>
      </c>
      <c r="J11634" t="s">
        <v>76</v>
      </c>
      <c r="K11634" t="s">
        <v>82</v>
      </c>
      <c r="L11634">
        <v>7.8216289000000003</v>
      </c>
    </row>
    <row r="11635" spans="1:12" x14ac:dyDescent="0.3">
      <c r="A11635" t="s">
        <v>497</v>
      </c>
      <c r="B11635" t="s">
        <v>83</v>
      </c>
      <c r="C11635">
        <v>403</v>
      </c>
      <c r="D11635" t="s">
        <v>79</v>
      </c>
      <c r="E11635">
        <v>6.8400000000000004E-4</v>
      </c>
      <c r="F11635" t="s">
        <v>74</v>
      </c>
      <c r="G11635">
        <v>0.68366000000000005</v>
      </c>
      <c r="H11635" t="s">
        <v>75</v>
      </c>
      <c r="I11635">
        <v>683.66099999999994</v>
      </c>
      <c r="J11635" t="s">
        <v>76</v>
      </c>
      <c r="K11635" t="s">
        <v>77</v>
      </c>
    </row>
    <row r="11636" spans="1:12" x14ac:dyDescent="0.3">
      <c r="A11636" t="s">
        <v>497</v>
      </c>
      <c r="B11636" t="s">
        <v>83</v>
      </c>
      <c r="C11636">
        <v>403</v>
      </c>
      <c r="D11636" t="s">
        <v>94</v>
      </c>
      <c r="E11636">
        <v>6.2129999999999998E-3</v>
      </c>
      <c r="F11636" t="s">
        <v>74</v>
      </c>
      <c r="G11636">
        <v>6.21286</v>
      </c>
      <c r="H11636" t="s">
        <v>75</v>
      </c>
      <c r="I11636">
        <v>6212.8559999999998</v>
      </c>
      <c r="J11636" t="s">
        <v>76</v>
      </c>
      <c r="K11636" t="s">
        <v>77</v>
      </c>
    </row>
    <row r="11637" spans="1:12" x14ac:dyDescent="0.3">
      <c r="A11637" t="s">
        <v>497</v>
      </c>
      <c r="B11637" t="s">
        <v>83</v>
      </c>
      <c r="C11637">
        <v>403</v>
      </c>
      <c r="D11637" t="s">
        <v>80</v>
      </c>
      <c r="E11637">
        <v>6.3749999999999996E-3</v>
      </c>
      <c r="F11637" t="s">
        <v>74</v>
      </c>
      <c r="G11637">
        <v>6.37521</v>
      </c>
      <c r="H11637" t="s">
        <v>75</v>
      </c>
      <c r="I11637">
        <v>6375.2150000000001</v>
      </c>
      <c r="J11637" t="s">
        <v>76</v>
      </c>
      <c r="K11637" t="s">
        <v>77</v>
      </c>
    </row>
    <row r="11638" spans="1:12" x14ac:dyDescent="0.3">
      <c r="A11638" t="s">
        <v>497</v>
      </c>
      <c r="B11638" t="s">
        <v>83</v>
      </c>
      <c r="C11638">
        <v>403</v>
      </c>
      <c r="D11638" t="s">
        <v>81</v>
      </c>
      <c r="E11638">
        <v>7.0590000000000002E-3</v>
      </c>
      <c r="F11638" t="s">
        <v>74</v>
      </c>
      <c r="G11638">
        <v>7.0590599999999997</v>
      </c>
      <c r="H11638" t="s">
        <v>75</v>
      </c>
      <c r="I11638">
        <v>7059.0569999999998</v>
      </c>
      <c r="J11638" t="s">
        <v>76</v>
      </c>
      <c r="K11638" t="s">
        <v>82</v>
      </c>
      <c r="L11638">
        <v>141.66198</v>
      </c>
    </row>
    <row r="11639" spans="1:12" x14ac:dyDescent="0.3">
      <c r="A11639" t="s">
        <v>497</v>
      </c>
      <c r="B11639" t="s">
        <v>84</v>
      </c>
      <c r="C11639">
        <v>404</v>
      </c>
      <c r="D11639" t="s">
        <v>79</v>
      </c>
      <c r="E11639">
        <v>9.7400000000000004E-4</v>
      </c>
      <c r="F11639" t="s">
        <v>74</v>
      </c>
      <c r="G11639">
        <v>0.97443000000000002</v>
      </c>
      <c r="H11639" t="s">
        <v>75</v>
      </c>
      <c r="I11639">
        <v>974.42899999999997</v>
      </c>
      <c r="J11639" t="s">
        <v>76</v>
      </c>
      <c r="K11639" t="s">
        <v>77</v>
      </c>
    </row>
    <row r="11640" spans="1:12" x14ac:dyDescent="0.3">
      <c r="A11640" t="s">
        <v>497</v>
      </c>
      <c r="B11640" t="s">
        <v>84</v>
      </c>
      <c r="C11640">
        <v>404</v>
      </c>
      <c r="D11640" t="s">
        <v>94</v>
      </c>
      <c r="E11640">
        <v>6.221E-3</v>
      </c>
      <c r="F11640" t="s">
        <v>74</v>
      </c>
      <c r="G11640">
        <v>6.2214700000000001</v>
      </c>
      <c r="H11640" t="s">
        <v>75</v>
      </c>
      <c r="I11640">
        <v>6221.4740000000002</v>
      </c>
      <c r="J11640" t="s">
        <v>76</v>
      </c>
      <c r="K11640" t="s">
        <v>77</v>
      </c>
    </row>
    <row r="11641" spans="1:12" x14ac:dyDescent="0.3">
      <c r="A11641" t="s">
        <v>497</v>
      </c>
      <c r="B11641" t="s">
        <v>84</v>
      </c>
      <c r="C11641">
        <v>404</v>
      </c>
      <c r="D11641" t="s">
        <v>80</v>
      </c>
      <c r="E11641">
        <v>6.3829999999999998E-3</v>
      </c>
      <c r="F11641" t="s">
        <v>74</v>
      </c>
      <c r="G11641">
        <v>6.3834299999999997</v>
      </c>
      <c r="H11641" t="s">
        <v>75</v>
      </c>
      <c r="I11641">
        <v>6383.4340000000002</v>
      </c>
      <c r="J11641" t="s">
        <v>76</v>
      </c>
      <c r="K11641" t="s">
        <v>77</v>
      </c>
    </row>
    <row r="11642" spans="1:12" x14ac:dyDescent="0.3">
      <c r="A11642" t="s">
        <v>497</v>
      </c>
      <c r="B11642" t="s">
        <v>84</v>
      </c>
      <c r="C11642">
        <v>404</v>
      </c>
      <c r="D11642" t="s">
        <v>81</v>
      </c>
      <c r="E11642">
        <v>7.358E-3</v>
      </c>
      <c r="F11642" t="s">
        <v>74</v>
      </c>
      <c r="G11642">
        <v>7.3580500000000004</v>
      </c>
      <c r="H11642" t="s">
        <v>75</v>
      </c>
      <c r="I11642">
        <v>7358.0460000000003</v>
      </c>
      <c r="J11642" t="s">
        <v>76</v>
      </c>
      <c r="K11642" t="s">
        <v>82</v>
      </c>
      <c r="L11642">
        <v>135.90564929999999</v>
      </c>
    </row>
    <row r="11643" spans="1:12" x14ac:dyDescent="0.3">
      <c r="A11643" t="s">
        <v>498</v>
      </c>
      <c r="B11643" t="s">
        <v>72</v>
      </c>
      <c r="C11643">
        <v>1</v>
      </c>
      <c r="D11643" t="s">
        <v>73</v>
      </c>
      <c r="E11643">
        <v>6.3E-5</v>
      </c>
      <c r="F11643" t="s">
        <v>74</v>
      </c>
      <c r="G11643">
        <v>6.3100000000000003E-2</v>
      </c>
      <c r="H11643" t="s">
        <v>75</v>
      </c>
      <c r="I11643">
        <v>63.1</v>
      </c>
      <c r="J11643" t="s">
        <v>76</v>
      </c>
      <c r="K11643" t="s">
        <v>77</v>
      </c>
    </row>
    <row r="11644" spans="1:12" x14ac:dyDescent="0.3">
      <c r="A11644" t="s">
        <v>498</v>
      </c>
      <c r="B11644" t="s">
        <v>72</v>
      </c>
      <c r="C11644">
        <v>1</v>
      </c>
      <c r="D11644" t="s">
        <v>78</v>
      </c>
      <c r="E11644">
        <v>0.13652400000000001</v>
      </c>
      <c r="F11644" t="s">
        <v>74</v>
      </c>
      <c r="G11644">
        <v>136.52420000000001</v>
      </c>
      <c r="H11644" t="s">
        <v>75</v>
      </c>
      <c r="I11644">
        <v>136524.20000000001</v>
      </c>
      <c r="J11644" t="s">
        <v>76</v>
      </c>
      <c r="K11644" t="s">
        <v>77</v>
      </c>
    </row>
    <row r="11645" spans="1:12" x14ac:dyDescent="0.3">
      <c r="A11645" t="s">
        <v>498</v>
      </c>
      <c r="B11645" t="s">
        <v>72</v>
      </c>
      <c r="C11645">
        <v>2</v>
      </c>
      <c r="D11645" t="s">
        <v>86</v>
      </c>
      <c r="E11645">
        <v>0.165219</v>
      </c>
      <c r="F11645" t="s">
        <v>74</v>
      </c>
      <c r="G11645">
        <v>165.21895000000001</v>
      </c>
      <c r="H11645" t="s">
        <v>75</v>
      </c>
      <c r="I11645">
        <v>165218.94899999999</v>
      </c>
      <c r="J11645" t="s">
        <v>76</v>
      </c>
      <c r="K11645" t="s">
        <v>82</v>
      </c>
      <c r="L11645">
        <v>6.0525745000000004</v>
      </c>
    </row>
    <row r="11646" spans="1:12" x14ac:dyDescent="0.3">
      <c r="A11646" t="s">
        <v>498</v>
      </c>
      <c r="B11646" t="s">
        <v>83</v>
      </c>
      <c r="C11646">
        <v>999</v>
      </c>
      <c r="D11646" t="s">
        <v>86</v>
      </c>
      <c r="E11646">
        <v>2.869E-3</v>
      </c>
      <c r="F11646" t="s">
        <v>74</v>
      </c>
      <c r="G11646">
        <v>2.8694799999999998</v>
      </c>
      <c r="H11646" t="s">
        <v>75</v>
      </c>
      <c r="I11646">
        <v>2869.4789999999998</v>
      </c>
      <c r="J11646" t="s">
        <v>76</v>
      </c>
      <c r="K11646" t="s">
        <v>82</v>
      </c>
      <c r="L11646">
        <v>348.49534180000001</v>
      </c>
    </row>
    <row r="11647" spans="1:12" x14ac:dyDescent="0.3">
      <c r="A11647" t="s">
        <v>498</v>
      </c>
      <c r="B11647" t="s">
        <v>85</v>
      </c>
      <c r="C11647">
        <v>1001</v>
      </c>
      <c r="D11647" t="s">
        <v>86</v>
      </c>
      <c r="E11647">
        <v>2.9949999999999998E-3</v>
      </c>
      <c r="F11647" t="s">
        <v>74</v>
      </c>
      <c r="G11647">
        <v>2.9952299999999998</v>
      </c>
      <c r="H11647" t="s">
        <v>75</v>
      </c>
      <c r="I11647">
        <v>2995.2339999999999</v>
      </c>
      <c r="J11647" t="s">
        <v>76</v>
      </c>
      <c r="K11647" t="s">
        <v>82</v>
      </c>
      <c r="L11647">
        <v>333.86372799999998</v>
      </c>
    </row>
    <row r="11648" spans="1:12" x14ac:dyDescent="0.3">
      <c r="A11648" t="s">
        <v>180</v>
      </c>
    </row>
    <row r="11649" spans="1:12" x14ac:dyDescent="0.3">
      <c r="A11649" t="s">
        <v>180</v>
      </c>
    </row>
    <row r="11650" spans="1:12" x14ac:dyDescent="0.3">
      <c r="A11650" t="s">
        <v>535</v>
      </c>
    </row>
    <row r="11651" spans="1:12" x14ac:dyDescent="0.3">
      <c r="A11651" t="s">
        <v>496</v>
      </c>
      <c r="B11651" t="s">
        <v>72</v>
      </c>
      <c r="C11651">
        <v>1</v>
      </c>
      <c r="D11651" t="s">
        <v>79</v>
      </c>
      <c r="E11651">
        <v>5.7400000000000003E-3</v>
      </c>
      <c r="F11651" t="s">
        <v>74</v>
      </c>
      <c r="G11651">
        <v>5.7396000000000003</v>
      </c>
      <c r="H11651" t="s">
        <v>75</v>
      </c>
      <c r="I11651">
        <v>5739.6</v>
      </c>
      <c r="J11651" t="s">
        <v>76</v>
      </c>
      <c r="K11651" t="s">
        <v>77</v>
      </c>
    </row>
    <row r="11652" spans="1:12" x14ac:dyDescent="0.3">
      <c r="A11652" t="s">
        <v>496</v>
      </c>
      <c r="B11652" t="s">
        <v>72</v>
      </c>
      <c r="C11652">
        <v>1</v>
      </c>
      <c r="D11652" t="s">
        <v>94</v>
      </c>
      <c r="E11652">
        <v>3.0760000000000002E-3</v>
      </c>
      <c r="F11652" t="s">
        <v>74</v>
      </c>
      <c r="G11652">
        <v>3.0756000000000001</v>
      </c>
      <c r="H11652" t="s">
        <v>75</v>
      </c>
      <c r="I11652">
        <v>3075.6</v>
      </c>
      <c r="J11652" t="s">
        <v>76</v>
      </c>
      <c r="K11652" t="s">
        <v>77</v>
      </c>
    </row>
    <row r="11653" spans="1:12" x14ac:dyDescent="0.3">
      <c r="A11653" t="s">
        <v>496</v>
      </c>
      <c r="B11653" t="s">
        <v>72</v>
      </c>
      <c r="C11653">
        <v>1</v>
      </c>
      <c r="D11653" t="s">
        <v>80</v>
      </c>
      <c r="E11653">
        <v>3.212E-3</v>
      </c>
      <c r="F11653" t="s">
        <v>74</v>
      </c>
      <c r="G11653">
        <v>3.2120000000000002</v>
      </c>
      <c r="H11653" t="s">
        <v>75</v>
      </c>
      <c r="I11653">
        <v>3212</v>
      </c>
      <c r="J11653" t="s">
        <v>76</v>
      </c>
      <c r="K11653" t="s">
        <v>77</v>
      </c>
    </row>
    <row r="11654" spans="1:12" x14ac:dyDescent="0.3">
      <c r="A11654" t="s">
        <v>496</v>
      </c>
      <c r="B11654" t="s">
        <v>72</v>
      </c>
      <c r="C11654">
        <v>1</v>
      </c>
      <c r="D11654" t="s">
        <v>81</v>
      </c>
      <c r="E11654">
        <v>8.9519999999999999E-3</v>
      </c>
      <c r="F11654" t="s">
        <v>74</v>
      </c>
      <c r="G11654">
        <v>8.9518000000000004</v>
      </c>
      <c r="H11654" t="s">
        <v>75</v>
      </c>
      <c r="I11654">
        <v>8951.7999999999993</v>
      </c>
      <c r="J11654" t="s">
        <v>76</v>
      </c>
      <c r="K11654" t="s">
        <v>82</v>
      </c>
      <c r="L11654">
        <v>111.7093776</v>
      </c>
    </row>
    <row r="11655" spans="1:12" x14ac:dyDescent="0.3">
      <c r="A11655" t="s">
        <v>496</v>
      </c>
      <c r="B11655" t="s">
        <v>83</v>
      </c>
      <c r="C11655">
        <v>632</v>
      </c>
      <c r="D11655" t="s">
        <v>79</v>
      </c>
      <c r="E11655">
        <v>9.859999999999999E-4</v>
      </c>
      <c r="F11655" t="s">
        <v>74</v>
      </c>
      <c r="G11655">
        <v>0.98592999999999997</v>
      </c>
      <c r="H11655" t="s">
        <v>75</v>
      </c>
      <c r="I11655">
        <v>985.93299999999999</v>
      </c>
      <c r="J11655" t="s">
        <v>76</v>
      </c>
      <c r="K11655" t="s">
        <v>77</v>
      </c>
    </row>
    <row r="11656" spans="1:12" x14ac:dyDescent="0.3">
      <c r="A11656" t="s">
        <v>496</v>
      </c>
      <c r="B11656" t="s">
        <v>83</v>
      </c>
      <c r="C11656">
        <v>632</v>
      </c>
      <c r="D11656" t="s">
        <v>94</v>
      </c>
      <c r="E11656">
        <v>3.96E-3</v>
      </c>
      <c r="F11656" t="s">
        <v>74</v>
      </c>
      <c r="G11656">
        <v>3.9604400000000002</v>
      </c>
      <c r="H11656" t="s">
        <v>75</v>
      </c>
      <c r="I11656">
        <v>3960.4369999999999</v>
      </c>
      <c r="J11656" t="s">
        <v>76</v>
      </c>
      <c r="K11656" t="s">
        <v>77</v>
      </c>
    </row>
    <row r="11657" spans="1:12" x14ac:dyDescent="0.3">
      <c r="A11657" t="s">
        <v>496</v>
      </c>
      <c r="B11657" t="s">
        <v>83</v>
      </c>
      <c r="C11657">
        <v>632</v>
      </c>
      <c r="D11657" t="s">
        <v>80</v>
      </c>
      <c r="E11657">
        <v>4.1419999999999998E-3</v>
      </c>
      <c r="F11657" t="s">
        <v>74</v>
      </c>
      <c r="G11657">
        <v>4.14194</v>
      </c>
      <c r="H11657" t="s">
        <v>75</v>
      </c>
      <c r="I11657">
        <v>4141.9430000000002</v>
      </c>
      <c r="J11657" t="s">
        <v>76</v>
      </c>
      <c r="K11657" t="s">
        <v>77</v>
      </c>
    </row>
    <row r="11658" spans="1:12" x14ac:dyDescent="0.3">
      <c r="A11658" t="s">
        <v>496</v>
      </c>
      <c r="B11658" t="s">
        <v>83</v>
      </c>
      <c r="C11658">
        <v>632</v>
      </c>
      <c r="D11658" t="s">
        <v>81</v>
      </c>
      <c r="E11658">
        <v>5.1279999999999997E-3</v>
      </c>
      <c r="F11658" t="s">
        <v>74</v>
      </c>
      <c r="G11658">
        <v>5.12812</v>
      </c>
      <c r="H11658" t="s">
        <v>75</v>
      </c>
      <c r="I11658">
        <v>5128.1170000000002</v>
      </c>
      <c r="J11658" t="s">
        <v>76</v>
      </c>
      <c r="K11658" t="s">
        <v>82</v>
      </c>
      <c r="L11658">
        <v>195.003354</v>
      </c>
    </row>
    <row r="11659" spans="1:12" x14ac:dyDescent="0.3">
      <c r="A11659" t="s">
        <v>496</v>
      </c>
      <c r="B11659" t="s">
        <v>84</v>
      </c>
      <c r="C11659">
        <v>633</v>
      </c>
      <c r="D11659" t="s">
        <v>79</v>
      </c>
      <c r="E11659">
        <v>9.9299999999999996E-4</v>
      </c>
      <c r="F11659" t="s">
        <v>74</v>
      </c>
      <c r="G11659">
        <v>0.99343999999999999</v>
      </c>
      <c r="H11659" t="s">
        <v>75</v>
      </c>
      <c r="I11659">
        <v>993.44200000000001</v>
      </c>
      <c r="J11659" t="s">
        <v>76</v>
      </c>
      <c r="K11659" t="s">
        <v>77</v>
      </c>
    </row>
    <row r="11660" spans="1:12" x14ac:dyDescent="0.3">
      <c r="A11660" t="s">
        <v>496</v>
      </c>
      <c r="B11660" t="s">
        <v>84</v>
      </c>
      <c r="C11660">
        <v>633</v>
      </c>
      <c r="D11660" t="s">
        <v>94</v>
      </c>
      <c r="E11660">
        <v>3.9589999999999998E-3</v>
      </c>
      <c r="F11660" t="s">
        <v>74</v>
      </c>
      <c r="G11660">
        <v>3.9590399999999999</v>
      </c>
      <c r="H11660" t="s">
        <v>75</v>
      </c>
      <c r="I11660">
        <v>3959.0390000000002</v>
      </c>
      <c r="J11660" t="s">
        <v>76</v>
      </c>
      <c r="K11660" t="s">
        <v>77</v>
      </c>
    </row>
    <row r="11661" spans="1:12" x14ac:dyDescent="0.3">
      <c r="A11661" t="s">
        <v>496</v>
      </c>
      <c r="B11661" t="s">
        <v>84</v>
      </c>
      <c r="C11661">
        <v>633</v>
      </c>
      <c r="D11661" t="s">
        <v>80</v>
      </c>
      <c r="E11661">
        <v>4.1399999999999996E-3</v>
      </c>
      <c r="F11661" t="s">
        <v>74</v>
      </c>
      <c r="G11661">
        <v>4.1404699999999997</v>
      </c>
      <c r="H11661" t="s">
        <v>75</v>
      </c>
      <c r="I11661">
        <v>4140.473</v>
      </c>
      <c r="J11661" t="s">
        <v>76</v>
      </c>
      <c r="K11661" t="s">
        <v>77</v>
      </c>
    </row>
    <row r="11662" spans="1:12" x14ac:dyDescent="0.3">
      <c r="A11662" t="s">
        <v>496</v>
      </c>
      <c r="B11662" t="s">
        <v>84</v>
      </c>
      <c r="C11662">
        <v>633</v>
      </c>
      <c r="D11662" t="s">
        <v>81</v>
      </c>
      <c r="E11662">
        <v>5.1339999999999997E-3</v>
      </c>
      <c r="F11662" t="s">
        <v>74</v>
      </c>
      <c r="G11662">
        <v>5.1341599999999996</v>
      </c>
      <c r="H11662" t="s">
        <v>75</v>
      </c>
      <c r="I11662">
        <v>5134.1580000000004</v>
      </c>
      <c r="J11662" t="s">
        <v>76</v>
      </c>
      <c r="K11662" t="s">
        <v>82</v>
      </c>
      <c r="L11662">
        <v>194.77391739999999</v>
      </c>
    </row>
    <row r="11663" spans="1:12" x14ac:dyDescent="0.3">
      <c r="A11663" t="s">
        <v>497</v>
      </c>
      <c r="B11663" t="s">
        <v>72</v>
      </c>
      <c r="C11663">
        <v>1</v>
      </c>
      <c r="D11663" t="s">
        <v>79</v>
      </c>
      <c r="E11663">
        <v>2.8050000000000002E-3</v>
      </c>
      <c r="F11663" t="s">
        <v>74</v>
      </c>
      <c r="G11663">
        <v>2.8050000000000002</v>
      </c>
      <c r="H11663" t="s">
        <v>75</v>
      </c>
      <c r="I11663">
        <v>2805</v>
      </c>
      <c r="J11663" t="s">
        <v>76</v>
      </c>
      <c r="K11663" t="s">
        <v>77</v>
      </c>
    </row>
    <row r="11664" spans="1:12" x14ac:dyDescent="0.3">
      <c r="A11664" t="s">
        <v>497</v>
      </c>
      <c r="B11664" t="s">
        <v>72</v>
      </c>
      <c r="C11664">
        <v>1</v>
      </c>
      <c r="D11664" t="s">
        <v>94</v>
      </c>
      <c r="E11664">
        <v>2.82E-3</v>
      </c>
      <c r="F11664" t="s">
        <v>74</v>
      </c>
      <c r="G11664">
        <v>2.8197999999999999</v>
      </c>
      <c r="H11664" t="s">
        <v>75</v>
      </c>
      <c r="I11664">
        <v>2819.8</v>
      </c>
      <c r="J11664" t="s">
        <v>76</v>
      </c>
      <c r="K11664" t="s">
        <v>77</v>
      </c>
    </row>
    <row r="11665" spans="1:12" x14ac:dyDescent="0.3">
      <c r="A11665" t="s">
        <v>497</v>
      </c>
      <c r="B11665" t="s">
        <v>72</v>
      </c>
      <c r="C11665">
        <v>1</v>
      </c>
      <c r="D11665" t="s">
        <v>80</v>
      </c>
      <c r="E11665">
        <v>3.0200000000000001E-3</v>
      </c>
      <c r="F11665" t="s">
        <v>74</v>
      </c>
      <c r="G11665">
        <v>3.0194999999999999</v>
      </c>
      <c r="H11665" t="s">
        <v>75</v>
      </c>
      <c r="I11665">
        <v>3019.5</v>
      </c>
      <c r="J11665" t="s">
        <v>76</v>
      </c>
      <c r="K11665" t="s">
        <v>77</v>
      </c>
    </row>
    <row r="11666" spans="1:12" x14ac:dyDescent="0.3">
      <c r="A11666" t="s">
        <v>497</v>
      </c>
      <c r="B11666" t="s">
        <v>72</v>
      </c>
      <c r="C11666">
        <v>1</v>
      </c>
      <c r="D11666" t="s">
        <v>81</v>
      </c>
      <c r="E11666">
        <v>5.8250000000000003E-3</v>
      </c>
      <c r="F11666" t="s">
        <v>74</v>
      </c>
      <c r="G11666">
        <v>5.8249000000000004</v>
      </c>
      <c r="H11666" t="s">
        <v>75</v>
      </c>
      <c r="I11666">
        <v>5824.9</v>
      </c>
      <c r="J11666" t="s">
        <v>76</v>
      </c>
      <c r="K11666" t="s">
        <v>82</v>
      </c>
      <c r="L11666">
        <v>171.6767601</v>
      </c>
    </row>
    <row r="11667" spans="1:12" x14ac:dyDescent="0.3">
      <c r="A11667" t="s">
        <v>497</v>
      </c>
      <c r="B11667" t="s">
        <v>83</v>
      </c>
      <c r="C11667">
        <v>367</v>
      </c>
      <c r="D11667" t="s">
        <v>79</v>
      </c>
      <c r="E11667">
        <v>1.2830000000000001E-3</v>
      </c>
      <c r="F11667" t="s">
        <v>74</v>
      </c>
      <c r="G11667">
        <v>1.28291</v>
      </c>
      <c r="H11667" t="s">
        <v>75</v>
      </c>
      <c r="I11667">
        <v>1282.9090000000001</v>
      </c>
      <c r="J11667" t="s">
        <v>76</v>
      </c>
      <c r="K11667" t="s">
        <v>77</v>
      </c>
    </row>
    <row r="11668" spans="1:12" x14ac:dyDescent="0.3">
      <c r="A11668" t="s">
        <v>497</v>
      </c>
      <c r="B11668" t="s">
        <v>83</v>
      </c>
      <c r="C11668">
        <v>367</v>
      </c>
      <c r="D11668" t="s">
        <v>94</v>
      </c>
      <c r="E11668">
        <v>7.3790000000000001E-3</v>
      </c>
      <c r="F11668" t="s">
        <v>74</v>
      </c>
      <c r="G11668">
        <v>7.3786300000000002</v>
      </c>
      <c r="H11668" t="s">
        <v>75</v>
      </c>
      <c r="I11668">
        <v>7378.6319999999996</v>
      </c>
      <c r="J11668" t="s">
        <v>76</v>
      </c>
      <c r="K11668" t="s">
        <v>77</v>
      </c>
    </row>
    <row r="11669" spans="1:12" x14ac:dyDescent="0.3">
      <c r="A11669" t="s">
        <v>497</v>
      </c>
      <c r="B11669" t="s">
        <v>83</v>
      </c>
      <c r="C11669">
        <v>367</v>
      </c>
      <c r="D11669" t="s">
        <v>80</v>
      </c>
      <c r="E11669">
        <v>7.5760000000000003E-3</v>
      </c>
      <c r="F11669" t="s">
        <v>74</v>
      </c>
      <c r="G11669">
        <v>7.57639</v>
      </c>
      <c r="H11669" t="s">
        <v>75</v>
      </c>
      <c r="I11669">
        <v>7576.3869999999997</v>
      </c>
      <c r="J11669" t="s">
        <v>76</v>
      </c>
      <c r="K11669" t="s">
        <v>77</v>
      </c>
    </row>
    <row r="11670" spans="1:12" x14ac:dyDescent="0.3">
      <c r="A11670" t="s">
        <v>497</v>
      </c>
      <c r="B11670" t="s">
        <v>83</v>
      </c>
      <c r="C11670">
        <v>367</v>
      </c>
      <c r="D11670" t="s">
        <v>81</v>
      </c>
      <c r="E11670">
        <v>8.8599999999999998E-3</v>
      </c>
      <c r="F11670" t="s">
        <v>74</v>
      </c>
      <c r="G11670">
        <v>8.8596800000000009</v>
      </c>
      <c r="H11670" t="s">
        <v>75</v>
      </c>
      <c r="I11670">
        <v>8859.68</v>
      </c>
      <c r="J11670" t="s">
        <v>76</v>
      </c>
      <c r="K11670" t="s">
        <v>82</v>
      </c>
      <c r="L11670">
        <v>112.87089539999999</v>
      </c>
    </row>
    <row r="11671" spans="1:12" x14ac:dyDescent="0.3">
      <c r="A11671" t="s">
        <v>497</v>
      </c>
      <c r="B11671" t="s">
        <v>84</v>
      </c>
      <c r="C11671">
        <v>368</v>
      </c>
      <c r="D11671" t="s">
        <v>79</v>
      </c>
      <c r="E11671">
        <v>1.2869999999999999E-3</v>
      </c>
      <c r="F11671" t="s">
        <v>74</v>
      </c>
      <c r="G11671">
        <v>1.28704</v>
      </c>
      <c r="H11671" t="s">
        <v>75</v>
      </c>
      <c r="I11671">
        <v>1287.0450000000001</v>
      </c>
      <c r="J11671" t="s">
        <v>76</v>
      </c>
      <c r="K11671" t="s">
        <v>77</v>
      </c>
    </row>
    <row r="11672" spans="1:12" x14ac:dyDescent="0.3">
      <c r="A11672" t="s">
        <v>497</v>
      </c>
      <c r="B11672" t="s">
        <v>84</v>
      </c>
      <c r="C11672">
        <v>368</v>
      </c>
      <c r="D11672" t="s">
        <v>94</v>
      </c>
      <c r="E11672">
        <v>7.3660000000000002E-3</v>
      </c>
      <c r="F11672" t="s">
        <v>74</v>
      </c>
      <c r="G11672">
        <v>7.3662400000000003</v>
      </c>
      <c r="H11672" t="s">
        <v>75</v>
      </c>
      <c r="I11672">
        <v>7366.2439999999997</v>
      </c>
      <c r="J11672" t="s">
        <v>76</v>
      </c>
      <c r="K11672" t="s">
        <v>77</v>
      </c>
    </row>
    <row r="11673" spans="1:12" x14ac:dyDescent="0.3">
      <c r="A11673" t="s">
        <v>497</v>
      </c>
      <c r="B11673" t="s">
        <v>84</v>
      </c>
      <c r="C11673">
        <v>368</v>
      </c>
      <c r="D11673" t="s">
        <v>80</v>
      </c>
      <c r="E11673">
        <v>7.5640000000000004E-3</v>
      </c>
      <c r="F11673" t="s">
        <v>74</v>
      </c>
      <c r="G11673">
        <v>7.5640000000000001</v>
      </c>
      <c r="H11673" t="s">
        <v>75</v>
      </c>
      <c r="I11673">
        <v>7564.0039999999999</v>
      </c>
      <c r="J11673" t="s">
        <v>76</v>
      </c>
      <c r="K11673" t="s">
        <v>77</v>
      </c>
    </row>
    <row r="11674" spans="1:12" x14ac:dyDescent="0.3">
      <c r="A11674" t="s">
        <v>497</v>
      </c>
      <c r="B11674" t="s">
        <v>84</v>
      </c>
      <c r="C11674">
        <v>368</v>
      </c>
      <c r="D11674" t="s">
        <v>81</v>
      </c>
      <c r="E11674">
        <v>8.8509999999999995E-3</v>
      </c>
      <c r="F11674" t="s">
        <v>74</v>
      </c>
      <c r="G11674">
        <v>8.8514300000000006</v>
      </c>
      <c r="H11674" t="s">
        <v>75</v>
      </c>
      <c r="I11674">
        <v>8851.4339999999993</v>
      </c>
      <c r="J11674" t="s">
        <v>76</v>
      </c>
      <c r="K11674" t="s">
        <v>82</v>
      </c>
      <c r="L11674">
        <v>112.9760497</v>
      </c>
    </row>
    <row r="11675" spans="1:12" x14ac:dyDescent="0.3">
      <c r="A11675" t="s">
        <v>498</v>
      </c>
      <c r="B11675" t="s">
        <v>72</v>
      </c>
      <c r="C11675">
        <v>1</v>
      </c>
      <c r="D11675" t="s">
        <v>73</v>
      </c>
      <c r="E11675">
        <v>6.3E-5</v>
      </c>
      <c r="F11675" t="s">
        <v>74</v>
      </c>
      <c r="G11675">
        <v>6.3100000000000003E-2</v>
      </c>
      <c r="H11675" t="s">
        <v>75</v>
      </c>
      <c r="I11675">
        <v>63.1</v>
      </c>
      <c r="J11675" t="s">
        <v>76</v>
      </c>
      <c r="K11675" t="s">
        <v>77</v>
      </c>
    </row>
    <row r="11676" spans="1:12" x14ac:dyDescent="0.3">
      <c r="A11676" t="s">
        <v>498</v>
      </c>
      <c r="B11676" t="s">
        <v>72</v>
      </c>
      <c r="C11676">
        <v>1</v>
      </c>
      <c r="D11676" t="s">
        <v>78</v>
      </c>
      <c r="E11676">
        <v>1.3999999999999999E-4</v>
      </c>
      <c r="F11676" t="s">
        <v>74</v>
      </c>
      <c r="G11676">
        <v>0.1404</v>
      </c>
      <c r="H11676" t="s">
        <v>75</v>
      </c>
      <c r="I11676">
        <v>140.4</v>
      </c>
      <c r="J11676" t="s">
        <v>76</v>
      </c>
      <c r="K11676" t="s">
        <v>77</v>
      </c>
    </row>
    <row r="11677" spans="1:12" x14ac:dyDescent="0.3">
      <c r="A11677" t="s">
        <v>498</v>
      </c>
      <c r="B11677" t="s">
        <v>72</v>
      </c>
      <c r="C11677">
        <v>2</v>
      </c>
      <c r="D11677" t="s">
        <v>86</v>
      </c>
      <c r="E11677">
        <v>4.4790000000000003E-3</v>
      </c>
      <c r="F11677" t="s">
        <v>74</v>
      </c>
      <c r="G11677">
        <v>4.4790000000000001</v>
      </c>
      <c r="H11677" t="s">
        <v>75</v>
      </c>
      <c r="I11677">
        <v>4479</v>
      </c>
      <c r="J11677" t="s">
        <v>76</v>
      </c>
      <c r="K11677" t="s">
        <v>82</v>
      </c>
      <c r="L11677">
        <v>223.2641275</v>
      </c>
    </row>
    <row r="11678" spans="1:12" x14ac:dyDescent="0.3">
      <c r="A11678" t="s">
        <v>498</v>
      </c>
      <c r="B11678" t="s">
        <v>83</v>
      </c>
      <c r="C11678">
        <v>999</v>
      </c>
      <c r="D11678" t="s">
        <v>86</v>
      </c>
      <c r="E11678">
        <v>3.258E-3</v>
      </c>
      <c r="F11678" t="s">
        <v>74</v>
      </c>
      <c r="G11678">
        <v>3.2575599999999998</v>
      </c>
      <c r="H11678" t="s">
        <v>75</v>
      </c>
      <c r="I11678">
        <v>3257.558</v>
      </c>
      <c r="J11678" t="s">
        <v>76</v>
      </c>
      <c r="K11678" t="s">
        <v>82</v>
      </c>
      <c r="L11678">
        <v>306.9784032</v>
      </c>
    </row>
    <row r="11679" spans="1:12" x14ac:dyDescent="0.3">
      <c r="A11679" t="s">
        <v>498</v>
      </c>
      <c r="B11679" t="s">
        <v>85</v>
      </c>
      <c r="C11679">
        <v>1001</v>
      </c>
      <c r="D11679" t="s">
        <v>86</v>
      </c>
      <c r="E11679">
        <v>3.264E-3</v>
      </c>
      <c r="F11679" t="s">
        <v>74</v>
      </c>
      <c r="G11679">
        <v>3.26396</v>
      </c>
      <c r="H11679" t="s">
        <v>75</v>
      </c>
      <c r="I11679">
        <v>3263.9589999999998</v>
      </c>
      <c r="J11679" t="s">
        <v>76</v>
      </c>
      <c r="K11679" t="s">
        <v>82</v>
      </c>
      <c r="L11679">
        <v>306.3764271</v>
      </c>
    </row>
    <row r="11680" spans="1:12" x14ac:dyDescent="0.3">
      <c r="A11680" t="s">
        <v>115</v>
      </c>
    </row>
    <row r="11681" spans="1:12" x14ac:dyDescent="0.3">
      <c r="A11681" t="s">
        <v>127</v>
      </c>
    </row>
    <row r="11682" spans="1:12" x14ac:dyDescent="0.3">
      <c r="A11682" t="s">
        <v>87</v>
      </c>
    </row>
    <row r="11683" spans="1:12" x14ac:dyDescent="0.3">
      <c r="A11683" t="s">
        <v>536</v>
      </c>
    </row>
    <row r="11684" spans="1:12" x14ac:dyDescent="0.3">
      <c r="A11684" t="s">
        <v>496</v>
      </c>
      <c r="B11684" t="s">
        <v>72</v>
      </c>
      <c r="C11684">
        <v>1</v>
      </c>
      <c r="D11684" t="s">
        <v>81</v>
      </c>
      <c r="E11684">
        <v>0.33038800000000001</v>
      </c>
      <c r="F11684" t="s">
        <v>74</v>
      </c>
      <c r="G11684">
        <v>330.38758999999999</v>
      </c>
      <c r="H11684" t="s">
        <v>75</v>
      </c>
      <c r="I11684">
        <v>330387.592</v>
      </c>
      <c r="J11684" t="s">
        <v>76</v>
      </c>
      <c r="K11684" t="s">
        <v>82</v>
      </c>
      <c r="L11684">
        <v>3.026748</v>
      </c>
    </row>
    <row r="11685" spans="1:12" x14ac:dyDescent="0.3">
      <c r="A11685" t="s">
        <v>496</v>
      </c>
      <c r="B11685" t="s">
        <v>83</v>
      </c>
      <c r="C11685">
        <v>596</v>
      </c>
      <c r="D11685" t="s">
        <v>81</v>
      </c>
      <c r="E11685">
        <v>4.4559999999999999E-3</v>
      </c>
      <c r="F11685" t="s">
        <v>74</v>
      </c>
      <c r="G11685">
        <v>4.4561299999999999</v>
      </c>
      <c r="H11685" t="s">
        <v>75</v>
      </c>
      <c r="I11685">
        <v>4456.1319999999996</v>
      </c>
      <c r="J11685" t="s">
        <v>76</v>
      </c>
      <c r="K11685" t="s">
        <v>82</v>
      </c>
      <c r="L11685">
        <v>224.409887</v>
      </c>
    </row>
    <row r="11686" spans="1:12" x14ac:dyDescent="0.3">
      <c r="A11686" t="s">
        <v>496</v>
      </c>
      <c r="B11686" t="s">
        <v>84</v>
      </c>
      <c r="C11686">
        <v>597</v>
      </c>
      <c r="D11686" t="s">
        <v>81</v>
      </c>
      <c r="E11686">
        <v>5.0020000000000004E-3</v>
      </c>
      <c r="F11686" t="s">
        <v>74</v>
      </c>
      <c r="G11686">
        <v>5.0020800000000003</v>
      </c>
      <c r="H11686" t="s">
        <v>75</v>
      </c>
      <c r="I11686">
        <v>5002.0820000000003</v>
      </c>
      <c r="J11686" t="s">
        <v>76</v>
      </c>
      <c r="K11686" t="s">
        <v>82</v>
      </c>
      <c r="L11686">
        <v>199.91675090000001</v>
      </c>
    </row>
    <row r="11687" spans="1:12" x14ac:dyDescent="0.3">
      <c r="A11687" t="s">
        <v>497</v>
      </c>
      <c r="B11687" t="s">
        <v>72</v>
      </c>
      <c r="C11687">
        <v>1</v>
      </c>
      <c r="D11687" t="s">
        <v>81</v>
      </c>
      <c r="E11687">
        <v>0.12785099999999999</v>
      </c>
      <c r="F11687" t="s">
        <v>74</v>
      </c>
      <c r="G11687">
        <v>127.85061</v>
      </c>
      <c r="H11687" t="s">
        <v>75</v>
      </c>
      <c r="I11687">
        <v>127850.607</v>
      </c>
      <c r="J11687" t="s">
        <v>76</v>
      </c>
      <c r="K11687" t="s">
        <v>82</v>
      </c>
      <c r="L11687">
        <v>7.8216289000000003</v>
      </c>
    </row>
    <row r="11688" spans="1:12" x14ac:dyDescent="0.3">
      <c r="A11688" t="s">
        <v>497</v>
      </c>
      <c r="B11688" t="s">
        <v>83</v>
      </c>
      <c r="C11688">
        <v>403</v>
      </c>
      <c r="D11688" t="s">
        <v>81</v>
      </c>
      <c r="E11688">
        <v>7.0590000000000002E-3</v>
      </c>
      <c r="F11688" t="s">
        <v>74</v>
      </c>
      <c r="G11688">
        <v>7.0590599999999997</v>
      </c>
      <c r="H11688" t="s">
        <v>75</v>
      </c>
      <c r="I11688">
        <v>7059.0569999999998</v>
      </c>
      <c r="J11688" t="s">
        <v>76</v>
      </c>
      <c r="K11688" t="s">
        <v>82</v>
      </c>
      <c r="L11688">
        <v>141.66198</v>
      </c>
    </row>
    <row r="11689" spans="1:12" x14ac:dyDescent="0.3">
      <c r="A11689" t="s">
        <v>497</v>
      </c>
      <c r="B11689" t="s">
        <v>84</v>
      </c>
      <c r="C11689">
        <v>404</v>
      </c>
      <c r="D11689" t="s">
        <v>81</v>
      </c>
      <c r="E11689">
        <v>7.358E-3</v>
      </c>
      <c r="F11689" t="s">
        <v>74</v>
      </c>
      <c r="G11689">
        <v>7.3580500000000004</v>
      </c>
      <c r="H11689" t="s">
        <v>75</v>
      </c>
      <c r="I11689">
        <v>7358.0460000000003</v>
      </c>
      <c r="J11689" t="s">
        <v>76</v>
      </c>
      <c r="K11689" t="s">
        <v>82</v>
      </c>
      <c r="L11689">
        <v>135.90564929999999</v>
      </c>
    </row>
    <row r="11690" spans="1:12" x14ac:dyDescent="0.3">
      <c r="A11690" t="s">
        <v>498</v>
      </c>
      <c r="B11690" t="s">
        <v>72</v>
      </c>
      <c r="C11690">
        <v>2</v>
      </c>
      <c r="D11690" t="s">
        <v>86</v>
      </c>
      <c r="E11690">
        <v>0.165219</v>
      </c>
      <c r="F11690" t="s">
        <v>74</v>
      </c>
      <c r="G11690">
        <v>165.21895000000001</v>
      </c>
      <c r="H11690" t="s">
        <v>75</v>
      </c>
      <c r="I11690">
        <v>165218.94899999999</v>
      </c>
      <c r="J11690" t="s">
        <v>76</v>
      </c>
      <c r="K11690" t="s">
        <v>82</v>
      </c>
      <c r="L11690">
        <v>6.0525745000000004</v>
      </c>
    </row>
    <row r="11691" spans="1:12" x14ac:dyDescent="0.3">
      <c r="A11691" t="s">
        <v>498</v>
      </c>
      <c r="B11691" t="s">
        <v>83</v>
      </c>
      <c r="C11691">
        <v>999</v>
      </c>
      <c r="D11691" t="s">
        <v>86</v>
      </c>
      <c r="E11691">
        <v>2.869E-3</v>
      </c>
      <c r="F11691" t="s">
        <v>74</v>
      </c>
      <c r="G11691">
        <v>2.8694799999999998</v>
      </c>
      <c r="H11691" t="s">
        <v>75</v>
      </c>
      <c r="I11691">
        <v>2869.4789999999998</v>
      </c>
      <c r="J11691" t="s">
        <v>76</v>
      </c>
      <c r="K11691" t="s">
        <v>82</v>
      </c>
      <c r="L11691">
        <v>348.49534180000001</v>
      </c>
    </row>
    <row r="11692" spans="1:12" x14ac:dyDescent="0.3">
      <c r="A11692" t="s">
        <v>498</v>
      </c>
      <c r="B11692" t="s">
        <v>85</v>
      </c>
      <c r="C11692">
        <v>1001</v>
      </c>
      <c r="D11692" t="s">
        <v>86</v>
      </c>
      <c r="E11692">
        <v>2.9949999999999998E-3</v>
      </c>
      <c r="F11692" t="s">
        <v>74</v>
      </c>
      <c r="G11692">
        <v>2.9952299999999998</v>
      </c>
      <c r="H11692" t="s">
        <v>75</v>
      </c>
      <c r="I11692">
        <v>2995.2339999999999</v>
      </c>
      <c r="J11692" t="s">
        <v>76</v>
      </c>
      <c r="K11692" t="s">
        <v>82</v>
      </c>
      <c r="L11692">
        <v>333.86372799999998</v>
      </c>
    </row>
    <row r="11694" spans="1:12" x14ac:dyDescent="0.3">
      <c r="A11694" t="s">
        <v>537</v>
      </c>
    </row>
    <row r="11695" spans="1:12" x14ac:dyDescent="0.3">
      <c r="A11695" t="s">
        <v>496</v>
      </c>
      <c r="B11695" t="s">
        <v>72</v>
      </c>
      <c r="C11695">
        <v>1</v>
      </c>
      <c r="D11695" t="s">
        <v>81</v>
      </c>
      <c r="E11695">
        <v>8.9519999999999999E-3</v>
      </c>
      <c r="F11695" t="s">
        <v>74</v>
      </c>
      <c r="G11695">
        <v>8.9518000000000004</v>
      </c>
      <c r="H11695" t="s">
        <v>75</v>
      </c>
      <c r="I11695">
        <v>8951.7999999999993</v>
      </c>
      <c r="J11695" t="s">
        <v>76</v>
      </c>
      <c r="K11695" t="s">
        <v>82</v>
      </c>
      <c r="L11695">
        <v>111.7093776</v>
      </c>
    </row>
    <row r="11696" spans="1:12" x14ac:dyDescent="0.3">
      <c r="A11696" t="s">
        <v>496</v>
      </c>
      <c r="B11696" t="s">
        <v>83</v>
      </c>
      <c r="C11696">
        <v>632</v>
      </c>
      <c r="D11696" t="s">
        <v>81</v>
      </c>
      <c r="E11696">
        <v>5.1279999999999997E-3</v>
      </c>
      <c r="F11696" t="s">
        <v>74</v>
      </c>
      <c r="G11696">
        <v>5.12812</v>
      </c>
      <c r="H11696" t="s">
        <v>75</v>
      </c>
      <c r="I11696">
        <v>5128.1170000000002</v>
      </c>
      <c r="J11696" t="s">
        <v>76</v>
      </c>
      <c r="K11696" t="s">
        <v>82</v>
      </c>
      <c r="L11696">
        <v>195.003354</v>
      </c>
    </row>
    <row r="11697" spans="1:12" x14ac:dyDescent="0.3">
      <c r="A11697" t="s">
        <v>496</v>
      </c>
      <c r="B11697" t="s">
        <v>84</v>
      </c>
      <c r="C11697">
        <v>633</v>
      </c>
      <c r="D11697" t="s">
        <v>81</v>
      </c>
      <c r="E11697">
        <v>5.1339999999999997E-3</v>
      </c>
      <c r="F11697" t="s">
        <v>74</v>
      </c>
      <c r="G11697">
        <v>5.1341599999999996</v>
      </c>
      <c r="H11697" t="s">
        <v>75</v>
      </c>
      <c r="I11697">
        <v>5134.1580000000004</v>
      </c>
      <c r="J11697" t="s">
        <v>76</v>
      </c>
      <c r="K11697" t="s">
        <v>82</v>
      </c>
      <c r="L11697">
        <v>194.77391739999999</v>
      </c>
    </row>
    <row r="11698" spans="1:12" x14ac:dyDescent="0.3">
      <c r="A11698" t="s">
        <v>497</v>
      </c>
      <c r="B11698" t="s">
        <v>72</v>
      </c>
      <c r="C11698">
        <v>1</v>
      </c>
      <c r="D11698" t="s">
        <v>81</v>
      </c>
      <c r="E11698">
        <v>5.8250000000000003E-3</v>
      </c>
      <c r="F11698" t="s">
        <v>74</v>
      </c>
      <c r="G11698">
        <v>5.8249000000000004</v>
      </c>
      <c r="H11698" t="s">
        <v>75</v>
      </c>
      <c r="I11698">
        <v>5824.9</v>
      </c>
      <c r="J11698" t="s">
        <v>76</v>
      </c>
      <c r="K11698" t="s">
        <v>82</v>
      </c>
      <c r="L11698">
        <v>171.6767601</v>
      </c>
    </row>
    <row r="11699" spans="1:12" x14ac:dyDescent="0.3">
      <c r="A11699" t="s">
        <v>497</v>
      </c>
      <c r="B11699" t="s">
        <v>83</v>
      </c>
      <c r="C11699">
        <v>367</v>
      </c>
      <c r="D11699" t="s">
        <v>81</v>
      </c>
      <c r="E11699">
        <v>8.8599999999999998E-3</v>
      </c>
      <c r="F11699" t="s">
        <v>74</v>
      </c>
      <c r="G11699">
        <v>8.8596800000000009</v>
      </c>
      <c r="H11699" t="s">
        <v>75</v>
      </c>
      <c r="I11699">
        <v>8859.68</v>
      </c>
      <c r="J11699" t="s">
        <v>76</v>
      </c>
      <c r="K11699" t="s">
        <v>82</v>
      </c>
      <c r="L11699">
        <v>112.87089539999999</v>
      </c>
    </row>
    <row r="11700" spans="1:12" x14ac:dyDescent="0.3">
      <c r="A11700" t="s">
        <v>497</v>
      </c>
      <c r="B11700" t="s">
        <v>84</v>
      </c>
      <c r="C11700">
        <v>368</v>
      </c>
      <c r="D11700" t="s">
        <v>81</v>
      </c>
      <c r="E11700">
        <v>8.8509999999999995E-3</v>
      </c>
      <c r="F11700" t="s">
        <v>74</v>
      </c>
      <c r="G11700">
        <v>8.8514300000000006</v>
      </c>
      <c r="H11700" t="s">
        <v>75</v>
      </c>
      <c r="I11700">
        <v>8851.4339999999993</v>
      </c>
      <c r="J11700" t="s">
        <v>76</v>
      </c>
      <c r="K11700" t="s">
        <v>82</v>
      </c>
      <c r="L11700">
        <v>112.9760497</v>
      </c>
    </row>
    <row r="11701" spans="1:12" x14ac:dyDescent="0.3">
      <c r="A11701" t="s">
        <v>498</v>
      </c>
      <c r="B11701" t="s">
        <v>72</v>
      </c>
      <c r="C11701">
        <v>2</v>
      </c>
      <c r="D11701" t="s">
        <v>86</v>
      </c>
      <c r="E11701">
        <v>4.4790000000000003E-3</v>
      </c>
      <c r="F11701" t="s">
        <v>74</v>
      </c>
      <c r="G11701">
        <v>4.4790000000000001</v>
      </c>
      <c r="H11701" t="s">
        <v>75</v>
      </c>
      <c r="I11701">
        <v>4479</v>
      </c>
      <c r="J11701" t="s">
        <v>76</v>
      </c>
      <c r="K11701" t="s">
        <v>82</v>
      </c>
      <c r="L11701">
        <v>223.2641275</v>
      </c>
    </row>
    <row r="11702" spans="1:12" x14ac:dyDescent="0.3">
      <c r="A11702" t="s">
        <v>498</v>
      </c>
      <c r="B11702" t="s">
        <v>83</v>
      </c>
      <c r="C11702">
        <v>999</v>
      </c>
      <c r="D11702" t="s">
        <v>86</v>
      </c>
      <c r="E11702">
        <v>3.258E-3</v>
      </c>
      <c r="F11702" t="s">
        <v>74</v>
      </c>
      <c r="G11702">
        <v>3.2575599999999998</v>
      </c>
      <c r="H11702" t="s">
        <v>75</v>
      </c>
      <c r="I11702">
        <v>3257.558</v>
      </c>
      <c r="J11702" t="s">
        <v>76</v>
      </c>
      <c r="K11702" t="s">
        <v>82</v>
      </c>
      <c r="L11702">
        <v>306.9784032</v>
      </c>
    </row>
    <row r="11703" spans="1:12" x14ac:dyDescent="0.3">
      <c r="A11703" t="s">
        <v>498</v>
      </c>
      <c r="B11703" t="s">
        <v>85</v>
      </c>
      <c r="C11703">
        <v>1001</v>
      </c>
      <c r="D11703" t="s">
        <v>86</v>
      </c>
      <c r="E11703">
        <v>3.264E-3</v>
      </c>
      <c r="F11703" t="s">
        <v>74</v>
      </c>
      <c r="G11703">
        <v>3.26396</v>
      </c>
      <c r="H11703" t="s">
        <v>75</v>
      </c>
      <c r="I11703">
        <v>3263.9589999999998</v>
      </c>
      <c r="J11703" t="s">
        <v>76</v>
      </c>
      <c r="K11703" t="s">
        <v>82</v>
      </c>
      <c r="L11703">
        <v>306.3764271</v>
      </c>
    </row>
    <row r="11705" spans="1:12" x14ac:dyDescent="0.3">
      <c r="A11705" t="s">
        <v>66</v>
      </c>
    </row>
    <row r="11707" spans="1:12" x14ac:dyDescent="0.3">
      <c r="A11707" t="s">
        <v>538</v>
      </c>
    </row>
    <row r="11708" spans="1:12" x14ac:dyDescent="0.3">
      <c r="A11708" t="s">
        <v>68</v>
      </c>
    </row>
    <row r="11709" spans="1:12" x14ac:dyDescent="0.3">
      <c r="A11709" t="s">
        <v>69</v>
      </c>
    </row>
    <row r="11710" spans="1:12" x14ac:dyDescent="0.3">
      <c r="A11710" t="s">
        <v>68</v>
      </c>
    </row>
    <row r="11711" spans="1:12" x14ac:dyDescent="0.3">
      <c r="A11711" t="s">
        <v>69</v>
      </c>
    </row>
    <row r="11712" spans="1:12" x14ac:dyDescent="0.3">
      <c r="A11712" t="s">
        <v>70</v>
      </c>
    </row>
    <row r="11713" spans="1:1" x14ac:dyDescent="0.3">
      <c r="A11713" t="s">
        <v>115</v>
      </c>
    </row>
    <row r="11714" spans="1:1" x14ac:dyDescent="0.3">
      <c r="A11714" t="s">
        <v>116</v>
      </c>
    </row>
    <row r="11715" spans="1:1" x14ac:dyDescent="0.3">
      <c r="A11715" t="s">
        <v>117</v>
      </c>
    </row>
    <row r="11716" spans="1:1" x14ac:dyDescent="0.3">
      <c r="A11716" t="s">
        <v>118</v>
      </c>
    </row>
    <row r="11717" spans="1:1" x14ac:dyDescent="0.3">
      <c r="A11717" t="s">
        <v>119</v>
      </c>
    </row>
    <row r="11718" spans="1:1" x14ac:dyDescent="0.3">
      <c r="A11718" t="s">
        <v>120</v>
      </c>
    </row>
    <row r="11719" spans="1:1" x14ac:dyDescent="0.3">
      <c r="A11719" t="s">
        <v>121</v>
      </c>
    </row>
    <row r="11720" spans="1:1" x14ac:dyDescent="0.3">
      <c r="A11720" t="s">
        <v>122</v>
      </c>
    </row>
    <row r="11721" spans="1:1" x14ac:dyDescent="0.3">
      <c r="A11721" t="s">
        <v>123</v>
      </c>
    </row>
    <row r="11722" spans="1:1" x14ac:dyDescent="0.3">
      <c r="A11722" t="s">
        <v>124</v>
      </c>
    </row>
    <row r="11723" spans="1:1" x14ac:dyDescent="0.3">
      <c r="A11723" t="s">
        <v>125</v>
      </c>
    </row>
    <row r="11724" spans="1:1" x14ac:dyDescent="0.3">
      <c r="A11724" t="s">
        <v>126</v>
      </c>
    </row>
    <row r="11725" spans="1:1" x14ac:dyDescent="0.3">
      <c r="A11725" t="s">
        <v>127</v>
      </c>
    </row>
    <row r="11726" spans="1:1" x14ac:dyDescent="0.3">
      <c r="A11726" t="s">
        <v>185</v>
      </c>
    </row>
    <row r="11727" spans="1:1" x14ac:dyDescent="0.3">
      <c r="A11727" t="s">
        <v>115</v>
      </c>
    </row>
    <row r="11728" spans="1:1" x14ac:dyDescent="0.3">
      <c r="A11728" t="s">
        <v>266</v>
      </c>
    </row>
    <row r="11729" spans="1:11" x14ac:dyDescent="0.3">
      <c r="A11729" t="s">
        <v>267</v>
      </c>
    </row>
    <row r="11730" spans="1:11" x14ac:dyDescent="0.3">
      <c r="A11730" t="s">
        <v>118</v>
      </c>
    </row>
    <row r="11731" spans="1:11" x14ac:dyDescent="0.3">
      <c r="A11731" t="s">
        <v>119</v>
      </c>
    </row>
    <row r="11732" spans="1:11" x14ac:dyDescent="0.3">
      <c r="A11732" t="s">
        <v>268</v>
      </c>
    </row>
    <row r="11733" spans="1:11" x14ac:dyDescent="0.3">
      <c r="A11733" t="s">
        <v>269</v>
      </c>
    </row>
    <row r="11734" spans="1:11" x14ac:dyDescent="0.3">
      <c r="A11734" t="s">
        <v>122</v>
      </c>
    </row>
    <row r="11735" spans="1:11" x14ac:dyDescent="0.3">
      <c r="A11735" t="s">
        <v>270</v>
      </c>
    </row>
    <row r="11736" spans="1:11" x14ac:dyDescent="0.3">
      <c r="A11736" t="s">
        <v>271</v>
      </c>
    </row>
    <row r="11737" spans="1:11" x14ac:dyDescent="0.3">
      <c r="A11737" t="s">
        <v>125</v>
      </c>
    </row>
    <row r="11738" spans="1:11" x14ac:dyDescent="0.3">
      <c r="A11738" t="s">
        <v>126</v>
      </c>
    </row>
    <row r="11739" spans="1:11" x14ac:dyDescent="0.3">
      <c r="A11739" t="s">
        <v>127</v>
      </c>
    </row>
    <row r="11740" spans="1:11" x14ac:dyDescent="0.3">
      <c r="A11740" t="s">
        <v>185</v>
      </c>
    </row>
    <row r="11741" spans="1:11" x14ac:dyDescent="0.3">
      <c r="A11741" t="s">
        <v>539</v>
      </c>
    </row>
    <row r="11742" spans="1:11" x14ac:dyDescent="0.3">
      <c r="A11742" t="s">
        <v>496</v>
      </c>
      <c r="B11742" t="s">
        <v>72</v>
      </c>
      <c r="C11742">
        <v>1</v>
      </c>
      <c r="D11742" t="s">
        <v>79</v>
      </c>
      <c r="E11742">
        <v>0.40376099999999998</v>
      </c>
      <c r="F11742" t="s">
        <v>74</v>
      </c>
      <c r="G11742">
        <v>403.76139000000001</v>
      </c>
      <c r="H11742" t="s">
        <v>75</v>
      </c>
      <c r="I11742">
        <v>403761.38699999999</v>
      </c>
      <c r="J11742" t="s">
        <v>76</v>
      </c>
      <c r="K11742" t="s">
        <v>77</v>
      </c>
    </row>
    <row r="11743" spans="1:11" x14ac:dyDescent="0.3">
      <c r="A11743" t="s">
        <v>496</v>
      </c>
      <c r="B11743" t="s">
        <v>72</v>
      </c>
      <c r="C11743">
        <v>1</v>
      </c>
      <c r="D11743" t="s">
        <v>94</v>
      </c>
      <c r="E11743">
        <v>3.0669999999999998E-3</v>
      </c>
      <c r="F11743" t="s">
        <v>74</v>
      </c>
      <c r="G11743">
        <v>3.0674000000000001</v>
      </c>
      <c r="H11743" t="s">
        <v>75</v>
      </c>
      <c r="I11743">
        <v>3067.4</v>
      </c>
      <c r="J11743" t="s">
        <v>76</v>
      </c>
      <c r="K11743" t="s">
        <v>77</v>
      </c>
    </row>
    <row r="11744" spans="1:11" x14ac:dyDescent="0.3">
      <c r="A11744" t="s">
        <v>496</v>
      </c>
      <c r="B11744" t="s">
        <v>72</v>
      </c>
      <c r="C11744">
        <v>1</v>
      </c>
      <c r="D11744" t="s">
        <v>80</v>
      </c>
      <c r="E11744">
        <v>3.068E-3</v>
      </c>
      <c r="F11744" t="s">
        <v>74</v>
      </c>
      <c r="G11744">
        <v>3.0682</v>
      </c>
      <c r="H11744" t="s">
        <v>75</v>
      </c>
      <c r="I11744">
        <v>3068.2</v>
      </c>
      <c r="J11744" t="s">
        <v>76</v>
      </c>
      <c r="K11744" t="s">
        <v>77</v>
      </c>
    </row>
    <row r="11745" spans="1:12" x14ac:dyDescent="0.3">
      <c r="A11745" t="s">
        <v>496</v>
      </c>
      <c r="B11745" t="s">
        <v>72</v>
      </c>
      <c r="C11745">
        <v>1</v>
      </c>
      <c r="D11745" t="s">
        <v>81</v>
      </c>
      <c r="E11745">
        <v>0.40683000000000002</v>
      </c>
      <c r="F11745" t="s">
        <v>74</v>
      </c>
      <c r="G11745">
        <v>406.83001000000002</v>
      </c>
      <c r="H11745" t="s">
        <v>75</v>
      </c>
      <c r="I11745">
        <v>406830.01299999998</v>
      </c>
      <c r="J11745" t="s">
        <v>76</v>
      </c>
      <c r="K11745" t="s">
        <v>82</v>
      </c>
      <c r="L11745">
        <v>2.4580291000000001</v>
      </c>
    </row>
    <row r="11746" spans="1:12" x14ac:dyDescent="0.3">
      <c r="A11746" t="s">
        <v>496</v>
      </c>
      <c r="B11746" t="s">
        <v>83</v>
      </c>
      <c r="C11746">
        <v>604</v>
      </c>
      <c r="D11746" t="s">
        <v>79</v>
      </c>
      <c r="E11746">
        <v>2.545E-3</v>
      </c>
      <c r="F11746" t="s">
        <v>74</v>
      </c>
      <c r="G11746">
        <v>2.5448200000000001</v>
      </c>
      <c r="H11746" t="s">
        <v>75</v>
      </c>
      <c r="I11746">
        <v>2544.819</v>
      </c>
      <c r="J11746" t="s">
        <v>76</v>
      </c>
      <c r="K11746" t="s">
        <v>77</v>
      </c>
    </row>
    <row r="11747" spans="1:12" x14ac:dyDescent="0.3">
      <c r="A11747" t="s">
        <v>496</v>
      </c>
      <c r="B11747" t="s">
        <v>83</v>
      </c>
      <c r="C11747">
        <v>604</v>
      </c>
      <c r="D11747" t="s">
        <v>94</v>
      </c>
      <c r="E11747">
        <v>3.9810000000000002E-3</v>
      </c>
      <c r="F11747" t="s">
        <v>74</v>
      </c>
      <c r="G11747">
        <v>3.9807700000000001</v>
      </c>
      <c r="H11747" t="s">
        <v>75</v>
      </c>
      <c r="I11747">
        <v>3980.7719999999999</v>
      </c>
      <c r="J11747" t="s">
        <v>76</v>
      </c>
      <c r="K11747" t="s">
        <v>77</v>
      </c>
    </row>
    <row r="11748" spans="1:12" x14ac:dyDescent="0.3">
      <c r="A11748" t="s">
        <v>496</v>
      </c>
      <c r="B11748" t="s">
        <v>83</v>
      </c>
      <c r="C11748">
        <v>604</v>
      </c>
      <c r="D11748" t="s">
        <v>80</v>
      </c>
      <c r="E11748">
        <v>4.1580000000000002E-3</v>
      </c>
      <c r="F11748" t="s">
        <v>74</v>
      </c>
      <c r="G11748">
        <v>4.1579199999999998</v>
      </c>
      <c r="H11748" t="s">
        <v>75</v>
      </c>
      <c r="I11748">
        <v>4157.9189999999999</v>
      </c>
      <c r="J11748" t="s">
        <v>76</v>
      </c>
      <c r="K11748" t="s">
        <v>77</v>
      </c>
    </row>
    <row r="11749" spans="1:12" x14ac:dyDescent="0.3">
      <c r="A11749" t="s">
        <v>496</v>
      </c>
      <c r="B11749" t="s">
        <v>83</v>
      </c>
      <c r="C11749">
        <v>604</v>
      </c>
      <c r="D11749" t="s">
        <v>81</v>
      </c>
      <c r="E11749">
        <v>6.7029999999999998E-3</v>
      </c>
      <c r="F11749" t="s">
        <v>74</v>
      </c>
      <c r="G11749">
        <v>6.7030700000000003</v>
      </c>
      <c r="H11749" t="s">
        <v>75</v>
      </c>
      <c r="I11749">
        <v>6703.0720000000001</v>
      </c>
      <c r="J11749" t="s">
        <v>76</v>
      </c>
      <c r="K11749" t="s">
        <v>82</v>
      </c>
      <c r="L11749">
        <v>149.1853279</v>
      </c>
    </row>
    <row r="11750" spans="1:12" x14ac:dyDescent="0.3">
      <c r="A11750" t="s">
        <v>496</v>
      </c>
      <c r="B11750" t="s">
        <v>84</v>
      </c>
      <c r="C11750">
        <v>605</v>
      </c>
      <c r="D11750" t="s">
        <v>79</v>
      </c>
      <c r="E11750">
        <v>3.2079999999999999E-3</v>
      </c>
      <c r="F11750" t="s">
        <v>74</v>
      </c>
      <c r="G11750">
        <v>3.2079900000000001</v>
      </c>
      <c r="H11750" t="s">
        <v>75</v>
      </c>
      <c r="I11750">
        <v>3207.9870000000001</v>
      </c>
      <c r="J11750" t="s">
        <v>76</v>
      </c>
      <c r="K11750" t="s">
        <v>77</v>
      </c>
    </row>
    <row r="11751" spans="1:12" x14ac:dyDescent="0.3">
      <c r="A11751" t="s">
        <v>496</v>
      </c>
      <c r="B11751" t="s">
        <v>84</v>
      </c>
      <c r="C11751">
        <v>605</v>
      </c>
      <c r="D11751" t="s">
        <v>94</v>
      </c>
      <c r="E11751">
        <v>3.9789999999999999E-3</v>
      </c>
      <c r="F11751" t="s">
        <v>74</v>
      </c>
      <c r="G11751">
        <v>3.97926</v>
      </c>
      <c r="H11751" t="s">
        <v>75</v>
      </c>
      <c r="I11751">
        <v>3979.2620000000002</v>
      </c>
      <c r="J11751" t="s">
        <v>76</v>
      </c>
      <c r="K11751" t="s">
        <v>77</v>
      </c>
    </row>
    <row r="11752" spans="1:12" x14ac:dyDescent="0.3">
      <c r="A11752" t="s">
        <v>496</v>
      </c>
      <c r="B11752" t="s">
        <v>84</v>
      </c>
      <c r="C11752">
        <v>605</v>
      </c>
      <c r="D11752" t="s">
        <v>80</v>
      </c>
      <c r="E11752">
        <v>4.156E-3</v>
      </c>
      <c r="F11752" t="s">
        <v>74</v>
      </c>
      <c r="G11752">
        <v>4.1561199999999996</v>
      </c>
      <c r="H11752" t="s">
        <v>75</v>
      </c>
      <c r="I11752">
        <v>4156.1180000000004</v>
      </c>
      <c r="J11752" t="s">
        <v>76</v>
      </c>
      <c r="K11752" t="s">
        <v>77</v>
      </c>
    </row>
    <row r="11753" spans="1:12" x14ac:dyDescent="0.3">
      <c r="A11753" t="s">
        <v>496</v>
      </c>
      <c r="B11753" t="s">
        <v>84</v>
      </c>
      <c r="C11753">
        <v>605</v>
      </c>
      <c r="D11753" t="s">
        <v>81</v>
      </c>
      <c r="E11753">
        <v>7.3639999999999999E-3</v>
      </c>
      <c r="F11753" t="s">
        <v>74</v>
      </c>
      <c r="G11753">
        <v>7.3644400000000001</v>
      </c>
      <c r="H11753" t="s">
        <v>75</v>
      </c>
      <c r="I11753">
        <v>7364.4380000000001</v>
      </c>
      <c r="J11753" t="s">
        <v>76</v>
      </c>
      <c r="K11753" t="s">
        <v>82</v>
      </c>
      <c r="L11753">
        <v>135.7876905</v>
      </c>
    </row>
    <row r="11754" spans="1:12" x14ac:dyDescent="0.3">
      <c r="A11754" t="s">
        <v>497</v>
      </c>
      <c r="B11754" t="s">
        <v>72</v>
      </c>
      <c r="C11754">
        <v>1</v>
      </c>
      <c r="D11754" t="s">
        <v>79</v>
      </c>
      <c r="E11754">
        <v>0.141071</v>
      </c>
      <c r="F11754" t="s">
        <v>74</v>
      </c>
      <c r="G11754">
        <v>141.07130000000001</v>
      </c>
      <c r="H11754" t="s">
        <v>75</v>
      </c>
      <c r="I11754">
        <v>141071.30499999999</v>
      </c>
      <c r="J11754" t="s">
        <v>76</v>
      </c>
      <c r="K11754" t="s">
        <v>77</v>
      </c>
    </row>
    <row r="11755" spans="1:12" x14ac:dyDescent="0.3">
      <c r="A11755" t="s">
        <v>497</v>
      </c>
      <c r="B11755" t="s">
        <v>72</v>
      </c>
      <c r="C11755">
        <v>1</v>
      </c>
      <c r="D11755" t="s">
        <v>94</v>
      </c>
      <c r="E11755">
        <v>1.0033E-2</v>
      </c>
      <c r="F11755" t="s">
        <v>74</v>
      </c>
      <c r="G11755">
        <v>10.033300000000001</v>
      </c>
      <c r="H11755" t="s">
        <v>75</v>
      </c>
      <c r="I11755">
        <v>10033.299999999999</v>
      </c>
      <c r="J11755" t="s">
        <v>76</v>
      </c>
      <c r="K11755" t="s">
        <v>77</v>
      </c>
    </row>
    <row r="11756" spans="1:12" x14ac:dyDescent="0.3">
      <c r="A11756" t="s">
        <v>497</v>
      </c>
      <c r="B11756" t="s">
        <v>72</v>
      </c>
      <c r="C11756">
        <v>1</v>
      </c>
      <c r="D11756" t="s">
        <v>80</v>
      </c>
      <c r="E11756">
        <v>1.0034E-2</v>
      </c>
      <c r="F11756" t="s">
        <v>74</v>
      </c>
      <c r="G11756">
        <v>10.0343</v>
      </c>
      <c r="H11756" t="s">
        <v>75</v>
      </c>
      <c r="I11756">
        <v>10034.299999999999</v>
      </c>
      <c r="J11756" t="s">
        <v>76</v>
      </c>
      <c r="K11756" t="s">
        <v>77</v>
      </c>
    </row>
    <row r="11757" spans="1:12" x14ac:dyDescent="0.3">
      <c r="A11757" t="s">
        <v>497</v>
      </c>
      <c r="B11757" t="s">
        <v>72</v>
      </c>
      <c r="C11757">
        <v>1</v>
      </c>
      <c r="D11757" t="s">
        <v>81</v>
      </c>
      <c r="E11757">
        <v>0.15110599999999999</v>
      </c>
      <c r="F11757" t="s">
        <v>74</v>
      </c>
      <c r="G11757">
        <v>151.10619</v>
      </c>
      <c r="H11757" t="s">
        <v>75</v>
      </c>
      <c r="I11757">
        <v>151106.19399999999</v>
      </c>
      <c r="J11757" t="s">
        <v>76</v>
      </c>
      <c r="K11757" t="s">
        <v>82</v>
      </c>
      <c r="L11757">
        <v>6.6178623999999999</v>
      </c>
    </row>
    <row r="11758" spans="1:12" x14ac:dyDescent="0.3">
      <c r="A11758" t="s">
        <v>497</v>
      </c>
      <c r="B11758" t="s">
        <v>83</v>
      </c>
      <c r="C11758">
        <v>395</v>
      </c>
      <c r="D11758" t="s">
        <v>79</v>
      </c>
      <c r="E11758">
        <v>2.3310000000000002E-3</v>
      </c>
      <c r="F11758" t="s">
        <v>74</v>
      </c>
      <c r="G11758">
        <v>2.3313600000000001</v>
      </c>
      <c r="H11758" t="s">
        <v>75</v>
      </c>
      <c r="I11758">
        <v>2331.3589999999999</v>
      </c>
      <c r="J11758" t="s">
        <v>76</v>
      </c>
      <c r="K11758" t="s">
        <v>77</v>
      </c>
    </row>
    <row r="11759" spans="1:12" x14ac:dyDescent="0.3">
      <c r="A11759" t="s">
        <v>497</v>
      </c>
      <c r="B11759" t="s">
        <v>83</v>
      </c>
      <c r="C11759">
        <v>395</v>
      </c>
      <c r="D11759" t="s">
        <v>94</v>
      </c>
      <c r="E11759">
        <v>8.3250000000000008E-3</v>
      </c>
      <c r="F11759" t="s">
        <v>74</v>
      </c>
      <c r="G11759">
        <v>8.3246300000000009</v>
      </c>
      <c r="H11759" t="s">
        <v>75</v>
      </c>
      <c r="I11759">
        <v>8324.6299999999992</v>
      </c>
      <c r="J11759" t="s">
        <v>76</v>
      </c>
      <c r="K11759" t="s">
        <v>77</v>
      </c>
    </row>
    <row r="11760" spans="1:12" x14ac:dyDescent="0.3">
      <c r="A11760" t="s">
        <v>497</v>
      </c>
      <c r="B11760" t="s">
        <v>83</v>
      </c>
      <c r="C11760">
        <v>395</v>
      </c>
      <c r="D11760" t="s">
        <v>80</v>
      </c>
      <c r="E11760">
        <v>8.5109999999999995E-3</v>
      </c>
      <c r="F11760" t="s">
        <v>74</v>
      </c>
      <c r="G11760">
        <v>8.5109499999999993</v>
      </c>
      <c r="H11760" t="s">
        <v>75</v>
      </c>
      <c r="I11760">
        <v>8510.9519999999993</v>
      </c>
      <c r="J11760" t="s">
        <v>76</v>
      </c>
      <c r="K11760" t="s">
        <v>77</v>
      </c>
    </row>
    <row r="11761" spans="1:12" x14ac:dyDescent="0.3">
      <c r="A11761" t="s">
        <v>497</v>
      </c>
      <c r="B11761" t="s">
        <v>83</v>
      </c>
      <c r="C11761">
        <v>395</v>
      </c>
      <c r="D11761" t="s">
        <v>81</v>
      </c>
      <c r="E11761">
        <v>1.0843E-2</v>
      </c>
      <c r="F11761" t="s">
        <v>74</v>
      </c>
      <c r="G11761">
        <v>10.842650000000001</v>
      </c>
      <c r="H11761" t="s">
        <v>75</v>
      </c>
      <c r="I11761">
        <v>10842.648999999999</v>
      </c>
      <c r="J11761" t="s">
        <v>76</v>
      </c>
      <c r="K11761" t="s">
        <v>82</v>
      </c>
      <c r="L11761">
        <v>92.228382300000007</v>
      </c>
    </row>
    <row r="11762" spans="1:12" x14ac:dyDescent="0.3">
      <c r="A11762" t="s">
        <v>497</v>
      </c>
      <c r="B11762" t="s">
        <v>84</v>
      </c>
      <c r="C11762">
        <v>396</v>
      </c>
      <c r="D11762" t="s">
        <v>79</v>
      </c>
      <c r="E11762">
        <v>2.6819999999999999E-3</v>
      </c>
      <c r="F11762" t="s">
        <v>74</v>
      </c>
      <c r="G11762">
        <v>2.6817099999999998</v>
      </c>
      <c r="H11762" t="s">
        <v>75</v>
      </c>
      <c r="I11762">
        <v>2681.7139999999999</v>
      </c>
      <c r="J11762" t="s">
        <v>76</v>
      </c>
      <c r="K11762" t="s">
        <v>77</v>
      </c>
    </row>
    <row r="11763" spans="1:12" x14ac:dyDescent="0.3">
      <c r="A11763" t="s">
        <v>497</v>
      </c>
      <c r="B11763" t="s">
        <v>84</v>
      </c>
      <c r="C11763">
        <v>396</v>
      </c>
      <c r="D11763" t="s">
        <v>94</v>
      </c>
      <c r="E11763">
        <v>8.3289999999999996E-3</v>
      </c>
      <c r="F11763" t="s">
        <v>74</v>
      </c>
      <c r="G11763">
        <v>8.3289399999999993</v>
      </c>
      <c r="H11763" t="s">
        <v>75</v>
      </c>
      <c r="I11763">
        <v>8328.9449999999997</v>
      </c>
      <c r="J11763" t="s">
        <v>76</v>
      </c>
      <c r="K11763" t="s">
        <v>77</v>
      </c>
    </row>
    <row r="11764" spans="1:12" x14ac:dyDescent="0.3">
      <c r="A11764" t="s">
        <v>497</v>
      </c>
      <c r="B11764" t="s">
        <v>84</v>
      </c>
      <c r="C11764">
        <v>396</v>
      </c>
      <c r="D11764" t="s">
        <v>80</v>
      </c>
      <c r="E11764">
        <v>8.515E-3</v>
      </c>
      <c r="F11764" t="s">
        <v>74</v>
      </c>
      <c r="G11764">
        <v>8.5147999999999993</v>
      </c>
      <c r="H11764" t="s">
        <v>75</v>
      </c>
      <c r="I11764">
        <v>8514.7990000000009</v>
      </c>
      <c r="J11764" t="s">
        <v>76</v>
      </c>
      <c r="K11764" t="s">
        <v>77</v>
      </c>
    </row>
    <row r="11765" spans="1:12" x14ac:dyDescent="0.3">
      <c r="A11765" t="s">
        <v>497</v>
      </c>
      <c r="B11765" t="s">
        <v>84</v>
      </c>
      <c r="C11765">
        <v>396</v>
      </c>
      <c r="D11765" t="s">
        <v>81</v>
      </c>
      <c r="E11765">
        <v>1.1197E-2</v>
      </c>
      <c r="F11765" t="s">
        <v>74</v>
      </c>
      <c r="G11765">
        <v>11.19685</v>
      </c>
      <c r="H11765" t="s">
        <v>75</v>
      </c>
      <c r="I11765">
        <v>11196.851000000001</v>
      </c>
      <c r="J11765" t="s">
        <v>76</v>
      </c>
      <c r="K11765" t="s">
        <v>82</v>
      </c>
      <c r="L11765">
        <v>89.310828799999996</v>
      </c>
    </row>
    <row r="11766" spans="1:12" x14ac:dyDescent="0.3">
      <c r="A11766" t="s">
        <v>498</v>
      </c>
      <c r="B11766" t="s">
        <v>72</v>
      </c>
      <c r="C11766">
        <v>1</v>
      </c>
      <c r="D11766" t="s">
        <v>73</v>
      </c>
      <c r="E11766">
        <v>5.1E-5</v>
      </c>
      <c r="F11766" t="s">
        <v>74</v>
      </c>
      <c r="G11766">
        <v>5.1200000000000002E-2</v>
      </c>
      <c r="H11766" t="s">
        <v>75</v>
      </c>
      <c r="I11766">
        <v>51.2</v>
      </c>
      <c r="J11766" t="s">
        <v>76</v>
      </c>
      <c r="K11766" t="s">
        <v>77</v>
      </c>
    </row>
    <row r="11767" spans="1:12" x14ac:dyDescent="0.3">
      <c r="A11767" t="s">
        <v>498</v>
      </c>
      <c r="B11767" t="s">
        <v>72</v>
      </c>
      <c r="C11767">
        <v>1</v>
      </c>
      <c r="D11767" t="s">
        <v>78</v>
      </c>
      <c r="E11767">
        <v>0.147562</v>
      </c>
      <c r="F11767" t="s">
        <v>74</v>
      </c>
      <c r="G11767">
        <v>147.56229999999999</v>
      </c>
      <c r="H11767" t="s">
        <v>75</v>
      </c>
      <c r="I11767">
        <v>147562.29500000001</v>
      </c>
      <c r="J11767" t="s">
        <v>76</v>
      </c>
      <c r="K11767" t="s">
        <v>77</v>
      </c>
    </row>
    <row r="11768" spans="1:12" x14ac:dyDescent="0.3">
      <c r="A11768" t="s">
        <v>498</v>
      </c>
      <c r="B11768" t="s">
        <v>72</v>
      </c>
      <c r="C11768">
        <v>2</v>
      </c>
      <c r="D11768" t="s">
        <v>86</v>
      </c>
      <c r="E11768">
        <v>0.20343900000000001</v>
      </c>
      <c r="F11768" t="s">
        <v>74</v>
      </c>
      <c r="G11768">
        <v>203.43879999999999</v>
      </c>
      <c r="H11768" t="s">
        <v>75</v>
      </c>
      <c r="I11768">
        <v>203438.804</v>
      </c>
      <c r="J11768" t="s">
        <v>76</v>
      </c>
      <c r="K11768" t="s">
        <v>82</v>
      </c>
      <c r="L11768">
        <v>4.9154831000000003</v>
      </c>
    </row>
    <row r="11769" spans="1:12" x14ac:dyDescent="0.3">
      <c r="A11769" t="s">
        <v>498</v>
      </c>
      <c r="B11769" t="s">
        <v>83</v>
      </c>
      <c r="C11769">
        <v>999</v>
      </c>
      <c r="D11769" t="s">
        <v>86</v>
      </c>
      <c r="E11769">
        <v>4.3189999999999999E-3</v>
      </c>
      <c r="F11769" t="s">
        <v>74</v>
      </c>
      <c r="G11769">
        <v>4.3193400000000004</v>
      </c>
      <c r="H11769" t="s">
        <v>75</v>
      </c>
      <c r="I11769">
        <v>4319.34</v>
      </c>
      <c r="J11769" t="s">
        <v>76</v>
      </c>
      <c r="K11769" t="s">
        <v>82</v>
      </c>
      <c r="L11769">
        <v>231.51685739999999</v>
      </c>
    </row>
    <row r="11770" spans="1:12" x14ac:dyDescent="0.3">
      <c r="A11770" t="s">
        <v>498</v>
      </c>
      <c r="B11770" t="s">
        <v>85</v>
      </c>
      <c r="C11770">
        <v>1001</v>
      </c>
      <c r="D11770" t="s">
        <v>86</v>
      </c>
      <c r="E11770">
        <v>4.4669999999999996E-3</v>
      </c>
      <c r="F11770" t="s">
        <v>74</v>
      </c>
      <c r="G11770">
        <v>4.4670800000000002</v>
      </c>
      <c r="H11770" t="s">
        <v>75</v>
      </c>
      <c r="I11770">
        <v>4467.08</v>
      </c>
      <c r="J11770" t="s">
        <v>76</v>
      </c>
      <c r="K11770" t="s">
        <v>82</v>
      </c>
      <c r="L11770">
        <v>223.85990319999999</v>
      </c>
    </row>
    <row r="11771" spans="1:12" x14ac:dyDescent="0.3">
      <c r="A11771" t="s">
        <v>187</v>
      </c>
    </row>
    <row r="11772" spans="1:12" x14ac:dyDescent="0.3">
      <c r="A11772" t="s">
        <v>187</v>
      </c>
    </row>
    <row r="11773" spans="1:12" x14ac:dyDescent="0.3">
      <c r="A11773" t="s">
        <v>540</v>
      </c>
    </row>
    <row r="11774" spans="1:12" x14ac:dyDescent="0.3">
      <c r="A11774" t="s">
        <v>496</v>
      </c>
      <c r="B11774" t="s">
        <v>72</v>
      </c>
      <c r="C11774">
        <v>1</v>
      </c>
      <c r="D11774" t="s">
        <v>79</v>
      </c>
      <c r="E11774">
        <v>6.7590000000000003E-3</v>
      </c>
      <c r="F11774" t="s">
        <v>74</v>
      </c>
      <c r="G11774">
        <v>6.7594000000000003</v>
      </c>
      <c r="H11774" t="s">
        <v>75</v>
      </c>
      <c r="I11774">
        <v>6759.4</v>
      </c>
      <c r="J11774" t="s">
        <v>76</v>
      </c>
      <c r="K11774" t="s">
        <v>77</v>
      </c>
    </row>
    <row r="11775" spans="1:12" x14ac:dyDescent="0.3">
      <c r="A11775" t="s">
        <v>496</v>
      </c>
      <c r="B11775" t="s">
        <v>72</v>
      </c>
      <c r="C11775">
        <v>1</v>
      </c>
      <c r="D11775" t="s">
        <v>94</v>
      </c>
      <c r="E11775">
        <v>1.78E-2</v>
      </c>
      <c r="F11775" t="s">
        <v>74</v>
      </c>
      <c r="G11775">
        <v>17.799900000000001</v>
      </c>
      <c r="H11775" t="s">
        <v>75</v>
      </c>
      <c r="I11775">
        <v>17799.901000000002</v>
      </c>
      <c r="J11775" t="s">
        <v>76</v>
      </c>
      <c r="K11775" t="s">
        <v>77</v>
      </c>
    </row>
    <row r="11776" spans="1:12" x14ac:dyDescent="0.3">
      <c r="A11776" t="s">
        <v>496</v>
      </c>
      <c r="B11776" t="s">
        <v>72</v>
      </c>
      <c r="C11776">
        <v>1</v>
      </c>
      <c r="D11776" t="s">
        <v>80</v>
      </c>
      <c r="E11776">
        <v>1.7982999999999999E-2</v>
      </c>
      <c r="F11776" t="s">
        <v>74</v>
      </c>
      <c r="G11776">
        <v>17.982600000000001</v>
      </c>
      <c r="H11776" t="s">
        <v>75</v>
      </c>
      <c r="I11776">
        <v>17982.599999999999</v>
      </c>
      <c r="J11776" t="s">
        <v>76</v>
      </c>
      <c r="K11776" t="s">
        <v>77</v>
      </c>
    </row>
    <row r="11777" spans="1:12" x14ac:dyDescent="0.3">
      <c r="A11777" t="s">
        <v>496</v>
      </c>
      <c r="B11777" t="s">
        <v>72</v>
      </c>
      <c r="C11777">
        <v>1</v>
      </c>
      <c r="D11777" t="s">
        <v>81</v>
      </c>
      <c r="E11777">
        <v>2.4743000000000001E-2</v>
      </c>
      <c r="F11777" t="s">
        <v>74</v>
      </c>
      <c r="G11777">
        <v>24.7425</v>
      </c>
      <c r="H11777" t="s">
        <v>75</v>
      </c>
      <c r="I11777">
        <v>24742.501</v>
      </c>
      <c r="J11777" t="s">
        <v>76</v>
      </c>
      <c r="K11777" t="s">
        <v>82</v>
      </c>
      <c r="L11777">
        <v>40.416286399999997</v>
      </c>
    </row>
    <row r="11778" spans="1:12" x14ac:dyDescent="0.3">
      <c r="A11778" t="s">
        <v>496</v>
      </c>
      <c r="B11778" t="s">
        <v>83</v>
      </c>
      <c r="C11778">
        <v>608</v>
      </c>
      <c r="D11778" t="s">
        <v>79</v>
      </c>
      <c r="E11778">
        <v>2.709E-3</v>
      </c>
      <c r="F11778" t="s">
        <v>74</v>
      </c>
      <c r="G11778">
        <v>2.70851</v>
      </c>
      <c r="H11778" t="s">
        <v>75</v>
      </c>
      <c r="I11778">
        <v>2708.5120000000002</v>
      </c>
      <c r="J11778" t="s">
        <v>76</v>
      </c>
      <c r="K11778" t="s">
        <v>77</v>
      </c>
    </row>
    <row r="11779" spans="1:12" x14ac:dyDescent="0.3">
      <c r="A11779" t="s">
        <v>496</v>
      </c>
      <c r="B11779" t="s">
        <v>83</v>
      </c>
      <c r="C11779">
        <v>608</v>
      </c>
      <c r="D11779" t="s">
        <v>94</v>
      </c>
      <c r="E11779">
        <v>4.4330000000000003E-3</v>
      </c>
      <c r="F11779" t="s">
        <v>74</v>
      </c>
      <c r="G11779">
        <v>4.4333499999999999</v>
      </c>
      <c r="H11779" t="s">
        <v>75</v>
      </c>
      <c r="I11779">
        <v>4433.3500000000004</v>
      </c>
      <c r="J11779" t="s">
        <v>76</v>
      </c>
      <c r="K11779" t="s">
        <v>77</v>
      </c>
    </row>
    <row r="11780" spans="1:12" x14ac:dyDescent="0.3">
      <c r="A11780" t="s">
        <v>496</v>
      </c>
      <c r="B11780" t="s">
        <v>83</v>
      </c>
      <c r="C11780">
        <v>608</v>
      </c>
      <c r="D11780" t="s">
        <v>80</v>
      </c>
      <c r="E11780">
        <v>4.6169999999999996E-3</v>
      </c>
      <c r="F11780" t="s">
        <v>74</v>
      </c>
      <c r="G11780">
        <v>4.6174600000000003</v>
      </c>
      <c r="H11780" t="s">
        <v>75</v>
      </c>
      <c r="I11780">
        <v>4617.4589999999998</v>
      </c>
      <c r="J11780" t="s">
        <v>76</v>
      </c>
      <c r="K11780" t="s">
        <v>77</v>
      </c>
    </row>
    <row r="11781" spans="1:12" x14ac:dyDescent="0.3">
      <c r="A11781" t="s">
        <v>496</v>
      </c>
      <c r="B11781" t="s">
        <v>83</v>
      </c>
      <c r="C11781">
        <v>608</v>
      </c>
      <c r="D11781" t="s">
        <v>81</v>
      </c>
      <c r="E11781">
        <v>7.326E-3</v>
      </c>
      <c r="F11781" t="s">
        <v>74</v>
      </c>
      <c r="G11781">
        <v>7.3262600000000004</v>
      </c>
      <c r="H11781" t="s">
        <v>75</v>
      </c>
      <c r="I11781">
        <v>7326.2579999999998</v>
      </c>
      <c r="J11781" t="s">
        <v>76</v>
      </c>
      <c r="K11781" t="s">
        <v>82</v>
      </c>
      <c r="L11781">
        <v>136.49533220000001</v>
      </c>
    </row>
    <row r="11782" spans="1:12" x14ac:dyDescent="0.3">
      <c r="A11782" t="s">
        <v>496</v>
      </c>
      <c r="B11782" t="s">
        <v>84</v>
      </c>
      <c r="C11782">
        <v>609</v>
      </c>
      <c r="D11782" t="s">
        <v>79</v>
      </c>
      <c r="E11782">
        <v>2.715E-3</v>
      </c>
      <c r="F11782" t="s">
        <v>74</v>
      </c>
      <c r="G11782">
        <v>2.71516</v>
      </c>
      <c r="H11782" t="s">
        <v>75</v>
      </c>
      <c r="I11782">
        <v>2715.163</v>
      </c>
      <c r="J11782" t="s">
        <v>76</v>
      </c>
      <c r="K11782" t="s">
        <v>77</v>
      </c>
    </row>
    <row r="11783" spans="1:12" x14ac:dyDescent="0.3">
      <c r="A11783" t="s">
        <v>496</v>
      </c>
      <c r="B11783" t="s">
        <v>84</v>
      </c>
      <c r="C11783">
        <v>609</v>
      </c>
      <c r="D11783" t="s">
        <v>94</v>
      </c>
      <c r="E11783">
        <v>4.4549999999999998E-3</v>
      </c>
      <c r="F11783" t="s">
        <v>74</v>
      </c>
      <c r="G11783">
        <v>4.4553000000000003</v>
      </c>
      <c r="H11783" t="s">
        <v>75</v>
      </c>
      <c r="I11783">
        <v>4455.2979999999998</v>
      </c>
      <c r="J11783" t="s">
        <v>76</v>
      </c>
      <c r="K11783" t="s">
        <v>77</v>
      </c>
    </row>
    <row r="11784" spans="1:12" x14ac:dyDescent="0.3">
      <c r="A11784" t="s">
        <v>496</v>
      </c>
      <c r="B11784" t="s">
        <v>84</v>
      </c>
      <c r="C11784">
        <v>609</v>
      </c>
      <c r="D11784" t="s">
        <v>80</v>
      </c>
      <c r="E11784">
        <v>4.6389999999999999E-3</v>
      </c>
      <c r="F11784" t="s">
        <v>74</v>
      </c>
      <c r="G11784">
        <v>4.6394099999999998</v>
      </c>
      <c r="H11784" t="s">
        <v>75</v>
      </c>
      <c r="I11784">
        <v>4639.4049999999997</v>
      </c>
      <c r="J11784" t="s">
        <v>76</v>
      </c>
      <c r="K11784" t="s">
        <v>77</v>
      </c>
    </row>
    <row r="11785" spans="1:12" x14ac:dyDescent="0.3">
      <c r="A11785" t="s">
        <v>496</v>
      </c>
      <c r="B11785" t="s">
        <v>84</v>
      </c>
      <c r="C11785">
        <v>609</v>
      </c>
      <c r="D11785" t="s">
        <v>81</v>
      </c>
      <c r="E11785">
        <v>7.3550000000000004E-3</v>
      </c>
      <c r="F11785" t="s">
        <v>74</v>
      </c>
      <c r="G11785">
        <v>7.3548499999999999</v>
      </c>
      <c r="H11785" t="s">
        <v>75</v>
      </c>
      <c r="I11785">
        <v>7354.8549999999996</v>
      </c>
      <c r="J11785" t="s">
        <v>76</v>
      </c>
      <c r="K11785" t="s">
        <v>82</v>
      </c>
      <c r="L11785">
        <v>135.96461930000001</v>
      </c>
    </row>
    <row r="11786" spans="1:12" x14ac:dyDescent="0.3">
      <c r="A11786" t="s">
        <v>497</v>
      </c>
      <c r="B11786" t="s">
        <v>72</v>
      </c>
      <c r="C11786">
        <v>1</v>
      </c>
      <c r="D11786" t="s">
        <v>79</v>
      </c>
      <c r="E11786">
        <v>5.7860000000000003E-3</v>
      </c>
      <c r="F11786" t="s">
        <v>74</v>
      </c>
      <c r="G11786">
        <v>5.7855999999999996</v>
      </c>
      <c r="H11786" t="s">
        <v>75</v>
      </c>
      <c r="I11786">
        <v>5785.6</v>
      </c>
      <c r="J11786" t="s">
        <v>76</v>
      </c>
      <c r="K11786" t="s">
        <v>77</v>
      </c>
    </row>
    <row r="11787" spans="1:12" x14ac:dyDescent="0.3">
      <c r="A11787" t="s">
        <v>497</v>
      </c>
      <c r="B11787" t="s">
        <v>72</v>
      </c>
      <c r="C11787">
        <v>1</v>
      </c>
      <c r="D11787" t="s">
        <v>94</v>
      </c>
      <c r="E11787">
        <v>2.8869999999999998E-3</v>
      </c>
      <c r="F11787" t="s">
        <v>74</v>
      </c>
      <c r="G11787">
        <v>2.8871000000000002</v>
      </c>
      <c r="H11787" t="s">
        <v>75</v>
      </c>
      <c r="I11787">
        <v>2887.1</v>
      </c>
      <c r="J11787" t="s">
        <v>76</v>
      </c>
      <c r="K11787" t="s">
        <v>77</v>
      </c>
    </row>
    <row r="11788" spans="1:12" x14ac:dyDescent="0.3">
      <c r="A11788" t="s">
        <v>497</v>
      </c>
      <c r="B11788" t="s">
        <v>72</v>
      </c>
      <c r="C11788">
        <v>1</v>
      </c>
      <c r="D11788" t="s">
        <v>80</v>
      </c>
      <c r="E11788">
        <v>3.0690000000000001E-3</v>
      </c>
      <c r="F11788" t="s">
        <v>74</v>
      </c>
      <c r="G11788">
        <v>3.0691999999999999</v>
      </c>
      <c r="H11788" t="s">
        <v>75</v>
      </c>
      <c r="I11788">
        <v>3069.2</v>
      </c>
      <c r="J11788" t="s">
        <v>76</v>
      </c>
      <c r="K11788" t="s">
        <v>77</v>
      </c>
    </row>
    <row r="11789" spans="1:12" x14ac:dyDescent="0.3">
      <c r="A11789" t="s">
        <v>497</v>
      </c>
      <c r="B11789" t="s">
        <v>72</v>
      </c>
      <c r="C11789">
        <v>1</v>
      </c>
      <c r="D11789" t="s">
        <v>81</v>
      </c>
      <c r="E11789">
        <v>8.855E-3</v>
      </c>
      <c r="F11789" t="s">
        <v>74</v>
      </c>
      <c r="G11789">
        <v>8.8553999999999995</v>
      </c>
      <c r="H11789" t="s">
        <v>75</v>
      </c>
      <c r="I11789">
        <v>8855.4</v>
      </c>
      <c r="J11789" t="s">
        <v>76</v>
      </c>
      <c r="K11789" t="s">
        <v>82</v>
      </c>
      <c r="L11789">
        <v>112.92545079999999</v>
      </c>
    </row>
    <row r="11790" spans="1:12" x14ac:dyDescent="0.3">
      <c r="A11790" t="s">
        <v>497</v>
      </c>
      <c r="B11790" t="s">
        <v>83</v>
      </c>
      <c r="C11790">
        <v>391</v>
      </c>
      <c r="D11790" t="s">
        <v>79</v>
      </c>
      <c r="E11790">
        <v>2.882E-3</v>
      </c>
      <c r="F11790" t="s">
        <v>74</v>
      </c>
      <c r="G11790">
        <v>2.88226</v>
      </c>
      <c r="H11790" t="s">
        <v>75</v>
      </c>
      <c r="I11790">
        <v>2882.2559999999999</v>
      </c>
      <c r="J11790" t="s">
        <v>76</v>
      </c>
      <c r="K11790" t="s">
        <v>77</v>
      </c>
    </row>
    <row r="11791" spans="1:12" x14ac:dyDescent="0.3">
      <c r="A11791" t="s">
        <v>497</v>
      </c>
      <c r="B11791" t="s">
        <v>83</v>
      </c>
      <c r="C11791">
        <v>391</v>
      </c>
      <c r="D11791" t="s">
        <v>94</v>
      </c>
      <c r="E11791">
        <v>8.3250000000000008E-3</v>
      </c>
      <c r="F11791" t="s">
        <v>74</v>
      </c>
      <c r="G11791">
        <v>8.3249099999999991</v>
      </c>
      <c r="H11791" t="s">
        <v>75</v>
      </c>
      <c r="I11791">
        <v>8324.9150000000009</v>
      </c>
      <c r="J11791" t="s">
        <v>76</v>
      </c>
      <c r="K11791" t="s">
        <v>77</v>
      </c>
    </row>
    <row r="11792" spans="1:12" x14ac:dyDescent="0.3">
      <c r="A11792" t="s">
        <v>497</v>
      </c>
      <c r="B11792" t="s">
        <v>83</v>
      </c>
      <c r="C11792">
        <v>391</v>
      </c>
      <c r="D11792" t="s">
        <v>80</v>
      </c>
      <c r="E11792">
        <v>8.5120000000000005E-3</v>
      </c>
      <c r="F11792" t="s">
        <v>74</v>
      </c>
      <c r="G11792">
        <v>8.5119500000000006</v>
      </c>
      <c r="H11792" t="s">
        <v>75</v>
      </c>
      <c r="I11792">
        <v>8511.9470000000001</v>
      </c>
      <c r="J11792" t="s">
        <v>76</v>
      </c>
      <c r="K11792" t="s">
        <v>77</v>
      </c>
    </row>
    <row r="11793" spans="1:12" x14ac:dyDescent="0.3">
      <c r="A11793" t="s">
        <v>497</v>
      </c>
      <c r="B11793" t="s">
        <v>83</v>
      </c>
      <c r="C11793">
        <v>391</v>
      </c>
      <c r="D11793" t="s">
        <v>81</v>
      </c>
      <c r="E11793">
        <v>1.1395000000000001E-2</v>
      </c>
      <c r="F11793" t="s">
        <v>74</v>
      </c>
      <c r="G11793">
        <v>11.39457</v>
      </c>
      <c r="H11793" t="s">
        <v>75</v>
      </c>
      <c r="I11793">
        <v>11394.573</v>
      </c>
      <c r="J11793" t="s">
        <v>76</v>
      </c>
      <c r="K11793" t="s">
        <v>82</v>
      </c>
      <c r="L11793">
        <v>87.761079600000002</v>
      </c>
    </row>
    <row r="11794" spans="1:12" x14ac:dyDescent="0.3">
      <c r="A11794" t="s">
        <v>497</v>
      </c>
      <c r="B11794" t="s">
        <v>84</v>
      </c>
      <c r="C11794">
        <v>392</v>
      </c>
      <c r="D11794" t="s">
        <v>79</v>
      </c>
      <c r="E11794">
        <v>2.8900000000000002E-3</v>
      </c>
      <c r="F11794" t="s">
        <v>74</v>
      </c>
      <c r="G11794">
        <v>2.8896600000000001</v>
      </c>
      <c r="H11794" t="s">
        <v>75</v>
      </c>
      <c r="I11794">
        <v>2889.6619999999998</v>
      </c>
      <c r="J11794" t="s">
        <v>76</v>
      </c>
      <c r="K11794" t="s">
        <v>77</v>
      </c>
    </row>
    <row r="11795" spans="1:12" x14ac:dyDescent="0.3">
      <c r="A11795" t="s">
        <v>497</v>
      </c>
      <c r="B11795" t="s">
        <v>84</v>
      </c>
      <c r="C11795">
        <v>392</v>
      </c>
      <c r="D11795" t="s">
        <v>94</v>
      </c>
      <c r="E11795">
        <v>8.3110000000000007E-3</v>
      </c>
      <c r="F11795" t="s">
        <v>74</v>
      </c>
      <c r="G11795">
        <v>8.3110400000000002</v>
      </c>
      <c r="H11795" t="s">
        <v>75</v>
      </c>
      <c r="I11795">
        <v>8311.0419999999995</v>
      </c>
      <c r="J11795" t="s">
        <v>76</v>
      </c>
      <c r="K11795" t="s">
        <v>77</v>
      </c>
    </row>
    <row r="11796" spans="1:12" x14ac:dyDescent="0.3">
      <c r="A11796" t="s">
        <v>497</v>
      </c>
      <c r="B11796" t="s">
        <v>84</v>
      </c>
      <c r="C11796">
        <v>392</v>
      </c>
      <c r="D11796" t="s">
        <v>80</v>
      </c>
      <c r="E11796">
        <v>8.4980000000000003E-3</v>
      </c>
      <c r="F11796" t="s">
        <v>74</v>
      </c>
      <c r="G11796">
        <v>8.4980600000000006</v>
      </c>
      <c r="H11796" t="s">
        <v>75</v>
      </c>
      <c r="I11796">
        <v>8498.0630000000001</v>
      </c>
      <c r="J11796" t="s">
        <v>76</v>
      </c>
      <c r="K11796" t="s">
        <v>77</v>
      </c>
    </row>
    <row r="11797" spans="1:12" x14ac:dyDescent="0.3">
      <c r="A11797" t="s">
        <v>497</v>
      </c>
      <c r="B11797" t="s">
        <v>84</v>
      </c>
      <c r="C11797">
        <v>392</v>
      </c>
      <c r="D11797" t="s">
        <v>81</v>
      </c>
      <c r="E11797">
        <v>1.1388000000000001E-2</v>
      </c>
      <c r="F11797" t="s">
        <v>74</v>
      </c>
      <c r="G11797">
        <v>11.3881</v>
      </c>
      <c r="H11797" t="s">
        <v>75</v>
      </c>
      <c r="I11797">
        <v>11388.094999999999</v>
      </c>
      <c r="J11797" t="s">
        <v>76</v>
      </c>
      <c r="K11797" t="s">
        <v>82</v>
      </c>
      <c r="L11797">
        <v>87.810998699999999</v>
      </c>
    </row>
    <row r="11798" spans="1:12" x14ac:dyDescent="0.3">
      <c r="A11798" t="s">
        <v>498</v>
      </c>
      <c r="B11798" t="s">
        <v>72</v>
      </c>
      <c r="C11798">
        <v>1</v>
      </c>
      <c r="D11798" t="s">
        <v>73</v>
      </c>
      <c r="E11798">
        <v>5.1E-5</v>
      </c>
      <c r="F11798" t="s">
        <v>74</v>
      </c>
      <c r="G11798">
        <v>5.1200000000000002E-2</v>
      </c>
      <c r="H11798" t="s">
        <v>75</v>
      </c>
      <c r="I11798">
        <v>51.2</v>
      </c>
      <c r="J11798" t="s">
        <v>76</v>
      </c>
      <c r="K11798" t="s">
        <v>77</v>
      </c>
    </row>
    <row r="11799" spans="1:12" x14ac:dyDescent="0.3">
      <c r="A11799" t="s">
        <v>498</v>
      </c>
      <c r="B11799" t="s">
        <v>72</v>
      </c>
      <c r="C11799">
        <v>1</v>
      </c>
      <c r="D11799" t="s">
        <v>78</v>
      </c>
      <c r="E11799">
        <v>1.2899999999999999E-4</v>
      </c>
      <c r="F11799" t="s">
        <v>74</v>
      </c>
      <c r="G11799">
        <v>0.12920000000000001</v>
      </c>
      <c r="H11799" t="s">
        <v>75</v>
      </c>
      <c r="I11799">
        <v>129.19999999999999</v>
      </c>
      <c r="J11799" t="s">
        <v>76</v>
      </c>
      <c r="K11799" t="s">
        <v>77</v>
      </c>
    </row>
    <row r="11800" spans="1:12" x14ac:dyDescent="0.3">
      <c r="A11800" t="s">
        <v>498</v>
      </c>
      <c r="B11800" t="s">
        <v>72</v>
      </c>
      <c r="C11800">
        <v>2</v>
      </c>
      <c r="D11800" t="s">
        <v>86</v>
      </c>
      <c r="E11800">
        <v>1.2375000000000001E-2</v>
      </c>
      <c r="F11800" t="s">
        <v>74</v>
      </c>
      <c r="G11800">
        <v>12.37495</v>
      </c>
      <c r="H11800" t="s">
        <v>75</v>
      </c>
      <c r="I11800">
        <v>12374.95</v>
      </c>
      <c r="J11800" t="s">
        <v>76</v>
      </c>
      <c r="K11800" t="s">
        <v>82</v>
      </c>
      <c r="L11800">
        <v>80.808409600000005</v>
      </c>
    </row>
    <row r="11801" spans="1:12" x14ac:dyDescent="0.3">
      <c r="A11801" t="s">
        <v>498</v>
      </c>
      <c r="B11801" t="s">
        <v>83</v>
      </c>
      <c r="C11801">
        <v>999</v>
      </c>
      <c r="D11801" t="s">
        <v>86</v>
      </c>
      <c r="E11801">
        <v>4.4799999999999996E-3</v>
      </c>
      <c r="F11801" t="s">
        <v>74</v>
      </c>
      <c r="G11801">
        <v>4.4802099999999996</v>
      </c>
      <c r="H11801" t="s">
        <v>75</v>
      </c>
      <c r="I11801">
        <v>4480.2070000000003</v>
      </c>
      <c r="J11801" t="s">
        <v>76</v>
      </c>
      <c r="K11801" t="s">
        <v>82</v>
      </c>
      <c r="L11801">
        <v>223.2039819</v>
      </c>
    </row>
    <row r="11802" spans="1:12" x14ac:dyDescent="0.3">
      <c r="A11802" t="s">
        <v>498</v>
      </c>
      <c r="B11802" t="s">
        <v>85</v>
      </c>
      <c r="C11802">
        <v>1001</v>
      </c>
      <c r="D11802" t="s">
        <v>86</v>
      </c>
      <c r="E11802">
        <v>4.4860000000000004E-3</v>
      </c>
      <c r="F11802" t="s">
        <v>74</v>
      </c>
      <c r="G11802">
        <v>4.4856299999999996</v>
      </c>
      <c r="H11802" t="s">
        <v>75</v>
      </c>
      <c r="I11802">
        <v>4485.625</v>
      </c>
      <c r="J11802" t="s">
        <v>76</v>
      </c>
      <c r="K11802" t="s">
        <v>82</v>
      </c>
      <c r="L11802">
        <v>222.93436130000001</v>
      </c>
    </row>
    <row r="11803" spans="1:12" x14ac:dyDescent="0.3">
      <c r="A11803" t="s">
        <v>115</v>
      </c>
    </row>
    <row r="11804" spans="1:12" x14ac:dyDescent="0.3">
      <c r="A11804" t="s">
        <v>127</v>
      </c>
    </row>
    <row r="11805" spans="1:12" x14ac:dyDescent="0.3">
      <c r="A11805" t="s">
        <v>87</v>
      </c>
    </row>
    <row r="11806" spans="1:12" x14ac:dyDescent="0.3">
      <c r="A11806" t="s">
        <v>541</v>
      </c>
    </row>
    <row r="11807" spans="1:12" x14ac:dyDescent="0.3">
      <c r="A11807" t="s">
        <v>496</v>
      </c>
      <c r="B11807" t="s">
        <v>72</v>
      </c>
      <c r="C11807">
        <v>1</v>
      </c>
      <c r="D11807" t="s">
        <v>81</v>
      </c>
      <c r="E11807">
        <v>0.40683000000000002</v>
      </c>
      <c r="F11807" t="s">
        <v>74</v>
      </c>
      <c r="G11807">
        <v>406.83001000000002</v>
      </c>
      <c r="H11807" t="s">
        <v>75</v>
      </c>
      <c r="I11807">
        <v>406830.01299999998</v>
      </c>
      <c r="J11807" t="s">
        <v>76</v>
      </c>
      <c r="K11807" t="s">
        <v>82</v>
      </c>
      <c r="L11807">
        <v>2.4580291000000001</v>
      </c>
    </row>
    <row r="11808" spans="1:12" x14ac:dyDescent="0.3">
      <c r="A11808" t="s">
        <v>496</v>
      </c>
      <c r="B11808" t="s">
        <v>83</v>
      </c>
      <c r="C11808">
        <v>604</v>
      </c>
      <c r="D11808" t="s">
        <v>81</v>
      </c>
      <c r="E11808">
        <v>6.7029999999999998E-3</v>
      </c>
      <c r="F11808" t="s">
        <v>74</v>
      </c>
      <c r="G11808">
        <v>6.7030700000000003</v>
      </c>
      <c r="H11808" t="s">
        <v>75</v>
      </c>
      <c r="I11808">
        <v>6703.0720000000001</v>
      </c>
      <c r="J11808" t="s">
        <v>76</v>
      </c>
      <c r="K11808" t="s">
        <v>82</v>
      </c>
      <c r="L11808">
        <v>149.1853279</v>
      </c>
    </row>
    <row r="11809" spans="1:12" x14ac:dyDescent="0.3">
      <c r="A11809" t="s">
        <v>496</v>
      </c>
      <c r="B11809" t="s">
        <v>84</v>
      </c>
      <c r="C11809">
        <v>605</v>
      </c>
      <c r="D11809" t="s">
        <v>81</v>
      </c>
      <c r="E11809">
        <v>7.3639999999999999E-3</v>
      </c>
      <c r="F11809" t="s">
        <v>74</v>
      </c>
      <c r="G11809">
        <v>7.3644400000000001</v>
      </c>
      <c r="H11809" t="s">
        <v>75</v>
      </c>
      <c r="I11809">
        <v>7364.4380000000001</v>
      </c>
      <c r="J11809" t="s">
        <v>76</v>
      </c>
      <c r="K11809" t="s">
        <v>82</v>
      </c>
      <c r="L11809">
        <v>135.7876905</v>
      </c>
    </row>
    <row r="11810" spans="1:12" x14ac:dyDescent="0.3">
      <c r="A11810" t="s">
        <v>497</v>
      </c>
      <c r="B11810" t="s">
        <v>72</v>
      </c>
      <c r="C11810">
        <v>1</v>
      </c>
      <c r="D11810" t="s">
        <v>81</v>
      </c>
      <c r="E11810">
        <v>0.15110599999999999</v>
      </c>
      <c r="F11810" t="s">
        <v>74</v>
      </c>
      <c r="G11810">
        <v>151.10619</v>
      </c>
      <c r="H11810" t="s">
        <v>75</v>
      </c>
      <c r="I11810">
        <v>151106.19399999999</v>
      </c>
      <c r="J11810" t="s">
        <v>76</v>
      </c>
      <c r="K11810" t="s">
        <v>82</v>
      </c>
      <c r="L11810">
        <v>6.6178623999999999</v>
      </c>
    </row>
    <row r="11811" spans="1:12" x14ac:dyDescent="0.3">
      <c r="A11811" t="s">
        <v>497</v>
      </c>
      <c r="B11811" t="s">
        <v>83</v>
      </c>
      <c r="C11811">
        <v>395</v>
      </c>
      <c r="D11811" t="s">
        <v>81</v>
      </c>
      <c r="E11811">
        <v>1.0843E-2</v>
      </c>
      <c r="F11811" t="s">
        <v>74</v>
      </c>
      <c r="G11811">
        <v>10.842650000000001</v>
      </c>
      <c r="H11811" t="s">
        <v>75</v>
      </c>
      <c r="I11811">
        <v>10842.648999999999</v>
      </c>
      <c r="J11811" t="s">
        <v>76</v>
      </c>
      <c r="K11811" t="s">
        <v>82</v>
      </c>
      <c r="L11811">
        <v>92.228382300000007</v>
      </c>
    </row>
    <row r="11812" spans="1:12" x14ac:dyDescent="0.3">
      <c r="A11812" t="s">
        <v>497</v>
      </c>
      <c r="B11812" t="s">
        <v>84</v>
      </c>
      <c r="C11812">
        <v>396</v>
      </c>
      <c r="D11812" t="s">
        <v>81</v>
      </c>
      <c r="E11812">
        <v>1.1197E-2</v>
      </c>
      <c r="F11812" t="s">
        <v>74</v>
      </c>
      <c r="G11812">
        <v>11.19685</v>
      </c>
      <c r="H11812" t="s">
        <v>75</v>
      </c>
      <c r="I11812">
        <v>11196.851000000001</v>
      </c>
      <c r="J11812" t="s">
        <v>76</v>
      </c>
      <c r="K11812" t="s">
        <v>82</v>
      </c>
      <c r="L11812">
        <v>89.310828799999996</v>
      </c>
    </row>
    <row r="11813" spans="1:12" x14ac:dyDescent="0.3">
      <c r="A11813" t="s">
        <v>498</v>
      </c>
      <c r="B11813" t="s">
        <v>72</v>
      </c>
      <c r="C11813">
        <v>2</v>
      </c>
      <c r="D11813" t="s">
        <v>86</v>
      </c>
      <c r="E11813">
        <v>0.20343900000000001</v>
      </c>
      <c r="F11813" t="s">
        <v>74</v>
      </c>
      <c r="G11813">
        <v>203.43879999999999</v>
      </c>
      <c r="H11813" t="s">
        <v>75</v>
      </c>
      <c r="I11813">
        <v>203438.804</v>
      </c>
      <c r="J11813" t="s">
        <v>76</v>
      </c>
      <c r="K11813" t="s">
        <v>82</v>
      </c>
      <c r="L11813">
        <v>4.9154831000000003</v>
      </c>
    </row>
    <row r="11814" spans="1:12" x14ac:dyDescent="0.3">
      <c r="A11814" t="s">
        <v>498</v>
      </c>
      <c r="B11814" t="s">
        <v>83</v>
      </c>
      <c r="C11814">
        <v>999</v>
      </c>
      <c r="D11814" t="s">
        <v>86</v>
      </c>
      <c r="E11814">
        <v>4.3189999999999999E-3</v>
      </c>
      <c r="F11814" t="s">
        <v>74</v>
      </c>
      <c r="G11814">
        <v>4.3193400000000004</v>
      </c>
      <c r="H11814" t="s">
        <v>75</v>
      </c>
      <c r="I11814">
        <v>4319.34</v>
      </c>
      <c r="J11814" t="s">
        <v>76</v>
      </c>
      <c r="K11814" t="s">
        <v>82</v>
      </c>
      <c r="L11814">
        <v>231.51685739999999</v>
      </c>
    </row>
    <row r="11815" spans="1:12" x14ac:dyDescent="0.3">
      <c r="A11815" t="s">
        <v>498</v>
      </c>
      <c r="B11815" t="s">
        <v>85</v>
      </c>
      <c r="C11815">
        <v>1001</v>
      </c>
      <c r="D11815" t="s">
        <v>86</v>
      </c>
      <c r="E11815">
        <v>4.4669999999999996E-3</v>
      </c>
      <c r="F11815" t="s">
        <v>74</v>
      </c>
      <c r="G11815">
        <v>4.4670800000000002</v>
      </c>
      <c r="H11815" t="s">
        <v>75</v>
      </c>
      <c r="I11815">
        <v>4467.08</v>
      </c>
      <c r="J11815" t="s">
        <v>76</v>
      </c>
      <c r="K11815" t="s">
        <v>82</v>
      </c>
      <c r="L11815">
        <v>223.85990319999999</v>
      </c>
    </row>
    <row r="11817" spans="1:12" x14ac:dyDescent="0.3">
      <c r="A11817" t="s">
        <v>542</v>
      </c>
    </row>
    <row r="11818" spans="1:12" x14ac:dyDescent="0.3">
      <c r="A11818" t="s">
        <v>496</v>
      </c>
      <c r="B11818" t="s">
        <v>72</v>
      </c>
      <c r="C11818">
        <v>1</v>
      </c>
      <c r="D11818" t="s">
        <v>81</v>
      </c>
      <c r="E11818">
        <v>2.4743000000000001E-2</v>
      </c>
      <c r="F11818" t="s">
        <v>74</v>
      </c>
      <c r="G11818">
        <v>24.7425</v>
      </c>
      <c r="H11818" t="s">
        <v>75</v>
      </c>
      <c r="I11818">
        <v>24742.501</v>
      </c>
      <c r="J11818" t="s">
        <v>76</v>
      </c>
      <c r="K11818" t="s">
        <v>82</v>
      </c>
      <c r="L11818">
        <v>40.416286399999997</v>
      </c>
    </row>
    <row r="11819" spans="1:12" x14ac:dyDescent="0.3">
      <c r="A11819" t="s">
        <v>496</v>
      </c>
      <c r="B11819" t="s">
        <v>83</v>
      </c>
      <c r="C11819">
        <v>608</v>
      </c>
      <c r="D11819" t="s">
        <v>81</v>
      </c>
      <c r="E11819">
        <v>7.326E-3</v>
      </c>
      <c r="F11819" t="s">
        <v>74</v>
      </c>
      <c r="G11819">
        <v>7.3262600000000004</v>
      </c>
      <c r="H11819" t="s">
        <v>75</v>
      </c>
      <c r="I11819">
        <v>7326.2579999999998</v>
      </c>
      <c r="J11819" t="s">
        <v>76</v>
      </c>
      <c r="K11819" t="s">
        <v>82</v>
      </c>
      <c r="L11819">
        <v>136.49533220000001</v>
      </c>
    </row>
    <row r="11820" spans="1:12" x14ac:dyDescent="0.3">
      <c r="A11820" t="s">
        <v>496</v>
      </c>
      <c r="B11820" t="s">
        <v>84</v>
      </c>
      <c r="C11820">
        <v>609</v>
      </c>
      <c r="D11820" t="s">
        <v>81</v>
      </c>
      <c r="E11820">
        <v>7.3550000000000004E-3</v>
      </c>
      <c r="F11820" t="s">
        <v>74</v>
      </c>
      <c r="G11820">
        <v>7.3548499999999999</v>
      </c>
      <c r="H11820" t="s">
        <v>75</v>
      </c>
      <c r="I11820">
        <v>7354.8549999999996</v>
      </c>
      <c r="J11820" t="s">
        <v>76</v>
      </c>
      <c r="K11820" t="s">
        <v>82</v>
      </c>
      <c r="L11820">
        <v>135.96461930000001</v>
      </c>
    </row>
    <row r="11821" spans="1:12" x14ac:dyDescent="0.3">
      <c r="A11821" t="s">
        <v>497</v>
      </c>
      <c r="B11821" t="s">
        <v>72</v>
      </c>
      <c r="C11821">
        <v>1</v>
      </c>
      <c r="D11821" t="s">
        <v>81</v>
      </c>
      <c r="E11821">
        <v>8.855E-3</v>
      </c>
      <c r="F11821" t="s">
        <v>74</v>
      </c>
      <c r="G11821">
        <v>8.8553999999999995</v>
      </c>
      <c r="H11821" t="s">
        <v>75</v>
      </c>
      <c r="I11821">
        <v>8855.4</v>
      </c>
      <c r="J11821" t="s">
        <v>76</v>
      </c>
      <c r="K11821" t="s">
        <v>82</v>
      </c>
      <c r="L11821">
        <v>112.92545079999999</v>
      </c>
    </row>
    <row r="11822" spans="1:12" x14ac:dyDescent="0.3">
      <c r="A11822" t="s">
        <v>497</v>
      </c>
      <c r="B11822" t="s">
        <v>83</v>
      </c>
      <c r="C11822">
        <v>391</v>
      </c>
      <c r="D11822" t="s">
        <v>81</v>
      </c>
      <c r="E11822">
        <v>1.1395000000000001E-2</v>
      </c>
      <c r="F11822" t="s">
        <v>74</v>
      </c>
      <c r="G11822">
        <v>11.39457</v>
      </c>
      <c r="H11822" t="s">
        <v>75</v>
      </c>
      <c r="I11822">
        <v>11394.573</v>
      </c>
      <c r="J11822" t="s">
        <v>76</v>
      </c>
      <c r="K11822" t="s">
        <v>82</v>
      </c>
      <c r="L11822">
        <v>87.761079600000002</v>
      </c>
    </row>
    <row r="11823" spans="1:12" x14ac:dyDescent="0.3">
      <c r="A11823" t="s">
        <v>497</v>
      </c>
      <c r="B11823" t="s">
        <v>84</v>
      </c>
      <c r="C11823">
        <v>392</v>
      </c>
      <c r="D11823" t="s">
        <v>81</v>
      </c>
      <c r="E11823">
        <v>1.1388000000000001E-2</v>
      </c>
      <c r="F11823" t="s">
        <v>74</v>
      </c>
      <c r="G11823">
        <v>11.3881</v>
      </c>
      <c r="H11823" t="s">
        <v>75</v>
      </c>
      <c r="I11823">
        <v>11388.094999999999</v>
      </c>
      <c r="J11823" t="s">
        <v>76</v>
      </c>
      <c r="K11823" t="s">
        <v>82</v>
      </c>
      <c r="L11823">
        <v>87.810998699999999</v>
      </c>
    </row>
    <row r="11824" spans="1:12" x14ac:dyDescent="0.3">
      <c r="A11824" t="s">
        <v>498</v>
      </c>
      <c r="B11824" t="s">
        <v>72</v>
      </c>
      <c r="C11824">
        <v>2</v>
      </c>
      <c r="D11824" t="s">
        <v>86</v>
      </c>
      <c r="E11824">
        <v>1.2375000000000001E-2</v>
      </c>
      <c r="F11824" t="s">
        <v>74</v>
      </c>
      <c r="G11824">
        <v>12.37495</v>
      </c>
      <c r="H11824" t="s">
        <v>75</v>
      </c>
      <c r="I11824">
        <v>12374.95</v>
      </c>
      <c r="J11824" t="s">
        <v>76</v>
      </c>
      <c r="K11824" t="s">
        <v>82</v>
      </c>
      <c r="L11824">
        <v>80.808409600000005</v>
      </c>
    </row>
    <row r="11825" spans="1:12" x14ac:dyDescent="0.3">
      <c r="A11825" t="s">
        <v>498</v>
      </c>
      <c r="B11825" t="s">
        <v>83</v>
      </c>
      <c r="C11825">
        <v>999</v>
      </c>
      <c r="D11825" t="s">
        <v>86</v>
      </c>
      <c r="E11825">
        <v>4.4799999999999996E-3</v>
      </c>
      <c r="F11825" t="s">
        <v>74</v>
      </c>
      <c r="G11825">
        <v>4.4802099999999996</v>
      </c>
      <c r="H11825" t="s">
        <v>75</v>
      </c>
      <c r="I11825">
        <v>4480.2070000000003</v>
      </c>
      <c r="J11825" t="s">
        <v>76</v>
      </c>
      <c r="K11825" t="s">
        <v>82</v>
      </c>
      <c r="L11825">
        <v>223.2039819</v>
      </c>
    </row>
    <row r="11826" spans="1:12" x14ac:dyDescent="0.3">
      <c r="A11826" t="s">
        <v>498</v>
      </c>
      <c r="B11826" t="s">
        <v>85</v>
      </c>
      <c r="C11826">
        <v>1001</v>
      </c>
      <c r="D11826" t="s">
        <v>86</v>
      </c>
      <c r="E11826">
        <v>4.4860000000000004E-3</v>
      </c>
      <c r="F11826" t="s">
        <v>74</v>
      </c>
      <c r="G11826">
        <v>4.4856299999999996</v>
      </c>
      <c r="H11826" t="s">
        <v>75</v>
      </c>
      <c r="I11826">
        <v>4485.625</v>
      </c>
      <c r="J11826" t="s">
        <v>76</v>
      </c>
      <c r="K11826" t="s">
        <v>82</v>
      </c>
      <c r="L11826">
        <v>222.93436130000001</v>
      </c>
    </row>
    <row r="11828" spans="1:12" x14ac:dyDescent="0.3">
      <c r="A11828" t="s">
        <v>66</v>
      </c>
    </row>
    <row r="11830" spans="1:12" x14ac:dyDescent="0.3">
      <c r="A11830" t="s">
        <v>543</v>
      </c>
    </row>
    <row r="11831" spans="1:12" x14ac:dyDescent="0.3">
      <c r="A11831" t="s">
        <v>68</v>
      </c>
    </row>
    <row r="11832" spans="1:12" x14ac:dyDescent="0.3">
      <c r="A11832" t="s">
        <v>69</v>
      </c>
    </row>
    <row r="11833" spans="1:12" x14ac:dyDescent="0.3">
      <c r="A11833" t="s">
        <v>68</v>
      </c>
    </row>
    <row r="11834" spans="1:12" x14ac:dyDescent="0.3">
      <c r="A11834" t="s">
        <v>69</v>
      </c>
    </row>
    <row r="11835" spans="1:12" x14ac:dyDescent="0.3">
      <c r="A11835" t="s">
        <v>70</v>
      </c>
    </row>
    <row r="11836" spans="1:12" x14ac:dyDescent="0.3">
      <c r="A11836" t="s">
        <v>115</v>
      </c>
    </row>
    <row r="11837" spans="1:12" x14ac:dyDescent="0.3">
      <c r="A11837" t="s">
        <v>116</v>
      </c>
    </row>
    <row r="11838" spans="1:12" x14ac:dyDescent="0.3">
      <c r="A11838" t="s">
        <v>117</v>
      </c>
    </row>
    <row r="11839" spans="1:12" x14ac:dyDescent="0.3">
      <c r="A11839" t="s">
        <v>118</v>
      </c>
    </row>
    <row r="11840" spans="1:12" x14ac:dyDescent="0.3">
      <c r="A11840" t="s">
        <v>119</v>
      </c>
    </row>
    <row r="11841" spans="1:1" x14ac:dyDescent="0.3">
      <c r="A11841" t="s">
        <v>120</v>
      </c>
    </row>
    <row r="11842" spans="1:1" x14ac:dyDescent="0.3">
      <c r="A11842" t="s">
        <v>121</v>
      </c>
    </row>
    <row r="11843" spans="1:1" x14ac:dyDescent="0.3">
      <c r="A11843" t="s">
        <v>122</v>
      </c>
    </row>
    <row r="11844" spans="1:1" x14ac:dyDescent="0.3">
      <c r="A11844" t="s">
        <v>123</v>
      </c>
    </row>
    <row r="11845" spans="1:1" x14ac:dyDescent="0.3">
      <c r="A11845" t="s">
        <v>124</v>
      </c>
    </row>
    <row r="11846" spans="1:1" x14ac:dyDescent="0.3">
      <c r="A11846" t="s">
        <v>125</v>
      </c>
    </row>
    <row r="11847" spans="1:1" x14ac:dyDescent="0.3">
      <c r="A11847" t="s">
        <v>126</v>
      </c>
    </row>
    <row r="11848" spans="1:1" x14ac:dyDescent="0.3">
      <c r="A11848" t="s">
        <v>127</v>
      </c>
    </row>
    <row r="11849" spans="1:1" x14ac:dyDescent="0.3">
      <c r="A11849" t="s">
        <v>192</v>
      </c>
    </row>
    <row r="11850" spans="1:1" x14ac:dyDescent="0.3">
      <c r="A11850" t="s">
        <v>115</v>
      </c>
    </row>
    <row r="11851" spans="1:1" x14ac:dyDescent="0.3">
      <c r="A11851" t="s">
        <v>266</v>
      </c>
    </row>
    <row r="11852" spans="1:1" x14ac:dyDescent="0.3">
      <c r="A11852" t="s">
        <v>267</v>
      </c>
    </row>
    <row r="11853" spans="1:1" x14ac:dyDescent="0.3">
      <c r="A11853" t="s">
        <v>118</v>
      </c>
    </row>
    <row r="11854" spans="1:1" x14ac:dyDescent="0.3">
      <c r="A11854" t="s">
        <v>119</v>
      </c>
    </row>
    <row r="11855" spans="1:1" x14ac:dyDescent="0.3">
      <c r="A11855" t="s">
        <v>268</v>
      </c>
    </row>
    <row r="11856" spans="1:1" x14ac:dyDescent="0.3">
      <c r="A11856" t="s">
        <v>269</v>
      </c>
    </row>
    <row r="11857" spans="1:12" x14ac:dyDescent="0.3">
      <c r="A11857" t="s">
        <v>122</v>
      </c>
    </row>
    <row r="11858" spans="1:12" x14ac:dyDescent="0.3">
      <c r="A11858" t="s">
        <v>270</v>
      </c>
    </row>
    <row r="11859" spans="1:12" x14ac:dyDescent="0.3">
      <c r="A11859" t="s">
        <v>271</v>
      </c>
    </row>
    <row r="11860" spans="1:12" x14ac:dyDescent="0.3">
      <c r="A11860" t="s">
        <v>125</v>
      </c>
    </row>
    <row r="11861" spans="1:12" x14ac:dyDescent="0.3">
      <c r="A11861" t="s">
        <v>126</v>
      </c>
    </row>
    <row r="11862" spans="1:12" x14ac:dyDescent="0.3">
      <c r="A11862" t="s">
        <v>127</v>
      </c>
    </row>
    <row r="11863" spans="1:12" x14ac:dyDescent="0.3">
      <c r="A11863" t="s">
        <v>192</v>
      </c>
    </row>
    <row r="11864" spans="1:12" x14ac:dyDescent="0.3">
      <c r="A11864" t="s">
        <v>544</v>
      </c>
    </row>
    <row r="11865" spans="1:12" x14ac:dyDescent="0.3">
      <c r="A11865" t="s">
        <v>496</v>
      </c>
      <c r="B11865" t="s">
        <v>72</v>
      </c>
      <c r="C11865">
        <v>1</v>
      </c>
      <c r="D11865" t="s">
        <v>79</v>
      </c>
      <c r="E11865">
        <v>0.32230900000000001</v>
      </c>
      <c r="F11865" t="s">
        <v>74</v>
      </c>
      <c r="G11865">
        <v>322.30939999999998</v>
      </c>
      <c r="H11865" t="s">
        <v>75</v>
      </c>
      <c r="I11865">
        <v>322309.40500000003</v>
      </c>
      <c r="J11865" t="s">
        <v>76</v>
      </c>
      <c r="K11865" t="s">
        <v>77</v>
      </c>
    </row>
    <row r="11866" spans="1:12" x14ac:dyDescent="0.3">
      <c r="A11866" t="s">
        <v>496</v>
      </c>
      <c r="B11866" t="s">
        <v>72</v>
      </c>
      <c r="C11866">
        <v>1</v>
      </c>
      <c r="D11866" t="s">
        <v>94</v>
      </c>
      <c r="E11866">
        <v>1.4224000000000001E-2</v>
      </c>
      <c r="F11866" t="s">
        <v>74</v>
      </c>
      <c r="G11866">
        <v>14.224399999999999</v>
      </c>
      <c r="H11866" t="s">
        <v>75</v>
      </c>
      <c r="I11866">
        <v>14224.4</v>
      </c>
      <c r="J11866" t="s">
        <v>76</v>
      </c>
      <c r="K11866" t="s">
        <v>77</v>
      </c>
    </row>
    <row r="11867" spans="1:12" x14ac:dyDescent="0.3">
      <c r="A11867" t="s">
        <v>496</v>
      </c>
      <c r="B11867" t="s">
        <v>72</v>
      </c>
      <c r="C11867">
        <v>1</v>
      </c>
      <c r="D11867" t="s">
        <v>80</v>
      </c>
      <c r="E11867">
        <v>1.4225E-2</v>
      </c>
      <c r="F11867" t="s">
        <v>74</v>
      </c>
      <c r="G11867">
        <v>14.2255</v>
      </c>
      <c r="H11867" t="s">
        <v>75</v>
      </c>
      <c r="I11867">
        <v>14225.5</v>
      </c>
      <c r="J11867" t="s">
        <v>76</v>
      </c>
      <c r="K11867" t="s">
        <v>77</v>
      </c>
    </row>
    <row r="11868" spans="1:12" x14ac:dyDescent="0.3">
      <c r="A11868" t="s">
        <v>496</v>
      </c>
      <c r="B11868" t="s">
        <v>72</v>
      </c>
      <c r="C11868">
        <v>1</v>
      </c>
      <c r="D11868" t="s">
        <v>81</v>
      </c>
      <c r="E11868">
        <v>0.33653499999999997</v>
      </c>
      <c r="F11868" t="s">
        <v>74</v>
      </c>
      <c r="G11868">
        <v>336.53530000000001</v>
      </c>
      <c r="H11868" t="s">
        <v>75</v>
      </c>
      <c r="I11868">
        <v>336535.30499999999</v>
      </c>
      <c r="J11868" t="s">
        <v>76</v>
      </c>
      <c r="K11868" t="s">
        <v>82</v>
      </c>
      <c r="L11868">
        <v>2.9714564000000001</v>
      </c>
    </row>
    <row r="11869" spans="1:12" x14ac:dyDescent="0.3">
      <c r="A11869" t="s">
        <v>496</v>
      </c>
      <c r="B11869" t="s">
        <v>83</v>
      </c>
      <c r="C11869">
        <v>388</v>
      </c>
      <c r="D11869" t="s">
        <v>79</v>
      </c>
      <c r="E11869">
        <v>3.6779999999999998E-3</v>
      </c>
      <c r="F11869" t="s">
        <v>74</v>
      </c>
      <c r="G11869">
        <v>3.6784300000000001</v>
      </c>
      <c r="H11869" t="s">
        <v>75</v>
      </c>
      <c r="I11869">
        <v>3678.4290000000001</v>
      </c>
      <c r="J11869" t="s">
        <v>76</v>
      </c>
      <c r="K11869" t="s">
        <v>77</v>
      </c>
    </row>
    <row r="11870" spans="1:12" x14ac:dyDescent="0.3">
      <c r="A11870" t="s">
        <v>496</v>
      </c>
      <c r="B11870" t="s">
        <v>83</v>
      </c>
      <c r="C11870">
        <v>388</v>
      </c>
      <c r="D11870" t="s">
        <v>94</v>
      </c>
      <c r="E11870">
        <v>7.9690000000000004E-3</v>
      </c>
      <c r="F11870" t="s">
        <v>74</v>
      </c>
      <c r="G11870">
        <v>7.9689800000000002</v>
      </c>
      <c r="H11870" t="s">
        <v>75</v>
      </c>
      <c r="I11870">
        <v>7968.9780000000001</v>
      </c>
      <c r="J11870" t="s">
        <v>76</v>
      </c>
      <c r="K11870" t="s">
        <v>77</v>
      </c>
    </row>
    <row r="11871" spans="1:12" x14ac:dyDescent="0.3">
      <c r="A11871" t="s">
        <v>496</v>
      </c>
      <c r="B11871" t="s">
        <v>83</v>
      </c>
      <c r="C11871">
        <v>388</v>
      </c>
      <c r="D11871" t="s">
        <v>80</v>
      </c>
      <c r="E11871">
        <v>8.1359999999999991E-3</v>
      </c>
      <c r="F11871" t="s">
        <v>74</v>
      </c>
      <c r="G11871">
        <v>8.1356400000000004</v>
      </c>
      <c r="H11871" t="s">
        <v>75</v>
      </c>
      <c r="I11871">
        <v>8135.643</v>
      </c>
      <c r="J11871" t="s">
        <v>76</v>
      </c>
      <c r="K11871" t="s">
        <v>77</v>
      </c>
    </row>
    <row r="11872" spans="1:12" x14ac:dyDescent="0.3">
      <c r="A11872" t="s">
        <v>496</v>
      </c>
      <c r="B11872" t="s">
        <v>83</v>
      </c>
      <c r="C11872">
        <v>388</v>
      </c>
      <c r="D11872" t="s">
        <v>81</v>
      </c>
      <c r="E11872">
        <v>1.1814E-2</v>
      </c>
      <c r="F11872" t="s">
        <v>74</v>
      </c>
      <c r="G11872">
        <v>11.81432</v>
      </c>
      <c r="H11872" t="s">
        <v>75</v>
      </c>
      <c r="I11872">
        <v>11814.323</v>
      </c>
      <c r="J11872" t="s">
        <v>76</v>
      </c>
      <c r="K11872" t="s">
        <v>82</v>
      </c>
      <c r="L11872">
        <v>84.643024199999999</v>
      </c>
    </row>
    <row r="11873" spans="1:12" x14ac:dyDescent="0.3">
      <c r="A11873" t="s">
        <v>496</v>
      </c>
      <c r="B11873" t="s">
        <v>84</v>
      </c>
      <c r="C11873">
        <v>389</v>
      </c>
      <c r="D11873" t="s">
        <v>79</v>
      </c>
      <c r="E11873">
        <v>4.4980000000000003E-3</v>
      </c>
      <c r="F11873" t="s">
        <v>74</v>
      </c>
      <c r="G11873">
        <v>4.4975300000000002</v>
      </c>
      <c r="H11873" t="s">
        <v>75</v>
      </c>
      <c r="I11873">
        <v>4497.5309999999999</v>
      </c>
      <c r="J11873" t="s">
        <v>76</v>
      </c>
      <c r="K11873" t="s">
        <v>77</v>
      </c>
    </row>
    <row r="11874" spans="1:12" x14ac:dyDescent="0.3">
      <c r="A11874" t="s">
        <v>496</v>
      </c>
      <c r="B11874" t="s">
        <v>84</v>
      </c>
      <c r="C11874">
        <v>389</v>
      </c>
      <c r="D11874" t="s">
        <v>94</v>
      </c>
      <c r="E11874">
        <v>7.9850000000000008E-3</v>
      </c>
      <c r="F11874" t="s">
        <v>74</v>
      </c>
      <c r="G11874">
        <v>7.9850599999999998</v>
      </c>
      <c r="H11874" t="s">
        <v>75</v>
      </c>
      <c r="I11874">
        <v>7985.058</v>
      </c>
      <c r="J11874" t="s">
        <v>76</v>
      </c>
      <c r="K11874" t="s">
        <v>77</v>
      </c>
    </row>
    <row r="11875" spans="1:12" x14ac:dyDescent="0.3">
      <c r="A11875" t="s">
        <v>496</v>
      </c>
      <c r="B11875" t="s">
        <v>84</v>
      </c>
      <c r="C11875">
        <v>389</v>
      </c>
      <c r="D11875" t="s">
        <v>80</v>
      </c>
      <c r="E11875">
        <v>8.1510000000000003E-3</v>
      </c>
      <c r="F11875" t="s">
        <v>74</v>
      </c>
      <c r="G11875">
        <v>8.1513000000000009</v>
      </c>
      <c r="H11875" t="s">
        <v>75</v>
      </c>
      <c r="I11875">
        <v>8151.2979999999998</v>
      </c>
      <c r="J11875" t="s">
        <v>76</v>
      </c>
      <c r="K11875" t="s">
        <v>77</v>
      </c>
    </row>
    <row r="11876" spans="1:12" x14ac:dyDescent="0.3">
      <c r="A11876" t="s">
        <v>496</v>
      </c>
      <c r="B11876" t="s">
        <v>84</v>
      </c>
      <c r="C11876">
        <v>389</v>
      </c>
      <c r="D11876" t="s">
        <v>81</v>
      </c>
      <c r="E11876">
        <v>1.2649000000000001E-2</v>
      </c>
      <c r="F11876" t="s">
        <v>74</v>
      </c>
      <c r="G11876">
        <v>12.64908</v>
      </c>
      <c r="H11876" t="s">
        <v>75</v>
      </c>
      <c r="I11876">
        <v>12649.075000000001</v>
      </c>
      <c r="J11876" t="s">
        <v>76</v>
      </c>
      <c r="K11876" t="s">
        <v>82</v>
      </c>
      <c r="L11876">
        <v>79.0571628</v>
      </c>
    </row>
    <row r="11877" spans="1:12" x14ac:dyDescent="0.3">
      <c r="A11877" t="s">
        <v>497</v>
      </c>
      <c r="B11877" t="s">
        <v>72</v>
      </c>
      <c r="C11877">
        <v>1</v>
      </c>
      <c r="D11877" t="s">
        <v>79</v>
      </c>
      <c r="E11877">
        <v>0.107748</v>
      </c>
      <c r="F11877" t="s">
        <v>74</v>
      </c>
      <c r="G11877">
        <v>107.7482</v>
      </c>
      <c r="H11877" t="s">
        <v>75</v>
      </c>
      <c r="I11877">
        <v>107748.20299999999</v>
      </c>
      <c r="J11877" t="s">
        <v>76</v>
      </c>
      <c r="K11877" t="s">
        <v>77</v>
      </c>
    </row>
    <row r="11878" spans="1:12" x14ac:dyDescent="0.3">
      <c r="A11878" t="s">
        <v>497</v>
      </c>
      <c r="B11878" t="s">
        <v>72</v>
      </c>
      <c r="C11878">
        <v>1</v>
      </c>
      <c r="D11878" t="s">
        <v>94</v>
      </c>
      <c r="E11878">
        <v>9.6919999999999992E-3</v>
      </c>
      <c r="F11878" t="s">
        <v>74</v>
      </c>
      <c r="G11878">
        <v>9.6914999999999996</v>
      </c>
      <c r="H11878" t="s">
        <v>75</v>
      </c>
      <c r="I11878">
        <v>9691.5</v>
      </c>
      <c r="J11878" t="s">
        <v>76</v>
      </c>
      <c r="K11878" t="s">
        <v>77</v>
      </c>
    </row>
    <row r="11879" spans="1:12" x14ac:dyDescent="0.3">
      <c r="A11879" t="s">
        <v>497</v>
      </c>
      <c r="B11879" t="s">
        <v>72</v>
      </c>
      <c r="C11879">
        <v>1</v>
      </c>
      <c r="D11879" t="s">
        <v>80</v>
      </c>
      <c r="E11879">
        <v>9.6930000000000002E-3</v>
      </c>
      <c r="F11879" t="s">
        <v>74</v>
      </c>
      <c r="G11879">
        <v>9.6926000000000005</v>
      </c>
      <c r="H11879" t="s">
        <v>75</v>
      </c>
      <c r="I11879">
        <v>9692.6</v>
      </c>
      <c r="J11879" t="s">
        <v>76</v>
      </c>
      <c r="K11879" t="s">
        <v>77</v>
      </c>
    </row>
    <row r="11880" spans="1:12" x14ac:dyDescent="0.3">
      <c r="A11880" t="s">
        <v>497</v>
      </c>
      <c r="B11880" t="s">
        <v>72</v>
      </c>
      <c r="C11880">
        <v>1</v>
      </c>
      <c r="D11880" t="s">
        <v>81</v>
      </c>
      <c r="E11880">
        <v>0.117441</v>
      </c>
      <c r="F11880" t="s">
        <v>74</v>
      </c>
      <c r="G11880">
        <v>117.4414</v>
      </c>
      <c r="H11880" t="s">
        <v>75</v>
      </c>
      <c r="I11880">
        <v>117441.401</v>
      </c>
      <c r="J11880" t="s">
        <v>76</v>
      </c>
      <c r="K11880" t="s">
        <v>82</v>
      </c>
      <c r="L11880">
        <v>8.5148848000000008</v>
      </c>
    </row>
    <row r="11881" spans="1:12" x14ac:dyDescent="0.3">
      <c r="A11881" t="s">
        <v>497</v>
      </c>
      <c r="B11881" t="s">
        <v>83</v>
      </c>
      <c r="C11881">
        <v>611</v>
      </c>
      <c r="D11881" t="s">
        <v>79</v>
      </c>
      <c r="E11881">
        <v>2.7699999999999999E-3</v>
      </c>
      <c r="F11881" t="s">
        <v>74</v>
      </c>
      <c r="G11881">
        <v>2.7702100000000001</v>
      </c>
      <c r="H11881" t="s">
        <v>75</v>
      </c>
      <c r="I11881">
        <v>2770.2060000000001</v>
      </c>
      <c r="J11881" t="s">
        <v>76</v>
      </c>
      <c r="K11881" t="s">
        <v>77</v>
      </c>
    </row>
    <row r="11882" spans="1:12" x14ac:dyDescent="0.3">
      <c r="A11882" t="s">
        <v>497</v>
      </c>
      <c r="B11882" t="s">
        <v>83</v>
      </c>
      <c r="C11882">
        <v>611</v>
      </c>
      <c r="D11882" t="s">
        <v>94</v>
      </c>
      <c r="E11882">
        <v>4.8170000000000001E-3</v>
      </c>
      <c r="F11882" t="s">
        <v>74</v>
      </c>
      <c r="G11882">
        <v>4.8165699999999996</v>
      </c>
      <c r="H11882" t="s">
        <v>75</v>
      </c>
      <c r="I11882">
        <v>4816.5680000000002</v>
      </c>
      <c r="J11882" t="s">
        <v>76</v>
      </c>
      <c r="K11882" t="s">
        <v>77</v>
      </c>
    </row>
    <row r="11883" spans="1:12" x14ac:dyDescent="0.3">
      <c r="A11883" t="s">
        <v>497</v>
      </c>
      <c r="B11883" t="s">
        <v>83</v>
      </c>
      <c r="C11883">
        <v>611</v>
      </c>
      <c r="D11883" t="s">
        <v>80</v>
      </c>
      <c r="E11883">
        <v>5.0010000000000002E-3</v>
      </c>
      <c r="F11883" t="s">
        <v>74</v>
      </c>
      <c r="G11883">
        <v>5.0012400000000001</v>
      </c>
      <c r="H11883" t="s">
        <v>75</v>
      </c>
      <c r="I11883">
        <v>5001.2439999999997</v>
      </c>
      <c r="J11883" t="s">
        <v>76</v>
      </c>
      <c r="K11883" t="s">
        <v>77</v>
      </c>
    </row>
    <row r="11884" spans="1:12" x14ac:dyDescent="0.3">
      <c r="A11884" t="s">
        <v>497</v>
      </c>
      <c r="B11884" t="s">
        <v>83</v>
      </c>
      <c r="C11884">
        <v>611</v>
      </c>
      <c r="D11884" t="s">
        <v>81</v>
      </c>
      <c r="E11884">
        <v>7.7720000000000003E-3</v>
      </c>
      <c r="F11884" t="s">
        <v>74</v>
      </c>
      <c r="G11884">
        <v>7.7717700000000001</v>
      </c>
      <c r="H11884" t="s">
        <v>75</v>
      </c>
      <c r="I11884">
        <v>7771.7659999999996</v>
      </c>
      <c r="J11884" t="s">
        <v>76</v>
      </c>
      <c r="K11884" t="s">
        <v>82</v>
      </c>
      <c r="L11884">
        <v>128.6708849</v>
      </c>
    </row>
    <row r="11885" spans="1:12" x14ac:dyDescent="0.3">
      <c r="A11885" t="s">
        <v>497</v>
      </c>
      <c r="B11885" t="s">
        <v>84</v>
      </c>
      <c r="C11885">
        <v>612</v>
      </c>
      <c r="D11885" t="s">
        <v>79</v>
      </c>
      <c r="E11885">
        <v>2.9420000000000002E-3</v>
      </c>
      <c r="F11885" t="s">
        <v>74</v>
      </c>
      <c r="G11885">
        <v>2.9417399999999998</v>
      </c>
      <c r="H11885" t="s">
        <v>75</v>
      </c>
      <c r="I11885">
        <v>2941.74</v>
      </c>
      <c r="J11885" t="s">
        <v>76</v>
      </c>
      <c r="K11885" t="s">
        <v>77</v>
      </c>
    </row>
    <row r="11886" spans="1:12" x14ac:dyDescent="0.3">
      <c r="A11886" t="s">
        <v>497</v>
      </c>
      <c r="B11886" t="s">
        <v>84</v>
      </c>
      <c r="C11886">
        <v>612</v>
      </c>
      <c r="D11886" t="s">
        <v>94</v>
      </c>
      <c r="E11886">
        <v>4.8250000000000003E-3</v>
      </c>
      <c r="F11886" t="s">
        <v>74</v>
      </c>
      <c r="G11886">
        <v>4.8245300000000002</v>
      </c>
      <c r="H11886" t="s">
        <v>75</v>
      </c>
      <c r="I11886">
        <v>4824.5339999999997</v>
      </c>
      <c r="J11886" t="s">
        <v>76</v>
      </c>
      <c r="K11886" t="s">
        <v>77</v>
      </c>
    </row>
    <row r="11887" spans="1:12" x14ac:dyDescent="0.3">
      <c r="A11887" t="s">
        <v>497</v>
      </c>
      <c r="B11887" t="s">
        <v>84</v>
      </c>
      <c r="C11887">
        <v>612</v>
      </c>
      <c r="D11887" t="s">
        <v>80</v>
      </c>
      <c r="E11887">
        <v>5.0090000000000004E-3</v>
      </c>
      <c r="F11887" t="s">
        <v>74</v>
      </c>
      <c r="G11887">
        <v>5.0089100000000002</v>
      </c>
      <c r="H11887" t="s">
        <v>75</v>
      </c>
      <c r="I11887">
        <v>5008.91</v>
      </c>
      <c r="J11887" t="s">
        <v>76</v>
      </c>
      <c r="K11887" t="s">
        <v>77</v>
      </c>
    </row>
    <row r="11888" spans="1:12" x14ac:dyDescent="0.3">
      <c r="A11888" t="s">
        <v>497</v>
      </c>
      <c r="B11888" t="s">
        <v>84</v>
      </c>
      <c r="C11888">
        <v>612</v>
      </c>
      <c r="D11888" t="s">
        <v>81</v>
      </c>
      <c r="E11888">
        <v>7.9509999999999997E-3</v>
      </c>
      <c r="F11888" t="s">
        <v>74</v>
      </c>
      <c r="G11888">
        <v>7.9509600000000002</v>
      </c>
      <c r="H11888" t="s">
        <v>75</v>
      </c>
      <c r="I11888">
        <v>7950.9639999999999</v>
      </c>
      <c r="J11888" t="s">
        <v>76</v>
      </c>
      <c r="K11888" t="s">
        <v>82</v>
      </c>
      <c r="L11888">
        <v>125.7709078</v>
      </c>
    </row>
    <row r="11889" spans="1:12" x14ac:dyDescent="0.3">
      <c r="A11889" t="s">
        <v>498</v>
      </c>
      <c r="B11889" t="s">
        <v>72</v>
      </c>
      <c r="C11889">
        <v>1</v>
      </c>
      <c r="D11889" t="s">
        <v>73</v>
      </c>
      <c r="E11889">
        <v>6.4999999999999994E-5</v>
      </c>
      <c r="F11889" t="s">
        <v>74</v>
      </c>
      <c r="G11889">
        <v>6.5100000000000005E-2</v>
      </c>
      <c r="H11889" t="s">
        <v>75</v>
      </c>
      <c r="I11889">
        <v>65.099999999999994</v>
      </c>
      <c r="J11889" t="s">
        <v>76</v>
      </c>
      <c r="K11889" t="s">
        <v>77</v>
      </c>
    </row>
    <row r="11890" spans="1:12" x14ac:dyDescent="0.3">
      <c r="A11890" t="s">
        <v>498</v>
      </c>
      <c r="B11890" t="s">
        <v>72</v>
      </c>
      <c r="C11890">
        <v>1</v>
      </c>
      <c r="D11890" t="s">
        <v>78</v>
      </c>
      <c r="E11890">
        <v>0.141288</v>
      </c>
      <c r="F11890" t="s">
        <v>74</v>
      </c>
      <c r="G11890">
        <v>141.28809999999999</v>
      </c>
      <c r="H11890" t="s">
        <v>75</v>
      </c>
      <c r="I11890">
        <v>141288.10200000001</v>
      </c>
      <c r="J11890" t="s">
        <v>76</v>
      </c>
      <c r="K11890" t="s">
        <v>77</v>
      </c>
    </row>
    <row r="11891" spans="1:12" x14ac:dyDescent="0.3">
      <c r="A11891" t="s">
        <v>498</v>
      </c>
      <c r="B11891" t="s">
        <v>72</v>
      </c>
      <c r="C11891">
        <v>2</v>
      </c>
      <c r="D11891" t="s">
        <v>86</v>
      </c>
      <c r="E11891">
        <v>0.168295</v>
      </c>
      <c r="F11891" t="s">
        <v>74</v>
      </c>
      <c r="G11891">
        <v>168.29459</v>
      </c>
      <c r="H11891" t="s">
        <v>75</v>
      </c>
      <c r="I11891">
        <v>168294.59400000001</v>
      </c>
      <c r="J11891" t="s">
        <v>76</v>
      </c>
      <c r="K11891" t="s">
        <v>82</v>
      </c>
      <c r="L11891">
        <v>5.9419614999999997</v>
      </c>
    </row>
    <row r="11892" spans="1:12" x14ac:dyDescent="0.3">
      <c r="A11892" t="s">
        <v>498</v>
      </c>
      <c r="B11892" t="s">
        <v>83</v>
      </c>
      <c r="C11892">
        <v>999</v>
      </c>
      <c r="D11892" t="s">
        <v>86</v>
      </c>
      <c r="E11892">
        <v>4.8120000000000003E-3</v>
      </c>
      <c r="F11892" t="s">
        <v>74</v>
      </c>
      <c r="G11892">
        <v>4.8120799999999999</v>
      </c>
      <c r="H11892" t="s">
        <v>75</v>
      </c>
      <c r="I11892">
        <v>4812.0780000000004</v>
      </c>
      <c r="J11892" t="s">
        <v>76</v>
      </c>
      <c r="K11892" t="s">
        <v>82</v>
      </c>
      <c r="L11892">
        <v>207.81041680000001</v>
      </c>
    </row>
    <row r="11893" spans="1:12" x14ac:dyDescent="0.3">
      <c r="A11893" t="s">
        <v>498</v>
      </c>
      <c r="B11893" t="s">
        <v>85</v>
      </c>
      <c r="C11893">
        <v>1001</v>
      </c>
      <c r="D11893" t="s">
        <v>86</v>
      </c>
      <c r="E11893">
        <v>4.9259999999999998E-3</v>
      </c>
      <c r="F11893" t="s">
        <v>74</v>
      </c>
      <c r="G11893">
        <v>4.9256099999999998</v>
      </c>
      <c r="H11893" t="s">
        <v>75</v>
      </c>
      <c r="I11893">
        <v>4925.6120000000001</v>
      </c>
      <c r="J11893" t="s">
        <v>76</v>
      </c>
      <c r="K11893" t="s">
        <v>82</v>
      </c>
      <c r="L11893">
        <v>203.0204535</v>
      </c>
    </row>
    <row r="11894" spans="1:12" x14ac:dyDescent="0.3">
      <c r="A11894" t="s">
        <v>194</v>
      </c>
    </row>
    <row r="11895" spans="1:12" x14ac:dyDescent="0.3">
      <c r="A11895" t="s">
        <v>194</v>
      </c>
    </row>
    <row r="11896" spans="1:12" x14ac:dyDescent="0.3">
      <c r="A11896" t="s">
        <v>545</v>
      </c>
    </row>
    <row r="11897" spans="1:12" x14ac:dyDescent="0.3">
      <c r="A11897" t="s">
        <v>496</v>
      </c>
      <c r="B11897" t="s">
        <v>72</v>
      </c>
      <c r="C11897">
        <v>1</v>
      </c>
      <c r="D11897" t="s">
        <v>79</v>
      </c>
      <c r="E11897">
        <v>7.79E-3</v>
      </c>
      <c r="F11897" t="s">
        <v>74</v>
      </c>
      <c r="G11897">
        <v>7.7899000000000003</v>
      </c>
      <c r="H11897" t="s">
        <v>75</v>
      </c>
      <c r="I11897">
        <v>7789.9</v>
      </c>
      <c r="J11897" t="s">
        <v>76</v>
      </c>
      <c r="K11897" t="s">
        <v>77</v>
      </c>
    </row>
    <row r="11898" spans="1:12" x14ac:dyDescent="0.3">
      <c r="A11898" t="s">
        <v>496</v>
      </c>
      <c r="B11898" t="s">
        <v>72</v>
      </c>
      <c r="C11898">
        <v>1</v>
      </c>
      <c r="D11898" t="s">
        <v>94</v>
      </c>
      <c r="E11898">
        <v>1.6864000000000001E-2</v>
      </c>
      <c r="F11898" t="s">
        <v>74</v>
      </c>
      <c r="G11898">
        <v>16.864100000000001</v>
      </c>
      <c r="H11898" t="s">
        <v>75</v>
      </c>
      <c r="I11898">
        <v>16864.099999999999</v>
      </c>
      <c r="J11898" t="s">
        <v>76</v>
      </c>
      <c r="K11898" t="s">
        <v>77</v>
      </c>
    </row>
    <row r="11899" spans="1:12" x14ac:dyDescent="0.3">
      <c r="A11899" t="s">
        <v>496</v>
      </c>
      <c r="B11899" t="s">
        <v>72</v>
      </c>
      <c r="C11899">
        <v>1</v>
      </c>
      <c r="D11899" t="s">
        <v>80</v>
      </c>
      <c r="E11899">
        <v>1.7017000000000001E-2</v>
      </c>
      <c r="F11899" t="s">
        <v>74</v>
      </c>
      <c r="G11899">
        <v>17.0169</v>
      </c>
      <c r="H11899" t="s">
        <v>75</v>
      </c>
      <c r="I11899">
        <v>17016.901000000002</v>
      </c>
      <c r="J11899" t="s">
        <v>76</v>
      </c>
      <c r="K11899" t="s">
        <v>77</v>
      </c>
    </row>
    <row r="11900" spans="1:12" x14ac:dyDescent="0.3">
      <c r="A11900" t="s">
        <v>496</v>
      </c>
      <c r="B11900" t="s">
        <v>72</v>
      </c>
      <c r="C11900">
        <v>1</v>
      </c>
      <c r="D11900" t="s">
        <v>81</v>
      </c>
      <c r="E11900">
        <v>2.4806999999999999E-2</v>
      </c>
      <c r="F11900" t="s">
        <v>74</v>
      </c>
      <c r="G11900">
        <v>24.807200000000002</v>
      </c>
      <c r="H11900" t="s">
        <v>75</v>
      </c>
      <c r="I11900">
        <v>24807.200000000001</v>
      </c>
      <c r="J11900" t="s">
        <v>76</v>
      </c>
      <c r="K11900" t="s">
        <v>82</v>
      </c>
      <c r="L11900">
        <v>40.3108778</v>
      </c>
    </row>
    <row r="11901" spans="1:12" x14ac:dyDescent="0.3">
      <c r="A11901" t="s">
        <v>496</v>
      </c>
      <c r="B11901" t="s">
        <v>83</v>
      </c>
      <c r="C11901">
        <v>468</v>
      </c>
      <c r="D11901" t="s">
        <v>79</v>
      </c>
      <c r="E11901">
        <v>4.1949999999999999E-3</v>
      </c>
      <c r="F11901" t="s">
        <v>74</v>
      </c>
      <c r="G11901">
        <v>4.1947400000000004</v>
      </c>
      <c r="H11901" t="s">
        <v>75</v>
      </c>
      <c r="I11901">
        <v>4194.7420000000002</v>
      </c>
      <c r="J11901" t="s">
        <v>76</v>
      </c>
      <c r="K11901" t="s">
        <v>77</v>
      </c>
    </row>
    <row r="11902" spans="1:12" x14ac:dyDescent="0.3">
      <c r="A11902" t="s">
        <v>496</v>
      </c>
      <c r="B11902" t="s">
        <v>83</v>
      </c>
      <c r="C11902">
        <v>468</v>
      </c>
      <c r="D11902" t="s">
        <v>94</v>
      </c>
      <c r="E11902">
        <v>6.7530000000000003E-3</v>
      </c>
      <c r="F11902" t="s">
        <v>74</v>
      </c>
      <c r="G11902">
        <v>6.7533500000000002</v>
      </c>
      <c r="H11902" t="s">
        <v>75</v>
      </c>
      <c r="I11902">
        <v>6753.35</v>
      </c>
      <c r="J11902" t="s">
        <v>76</v>
      </c>
      <c r="K11902" t="s">
        <v>77</v>
      </c>
    </row>
    <row r="11903" spans="1:12" x14ac:dyDescent="0.3">
      <c r="A11903" t="s">
        <v>496</v>
      </c>
      <c r="B11903" t="s">
        <v>83</v>
      </c>
      <c r="C11903">
        <v>468</v>
      </c>
      <c r="D11903" t="s">
        <v>80</v>
      </c>
      <c r="E11903">
        <v>6.9309999999999997E-3</v>
      </c>
      <c r="F11903" t="s">
        <v>74</v>
      </c>
      <c r="G11903">
        <v>6.9313000000000002</v>
      </c>
      <c r="H11903" t="s">
        <v>75</v>
      </c>
      <c r="I11903">
        <v>6931.2960000000003</v>
      </c>
      <c r="J11903" t="s">
        <v>76</v>
      </c>
      <c r="K11903" t="s">
        <v>77</v>
      </c>
    </row>
    <row r="11904" spans="1:12" x14ac:dyDescent="0.3">
      <c r="A11904" t="s">
        <v>496</v>
      </c>
      <c r="B11904" t="s">
        <v>83</v>
      </c>
      <c r="C11904">
        <v>468</v>
      </c>
      <c r="D11904" t="s">
        <v>81</v>
      </c>
      <c r="E11904">
        <v>1.1126E-2</v>
      </c>
      <c r="F11904" t="s">
        <v>74</v>
      </c>
      <c r="G11904">
        <v>11.126329999999999</v>
      </c>
      <c r="H11904" t="s">
        <v>75</v>
      </c>
      <c r="I11904">
        <v>11126.333000000001</v>
      </c>
      <c r="J11904" t="s">
        <v>76</v>
      </c>
      <c r="K11904" t="s">
        <v>82</v>
      </c>
      <c r="L11904">
        <v>89.876872899999995</v>
      </c>
    </row>
    <row r="11905" spans="1:12" x14ac:dyDescent="0.3">
      <c r="A11905" t="s">
        <v>496</v>
      </c>
      <c r="B11905" t="s">
        <v>84</v>
      </c>
      <c r="C11905">
        <v>469</v>
      </c>
      <c r="D11905" t="s">
        <v>79</v>
      </c>
      <c r="E11905">
        <v>4.202E-3</v>
      </c>
      <c r="F11905" t="s">
        <v>74</v>
      </c>
      <c r="G11905">
        <v>4.2024100000000004</v>
      </c>
      <c r="H11905" t="s">
        <v>75</v>
      </c>
      <c r="I11905">
        <v>4202.4080000000004</v>
      </c>
      <c r="J11905" t="s">
        <v>76</v>
      </c>
      <c r="K11905" t="s">
        <v>77</v>
      </c>
    </row>
    <row r="11906" spans="1:12" x14ac:dyDescent="0.3">
      <c r="A11906" t="s">
        <v>496</v>
      </c>
      <c r="B11906" t="s">
        <v>84</v>
      </c>
      <c r="C11906">
        <v>469</v>
      </c>
      <c r="D11906" t="s">
        <v>94</v>
      </c>
      <c r="E11906">
        <v>6.7749999999999998E-3</v>
      </c>
      <c r="F11906" t="s">
        <v>74</v>
      </c>
      <c r="G11906">
        <v>6.7749100000000002</v>
      </c>
      <c r="H11906" t="s">
        <v>75</v>
      </c>
      <c r="I11906">
        <v>6774.9080000000004</v>
      </c>
      <c r="J11906" t="s">
        <v>76</v>
      </c>
      <c r="K11906" t="s">
        <v>77</v>
      </c>
    </row>
    <row r="11907" spans="1:12" x14ac:dyDescent="0.3">
      <c r="A11907" t="s">
        <v>496</v>
      </c>
      <c r="B11907" t="s">
        <v>84</v>
      </c>
      <c r="C11907">
        <v>469</v>
      </c>
      <c r="D11907" t="s">
        <v>80</v>
      </c>
      <c r="E11907">
        <v>6.953E-3</v>
      </c>
      <c r="F11907" t="s">
        <v>74</v>
      </c>
      <c r="G11907">
        <v>6.9527999999999999</v>
      </c>
      <c r="H11907" t="s">
        <v>75</v>
      </c>
      <c r="I11907">
        <v>6952.8019999999997</v>
      </c>
      <c r="J11907" t="s">
        <v>76</v>
      </c>
      <c r="K11907" t="s">
        <v>77</v>
      </c>
    </row>
    <row r="11908" spans="1:12" x14ac:dyDescent="0.3">
      <c r="A11908" t="s">
        <v>496</v>
      </c>
      <c r="B11908" t="s">
        <v>84</v>
      </c>
      <c r="C11908">
        <v>469</v>
      </c>
      <c r="D11908" t="s">
        <v>81</v>
      </c>
      <c r="E11908">
        <v>1.1155999999999999E-2</v>
      </c>
      <c r="F11908" t="s">
        <v>74</v>
      </c>
      <c r="G11908">
        <v>11.1555</v>
      </c>
      <c r="H11908" t="s">
        <v>75</v>
      </c>
      <c r="I11908">
        <v>11155.504999999999</v>
      </c>
      <c r="J11908" t="s">
        <v>76</v>
      </c>
      <c r="K11908" t="s">
        <v>82</v>
      </c>
      <c r="L11908">
        <v>89.641843199999997</v>
      </c>
    </row>
    <row r="11909" spans="1:12" x14ac:dyDescent="0.3">
      <c r="A11909" t="s">
        <v>497</v>
      </c>
      <c r="B11909" t="s">
        <v>72</v>
      </c>
      <c r="C11909">
        <v>1</v>
      </c>
      <c r="D11909" t="s">
        <v>79</v>
      </c>
      <c r="E11909">
        <v>5.241E-3</v>
      </c>
      <c r="F11909" t="s">
        <v>74</v>
      </c>
      <c r="G11909">
        <v>5.2407000000000004</v>
      </c>
      <c r="H11909" t="s">
        <v>75</v>
      </c>
      <c r="I11909">
        <v>5240.7</v>
      </c>
      <c r="J11909" t="s">
        <v>76</v>
      </c>
      <c r="K11909" t="s">
        <v>77</v>
      </c>
    </row>
    <row r="11910" spans="1:12" x14ac:dyDescent="0.3">
      <c r="A11910" t="s">
        <v>497</v>
      </c>
      <c r="B11910" t="s">
        <v>72</v>
      </c>
      <c r="C11910">
        <v>1</v>
      </c>
      <c r="D11910" t="s">
        <v>94</v>
      </c>
      <c r="E11910">
        <v>4.4289999999999998E-3</v>
      </c>
      <c r="F11910" t="s">
        <v>74</v>
      </c>
      <c r="G11910">
        <v>4.4291</v>
      </c>
      <c r="H11910" t="s">
        <v>75</v>
      </c>
      <c r="I11910">
        <v>4429.1000000000004</v>
      </c>
      <c r="J11910" t="s">
        <v>76</v>
      </c>
      <c r="K11910" t="s">
        <v>77</v>
      </c>
    </row>
    <row r="11911" spans="1:12" x14ac:dyDescent="0.3">
      <c r="A11911" t="s">
        <v>497</v>
      </c>
      <c r="B11911" t="s">
        <v>72</v>
      </c>
      <c r="C11911">
        <v>1</v>
      </c>
      <c r="D11911" t="s">
        <v>80</v>
      </c>
      <c r="E11911">
        <v>4.6129999999999999E-3</v>
      </c>
      <c r="F11911" t="s">
        <v>74</v>
      </c>
      <c r="G11911">
        <v>4.6128</v>
      </c>
      <c r="H11911" t="s">
        <v>75</v>
      </c>
      <c r="I11911">
        <v>4612.8</v>
      </c>
      <c r="J11911" t="s">
        <v>76</v>
      </c>
      <c r="K11911" t="s">
        <v>77</v>
      </c>
    </row>
    <row r="11912" spans="1:12" x14ac:dyDescent="0.3">
      <c r="A11912" t="s">
        <v>497</v>
      </c>
      <c r="B11912" t="s">
        <v>72</v>
      </c>
      <c r="C11912">
        <v>1</v>
      </c>
      <c r="D11912" t="s">
        <v>81</v>
      </c>
      <c r="E11912">
        <v>9.8539999999999999E-3</v>
      </c>
      <c r="F11912" t="s">
        <v>74</v>
      </c>
      <c r="G11912">
        <v>9.8537999999999997</v>
      </c>
      <c r="H11912" t="s">
        <v>75</v>
      </c>
      <c r="I11912">
        <v>9853.7999999999993</v>
      </c>
      <c r="J11912" t="s">
        <v>76</v>
      </c>
      <c r="K11912" t="s">
        <v>82</v>
      </c>
      <c r="L11912">
        <v>101.4836933</v>
      </c>
    </row>
    <row r="11913" spans="1:12" x14ac:dyDescent="0.3">
      <c r="A11913" t="s">
        <v>497</v>
      </c>
      <c r="B11913" t="s">
        <v>83</v>
      </c>
      <c r="C11913">
        <v>531</v>
      </c>
      <c r="D11913" t="s">
        <v>79</v>
      </c>
      <c r="E11913">
        <v>3.46E-3</v>
      </c>
      <c r="F11913" t="s">
        <v>74</v>
      </c>
      <c r="G11913">
        <v>3.46034</v>
      </c>
      <c r="H11913" t="s">
        <v>75</v>
      </c>
      <c r="I11913">
        <v>3460.3420000000001</v>
      </c>
      <c r="J11913" t="s">
        <v>76</v>
      </c>
      <c r="K11913" t="s">
        <v>77</v>
      </c>
    </row>
    <row r="11914" spans="1:12" x14ac:dyDescent="0.3">
      <c r="A11914" t="s">
        <v>497</v>
      </c>
      <c r="B11914" t="s">
        <v>83</v>
      </c>
      <c r="C11914">
        <v>531</v>
      </c>
      <c r="D11914" t="s">
        <v>94</v>
      </c>
      <c r="E11914">
        <v>6.1419999999999999E-3</v>
      </c>
      <c r="F11914" t="s">
        <v>74</v>
      </c>
      <c r="G11914">
        <v>6.1423399999999999</v>
      </c>
      <c r="H11914" t="s">
        <v>75</v>
      </c>
      <c r="I11914">
        <v>6142.3370000000004</v>
      </c>
      <c r="J11914" t="s">
        <v>76</v>
      </c>
      <c r="K11914" t="s">
        <v>77</v>
      </c>
    </row>
    <row r="11915" spans="1:12" x14ac:dyDescent="0.3">
      <c r="A11915" t="s">
        <v>497</v>
      </c>
      <c r="B11915" t="s">
        <v>83</v>
      </c>
      <c r="C11915">
        <v>531</v>
      </c>
      <c r="D11915" t="s">
        <v>80</v>
      </c>
      <c r="E11915">
        <v>6.3340000000000002E-3</v>
      </c>
      <c r="F11915" t="s">
        <v>74</v>
      </c>
      <c r="G11915">
        <v>6.3335600000000003</v>
      </c>
      <c r="H11915" t="s">
        <v>75</v>
      </c>
      <c r="I11915">
        <v>6333.5590000000002</v>
      </c>
      <c r="J11915" t="s">
        <v>76</v>
      </c>
      <c r="K11915" t="s">
        <v>77</v>
      </c>
    </row>
    <row r="11916" spans="1:12" x14ac:dyDescent="0.3">
      <c r="A11916" t="s">
        <v>497</v>
      </c>
      <c r="B11916" t="s">
        <v>83</v>
      </c>
      <c r="C11916">
        <v>531</v>
      </c>
      <c r="D11916" t="s">
        <v>81</v>
      </c>
      <c r="E11916">
        <v>9.7940000000000006E-3</v>
      </c>
      <c r="F11916" t="s">
        <v>74</v>
      </c>
      <c r="G11916">
        <v>9.7943099999999994</v>
      </c>
      <c r="H11916" t="s">
        <v>75</v>
      </c>
      <c r="I11916">
        <v>9794.3070000000007</v>
      </c>
      <c r="J11916" t="s">
        <v>76</v>
      </c>
      <c r="K11916" t="s">
        <v>82</v>
      </c>
      <c r="L11916">
        <v>102.10012740000001</v>
      </c>
    </row>
    <row r="11917" spans="1:12" x14ac:dyDescent="0.3">
      <c r="A11917" t="s">
        <v>497</v>
      </c>
      <c r="B11917" t="s">
        <v>84</v>
      </c>
      <c r="C11917">
        <v>532</v>
      </c>
      <c r="D11917" t="s">
        <v>79</v>
      </c>
      <c r="E11917">
        <v>3.4640000000000001E-3</v>
      </c>
      <c r="F11917" t="s">
        <v>74</v>
      </c>
      <c r="G11917">
        <v>3.4636900000000002</v>
      </c>
      <c r="H11917" t="s">
        <v>75</v>
      </c>
      <c r="I11917">
        <v>3463.6889999999999</v>
      </c>
      <c r="J11917" t="s">
        <v>76</v>
      </c>
      <c r="K11917" t="s">
        <v>77</v>
      </c>
    </row>
    <row r="11918" spans="1:12" x14ac:dyDescent="0.3">
      <c r="A11918" t="s">
        <v>497</v>
      </c>
      <c r="B11918" t="s">
        <v>84</v>
      </c>
      <c r="C11918">
        <v>532</v>
      </c>
      <c r="D11918" t="s">
        <v>94</v>
      </c>
      <c r="E11918">
        <v>6.1390000000000004E-3</v>
      </c>
      <c r="F11918" t="s">
        <v>74</v>
      </c>
      <c r="G11918">
        <v>6.1391200000000001</v>
      </c>
      <c r="H11918" t="s">
        <v>75</v>
      </c>
      <c r="I11918">
        <v>6139.1180000000004</v>
      </c>
      <c r="J11918" t="s">
        <v>76</v>
      </c>
      <c r="K11918" t="s">
        <v>77</v>
      </c>
    </row>
    <row r="11919" spans="1:12" x14ac:dyDescent="0.3">
      <c r="A11919" t="s">
        <v>497</v>
      </c>
      <c r="B11919" t="s">
        <v>84</v>
      </c>
      <c r="C11919">
        <v>532</v>
      </c>
      <c r="D11919" t="s">
        <v>80</v>
      </c>
      <c r="E11919">
        <v>6.3299999999999997E-3</v>
      </c>
      <c r="F11919" t="s">
        <v>74</v>
      </c>
      <c r="G11919">
        <v>6.3303200000000004</v>
      </c>
      <c r="H11919" t="s">
        <v>75</v>
      </c>
      <c r="I11919">
        <v>6330.3249999999998</v>
      </c>
      <c r="J11919" t="s">
        <v>76</v>
      </c>
      <c r="K11919" t="s">
        <v>77</v>
      </c>
    </row>
    <row r="11920" spans="1:12" x14ac:dyDescent="0.3">
      <c r="A11920" t="s">
        <v>497</v>
      </c>
      <c r="B11920" t="s">
        <v>84</v>
      </c>
      <c r="C11920">
        <v>532</v>
      </c>
      <c r="D11920" t="s">
        <v>81</v>
      </c>
      <c r="E11920">
        <v>9.7940000000000006E-3</v>
      </c>
      <c r="F11920" t="s">
        <v>74</v>
      </c>
      <c r="G11920">
        <v>9.7944200000000006</v>
      </c>
      <c r="H11920" t="s">
        <v>75</v>
      </c>
      <c r="I11920">
        <v>9794.42</v>
      </c>
      <c r="J11920" t="s">
        <v>76</v>
      </c>
      <c r="K11920" t="s">
        <v>82</v>
      </c>
      <c r="L11920">
        <v>102.09895160000001</v>
      </c>
    </row>
    <row r="11921" spans="1:12" x14ac:dyDescent="0.3">
      <c r="A11921" t="s">
        <v>498</v>
      </c>
      <c r="B11921" t="s">
        <v>72</v>
      </c>
      <c r="C11921">
        <v>1</v>
      </c>
      <c r="D11921" t="s">
        <v>73</v>
      </c>
      <c r="E11921">
        <v>6.4999999999999994E-5</v>
      </c>
      <c r="F11921" t="s">
        <v>74</v>
      </c>
      <c r="G11921">
        <v>6.5100000000000005E-2</v>
      </c>
      <c r="H11921" t="s">
        <v>75</v>
      </c>
      <c r="I11921">
        <v>65.099999999999994</v>
      </c>
      <c r="J11921" t="s">
        <v>76</v>
      </c>
      <c r="K11921" t="s">
        <v>77</v>
      </c>
    </row>
    <row r="11922" spans="1:12" x14ac:dyDescent="0.3">
      <c r="A11922" t="s">
        <v>498</v>
      </c>
      <c r="B11922" t="s">
        <v>72</v>
      </c>
      <c r="C11922">
        <v>1</v>
      </c>
      <c r="D11922" t="s">
        <v>78</v>
      </c>
      <c r="E11922">
        <v>1.47E-4</v>
      </c>
      <c r="F11922" t="s">
        <v>74</v>
      </c>
      <c r="G11922">
        <v>0.1472</v>
      </c>
      <c r="H11922" t="s">
        <v>75</v>
      </c>
      <c r="I11922">
        <v>147.19999999999999</v>
      </c>
      <c r="J11922" t="s">
        <v>76</v>
      </c>
      <c r="K11922" t="s">
        <v>77</v>
      </c>
    </row>
    <row r="11923" spans="1:12" x14ac:dyDescent="0.3">
      <c r="A11923" t="s">
        <v>498</v>
      </c>
      <c r="B11923" t="s">
        <v>72</v>
      </c>
      <c r="C11923">
        <v>2</v>
      </c>
      <c r="D11923" t="s">
        <v>86</v>
      </c>
      <c r="E11923">
        <v>1.2406E-2</v>
      </c>
      <c r="F11923" t="s">
        <v>74</v>
      </c>
      <c r="G11923">
        <v>12.40625</v>
      </c>
      <c r="H11923" t="s">
        <v>75</v>
      </c>
      <c r="I11923">
        <v>12406.25</v>
      </c>
      <c r="J11923" t="s">
        <v>76</v>
      </c>
      <c r="K11923" t="s">
        <v>82</v>
      </c>
      <c r="L11923">
        <v>80.604530999999994</v>
      </c>
    </row>
    <row r="11924" spans="1:12" x14ac:dyDescent="0.3">
      <c r="A11924" t="s">
        <v>498</v>
      </c>
      <c r="B11924" t="s">
        <v>83</v>
      </c>
      <c r="C11924">
        <v>999</v>
      </c>
      <c r="D11924" t="s">
        <v>86</v>
      </c>
      <c r="E11924">
        <v>5.2339999999999999E-3</v>
      </c>
      <c r="F11924" t="s">
        <v>74</v>
      </c>
      <c r="G11924">
        <v>5.2343900000000003</v>
      </c>
      <c r="H11924" t="s">
        <v>75</v>
      </c>
      <c r="I11924">
        <v>5234.3890000000001</v>
      </c>
      <c r="J11924" t="s">
        <v>76</v>
      </c>
      <c r="K11924" t="s">
        <v>82</v>
      </c>
      <c r="L11924">
        <v>191.0442486</v>
      </c>
    </row>
    <row r="11925" spans="1:12" x14ac:dyDescent="0.3">
      <c r="A11925" t="s">
        <v>498</v>
      </c>
      <c r="B11925" t="s">
        <v>85</v>
      </c>
      <c r="C11925">
        <v>1001</v>
      </c>
      <c r="D11925" t="s">
        <v>86</v>
      </c>
      <c r="E11925">
        <v>5.2399999999999999E-3</v>
      </c>
      <c r="F11925" t="s">
        <v>74</v>
      </c>
      <c r="G11925">
        <v>5.2397600000000004</v>
      </c>
      <c r="H11925" t="s">
        <v>75</v>
      </c>
      <c r="I11925">
        <v>5239.7629999999999</v>
      </c>
      <c r="J11925" t="s">
        <v>76</v>
      </c>
      <c r="K11925" t="s">
        <v>82</v>
      </c>
      <c r="L11925">
        <v>190.84830980000001</v>
      </c>
    </row>
    <row r="11926" spans="1:12" x14ac:dyDescent="0.3">
      <c r="A11926" t="s">
        <v>115</v>
      </c>
    </row>
    <row r="11927" spans="1:12" x14ac:dyDescent="0.3">
      <c r="A11927" t="s">
        <v>127</v>
      </c>
    </row>
    <row r="11928" spans="1:12" x14ac:dyDescent="0.3">
      <c r="A11928" t="s">
        <v>87</v>
      </c>
    </row>
    <row r="11929" spans="1:12" x14ac:dyDescent="0.3">
      <c r="A11929" t="s">
        <v>546</v>
      </c>
    </row>
    <row r="11930" spans="1:12" x14ac:dyDescent="0.3">
      <c r="A11930" t="s">
        <v>496</v>
      </c>
      <c r="B11930" t="s">
        <v>72</v>
      </c>
      <c r="C11930">
        <v>1</v>
      </c>
      <c r="D11930" t="s">
        <v>81</v>
      </c>
      <c r="E11930">
        <v>0.33653499999999997</v>
      </c>
      <c r="F11930" t="s">
        <v>74</v>
      </c>
      <c r="G11930">
        <v>336.53530000000001</v>
      </c>
      <c r="H11930" t="s">
        <v>75</v>
      </c>
      <c r="I11930">
        <v>336535.30499999999</v>
      </c>
      <c r="J11930" t="s">
        <v>76</v>
      </c>
      <c r="K11930" t="s">
        <v>82</v>
      </c>
      <c r="L11930">
        <v>2.9714564000000001</v>
      </c>
    </row>
    <row r="11931" spans="1:12" x14ac:dyDescent="0.3">
      <c r="A11931" t="s">
        <v>496</v>
      </c>
      <c r="B11931" t="s">
        <v>83</v>
      </c>
      <c r="C11931">
        <v>388</v>
      </c>
      <c r="D11931" t="s">
        <v>81</v>
      </c>
      <c r="E11931">
        <v>1.1814E-2</v>
      </c>
      <c r="F11931" t="s">
        <v>74</v>
      </c>
      <c r="G11931">
        <v>11.81432</v>
      </c>
      <c r="H11931" t="s">
        <v>75</v>
      </c>
      <c r="I11931">
        <v>11814.323</v>
      </c>
      <c r="J11931" t="s">
        <v>76</v>
      </c>
      <c r="K11931" t="s">
        <v>82</v>
      </c>
      <c r="L11931">
        <v>84.643024199999999</v>
      </c>
    </row>
    <row r="11932" spans="1:12" x14ac:dyDescent="0.3">
      <c r="A11932" t="s">
        <v>496</v>
      </c>
      <c r="B11932" t="s">
        <v>84</v>
      </c>
      <c r="C11932">
        <v>389</v>
      </c>
      <c r="D11932" t="s">
        <v>81</v>
      </c>
      <c r="E11932">
        <v>1.2649000000000001E-2</v>
      </c>
      <c r="F11932" t="s">
        <v>74</v>
      </c>
      <c r="G11932">
        <v>12.64908</v>
      </c>
      <c r="H11932" t="s">
        <v>75</v>
      </c>
      <c r="I11932">
        <v>12649.075000000001</v>
      </c>
      <c r="J11932" t="s">
        <v>76</v>
      </c>
      <c r="K11932" t="s">
        <v>82</v>
      </c>
      <c r="L11932">
        <v>79.0571628</v>
      </c>
    </row>
    <row r="11933" spans="1:12" x14ac:dyDescent="0.3">
      <c r="A11933" t="s">
        <v>497</v>
      </c>
      <c r="B11933" t="s">
        <v>72</v>
      </c>
      <c r="C11933">
        <v>1</v>
      </c>
      <c r="D11933" t="s">
        <v>81</v>
      </c>
      <c r="E11933">
        <v>0.117441</v>
      </c>
      <c r="F11933" t="s">
        <v>74</v>
      </c>
      <c r="G11933">
        <v>117.4414</v>
      </c>
      <c r="H11933" t="s">
        <v>75</v>
      </c>
      <c r="I11933">
        <v>117441.401</v>
      </c>
      <c r="J11933" t="s">
        <v>76</v>
      </c>
      <c r="K11933" t="s">
        <v>82</v>
      </c>
      <c r="L11933">
        <v>8.5148848000000008</v>
      </c>
    </row>
    <row r="11934" spans="1:12" x14ac:dyDescent="0.3">
      <c r="A11934" t="s">
        <v>497</v>
      </c>
      <c r="B11934" t="s">
        <v>83</v>
      </c>
      <c r="C11934">
        <v>611</v>
      </c>
      <c r="D11934" t="s">
        <v>81</v>
      </c>
      <c r="E11934">
        <v>7.7720000000000003E-3</v>
      </c>
      <c r="F11934" t="s">
        <v>74</v>
      </c>
      <c r="G11934">
        <v>7.7717700000000001</v>
      </c>
      <c r="H11934" t="s">
        <v>75</v>
      </c>
      <c r="I11934">
        <v>7771.7659999999996</v>
      </c>
      <c r="J11934" t="s">
        <v>76</v>
      </c>
      <c r="K11934" t="s">
        <v>82</v>
      </c>
      <c r="L11934">
        <v>128.6708849</v>
      </c>
    </row>
    <row r="11935" spans="1:12" x14ac:dyDescent="0.3">
      <c r="A11935" t="s">
        <v>497</v>
      </c>
      <c r="B11935" t="s">
        <v>84</v>
      </c>
      <c r="C11935">
        <v>612</v>
      </c>
      <c r="D11935" t="s">
        <v>81</v>
      </c>
      <c r="E11935">
        <v>7.9509999999999997E-3</v>
      </c>
      <c r="F11935" t="s">
        <v>74</v>
      </c>
      <c r="G11935">
        <v>7.9509600000000002</v>
      </c>
      <c r="H11935" t="s">
        <v>75</v>
      </c>
      <c r="I11935">
        <v>7950.9639999999999</v>
      </c>
      <c r="J11935" t="s">
        <v>76</v>
      </c>
      <c r="K11935" t="s">
        <v>82</v>
      </c>
      <c r="L11935">
        <v>125.7709078</v>
      </c>
    </row>
    <row r="11936" spans="1:12" x14ac:dyDescent="0.3">
      <c r="A11936" t="s">
        <v>498</v>
      </c>
      <c r="B11936" t="s">
        <v>72</v>
      </c>
      <c r="C11936">
        <v>2</v>
      </c>
      <c r="D11936" t="s">
        <v>86</v>
      </c>
      <c r="E11936">
        <v>0.168295</v>
      </c>
      <c r="F11936" t="s">
        <v>74</v>
      </c>
      <c r="G11936">
        <v>168.29459</v>
      </c>
      <c r="H11936" t="s">
        <v>75</v>
      </c>
      <c r="I11936">
        <v>168294.59400000001</v>
      </c>
      <c r="J11936" t="s">
        <v>76</v>
      </c>
      <c r="K11936" t="s">
        <v>82</v>
      </c>
      <c r="L11936">
        <v>5.9419614999999997</v>
      </c>
    </row>
    <row r="11937" spans="1:12" x14ac:dyDescent="0.3">
      <c r="A11937" t="s">
        <v>498</v>
      </c>
      <c r="B11937" t="s">
        <v>83</v>
      </c>
      <c r="C11937">
        <v>999</v>
      </c>
      <c r="D11937" t="s">
        <v>86</v>
      </c>
      <c r="E11937">
        <v>4.8120000000000003E-3</v>
      </c>
      <c r="F11937" t="s">
        <v>74</v>
      </c>
      <c r="G11937">
        <v>4.8120799999999999</v>
      </c>
      <c r="H11937" t="s">
        <v>75</v>
      </c>
      <c r="I11937">
        <v>4812.0780000000004</v>
      </c>
      <c r="J11937" t="s">
        <v>76</v>
      </c>
      <c r="K11937" t="s">
        <v>82</v>
      </c>
      <c r="L11937">
        <v>207.81041680000001</v>
      </c>
    </row>
    <row r="11938" spans="1:12" x14ac:dyDescent="0.3">
      <c r="A11938" t="s">
        <v>498</v>
      </c>
      <c r="B11938" t="s">
        <v>85</v>
      </c>
      <c r="C11938">
        <v>1001</v>
      </c>
      <c r="D11938" t="s">
        <v>86</v>
      </c>
      <c r="E11938">
        <v>4.9259999999999998E-3</v>
      </c>
      <c r="F11938" t="s">
        <v>74</v>
      </c>
      <c r="G11938">
        <v>4.9256099999999998</v>
      </c>
      <c r="H11938" t="s">
        <v>75</v>
      </c>
      <c r="I11938">
        <v>4925.6120000000001</v>
      </c>
      <c r="J11938" t="s">
        <v>76</v>
      </c>
      <c r="K11938" t="s">
        <v>82</v>
      </c>
      <c r="L11938">
        <v>203.0204535</v>
      </c>
    </row>
    <row r="11940" spans="1:12" x14ac:dyDescent="0.3">
      <c r="A11940" t="s">
        <v>547</v>
      </c>
    </row>
    <row r="11941" spans="1:12" x14ac:dyDescent="0.3">
      <c r="A11941" t="s">
        <v>496</v>
      </c>
      <c r="B11941" t="s">
        <v>72</v>
      </c>
      <c r="C11941">
        <v>1</v>
      </c>
      <c r="D11941" t="s">
        <v>81</v>
      </c>
      <c r="E11941">
        <v>2.4806999999999999E-2</v>
      </c>
      <c r="F11941" t="s">
        <v>74</v>
      </c>
      <c r="G11941">
        <v>24.807200000000002</v>
      </c>
      <c r="H11941" t="s">
        <v>75</v>
      </c>
      <c r="I11941">
        <v>24807.200000000001</v>
      </c>
      <c r="J11941" t="s">
        <v>76</v>
      </c>
      <c r="K11941" t="s">
        <v>82</v>
      </c>
      <c r="L11941">
        <v>40.3108778</v>
      </c>
    </row>
    <row r="11942" spans="1:12" x14ac:dyDescent="0.3">
      <c r="A11942" t="s">
        <v>496</v>
      </c>
      <c r="B11942" t="s">
        <v>83</v>
      </c>
      <c r="C11942">
        <v>468</v>
      </c>
      <c r="D11942" t="s">
        <v>81</v>
      </c>
      <c r="E11942">
        <v>1.1126E-2</v>
      </c>
      <c r="F11942" t="s">
        <v>74</v>
      </c>
      <c r="G11942">
        <v>11.126329999999999</v>
      </c>
      <c r="H11942" t="s">
        <v>75</v>
      </c>
      <c r="I11942">
        <v>11126.333000000001</v>
      </c>
      <c r="J11942" t="s">
        <v>76</v>
      </c>
      <c r="K11942" t="s">
        <v>82</v>
      </c>
      <c r="L11942">
        <v>89.876872899999995</v>
      </c>
    </row>
    <row r="11943" spans="1:12" x14ac:dyDescent="0.3">
      <c r="A11943" t="s">
        <v>496</v>
      </c>
      <c r="B11943" t="s">
        <v>84</v>
      </c>
      <c r="C11943">
        <v>469</v>
      </c>
      <c r="D11943" t="s">
        <v>81</v>
      </c>
      <c r="E11943">
        <v>1.1155999999999999E-2</v>
      </c>
      <c r="F11943" t="s">
        <v>74</v>
      </c>
      <c r="G11943">
        <v>11.1555</v>
      </c>
      <c r="H11943" t="s">
        <v>75</v>
      </c>
      <c r="I11943">
        <v>11155.504999999999</v>
      </c>
      <c r="J11943" t="s">
        <v>76</v>
      </c>
      <c r="K11943" t="s">
        <v>82</v>
      </c>
      <c r="L11943">
        <v>89.641843199999997</v>
      </c>
    </row>
    <row r="11944" spans="1:12" x14ac:dyDescent="0.3">
      <c r="A11944" t="s">
        <v>497</v>
      </c>
      <c r="B11944" t="s">
        <v>72</v>
      </c>
      <c r="C11944">
        <v>1</v>
      </c>
      <c r="D11944" t="s">
        <v>81</v>
      </c>
      <c r="E11944">
        <v>9.8539999999999999E-3</v>
      </c>
      <c r="F11944" t="s">
        <v>74</v>
      </c>
      <c r="G11944">
        <v>9.8537999999999997</v>
      </c>
      <c r="H11944" t="s">
        <v>75</v>
      </c>
      <c r="I11944">
        <v>9853.7999999999993</v>
      </c>
      <c r="J11944" t="s">
        <v>76</v>
      </c>
      <c r="K11944" t="s">
        <v>82</v>
      </c>
      <c r="L11944">
        <v>101.4836933</v>
      </c>
    </row>
    <row r="11945" spans="1:12" x14ac:dyDescent="0.3">
      <c r="A11945" t="s">
        <v>497</v>
      </c>
      <c r="B11945" t="s">
        <v>83</v>
      </c>
      <c r="C11945">
        <v>531</v>
      </c>
      <c r="D11945" t="s">
        <v>81</v>
      </c>
      <c r="E11945">
        <v>9.7940000000000006E-3</v>
      </c>
      <c r="F11945" t="s">
        <v>74</v>
      </c>
      <c r="G11945">
        <v>9.7943099999999994</v>
      </c>
      <c r="H11945" t="s">
        <v>75</v>
      </c>
      <c r="I11945">
        <v>9794.3070000000007</v>
      </c>
      <c r="J11945" t="s">
        <v>76</v>
      </c>
      <c r="K11945" t="s">
        <v>82</v>
      </c>
      <c r="L11945">
        <v>102.10012740000001</v>
      </c>
    </row>
    <row r="11946" spans="1:12" x14ac:dyDescent="0.3">
      <c r="A11946" t="s">
        <v>497</v>
      </c>
      <c r="B11946" t="s">
        <v>84</v>
      </c>
      <c r="C11946">
        <v>532</v>
      </c>
      <c r="D11946" t="s">
        <v>81</v>
      </c>
      <c r="E11946">
        <v>9.7940000000000006E-3</v>
      </c>
      <c r="F11946" t="s">
        <v>74</v>
      </c>
      <c r="G11946">
        <v>9.7944200000000006</v>
      </c>
      <c r="H11946" t="s">
        <v>75</v>
      </c>
      <c r="I11946">
        <v>9794.42</v>
      </c>
      <c r="J11946" t="s">
        <v>76</v>
      </c>
      <c r="K11946" t="s">
        <v>82</v>
      </c>
      <c r="L11946">
        <v>102.09895160000001</v>
      </c>
    </row>
    <row r="11947" spans="1:12" x14ac:dyDescent="0.3">
      <c r="A11947" t="s">
        <v>498</v>
      </c>
      <c r="B11947" t="s">
        <v>72</v>
      </c>
      <c r="C11947">
        <v>2</v>
      </c>
      <c r="D11947" t="s">
        <v>86</v>
      </c>
      <c r="E11947">
        <v>1.2406E-2</v>
      </c>
      <c r="F11947" t="s">
        <v>74</v>
      </c>
      <c r="G11947">
        <v>12.40625</v>
      </c>
      <c r="H11947" t="s">
        <v>75</v>
      </c>
      <c r="I11947">
        <v>12406.25</v>
      </c>
      <c r="J11947" t="s">
        <v>76</v>
      </c>
      <c r="K11947" t="s">
        <v>82</v>
      </c>
      <c r="L11947">
        <v>80.604530999999994</v>
      </c>
    </row>
    <row r="11948" spans="1:12" x14ac:dyDescent="0.3">
      <c r="A11948" t="s">
        <v>498</v>
      </c>
      <c r="B11948" t="s">
        <v>83</v>
      </c>
      <c r="C11948">
        <v>999</v>
      </c>
      <c r="D11948" t="s">
        <v>86</v>
      </c>
      <c r="E11948">
        <v>5.2339999999999999E-3</v>
      </c>
      <c r="F11948" t="s">
        <v>74</v>
      </c>
      <c r="G11948">
        <v>5.2343900000000003</v>
      </c>
      <c r="H11948" t="s">
        <v>75</v>
      </c>
      <c r="I11948">
        <v>5234.3890000000001</v>
      </c>
      <c r="J11948" t="s">
        <v>76</v>
      </c>
      <c r="K11948" t="s">
        <v>82</v>
      </c>
      <c r="L11948">
        <v>191.0442486</v>
      </c>
    </row>
    <row r="11949" spans="1:12" x14ac:dyDescent="0.3">
      <c r="A11949" t="s">
        <v>498</v>
      </c>
      <c r="B11949" t="s">
        <v>85</v>
      </c>
      <c r="C11949">
        <v>1001</v>
      </c>
      <c r="D11949" t="s">
        <v>86</v>
      </c>
      <c r="E11949">
        <v>5.2399999999999999E-3</v>
      </c>
      <c r="F11949" t="s">
        <v>74</v>
      </c>
      <c r="G11949">
        <v>5.2397600000000004</v>
      </c>
      <c r="H11949" t="s">
        <v>75</v>
      </c>
      <c r="I11949">
        <v>5239.7629999999999</v>
      </c>
      <c r="J11949" t="s">
        <v>76</v>
      </c>
      <c r="K11949" t="s">
        <v>82</v>
      </c>
      <c r="L11949">
        <v>190.84830980000001</v>
      </c>
    </row>
    <row r="11951" spans="1:12" x14ac:dyDescent="0.3">
      <c r="A11951" t="s">
        <v>66</v>
      </c>
    </row>
    <row r="11953" spans="1:1" x14ac:dyDescent="0.3">
      <c r="A11953" t="s">
        <v>548</v>
      </c>
    </row>
    <row r="11954" spans="1:1" x14ac:dyDescent="0.3">
      <c r="A11954" t="s">
        <v>68</v>
      </c>
    </row>
    <row r="11955" spans="1:1" x14ac:dyDescent="0.3">
      <c r="A11955" t="s">
        <v>69</v>
      </c>
    </row>
    <row r="11956" spans="1:1" x14ac:dyDescent="0.3">
      <c r="A11956" t="s">
        <v>68</v>
      </c>
    </row>
    <row r="11957" spans="1:1" x14ac:dyDescent="0.3">
      <c r="A11957" t="s">
        <v>69</v>
      </c>
    </row>
    <row r="11958" spans="1:1" x14ac:dyDescent="0.3">
      <c r="A11958" t="s">
        <v>70</v>
      </c>
    </row>
    <row r="11959" spans="1:1" x14ac:dyDescent="0.3">
      <c r="A11959" t="s">
        <v>115</v>
      </c>
    </row>
    <row r="11960" spans="1:1" x14ac:dyDescent="0.3">
      <c r="A11960" t="s">
        <v>116</v>
      </c>
    </row>
    <row r="11961" spans="1:1" x14ac:dyDescent="0.3">
      <c r="A11961" t="s">
        <v>117</v>
      </c>
    </row>
    <row r="11962" spans="1:1" x14ac:dyDescent="0.3">
      <c r="A11962" t="s">
        <v>118</v>
      </c>
    </row>
    <row r="11963" spans="1:1" x14ac:dyDescent="0.3">
      <c r="A11963" t="s">
        <v>119</v>
      </c>
    </row>
    <row r="11964" spans="1:1" x14ac:dyDescent="0.3">
      <c r="A11964" t="s">
        <v>120</v>
      </c>
    </row>
    <row r="11965" spans="1:1" x14ac:dyDescent="0.3">
      <c r="A11965" t="s">
        <v>121</v>
      </c>
    </row>
    <row r="11966" spans="1:1" x14ac:dyDescent="0.3">
      <c r="A11966" t="s">
        <v>122</v>
      </c>
    </row>
    <row r="11967" spans="1:1" x14ac:dyDescent="0.3">
      <c r="A11967" t="s">
        <v>123</v>
      </c>
    </row>
    <row r="11968" spans="1:1" x14ac:dyDescent="0.3">
      <c r="A11968" t="s">
        <v>124</v>
      </c>
    </row>
    <row r="11969" spans="1:1" x14ac:dyDescent="0.3">
      <c r="A11969" t="s">
        <v>125</v>
      </c>
    </row>
    <row r="11970" spans="1:1" x14ac:dyDescent="0.3">
      <c r="A11970" t="s">
        <v>126</v>
      </c>
    </row>
    <row r="11971" spans="1:1" x14ac:dyDescent="0.3">
      <c r="A11971" t="s">
        <v>127</v>
      </c>
    </row>
    <row r="11972" spans="1:1" x14ac:dyDescent="0.3">
      <c r="A11972" t="s">
        <v>199</v>
      </c>
    </row>
    <row r="11973" spans="1:1" x14ac:dyDescent="0.3">
      <c r="A11973" t="s">
        <v>115</v>
      </c>
    </row>
    <row r="11974" spans="1:1" x14ac:dyDescent="0.3">
      <c r="A11974" t="s">
        <v>266</v>
      </c>
    </row>
    <row r="11975" spans="1:1" x14ac:dyDescent="0.3">
      <c r="A11975" t="s">
        <v>267</v>
      </c>
    </row>
    <row r="11976" spans="1:1" x14ac:dyDescent="0.3">
      <c r="A11976" t="s">
        <v>118</v>
      </c>
    </row>
    <row r="11977" spans="1:1" x14ac:dyDescent="0.3">
      <c r="A11977" t="s">
        <v>119</v>
      </c>
    </row>
    <row r="11978" spans="1:1" x14ac:dyDescent="0.3">
      <c r="A11978" t="s">
        <v>268</v>
      </c>
    </row>
    <row r="11979" spans="1:1" x14ac:dyDescent="0.3">
      <c r="A11979" t="s">
        <v>269</v>
      </c>
    </row>
    <row r="11980" spans="1:1" x14ac:dyDescent="0.3">
      <c r="A11980" t="s">
        <v>122</v>
      </c>
    </row>
    <row r="11981" spans="1:1" x14ac:dyDescent="0.3">
      <c r="A11981" t="s">
        <v>270</v>
      </c>
    </row>
    <row r="11982" spans="1:1" x14ac:dyDescent="0.3">
      <c r="A11982" t="s">
        <v>271</v>
      </c>
    </row>
    <row r="11983" spans="1:1" x14ac:dyDescent="0.3">
      <c r="A11983" t="s">
        <v>125</v>
      </c>
    </row>
    <row r="11984" spans="1:1" x14ac:dyDescent="0.3">
      <c r="A11984" t="s">
        <v>126</v>
      </c>
    </row>
    <row r="11985" spans="1:12" x14ac:dyDescent="0.3">
      <c r="A11985" t="s">
        <v>127</v>
      </c>
    </row>
    <row r="11986" spans="1:12" x14ac:dyDescent="0.3">
      <c r="A11986" t="s">
        <v>199</v>
      </c>
    </row>
    <row r="11987" spans="1:12" x14ac:dyDescent="0.3">
      <c r="A11987" t="s">
        <v>549</v>
      </c>
    </row>
    <row r="11988" spans="1:12" x14ac:dyDescent="0.3">
      <c r="A11988" t="s">
        <v>496</v>
      </c>
      <c r="B11988" t="s">
        <v>72</v>
      </c>
      <c r="C11988">
        <v>1</v>
      </c>
      <c r="D11988" t="s">
        <v>79</v>
      </c>
      <c r="E11988">
        <v>0.43675900000000001</v>
      </c>
      <c r="F11988" t="s">
        <v>74</v>
      </c>
      <c r="G11988">
        <v>436.75900000000001</v>
      </c>
      <c r="H11988" t="s">
        <v>75</v>
      </c>
      <c r="I11988">
        <v>436758.995</v>
      </c>
      <c r="J11988" t="s">
        <v>76</v>
      </c>
      <c r="K11988" t="s">
        <v>77</v>
      </c>
    </row>
    <row r="11989" spans="1:12" x14ac:dyDescent="0.3">
      <c r="A11989" t="s">
        <v>496</v>
      </c>
      <c r="B11989" t="s">
        <v>72</v>
      </c>
      <c r="C11989">
        <v>1</v>
      </c>
      <c r="D11989" t="s">
        <v>94</v>
      </c>
      <c r="E11989">
        <v>4.0802999999999999E-2</v>
      </c>
      <c r="F11989" t="s">
        <v>74</v>
      </c>
      <c r="G11989">
        <v>40.8033</v>
      </c>
      <c r="H11989" t="s">
        <v>75</v>
      </c>
      <c r="I11989">
        <v>40803.298000000003</v>
      </c>
      <c r="J11989" t="s">
        <v>76</v>
      </c>
      <c r="K11989" t="s">
        <v>77</v>
      </c>
    </row>
    <row r="11990" spans="1:12" x14ac:dyDescent="0.3">
      <c r="A11990" t="s">
        <v>496</v>
      </c>
      <c r="B11990" t="s">
        <v>72</v>
      </c>
      <c r="C11990">
        <v>1</v>
      </c>
      <c r="D11990" t="s">
        <v>80</v>
      </c>
      <c r="E11990">
        <v>4.0804E-2</v>
      </c>
      <c r="F11990" t="s">
        <v>74</v>
      </c>
      <c r="G11990">
        <v>40.803699999999999</v>
      </c>
      <c r="H11990" t="s">
        <v>75</v>
      </c>
      <c r="I11990">
        <v>40803.701000000001</v>
      </c>
      <c r="J11990" t="s">
        <v>76</v>
      </c>
      <c r="K11990" t="s">
        <v>77</v>
      </c>
    </row>
    <row r="11991" spans="1:12" x14ac:dyDescent="0.3">
      <c r="A11991" t="s">
        <v>496</v>
      </c>
      <c r="B11991" t="s">
        <v>72</v>
      </c>
      <c r="C11991">
        <v>1</v>
      </c>
      <c r="D11991" t="s">
        <v>81</v>
      </c>
      <c r="E11991">
        <v>0.47756300000000002</v>
      </c>
      <c r="F11991" t="s">
        <v>74</v>
      </c>
      <c r="G11991">
        <v>477.56299000000001</v>
      </c>
      <c r="H11991" t="s">
        <v>75</v>
      </c>
      <c r="I11991">
        <v>477562.99400000001</v>
      </c>
      <c r="J11991" t="s">
        <v>76</v>
      </c>
      <c r="K11991" t="s">
        <v>82</v>
      </c>
      <c r="L11991">
        <v>2.0939646000000001</v>
      </c>
    </row>
    <row r="11992" spans="1:12" x14ac:dyDescent="0.3">
      <c r="A11992" t="s">
        <v>496</v>
      </c>
      <c r="B11992" t="s">
        <v>83</v>
      </c>
      <c r="C11992">
        <v>520</v>
      </c>
      <c r="D11992" t="s">
        <v>79</v>
      </c>
      <c r="E11992">
        <v>5.8100000000000003E-4</v>
      </c>
      <c r="F11992" t="s">
        <v>74</v>
      </c>
      <c r="G11992">
        <v>0.58069000000000004</v>
      </c>
      <c r="H11992" t="s">
        <v>75</v>
      </c>
      <c r="I11992">
        <v>580.69100000000003</v>
      </c>
      <c r="J11992" t="s">
        <v>76</v>
      </c>
      <c r="K11992" t="s">
        <v>77</v>
      </c>
    </row>
    <row r="11993" spans="1:12" x14ac:dyDescent="0.3">
      <c r="A11993" t="s">
        <v>496</v>
      </c>
      <c r="B11993" t="s">
        <v>83</v>
      </c>
      <c r="C11993">
        <v>520</v>
      </c>
      <c r="D11993" t="s">
        <v>94</v>
      </c>
      <c r="E11993">
        <v>1.3470000000000001E-3</v>
      </c>
      <c r="F11993" t="s">
        <v>74</v>
      </c>
      <c r="G11993">
        <v>1.3469500000000001</v>
      </c>
      <c r="H11993" t="s">
        <v>75</v>
      </c>
      <c r="I11993">
        <v>1346.9480000000001</v>
      </c>
      <c r="J11993" t="s">
        <v>76</v>
      </c>
      <c r="K11993" t="s">
        <v>77</v>
      </c>
    </row>
    <row r="11994" spans="1:12" x14ac:dyDescent="0.3">
      <c r="A11994" t="s">
        <v>496</v>
      </c>
      <c r="B11994" t="s">
        <v>83</v>
      </c>
      <c r="C11994">
        <v>520</v>
      </c>
      <c r="D11994" t="s">
        <v>80</v>
      </c>
      <c r="E11994">
        <v>1.348E-3</v>
      </c>
      <c r="F11994" t="s">
        <v>74</v>
      </c>
      <c r="G11994">
        <v>1.34768</v>
      </c>
      <c r="H11994" t="s">
        <v>75</v>
      </c>
      <c r="I11994">
        <v>1347.6790000000001</v>
      </c>
      <c r="J11994" t="s">
        <v>76</v>
      </c>
      <c r="K11994" t="s">
        <v>77</v>
      </c>
    </row>
    <row r="11995" spans="1:12" x14ac:dyDescent="0.3">
      <c r="A11995" t="s">
        <v>496</v>
      </c>
      <c r="B11995" t="s">
        <v>83</v>
      </c>
      <c r="C11995">
        <v>520</v>
      </c>
      <c r="D11995" t="s">
        <v>81</v>
      </c>
      <c r="E11995">
        <v>1.9289999999999999E-3</v>
      </c>
      <c r="F11995" t="s">
        <v>74</v>
      </c>
      <c r="G11995">
        <v>1.9287300000000001</v>
      </c>
      <c r="H11995" t="s">
        <v>75</v>
      </c>
      <c r="I11995">
        <v>1928.7260000000001</v>
      </c>
      <c r="J11995" t="s">
        <v>76</v>
      </c>
      <c r="K11995" t="s">
        <v>82</v>
      </c>
      <c r="L11995">
        <v>518.47700689999999</v>
      </c>
    </row>
    <row r="11996" spans="1:12" x14ac:dyDescent="0.3">
      <c r="A11996" t="s">
        <v>496</v>
      </c>
      <c r="B11996" t="s">
        <v>84</v>
      </c>
      <c r="C11996">
        <v>521</v>
      </c>
      <c r="D11996" t="s">
        <v>79</v>
      </c>
      <c r="E11996">
        <v>1.418E-3</v>
      </c>
      <c r="F11996" t="s">
        <v>74</v>
      </c>
      <c r="G11996">
        <v>1.4178900000000001</v>
      </c>
      <c r="H11996" t="s">
        <v>75</v>
      </c>
      <c r="I11996">
        <v>1417.885</v>
      </c>
      <c r="J11996" t="s">
        <v>76</v>
      </c>
      <c r="K11996" t="s">
        <v>77</v>
      </c>
    </row>
    <row r="11997" spans="1:12" x14ac:dyDescent="0.3">
      <c r="A11997" t="s">
        <v>496</v>
      </c>
      <c r="B11997" t="s">
        <v>84</v>
      </c>
      <c r="C11997">
        <v>521</v>
      </c>
      <c r="D11997" t="s">
        <v>94</v>
      </c>
      <c r="E11997">
        <v>1.423E-3</v>
      </c>
      <c r="F11997" t="s">
        <v>74</v>
      </c>
      <c r="G11997">
        <v>1.4226799999999999</v>
      </c>
      <c r="H11997" t="s">
        <v>75</v>
      </c>
      <c r="I11997">
        <v>1422.681</v>
      </c>
      <c r="J11997" t="s">
        <v>76</v>
      </c>
      <c r="K11997" t="s">
        <v>77</v>
      </c>
    </row>
    <row r="11998" spans="1:12" x14ac:dyDescent="0.3">
      <c r="A11998" t="s">
        <v>496</v>
      </c>
      <c r="B11998" t="s">
        <v>84</v>
      </c>
      <c r="C11998">
        <v>521</v>
      </c>
      <c r="D11998" t="s">
        <v>80</v>
      </c>
      <c r="E11998">
        <v>1.423E-3</v>
      </c>
      <c r="F11998" t="s">
        <v>74</v>
      </c>
      <c r="G11998">
        <v>1.4234100000000001</v>
      </c>
      <c r="H11998" t="s">
        <v>75</v>
      </c>
      <c r="I11998">
        <v>1423.41</v>
      </c>
      <c r="J11998" t="s">
        <v>76</v>
      </c>
      <c r="K11998" t="s">
        <v>77</v>
      </c>
    </row>
    <row r="11999" spans="1:12" x14ac:dyDescent="0.3">
      <c r="A11999" t="s">
        <v>496</v>
      </c>
      <c r="B11999" t="s">
        <v>84</v>
      </c>
      <c r="C11999">
        <v>521</v>
      </c>
      <c r="D11999" t="s">
        <v>81</v>
      </c>
      <c r="E11999">
        <v>2.8419999999999999E-3</v>
      </c>
      <c r="F11999" t="s">
        <v>74</v>
      </c>
      <c r="G11999">
        <v>2.84165</v>
      </c>
      <c r="H11999" t="s">
        <v>75</v>
      </c>
      <c r="I11999">
        <v>2841.652</v>
      </c>
      <c r="J11999" t="s">
        <v>76</v>
      </c>
      <c r="K11999" t="s">
        <v>82</v>
      </c>
      <c r="L11999">
        <v>351.90800150000001</v>
      </c>
    </row>
    <row r="12000" spans="1:12" x14ac:dyDescent="0.3">
      <c r="A12000" t="s">
        <v>497</v>
      </c>
      <c r="B12000" t="s">
        <v>72</v>
      </c>
      <c r="C12000">
        <v>1</v>
      </c>
      <c r="D12000" t="s">
        <v>79</v>
      </c>
      <c r="E12000">
        <v>0.16106300000000001</v>
      </c>
      <c r="F12000" t="s">
        <v>74</v>
      </c>
      <c r="G12000">
        <v>161.0626</v>
      </c>
      <c r="H12000" t="s">
        <v>75</v>
      </c>
      <c r="I12000">
        <v>161062.598</v>
      </c>
      <c r="J12000" t="s">
        <v>76</v>
      </c>
      <c r="K12000" t="s">
        <v>77</v>
      </c>
    </row>
    <row r="12001" spans="1:12" x14ac:dyDescent="0.3">
      <c r="A12001" t="s">
        <v>497</v>
      </c>
      <c r="B12001" t="s">
        <v>72</v>
      </c>
      <c r="C12001">
        <v>1</v>
      </c>
      <c r="D12001" t="s">
        <v>94</v>
      </c>
      <c r="E12001">
        <v>1.9373000000000001E-2</v>
      </c>
      <c r="F12001" t="s">
        <v>74</v>
      </c>
      <c r="G12001">
        <v>19.373000000000001</v>
      </c>
      <c r="H12001" t="s">
        <v>75</v>
      </c>
      <c r="I12001">
        <v>19373</v>
      </c>
      <c r="J12001" t="s">
        <v>76</v>
      </c>
      <c r="K12001" t="s">
        <v>77</v>
      </c>
    </row>
    <row r="12002" spans="1:12" x14ac:dyDescent="0.3">
      <c r="A12002" t="s">
        <v>497</v>
      </c>
      <c r="B12002" t="s">
        <v>72</v>
      </c>
      <c r="C12002">
        <v>1</v>
      </c>
      <c r="D12002" t="s">
        <v>80</v>
      </c>
      <c r="E12002">
        <v>1.9373999999999999E-2</v>
      </c>
      <c r="F12002" t="s">
        <v>74</v>
      </c>
      <c r="G12002">
        <v>19.373799999999999</v>
      </c>
      <c r="H12002" t="s">
        <v>75</v>
      </c>
      <c r="I12002">
        <v>19373.800999999999</v>
      </c>
      <c r="J12002" t="s">
        <v>76</v>
      </c>
      <c r="K12002" t="s">
        <v>77</v>
      </c>
    </row>
    <row r="12003" spans="1:12" x14ac:dyDescent="0.3">
      <c r="A12003" t="s">
        <v>497</v>
      </c>
      <c r="B12003" t="s">
        <v>72</v>
      </c>
      <c r="C12003">
        <v>1</v>
      </c>
      <c r="D12003" t="s">
        <v>81</v>
      </c>
      <c r="E12003">
        <v>0.18043699999999999</v>
      </c>
      <c r="F12003" t="s">
        <v>74</v>
      </c>
      <c r="G12003">
        <v>180.43689000000001</v>
      </c>
      <c r="H12003" t="s">
        <v>75</v>
      </c>
      <c r="I12003">
        <v>180436.894</v>
      </c>
      <c r="J12003" t="s">
        <v>76</v>
      </c>
      <c r="K12003" t="s">
        <v>82</v>
      </c>
      <c r="L12003">
        <v>5.5421037999999996</v>
      </c>
    </row>
    <row r="12004" spans="1:12" x14ac:dyDescent="0.3">
      <c r="A12004" t="s">
        <v>497</v>
      </c>
      <c r="B12004" t="s">
        <v>83</v>
      </c>
      <c r="C12004">
        <v>479</v>
      </c>
      <c r="D12004" t="s">
        <v>79</v>
      </c>
      <c r="E12004">
        <v>5.4799999999999998E-4</v>
      </c>
      <c r="F12004" t="s">
        <v>74</v>
      </c>
      <c r="G12004">
        <v>0.54798999999999998</v>
      </c>
      <c r="H12004" t="s">
        <v>75</v>
      </c>
      <c r="I12004">
        <v>547.99400000000003</v>
      </c>
      <c r="J12004" t="s">
        <v>76</v>
      </c>
      <c r="K12004" t="s">
        <v>77</v>
      </c>
    </row>
    <row r="12005" spans="1:12" x14ac:dyDescent="0.3">
      <c r="A12005" t="s">
        <v>497</v>
      </c>
      <c r="B12005" t="s">
        <v>83</v>
      </c>
      <c r="C12005">
        <v>479</v>
      </c>
      <c r="D12005" t="s">
        <v>94</v>
      </c>
      <c r="E12005">
        <v>2.1289999999999998E-3</v>
      </c>
      <c r="F12005" t="s">
        <v>74</v>
      </c>
      <c r="G12005">
        <v>2.1284999999999998</v>
      </c>
      <c r="H12005" t="s">
        <v>75</v>
      </c>
      <c r="I12005">
        <v>2128.5010000000002</v>
      </c>
      <c r="J12005" t="s">
        <v>76</v>
      </c>
      <c r="K12005" t="s">
        <v>77</v>
      </c>
    </row>
    <row r="12006" spans="1:12" x14ac:dyDescent="0.3">
      <c r="A12006" t="s">
        <v>497</v>
      </c>
      <c r="B12006" t="s">
        <v>83</v>
      </c>
      <c r="C12006">
        <v>479</v>
      </c>
      <c r="D12006" t="s">
        <v>80</v>
      </c>
      <c r="E12006">
        <v>2.1289999999999998E-3</v>
      </c>
      <c r="F12006" t="s">
        <v>74</v>
      </c>
      <c r="G12006">
        <v>2.1293700000000002</v>
      </c>
      <c r="H12006" t="s">
        <v>75</v>
      </c>
      <c r="I12006">
        <v>2129.3649999999998</v>
      </c>
      <c r="J12006" t="s">
        <v>76</v>
      </c>
      <c r="K12006" t="s">
        <v>77</v>
      </c>
    </row>
    <row r="12007" spans="1:12" x14ac:dyDescent="0.3">
      <c r="A12007" t="s">
        <v>497</v>
      </c>
      <c r="B12007" t="s">
        <v>83</v>
      </c>
      <c r="C12007">
        <v>479</v>
      </c>
      <c r="D12007" t="s">
        <v>81</v>
      </c>
      <c r="E12007">
        <v>2.6779999999999998E-3</v>
      </c>
      <c r="F12007" t="s">
        <v>74</v>
      </c>
      <c r="G12007">
        <v>2.6781299999999999</v>
      </c>
      <c r="H12007" t="s">
        <v>75</v>
      </c>
      <c r="I12007">
        <v>2678.1309999999999</v>
      </c>
      <c r="J12007" t="s">
        <v>76</v>
      </c>
      <c r="K12007" t="s">
        <v>82</v>
      </c>
      <c r="L12007">
        <v>373.39479710000001</v>
      </c>
    </row>
    <row r="12008" spans="1:12" x14ac:dyDescent="0.3">
      <c r="A12008" t="s">
        <v>497</v>
      </c>
      <c r="B12008" t="s">
        <v>84</v>
      </c>
      <c r="C12008">
        <v>480</v>
      </c>
      <c r="D12008" t="s">
        <v>79</v>
      </c>
      <c r="E12008">
        <v>8.8199999999999997E-4</v>
      </c>
      <c r="F12008" t="s">
        <v>74</v>
      </c>
      <c r="G12008">
        <v>0.88239999999999996</v>
      </c>
      <c r="H12008" t="s">
        <v>75</v>
      </c>
      <c r="I12008">
        <v>882.4</v>
      </c>
      <c r="J12008" t="s">
        <v>76</v>
      </c>
      <c r="K12008" t="s">
        <v>77</v>
      </c>
    </row>
    <row r="12009" spans="1:12" x14ac:dyDescent="0.3">
      <c r="A12009" t="s">
        <v>497</v>
      </c>
      <c r="B12009" t="s">
        <v>84</v>
      </c>
      <c r="C12009">
        <v>480</v>
      </c>
      <c r="D12009" t="s">
        <v>94</v>
      </c>
      <c r="E12009">
        <v>2.1640000000000001E-3</v>
      </c>
      <c r="F12009" t="s">
        <v>74</v>
      </c>
      <c r="G12009">
        <v>2.1644299999999999</v>
      </c>
      <c r="H12009" t="s">
        <v>75</v>
      </c>
      <c r="I12009">
        <v>2164.4270000000001</v>
      </c>
      <c r="J12009" t="s">
        <v>76</v>
      </c>
      <c r="K12009" t="s">
        <v>77</v>
      </c>
    </row>
    <row r="12010" spans="1:12" x14ac:dyDescent="0.3">
      <c r="A12010" t="s">
        <v>497</v>
      </c>
      <c r="B12010" t="s">
        <v>84</v>
      </c>
      <c r="C12010">
        <v>480</v>
      </c>
      <c r="D12010" t="s">
        <v>80</v>
      </c>
      <c r="E12010">
        <v>2.1649999999999998E-3</v>
      </c>
      <c r="F12010" t="s">
        <v>74</v>
      </c>
      <c r="G12010">
        <v>2.1652900000000002</v>
      </c>
      <c r="H12010" t="s">
        <v>75</v>
      </c>
      <c r="I12010">
        <v>2165.2919999999999</v>
      </c>
      <c r="J12010" t="s">
        <v>76</v>
      </c>
      <c r="K12010" t="s">
        <v>77</v>
      </c>
    </row>
    <row r="12011" spans="1:12" x14ac:dyDescent="0.3">
      <c r="A12011" t="s">
        <v>497</v>
      </c>
      <c r="B12011" t="s">
        <v>84</v>
      </c>
      <c r="C12011">
        <v>480</v>
      </c>
      <c r="D12011" t="s">
        <v>81</v>
      </c>
      <c r="E12011">
        <v>3.0479999999999999E-3</v>
      </c>
      <c r="F12011" t="s">
        <v>74</v>
      </c>
      <c r="G12011">
        <v>3.0484599999999999</v>
      </c>
      <c r="H12011" t="s">
        <v>75</v>
      </c>
      <c r="I12011">
        <v>3048.462</v>
      </c>
      <c r="J12011" t="s">
        <v>76</v>
      </c>
      <c r="K12011" t="s">
        <v>82</v>
      </c>
      <c r="L12011">
        <v>328.03427599999998</v>
      </c>
    </row>
    <row r="12012" spans="1:12" x14ac:dyDescent="0.3">
      <c r="A12012" t="s">
        <v>498</v>
      </c>
      <c r="B12012" t="s">
        <v>72</v>
      </c>
      <c r="C12012">
        <v>1</v>
      </c>
      <c r="D12012" t="s">
        <v>73</v>
      </c>
      <c r="E12012">
        <v>5.0000000000000002E-5</v>
      </c>
      <c r="F12012" t="s">
        <v>74</v>
      </c>
      <c r="G12012">
        <v>5.04E-2</v>
      </c>
      <c r="H12012" t="s">
        <v>75</v>
      </c>
      <c r="I12012">
        <v>50.4</v>
      </c>
      <c r="J12012" t="s">
        <v>76</v>
      </c>
      <c r="K12012" t="s">
        <v>77</v>
      </c>
    </row>
    <row r="12013" spans="1:12" x14ac:dyDescent="0.3">
      <c r="A12013" t="s">
        <v>498</v>
      </c>
      <c r="B12013" t="s">
        <v>72</v>
      </c>
      <c r="C12013">
        <v>1</v>
      </c>
      <c r="D12013" t="s">
        <v>78</v>
      </c>
      <c r="E12013">
        <v>0.13040599999999999</v>
      </c>
      <c r="F12013" t="s">
        <v>74</v>
      </c>
      <c r="G12013">
        <v>130.40549999999999</v>
      </c>
      <c r="H12013" t="s">
        <v>75</v>
      </c>
      <c r="I12013">
        <v>130405.501</v>
      </c>
      <c r="J12013" t="s">
        <v>76</v>
      </c>
      <c r="K12013" t="s">
        <v>77</v>
      </c>
    </row>
    <row r="12014" spans="1:12" x14ac:dyDescent="0.3">
      <c r="A12014" t="s">
        <v>498</v>
      </c>
      <c r="B12014" t="s">
        <v>72</v>
      </c>
      <c r="C12014">
        <v>2</v>
      </c>
      <c r="D12014" t="s">
        <v>86</v>
      </c>
      <c r="E12014">
        <v>0.238812</v>
      </c>
      <c r="F12014" t="s">
        <v>74</v>
      </c>
      <c r="G12014">
        <v>238.81204</v>
      </c>
      <c r="H12014" t="s">
        <v>75</v>
      </c>
      <c r="I12014">
        <v>238812.04399999999</v>
      </c>
      <c r="J12014" t="s">
        <v>76</v>
      </c>
      <c r="K12014" t="s">
        <v>82</v>
      </c>
      <c r="L12014">
        <v>4.1873934999999998</v>
      </c>
    </row>
    <row r="12015" spans="1:12" x14ac:dyDescent="0.3">
      <c r="A12015" t="s">
        <v>498</v>
      </c>
      <c r="B12015" t="s">
        <v>83</v>
      </c>
      <c r="C12015">
        <v>999</v>
      </c>
      <c r="D12015" t="s">
        <v>86</v>
      </c>
      <c r="E12015">
        <v>1.307E-3</v>
      </c>
      <c r="F12015" t="s">
        <v>74</v>
      </c>
      <c r="G12015">
        <v>1.3065199999999999</v>
      </c>
      <c r="H12015" t="s">
        <v>75</v>
      </c>
      <c r="I12015">
        <v>1306.5250000000001</v>
      </c>
      <c r="J12015" t="s">
        <v>76</v>
      </c>
      <c r="K12015" t="s">
        <v>82</v>
      </c>
      <c r="L12015">
        <v>765.3893243</v>
      </c>
    </row>
    <row r="12016" spans="1:12" x14ac:dyDescent="0.3">
      <c r="A12016" t="s">
        <v>498</v>
      </c>
      <c r="B12016" t="s">
        <v>85</v>
      </c>
      <c r="C12016">
        <v>1001</v>
      </c>
      <c r="D12016" t="s">
        <v>86</v>
      </c>
      <c r="E12016">
        <v>1.487E-3</v>
      </c>
      <c r="F12016" t="s">
        <v>74</v>
      </c>
      <c r="G12016">
        <v>1.4866900000000001</v>
      </c>
      <c r="H12016" t="s">
        <v>75</v>
      </c>
      <c r="I12016">
        <v>1486.692</v>
      </c>
      <c r="J12016" t="s">
        <v>76</v>
      </c>
      <c r="K12016" t="s">
        <v>82</v>
      </c>
      <c r="L12016">
        <v>672.63447629999996</v>
      </c>
    </row>
    <row r="12017" spans="1:12" x14ac:dyDescent="0.3">
      <c r="A12017" t="s">
        <v>201</v>
      </c>
    </row>
    <row r="12018" spans="1:12" x14ac:dyDescent="0.3">
      <c r="A12018" t="s">
        <v>201</v>
      </c>
    </row>
    <row r="12019" spans="1:12" x14ac:dyDescent="0.3">
      <c r="A12019" t="s">
        <v>550</v>
      </c>
    </row>
    <row r="12020" spans="1:12" x14ac:dyDescent="0.3">
      <c r="A12020" t="s">
        <v>496</v>
      </c>
      <c r="B12020" t="s">
        <v>72</v>
      </c>
      <c r="C12020">
        <v>1</v>
      </c>
      <c r="D12020" t="s">
        <v>79</v>
      </c>
      <c r="E12020">
        <v>7.0299999999999998E-3</v>
      </c>
      <c r="F12020" t="s">
        <v>74</v>
      </c>
      <c r="G12020">
        <v>7.0297000000000001</v>
      </c>
      <c r="H12020" t="s">
        <v>75</v>
      </c>
      <c r="I12020">
        <v>7029.7</v>
      </c>
      <c r="J12020" t="s">
        <v>76</v>
      </c>
      <c r="K12020" t="s">
        <v>77</v>
      </c>
    </row>
    <row r="12021" spans="1:12" x14ac:dyDescent="0.3">
      <c r="A12021" t="s">
        <v>496</v>
      </c>
      <c r="B12021" t="s">
        <v>72</v>
      </c>
      <c r="C12021">
        <v>1</v>
      </c>
      <c r="D12021" t="s">
        <v>94</v>
      </c>
      <c r="E12021">
        <v>3.0124000000000001E-2</v>
      </c>
      <c r="F12021" t="s">
        <v>74</v>
      </c>
      <c r="G12021">
        <v>30.124099999999999</v>
      </c>
      <c r="H12021" t="s">
        <v>75</v>
      </c>
      <c r="I12021">
        <v>30124.1</v>
      </c>
      <c r="J12021" t="s">
        <v>76</v>
      </c>
      <c r="K12021" t="s">
        <v>77</v>
      </c>
    </row>
    <row r="12022" spans="1:12" x14ac:dyDescent="0.3">
      <c r="A12022" t="s">
        <v>496</v>
      </c>
      <c r="B12022" t="s">
        <v>72</v>
      </c>
      <c r="C12022">
        <v>1</v>
      </c>
      <c r="D12022" t="s">
        <v>80</v>
      </c>
      <c r="E12022">
        <v>3.0124999999999999E-2</v>
      </c>
      <c r="F12022" t="s">
        <v>74</v>
      </c>
      <c r="G12022">
        <v>30.1251</v>
      </c>
      <c r="H12022" t="s">
        <v>75</v>
      </c>
      <c r="I12022">
        <v>30125.1</v>
      </c>
      <c r="J12022" t="s">
        <v>76</v>
      </c>
      <c r="K12022" t="s">
        <v>77</v>
      </c>
    </row>
    <row r="12023" spans="1:12" x14ac:dyDescent="0.3">
      <c r="A12023" t="s">
        <v>496</v>
      </c>
      <c r="B12023" t="s">
        <v>72</v>
      </c>
      <c r="C12023">
        <v>1</v>
      </c>
      <c r="D12023" t="s">
        <v>81</v>
      </c>
      <c r="E12023">
        <v>3.7155000000000001E-2</v>
      </c>
      <c r="F12023" t="s">
        <v>74</v>
      </c>
      <c r="G12023">
        <v>37.155200000000001</v>
      </c>
      <c r="H12023" t="s">
        <v>75</v>
      </c>
      <c r="I12023">
        <v>37155.199999999997</v>
      </c>
      <c r="J12023" t="s">
        <v>76</v>
      </c>
      <c r="K12023" t="s">
        <v>82</v>
      </c>
      <c r="L12023">
        <v>26.9141333</v>
      </c>
    </row>
    <row r="12024" spans="1:12" x14ac:dyDescent="0.3">
      <c r="A12024" t="s">
        <v>496</v>
      </c>
      <c r="B12024" t="s">
        <v>83</v>
      </c>
      <c r="C12024">
        <v>624</v>
      </c>
      <c r="D12024" t="s">
        <v>79</v>
      </c>
      <c r="E12024">
        <v>6.02E-4</v>
      </c>
      <c r="F12024" t="s">
        <v>74</v>
      </c>
      <c r="G12024">
        <v>0.60214000000000001</v>
      </c>
      <c r="H12024" t="s">
        <v>75</v>
      </c>
      <c r="I12024">
        <v>602.14099999999996</v>
      </c>
      <c r="J12024" t="s">
        <v>76</v>
      </c>
      <c r="K12024" t="s">
        <v>77</v>
      </c>
    </row>
    <row r="12025" spans="1:12" x14ac:dyDescent="0.3">
      <c r="A12025" t="s">
        <v>496</v>
      </c>
      <c r="B12025" t="s">
        <v>83</v>
      </c>
      <c r="C12025">
        <v>624</v>
      </c>
      <c r="D12025" t="s">
        <v>94</v>
      </c>
      <c r="E12025">
        <v>1.8129999999999999E-3</v>
      </c>
      <c r="F12025" t="s">
        <v>74</v>
      </c>
      <c r="G12025">
        <v>1.8128</v>
      </c>
      <c r="H12025" t="s">
        <v>75</v>
      </c>
      <c r="I12025">
        <v>1812.797</v>
      </c>
      <c r="J12025" t="s">
        <v>76</v>
      </c>
      <c r="K12025" t="s">
        <v>77</v>
      </c>
    </row>
    <row r="12026" spans="1:12" x14ac:dyDescent="0.3">
      <c r="A12026" t="s">
        <v>496</v>
      </c>
      <c r="B12026" t="s">
        <v>83</v>
      </c>
      <c r="C12026">
        <v>624</v>
      </c>
      <c r="D12026" t="s">
        <v>80</v>
      </c>
      <c r="E12026">
        <v>2.0119999999999999E-3</v>
      </c>
      <c r="F12026" t="s">
        <v>74</v>
      </c>
      <c r="G12026">
        <v>2.0122200000000001</v>
      </c>
      <c r="H12026" t="s">
        <v>75</v>
      </c>
      <c r="I12026">
        <v>2012.2180000000001</v>
      </c>
      <c r="J12026" t="s">
        <v>76</v>
      </c>
      <c r="K12026" t="s">
        <v>77</v>
      </c>
    </row>
    <row r="12027" spans="1:12" x14ac:dyDescent="0.3">
      <c r="A12027" t="s">
        <v>496</v>
      </c>
      <c r="B12027" t="s">
        <v>83</v>
      </c>
      <c r="C12027">
        <v>624</v>
      </c>
      <c r="D12027" t="s">
        <v>81</v>
      </c>
      <c r="E12027">
        <v>2.6150000000000001E-3</v>
      </c>
      <c r="F12027" t="s">
        <v>74</v>
      </c>
      <c r="G12027">
        <v>2.6147499999999999</v>
      </c>
      <c r="H12027" t="s">
        <v>75</v>
      </c>
      <c r="I12027">
        <v>2614.7449999999999</v>
      </c>
      <c r="J12027" t="s">
        <v>76</v>
      </c>
      <c r="K12027" t="s">
        <v>82</v>
      </c>
      <c r="L12027">
        <v>382.44642140000002</v>
      </c>
    </row>
    <row r="12028" spans="1:12" x14ac:dyDescent="0.3">
      <c r="A12028" t="s">
        <v>496</v>
      </c>
      <c r="B12028" t="s">
        <v>84</v>
      </c>
      <c r="C12028">
        <v>625</v>
      </c>
      <c r="D12028" t="s">
        <v>79</v>
      </c>
      <c r="E12028">
        <v>6.1200000000000002E-4</v>
      </c>
      <c r="F12028" t="s">
        <v>74</v>
      </c>
      <c r="G12028">
        <v>0.61241999999999996</v>
      </c>
      <c r="H12028" t="s">
        <v>75</v>
      </c>
      <c r="I12028">
        <v>612.42499999999995</v>
      </c>
      <c r="J12028" t="s">
        <v>76</v>
      </c>
      <c r="K12028" t="s">
        <v>77</v>
      </c>
    </row>
    <row r="12029" spans="1:12" x14ac:dyDescent="0.3">
      <c r="A12029" t="s">
        <v>496</v>
      </c>
      <c r="B12029" t="s">
        <v>84</v>
      </c>
      <c r="C12029">
        <v>625</v>
      </c>
      <c r="D12029" t="s">
        <v>94</v>
      </c>
      <c r="E12029">
        <v>1.8580000000000001E-3</v>
      </c>
      <c r="F12029" t="s">
        <v>74</v>
      </c>
      <c r="G12029">
        <v>1.85809</v>
      </c>
      <c r="H12029" t="s">
        <v>75</v>
      </c>
      <c r="I12029">
        <v>1858.095</v>
      </c>
      <c r="J12029" t="s">
        <v>76</v>
      </c>
      <c r="K12029" t="s">
        <v>77</v>
      </c>
    </row>
    <row r="12030" spans="1:12" x14ac:dyDescent="0.3">
      <c r="A12030" t="s">
        <v>496</v>
      </c>
      <c r="B12030" t="s">
        <v>84</v>
      </c>
      <c r="C12030">
        <v>625</v>
      </c>
      <c r="D12030" t="s">
        <v>80</v>
      </c>
      <c r="E12030">
        <v>2.0569999999999998E-3</v>
      </c>
      <c r="F12030" t="s">
        <v>74</v>
      </c>
      <c r="G12030">
        <v>2.0571999999999999</v>
      </c>
      <c r="H12030" t="s">
        <v>75</v>
      </c>
      <c r="I12030">
        <v>2057.1979999999999</v>
      </c>
      <c r="J12030" t="s">
        <v>76</v>
      </c>
      <c r="K12030" t="s">
        <v>77</v>
      </c>
    </row>
    <row r="12031" spans="1:12" x14ac:dyDescent="0.3">
      <c r="A12031" t="s">
        <v>496</v>
      </c>
      <c r="B12031" t="s">
        <v>84</v>
      </c>
      <c r="C12031">
        <v>625</v>
      </c>
      <c r="D12031" t="s">
        <v>81</v>
      </c>
      <c r="E12031">
        <v>2.6700000000000001E-3</v>
      </c>
      <c r="F12031" t="s">
        <v>74</v>
      </c>
      <c r="G12031">
        <v>2.67001</v>
      </c>
      <c r="H12031" t="s">
        <v>75</v>
      </c>
      <c r="I12031">
        <v>2670.01</v>
      </c>
      <c r="J12031" t="s">
        <v>76</v>
      </c>
      <c r="K12031" t="s">
        <v>82</v>
      </c>
      <c r="L12031">
        <v>374.53040650000003</v>
      </c>
    </row>
    <row r="12032" spans="1:12" x14ac:dyDescent="0.3">
      <c r="A12032" t="s">
        <v>497</v>
      </c>
      <c r="B12032" t="s">
        <v>72</v>
      </c>
      <c r="C12032">
        <v>1</v>
      </c>
      <c r="D12032" t="s">
        <v>79</v>
      </c>
      <c r="E12032">
        <v>3.0577E-2</v>
      </c>
      <c r="F12032" t="s">
        <v>74</v>
      </c>
      <c r="G12032">
        <v>30.577200000000001</v>
      </c>
      <c r="H12032" t="s">
        <v>75</v>
      </c>
      <c r="I12032">
        <v>30577.200000000001</v>
      </c>
      <c r="J12032" t="s">
        <v>76</v>
      </c>
      <c r="K12032" t="s">
        <v>77</v>
      </c>
    </row>
    <row r="12033" spans="1:12" x14ac:dyDescent="0.3">
      <c r="A12033" t="s">
        <v>497</v>
      </c>
      <c r="B12033" t="s">
        <v>72</v>
      </c>
      <c r="C12033">
        <v>1</v>
      </c>
      <c r="D12033" t="s">
        <v>94</v>
      </c>
      <c r="E12033">
        <v>4.0030999999999997E-2</v>
      </c>
      <c r="F12033" t="s">
        <v>74</v>
      </c>
      <c r="G12033">
        <v>40.031100000000002</v>
      </c>
      <c r="H12033" t="s">
        <v>75</v>
      </c>
      <c r="I12033">
        <v>40031.101999999999</v>
      </c>
      <c r="J12033" t="s">
        <v>76</v>
      </c>
      <c r="K12033" t="s">
        <v>77</v>
      </c>
    </row>
    <row r="12034" spans="1:12" x14ac:dyDescent="0.3">
      <c r="A12034" t="s">
        <v>497</v>
      </c>
      <c r="B12034" t="s">
        <v>72</v>
      </c>
      <c r="C12034">
        <v>1</v>
      </c>
      <c r="D12034" t="s">
        <v>80</v>
      </c>
      <c r="E12034">
        <v>4.0031999999999998E-2</v>
      </c>
      <c r="F12034" t="s">
        <v>74</v>
      </c>
      <c r="G12034">
        <v>40.032200000000003</v>
      </c>
      <c r="H12034" t="s">
        <v>75</v>
      </c>
      <c r="I12034">
        <v>40032.201000000001</v>
      </c>
      <c r="J12034" t="s">
        <v>76</v>
      </c>
      <c r="K12034" t="s">
        <v>77</v>
      </c>
    </row>
    <row r="12035" spans="1:12" x14ac:dyDescent="0.3">
      <c r="A12035" t="s">
        <v>497</v>
      </c>
      <c r="B12035" t="s">
        <v>72</v>
      </c>
      <c r="C12035">
        <v>1</v>
      </c>
      <c r="D12035" t="s">
        <v>81</v>
      </c>
      <c r="E12035">
        <v>7.0610000000000006E-2</v>
      </c>
      <c r="F12035" t="s">
        <v>74</v>
      </c>
      <c r="G12035">
        <v>70.610200000000006</v>
      </c>
      <c r="H12035" t="s">
        <v>75</v>
      </c>
      <c r="I12035">
        <v>70610.202999999994</v>
      </c>
      <c r="J12035" t="s">
        <v>76</v>
      </c>
      <c r="K12035" t="s">
        <v>82</v>
      </c>
      <c r="L12035">
        <v>14.162259300000001</v>
      </c>
    </row>
    <row r="12036" spans="1:12" x14ac:dyDescent="0.3">
      <c r="A12036" t="s">
        <v>497</v>
      </c>
      <c r="B12036" t="s">
        <v>83</v>
      </c>
      <c r="C12036">
        <v>375</v>
      </c>
      <c r="D12036" t="s">
        <v>79</v>
      </c>
      <c r="E12036">
        <v>5.2499999999999997E-4</v>
      </c>
      <c r="F12036" t="s">
        <v>74</v>
      </c>
      <c r="G12036">
        <v>0.52458000000000005</v>
      </c>
      <c r="H12036" t="s">
        <v>75</v>
      </c>
      <c r="I12036">
        <v>524.58000000000004</v>
      </c>
      <c r="J12036" t="s">
        <v>76</v>
      </c>
      <c r="K12036" t="s">
        <v>77</v>
      </c>
    </row>
    <row r="12037" spans="1:12" x14ac:dyDescent="0.3">
      <c r="A12037" t="s">
        <v>497</v>
      </c>
      <c r="B12037" t="s">
        <v>83</v>
      </c>
      <c r="C12037">
        <v>375</v>
      </c>
      <c r="D12037" t="s">
        <v>94</v>
      </c>
      <c r="E12037">
        <v>3.3570000000000002E-3</v>
      </c>
      <c r="F12037" t="s">
        <v>74</v>
      </c>
      <c r="G12037">
        <v>3.3568199999999999</v>
      </c>
      <c r="H12037" t="s">
        <v>75</v>
      </c>
      <c r="I12037">
        <v>3356.819</v>
      </c>
      <c r="J12037" t="s">
        <v>76</v>
      </c>
      <c r="K12037" t="s">
        <v>77</v>
      </c>
    </row>
    <row r="12038" spans="1:12" x14ac:dyDescent="0.3">
      <c r="A12038" t="s">
        <v>497</v>
      </c>
      <c r="B12038" t="s">
        <v>83</v>
      </c>
      <c r="C12038">
        <v>375</v>
      </c>
      <c r="D12038" t="s">
        <v>80</v>
      </c>
      <c r="E12038">
        <v>3.5969999999999999E-3</v>
      </c>
      <c r="F12038" t="s">
        <v>74</v>
      </c>
      <c r="G12038">
        <v>3.5968399999999998</v>
      </c>
      <c r="H12038" t="s">
        <v>75</v>
      </c>
      <c r="I12038">
        <v>3596.8440000000001</v>
      </c>
      <c r="J12038" t="s">
        <v>76</v>
      </c>
      <c r="K12038" t="s">
        <v>77</v>
      </c>
    </row>
    <row r="12039" spans="1:12" x14ac:dyDescent="0.3">
      <c r="A12039" t="s">
        <v>497</v>
      </c>
      <c r="B12039" t="s">
        <v>83</v>
      </c>
      <c r="C12039">
        <v>375</v>
      </c>
      <c r="D12039" t="s">
        <v>81</v>
      </c>
      <c r="E12039">
        <v>4.1219999999999998E-3</v>
      </c>
      <c r="F12039" t="s">
        <v>74</v>
      </c>
      <c r="G12039">
        <v>4.12195</v>
      </c>
      <c r="H12039" t="s">
        <v>75</v>
      </c>
      <c r="I12039">
        <v>4121.9549999999999</v>
      </c>
      <c r="J12039" t="s">
        <v>76</v>
      </c>
      <c r="K12039" t="s">
        <v>82</v>
      </c>
      <c r="L12039">
        <v>242.60335130000001</v>
      </c>
    </row>
    <row r="12040" spans="1:12" x14ac:dyDescent="0.3">
      <c r="A12040" t="s">
        <v>497</v>
      </c>
      <c r="B12040" t="s">
        <v>84</v>
      </c>
      <c r="C12040">
        <v>376</v>
      </c>
      <c r="D12040" t="s">
        <v>79</v>
      </c>
      <c r="E12040">
        <v>6.0499999999999996E-4</v>
      </c>
      <c r="F12040" t="s">
        <v>74</v>
      </c>
      <c r="G12040">
        <v>0.60450999999999999</v>
      </c>
      <c r="H12040" t="s">
        <v>75</v>
      </c>
      <c r="I12040">
        <v>604.50699999999995</v>
      </c>
      <c r="J12040" t="s">
        <v>76</v>
      </c>
      <c r="K12040" t="s">
        <v>77</v>
      </c>
    </row>
    <row r="12041" spans="1:12" x14ac:dyDescent="0.3">
      <c r="A12041" t="s">
        <v>497</v>
      </c>
      <c r="B12041" t="s">
        <v>84</v>
      </c>
      <c r="C12041">
        <v>376</v>
      </c>
      <c r="D12041" t="s">
        <v>94</v>
      </c>
      <c r="E12041">
        <v>3.454E-3</v>
      </c>
      <c r="F12041" t="s">
        <v>74</v>
      </c>
      <c r="G12041">
        <v>3.4543599999999999</v>
      </c>
      <c r="H12041" t="s">
        <v>75</v>
      </c>
      <c r="I12041">
        <v>3454.357</v>
      </c>
      <c r="J12041" t="s">
        <v>76</v>
      </c>
      <c r="K12041" t="s">
        <v>77</v>
      </c>
    </row>
    <row r="12042" spans="1:12" x14ac:dyDescent="0.3">
      <c r="A12042" t="s">
        <v>497</v>
      </c>
      <c r="B12042" t="s">
        <v>84</v>
      </c>
      <c r="C12042">
        <v>376</v>
      </c>
      <c r="D12042" t="s">
        <v>80</v>
      </c>
      <c r="E12042">
        <v>3.6939999999999998E-3</v>
      </c>
      <c r="F12042" t="s">
        <v>74</v>
      </c>
      <c r="G12042">
        <v>3.6937500000000001</v>
      </c>
      <c r="H12042" t="s">
        <v>75</v>
      </c>
      <c r="I12042">
        <v>3693.7460000000001</v>
      </c>
      <c r="J12042" t="s">
        <v>76</v>
      </c>
      <c r="K12042" t="s">
        <v>77</v>
      </c>
    </row>
    <row r="12043" spans="1:12" x14ac:dyDescent="0.3">
      <c r="A12043" t="s">
        <v>497</v>
      </c>
      <c r="B12043" t="s">
        <v>84</v>
      </c>
      <c r="C12043">
        <v>376</v>
      </c>
      <c r="D12043" t="s">
        <v>81</v>
      </c>
      <c r="E12043">
        <v>4.2989999999999999E-3</v>
      </c>
      <c r="F12043" t="s">
        <v>74</v>
      </c>
      <c r="G12043">
        <v>4.2987900000000003</v>
      </c>
      <c r="H12043" t="s">
        <v>75</v>
      </c>
      <c r="I12043">
        <v>4298.7860000000001</v>
      </c>
      <c r="J12043" t="s">
        <v>76</v>
      </c>
      <c r="K12043" t="s">
        <v>82</v>
      </c>
      <c r="L12043">
        <v>232.62383779999999</v>
      </c>
    </row>
    <row r="12044" spans="1:12" x14ac:dyDescent="0.3">
      <c r="A12044" t="s">
        <v>498</v>
      </c>
      <c r="B12044" t="s">
        <v>72</v>
      </c>
      <c r="C12044">
        <v>1</v>
      </c>
      <c r="D12044" t="s">
        <v>73</v>
      </c>
      <c r="E12044">
        <v>5.0000000000000002E-5</v>
      </c>
      <c r="F12044" t="s">
        <v>74</v>
      </c>
      <c r="G12044">
        <v>5.04E-2</v>
      </c>
      <c r="H12044" t="s">
        <v>75</v>
      </c>
      <c r="I12044">
        <v>50.4</v>
      </c>
      <c r="J12044" t="s">
        <v>76</v>
      </c>
      <c r="K12044" t="s">
        <v>77</v>
      </c>
    </row>
    <row r="12045" spans="1:12" x14ac:dyDescent="0.3">
      <c r="A12045" t="s">
        <v>498</v>
      </c>
      <c r="B12045" t="s">
        <v>72</v>
      </c>
      <c r="C12045">
        <v>1</v>
      </c>
      <c r="D12045" t="s">
        <v>78</v>
      </c>
      <c r="E12045">
        <v>5.4600000000000004E-4</v>
      </c>
      <c r="F12045" t="s">
        <v>74</v>
      </c>
      <c r="G12045">
        <v>0.54579999999999995</v>
      </c>
      <c r="H12045" t="s">
        <v>75</v>
      </c>
      <c r="I12045">
        <v>545.79999999999995</v>
      </c>
      <c r="J12045" t="s">
        <v>76</v>
      </c>
      <c r="K12045" t="s">
        <v>77</v>
      </c>
    </row>
    <row r="12046" spans="1:12" x14ac:dyDescent="0.3">
      <c r="A12046" t="s">
        <v>498</v>
      </c>
      <c r="B12046" t="s">
        <v>72</v>
      </c>
      <c r="C12046">
        <v>2</v>
      </c>
      <c r="D12046" t="s">
        <v>86</v>
      </c>
      <c r="E12046">
        <v>3.5309E-2</v>
      </c>
      <c r="F12046" t="s">
        <v>74</v>
      </c>
      <c r="G12046">
        <v>35.308900000000001</v>
      </c>
      <c r="H12046" t="s">
        <v>75</v>
      </c>
      <c r="I12046">
        <v>35308.900999999998</v>
      </c>
      <c r="J12046" t="s">
        <v>76</v>
      </c>
      <c r="K12046" t="s">
        <v>82</v>
      </c>
      <c r="L12046">
        <v>28.321470399999999</v>
      </c>
    </row>
    <row r="12047" spans="1:12" x14ac:dyDescent="0.3">
      <c r="A12047" t="s">
        <v>498</v>
      </c>
      <c r="B12047" t="s">
        <v>83</v>
      </c>
      <c r="C12047">
        <v>999</v>
      </c>
      <c r="D12047" t="s">
        <v>86</v>
      </c>
      <c r="E12047">
        <v>1.6379999999999999E-3</v>
      </c>
      <c r="F12047" t="s">
        <v>74</v>
      </c>
      <c r="G12047">
        <v>1.63754</v>
      </c>
      <c r="H12047" t="s">
        <v>75</v>
      </c>
      <c r="I12047">
        <v>1637.5419999999999</v>
      </c>
      <c r="J12047" t="s">
        <v>76</v>
      </c>
      <c r="K12047" t="s">
        <v>82</v>
      </c>
      <c r="L12047">
        <v>610.67128079999998</v>
      </c>
    </row>
    <row r="12048" spans="1:12" x14ac:dyDescent="0.3">
      <c r="A12048" t="s">
        <v>498</v>
      </c>
      <c r="B12048" t="s">
        <v>85</v>
      </c>
      <c r="C12048">
        <v>1001</v>
      </c>
      <c r="D12048" t="s">
        <v>86</v>
      </c>
      <c r="E12048">
        <v>1.678E-3</v>
      </c>
      <c r="F12048" t="s">
        <v>74</v>
      </c>
      <c r="G12048">
        <v>1.6776800000000001</v>
      </c>
      <c r="H12048" t="s">
        <v>75</v>
      </c>
      <c r="I12048">
        <v>1677.6769999999999</v>
      </c>
      <c r="J12048" t="s">
        <v>76</v>
      </c>
      <c r="K12048" t="s">
        <v>82</v>
      </c>
      <c r="L12048">
        <v>596.06242350000002</v>
      </c>
    </row>
    <row r="12049" spans="1:12" x14ac:dyDescent="0.3">
      <c r="A12049" t="s">
        <v>115</v>
      </c>
    </row>
    <row r="12050" spans="1:12" x14ac:dyDescent="0.3">
      <c r="A12050" t="s">
        <v>127</v>
      </c>
    </row>
    <row r="12051" spans="1:12" x14ac:dyDescent="0.3">
      <c r="A12051" t="s">
        <v>87</v>
      </c>
    </row>
    <row r="12052" spans="1:12" x14ac:dyDescent="0.3">
      <c r="A12052" t="s">
        <v>551</v>
      </c>
    </row>
    <row r="12053" spans="1:12" x14ac:dyDescent="0.3">
      <c r="A12053" t="s">
        <v>496</v>
      </c>
      <c r="B12053" t="s">
        <v>72</v>
      </c>
      <c r="C12053">
        <v>1</v>
      </c>
      <c r="D12053" t="s">
        <v>81</v>
      </c>
      <c r="E12053">
        <v>0.47756300000000002</v>
      </c>
      <c r="F12053" t="s">
        <v>74</v>
      </c>
      <c r="G12053">
        <v>477.56299000000001</v>
      </c>
      <c r="H12053" t="s">
        <v>75</v>
      </c>
      <c r="I12053">
        <v>477562.99400000001</v>
      </c>
      <c r="J12053" t="s">
        <v>76</v>
      </c>
      <c r="K12053" t="s">
        <v>82</v>
      </c>
      <c r="L12053">
        <v>2.0939646000000001</v>
      </c>
    </row>
    <row r="12054" spans="1:12" x14ac:dyDescent="0.3">
      <c r="A12054" t="s">
        <v>496</v>
      </c>
      <c r="B12054" t="s">
        <v>83</v>
      </c>
      <c r="C12054">
        <v>520</v>
      </c>
      <c r="D12054" t="s">
        <v>81</v>
      </c>
      <c r="E12054">
        <v>1.9289999999999999E-3</v>
      </c>
      <c r="F12054" t="s">
        <v>74</v>
      </c>
      <c r="G12054">
        <v>1.9287300000000001</v>
      </c>
      <c r="H12054" t="s">
        <v>75</v>
      </c>
      <c r="I12054">
        <v>1928.7260000000001</v>
      </c>
      <c r="J12054" t="s">
        <v>76</v>
      </c>
      <c r="K12054" t="s">
        <v>82</v>
      </c>
      <c r="L12054">
        <v>518.47700689999999</v>
      </c>
    </row>
    <row r="12055" spans="1:12" x14ac:dyDescent="0.3">
      <c r="A12055" t="s">
        <v>496</v>
      </c>
      <c r="B12055" t="s">
        <v>84</v>
      </c>
      <c r="C12055">
        <v>521</v>
      </c>
      <c r="D12055" t="s">
        <v>81</v>
      </c>
      <c r="E12055">
        <v>2.8419999999999999E-3</v>
      </c>
      <c r="F12055" t="s">
        <v>74</v>
      </c>
      <c r="G12055">
        <v>2.84165</v>
      </c>
      <c r="H12055" t="s">
        <v>75</v>
      </c>
      <c r="I12055">
        <v>2841.652</v>
      </c>
      <c r="J12055" t="s">
        <v>76</v>
      </c>
      <c r="K12055" t="s">
        <v>82</v>
      </c>
      <c r="L12055">
        <v>351.90800150000001</v>
      </c>
    </row>
    <row r="12056" spans="1:12" x14ac:dyDescent="0.3">
      <c r="A12056" t="s">
        <v>497</v>
      </c>
      <c r="B12056" t="s">
        <v>72</v>
      </c>
      <c r="C12056">
        <v>1</v>
      </c>
      <c r="D12056" t="s">
        <v>81</v>
      </c>
      <c r="E12056">
        <v>0.18043699999999999</v>
      </c>
      <c r="F12056" t="s">
        <v>74</v>
      </c>
      <c r="G12056">
        <v>180.43689000000001</v>
      </c>
      <c r="H12056" t="s">
        <v>75</v>
      </c>
      <c r="I12056">
        <v>180436.894</v>
      </c>
      <c r="J12056" t="s">
        <v>76</v>
      </c>
      <c r="K12056" t="s">
        <v>82</v>
      </c>
      <c r="L12056">
        <v>5.5421037999999996</v>
      </c>
    </row>
    <row r="12057" spans="1:12" x14ac:dyDescent="0.3">
      <c r="A12057" t="s">
        <v>497</v>
      </c>
      <c r="B12057" t="s">
        <v>83</v>
      </c>
      <c r="C12057">
        <v>479</v>
      </c>
      <c r="D12057" t="s">
        <v>81</v>
      </c>
      <c r="E12057">
        <v>2.6779999999999998E-3</v>
      </c>
      <c r="F12057" t="s">
        <v>74</v>
      </c>
      <c r="G12057">
        <v>2.6781299999999999</v>
      </c>
      <c r="H12057" t="s">
        <v>75</v>
      </c>
      <c r="I12057">
        <v>2678.1309999999999</v>
      </c>
      <c r="J12057" t="s">
        <v>76</v>
      </c>
      <c r="K12057" t="s">
        <v>82</v>
      </c>
      <c r="L12057">
        <v>373.39479710000001</v>
      </c>
    </row>
    <row r="12058" spans="1:12" x14ac:dyDescent="0.3">
      <c r="A12058" t="s">
        <v>497</v>
      </c>
      <c r="B12058" t="s">
        <v>84</v>
      </c>
      <c r="C12058">
        <v>480</v>
      </c>
      <c r="D12058" t="s">
        <v>81</v>
      </c>
      <c r="E12058">
        <v>3.0479999999999999E-3</v>
      </c>
      <c r="F12058" t="s">
        <v>74</v>
      </c>
      <c r="G12058">
        <v>3.0484599999999999</v>
      </c>
      <c r="H12058" t="s">
        <v>75</v>
      </c>
      <c r="I12058">
        <v>3048.462</v>
      </c>
      <c r="J12058" t="s">
        <v>76</v>
      </c>
      <c r="K12058" t="s">
        <v>82</v>
      </c>
      <c r="L12058">
        <v>328.03427599999998</v>
      </c>
    </row>
    <row r="12059" spans="1:12" x14ac:dyDescent="0.3">
      <c r="A12059" t="s">
        <v>498</v>
      </c>
      <c r="B12059" t="s">
        <v>72</v>
      </c>
      <c r="C12059">
        <v>2</v>
      </c>
      <c r="D12059" t="s">
        <v>86</v>
      </c>
      <c r="E12059">
        <v>0.238812</v>
      </c>
      <c r="F12059" t="s">
        <v>74</v>
      </c>
      <c r="G12059">
        <v>238.81204</v>
      </c>
      <c r="H12059" t="s">
        <v>75</v>
      </c>
      <c r="I12059">
        <v>238812.04399999999</v>
      </c>
      <c r="J12059" t="s">
        <v>76</v>
      </c>
      <c r="K12059" t="s">
        <v>82</v>
      </c>
      <c r="L12059">
        <v>4.1873934999999998</v>
      </c>
    </row>
    <row r="12060" spans="1:12" x14ac:dyDescent="0.3">
      <c r="A12060" t="s">
        <v>498</v>
      </c>
      <c r="B12060" t="s">
        <v>83</v>
      </c>
      <c r="C12060">
        <v>999</v>
      </c>
      <c r="D12060" t="s">
        <v>86</v>
      </c>
      <c r="E12060">
        <v>1.307E-3</v>
      </c>
      <c r="F12060" t="s">
        <v>74</v>
      </c>
      <c r="G12060">
        <v>1.3065199999999999</v>
      </c>
      <c r="H12060" t="s">
        <v>75</v>
      </c>
      <c r="I12060">
        <v>1306.5250000000001</v>
      </c>
      <c r="J12060" t="s">
        <v>76</v>
      </c>
      <c r="K12060" t="s">
        <v>82</v>
      </c>
      <c r="L12060">
        <v>765.3893243</v>
      </c>
    </row>
    <row r="12061" spans="1:12" x14ac:dyDescent="0.3">
      <c r="A12061" t="s">
        <v>498</v>
      </c>
      <c r="B12061" t="s">
        <v>85</v>
      </c>
      <c r="C12061">
        <v>1001</v>
      </c>
      <c r="D12061" t="s">
        <v>86</v>
      </c>
      <c r="E12061">
        <v>1.487E-3</v>
      </c>
      <c r="F12061" t="s">
        <v>74</v>
      </c>
      <c r="G12061">
        <v>1.4866900000000001</v>
      </c>
      <c r="H12061" t="s">
        <v>75</v>
      </c>
      <c r="I12061">
        <v>1486.692</v>
      </c>
      <c r="J12061" t="s">
        <v>76</v>
      </c>
      <c r="K12061" t="s">
        <v>82</v>
      </c>
      <c r="L12061">
        <v>672.63447629999996</v>
      </c>
    </row>
    <row r="12063" spans="1:12" x14ac:dyDescent="0.3">
      <c r="A12063" t="s">
        <v>552</v>
      </c>
    </row>
    <row r="12064" spans="1:12" x14ac:dyDescent="0.3">
      <c r="A12064" t="s">
        <v>496</v>
      </c>
      <c r="B12064" t="s">
        <v>72</v>
      </c>
      <c r="C12064">
        <v>1</v>
      </c>
      <c r="D12064" t="s">
        <v>81</v>
      </c>
      <c r="E12064">
        <v>3.7155000000000001E-2</v>
      </c>
      <c r="F12064" t="s">
        <v>74</v>
      </c>
      <c r="G12064">
        <v>37.155200000000001</v>
      </c>
      <c r="H12064" t="s">
        <v>75</v>
      </c>
      <c r="I12064">
        <v>37155.199999999997</v>
      </c>
      <c r="J12064" t="s">
        <v>76</v>
      </c>
      <c r="K12064" t="s">
        <v>82</v>
      </c>
      <c r="L12064">
        <v>26.9141333</v>
      </c>
    </row>
    <row r="12065" spans="1:12" x14ac:dyDescent="0.3">
      <c r="A12065" t="s">
        <v>496</v>
      </c>
      <c r="B12065" t="s">
        <v>83</v>
      </c>
      <c r="C12065">
        <v>624</v>
      </c>
      <c r="D12065" t="s">
        <v>81</v>
      </c>
      <c r="E12065">
        <v>2.6150000000000001E-3</v>
      </c>
      <c r="F12065" t="s">
        <v>74</v>
      </c>
      <c r="G12065">
        <v>2.6147499999999999</v>
      </c>
      <c r="H12065" t="s">
        <v>75</v>
      </c>
      <c r="I12065">
        <v>2614.7449999999999</v>
      </c>
      <c r="J12065" t="s">
        <v>76</v>
      </c>
      <c r="K12065" t="s">
        <v>82</v>
      </c>
      <c r="L12065">
        <v>382.44642140000002</v>
      </c>
    </row>
    <row r="12066" spans="1:12" x14ac:dyDescent="0.3">
      <c r="A12066" t="s">
        <v>496</v>
      </c>
      <c r="B12066" t="s">
        <v>84</v>
      </c>
      <c r="C12066">
        <v>625</v>
      </c>
      <c r="D12066" t="s">
        <v>81</v>
      </c>
      <c r="E12066">
        <v>2.6700000000000001E-3</v>
      </c>
      <c r="F12066" t="s">
        <v>74</v>
      </c>
      <c r="G12066">
        <v>2.67001</v>
      </c>
      <c r="H12066" t="s">
        <v>75</v>
      </c>
      <c r="I12066">
        <v>2670.01</v>
      </c>
      <c r="J12066" t="s">
        <v>76</v>
      </c>
      <c r="K12066" t="s">
        <v>82</v>
      </c>
      <c r="L12066">
        <v>374.53040650000003</v>
      </c>
    </row>
    <row r="12067" spans="1:12" x14ac:dyDescent="0.3">
      <c r="A12067" t="s">
        <v>497</v>
      </c>
      <c r="B12067" t="s">
        <v>72</v>
      </c>
      <c r="C12067">
        <v>1</v>
      </c>
      <c r="D12067" t="s">
        <v>81</v>
      </c>
      <c r="E12067">
        <v>7.0610000000000006E-2</v>
      </c>
      <c r="F12067" t="s">
        <v>74</v>
      </c>
      <c r="G12067">
        <v>70.610200000000006</v>
      </c>
      <c r="H12067" t="s">
        <v>75</v>
      </c>
      <c r="I12067">
        <v>70610.202999999994</v>
      </c>
      <c r="J12067" t="s">
        <v>76</v>
      </c>
      <c r="K12067" t="s">
        <v>82</v>
      </c>
      <c r="L12067">
        <v>14.162259300000001</v>
      </c>
    </row>
    <row r="12068" spans="1:12" x14ac:dyDescent="0.3">
      <c r="A12068" t="s">
        <v>497</v>
      </c>
      <c r="B12068" t="s">
        <v>83</v>
      </c>
      <c r="C12068">
        <v>375</v>
      </c>
      <c r="D12068" t="s">
        <v>81</v>
      </c>
      <c r="E12068">
        <v>4.1219999999999998E-3</v>
      </c>
      <c r="F12068" t="s">
        <v>74</v>
      </c>
      <c r="G12068">
        <v>4.12195</v>
      </c>
      <c r="H12068" t="s">
        <v>75</v>
      </c>
      <c r="I12068">
        <v>4121.9549999999999</v>
      </c>
      <c r="J12068" t="s">
        <v>76</v>
      </c>
      <c r="K12068" t="s">
        <v>82</v>
      </c>
      <c r="L12068">
        <v>242.60335130000001</v>
      </c>
    </row>
    <row r="12069" spans="1:12" x14ac:dyDescent="0.3">
      <c r="A12069" t="s">
        <v>497</v>
      </c>
      <c r="B12069" t="s">
        <v>84</v>
      </c>
      <c r="C12069">
        <v>376</v>
      </c>
      <c r="D12069" t="s">
        <v>81</v>
      </c>
      <c r="E12069">
        <v>4.2989999999999999E-3</v>
      </c>
      <c r="F12069" t="s">
        <v>74</v>
      </c>
      <c r="G12069">
        <v>4.2987900000000003</v>
      </c>
      <c r="H12069" t="s">
        <v>75</v>
      </c>
      <c r="I12069">
        <v>4298.7860000000001</v>
      </c>
      <c r="J12069" t="s">
        <v>76</v>
      </c>
      <c r="K12069" t="s">
        <v>82</v>
      </c>
      <c r="L12069">
        <v>232.62383779999999</v>
      </c>
    </row>
    <row r="12070" spans="1:12" x14ac:dyDescent="0.3">
      <c r="A12070" t="s">
        <v>498</v>
      </c>
      <c r="B12070" t="s">
        <v>72</v>
      </c>
      <c r="C12070">
        <v>2</v>
      </c>
      <c r="D12070" t="s">
        <v>86</v>
      </c>
      <c r="E12070">
        <v>3.5309E-2</v>
      </c>
      <c r="F12070" t="s">
        <v>74</v>
      </c>
      <c r="G12070">
        <v>35.308900000000001</v>
      </c>
      <c r="H12070" t="s">
        <v>75</v>
      </c>
      <c r="I12070">
        <v>35308.900999999998</v>
      </c>
      <c r="J12070" t="s">
        <v>76</v>
      </c>
      <c r="K12070" t="s">
        <v>82</v>
      </c>
      <c r="L12070">
        <v>28.321470399999999</v>
      </c>
    </row>
    <row r="12071" spans="1:12" x14ac:dyDescent="0.3">
      <c r="A12071" t="s">
        <v>498</v>
      </c>
      <c r="B12071" t="s">
        <v>83</v>
      </c>
      <c r="C12071">
        <v>999</v>
      </c>
      <c r="D12071" t="s">
        <v>86</v>
      </c>
      <c r="E12071">
        <v>1.6379999999999999E-3</v>
      </c>
      <c r="F12071" t="s">
        <v>74</v>
      </c>
      <c r="G12071">
        <v>1.63754</v>
      </c>
      <c r="H12071" t="s">
        <v>75</v>
      </c>
      <c r="I12071">
        <v>1637.5419999999999</v>
      </c>
      <c r="J12071" t="s">
        <v>76</v>
      </c>
      <c r="K12071" t="s">
        <v>82</v>
      </c>
      <c r="L12071">
        <v>610.67128079999998</v>
      </c>
    </row>
    <row r="12072" spans="1:12" x14ac:dyDescent="0.3">
      <c r="A12072" t="s">
        <v>498</v>
      </c>
      <c r="B12072" t="s">
        <v>85</v>
      </c>
      <c r="C12072">
        <v>1001</v>
      </c>
      <c r="D12072" t="s">
        <v>86</v>
      </c>
      <c r="E12072">
        <v>1.678E-3</v>
      </c>
      <c r="F12072" t="s">
        <v>74</v>
      </c>
      <c r="G12072">
        <v>1.6776800000000001</v>
      </c>
      <c r="H12072" t="s">
        <v>75</v>
      </c>
      <c r="I12072">
        <v>1677.6769999999999</v>
      </c>
      <c r="J12072" t="s">
        <v>76</v>
      </c>
      <c r="K12072" t="s">
        <v>82</v>
      </c>
      <c r="L12072">
        <v>596.06242350000002</v>
      </c>
    </row>
    <row r="12074" spans="1:12" x14ac:dyDescent="0.3">
      <c r="A12074" t="s">
        <v>66</v>
      </c>
    </row>
    <row r="12076" spans="1:12" x14ac:dyDescent="0.3">
      <c r="A12076" t="s">
        <v>553</v>
      </c>
    </row>
    <row r="12077" spans="1:12" x14ac:dyDescent="0.3">
      <c r="A12077" t="s">
        <v>68</v>
      </c>
    </row>
    <row r="12078" spans="1:12" x14ac:dyDescent="0.3">
      <c r="A12078" t="s">
        <v>69</v>
      </c>
    </row>
    <row r="12079" spans="1:12" x14ac:dyDescent="0.3">
      <c r="A12079" t="s">
        <v>68</v>
      </c>
    </row>
    <row r="12080" spans="1:12" x14ac:dyDescent="0.3">
      <c r="A12080" t="s">
        <v>69</v>
      </c>
    </row>
    <row r="12081" spans="1:1" x14ac:dyDescent="0.3">
      <c r="A12081" t="s">
        <v>70</v>
      </c>
    </row>
    <row r="12082" spans="1:1" x14ac:dyDescent="0.3">
      <c r="A12082" t="s">
        <v>115</v>
      </c>
    </row>
    <row r="12083" spans="1:1" x14ac:dyDescent="0.3">
      <c r="A12083" t="s">
        <v>116</v>
      </c>
    </row>
    <row r="12084" spans="1:1" x14ac:dyDescent="0.3">
      <c r="A12084" t="s">
        <v>117</v>
      </c>
    </row>
    <row r="12085" spans="1:1" x14ac:dyDescent="0.3">
      <c r="A12085" t="s">
        <v>118</v>
      </c>
    </row>
    <row r="12086" spans="1:1" x14ac:dyDescent="0.3">
      <c r="A12086" t="s">
        <v>119</v>
      </c>
    </row>
    <row r="12087" spans="1:1" x14ac:dyDescent="0.3">
      <c r="A12087" t="s">
        <v>120</v>
      </c>
    </row>
    <row r="12088" spans="1:1" x14ac:dyDescent="0.3">
      <c r="A12088" t="s">
        <v>121</v>
      </c>
    </row>
    <row r="12089" spans="1:1" x14ac:dyDescent="0.3">
      <c r="A12089" t="s">
        <v>122</v>
      </c>
    </row>
    <row r="12090" spans="1:1" x14ac:dyDescent="0.3">
      <c r="A12090" t="s">
        <v>123</v>
      </c>
    </row>
    <row r="12091" spans="1:1" x14ac:dyDescent="0.3">
      <c r="A12091" t="s">
        <v>124</v>
      </c>
    </row>
    <row r="12092" spans="1:1" x14ac:dyDescent="0.3">
      <c r="A12092" t="s">
        <v>125</v>
      </c>
    </row>
    <row r="12093" spans="1:1" x14ac:dyDescent="0.3">
      <c r="A12093" t="s">
        <v>126</v>
      </c>
    </row>
    <row r="12094" spans="1:1" x14ac:dyDescent="0.3">
      <c r="A12094" t="s">
        <v>127</v>
      </c>
    </row>
    <row r="12095" spans="1:1" x14ac:dyDescent="0.3">
      <c r="A12095" t="s">
        <v>206</v>
      </c>
    </row>
    <row r="12096" spans="1:1" x14ac:dyDescent="0.3">
      <c r="A12096" t="s">
        <v>115</v>
      </c>
    </row>
    <row r="12097" spans="1:11" x14ac:dyDescent="0.3">
      <c r="A12097" t="s">
        <v>266</v>
      </c>
    </row>
    <row r="12098" spans="1:11" x14ac:dyDescent="0.3">
      <c r="A12098" t="s">
        <v>267</v>
      </c>
    </row>
    <row r="12099" spans="1:11" x14ac:dyDescent="0.3">
      <c r="A12099" t="s">
        <v>118</v>
      </c>
    </row>
    <row r="12100" spans="1:11" x14ac:dyDescent="0.3">
      <c r="A12100" t="s">
        <v>119</v>
      </c>
    </row>
    <row r="12101" spans="1:11" x14ac:dyDescent="0.3">
      <c r="A12101" t="s">
        <v>268</v>
      </c>
    </row>
    <row r="12102" spans="1:11" x14ac:dyDescent="0.3">
      <c r="A12102" t="s">
        <v>269</v>
      </c>
    </row>
    <row r="12103" spans="1:11" x14ac:dyDescent="0.3">
      <c r="A12103" t="s">
        <v>122</v>
      </c>
    </row>
    <row r="12104" spans="1:11" x14ac:dyDescent="0.3">
      <c r="A12104" t="s">
        <v>270</v>
      </c>
    </row>
    <row r="12105" spans="1:11" x14ac:dyDescent="0.3">
      <c r="A12105" t="s">
        <v>271</v>
      </c>
    </row>
    <row r="12106" spans="1:11" x14ac:dyDescent="0.3">
      <c r="A12106" t="s">
        <v>125</v>
      </c>
    </row>
    <row r="12107" spans="1:11" x14ac:dyDescent="0.3">
      <c r="A12107" t="s">
        <v>126</v>
      </c>
    </row>
    <row r="12108" spans="1:11" x14ac:dyDescent="0.3">
      <c r="A12108" t="s">
        <v>127</v>
      </c>
    </row>
    <row r="12109" spans="1:11" x14ac:dyDescent="0.3">
      <c r="A12109" t="s">
        <v>206</v>
      </c>
    </row>
    <row r="12110" spans="1:11" x14ac:dyDescent="0.3">
      <c r="A12110" t="s">
        <v>554</v>
      </c>
    </row>
    <row r="12111" spans="1:11" x14ac:dyDescent="0.3">
      <c r="A12111" t="s">
        <v>496</v>
      </c>
      <c r="B12111" t="s">
        <v>72</v>
      </c>
      <c r="C12111">
        <v>1</v>
      </c>
      <c r="D12111" t="s">
        <v>79</v>
      </c>
      <c r="E12111">
        <v>0.42071199999999997</v>
      </c>
      <c r="F12111" t="s">
        <v>74</v>
      </c>
      <c r="G12111">
        <v>420.71229</v>
      </c>
      <c r="H12111" t="s">
        <v>75</v>
      </c>
      <c r="I12111">
        <v>420712.29200000002</v>
      </c>
      <c r="J12111" t="s">
        <v>76</v>
      </c>
      <c r="K12111" t="s">
        <v>77</v>
      </c>
    </row>
    <row r="12112" spans="1:11" x14ac:dyDescent="0.3">
      <c r="A12112" t="s">
        <v>496</v>
      </c>
      <c r="B12112" t="s">
        <v>72</v>
      </c>
      <c r="C12112">
        <v>1</v>
      </c>
      <c r="D12112" t="s">
        <v>94</v>
      </c>
      <c r="E12112">
        <v>4.3624000000000003E-2</v>
      </c>
      <c r="F12112" t="s">
        <v>74</v>
      </c>
      <c r="G12112">
        <v>43.623899999999999</v>
      </c>
      <c r="H12112" t="s">
        <v>75</v>
      </c>
      <c r="I12112">
        <v>43623.898000000001</v>
      </c>
      <c r="J12112" t="s">
        <v>76</v>
      </c>
      <c r="K12112" t="s">
        <v>77</v>
      </c>
    </row>
    <row r="12113" spans="1:12" x14ac:dyDescent="0.3">
      <c r="A12113" t="s">
        <v>496</v>
      </c>
      <c r="B12113" t="s">
        <v>72</v>
      </c>
      <c r="C12113">
        <v>1</v>
      </c>
      <c r="D12113" t="s">
        <v>80</v>
      </c>
      <c r="E12113">
        <v>4.3624999999999997E-2</v>
      </c>
      <c r="F12113" t="s">
        <v>74</v>
      </c>
      <c r="G12113">
        <v>43.625100000000003</v>
      </c>
      <c r="H12113" t="s">
        <v>75</v>
      </c>
      <c r="I12113">
        <v>43625.101000000002</v>
      </c>
      <c r="J12113" t="s">
        <v>76</v>
      </c>
      <c r="K12113" t="s">
        <v>77</v>
      </c>
    </row>
    <row r="12114" spans="1:12" x14ac:dyDescent="0.3">
      <c r="A12114" t="s">
        <v>496</v>
      </c>
      <c r="B12114" t="s">
        <v>72</v>
      </c>
      <c r="C12114">
        <v>1</v>
      </c>
      <c r="D12114" t="s">
        <v>81</v>
      </c>
      <c r="E12114">
        <v>0.46433799999999997</v>
      </c>
      <c r="F12114" t="s">
        <v>74</v>
      </c>
      <c r="G12114">
        <v>464.33771000000002</v>
      </c>
      <c r="H12114" t="s">
        <v>75</v>
      </c>
      <c r="I12114">
        <v>464337.70699999999</v>
      </c>
      <c r="J12114" t="s">
        <v>76</v>
      </c>
      <c r="K12114" t="s">
        <v>82</v>
      </c>
      <c r="L12114">
        <v>2.1536050000000002</v>
      </c>
    </row>
    <row r="12115" spans="1:12" x14ac:dyDescent="0.3">
      <c r="A12115" t="s">
        <v>496</v>
      </c>
      <c r="B12115" t="s">
        <v>83</v>
      </c>
      <c r="C12115">
        <v>389</v>
      </c>
      <c r="D12115" t="s">
        <v>79</v>
      </c>
      <c r="E12115">
        <v>6.0700000000000001E-4</v>
      </c>
      <c r="F12115" t="s">
        <v>74</v>
      </c>
      <c r="G12115">
        <v>0.60670000000000002</v>
      </c>
      <c r="H12115" t="s">
        <v>75</v>
      </c>
      <c r="I12115">
        <v>606.70299999999997</v>
      </c>
      <c r="J12115" t="s">
        <v>76</v>
      </c>
      <c r="K12115" t="s">
        <v>77</v>
      </c>
    </row>
    <row r="12116" spans="1:12" x14ac:dyDescent="0.3">
      <c r="A12116" t="s">
        <v>496</v>
      </c>
      <c r="B12116" t="s">
        <v>83</v>
      </c>
      <c r="C12116">
        <v>389</v>
      </c>
      <c r="D12116" t="s">
        <v>94</v>
      </c>
      <c r="E12116">
        <v>1.4549999999999999E-3</v>
      </c>
      <c r="F12116" t="s">
        <v>74</v>
      </c>
      <c r="G12116">
        <v>1.4549799999999999</v>
      </c>
      <c r="H12116" t="s">
        <v>75</v>
      </c>
      <c r="I12116">
        <v>1454.9770000000001</v>
      </c>
      <c r="J12116" t="s">
        <v>76</v>
      </c>
      <c r="K12116" t="s">
        <v>77</v>
      </c>
    </row>
    <row r="12117" spans="1:12" x14ac:dyDescent="0.3">
      <c r="A12117" t="s">
        <v>496</v>
      </c>
      <c r="B12117" t="s">
        <v>83</v>
      </c>
      <c r="C12117">
        <v>389</v>
      </c>
      <c r="D12117" t="s">
        <v>80</v>
      </c>
      <c r="E12117">
        <v>1.456E-3</v>
      </c>
      <c r="F12117" t="s">
        <v>74</v>
      </c>
      <c r="G12117">
        <v>1.4556199999999999</v>
      </c>
      <c r="H12117" t="s">
        <v>75</v>
      </c>
      <c r="I12117">
        <v>1455.6189999999999</v>
      </c>
      <c r="J12117" t="s">
        <v>76</v>
      </c>
      <c r="K12117" t="s">
        <v>77</v>
      </c>
    </row>
    <row r="12118" spans="1:12" x14ac:dyDescent="0.3">
      <c r="A12118" t="s">
        <v>496</v>
      </c>
      <c r="B12118" t="s">
        <v>83</v>
      </c>
      <c r="C12118">
        <v>389</v>
      </c>
      <c r="D12118" t="s">
        <v>81</v>
      </c>
      <c r="E12118">
        <v>2.0630000000000002E-3</v>
      </c>
      <c r="F12118" t="s">
        <v>74</v>
      </c>
      <c r="G12118">
        <v>2.0627800000000001</v>
      </c>
      <c r="H12118" t="s">
        <v>75</v>
      </c>
      <c r="I12118">
        <v>2062.7800000000002</v>
      </c>
      <c r="J12118" t="s">
        <v>76</v>
      </c>
      <c r="K12118" t="s">
        <v>82</v>
      </c>
      <c r="L12118">
        <v>484.78265340000002</v>
      </c>
    </row>
    <row r="12119" spans="1:12" x14ac:dyDescent="0.3">
      <c r="A12119" t="s">
        <v>496</v>
      </c>
      <c r="B12119" t="s">
        <v>84</v>
      </c>
      <c r="C12119">
        <v>390</v>
      </c>
      <c r="D12119" t="s">
        <v>79</v>
      </c>
      <c r="E12119">
        <v>1.684E-3</v>
      </c>
      <c r="F12119" t="s">
        <v>74</v>
      </c>
      <c r="G12119">
        <v>1.6839</v>
      </c>
      <c r="H12119" t="s">
        <v>75</v>
      </c>
      <c r="I12119">
        <v>1683.896</v>
      </c>
      <c r="J12119" t="s">
        <v>76</v>
      </c>
      <c r="K12119" t="s">
        <v>77</v>
      </c>
    </row>
    <row r="12120" spans="1:12" x14ac:dyDescent="0.3">
      <c r="A12120" t="s">
        <v>496</v>
      </c>
      <c r="B12120" t="s">
        <v>84</v>
      </c>
      <c r="C12120">
        <v>390</v>
      </c>
      <c r="D12120" t="s">
        <v>94</v>
      </c>
      <c r="E12120">
        <v>1.5629999999999999E-3</v>
      </c>
      <c r="F12120" t="s">
        <v>74</v>
      </c>
      <c r="G12120">
        <v>1.5630999999999999</v>
      </c>
      <c r="H12120" t="s">
        <v>75</v>
      </c>
      <c r="I12120">
        <v>1563.1030000000001</v>
      </c>
      <c r="J12120" t="s">
        <v>76</v>
      </c>
      <c r="K12120" t="s">
        <v>77</v>
      </c>
    </row>
    <row r="12121" spans="1:12" x14ac:dyDescent="0.3">
      <c r="A12121" t="s">
        <v>496</v>
      </c>
      <c r="B12121" t="s">
        <v>84</v>
      </c>
      <c r="C12121">
        <v>390</v>
      </c>
      <c r="D12121" t="s">
        <v>80</v>
      </c>
      <c r="E12121">
        <v>1.5640000000000001E-3</v>
      </c>
      <c r="F12121" t="s">
        <v>74</v>
      </c>
      <c r="G12121">
        <v>1.56375</v>
      </c>
      <c r="H12121" t="s">
        <v>75</v>
      </c>
      <c r="I12121">
        <v>1563.7449999999999</v>
      </c>
      <c r="J12121" t="s">
        <v>76</v>
      </c>
      <c r="K12121" t="s">
        <v>77</v>
      </c>
    </row>
    <row r="12122" spans="1:12" x14ac:dyDescent="0.3">
      <c r="A12122" t="s">
        <v>496</v>
      </c>
      <c r="B12122" t="s">
        <v>84</v>
      </c>
      <c r="C12122">
        <v>390</v>
      </c>
      <c r="D12122" t="s">
        <v>81</v>
      </c>
      <c r="E12122">
        <v>3.248E-3</v>
      </c>
      <c r="F12122" t="s">
        <v>74</v>
      </c>
      <c r="G12122">
        <v>3.2481</v>
      </c>
      <c r="H12122" t="s">
        <v>75</v>
      </c>
      <c r="I12122">
        <v>3248.1</v>
      </c>
      <c r="J12122" t="s">
        <v>76</v>
      </c>
      <c r="K12122" t="s">
        <v>82</v>
      </c>
      <c r="L12122">
        <v>307.87231430000003</v>
      </c>
    </row>
    <row r="12123" spans="1:12" x14ac:dyDescent="0.3">
      <c r="A12123" t="s">
        <v>497</v>
      </c>
      <c r="B12123" t="s">
        <v>72</v>
      </c>
      <c r="C12123">
        <v>1</v>
      </c>
      <c r="D12123" t="s">
        <v>79</v>
      </c>
      <c r="E12123">
        <v>0.151091</v>
      </c>
      <c r="F12123" t="s">
        <v>74</v>
      </c>
      <c r="G12123">
        <v>151.09130999999999</v>
      </c>
      <c r="H12123" t="s">
        <v>75</v>
      </c>
      <c r="I12123">
        <v>151091.307</v>
      </c>
      <c r="J12123" t="s">
        <v>76</v>
      </c>
      <c r="K12123" t="s">
        <v>77</v>
      </c>
    </row>
    <row r="12124" spans="1:12" x14ac:dyDescent="0.3">
      <c r="A12124" t="s">
        <v>497</v>
      </c>
      <c r="B12124" t="s">
        <v>72</v>
      </c>
      <c r="C12124">
        <v>1</v>
      </c>
      <c r="D12124" t="s">
        <v>94</v>
      </c>
      <c r="E12124">
        <v>1.7659000000000001E-2</v>
      </c>
      <c r="F12124" t="s">
        <v>74</v>
      </c>
      <c r="G12124">
        <v>17.6585</v>
      </c>
      <c r="H12124" t="s">
        <v>75</v>
      </c>
      <c r="I12124">
        <v>17658.5</v>
      </c>
      <c r="J12124" t="s">
        <v>76</v>
      </c>
      <c r="K12124" t="s">
        <v>77</v>
      </c>
    </row>
    <row r="12125" spans="1:12" x14ac:dyDescent="0.3">
      <c r="A12125" t="s">
        <v>497</v>
      </c>
      <c r="B12125" t="s">
        <v>72</v>
      </c>
      <c r="C12125">
        <v>1</v>
      </c>
      <c r="D12125" t="s">
        <v>80</v>
      </c>
      <c r="E12125">
        <v>1.7659000000000001E-2</v>
      </c>
      <c r="F12125" t="s">
        <v>74</v>
      </c>
      <c r="G12125">
        <v>17.659400000000002</v>
      </c>
      <c r="H12125" t="s">
        <v>75</v>
      </c>
      <c r="I12125">
        <v>17659.400000000001</v>
      </c>
      <c r="J12125" t="s">
        <v>76</v>
      </c>
      <c r="K12125" t="s">
        <v>77</v>
      </c>
    </row>
    <row r="12126" spans="1:12" x14ac:dyDescent="0.3">
      <c r="A12126" t="s">
        <v>497</v>
      </c>
      <c r="B12126" t="s">
        <v>72</v>
      </c>
      <c r="C12126">
        <v>1</v>
      </c>
      <c r="D12126" t="s">
        <v>81</v>
      </c>
      <c r="E12126">
        <v>0.16875100000000001</v>
      </c>
      <c r="F12126" t="s">
        <v>74</v>
      </c>
      <c r="G12126">
        <v>168.75139999999999</v>
      </c>
      <c r="H12126" t="s">
        <v>75</v>
      </c>
      <c r="I12126">
        <v>168751.40400000001</v>
      </c>
      <c r="J12126" t="s">
        <v>76</v>
      </c>
      <c r="K12126" t="s">
        <v>82</v>
      </c>
      <c r="L12126">
        <v>5.9258765999999996</v>
      </c>
    </row>
    <row r="12127" spans="1:12" x14ac:dyDescent="0.3">
      <c r="A12127" t="s">
        <v>497</v>
      </c>
      <c r="B12127" t="s">
        <v>83</v>
      </c>
      <c r="C12127">
        <v>610</v>
      </c>
      <c r="D12127" t="s">
        <v>79</v>
      </c>
      <c r="E12127">
        <v>5.4000000000000001E-4</v>
      </c>
      <c r="F12127" t="s">
        <v>74</v>
      </c>
      <c r="G12127">
        <v>0.53952</v>
      </c>
      <c r="H12127" t="s">
        <v>75</v>
      </c>
      <c r="I12127">
        <v>539.51599999999996</v>
      </c>
      <c r="J12127" t="s">
        <v>76</v>
      </c>
      <c r="K12127" t="s">
        <v>77</v>
      </c>
    </row>
    <row r="12128" spans="1:12" x14ac:dyDescent="0.3">
      <c r="A12128" t="s">
        <v>497</v>
      </c>
      <c r="B12128" t="s">
        <v>83</v>
      </c>
      <c r="C12128">
        <v>610</v>
      </c>
      <c r="D12128" t="s">
        <v>94</v>
      </c>
      <c r="E12128">
        <v>1.214E-3</v>
      </c>
      <c r="F12128" t="s">
        <v>74</v>
      </c>
      <c r="G12128">
        <v>1.21407</v>
      </c>
      <c r="H12128" t="s">
        <v>75</v>
      </c>
      <c r="I12128">
        <v>1214.069</v>
      </c>
      <c r="J12128" t="s">
        <v>76</v>
      </c>
      <c r="K12128" t="s">
        <v>77</v>
      </c>
    </row>
    <row r="12129" spans="1:12" x14ac:dyDescent="0.3">
      <c r="A12129" t="s">
        <v>497</v>
      </c>
      <c r="B12129" t="s">
        <v>83</v>
      </c>
      <c r="C12129">
        <v>610</v>
      </c>
      <c r="D12129" t="s">
        <v>80</v>
      </c>
      <c r="E12129">
        <v>1.2149999999999999E-3</v>
      </c>
      <c r="F12129" t="s">
        <v>74</v>
      </c>
      <c r="G12129">
        <v>1.21522</v>
      </c>
      <c r="H12129" t="s">
        <v>75</v>
      </c>
      <c r="I12129">
        <v>1215.223</v>
      </c>
      <c r="J12129" t="s">
        <v>76</v>
      </c>
      <c r="K12129" t="s">
        <v>77</v>
      </c>
    </row>
    <row r="12130" spans="1:12" x14ac:dyDescent="0.3">
      <c r="A12130" t="s">
        <v>497</v>
      </c>
      <c r="B12130" t="s">
        <v>83</v>
      </c>
      <c r="C12130">
        <v>610</v>
      </c>
      <c r="D12130" t="s">
        <v>81</v>
      </c>
      <c r="E12130">
        <v>1.755E-3</v>
      </c>
      <c r="F12130" t="s">
        <v>74</v>
      </c>
      <c r="G12130">
        <v>1.7551399999999999</v>
      </c>
      <c r="H12130" t="s">
        <v>75</v>
      </c>
      <c r="I12130">
        <v>1755.144</v>
      </c>
      <c r="J12130" t="s">
        <v>76</v>
      </c>
      <c r="K12130" t="s">
        <v>82</v>
      </c>
      <c r="L12130">
        <v>569.75395709999998</v>
      </c>
    </row>
    <row r="12131" spans="1:12" x14ac:dyDescent="0.3">
      <c r="A12131" t="s">
        <v>497</v>
      </c>
      <c r="B12131" t="s">
        <v>84</v>
      </c>
      <c r="C12131">
        <v>611</v>
      </c>
      <c r="D12131" t="s">
        <v>79</v>
      </c>
      <c r="E12131">
        <v>7.8600000000000002E-4</v>
      </c>
      <c r="F12131" t="s">
        <v>74</v>
      </c>
      <c r="G12131">
        <v>0.78591999999999995</v>
      </c>
      <c r="H12131" t="s">
        <v>75</v>
      </c>
      <c r="I12131">
        <v>785.91800000000001</v>
      </c>
      <c r="J12131" t="s">
        <v>76</v>
      </c>
      <c r="K12131" t="s">
        <v>77</v>
      </c>
    </row>
    <row r="12132" spans="1:12" x14ac:dyDescent="0.3">
      <c r="A12132" t="s">
        <v>497</v>
      </c>
      <c r="B12132" t="s">
        <v>84</v>
      </c>
      <c r="C12132">
        <v>611</v>
      </c>
      <c r="D12132" t="s">
        <v>94</v>
      </c>
      <c r="E12132">
        <v>1.2409999999999999E-3</v>
      </c>
      <c r="F12132" t="s">
        <v>74</v>
      </c>
      <c r="G12132">
        <v>1.24098</v>
      </c>
      <c r="H12132" t="s">
        <v>75</v>
      </c>
      <c r="I12132">
        <v>1240.9829999999999</v>
      </c>
      <c r="J12132" t="s">
        <v>76</v>
      </c>
      <c r="K12132" t="s">
        <v>77</v>
      </c>
    </row>
    <row r="12133" spans="1:12" x14ac:dyDescent="0.3">
      <c r="A12133" t="s">
        <v>497</v>
      </c>
      <c r="B12133" t="s">
        <v>84</v>
      </c>
      <c r="C12133">
        <v>611</v>
      </c>
      <c r="D12133" t="s">
        <v>80</v>
      </c>
      <c r="E12133">
        <v>1.242E-3</v>
      </c>
      <c r="F12133" t="s">
        <v>74</v>
      </c>
      <c r="G12133">
        <v>1.24214</v>
      </c>
      <c r="H12133" t="s">
        <v>75</v>
      </c>
      <c r="I12133">
        <v>1242.136</v>
      </c>
      <c r="J12133" t="s">
        <v>76</v>
      </c>
      <c r="K12133" t="s">
        <v>77</v>
      </c>
    </row>
    <row r="12134" spans="1:12" x14ac:dyDescent="0.3">
      <c r="A12134" t="s">
        <v>497</v>
      </c>
      <c r="B12134" t="s">
        <v>84</v>
      </c>
      <c r="C12134">
        <v>611</v>
      </c>
      <c r="D12134" t="s">
        <v>81</v>
      </c>
      <c r="E12134">
        <v>2.0279999999999999E-3</v>
      </c>
      <c r="F12134" t="s">
        <v>74</v>
      </c>
      <c r="G12134">
        <v>2.0284599999999999</v>
      </c>
      <c r="H12134" t="s">
        <v>75</v>
      </c>
      <c r="I12134">
        <v>2028.4590000000001</v>
      </c>
      <c r="J12134" t="s">
        <v>76</v>
      </c>
      <c r="K12134" t="s">
        <v>82</v>
      </c>
      <c r="L12134">
        <v>492.98506220000002</v>
      </c>
    </row>
    <row r="12135" spans="1:12" x14ac:dyDescent="0.3">
      <c r="A12135" t="s">
        <v>498</v>
      </c>
      <c r="B12135" t="s">
        <v>72</v>
      </c>
      <c r="C12135">
        <v>1</v>
      </c>
      <c r="D12135" t="s">
        <v>73</v>
      </c>
      <c r="E12135">
        <v>8.1000000000000004E-5</v>
      </c>
      <c r="F12135" t="s">
        <v>74</v>
      </c>
      <c r="G12135">
        <v>8.14E-2</v>
      </c>
      <c r="H12135" t="s">
        <v>75</v>
      </c>
      <c r="I12135">
        <v>81.400000000000006</v>
      </c>
      <c r="J12135" t="s">
        <v>76</v>
      </c>
      <c r="K12135" t="s">
        <v>77</v>
      </c>
    </row>
    <row r="12136" spans="1:12" x14ac:dyDescent="0.3">
      <c r="A12136" t="s">
        <v>498</v>
      </c>
      <c r="B12136" t="s">
        <v>72</v>
      </c>
      <c r="C12136">
        <v>1</v>
      </c>
      <c r="D12136" t="s">
        <v>78</v>
      </c>
      <c r="E12136">
        <v>0.14371800000000001</v>
      </c>
      <c r="F12136" t="s">
        <v>74</v>
      </c>
      <c r="G12136">
        <v>143.7176</v>
      </c>
      <c r="H12136" t="s">
        <v>75</v>
      </c>
      <c r="I12136">
        <v>143717.60200000001</v>
      </c>
      <c r="J12136" t="s">
        <v>76</v>
      </c>
      <c r="K12136" t="s">
        <v>77</v>
      </c>
    </row>
    <row r="12137" spans="1:12" x14ac:dyDescent="0.3">
      <c r="A12137" t="s">
        <v>498</v>
      </c>
      <c r="B12137" t="s">
        <v>72</v>
      </c>
      <c r="C12137">
        <v>2</v>
      </c>
      <c r="D12137" t="s">
        <v>86</v>
      </c>
      <c r="E12137">
        <v>0.23219699999999999</v>
      </c>
      <c r="F12137" t="s">
        <v>74</v>
      </c>
      <c r="G12137">
        <v>232.19685000000001</v>
      </c>
      <c r="H12137" t="s">
        <v>75</v>
      </c>
      <c r="I12137">
        <v>232196.853</v>
      </c>
      <c r="J12137" t="s">
        <v>76</v>
      </c>
      <c r="K12137" t="s">
        <v>82</v>
      </c>
      <c r="L12137">
        <v>4.3066905999999996</v>
      </c>
    </row>
    <row r="12138" spans="1:12" x14ac:dyDescent="0.3">
      <c r="A12138" t="s">
        <v>498</v>
      </c>
      <c r="B12138" t="s">
        <v>83</v>
      </c>
      <c r="C12138">
        <v>999</v>
      </c>
      <c r="D12138" t="s">
        <v>86</v>
      </c>
      <c r="E12138">
        <v>1.1019999999999999E-3</v>
      </c>
      <c r="F12138" t="s">
        <v>74</v>
      </c>
      <c r="G12138">
        <v>1.1019000000000001</v>
      </c>
      <c r="H12138" t="s">
        <v>75</v>
      </c>
      <c r="I12138">
        <v>1101.904</v>
      </c>
      <c r="J12138" t="s">
        <v>76</v>
      </c>
      <c r="K12138" t="s">
        <v>82</v>
      </c>
      <c r="L12138">
        <v>907.51970770000003</v>
      </c>
    </row>
    <row r="12139" spans="1:12" x14ac:dyDescent="0.3">
      <c r="A12139" t="s">
        <v>498</v>
      </c>
      <c r="B12139" t="s">
        <v>85</v>
      </c>
      <c r="C12139">
        <v>1001</v>
      </c>
      <c r="D12139" t="s">
        <v>86</v>
      </c>
      <c r="E12139">
        <v>1.2700000000000001E-3</v>
      </c>
      <c r="F12139" t="s">
        <v>74</v>
      </c>
      <c r="G12139">
        <v>1.26986</v>
      </c>
      <c r="H12139" t="s">
        <v>75</v>
      </c>
      <c r="I12139">
        <v>1269.856</v>
      </c>
      <c r="J12139" t="s">
        <v>76</v>
      </c>
      <c r="K12139" t="s">
        <v>82</v>
      </c>
      <c r="L12139">
        <v>787.49097770000003</v>
      </c>
    </row>
    <row r="12140" spans="1:12" x14ac:dyDescent="0.3">
      <c r="A12140" t="s">
        <v>208</v>
      </c>
    </row>
    <row r="12141" spans="1:12" x14ac:dyDescent="0.3">
      <c r="A12141" t="s">
        <v>208</v>
      </c>
    </row>
    <row r="12142" spans="1:12" x14ac:dyDescent="0.3">
      <c r="A12142" t="s">
        <v>555</v>
      </c>
    </row>
    <row r="12143" spans="1:12" x14ac:dyDescent="0.3">
      <c r="A12143" t="s">
        <v>496</v>
      </c>
      <c r="B12143" t="s">
        <v>72</v>
      </c>
      <c r="C12143">
        <v>1</v>
      </c>
      <c r="D12143" t="s">
        <v>79</v>
      </c>
      <c r="E12143">
        <v>7.7210000000000004E-3</v>
      </c>
      <c r="F12143" t="s">
        <v>74</v>
      </c>
      <c r="G12143">
        <v>7.7214</v>
      </c>
      <c r="H12143" t="s">
        <v>75</v>
      </c>
      <c r="I12143">
        <v>7721.4</v>
      </c>
      <c r="J12143" t="s">
        <v>76</v>
      </c>
      <c r="K12143" t="s">
        <v>77</v>
      </c>
    </row>
    <row r="12144" spans="1:12" x14ac:dyDescent="0.3">
      <c r="A12144" t="s">
        <v>496</v>
      </c>
      <c r="B12144" t="s">
        <v>72</v>
      </c>
      <c r="C12144">
        <v>1</v>
      </c>
      <c r="D12144" t="s">
        <v>94</v>
      </c>
      <c r="E12144">
        <v>3.1085000000000002E-2</v>
      </c>
      <c r="F12144" t="s">
        <v>74</v>
      </c>
      <c r="G12144">
        <v>31.0854</v>
      </c>
      <c r="H12144" t="s">
        <v>75</v>
      </c>
      <c r="I12144">
        <v>31085.4</v>
      </c>
      <c r="J12144" t="s">
        <v>76</v>
      </c>
      <c r="K12144" t="s">
        <v>77</v>
      </c>
    </row>
    <row r="12145" spans="1:12" x14ac:dyDescent="0.3">
      <c r="A12145" t="s">
        <v>496</v>
      </c>
      <c r="B12145" t="s">
        <v>72</v>
      </c>
      <c r="C12145">
        <v>1</v>
      </c>
      <c r="D12145" t="s">
        <v>80</v>
      </c>
      <c r="E12145">
        <v>3.1087E-2</v>
      </c>
      <c r="F12145" t="s">
        <v>74</v>
      </c>
      <c r="G12145">
        <v>31.0867</v>
      </c>
      <c r="H12145" t="s">
        <v>75</v>
      </c>
      <c r="I12145">
        <v>31086.7</v>
      </c>
      <c r="J12145" t="s">
        <v>76</v>
      </c>
      <c r="K12145" t="s">
        <v>77</v>
      </c>
    </row>
    <row r="12146" spans="1:12" x14ac:dyDescent="0.3">
      <c r="A12146" t="s">
        <v>496</v>
      </c>
      <c r="B12146" t="s">
        <v>72</v>
      </c>
      <c r="C12146">
        <v>1</v>
      </c>
      <c r="D12146" t="s">
        <v>81</v>
      </c>
      <c r="E12146">
        <v>3.8809000000000003E-2</v>
      </c>
      <c r="F12146" t="s">
        <v>74</v>
      </c>
      <c r="G12146">
        <v>38.808599999999998</v>
      </c>
      <c r="H12146" t="s">
        <v>75</v>
      </c>
      <c r="I12146">
        <v>38808.599000000002</v>
      </c>
      <c r="J12146" t="s">
        <v>76</v>
      </c>
      <c r="K12146" t="s">
        <v>82</v>
      </c>
      <c r="L12146">
        <v>25.767485099999998</v>
      </c>
    </row>
    <row r="12147" spans="1:12" x14ac:dyDescent="0.3">
      <c r="A12147" t="s">
        <v>496</v>
      </c>
      <c r="B12147" t="s">
        <v>83</v>
      </c>
      <c r="C12147">
        <v>599</v>
      </c>
      <c r="D12147" t="s">
        <v>79</v>
      </c>
      <c r="E12147">
        <v>6.4099999999999997E-4</v>
      </c>
      <c r="F12147" t="s">
        <v>74</v>
      </c>
      <c r="G12147">
        <v>0.64124999999999999</v>
      </c>
      <c r="H12147" t="s">
        <v>75</v>
      </c>
      <c r="I12147">
        <v>641.245</v>
      </c>
      <c r="J12147" t="s">
        <v>76</v>
      </c>
      <c r="K12147" t="s">
        <v>77</v>
      </c>
    </row>
    <row r="12148" spans="1:12" x14ac:dyDescent="0.3">
      <c r="A12148" t="s">
        <v>496</v>
      </c>
      <c r="B12148" t="s">
        <v>83</v>
      </c>
      <c r="C12148">
        <v>599</v>
      </c>
      <c r="D12148" t="s">
        <v>94</v>
      </c>
      <c r="E12148">
        <v>1.629E-3</v>
      </c>
      <c r="F12148" t="s">
        <v>74</v>
      </c>
      <c r="G12148">
        <v>1.6285499999999999</v>
      </c>
      <c r="H12148" t="s">
        <v>75</v>
      </c>
      <c r="I12148">
        <v>1628.5550000000001</v>
      </c>
      <c r="J12148" t="s">
        <v>76</v>
      </c>
      <c r="K12148" t="s">
        <v>77</v>
      </c>
    </row>
    <row r="12149" spans="1:12" x14ac:dyDescent="0.3">
      <c r="A12149" t="s">
        <v>496</v>
      </c>
      <c r="B12149" t="s">
        <v>83</v>
      </c>
      <c r="C12149">
        <v>599</v>
      </c>
      <c r="D12149" t="s">
        <v>80</v>
      </c>
      <c r="E12149">
        <v>1.8489999999999999E-3</v>
      </c>
      <c r="F12149" t="s">
        <v>74</v>
      </c>
      <c r="G12149">
        <v>1.849</v>
      </c>
      <c r="H12149" t="s">
        <v>75</v>
      </c>
      <c r="I12149">
        <v>1849</v>
      </c>
      <c r="J12149" t="s">
        <v>76</v>
      </c>
      <c r="K12149" t="s">
        <v>77</v>
      </c>
    </row>
    <row r="12150" spans="1:12" x14ac:dyDescent="0.3">
      <c r="A12150" t="s">
        <v>496</v>
      </c>
      <c r="B12150" t="s">
        <v>83</v>
      </c>
      <c r="C12150">
        <v>599</v>
      </c>
      <c r="D12150" t="s">
        <v>81</v>
      </c>
      <c r="E12150">
        <v>2.4910000000000002E-3</v>
      </c>
      <c r="F12150" t="s">
        <v>74</v>
      </c>
      <c r="G12150">
        <v>2.4906600000000001</v>
      </c>
      <c r="H12150" t="s">
        <v>75</v>
      </c>
      <c r="I12150">
        <v>2490.6640000000002</v>
      </c>
      <c r="J12150" t="s">
        <v>76</v>
      </c>
      <c r="K12150" t="s">
        <v>82</v>
      </c>
      <c r="L12150">
        <v>401.49939669999998</v>
      </c>
    </row>
    <row r="12151" spans="1:12" x14ac:dyDescent="0.3">
      <c r="A12151" t="s">
        <v>496</v>
      </c>
      <c r="B12151" t="s">
        <v>84</v>
      </c>
      <c r="C12151">
        <v>600</v>
      </c>
      <c r="D12151" t="s">
        <v>79</v>
      </c>
      <c r="E12151">
        <v>6.5300000000000004E-4</v>
      </c>
      <c r="F12151" t="s">
        <v>74</v>
      </c>
      <c r="G12151">
        <v>0.65305000000000002</v>
      </c>
      <c r="H12151" t="s">
        <v>75</v>
      </c>
      <c r="I12151">
        <v>653.04600000000005</v>
      </c>
      <c r="J12151" t="s">
        <v>76</v>
      </c>
      <c r="K12151" t="s">
        <v>77</v>
      </c>
    </row>
    <row r="12152" spans="1:12" x14ac:dyDescent="0.3">
      <c r="A12152" t="s">
        <v>496</v>
      </c>
      <c r="B12152" t="s">
        <v>84</v>
      </c>
      <c r="C12152">
        <v>600</v>
      </c>
      <c r="D12152" t="s">
        <v>94</v>
      </c>
      <c r="E12152">
        <v>1.678E-3</v>
      </c>
      <c r="F12152" t="s">
        <v>74</v>
      </c>
      <c r="G12152">
        <v>1.6776500000000001</v>
      </c>
      <c r="H12152" t="s">
        <v>75</v>
      </c>
      <c r="I12152">
        <v>1677.65</v>
      </c>
      <c r="J12152" t="s">
        <v>76</v>
      </c>
      <c r="K12152" t="s">
        <v>77</v>
      </c>
    </row>
    <row r="12153" spans="1:12" x14ac:dyDescent="0.3">
      <c r="A12153" t="s">
        <v>496</v>
      </c>
      <c r="B12153" t="s">
        <v>84</v>
      </c>
      <c r="C12153">
        <v>600</v>
      </c>
      <c r="D12153" t="s">
        <v>80</v>
      </c>
      <c r="E12153">
        <v>1.8979999999999999E-3</v>
      </c>
      <c r="F12153" t="s">
        <v>74</v>
      </c>
      <c r="G12153">
        <v>1.8977299999999999</v>
      </c>
      <c r="H12153" t="s">
        <v>75</v>
      </c>
      <c r="I12153">
        <v>1897.73</v>
      </c>
      <c r="J12153" t="s">
        <v>76</v>
      </c>
      <c r="K12153" t="s">
        <v>77</v>
      </c>
    </row>
    <row r="12154" spans="1:12" x14ac:dyDescent="0.3">
      <c r="A12154" t="s">
        <v>496</v>
      </c>
      <c r="B12154" t="s">
        <v>84</v>
      </c>
      <c r="C12154">
        <v>600</v>
      </c>
      <c r="D12154" t="s">
        <v>81</v>
      </c>
      <c r="E12154">
        <v>2.5509999999999999E-3</v>
      </c>
      <c r="F12154" t="s">
        <v>74</v>
      </c>
      <c r="G12154">
        <v>2.5511900000000001</v>
      </c>
      <c r="H12154" t="s">
        <v>75</v>
      </c>
      <c r="I12154">
        <v>2551.194</v>
      </c>
      <c r="J12154" t="s">
        <v>76</v>
      </c>
      <c r="K12154" t="s">
        <v>82</v>
      </c>
      <c r="L12154">
        <v>391.97338309999998</v>
      </c>
    </row>
    <row r="12155" spans="1:12" x14ac:dyDescent="0.3">
      <c r="A12155" t="s">
        <v>497</v>
      </c>
      <c r="B12155" t="s">
        <v>72</v>
      </c>
      <c r="C12155">
        <v>1</v>
      </c>
      <c r="D12155" t="s">
        <v>79</v>
      </c>
      <c r="E12155">
        <v>1.2197E-2</v>
      </c>
      <c r="F12155" t="s">
        <v>74</v>
      </c>
      <c r="G12155">
        <v>12.196999999999999</v>
      </c>
      <c r="H12155" t="s">
        <v>75</v>
      </c>
      <c r="I12155">
        <v>12197</v>
      </c>
      <c r="J12155" t="s">
        <v>76</v>
      </c>
      <c r="K12155" t="s">
        <v>77</v>
      </c>
    </row>
    <row r="12156" spans="1:12" x14ac:dyDescent="0.3">
      <c r="A12156" t="s">
        <v>497</v>
      </c>
      <c r="B12156" t="s">
        <v>72</v>
      </c>
      <c r="C12156">
        <v>1</v>
      </c>
      <c r="D12156" t="s">
        <v>94</v>
      </c>
      <c r="E12156">
        <v>6.1748999999999998E-2</v>
      </c>
      <c r="F12156" t="s">
        <v>74</v>
      </c>
      <c r="G12156">
        <v>61.749099999999999</v>
      </c>
      <c r="H12156" t="s">
        <v>75</v>
      </c>
      <c r="I12156">
        <v>61749.101000000002</v>
      </c>
      <c r="J12156" t="s">
        <v>76</v>
      </c>
      <c r="K12156" t="s">
        <v>77</v>
      </c>
    </row>
    <row r="12157" spans="1:12" x14ac:dyDescent="0.3">
      <c r="A12157" t="s">
        <v>497</v>
      </c>
      <c r="B12157" t="s">
        <v>72</v>
      </c>
      <c r="C12157">
        <v>1</v>
      </c>
      <c r="D12157" t="s">
        <v>80</v>
      </c>
      <c r="E12157">
        <v>6.1751E-2</v>
      </c>
      <c r="F12157" t="s">
        <v>74</v>
      </c>
      <c r="G12157">
        <v>61.750500000000002</v>
      </c>
      <c r="H12157" t="s">
        <v>75</v>
      </c>
      <c r="I12157">
        <v>61750.500999999997</v>
      </c>
      <c r="J12157" t="s">
        <v>76</v>
      </c>
      <c r="K12157" t="s">
        <v>77</v>
      </c>
    </row>
    <row r="12158" spans="1:12" x14ac:dyDescent="0.3">
      <c r="A12158" t="s">
        <v>497</v>
      </c>
      <c r="B12158" t="s">
        <v>72</v>
      </c>
      <c r="C12158">
        <v>1</v>
      </c>
      <c r="D12158" t="s">
        <v>81</v>
      </c>
      <c r="E12158">
        <v>7.3951000000000003E-2</v>
      </c>
      <c r="F12158" t="s">
        <v>74</v>
      </c>
      <c r="G12158">
        <v>73.951099999999997</v>
      </c>
      <c r="H12158" t="s">
        <v>75</v>
      </c>
      <c r="I12158">
        <v>73951.103000000003</v>
      </c>
      <c r="J12158" t="s">
        <v>76</v>
      </c>
      <c r="K12158" t="s">
        <v>82</v>
      </c>
      <c r="L12158">
        <v>13.522448799999999</v>
      </c>
    </row>
    <row r="12159" spans="1:12" x14ac:dyDescent="0.3">
      <c r="A12159" t="s">
        <v>497</v>
      </c>
      <c r="B12159" t="s">
        <v>83</v>
      </c>
      <c r="C12159">
        <v>400</v>
      </c>
      <c r="D12159" t="s">
        <v>79</v>
      </c>
      <c r="E12159">
        <v>5.6800000000000004E-4</v>
      </c>
      <c r="F12159" t="s">
        <v>74</v>
      </c>
      <c r="G12159">
        <v>0.5675</v>
      </c>
      <c r="H12159" t="s">
        <v>75</v>
      </c>
      <c r="I12159">
        <v>567.50400000000002</v>
      </c>
      <c r="J12159" t="s">
        <v>76</v>
      </c>
      <c r="K12159" t="s">
        <v>77</v>
      </c>
    </row>
    <row r="12160" spans="1:12" x14ac:dyDescent="0.3">
      <c r="A12160" t="s">
        <v>497</v>
      </c>
      <c r="B12160" t="s">
        <v>83</v>
      </c>
      <c r="C12160">
        <v>400</v>
      </c>
      <c r="D12160" t="s">
        <v>94</v>
      </c>
      <c r="E12160">
        <v>2.6819999999999999E-3</v>
      </c>
      <c r="F12160" t="s">
        <v>74</v>
      </c>
      <c r="G12160">
        <v>2.6817700000000002</v>
      </c>
      <c r="H12160" t="s">
        <v>75</v>
      </c>
      <c r="I12160">
        <v>2681.77</v>
      </c>
      <c r="J12160" t="s">
        <v>76</v>
      </c>
      <c r="K12160" t="s">
        <v>77</v>
      </c>
    </row>
    <row r="12161" spans="1:12" x14ac:dyDescent="0.3">
      <c r="A12161" t="s">
        <v>497</v>
      </c>
      <c r="B12161" t="s">
        <v>83</v>
      </c>
      <c r="C12161">
        <v>400</v>
      </c>
      <c r="D12161" t="s">
        <v>80</v>
      </c>
      <c r="E12161">
        <v>2.934E-3</v>
      </c>
      <c r="F12161" t="s">
        <v>74</v>
      </c>
      <c r="G12161">
        <v>2.9342700000000002</v>
      </c>
      <c r="H12161" t="s">
        <v>75</v>
      </c>
      <c r="I12161">
        <v>2934.2730000000001</v>
      </c>
      <c r="J12161" t="s">
        <v>76</v>
      </c>
      <c r="K12161" t="s">
        <v>77</v>
      </c>
    </row>
    <row r="12162" spans="1:12" x14ac:dyDescent="0.3">
      <c r="A12162" t="s">
        <v>497</v>
      </c>
      <c r="B12162" t="s">
        <v>83</v>
      </c>
      <c r="C12162">
        <v>400</v>
      </c>
      <c r="D12162" t="s">
        <v>81</v>
      </c>
      <c r="E12162">
        <v>3.5019999999999999E-3</v>
      </c>
      <c r="F12162" t="s">
        <v>74</v>
      </c>
      <c r="G12162">
        <v>3.5024099999999998</v>
      </c>
      <c r="H12162" t="s">
        <v>75</v>
      </c>
      <c r="I12162">
        <v>3502.4090000000001</v>
      </c>
      <c r="J12162" t="s">
        <v>76</v>
      </c>
      <c r="K12162" t="s">
        <v>82</v>
      </c>
      <c r="L12162">
        <v>285.51773059999999</v>
      </c>
    </row>
    <row r="12163" spans="1:12" x14ac:dyDescent="0.3">
      <c r="A12163" t="s">
        <v>497</v>
      </c>
      <c r="B12163" t="s">
        <v>84</v>
      </c>
      <c r="C12163">
        <v>401</v>
      </c>
      <c r="D12163" t="s">
        <v>79</v>
      </c>
      <c r="E12163">
        <v>5.9699999999999998E-4</v>
      </c>
      <c r="F12163" t="s">
        <v>74</v>
      </c>
      <c r="G12163">
        <v>0.59650999999999998</v>
      </c>
      <c r="H12163" t="s">
        <v>75</v>
      </c>
      <c r="I12163">
        <v>596.505</v>
      </c>
      <c r="J12163" t="s">
        <v>76</v>
      </c>
      <c r="K12163" t="s">
        <v>77</v>
      </c>
    </row>
    <row r="12164" spans="1:12" x14ac:dyDescent="0.3">
      <c r="A12164" t="s">
        <v>497</v>
      </c>
      <c r="B12164" t="s">
        <v>84</v>
      </c>
      <c r="C12164">
        <v>401</v>
      </c>
      <c r="D12164" t="s">
        <v>94</v>
      </c>
      <c r="E12164">
        <v>2.8289999999999999E-3</v>
      </c>
      <c r="F12164" t="s">
        <v>74</v>
      </c>
      <c r="G12164">
        <v>2.8290700000000002</v>
      </c>
      <c r="H12164" t="s">
        <v>75</v>
      </c>
      <c r="I12164">
        <v>2829.0709999999999</v>
      </c>
      <c r="J12164" t="s">
        <v>76</v>
      </c>
      <c r="K12164" t="s">
        <v>77</v>
      </c>
    </row>
    <row r="12165" spans="1:12" x14ac:dyDescent="0.3">
      <c r="A12165" t="s">
        <v>497</v>
      </c>
      <c r="B12165" t="s">
        <v>84</v>
      </c>
      <c r="C12165">
        <v>401</v>
      </c>
      <c r="D12165" t="s">
        <v>80</v>
      </c>
      <c r="E12165">
        <v>3.081E-3</v>
      </c>
      <c r="F12165" t="s">
        <v>74</v>
      </c>
      <c r="G12165">
        <v>3.0809500000000001</v>
      </c>
      <c r="H12165" t="s">
        <v>75</v>
      </c>
      <c r="I12165">
        <v>3080.9470000000001</v>
      </c>
      <c r="J12165" t="s">
        <v>76</v>
      </c>
      <c r="K12165" t="s">
        <v>77</v>
      </c>
    </row>
    <row r="12166" spans="1:12" x14ac:dyDescent="0.3">
      <c r="A12166" t="s">
        <v>497</v>
      </c>
      <c r="B12166" t="s">
        <v>84</v>
      </c>
      <c r="C12166">
        <v>401</v>
      </c>
      <c r="D12166" t="s">
        <v>81</v>
      </c>
      <c r="E12166">
        <v>3.6779999999999998E-3</v>
      </c>
      <c r="F12166" t="s">
        <v>74</v>
      </c>
      <c r="G12166">
        <v>3.6780900000000001</v>
      </c>
      <c r="H12166" t="s">
        <v>75</v>
      </c>
      <c r="I12166">
        <v>3678.0920000000001</v>
      </c>
      <c r="J12166" t="s">
        <v>76</v>
      </c>
      <c r="K12166" t="s">
        <v>82</v>
      </c>
      <c r="L12166">
        <v>271.8800913</v>
      </c>
    </row>
    <row r="12167" spans="1:12" x14ac:dyDescent="0.3">
      <c r="A12167" t="s">
        <v>498</v>
      </c>
      <c r="B12167" t="s">
        <v>72</v>
      </c>
      <c r="C12167">
        <v>1</v>
      </c>
      <c r="D12167" t="s">
        <v>73</v>
      </c>
      <c r="E12167">
        <v>8.1000000000000004E-5</v>
      </c>
      <c r="F12167" t="s">
        <v>74</v>
      </c>
      <c r="G12167">
        <v>8.14E-2</v>
      </c>
      <c r="H12167" t="s">
        <v>75</v>
      </c>
      <c r="I12167">
        <v>81.400000000000006</v>
      </c>
      <c r="J12167" t="s">
        <v>76</v>
      </c>
      <c r="K12167" t="s">
        <v>77</v>
      </c>
    </row>
    <row r="12168" spans="1:12" x14ac:dyDescent="0.3">
      <c r="A12168" t="s">
        <v>498</v>
      </c>
      <c r="B12168" t="s">
        <v>72</v>
      </c>
      <c r="C12168">
        <v>1</v>
      </c>
      <c r="D12168" t="s">
        <v>78</v>
      </c>
      <c r="E12168">
        <v>5.3200000000000003E-4</v>
      </c>
      <c r="F12168" t="s">
        <v>74</v>
      </c>
      <c r="G12168">
        <v>0.53239999999999998</v>
      </c>
      <c r="H12168" t="s">
        <v>75</v>
      </c>
      <c r="I12168">
        <v>532.4</v>
      </c>
      <c r="J12168" t="s">
        <v>76</v>
      </c>
      <c r="K12168" t="s">
        <v>77</v>
      </c>
    </row>
    <row r="12169" spans="1:12" x14ac:dyDescent="0.3">
      <c r="A12169" t="s">
        <v>498</v>
      </c>
      <c r="B12169" t="s">
        <v>72</v>
      </c>
      <c r="C12169">
        <v>2</v>
      </c>
      <c r="D12169" t="s">
        <v>86</v>
      </c>
      <c r="E12169">
        <v>3.6978999999999998E-2</v>
      </c>
      <c r="F12169" t="s">
        <v>74</v>
      </c>
      <c r="G12169">
        <v>36.978850000000001</v>
      </c>
      <c r="H12169" t="s">
        <v>75</v>
      </c>
      <c r="I12169">
        <v>36978.847999999998</v>
      </c>
      <c r="J12169" t="s">
        <v>76</v>
      </c>
      <c r="K12169" t="s">
        <v>82</v>
      </c>
      <c r="L12169">
        <v>27.042486400000001</v>
      </c>
    </row>
    <row r="12170" spans="1:12" x14ac:dyDescent="0.3">
      <c r="A12170" t="s">
        <v>498</v>
      </c>
      <c r="B12170" t="s">
        <v>83</v>
      </c>
      <c r="C12170">
        <v>999</v>
      </c>
      <c r="D12170" t="s">
        <v>86</v>
      </c>
      <c r="E12170">
        <v>1.4959999999999999E-3</v>
      </c>
      <c r="F12170" t="s">
        <v>74</v>
      </c>
      <c r="G12170">
        <v>1.4958100000000001</v>
      </c>
      <c r="H12170" t="s">
        <v>75</v>
      </c>
      <c r="I12170">
        <v>1495.81</v>
      </c>
      <c r="J12170" t="s">
        <v>76</v>
      </c>
      <c r="K12170" t="s">
        <v>82</v>
      </c>
      <c r="L12170">
        <v>668.53431690000002</v>
      </c>
    </row>
    <row r="12171" spans="1:12" x14ac:dyDescent="0.3">
      <c r="A12171" t="s">
        <v>498</v>
      </c>
      <c r="B12171" t="s">
        <v>85</v>
      </c>
      <c r="C12171">
        <v>1001</v>
      </c>
      <c r="D12171" t="s">
        <v>86</v>
      </c>
      <c r="E12171">
        <v>1.537E-3</v>
      </c>
      <c r="F12171" t="s">
        <v>74</v>
      </c>
      <c r="G12171">
        <v>1.5371300000000001</v>
      </c>
      <c r="H12171" t="s">
        <v>75</v>
      </c>
      <c r="I12171">
        <v>1537.1279999999999</v>
      </c>
      <c r="J12171" t="s">
        <v>76</v>
      </c>
      <c r="K12171" t="s">
        <v>82</v>
      </c>
      <c r="L12171">
        <v>650.5637375</v>
      </c>
    </row>
    <row r="12172" spans="1:12" x14ac:dyDescent="0.3">
      <c r="A12172" t="s">
        <v>115</v>
      </c>
    </row>
    <row r="12173" spans="1:12" x14ac:dyDescent="0.3">
      <c r="A12173" t="s">
        <v>127</v>
      </c>
    </row>
    <row r="12174" spans="1:12" x14ac:dyDescent="0.3">
      <c r="A12174" t="s">
        <v>87</v>
      </c>
    </row>
    <row r="12175" spans="1:12" x14ac:dyDescent="0.3">
      <c r="A12175" t="s">
        <v>556</v>
      </c>
    </row>
    <row r="12176" spans="1:12" x14ac:dyDescent="0.3">
      <c r="A12176" t="s">
        <v>496</v>
      </c>
      <c r="B12176" t="s">
        <v>72</v>
      </c>
      <c r="C12176">
        <v>1</v>
      </c>
      <c r="D12176" t="s">
        <v>81</v>
      </c>
      <c r="E12176">
        <v>0.46433799999999997</v>
      </c>
      <c r="F12176" t="s">
        <v>74</v>
      </c>
      <c r="G12176">
        <v>464.33771000000002</v>
      </c>
      <c r="H12176" t="s">
        <v>75</v>
      </c>
      <c r="I12176">
        <v>464337.70699999999</v>
      </c>
      <c r="J12176" t="s">
        <v>76</v>
      </c>
      <c r="K12176" t="s">
        <v>82</v>
      </c>
      <c r="L12176">
        <v>2.1536050000000002</v>
      </c>
    </row>
    <row r="12177" spans="1:12" x14ac:dyDescent="0.3">
      <c r="A12177" t="s">
        <v>496</v>
      </c>
      <c r="B12177" t="s">
        <v>83</v>
      </c>
      <c r="C12177">
        <v>389</v>
      </c>
      <c r="D12177" t="s">
        <v>81</v>
      </c>
      <c r="E12177">
        <v>2.0630000000000002E-3</v>
      </c>
      <c r="F12177" t="s">
        <v>74</v>
      </c>
      <c r="G12177">
        <v>2.0627800000000001</v>
      </c>
      <c r="H12177" t="s">
        <v>75</v>
      </c>
      <c r="I12177">
        <v>2062.7800000000002</v>
      </c>
      <c r="J12177" t="s">
        <v>76</v>
      </c>
      <c r="K12177" t="s">
        <v>82</v>
      </c>
      <c r="L12177">
        <v>484.78265340000002</v>
      </c>
    </row>
    <row r="12178" spans="1:12" x14ac:dyDescent="0.3">
      <c r="A12178" t="s">
        <v>496</v>
      </c>
      <c r="B12178" t="s">
        <v>84</v>
      </c>
      <c r="C12178">
        <v>390</v>
      </c>
      <c r="D12178" t="s">
        <v>81</v>
      </c>
      <c r="E12178">
        <v>3.248E-3</v>
      </c>
      <c r="F12178" t="s">
        <v>74</v>
      </c>
      <c r="G12178">
        <v>3.2481</v>
      </c>
      <c r="H12178" t="s">
        <v>75</v>
      </c>
      <c r="I12178">
        <v>3248.1</v>
      </c>
      <c r="J12178" t="s">
        <v>76</v>
      </c>
      <c r="K12178" t="s">
        <v>82</v>
      </c>
      <c r="L12178">
        <v>307.87231430000003</v>
      </c>
    </row>
    <row r="12179" spans="1:12" x14ac:dyDescent="0.3">
      <c r="A12179" t="s">
        <v>497</v>
      </c>
      <c r="B12179" t="s">
        <v>72</v>
      </c>
      <c r="C12179">
        <v>1</v>
      </c>
      <c r="D12179" t="s">
        <v>81</v>
      </c>
      <c r="E12179">
        <v>0.16875100000000001</v>
      </c>
      <c r="F12179" t="s">
        <v>74</v>
      </c>
      <c r="G12179">
        <v>168.75139999999999</v>
      </c>
      <c r="H12179" t="s">
        <v>75</v>
      </c>
      <c r="I12179">
        <v>168751.40400000001</v>
      </c>
      <c r="J12179" t="s">
        <v>76</v>
      </c>
      <c r="K12179" t="s">
        <v>82</v>
      </c>
      <c r="L12179">
        <v>5.9258765999999996</v>
      </c>
    </row>
    <row r="12180" spans="1:12" x14ac:dyDescent="0.3">
      <c r="A12180" t="s">
        <v>497</v>
      </c>
      <c r="B12180" t="s">
        <v>83</v>
      </c>
      <c r="C12180">
        <v>610</v>
      </c>
      <c r="D12180" t="s">
        <v>81</v>
      </c>
      <c r="E12180">
        <v>1.755E-3</v>
      </c>
      <c r="F12180" t="s">
        <v>74</v>
      </c>
      <c r="G12180">
        <v>1.7551399999999999</v>
      </c>
      <c r="H12180" t="s">
        <v>75</v>
      </c>
      <c r="I12180">
        <v>1755.144</v>
      </c>
      <c r="J12180" t="s">
        <v>76</v>
      </c>
      <c r="K12180" t="s">
        <v>82</v>
      </c>
      <c r="L12180">
        <v>569.75395709999998</v>
      </c>
    </row>
    <row r="12181" spans="1:12" x14ac:dyDescent="0.3">
      <c r="A12181" t="s">
        <v>497</v>
      </c>
      <c r="B12181" t="s">
        <v>84</v>
      </c>
      <c r="C12181">
        <v>611</v>
      </c>
      <c r="D12181" t="s">
        <v>81</v>
      </c>
      <c r="E12181">
        <v>2.0279999999999999E-3</v>
      </c>
      <c r="F12181" t="s">
        <v>74</v>
      </c>
      <c r="G12181">
        <v>2.0284599999999999</v>
      </c>
      <c r="H12181" t="s">
        <v>75</v>
      </c>
      <c r="I12181">
        <v>2028.4590000000001</v>
      </c>
      <c r="J12181" t="s">
        <v>76</v>
      </c>
      <c r="K12181" t="s">
        <v>82</v>
      </c>
      <c r="L12181">
        <v>492.98506220000002</v>
      </c>
    </row>
    <row r="12182" spans="1:12" x14ac:dyDescent="0.3">
      <c r="A12182" t="s">
        <v>498</v>
      </c>
      <c r="B12182" t="s">
        <v>72</v>
      </c>
      <c r="C12182">
        <v>2</v>
      </c>
      <c r="D12182" t="s">
        <v>86</v>
      </c>
      <c r="E12182">
        <v>0.23219699999999999</v>
      </c>
      <c r="F12182" t="s">
        <v>74</v>
      </c>
      <c r="G12182">
        <v>232.19685000000001</v>
      </c>
      <c r="H12182" t="s">
        <v>75</v>
      </c>
      <c r="I12182">
        <v>232196.853</v>
      </c>
      <c r="J12182" t="s">
        <v>76</v>
      </c>
      <c r="K12182" t="s">
        <v>82</v>
      </c>
      <c r="L12182">
        <v>4.3066905999999996</v>
      </c>
    </row>
    <row r="12183" spans="1:12" x14ac:dyDescent="0.3">
      <c r="A12183" t="s">
        <v>498</v>
      </c>
      <c r="B12183" t="s">
        <v>83</v>
      </c>
      <c r="C12183">
        <v>999</v>
      </c>
      <c r="D12183" t="s">
        <v>86</v>
      </c>
      <c r="E12183">
        <v>1.1019999999999999E-3</v>
      </c>
      <c r="F12183" t="s">
        <v>74</v>
      </c>
      <c r="G12183">
        <v>1.1019000000000001</v>
      </c>
      <c r="H12183" t="s">
        <v>75</v>
      </c>
      <c r="I12183">
        <v>1101.904</v>
      </c>
      <c r="J12183" t="s">
        <v>76</v>
      </c>
      <c r="K12183" t="s">
        <v>82</v>
      </c>
      <c r="L12183">
        <v>907.51970770000003</v>
      </c>
    </row>
    <row r="12184" spans="1:12" x14ac:dyDescent="0.3">
      <c r="A12184" t="s">
        <v>498</v>
      </c>
      <c r="B12184" t="s">
        <v>85</v>
      </c>
      <c r="C12184">
        <v>1001</v>
      </c>
      <c r="D12184" t="s">
        <v>86</v>
      </c>
      <c r="E12184">
        <v>1.2700000000000001E-3</v>
      </c>
      <c r="F12184" t="s">
        <v>74</v>
      </c>
      <c r="G12184">
        <v>1.26986</v>
      </c>
      <c r="H12184" t="s">
        <v>75</v>
      </c>
      <c r="I12184">
        <v>1269.856</v>
      </c>
      <c r="J12184" t="s">
        <v>76</v>
      </c>
      <c r="K12184" t="s">
        <v>82</v>
      </c>
      <c r="L12184">
        <v>787.49097770000003</v>
      </c>
    </row>
    <row r="12186" spans="1:12" x14ac:dyDescent="0.3">
      <c r="A12186" t="s">
        <v>557</v>
      </c>
    </row>
    <row r="12187" spans="1:12" x14ac:dyDescent="0.3">
      <c r="A12187" t="s">
        <v>496</v>
      </c>
      <c r="B12187" t="s">
        <v>72</v>
      </c>
      <c r="C12187">
        <v>1</v>
      </c>
      <c r="D12187" t="s">
        <v>81</v>
      </c>
      <c r="E12187">
        <v>3.8809000000000003E-2</v>
      </c>
      <c r="F12187" t="s">
        <v>74</v>
      </c>
      <c r="G12187">
        <v>38.808599999999998</v>
      </c>
      <c r="H12187" t="s">
        <v>75</v>
      </c>
      <c r="I12187">
        <v>38808.599000000002</v>
      </c>
      <c r="J12187" t="s">
        <v>76</v>
      </c>
      <c r="K12187" t="s">
        <v>82</v>
      </c>
      <c r="L12187">
        <v>25.767485099999998</v>
      </c>
    </row>
    <row r="12188" spans="1:12" x14ac:dyDescent="0.3">
      <c r="A12188" t="s">
        <v>496</v>
      </c>
      <c r="B12188" t="s">
        <v>83</v>
      </c>
      <c r="C12188">
        <v>599</v>
      </c>
      <c r="D12188" t="s">
        <v>81</v>
      </c>
      <c r="E12188">
        <v>2.4910000000000002E-3</v>
      </c>
      <c r="F12188" t="s">
        <v>74</v>
      </c>
      <c r="G12188">
        <v>2.4906600000000001</v>
      </c>
      <c r="H12188" t="s">
        <v>75</v>
      </c>
      <c r="I12188">
        <v>2490.6640000000002</v>
      </c>
      <c r="J12188" t="s">
        <v>76</v>
      </c>
      <c r="K12188" t="s">
        <v>82</v>
      </c>
      <c r="L12188">
        <v>401.49939669999998</v>
      </c>
    </row>
    <row r="12189" spans="1:12" x14ac:dyDescent="0.3">
      <c r="A12189" t="s">
        <v>496</v>
      </c>
      <c r="B12189" t="s">
        <v>84</v>
      </c>
      <c r="C12189">
        <v>600</v>
      </c>
      <c r="D12189" t="s">
        <v>81</v>
      </c>
      <c r="E12189">
        <v>2.5509999999999999E-3</v>
      </c>
      <c r="F12189" t="s">
        <v>74</v>
      </c>
      <c r="G12189">
        <v>2.5511900000000001</v>
      </c>
      <c r="H12189" t="s">
        <v>75</v>
      </c>
      <c r="I12189">
        <v>2551.194</v>
      </c>
      <c r="J12189" t="s">
        <v>76</v>
      </c>
      <c r="K12189" t="s">
        <v>82</v>
      </c>
      <c r="L12189">
        <v>391.97338309999998</v>
      </c>
    </row>
    <row r="12190" spans="1:12" x14ac:dyDescent="0.3">
      <c r="A12190" t="s">
        <v>497</v>
      </c>
      <c r="B12190" t="s">
        <v>72</v>
      </c>
      <c r="C12190">
        <v>1</v>
      </c>
      <c r="D12190" t="s">
        <v>81</v>
      </c>
      <c r="E12190">
        <v>7.3951000000000003E-2</v>
      </c>
      <c r="F12190" t="s">
        <v>74</v>
      </c>
      <c r="G12190">
        <v>73.951099999999997</v>
      </c>
      <c r="H12190" t="s">
        <v>75</v>
      </c>
      <c r="I12190">
        <v>73951.103000000003</v>
      </c>
      <c r="J12190" t="s">
        <v>76</v>
      </c>
      <c r="K12190" t="s">
        <v>82</v>
      </c>
      <c r="L12190">
        <v>13.522448799999999</v>
      </c>
    </row>
    <row r="12191" spans="1:12" x14ac:dyDescent="0.3">
      <c r="A12191" t="s">
        <v>497</v>
      </c>
      <c r="B12191" t="s">
        <v>83</v>
      </c>
      <c r="C12191">
        <v>400</v>
      </c>
      <c r="D12191" t="s">
        <v>81</v>
      </c>
      <c r="E12191">
        <v>3.5019999999999999E-3</v>
      </c>
      <c r="F12191" t="s">
        <v>74</v>
      </c>
      <c r="G12191">
        <v>3.5024099999999998</v>
      </c>
      <c r="H12191" t="s">
        <v>75</v>
      </c>
      <c r="I12191">
        <v>3502.4090000000001</v>
      </c>
      <c r="J12191" t="s">
        <v>76</v>
      </c>
      <c r="K12191" t="s">
        <v>82</v>
      </c>
      <c r="L12191">
        <v>285.51773059999999</v>
      </c>
    </row>
    <row r="12192" spans="1:12" x14ac:dyDescent="0.3">
      <c r="A12192" t="s">
        <v>497</v>
      </c>
      <c r="B12192" t="s">
        <v>84</v>
      </c>
      <c r="C12192">
        <v>401</v>
      </c>
      <c r="D12192" t="s">
        <v>81</v>
      </c>
      <c r="E12192">
        <v>3.6779999999999998E-3</v>
      </c>
      <c r="F12192" t="s">
        <v>74</v>
      </c>
      <c r="G12192">
        <v>3.6780900000000001</v>
      </c>
      <c r="H12192" t="s">
        <v>75</v>
      </c>
      <c r="I12192">
        <v>3678.0920000000001</v>
      </c>
      <c r="J12192" t="s">
        <v>76</v>
      </c>
      <c r="K12192" t="s">
        <v>82</v>
      </c>
      <c r="L12192">
        <v>271.8800913</v>
      </c>
    </row>
    <row r="12193" spans="1:12" x14ac:dyDescent="0.3">
      <c r="A12193" t="s">
        <v>498</v>
      </c>
      <c r="B12193" t="s">
        <v>72</v>
      </c>
      <c r="C12193">
        <v>2</v>
      </c>
      <c r="D12193" t="s">
        <v>86</v>
      </c>
      <c r="E12193">
        <v>3.6978999999999998E-2</v>
      </c>
      <c r="F12193" t="s">
        <v>74</v>
      </c>
      <c r="G12193">
        <v>36.978850000000001</v>
      </c>
      <c r="H12193" t="s">
        <v>75</v>
      </c>
      <c r="I12193">
        <v>36978.847999999998</v>
      </c>
      <c r="J12193" t="s">
        <v>76</v>
      </c>
      <c r="K12193" t="s">
        <v>82</v>
      </c>
      <c r="L12193">
        <v>27.042486400000001</v>
      </c>
    </row>
    <row r="12194" spans="1:12" x14ac:dyDescent="0.3">
      <c r="A12194" t="s">
        <v>498</v>
      </c>
      <c r="B12194" t="s">
        <v>83</v>
      </c>
      <c r="C12194">
        <v>999</v>
      </c>
      <c r="D12194" t="s">
        <v>86</v>
      </c>
      <c r="E12194">
        <v>1.4959999999999999E-3</v>
      </c>
      <c r="F12194" t="s">
        <v>74</v>
      </c>
      <c r="G12194">
        <v>1.4958100000000001</v>
      </c>
      <c r="H12194" t="s">
        <v>75</v>
      </c>
      <c r="I12194">
        <v>1495.81</v>
      </c>
      <c r="J12194" t="s">
        <v>76</v>
      </c>
      <c r="K12194" t="s">
        <v>82</v>
      </c>
      <c r="L12194">
        <v>668.53431690000002</v>
      </c>
    </row>
    <row r="12195" spans="1:12" x14ac:dyDescent="0.3">
      <c r="A12195" t="s">
        <v>498</v>
      </c>
      <c r="B12195" t="s">
        <v>85</v>
      </c>
      <c r="C12195">
        <v>1001</v>
      </c>
      <c r="D12195" t="s">
        <v>86</v>
      </c>
      <c r="E12195">
        <v>1.537E-3</v>
      </c>
      <c r="F12195" t="s">
        <v>74</v>
      </c>
      <c r="G12195">
        <v>1.5371300000000001</v>
      </c>
      <c r="H12195" t="s">
        <v>75</v>
      </c>
      <c r="I12195">
        <v>1537.1279999999999</v>
      </c>
      <c r="J12195" t="s">
        <v>76</v>
      </c>
      <c r="K12195" t="s">
        <v>82</v>
      </c>
      <c r="L12195">
        <v>650.5637375</v>
      </c>
    </row>
    <row r="12197" spans="1:12" x14ac:dyDescent="0.3">
      <c r="A12197" t="s">
        <v>66</v>
      </c>
    </row>
    <row r="12199" spans="1:12" x14ac:dyDescent="0.3">
      <c r="A12199" t="s">
        <v>558</v>
      </c>
    </row>
    <row r="12200" spans="1:12" x14ac:dyDescent="0.3">
      <c r="A12200" t="s">
        <v>68</v>
      </c>
    </row>
    <row r="12201" spans="1:12" x14ac:dyDescent="0.3">
      <c r="A12201" t="s">
        <v>69</v>
      </c>
    </row>
    <row r="12202" spans="1:12" x14ac:dyDescent="0.3">
      <c r="A12202" t="s">
        <v>68</v>
      </c>
    </row>
    <row r="12203" spans="1:12" x14ac:dyDescent="0.3">
      <c r="A12203" t="s">
        <v>69</v>
      </c>
    </row>
    <row r="12204" spans="1:12" x14ac:dyDescent="0.3">
      <c r="A12204" t="s">
        <v>70</v>
      </c>
    </row>
    <row r="12205" spans="1:12" x14ac:dyDescent="0.3">
      <c r="A12205" t="s">
        <v>115</v>
      </c>
    </row>
    <row r="12206" spans="1:12" x14ac:dyDescent="0.3">
      <c r="A12206" t="s">
        <v>116</v>
      </c>
    </row>
    <row r="12207" spans="1:12" x14ac:dyDescent="0.3">
      <c r="A12207" t="s">
        <v>117</v>
      </c>
    </row>
    <row r="12208" spans="1:12" x14ac:dyDescent="0.3">
      <c r="A12208" t="s">
        <v>118</v>
      </c>
    </row>
    <row r="12209" spans="1:1" x14ac:dyDescent="0.3">
      <c r="A12209" t="s">
        <v>119</v>
      </c>
    </row>
    <row r="12210" spans="1:1" x14ac:dyDescent="0.3">
      <c r="A12210" t="s">
        <v>120</v>
      </c>
    </row>
    <row r="12211" spans="1:1" x14ac:dyDescent="0.3">
      <c r="A12211" t="s">
        <v>121</v>
      </c>
    </row>
    <row r="12212" spans="1:1" x14ac:dyDescent="0.3">
      <c r="A12212" t="s">
        <v>122</v>
      </c>
    </row>
    <row r="12213" spans="1:1" x14ac:dyDescent="0.3">
      <c r="A12213" t="s">
        <v>123</v>
      </c>
    </row>
    <row r="12214" spans="1:1" x14ac:dyDescent="0.3">
      <c r="A12214" t="s">
        <v>124</v>
      </c>
    </row>
    <row r="12215" spans="1:1" x14ac:dyDescent="0.3">
      <c r="A12215" t="s">
        <v>125</v>
      </c>
    </row>
    <row r="12216" spans="1:1" x14ac:dyDescent="0.3">
      <c r="A12216" t="s">
        <v>126</v>
      </c>
    </row>
    <row r="12217" spans="1:1" x14ac:dyDescent="0.3">
      <c r="A12217" t="s">
        <v>127</v>
      </c>
    </row>
    <row r="12218" spans="1:1" x14ac:dyDescent="0.3">
      <c r="A12218" t="s">
        <v>213</v>
      </c>
    </row>
    <row r="12219" spans="1:1" x14ac:dyDescent="0.3">
      <c r="A12219" t="s">
        <v>115</v>
      </c>
    </row>
    <row r="12220" spans="1:1" x14ac:dyDescent="0.3">
      <c r="A12220" t="s">
        <v>266</v>
      </c>
    </row>
    <row r="12221" spans="1:1" x14ac:dyDescent="0.3">
      <c r="A12221" t="s">
        <v>267</v>
      </c>
    </row>
    <row r="12222" spans="1:1" x14ac:dyDescent="0.3">
      <c r="A12222" t="s">
        <v>118</v>
      </c>
    </row>
    <row r="12223" spans="1:1" x14ac:dyDescent="0.3">
      <c r="A12223" t="s">
        <v>119</v>
      </c>
    </row>
    <row r="12224" spans="1:1" x14ac:dyDescent="0.3">
      <c r="A12224" t="s">
        <v>268</v>
      </c>
    </row>
    <row r="12225" spans="1:12" x14ac:dyDescent="0.3">
      <c r="A12225" t="s">
        <v>269</v>
      </c>
    </row>
    <row r="12226" spans="1:12" x14ac:dyDescent="0.3">
      <c r="A12226" t="s">
        <v>122</v>
      </c>
    </row>
    <row r="12227" spans="1:12" x14ac:dyDescent="0.3">
      <c r="A12227" t="s">
        <v>270</v>
      </c>
    </row>
    <row r="12228" spans="1:12" x14ac:dyDescent="0.3">
      <c r="A12228" t="s">
        <v>271</v>
      </c>
    </row>
    <row r="12229" spans="1:12" x14ac:dyDescent="0.3">
      <c r="A12229" t="s">
        <v>125</v>
      </c>
    </row>
    <row r="12230" spans="1:12" x14ac:dyDescent="0.3">
      <c r="A12230" t="s">
        <v>126</v>
      </c>
    </row>
    <row r="12231" spans="1:12" x14ac:dyDescent="0.3">
      <c r="A12231" t="s">
        <v>127</v>
      </c>
    </row>
    <row r="12232" spans="1:12" x14ac:dyDescent="0.3">
      <c r="A12232" t="s">
        <v>213</v>
      </c>
    </row>
    <row r="12233" spans="1:12" x14ac:dyDescent="0.3">
      <c r="A12233" t="s">
        <v>559</v>
      </c>
    </row>
    <row r="12234" spans="1:12" x14ac:dyDescent="0.3">
      <c r="A12234" t="s">
        <v>496</v>
      </c>
      <c r="B12234" t="s">
        <v>72</v>
      </c>
      <c r="C12234">
        <v>1</v>
      </c>
      <c r="D12234" t="s">
        <v>79</v>
      </c>
      <c r="E12234">
        <v>0.40171099999999998</v>
      </c>
      <c r="F12234" t="s">
        <v>74</v>
      </c>
      <c r="G12234">
        <v>401.71051</v>
      </c>
      <c r="H12234" t="s">
        <v>75</v>
      </c>
      <c r="I12234">
        <v>401710.51</v>
      </c>
      <c r="J12234" t="s">
        <v>76</v>
      </c>
      <c r="K12234" t="s">
        <v>77</v>
      </c>
    </row>
    <row r="12235" spans="1:12" x14ac:dyDescent="0.3">
      <c r="A12235" t="s">
        <v>496</v>
      </c>
      <c r="B12235" t="s">
        <v>72</v>
      </c>
      <c r="C12235">
        <v>1</v>
      </c>
      <c r="D12235" t="s">
        <v>94</v>
      </c>
      <c r="E12235">
        <v>5.8199999999999997E-3</v>
      </c>
      <c r="F12235" t="s">
        <v>74</v>
      </c>
      <c r="G12235">
        <v>5.8197999999999999</v>
      </c>
      <c r="H12235" t="s">
        <v>75</v>
      </c>
      <c r="I12235">
        <v>5819.8</v>
      </c>
      <c r="J12235" t="s">
        <v>76</v>
      </c>
      <c r="K12235" t="s">
        <v>77</v>
      </c>
    </row>
    <row r="12236" spans="1:12" x14ac:dyDescent="0.3">
      <c r="A12236" t="s">
        <v>496</v>
      </c>
      <c r="B12236" t="s">
        <v>72</v>
      </c>
      <c r="C12236">
        <v>1</v>
      </c>
      <c r="D12236" t="s">
        <v>80</v>
      </c>
      <c r="E12236">
        <v>5.8209999999999998E-3</v>
      </c>
      <c r="F12236" t="s">
        <v>74</v>
      </c>
      <c r="G12236">
        <v>5.8209999999999997</v>
      </c>
      <c r="H12236" t="s">
        <v>75</v>
      </c>
      <c r="I12236">
        <v>5821</v>
      </c>
      <c r="J12236" t="s">
        <v>76</v>
      </c>
      <c r="K12236" t="s">
        <v>77</v>
      </c>
    </row>
    <row r="12237" spans="1:12" x14ac:dyDescent="0.3">
      <c r="A12237" t="s">
        <v>496</v>
      </c>
      <c r="B12237" t="s">
        <v>72</v>
      </c>
      <c r="C12237">
        <v>1</v>
      </c>
      <c r="D12237" t="s">
        <v>81</v>
      </c>
      <c r="E12237">
        <v>0.40753200000000001</v>
      </c>
      <c r="F12237" t="s">
        <v>74</v>
      </c>
      <c r="G12237">
        <v>407.53201000000001</v>
      </c>
      <c r="H12237" t="s">
        <v>75</v>
      </c>
      <c r="I12237">
        <v>407532.00699999998</v>
      </c>
      <c r="J12237" t="s">
        <v>76</v>
      </c>
      <c r="K12237" t="s">
        <v>82</v>
      </c>
      <c r="L12237">
        <v>2.4537949999999999</v>
      </c>
    </row>
    <row r="12238" spans="1:12" x14ac:dyDescent="0.3">
      <c r="A12238" t="s">
        <v>496</v>
      </c>
      <c r="B12238" t="s">
        <v>83</v>
      </c>
      <c r="C12238">
        <v>409</v>
      </c>
      <c r="D12238" t="s">
        <v>79</v>
      </c>
      <c r="E12238">
        <v>6.0999999999999997E-4</v>
      </c>
      <c r="F12238" t="s">
        <v>74</v>
      </c>
      <c r="G12238">
        <v>0.60999000000000003</v>
      </c>
      <c r="H12238" t="s">
        <v>75</v>
      </c>
      <c r="I12238">
        <v>609.995</v>
      </c>
      <c r="J12238" t="s">
        <v>76</v>
      </c>
      <c r="K12238" t="s">
        <v>77</v>
      </c>
    </row>
    <row r="12239" spans="1:12" x14ac:dyDescent="0.3">
      <c r="A12239" t="s">
        <v>496</v>
      </c>
      <c r="B12239" t="s">
        <v>83</v>
      </c>
      <c r="C12239">
        <v>409</v>
      </c>
      <c r="D12239" t="s">
        <v>94</v>
      </c>
      <c r="E12239">
        <v>1.4610000000000001E-3</v>
      </c>
      <c r="F12239" t="s">
        <v>74</v>
      </c>
      <c r="G12239">
        <v>1.4612499999999999</v>
      </c>
      <c r="H12239" t="s">
        <v>75</v>
      </c>
      <c r="I12239">
        <v>1461.2470000000001</v>
      </c>
      <c r="J12239" t="s">
        <v>76</v>
      </c>
      <c r="K12239" t="s">
        <v>77</v>
      </c>
    </row>
    <row r="12240" spans="1:12" x14ac:dyDescent="0.3">
      <c r="A12240" t="s">
        <v>496</v>
      </c>
      <c r="B12240" t="s">
        <v>83</v>
      </c>
      <c r="C12240">
        <v>409</v>
      </c>
      <c r="D12240" t="s">
        <v>80</v>
      </c>
      <c r="E12240">
        <v>1.462E-3</v>
      </c>
      <c r="F12240" t="s">
        <v>74</v>
      </c>
      <c r="G12240">
        <v>1.4619200000000001</v>
      </c>
      <c r="H12240" t="s">
        <v>75</v>
      </c>
      <c r="I12240">
        <v>1461.9159999999999</v>
      </c>
      <c r="J12240" t="s">
        <v>76</v>
      </c>
      <c r="K12240" t="s">
        <v>77</v>
      </c>
    </row>
    <row r="12241" spans="1:12" x14ac:dyDescent="0.3">
      <c r="A12241" t="s">
        <v>496</v>
      </c>
      <c r="B12241" t="s">
        <v>83</v>
      </c>
      <c r="C12241">
        <v>409</v>
      </c>
      <c r="D12241" t="s">
        <v>81</v>
      </c>
      <c r="E12241">
        <v>2.0720000000000001E-3</v>
      </c>
      <c r="F12241" t="s">
        <v>74</v>
      </c>
      <c r="G12241">
        <v>2.0723500000000001</v>
      </c>
      <c r="H12241" t="s">
        <v>75</v>
      </c>
      <c r="I12241">
        <v>2072.3519999999999</v>
      </c>
      <c r="J12241" t="s">
        <v>76</v>
      </c>
      <c r="K12241" t="s">
        <v>82</v>
      </c>
      <c r="L12241">
        <v>482.5435579</v>
      </c>
    </row>
    <row r="12242" spans="1:12" x14ac:dyDescent="0.3">
      <c r="A12242" t="s">
        <v>496</v>
      </c>
      <c r="B12242" t="s">
        <v>84</v>
      </c>
      <c r="C12242">
        <v>410</v>
      </c>
      <c r="D12242" t="s">
        <v>79</v>
      </c>
      <c r="E12242">
        <v>1.588E-3</v>
      </c>
      <c r="F12242" t="s">
        <v>74</v>
      </c>
      <c r="G12242">
        <v>1.58829</v>
      </c>
      <c r="H12242" t="s">
        <v>75</v>
      </c>
      <c r="I12242">
        <v>1588.289</v>
      </c>
      <c r="J12242" t="s">
        <v>76</v>
      </c>
      <c r="K12242" t="s">
        <v>77</v>
      </c>
    </row>
    <row r="12243" spans="1:12" x14ac:dyDescent="0.3">
      <c r="A12243" t="s">
        <v>496</v>
      </c>
      <c r="B12243" t="s">
        <v>84</v>
      </c>
      <c r="C12243">
        <v>410</v>
      </c>
      <c r="D12243" t="s">
        <v>94</v>
      </c>
      <c r="E12243">
        <v>1.472E-3</v>
      </c>
      <c r="F12243" t="s">
        <v>74</v>
      </c>
      <c r="G12243">
        <v>1.4718800000000001</v>
      </c>
      <c r="H12243" t="s">
        <v>75</v>
      </c>
      <c r="I12243">
        <v>1471.8779999999999</v>
      </c>
      <c r="J12243" t="s">
        <v>76</v>
      </c>
      <c r="K12243" t="s">
        <v>77</v>
      </c>
    </row>
    <row r="12244" spans="1:12" x14ac:dyDescent="0.3">
      <c r="A12244" t="s">
        <v>496</v>
      </c>
      <c r="B12244" t="s">
        <v>84</v>
      </c>
      <c r="C12244">
        <v>410</v>
      </c>
      <c r="D12244" t="s">
        <v>80</v>
      </c>
      <c r="E12244">
        <v>1.4729999999999999E-3</v>
      </c>
      <c r="F12244" t="s">
        <v>74</v>
      </c>
      <c r="G12244">
        <v>1.47255</v>
      </c>
      <c r="H12244" t="s">
        <v>75</v>
      </c>
      <c r="I12244">
        <v>1472.548</v>
      </c>
      <c r="J12244" t="s">
        <v>76</v>
      </c>
      <c r="K12244" t="s">
        <v>77</v>
      </c>
    </row>
    <row r="12245" spans="1:12" x14ac:dyDescent="0.3">
      <c r="A12245" t="s">
        <v>496</v>
      </c>
      <c r="B12245" t="s">
        <v>84</v>
      </c>
      <c r="C12245">
        <v>410</v>
      </c>
      <c r="D12245" t="s">
        <v>81</v>
      </c>
      <c r="E12245">
        <v>3.0609999999999999E-3</v>
      </c>
      <c r="F12245" t="s">
        <v>74</v>
      </c>
      <c r="G12245">
        <v>3.06128</v>
      </c>
      <c r="H12245" t="s">
        <v>75</v>
      </c>
      <c r="I12245">
        <v>3061.277</v>
      </c>
      <c r="J12245" t="s">
        <v>76</v>
      </c>
      <c r="K12245" t="s">
        <v>82</v>
      </c>
      <c r="L12245">
        <v>326.66111360000002</v>
      </c>
    </row>
    <row r="12246" spans="1:12" x14ac:dyDescent="0.3">
      <c r="A12246" t="s">
        <v>497</v>
      </c>
      <c r="B12246" t="s">
        <v>72</v>
      </c>
      <c r="C12246">
        <v>1</v>
      </c>
      <c r="D12246" t="s">
        <v>79</v>
      </c>
      <c r="E12246">
        <v>0.148453</v>
      </c>
      <c r="F12246" t="s">
        <v>74</v>
      </c>
      <c r="G12246">
        <v>148.4528</v>
      </c>
      <c r="H12246" t="s">
        <v>75</v>
      </c>
      <c r="I12246">
        <v>148452.80300000001</v>
      </c>
      <c r="J12246" t="s">
        <v>76</v>
      </c>
      <c r="K12246" t="s">
        <v>77</v>
      </c>
    </row>
    <row r="12247" spans="1:12" x14ac:dyDescent="0.3">
      <c r="A12247" t="s">
        <v>497</v>
      </c>
      <c r="B12247" t="s">
        <v>72</v>
      </c>
      <c r="C12247">
        <v>1</v>
      </c>
      <c r="D12247" t="s">
        <v>94</v>
      </c>
      <c r="E12247">
        <v>1.8244E-2</v>
      </c>
      <c r="F12247" t="s">
        <v>74</v>
      </c>
      <c r="G12247">
        <v>18.244399999999999</v>
      </c>
      <c r="H12247" t="s">
        <v>75</v>
      </c>
      <c r="I12247">
        <v>18244.401000000002</v>
      </c>
      <c r="J12247" t="s">
        <v>76</v>
      </c>
      <c r="K12247" t="s">
        <v>77</v>
      </c>
    </row>
    <row r="12248" spans="1:12" x14ac:dyDescent="0.3">
      <c r="A12248" t="s">
        <v>497</v>
      </c>
      <c r="B12248" t="s">
        <v>72</v>
      </c>
      <c r="C12248">
        <v>1</v>
      </c>
      <c r="D12248" t="s">
        <v>80</v>
      </c>
      <c r="E12248">
        <v>1.8245000000000001E-2</v>
      </c>
      <c r="F12248" t="s">
        <v>74</v>
      </c>
      <c r="G12248">
        <v>18.2453</v>
      </c>
      <c r="H12248" t="s">
        <v>75</v>
      </c>
      <c r="I12248">
        <v>18245.3</v>
      </c>
      <c r="J12248" t="s">
        <v>76</v>
      </c>
      <c r="K12248" t="s">
        <v>77</v>
      </c>
    </row>
    <row r="12249" spans="1:12" x14ac:dyDescent="0.3">
      <c r="A12249" t="s">
        <v>497</v>
      </c>
      <c r="B12249" t="s">
        <v>72</v>
      </c>
      <c r="C12249">
        <v>1</v>
      </c>
      <c r="D12249" t="s">
        <v>81</v>
      </c>
      <c r="E12249">
        <v>0.16669900000000001</v>
      </c>
      <c r="F12249" t="s">
        <v>74</v>
      </c>
      <c r="G12249">
        <v>166.69869</v>
      </c>
      <c r="H12249" t="s">
        <v>75</v>
      </c>
      <c r="I12249">
        <v>166698.69399999999</v>
      </c>
      <c r="J12249" t="s">
        <v>76</v>
      </c>
      <c r="K12249" t="s">
        <v>82</v>
      </c>
      <c r="L12249">
        <v>5.9988472000000002</v>
      </c>
    </row>
    <row r="12250" spans="1:12" x14ac:dyDescent="0.3">
      <c r="A12250" t="s">
        <v>497</v>
      </c>
      <c r="B12250" t="s">
        <v>83</v>
      </c>
      <c r="C12250">
        <v>590</v>
      </c>
      <c r="D12250" t="s">
        <v>79</v>
      </c>
      <c r="E12250">
        <v>5.4299999999999997E-4</v>
      </c>
      <c r="F12250" t="s">
        <v>74</v>
      </c>
      <c r="G12250">
        <v>0.54281999999999997</v>
      </c>
      <c r="H12250" t="s">
        <v>75</v>
      </c>
      <c r="I12250">
        <v>542.82399999999996</v>
      </c>
      <c r="J12250" t="s">
        <v>76</v>
      </c>
      <c r="K12250" t="s">
        <v>77</v>
      </c>
    </row>
    <row r="12251" spans="1:12" x14ac:dyDescent="0.3">
      <c r="A12251" t="s">
        <v>497</v>
      </c>
      <c r="B12251" t="s">
        <v>83</v>
      </c>
      <c r="C12251">
        <v>590</v>
      </c>
      <c r="D12251" t="s">
        <v>94</v>
      </c>
      <c r="E12251">
        <v>1.2509999999999999E-3</v>
      </c>
      <c r="F12251" t="s">
        <v>74</v>
      </c>
      <c r="G12251">
        <v>1.2513700000000001</v>
      </c>
      <c r="H12251" t="s">
        <v>75</v>
      </c>
      <c r="I12251">
        <v>1251.3689999999999</v>
      </c>
      <c r="J12251" t="s">
        <v>76</v>
      </c>
      <c r="K12251" t="s">
        <v>77</v>
      </c>
    </row>
    <row r="12252" spans="1:12" x14ac:dyDescent="0.3">
      <c r="A12252" t="s">
        <v>497</v>
      </c>
      <c r="B12252" t="s">
        <v>83</v>
      </c>
      <c r="C12252">
        <v>590</v>
      </c>
      <c r="D12252" t="s">
        <v>80</v>
      </c>
      <c r="E12252">
        <v>1.253E-3</v>
      </c>
      <c r="F12252" t="s">
        <v>74</v>
      </c>
      <c r="G12252">
        <v>1.2526200000000001</v>
      </c>
      <c r="H12252" t="s">
        <v>75</v>
      </c>
      <c r="I12252">
        <v>1252.624</v>
      </c>
      <c r="J12252" t="s">
        <v>76</v>
      </c>
      <c r="K12252" t="s">
        <v>77</v>
      </c>
    </row>
    <row r="12253" spans="1:12" x14ac:dyDescent="0.3">
      <c r="A12253" t="s">
        <v>497</v>
      </c>
      <c r="B12253" t="s">
        <v>83</v>
      </c>
      <c r="C12253">
        <v>590</v>
      </c>
      <c r="D12253" t="s">
        <v>81</v>
      </c>
      <c r="E12253">
        <v>1.7960000000000001E-3</v>
      </c>
      <c r="F12253" t="s">
        <v>74</v>
      </c>
      <c r="G12253">
        <v>1.7958799999999999</v>
      </c>
      <c r="H12253" t="s">
        <v>75</v>
      </c>
      <c r="I12253">
        <v>1795.8779999999999</v>
      </c>
      <c r="J12253" t="s">
        <v>76</v>
      </c>
      <c r="K12253" t="s">
        <v>82</v>
      </c>
      <c r="L12253">
        <v>556.83080870000003</v>
      </c>
    </row>
    <row r="12254" spans="1:12" x14ac:dyDescent="0.3">
      <c r="A12254" t="s">
        <v>497</v>
      </c>
      <c r="B12254" t="s">
        <v>84</v>
      </c>
      <c r="C12254">
        <v>591</v>
      </c>
      <c r="D12254" t="s">
        <v>79</v>
      </c>
      <c r="E12254">
        <v>7.9299999999999998E-4</v>
      </c>
      <c r="F12254" t="s">
        <v>74</v>
      </c>
      <c r="G12254">
        <v>0.79308999999999996</v>
      </c>
      <c r="H12254" t="s">
        <v>75</v>
      </c>
      <c r="I12254">
        <v>793.09400000000005</v>
      </c>
      <c r="J12254" t="s">
        <v>76</v>
      </c>
      <c r="K12254" t="s">
        <v>77</v>
      </c>
    </row>
    <row r="12255" spans="1:12" x14ac:dyDescent="0.3">
      <c r="A12255" t="s">
        <v>497</v>
      </c>
      <c r="B12255" t="s">
        <v>84</v>
      </c>
      <c r="C12255">
        <v>591</v>
      </c>
      <c r="D12255" t="s">
        <v>94</v>
      </c>
      <c r="E12255">
        <v>1.2800000000000001E-3</v>
      </c>
      <c r="F12255" t="s">
        <v>74</v>
      </c>
      <c r="G12255">
        <v>1.2801199999999999</v>
      </c>
      <c r="H12255" t="s">
        <v>75</v>
      </c>
      <c r="I12255">
        <v>1280.1220000000001</v>
      </c>
      <c r="J12255" t="s">
        <v>76</v>
      </c>
      <c r="K12255" t="s">
        <v>77</v>
      </c>
    </row>
    <row r="12256" spans="1:12" x14ac:dyDescent="0.3">
      <c r="A12256" t="s">
        <v>497</v>
      </c>
      <c r="B12256" t="s">
        <v>84</v>
      </c>
      <c r="C12256">
        <v>591</v>
      </c>
      <c r="D12256" t="s">
        <v>80</v>
      </c>
      <c r="E12256">
        <v>1.281E-3</v>
      </c>
      <c r="F12256" t="s">
        <v>74</v>
      </c>
      <c r="G12256">
        <v>1.28138</v>
      </c>
      <c r="H12256" t="s">
        <v>75</v>
      </c>
      <c r="I12256">
        <v>1281.377</v>
      </c>
      <c r="J12256" t="s">
        <v>76</v>
      </c>
      <c r="K12256" t="s">
        <v>77</v>
      </c>
    </row>
    <row r="12257" spans="1:12" x14ac:dyDescent="0.3">
      <c r="A12257" t="s">
        <v>497</v>
      </c>
      <c r="B12257" t="s">
        <v>84</v>
      </c>
      <c r="C12257">
        <v>591</v>
      </c>
      <c r="D12257" t="s">
        <v>81</v>
      </c>
      <c r="E12257">
        <v>2.075E-3</v>
      </c>
      <c r="F12257" t="s">
        <v>74</v>
      </c>
      <c r="G12257">
        <v>2.0749</v>
      </c>
      <c r="H12257" t="s">
        <v>75</v>
      </c>
      <c r="I12257">
        <v>2074.902</v>
      </c>
      <c r="J12257" t="s">
        <v>76</v>
      </c>
      <c r="K12257" t="s">
        <v>82</v>
      </c>
      <c r="L12257">
        <v>481.95046600000001</v>
      </c>
    </row>
    <row r="12258" spans="1:12" x14ac:dyDescent="0.3">
      <c r="A12258" t="s">
        <v>498</v>
      </c>
      <c r="B12258" t="s">
        <v>72</v>
      </c>
      <c r="C12258">
        <v>1</v>
      </c>
      <c r="D12258" t="s">
        <v>73</v>
      </c>
      <c r="E12258">
        <v>6.3E-5</v>
      </c>
      <c r="F12258" t="s">
        <v>74</v>
      </c>
      <c r="G12258">
        <v>6.3E-2</v>
      </c>
      <c r="H12258" t="s">
        <v>75</v>
      </c>
      <c r="I12258">
        <v>63</v>
      </c>
      <c r="J12258" t="s">
        <v>76</v>
      </c>
      <c r="K12258" t="s">
        <v>77</v>
      </c>
    </row>
    <row r="12259" spans="1:12" x14ac:dyDescent="0.3">
      <c r="A12259" t="s">
        <v>498</v>
      </c>
      <c r="B12259" t="s">
        <v>72</v>
      </c>
      <c r="C12259">
        <v>1</v>
      </c>
      <c r="D12259" t="s">
        <v>78</v>
      </c>
      <c r="E12259">
        <v>0.13308600000000001</v>
      </c>
      <c r="F12259" t="s">
        <v>74</v>
      </c>
      <c r="G12259">
        <v>133.08628999999999</v>
      </c>
      <c r="H12259" t="s">
        <v>75</v>
      </c>
      <c r="I12259">
        <v>133086.29399999999</v>
      </c>
      <c r="J12259" t="s">
        <v>76</v>
      </c>
      <c r="K12259" t="s">
        <v>77</v>
      </c>
    </row>
    <row r="12260" spans="1:12" x14ac:dyDescent="0.3">
      <c r="A12260" t="s">
        <v>498</v>
      </c>
      <c r="B12260" t="s">
        <v>72</v>
      </c>
      <c r="C12260">
        <v>2</v>
      </c>
      <c r="D12260" t="s">
        <v>86</v>
      </c>
      <c r="E12260">
        <v>0.203788</v>
      </c>
      <c r="F12260" t="s">
        <v>74</v>
      </c>
      <c r="G12260">
        <v>203.78800000000001</v>
      </c>
      <c r="H12260" t="s">
        <v>75</v>
      </c>
      <c r="I12260">
        <v>203787.997</v>
      </c>
      <c r="J12260" t="s">
        <v>76</v>
      </c>
      <c r="K12260" t="s">
        <v>82</v>
      </c>
      <c r="L12260">
        <v>4.9070603000000004</v>
      </c>
    </row>
    <row r="12261" spans="1:12" x14ac:dyDescent="0.3">
      <c r="A12261" t="s">
        <v>498</v>
      </c>
      <c r="B12261" t="s">
        <v>83</v>
      </c>
      <c r="C12261">
        <v>999</v>
      </c>
      <c r="D12261" t="s">
        <v>86</v>
      </c>
      <c r="E12261">
        <v>1.0920000000000001E-3</v>
      </c>
      <c r="F12261" t="s">
        <v>74</v>
      </c>
      <c r="G12261">
        <v>1.09165</v>
      </c>
      <c r="H12261" t="s">
        <v>75</v>
      </c>
      <c r="I12261">
        <v>1091.6479999999999</v>
      </c>
      <c r="J12261" t="s">
        <v>76</v>
      </c>
      <c r="K12261" t="s">
        <v>82</v>
      </c>
      <c r="L12261">
        <v>916.04607180000005</v>
      </c>
    </row>
    <row r="12262" spans="1:12" x14ac:dyDescent="0.3">
      <c r="A12262" t="s">
        <v>498</v>
      </c>
      <c r="B12262" t="s">
        <v>85</v>
      </c>
      <c r="C12262">
        <v>1001</v>
      </c>
      <c r="D12262" t="s">
        <v>86</v>
      </c>
      <c r="E12262">
        <v>1.2570000000000001E-3</v>
      </c>
      <c r="F12262" t="s">
        <v>74</v>
      </c>
      <c r="G12262">
        <v>1.25742</v>
      </c>
      <c r="H12262" t="s">
        <v>75</v>
      </c>
      <c r="I12262">
        <v>1257.424</v>
      </c>
      <c r="J12262" t="s">
        <v>76</v>
      </c>
      <c r="K12262" t="s">
        <v>82</v>
      </c>
      <c r="L12262">
        <v>795.27684799999997</v>
      </c>
    </row>
    <row r="12263" spans="1:12" x14ac:dyDescent="0.3">
      <c r="A12263" t="s">
        <v>215</v>
      </c>
    </row>
    <row r="12264" spans="1:12" x14ac:dyDescent="0.3">
      <c r="A12264" t="s">
        <v>215</v>
      </c>
    </row>
    <row r="12265" spans="1:12" x14ac:dyDescent="0.3">
      <c r="A12265" t="s">
        <v>560</v>
      </c>
    </row>
    <row r="12266" spans="1:12" x14ac:dyDescent="0.3">
      <c r="A12266" t="s">
        <v>496</v>
      </c>
      <c r="B12266" t="s">
        <v>72</v>
      </c>
      <c r="C12266">
        <v>1</v>
      </c>
      <c r="D12266" t="s">
        <v>79</v>
      </c>
      <c r="E12266">
        <v>6.9499999999999996E-3</v>
      </c>
      <c r="F12266" t="s">
        <v>74</v>
      </c>
      <c r="G12266">
        <v>6.9497999999999998</v>
      </c>
      <c r="H12266" t="s">
        <v>75</v>
      </c>
      <c r="I12266">
        <v>6949.8</v>
      </c>
      <c r="J12266" t="s">
        <v>76</v>
      </c>
      <c r="K12266" t="s">
        <v>77</v>
      </c>
    </row>
    <row r="12267" spans="1:12" x14ac:dyDescent="0.3">
      <c r="A12267" t="s">
        <v>496</v>
      </c>
      <c r="B12267" t="s">
        <v>72</v>
      </c>
      <c r="C12267">
        <v>1</v>
      </c>
      <c r="D12267" t="s">
        <v>94</v>
      </c>
      <c r="E12267">
        <v>5.561E-3</v>
      </c>
      <c r="F12267" t="s">
        <v>74</v>
      </c>
      <c r="G12267">
        <v>5.5609999999999999</v>
      </c>
      <c r="H12267" t="s">
        <v>75</v>
      </c>
      <c r="I12267">
        <v>5561</v>
      </c>
      <c r="J12267" t="s">
        <v>76</v>
      </c>
      <c r="K12267" t="s">
        <v>77</v>
      </c>
    </row>
    <row r="12268" spans="1:12" x14ac:dyDescent="0.3">
      <c r="A12268" t="s">
        <v>496</v>
      </c>
      <c r="B12268" t="s">
        <v>72</v>
      </c>
      <c r="C12268">
        <v>1</v>
      </c>
      <c r="D12268" t="s">
        <v>80</v>
      </c>
      <c r="E12268">
        <v>5.5620000000000001E-3</v>
      </c>
      <c r="F12268" t="s">
        <v>74</v>
      </c>
      <c r="G12268">
        <v>5.5621</v>
      </c>
      <c r="H12268" t="s">
        <v>75</v>
      </c>
      <c r="I12268">
        <v>5562.1</v>
      </c>
      <c r="J12268" t="s">
        <v>76</v>
      </c>
      <c r="K12268" t="s">
        <v>77</v>
      </c>
    </row>
    <row r="12269" spans="1:12" x14ac:dyDescent="0.3">
      <c r="A12269" t="s">
        <v>496</v>
      </c>
      <c r="B12269" t="s">
        <v>72</v>
      </c>
      <c r="C12269">
        <v>1</v>
      </c>
      <c r="D12269" t="s">
        <v>81</v>
      </c>
      <c r="E12269">
        <v>1.2512000000000001E-2</v>
      </c>
      <c r="F12269" t="s">
        <v>74</v>
      </c>
      <c r="G12269">
        <v>12.512</v>
      </c>
      <c r="H12269" t="s">
        <v>75</v>
      </c>
      <c r="I12269">
        <v>12512</v>
      </c>
      <c r="J12269" t="s">
        <v>76</v>
      </c>
      <c r="K12269" t="s">
        <v>82</v>
      </c>
      <c r="L12269">
        <v>79.923271900000003</v>
      </c>
    </row>
    <row r="12270" spans="1:12" x14ac:dyDescent="0.3">
      <c r="A12270" t="s">
        <v>496</v>
      </c>
      <c r="B12270" t="s">
        <v>83</v>
      </c>
      <c r="C12270">
        <v>586</v>
      </c>
      <c r="D12270" t="s">
        <v>79</v>
      </c>
      <c r="E12270">
        <v>6.4499999999999996E-4</v>
      </c>
      <c r="F12270" t="s">
        <v>74</v>
      </c>
      <c r="G12270">
        <v>0.64522000000000002</v>
      </c>
      <c r="H12270" t="s">
        <v>75</v>
      </c>
      <c r="I12270">
        <v>645.21500000000003</v>
      </c>
      <c r="J12270" t="s">
        <v>76</v>
      </c>
      <c r="K12270" t="s">
        <v>77</v>
      </c>
    </row>
    <row r="12271" spans="1:12" x14ac:dyDescent="0.3">
      <c r="A12271" t="s">
        <v>496</v>
      </c>
      <c r="B12271" t="s">
        <v>83</v>
      </c>
      <c r="C12271">
        <v>586</v>
      </c>
      <c r="D12271" t="s">
        <v>94</v>
      </c>
      <c r="E12271">
        <v>1.696E-3</v>
      </c>
      <c r="F12271" t="s">
        <v>74</v>
      </c>
      <c r="G12271">
        <v>1.69645</v>
      </c>
      <c r="H12271" t="s">
        <v>75</v>
      </c>
      <c r="I12271">
        <v>1696.4469999999999</v>
      </c>
      <c r="J12271" t="s">
        <v>76</v>
      </c>
      <c r="K12271" t="s">
        <v>77</v>
      </c>
    </row>
    <row r="12272" spans="1:12" x14ac:dyDescent="0.3">
      <c r="A12272" t="s">
        <v>496</v>
      </c>
      <c r="B12272" t="s">
        <v>83</v>
      </c>
      <c r="C12272">
        <v>586</v>
      </c>
      <c r="D12272" t="s">
        <v>80</v>
      </c>
      <c r="E12272">
        <v>1.918E-3</v>
      </c>
      <c r="F12272" t="s">
        <v>74</v>
      </c>
      <c r="G12272">
        <v>1.91774</v>
      </c>
      <c r="H12272" t="s">
        <v>75</v>
      </c>
      <c r="I12272">
        <v>1917.739</v>
      </c>
      <c r="J12272" t="s">
        <v>76</v>
      </c>
      <c r="K12272" t="s">
        <v>77</v>
      </c>
    </row>
    <row r="12273" spans="1:12" x14ac:dyDescent="0.3">
      <c r="A12273" t="s">
        <v>496</v>
      </c>
      <c r="B12273" t="s">
        <v>83</v>
      </c>
      <c r="C12273">
        <v>586</v>
      </c>
      <c r="D12273" t="s">
        <v>81</v>
      </c>
      <c r="E12273">
        <v>2.5630000000000002E-3</v>
      </c>
      <c r="F12273" t="s">
        <v>74</v>
      </c>
      <c r="G12273">
        <v>2.5633300000000001</v>
      </c>
      <c r="H12273" t="s">
        <v>75</v>
      </c>
      <c r="I12273">
        <v>2563.3319999999999</v>
      </c>
      <c r="J12273" t="s">
        <v>76</v>
      </c>
      <c r="K12273" t="s">
        <v>82</v>
      </c>
      <c r="L12273">
        <v>390.11718760000002</v>
      </c>
    </row>
    <row r="12274" spans="1:12" x14ac:dyDescent="0.3">
      <c r="A12274" t="s">
        <v>496</v>
      </c>
      <c r="B12274" t="s">
        <v>84</v>
      </c>
      <c r="C12274">
        <v>587</v>
      </c>
      <c r="D12274" t="s">
        <v>79</v>
      </c>
      <c r="E12274">
        <v>6.5600000000000001E-4</v>
      </c>
      <c r="F12274" t="s">
        <v>74</v>
      </c>
      <c r="G12274">
        <v>0.65595999999999999</v>
      </c>
      <c r="H12274" t="s">
        <v>75</v>
      </c>
      <c r="I12274">
        <v>655.95600000000002</v>
      </c>
      <c r="J12274" t="s">
        <v>76</v>
      </c>
      <c r="K12274" t="s">
        <v>77</v>
      </c>
    </row>
    <row r="12275" spans="1:12" x14ac:dyDescent="0.3">
      <c r="A12275" t="s">
        <v>496</v>
      </c>
      <c r="B12275" t="s">
        <v>84</v>
      </c>
      <c r="C12275">
        <v>587</v>
      </c>
      <c r="D12275" t="s">
        <v>94</v>
      </c>
      <c r="E12275">
        <v>1.7030000000000001E-3</v>
      </c>
      <c r="F12275" t="s">
        <v>74</v>
      </c>
      <c r="G12275">
        <v>1.70303</v>
      </c>
      <c r="H12275" t="s">
        <v>75</v>
      </c>
      <c r="I12275">
        <v>1703.0309999999999</v>
      </c>
      <c r="J12275" t="s">
        <v>76</v>
      </c>
      <c r="K12275" t="s">
        <v>77</v>
      </c>
    </row>
    <row r="12276" spans="1:12" x14ac:dyDescent="0.3">
      <c r="A12276" t="s">
        <v>496</v>
      </c>
      <c r="B12276" t="s">
        <v>84</v>
      </c>
      <c r="C12276">
        <v>587</v>
      </c>
      <c r="D12276" t="s">
        <v>80</v>
      </c>
      <c r="E12276">
        <v>1.9239999999999999E-3</v>
      </c>
      <c r="F12276" t="s">
        <v>74</v>
      </c>
      <c r="G12276">
        <v>1.92395</v>
      </c>
      <c r="H12276" t="s">
        <v>75</v>
      </c>
      <c r="I12276">
        <v>1923.9469999999999</v>
      </c>
      <c r="J12276" t="s">
        <v>76</v>
      </c>
      <c r="K12276" t="s">
        <v>77</v>
      </c>
    </row>
    <row r="12277" spans="1:12" x14ac:dyDescent="0.3">
      <c r="A12277" t="s">
        <v>496</v>
      </c>
      <c r="B12277" t="s">
        <v>84</v>
      </c>
      <c r="C12277">
        <v>587</v>
      </c>
      <c r="D12277" t="s">
        <v>81</v>
      </c>
      <c r="E12277">
        <v>2.5799999999999998E-3</v>
      </c>
      <c r="F12277" t="s">
        <v>74</v>
      </c>
      <c r="G12277">
        <v>2.5802800000000001</v>
      </c>
      <c r="H12277" t="s">
        <v>75</v>
      </c>
      <c r="I12277">
        <v>2580.2800000000002</v>
      </c>
      <c r="J12277" t="s">
        <v>76</v>
      </c>
      <c r="K12277" t="s">
        <v>82</v>
      </c>
      <c r="L12277">
        <v>387.55480920000002</v>
      </c>
    </row>
    <row r="12278" spans="1:12" x14ac:dyDescent="0.3">
      <c r="A12278" t="s">
        <v>497</v>
      </c>
      <c r="B12278" t="s">
        <v>72</v>
      </c>
      <c r="C12278">
        <v>1</v>
      </c>
      <c r="D12278" t="s">
        <v>79</v>
      </c>
      <c r="E12278">
        <v>8.1770000000000002E-3</v>
      </c>
      <c r="F12278" t="s">
        <v>74</v>
      </c>
      <c r="G12278">
        <v>8.1768000000000001</v>
      </c>
      <c r="H12278" t="s">
        <v>75</v>
      </c>
      <c r="I12278">
        <v>8176.8</v>
      </c>
      <c r="J12278" t="s">
        <v>76</v>
      </c>
      <c r="K12278" t="s">
        <v>77</v>
      </c>
    </row>
    <row r="12279" spans="1:12" x14ac:dyDescent="0.3">
      <c r="A12279" t="s">
        <v>497</v>
      </c>
      <c r="B12279" t="s">
        <v>72</v>
      </c>
      <c r="C12279">
        <v>1</v>
      </c>
      <c r="D12279" t="s">
        <v>94</v>
      </c>
      <c r="E12279">
        <v>4.0587999999999999E-2</v>
      </c>
      <c r="F12279" t="s">
        <v>74</v>
      </c>
      <c r="G12279">
        <v>40.587800000000001</v>
      </c>
      <c r="H12279" t="s">
        <v>75</v>
      </c>
      <c r="I12279">
        <v>40587.800999999999</v>
      </c>
      <c r="J12279" t="s">
        <v>76</v>
      </c>
      <c r="K12279" t="s">
        <v>77</v>
      </c>
    </row>
    <row r="12280" spans="1:12" x14ac:dyDescent="0.3">
      <c r="A12280" t="s">
        <v>497</v>
      </c>
      <c r="B12280" t="s">
        <v>72</v>
      </c>
      <c r="C12280">
        <v>1</v>
      </c>
      <c r="D12280" t="s">
        <v>80</v>
      </c>
      <c r="E12280">
        <v>4.0589E-2</v>
      </c>
      <c r="F12280" t="s">
        <v>74</v>
      </c>
      <c r="G12280">
        <v>40.5886</v>
      </c>
      <c r="H12280" t="s">
        <v>75</v>
      </c>
      <c r="I12280">
        <v>40588.599000000002</v>
      </c>
      <c r="J12280" t="s">
        <v>76</v>
      </c>
      <c r="K12280" t="s">
        <v>77</v>
      </c>
    </row>
    <row r="12281" spans="1:12" x14ac:dyDescent="0.3">
      <c r="A12281" t="s">
        <v>497</v>
      </c>
      <c r="B12281" t="s">
        <v>72</v>
      </c>
      <c r="C12281">
        <v>1</v>
      </c>
      <c r="D12281" t="s">
        <v>81</v>
      </c>
      <c r="E12281">
        <v>4.8765999999999997E-2</v>
      </c>
      <c r="F12281" t="s">
        <v>74</v>
      </c>
      <c r="G12281">
        <v>48.765599999999999</v>
      </c>
      <c r="H12281" t="s">
        <v>75</v>
      </c>
      <c r="I12281">
        <v>48765.599999999999</v>
      </c>
      <c r="J12281" t="s">
        <v>76</v>
      </c>
      <c r="K12281" t="s">
        <v>82</v>
      </c>
      <c r="L12281">
        <v>20.506258599999999</v>
      </c>
    </row>
    <row r="12282" spans="1:12" x14ac:dyDescent="0.3">
      <c r="A12282" t="s">
        <v>497</v>
      </c>
      <c r="B12282" t="s">
        <v>83</v>
      </c>
      <c r="C12282">
        <v>413</v>
      </c>
      <c r="D12282" t="s">
        <v>79</v>
      </c>
      <c r="E12282">
        <v>5.4000000000000001E-4</v>
      </c>
      <c r="F12282" t="s">
        <v>74</v>
      </c>
      <c r="G12282">
        <v>0.54010999999999998</v>
      </c>
      <c r="H12282" t="s">
        <v>75</v>
      </c>
      <c r="I12282">
        <v>540.10900000000004</v>
      </c>
      <c r="J12282" t="s">
        <v>76</v>
      </c>
      <c r="K12282" t="s">
        <v>77</v>
      </c>
    </row>
    <row r="12283" spans="1:12" x14ac:dyDescent="0.3">
      <c r="A12283" t="s">
        <v>497</v>
      </c>
      <c r="B12283" t="s">
        <v>83</v>
      </c>
      <c r="C12283">
        <v>413</v>
      </c>
      <c r="D12283" t="s">
        <v>94</v>
      </c>
      <c r="E12283">
        <v>2.6459999999999999E-3</v>
      </c>
      <c r="F12283" t="s">
        <v>74</v>
      </c>
      <c r="G12283">
        <v>2.64568</v>
      </c>
      <c r="H12283" t="s">
        <v>75</v>
      </c>
      <c r="I12283">
        <v>2645.6759999999999</v>
      </c>
      <c r="J12283" t="s">
        <v>76</v>
      </c>
      <c r="K12283" t="s">
        <v>77</v>
      </c>
    </row>
    <row r="12284" spans="1:12" x14ac:dyDescent="0.3">
      <c r="A12284" t="s">
        <v>497</v>
      </c>
      <c r="B12284" t="s">
        <v>83</v>
      </c>
      <c r="C12284">
        <v>413</v>
      </c>
      <c r="D12284" t="s">
        <v>80</v>
      </c>
      <c r="E12284">
        <v>2.8900000000000002E-3</v>
      </c>
      <c r="F12284" t="s">
        <v>74</v>
      </c>
      <c r="G12284">
        <v>2.88984</v>
      </c>
      <c r="H12284" t="s">
        <v>75</v>
      </c>
      <c r="I12284">
        <v>2889.8449999999998</v>
      </c>
      <c r="J12284" t="s">
        <v>76</v>
      </c>
      <c r="K12284" t="s">
        <v>77</v>
      </c>
    </row>
    <row r="12285" spans="1:12" x14ac:dyDescent="0.3">
      <c r="A12285" t="s">
        <v>497</v>
      </c>
      <c r="B12285" t="s">
        <v>83</v>
      </c>
      <c r="C12285">
        <v>413</v>
      </c>
      <c r="D12285" t="s">
        <v>81</v>
      </c>
      <c r="E12285">
        <v>3.4299999999999999E-3</v>
      </c>
      <c r="F12285" t="s">
        <v>74</v>
      </c>
      <c r="G12285">
        <v>3.4304999999999999</v>
      </c>
      <c r="H12285" t="s">
        <v>75</v>
      </c>
      <c r="I12285">
        <v>3430.4989999999998</v>
      </c>
      <c r="J12285" t="s">
        <v>76</v>
      </c>
      <c r="K12285" t="s">
        <v>82</v>
      </c>
      <c r="L12285">
        <v>291.50280570000001</v>
      </c>
    </row>
    <row r="12286" spans="1:12" x14ac:dyDescent="0.3">
      <c r="A12286" t="s">
        <v>497</v>
      </c>
      <c r="B12286" t="s">
        <v>84</v>
      </c>
      <c r="C12286">
        <v>414</v>
      </c>
      <c r="D12286" t="s">
        <v>79</v>
      </c>
      <c r="E12286">
        <v>5.5900000000000004E-4</v>
      </c>
      <c r="F12286" t="s">
        <v>74</v>
      </c>
      <c r="G12286">
        <v>0.55855999999999995</v>
      </c>
      <c r="H12286" t="s">
        <v>75</v>
      </c>
      <c r="I12286">
        <v>558.55499999999995</v>
      </c>
      <c r="J12286" t="s">
        <v>76</v>
      </c>
      <c r="K12286" t="s">
        <v>77</v>
      </c>
    </row>
    <row r="12287" spans="1:12" x14ac:dyDescent="0.3">
      <c r="A12287" t="s">
        <v>497</v>
      </c>
      <c r="B12287" t="s">
        <v>84</v>
      </c>
      <c r="C12287">
        <v>414</v>
      </c>
      <c r="D12287" t="s">
        <v>94</v>
      </c>
      <c r="E12287">
        <v>2.7369999999999998E-3</v>
      </c>
      <c r="F12287" t="s">
        <v>74</v>
      </c>
      <c r="G12287">
        <v>2.73732</v>
      </c>
      <c r="H12287" t="s">
        <v>75</v>
      </c>
      <c r="I12287">
        <v>2737.3240000000001</v>
      </c>
      <c r="J12287" t="s">
        <v>76</v>
      </c>
      <c r="K12287" t="s">
        <v>77</v>
      </c>
    </row>
    <row r="12288" spans="1:12" x14ac:dyDescent="0.3">
      <c r="A12288" t="s">
        <v>497</v>
      </c>
      <c r="B12288" t="s">
        <v>84</v>
      </c>
      <c r="C12288">
        <v>414</v>
      </c>
      <c r="D12288" t="s">
        <v>80</v>
      </c>
      <c r="E12288">
        <v>2.9810000000000001E-3</v>
      </c>
      <c r="F12288" t="s">
        <v>74</v>
      </c>
      <c r="G12288">
        <v>2.9809000000000001</v>
      </c>
      <c r="H12288" t="s">
        <v>75</v>
      </c>
      <c r="I12288">
        <v>2980.904</v>
      </c>
      <c r="J12288" t="s">
        <v>76</v>
      </c>
      <c r="K12288" t="s">
        <v>77</v>
      </c>
    </row>
    <row r="12289" spans="1:12" x14ac:dyDescent="0.3">
      <c r="A12289" t="s">
        <v>497</v>
      </c>
      <c r="B12289" t="s">
        <v>84</v>
      </c>
      <c r="C12289">
        <v>414</v>
      </c>
      <c r="D12289" t="s">
        <v>81</v>
      </c>
      <c r="E12289">
        <v>3.5400000000000002E-3</v>
      </c>
      <c r="F12289" t="s">
        <v>74</v>
      </c>
      <c r="G12289">
        <v>3.54</v>
      </c>
      <c r="H12289" t="s">
        <v>75</v>
      </c>
      <c r="I12289">
        <v>3540.0039999999999</v>
      </c>
      <c r="J12289" t="s">
        <v>76</v>
      </c>
      <c r="K12289" t="s">
        <v>82</v>
      </c>
      <c r="L12289">
        <v>282.48556180000003</v>
      </c>
    </row>
    <row r="12290" spans="1:12" x14ac:dyDescent="0.3">
      <c r="A12290" t="s">
        <v>498</v>
      </c>
      <c r="B12290" t="s">
        <v>72</v>
      </c>
      <c r="C12290">
        <v>1</v>
      </c>
      <c r="D12290" t="s">
        <v>73</v>
      </c>
      <c r="E12290">
        <v>6.3E-5</v>
      </c>
      <c r="F12290" t="s">
        <v>74</v>
      </c>
      <c r="G12290">
        <v>6.3E-2</v>
      </c>
      <c r="H12290" t="s">
        <v>75</v>
      </c>
      <c r="I12290">
        <v>63</v>
      </c>
      <c r="J12290" t="s">
        <v>76</v>
      </c>
      <c r="K12290" t="s">
        <v>77</v>
      </c>
    </row>
    <row r="12291" spans="1:12" x14ac:dyDescent="0.3">
      <c r="A12291" t="s">
        <v>498</v>
      </c>
      <c r="B12291" t="s">
        <v>72</v>
      </c>
      <c r="C12291">
        <v>1</v>
      </c>
      <c r="D12291" t="s">
        <v>78</v>
      </c>
      <c r="E12291">
        <v>5.8799999999999998E-4</v>
      </c>
      <c r="F12291" t="s">
        <v>74</v>
      </c>
      <c r="G12291">
        <v>0.58840000000000003</v>
      </c>
      <c r="H12291" t="s">
        <v>75</v>
      </c>
      <c r="I12291">
        <v>588.4</v>
      </c>
      <c r="J12291" t="s">
        <v>76</v>
      </c>
      <c r="K12291" t="s">
        <v>77</v>
      </c>
    </row>
    <row r="12292" spans="1:12" x14ac:dyDescent="0.3">
      <c r="A12292" t="s">
        <v>498</v>
      </c>
      <c r="B12292" t="s">
        <v>72</v>
      </c>
      <c r="C12292">
        <v>2</v>
      </c>
      <c r="D12292" t="s">
        <v>86</v>
      </c>
      <c r="E12292">
        <v>2.4386000000000001E-2</v>
      </c>
      <c r="F12292" t="s">
        <v>74</v>
      </c>
      <c r="G12292">
        <v>24.386399999999998</v>
      </c>
      <c r="H12292" t="s">
        <v>75</v>
      </c>
      <c r="I12292">
        <v>24386.400000000001</v>
      </c>
      <c r="J12292" t="s">
        <v>76</v>
      </c>
      <c r="K12292" t="s">
        <v>82</v>
      </c>
      <c r="L12292">
        <v>41.006461999999999</v>
      </c>
    </row>
    <row r="12293" spans="1:12" x14ac:dyDescent="0.3">
      <c r="A12293" t="s">
        <v>498</v>
      </c>
      <c r="B12293" t="s">
        <v>83</v>
      </c>
      <c r="C12293">
        <v>999</v>
      </c>
      <c r="D12293" t="s">
        <v>86</v>
      </c>
      <c r="E12293">
        <v>1.5089999999999999E-3</v>
      </c>
      <c r="F12293" t="s">
        <v>74</v>
      </c>
      <c r="G12293">
        <v>1.50939</v>
      </c>
      <c r="H12293" t="s">
        <v>75</v>
      </c>
      <c r="I12293">
        <v>1509.395</v>
      </c>
      <c r="J12293" t="s">
        <v>76</v>
      </c>
      <c r="K12293" t="s">
        <v>82</v>
      </c>
      <c r="L12293">
        <v>662.51716669999996</v>
      </c>
    </row>
    <row r="12294" spans="1:12" x14ac:dyDescent="0.3">
      <c r="A12294" t="s">
        <v>498</v>
      </c>
      <c r="B12294" t="s">
        <v>85</v>
      </c>
      <c r="C12294">
        <v>1001</v>
      </c>
      <c r="D12294" t="s">
        <v>86</v>
      </c>
      <c r="E12294">
        <v>1.521E-3</v>
      </c>
      <c r="F12294" t="s">
        <v>74</v>
      </c>
      <c r="G12294">
        <v>1.5208299999999999</v>
      </c>
      <c r="H12294" t="s">
        <v>75</v>
      </c>
      <c r="I12294">
        <v>1520.827</v>
      </c>
      <c r="J12294" t="s">
        <v>76</v>
      </c>
      <c r="K12294" t="s">
        <v>82</v>
      </c>
      <c r="L12294">
        <v>657.53683860000001</v>
      </c>
    </row>
    <row r="12295" spans="1:12" x14ac:dyDescent="0.3">
      <c r="A12295" t="s">
        <v>115</v>
      </c>
    </row>
    <row r="12296" spans="1:12" x14ac:dyDescent="0.3">
      <c r="A12296" t="s">
        <v>127</v>
      </c>
    </row>
    <row r="12297" spans="1:12" x14ac:dyDescent="0.3">
      <c r="A12297" t="s">
        <v>87</v>
      </c>
    </row>
    <row r="12298" spans="1:12" x14ac:dyDescent="0.3">
      <c r="A12298" t="s">
        <v>561</v>
      </c>
    </row>
    <row r="12299" spans="1:12" x14ac:dyDescent="0.3">
      <c r="A12299" t="s">
        <v>496</v>
      </c>
      <c r="B12299" t="s">
        <v>72</v>
      </c>
      <c r="C12299">
        <v>1</v>
      </c>
      <c r="D12299" t="s">
        <v>81</v>
      </c>
      <c r="E12299">
        <v>0.40753200000000001</v>
      </c>
      <c r="F12299" t="s">
        <v>74</v>
      </c>
      <c r="G12299">
        <v>407.53201000000001</v>
      </c>
      <c r="H12299" t="s">
        <v>75</v>
      </c>
      <c r="I12299">
        <v>407532.00699999998</v>
      </c>
      <c r="J12299" t="s">
        <v>76</v>
      </c>
      <c r="K12299" t="s">
        <v>82</v>
      </c>
      <c r="L12299">
        <v>2.4537949999999999</v>
      </c>
    </row>
    <row r="12300" spans="1:12" x14ac:dyDescent="0.3">
      <c r="A12300" t="s">
        <v>496</v>
      </c>
      <c r="B12300" t="s">
        <v>83</v>
      </c>
      <c r="C12300">
        <v>409</v>
      </c>
      <c r="D12300" t="s">
        <v>81</v>
      </c>
      <c r="E12300">
        <v>2.0720000000000001E-3</v>
      </c>
      <c r="F12300" t="s">
        <v>74</v>
      </c>
      <c r="G12300">
        <v>2.0723500000000001</v>
      </c>
      <c r="H12300" t="s">
        <v>75</v>
      </c>
      <c r="I12300">
        <v>2072.3519999999999</v>
      </c>
      <c r="J12300" t="s">
        <v>76</v>
      </c>
      <c r="K12300" t="s">
        <v>82</v>
      </c>
      <c r="L12300">
        <v>482.5435579</v>
      </c>
    </row>
    <row r="12301" spans="1:12" x14ac:dyDescent="0.3">
      <c r="A12301" t="s">
        <v>496</v>
      </c>
      <c r="B12301" t="s">
        <v>84</v>
      </c>
      <c r="C12301">
        <v>410</v>
      </c>
      <c r="D12301" t="s">
        <v>81</v>
      </c>
      <c r="E12301">
        <v>3.0609999999999999E-3</v>
      </c>
      <c r="F12301" t="s">
        <v>74</v>
      </c>
      <c r="G12301">
        <v>3.06128</v>
      </c>
      <c r="H12301" t="s">
        <v>75</v>
      </c>
      <c r="I12301">
        <v>3061.277</v>
      </c>
      <c r="J12301" t="s">
        <v>76</v>
      </c>
      <c r="K12301" t="s">
        <v>82</v>
      </c>
      <c r="L12301">
        <v>326.66111360000002</v>
      </c>
    </row>
    <row r="12302" spans="1:12" x14ac:dyDescent="0.3">
      <c r="A12302" t="s">
        <v>497</v>
      </c>
      <c r="B12302" t="s">
        <v>72</v>
      </c>
      <c r="C12302">
        <v>1</v>
      </c>
      <c r="D12302" t="s">
        <v>81</v>
      </c>
      <c r="E12302">
        <v>0.16669900000000001</v>
      </c>
      <c r="F12302" t="s">
        <v>74</v>
      </c>
      <c r="G12302">
        <v>166.69869</v>
      </c>
      <c r="H12302" t="s">
        <v>75</v>
      </c>
      <c r="I12302">
        <v>166698.69399999999</v>
      </c>
      <c r="J12302" t="s">
        <v>76</v>
      </c>
      <c r="K12302" t="s">
        <v>82</v>
      </c>
      <c r="L12302">
        <v>5.9988472000000002</v>
      </c>
    </row>
    <row r="12303" spans="1:12" x14ac:dyDescent="0.3">
      <c r="A12303" t="s">
        <v>497</v>
      </c>
      <c r="B12303" t="s">
        <v>83</v>
      </c>
      <c r="C12303">
        <v>590</v>
      </c>
      <c r="D12303" t="s">
        <v>81</v>
      </c>
      <c r="E12303">
        <v>1.7960000000000001E-3</v>
      </c>
      <c r="F12303" t="s">
        <v>74</v>
      </c>
      <c r="G12303">
        <v>1.7958799999999999</v>
      </c>
      <c r="H12303" t="s">
        <v>75</v>
      </c>
      <c r="I12303">
        <v>1795.8779999999999</v>
      </c>
      <c r="J12303" t="s">
        <v>76</v>
      </c>
      <c r="K12303" t="s">
        <v>82</v>
      </c>
      <c r="L12303">
        <v>556.83080870000003</v>
      </c>
    </row>
    <row r="12304" spans="1:12" x14ac:dyDescent="0.3">
      <c r="A12304" t="s">
        <v>497</v>
      </c>
      <c r="B12304" t="s">
        <v>84</v>
      </c>
      <c r="C12304">
        <v>591</v>
      </c>
      <c r="D12304" t="s">
        <v>81</v>
      </c>
      <c r="E12304">
        <v>2.075E-3</v>
      </c>
      <c r="F12304" t="s">
        <v>74</v>
      </c>
      <c r="G12304">
        <v>2.0749</v>
      </c>
      <c r="H12304" t="s">
        <v>75</v>
      </c>
      <c r="I12304">
        <v>2074.902</v>
      </c>
      <c r="J12304" t="s">
        <v>76</v>
      </c>
      <c r="K12304" t="s">
        <v>82</v>
      </c>
      <c r="L12304">
        <v>481.95046600000001</v>
      </c>
    </row>
    <row r="12305" spans="1:12" x14ac:dyDescent="0.3">
      <c r="A12305" t="s">
        <v>498</v>
      </c>
      <c r="B12305" t="s">
        <v>72</v>
      </c>
      <c r="C12305">
        <v>2</v>
      </c>
      <c r="D12305" t="s">
        <v>86</v>
      </c>
      <c r="E12305">
        <v>0.203788</v>
      </c>
      <c r="F12305" t="s">
        <v>74</v>
      </c>
      <c r="G12305">
        <v>203.78800000000001</v>
      </c>
      <c r="H12305" t="s">
        <v>75</v>
      </c>
      <c r="I12305">
        <v>203787.997</v>
      </c>
      <c r="J12305" t="s">
        <v>76</v>
      </c>
      <c r="K12305" t="s">
        <v>82</v>
      </c>
      <c r="L12305">
        <v>4.9070603000000004</v>
      </c>
    </row>
    <row r="12306" spans="1:12" x14ac:dyDescent="0.3">
      <c r="A12306" t="s">
        <v>498</v>
      </c>
      <c r="B12306" t="s">
        <v>83</v>
      </c>
      <c r="C12306">
        <v>999</v>
      </c>
      <c r="D12306" t="s">
        <v>86</v>
      </c>
      <c r="E12306">
        <v>1.0920000000000001E-3</v>
      </c>
      <c r="F12306" t="s">
        <v>74</v>
      </c>
      <c r="G12306">
        <v>1.09165</v>
      </c>
      <c r="H12306" t="s">
        <v>75</v>
      </c>
      <c r="I12306">
        <v>1091.6479999999999</v>
      </c>
      <c r="J12306" t="s">
        <v>76</v>
      </c>
      <c r="K12306" t="s">
        <v>82</v>
      </c>
      <c r="L12306">
        <v>916.04607180000005</v>
      </c>
    </row>
    <row r="12307" spans="1:12" x14ac:dyDescent="0.3">
      <c r="A12307" t="s">
        <v>498</v>
      </c>
      <c r="B12307" t="s">
        <v>85</v>
      </c>
      <c r="C12307">
        <v>1001</v>
      </c>
      <c r="D12307" t="s">
        <v>86</v>
      </c>
      <c r="E12307">
        <v>1.2570000000000001E-3</v>
      </c>
      <c r="F12307" t="s">
        <v>74</v>
      </c>
      <c r="G12307">
        <v>1.25742</v>
      </c>
      <c r="H12307" t="s">
        <v>75</v>
      </c>
      <c r="I12307">
        <v>1257.424</v>
      </c>
      <c r="J12307" t="s">
        <v>76</v>
      </c>
      <c r="K12307" t="s">
        <v>82</v>
      </c>
      <c r="L12307">
        <v>795.27684799999997</v>
      </c>
    </row>
    <row r="12309" spans="1:12" x14ac:dyDescent="0.3">
      <c r="A12309" t="s">
        <v>562</v>
      </c>
    </row>
    <row r="12310" spans="1:12" x14ac:dyDescent="0.3">
      <c r="A12310" t="s">
        <v>496</v>
      </c>
      <c r="B12310" t="s">
        <v>72</v>
      </c>
      <c r="C12310">
        <v>1</v>
      </c>
      <c r="D12310" t="s">
        <v>81</v>
      </c>
      <c r="E12310">
        <v>1.2512000000000001E-2</v>
      </c>
      <c r="F12310" t="s">
        <v>74</v>
      </c>
      <c r="G12310">
        <v>12.512</v>
      </c>
      <c r="H12310" t="s">
        <v>75</v>
      </c>
      <c r="I12310">
        <v>12512</v>
      </c>
      <c r="J12310" t="s">
        <v>76</v>
      </c>
      <c r="K12310" t="s">
        <v>82</v>
      </c>
      <c r="L12310">
        <v>79.923271900000003</v>
      </c>
    </row>
    <row r="12311" spans="1:12" x14ac:dyDescent="0.3">
      <c r="A12311" t="s">
        <v>496</v>
      </c>
      <c r="B12311" t="s">
        <v>83</v>
      </c>
      <c r="C12311">
        <v>586</v>
      </c>
      <c r="D12311" t="s">
        <v>81</v>
      </c>
      <c r="E12311">
        <v>2.5630000000000002E-3</v>
      </c>
      <c r="F12311" t="s">
        <v>74</v>
      </c>
      <c r="G12311">
        <v>2.5633300000000001</v>
      </c>
      <c r="H12311" t="s">
        <v>75</v>
      </c>
      <c r="I12311">
        <v>2563.3319999999999</v>
      </c>
      <c r="J12311" t="s">
        <v>76</v>
      </c>
      <c r="K12311" t="s">
        <v>82</v>
      </c>
      <c r="L12311">
        <v>390.11718760000002</v>
      </c>
    </row>
    <row r="12312" spans="1:12" x14ac:dyDescent="0.3">
      <c r="A12312" t="s">
        <v>496</v>
      </c>
      <c r="B12312" t="s">
        <v>84</v>
      </c>
      <c r="C12312">
        <v>587</v>
      </c>
      <c r="D12312" t="s">
        <v>81</v>
      </c>
      <c r="E12312">
        <v>2.5799999999999998E-3</v>
      </c>
      <c r="F12312" t="s">
        <v>74</v>
      </c>
      <c r="G12312">
        <v>2.5802800000000001</v>
      </c>
      <c r="H12312" t="s">
        <v>75</v>
      </c>
      <c r="I12312">
        <v>2580.2800000000002</v>
      </c>
      <c r="J12312" t="s">
        <v>76</v>
      </c>
      <c r="K12312" t="s">
        <v>82</v>
      </c>
      <c r="L12312">
        <v>387.55480920000002</v>
      </c>
    </row>
    <row r="12313" spans="1:12" x14ac:dyDescent="0.3">
      <c r="A12313" t="s">
        <v>497</v>
      </c>
      <c r="B12313" t="s">
        <v>72</v>
      </c>
      <c r="C12313">
        <v>1</v>
      </c>
      <c r="D12313" t="s">
        <v>81</v>
      </c>
      <c r="E12313">
        <v>4.8765999999999997E-2</v>
      </c>
      <c r="F12313" t="s">
        <v>74</v>
      </c>
      <c r="G12313">
        <v>48.765599999999999</v>
      </c>
      <c r="H12313" t="s">
        <v>75</v>
      </c>
      <c r="I12313">
        <v>48765.599999999999</v>
      </c>
      <c r="J12313" t="s">
        <v>76</v>
      </c>
      <c r="K12313" t="s">
        <v>82</v>
      </c>
      <c r="L12313">
        <v>20.506258599999999</v>
      </c>
    </row>
    <row r="12314" spans="1:12" x14ac:dyDescent="0.3">
      <c r="A12314" t="s">
        <v>497</v>
      </c>
      <c r="B12314" t="s">
        <v>83</v>
      </c>
      <c r="C12314">
        <v>413</v>
      </c>
      <c r="D12314" t="s">
        <v>81</v>
      </c>
      <c r="E12314">
        <v>3.4299999999999999E-3</v>
      </c>
      <c r="F12314" t="s">
        <v>74</v>
      </c>
      <c r="G12314">
        <v>3.4304999999999999</v>
      </c>
      <c r="H12314" t="s">
        <v>75</v>
      </c>
      <c r="I12314">
        <v>3430.4989999999998</v>
      </c>
      <c r="J12314" t="s">
        <v>76</v>
      </c>
      <c r="K12314" t="s">
        <v>82</v>
      </c>
      <c r="L12314">
        <v>291.50280570000001</v>
      </c>
    </row>
    <row r="12315" spans="1:12" x14ac:dyDescent="0.3">
      <c r="A12315" t="s">
        <v>497</v>
      </c>
      <c r="B12315" t="s">
        <v>84</v>
      </c>
      <c r="C12315">
        <v>414</v>
      </c>
      <c r="D12315" t="s">
        <v>81</v>
      </c>
      <c r="E12315">
        <v>3.5400000000000002E-3</v>
      </c>
      <c r="F12315" t="s">
        <v>74</v>
      </c>
      <c r="G12315">
        <v>3.54</v>
      </c>
      <c r="H12315" t="s">
        <v>75</v>
      </c>
      <c r="I12315">
        <v>3540.0039999999999</v>
      </c>
      <c r="J12315" t="s">
        <v>76</v>
      </c>
      <c r="K12315" t="s">
        <v>82</v>
      </c>
      <c r="L12315">
        <v>282.48556180000003</v>
      </c>
    </row>
    <row r="12316" spans="1:12" x14ac:dyDescent="0.3">
      <c r="A12316" t="s">
        <v>498</v>
      </c>
      <c r="B12316" t="s">
        <v>72</v>
      </c>
      <c r="C12316">
        <v>2</v>
      </c>
      <c r="D12316" t="s">
        <v>86</v>
      </c>
      <c r="E12316">
        <v>2.4386000000000001E-2</v>
      </c>
      <c r="F12316" t="s">
        <v>74</v>
      </c>
      <c r="G12316">
        <v>24.386399999999998</v>
      </c>
      <c r="H12316" t="s">
        <v>75</v>
      </c>
      <c r="I12316">
        <v>24386.400000000001</v>
      </c>
      <c r="J12316" t="s">
        <v>76</v>
      </c>
      <c r="K12316" t="s">
        <v>82</v>
      </c>
      <c r="L12316">
        <v>41.006461999999999</v>
      </c>
    </row>
    <row r="12317" spans="1:12" x14ac:dyDescent="0.3">
      <c r="A12317" t="s">
        <v>498</v>
      </c>
      <c r="B12317" t="s">
        <v>83</v>
      </c>
      <c r="C12317">
        <v>999</v>
      </c>
      <c r="D12317" t="s">
        <v>86</v>
      </c>
      <c r="E12317">
        <v>1.5089999999999999E-3</v>
      </c>
      <c r="F12317" t="s">
        <v>74</v>
      </c>
      <c r="G12317">
        <v>1.50939</v>
      </c>
      <c r="H12317" t="s">
        <v>75</v>
      </c>
      <c r="I12317">
        <v>1509.395</v>
      </c>
      <c r="J12317" t="s">
        <v>76</v>
      </c>
      <c r="K12317" t="s">
        <v>82</v>
      </c>
      <c r="L12317">
        <v>662.51716669999996</v>
      </c>
    </row>
    <row r="12318" spans="1:12" x14ac:dyDescent="0.3">
      <c r="A12318" t="s">
        <v>498</v>
      </c>
      <c r="B12318" t="s">
        <v>85</v>
      </c>
      <c r="C12318">
        <v>1001</v>
      </c>
      <c r="D12318" t="s">
        <v>86</v>
      </c>
      <c r="E12318">
        <v>1.521E-3</v>
      </c>
      <c r="F12318" t="s">
        <v>74</v>
      </c>
      <c r="G12318">
        <v>1.5208299999999999</v>
      </c>
      <c r="H12318" t="s">
        <v>75</v>
      </c>
      <c r="I12318">
        <v>1520.827</v>
      </c>
      <c r="J12318" t="s">
        <v>76</v>
      </c>
      <c r="K12318" t="s">
        <v>82</v>
      </c>
      <c r="L12318">
        <v>657.53683860000001</v>
      </c>
    </row>
    <row r="12320" spans="1:12" x14ac:dyDescent="0.3">
      <c r="A12320" t="s">
        <v>64</v>
      </c>
    </row>
    <row r="12321" spans="1:1" x14ac:dyDescent="0.3">
      <c r="A12321" t="s">
        <v>563</v>
      </c>
    </row>
    <row r="12323" spans="1:1" x14ac:dyDescent="0.3">
      <c r="A12323" t="s">
        <v>564</v>
      </c>
    </row>
    <row r="12324" spans="1:1" x14ac:dyDescent="0.3">
      <c r="A12324" t="s">
        <v>68</v>
      </c>
    </row>
    <row r="12325" spans="1:1" x14ac:dyDescent="0.3">
      <c r="A12325" t="s">
        <v>69</v>
      </c>
    </row>
    <row r="12326" spans="1:1" x14ac:dyDescent="0.3">
      <c r="A12326" t="s">
        <v>68</v>
      </c>
    </row>
    <row r="12327" spans="1:1" x14ac:dyDescent="0.3">
      <c r="A12327" t="s">
        <v>69</v>
      </c>
    </row>
    <row r="12328" spans="1:1" x14ac:dyDescent="0.3">
      <c r="A12328" t="s">
        <v>70</v>
      </c>
    </row>
    <row r="12329" spans="1:1" x14ac:dyDescent="0.3">
      <c r="A12329" t="s">
        <v>115</v>
      </c>
    </row>
    <row r="12330" spans="1:1" x14ac:dyDescent="0.3">
      <c r="A12330" t="s">
        <v>116</v>
      </c>
    </row>
    <row r="12331" spans="1:1" x14ac:dyDescent="0.3">
      <c r="A12331" t="s">
        <v>117</v>
      </c>
    </row>
    <row r="12332" spans="1:1" x14ac:dyDescent="0.3">
      <c r="A12332" t="s">
        <v>118</v>
      </c>
    </row>
    <row r="12333" spans="1:1" x14ac:dyDescent="0.3">
      <c r="A12333" t="s">
        <v>119</v>
      </c>
    </row>
    <row r="12334" spans="1:1" x14ac:dyDescent="0.3">
      <c r="A12334" t="s">
        <v>120</v>
      </c>
    </row>
    <row r="12335" spans="1:1" x14ac:dyDescent="0.3">
      <c r="A12335" t="s">
        <v>121</v>
      </c>
    </row>
    <row r="12336" spans="1:1" x14ac:dyDescent="0.3">
      <c r="A12336" t="s">
        <v>122</v>
      </c>
    </row>
    <row r="12337" spans="1:1" x14ac:dyDescent="0.3">
      <c r="A12337" t="s">
        <v>123</v>
      </c>
    </row>
    <row r="12338" spans="1:1" x14ac:dyDescent="0.3">
      <c r="A12338" t="s">
        <v>124</v>
      </c>
    </row>
    <row r="12339" spans="1:1" x14ac:dyDescent="0.3">
      <c r="A12339" t="s">
        <v>125</v>
      </c>
    </row>
    <row r="12340" spans="1:1" x14ac:dyDescent="0.3">
      <c r="A12340" t="s">
        <v>126</v>
      </c>
    </row>
    <row r="12341" spans="1:1" x14ac:dyDescent="0.3">
      <c r="A12341" t="s">
        <v>127</v>
      </c>
    </row>
    <row r="12342" spans="1:1" x14ac:dyDescent="0.3">
      <c r="A12342" t="s">
        <v>128</v>
      </c>
    </row>
    <row r="12343" spans="1:1" x14ac:dyDescent="0.3">
      <c r="A12343" t="s">
        <v>115</v>
      </c>
    </row>
    <row r="12344" spans="1:1" x14ac:dyDescent="0.3">
      <c r="A12344" t="s">
        <v>266</v>
      </c>
    </row>
    <row r="12345" spans="1:1" x14ac:dyDescent="0.3">
      <c r="A12345" t="s">
        <v>267</v>
      </c>
    </row>
    <row r="12346" spans="1:1" x14ac:dyDescent="0.3">
      <c r="A12346" t="s">
        <v>118</v>
      </c>
    </row>
    <row r="12347" spans="1:1" x14ac:dyDescent="0.3">
      <c r="A12347" t="s">
        <v>119</v>
      </c>
    </row>
    <row r="12348" spans="1:1" x14ac:dyDescent="0.3">
      <c r="A12348" t="s">
        <v>268</v>
      </c>
    </row>
    <row r="12349" spans="1:1" x14ac:dyDescent="0.3">
      <c r="A12349" t="s">
        <v>269</v>
      </c>
    </row>
    <row r="12350" spans="1:1" x14ac:dyDescent="0.3">
      <c r="A12350" t="s">
        <v>122</v>
      </c>
    </row>
    <row r="12351" spans="1:1" x14ac:dyDescent="0.3">
      <c r="A12351" t="s">
        <v>270</v>
      </c>
    </row>
    <row r="12352" spans="1:1" x14ac:dyDescent="0.3">
      <c r="A12352" t="s">
        <v>271</v>
      </c>
    </row>
    <row r="12353" spans="1:12" x14ac:dyDescent="0.3">
      <c r="A12353" t="s">
        <v>125</v>
      </c>
    </row>
    <row r="12354" spans="1:12" x14ac:dyDescent="0.3">
      <c r="A12354" t="s">
        <v>126</v>
      </c>
    </row>
    <row r="12355" spans="1:12" x14ac:dyDescent="0.3">
      <c r="A12355" t="s">
        <v>127</v>
      </c>
    </row>
    <row r="12356" spans="1:12" x14ac:dyDescent="0.3">
      <c r="A12356" t="s">
        <v>128</v>
      </c>
    </row>
    <row r="12357" spans="1:12" x14ac:dyDescent="0.3">
      <c r="A12357" t="s">
        <v>495</v>
      </c>
    </row>
    <row r="12358" spans="1:12" x14ac:dyDescent="0.3">
      <c r="A12358" t="s">
        <v>496</v>
      </c>
      <c r="B12358" t="s">
        <v>72</v>
      </c>
      <c r="C12358">
        <v>1</v>
      </c>
      <c r="D12358" t="s">
        <v>91</v>
      </c>
      <c r="E12358">
        <v>0.300396</v>
      </c>
      <c r="F12358" t="s">
        <v>74</v>
      </c>
      <c r="G12358">
        <v>300.39611000000002</v>
      </c>
      <c r="H12358" t="s">
        <v>75</v>
      </c>
      <c r="I12358">
        <v>300396.11499999999</v>
      </c>
      <c r="J12358" t="s">
        <v>76</v>
      </c>
      <c r="K12358" t="s">
        <v>77</v>
      </c>
    </row>
    <row r="12359" spans="1:12" x14ac:dyDescent="0.3">
      <c r="A12359" t="s">
        <v>496</v>
      </c>
      <c r="B12359" t="s">
        <v>72</v>
      </c>
      <c r="C12359">
        <v>1</v>
      </c>
      <c r="D12359" t="s">
        <v>92</v>
      </c>
      <c r="E12359">
        <v>4.738E-3</v>
      </c>
      <c r="F12359" t="s">
        <v>74</v>
      </c>
      <c r="G12359">
        <v>4.7378</v>
      </c>
      <c r="H12359" t="s">
        <v>75</v>
      </c>
      <c r="I12359">
        <v>4737.8</v>
      </c>
      <c r="J12359" t="s">
        <v>76</v>
      </c>
      <c r="K12359" t="s">
        <v>77</v>
      </c>
    </row>
    <row r="12360" spans="1:12" x14ac:dyDescent="0.3">
      <c r="A12360" t="s">
        <v>496</v>
      </c>
      <c r="B12360" t="s">
        <v>72</v>
      </c>
      <c r="C12360">
        <v>1</v>
      </c>
      <c r="D12360" t="s">
        <v>93</v>
      </c>
      <c r="E12360">
        <v>0.117912</v>
      </c>
      <c r="F12360" t="s">
        <v>74</v>
      </c>
      <c r="G12360">
        <v>117.9115</v>
      </c>
      <c r="H12360" t="s">
        <v>75</v>
      </c>
      <c r="I12360">
        <v>117911.503</v>
      </c>
      <c r="J12360" t="s">
        <v>76</v>
      </c>
      <c r="K12360" t="s">
        <v>77</v>
      </c>
    </row>
    <row r="12361" spans="1:12" x14ac:dyDescent="0.3">
      <c r="A12361" t="s">
        <v>496</v>
      </c>
      <c r="B12361" t="s">
        <v>72</v>
      </c>
      <c r="C12361">
        <v>1</v>
      </c>
      <c r="D12361" t="s">
        <v>79</v>
      </c>
      <c r="E12361">
        <v>0.42304700000000001</v>
      </c>
      <c r="F12361" t="s">
        <v>74</v>
      </c>
      <c r="G12361">
        <v>423.04721000000001</v>
      </c>
      <c r="H12361" t="s">
        <v>75</v>
      </c>
      <c r="I12361">
        <v>423047.21500000003</v>
      </c>
      <c r="J12361" t="s">
        <v>76</v>
      </c>
      <c r="K12361" t="s">
        <v>77</v>
      </c>
    </row>
    <row r="12362" spans="1:12" x14ac:dyDescent="0.3">
      <c r="A12362" t="s">
        <v>496</v>
      </c>
      <c r="B12362" t="s">
        <v>72</v>
      </c>
      <c r="C12362">
        <v>1</v>
      </c>
      <c r="D12362" t="s">
        <v>94</v>
      </c>
      <c r="E12362">
        <v>1.7531000000000001E-2</v>
      </c>
      <c r="F12362" t="s">
        <v>74</v>
      </c>
      <c r="G12362">
        <v>17.531400000000001</v>
      </c>
      <c r="H12362" t="s">
        <v>75</v>
      </c>
      <c r="I12362">
        <v>17531.401000000002</v>
      </c>
      <c r="J12362" t="s">
        <v>76</v>
      </c>
      <c r="K12362" t="s">
        <v>77</v>
      </c>
    </row>
    <row r="12363" spans="1:12" x14ac:dyDescent="0.3">
      <c r="A12363" t="s">
        <v>496</v>
      </c>
      <c r="B12363" t="s">
        <v>72</v>
      </c>
      <c r="C12363">
        <v>1</v>
      </c>
      <c r="D12363" t="s">
        <v>80</v>
      </c>
      <c r="E12363">
        <v>1.7531999999999999E-2</v>
      </c>
      <c r="F12363" t="s">
        <v>74</v>
      </c>
      <c r="G12363">
        <v>17.532</v>
      </c>
      <c r="H12363" t="s">
        <v>75</v>
      </c>
      <c r="I12363">
        <v>17532</v>
      </c>
      <c r="J12363" t="s">
        <v>76</v>
      </c>
      <c r="K12363" t="s">
        <v>77</v>
      </c>
    </row>
    <row r="12364" spans="1:12" x14ac:dyDescent="0.3">
      <c r="A12364" t="s">
        <v>496</v>
      </c>
      <c r="B12364" t="s">
        <v>72</v>
      </c>
      <c r="C12364">
        <v>1</v>
      </c>
      <c r="D12364" t="s">
        <v>81</v>
      </c>
      <c r="E12364">
        <v>0.440579</v>
      </c>
      <c r="F12364" t="s">
        <v>74</v>
      </c>
      <c r="G12364">
        <v>440.57941</v>
      </c>
      <c r="H12364" t="s">
        <v>75</v>
      </c>
      <c r="I12364">
        <v>440579.41399999999</v>
      </c>
      <c r="J12364" t="s">
        <v>76</v>
      </c>
      <c r="K12364" t="s">
        <v>82</v>
      </c>
      <c r="L12364">
        <v>2.2697384</v>
      </c>
    </row>
    <row r="12365" spans="1:12" x14ac:dyDescent="0.3">
      <c r="A12365" t="s">
        <v>496</v>
      </c>
      <c r="B12365" t="s">
        <v>83</v>
      </c>
      <c r="C12365">
        <v>457</v>
      </c>
      <c r="D12365" t="s">
        <v>79</v>
      </c>
      <c r="E12365">
        <v>0</v>
      </c>
      <c r="F12365" t="s">
        <v>74</v>
      </c>
      <c r="G12365">
        <v>1.2999999999999999E-4</v>
      </c>
      <c r="H12365" t="s">
        <v>75</v>
      </c>
      <c r="I12365">
        <v>0.126</v>
      </c>
      <c r="J12365" t="s">
        <v>76</v>
      </c>
      <c r="K12365" t="s">
        <v>77</v>
      </c>
    </row>
    <row r="12366" spans="1:12" x14ac:dyDescent="0.3">
      <c r="A12366" t="s">
        <v>496</v>
      </c>
      <c r="B12366" t="s">
        <v>83</v>
      </c>
      <c r="C12366">
        <v>457</v>
      </c>
      <c r="D12366" t="s">
        <v>94</v>
      </c>
      <c r="E12366">
        <v>4.712E-3</v>
      </c>
      <c r="F12366" t="s">
        <v>74</v>
      </c>
      <c r="G12366">
        <v>4.7123299999999997</v>
      </c>
      <c r="H12366" t="s">
        <v>75</v>
      </c>
      <c r="I12366">
        <v>4712.3320000000003</v>
      </c>
      <c r="J12366" t="s">
        <v>76</v>
      </c>
      <c r="K12366" t="s">
        <v>77</v>
      </c>
    </row>
    <row r="12367" spans="1:12" x14ac:dyDescent="0.3">
      <c r="A12367" t="s">
        <v>496</v>
      </c>
      <c r="B12367" t="s">
        <v>83</v>
      </c>
      <c r="C12367">
        <v>457</v>
      </c>
      <c r="D12367" t="s">
        <v>80</v>
      </c>
      <c r="E12367">
        <v>4.8710000000000003E-3</v>
      </c>
      <c r="F12367" t="s">
        <v>74</v>
      </c>
      <c r="G12367">
        <v>4.8706100000000001</v>
      </c>
      <c r="H12367" t="s">
        <v>75</v>
      </c>
      <c r="I12367">
        <v>4870.607</v>
      </c>
      <c r="J12367" t="s">
        <v>76</v>
      </c>
      <c r="K12367" t="s">
        <v>77</v>
      </c>
    </row>
    <row r="12368" spans="1:12" x14ac:dyDescent="0.3">
      <c r="A12368" t="s">
        <v>496</v>
      </c>
      <c r="B12368" t="s">
        <v>83</v>
      </c>
      <c r="C12368">
        <v>457</v>
      </c>
      <c r="D12368" t="s">
        <v>81</v>
      </c>
      <c r="E12368">
        <v>4.8710000000000003E-3</v>
      </c>
      <c r="F12368" t="s">
        <v>74</v>
      </c>
      <c r="G12368">
        <v>4.8709300000000004</v>
      </c>
      <c r="H12368" t="s">
        <v>75</v>
      </c>
      <c r="I12368">
        <v>4870.9319999999998</v>
      </c>
      <c r="J12368" t="s">
        <v>76</v>
      </c>
      <c r="K12368" t="s">
        <v>82</v>
      </c>
      <c r="L12368">
        <v>205.2995086</v>
      </c>
    </row>
    <row r="12369" spans="1:12" x14ac:dyDescent="0.3">
      <c r="A12369" t="s">
        <v>496</v>
      </c>
      <c r="B12369" t="s">
        <v>84</v>
      </c>
      <c r="C12369">
        <v>1</v>
      </c>
      <c r="D12369" t="s">
        <v>91</v>
      </c>
      <c r="E12369">
        <v>0.300396</v>
      </c>
      <c r="F12369" t="s">
        <v>74</v>
      </c>
      <c r="G12369">
        <v>300.39611000000002</v>
      </c>
      <c r="H12369" t="s">
        <v>75</v>
      </c>
      <c r="I12369">
        <v>300396.11499999999</v>
      </c>
      <c r="J12369" t="s">
        <v>76</v>
      </c>
      <c r="K12369" t="s">
        <v>77</v>
      </c>
    </row>
    <row r="12370" spans="1:12" x14ac:dyDescent="0.3">
      <c r="A12370" t="s">
        <v>496</v>
      </c>
      <c r="B12370" t="s">
        <v>84</v>
      </c>
      <c r="C12370">
        <v>1</v>
      </c>
      <c r="D12370" t="s">
        <v>92</v>
      </c>
      <c r="E12370">
        <v>4.738E-3</v>
      </c>
      <c r="F12370" t="s">
        <v>74</v>
      </c>
      <c r="G12370">
        <v>4.7378</v>
      </c>
      <c r="H12370" t="s">
        <v>75</v>
      </c>
      <c r="I12370">
        <v>4737.8</v>
      </c>
      <c r="J12370" t="s">
        <v>76</v>
      </c>
      <c r="K12370" t="s">
        <v>77</v>
      </c>
    </row>
    <row r="12371" spans="1:12" x14ac:dyDescent="0.3">
      <c r="A12371" t="s">
        <v>496</v>
      </c>
      <c r="B12371" t="s">
        <v>84</v>
      </c>
      <c r="C12371">
        <v>1</v>
      </c>
      <c r="D12371" t="s">
        <v>93</v>
      </c>
      <c r="E12371">
        <v>0.117912</v>
      </c>
      <c r="F12371" t="s">
        <v>74</v>
      </c>
      <c r="G12371">
        <v>117.9115</v>
      </c>
      <c r="H12371" t="s">
        <v>75</v>
      </c>
      <c r="I12371">
        <v>117911.503</v>
      </c>
      <c r="J12371" t="s">
        <v>76</v>
      </c>
      <c r="K12371" t="s">
        <v>77</v>
      </c>
    </row>
    <row r="12372" spans="1:12" x14ac:dyDescent="0.3">
      <c r="A12372" t="s">
        <v>496</v>
      </c>
      <c r="B12372" t="s">
        <v>84</v>
      </c>
      <c r="C12372">
        <v>458</v>
      </c>
      <c r="D12372" t="s">
        <v>79</v>
      </c>
      <c r="E12372">
        <v>9.2400000000000002E-4</v>
      </c>
      <c r="F12372" t="s">
        <v>74</v>
      </c>
      <c r="G12372">
        <v>0.92379999999999995</v>
      </c>
      <c r="H12372" t="s">
        <v>75</v>
      </c>
      <c r="I12372">
        <v>923.80399999999997</v>
      </c>
      <c r="J12372" t="s">
        <v>76</v>
      </c>
      <c r="K12372" t="s">
        <v>77</v>
      </c>
    </row>
    <row r="12373" spans="1:12" x14ac:dyDescent="0.3">
      <c r="A12373" t="s">
        <v>496</v>
      </c>
      <c r="B12373" t="s">
        <v>84</v>
      </c>
      <c r="C12373">
        <v>458</v>
      </c>
      <c r="D12373" t="s">
        <v>94</v>
      </c>
      <c r="E12373">
        <v>4.7400000000000003E-3</v>
      </c>
      <c r="F12373" t="s">
        <v>74</v>
      </c>
      <c r="G12373">
        <v>4.7403199999999996</v>
      </c>
      <c r="H12373" t="s">
        <v>75</v>
      </c>
      <c r="I12373">
        <v>4740.32</v>
      </c>
      <c r="J12373" t="s">
        <v>76</v>
      </c>
      <c r="K12373" t="s">
        <v>77</v>
      </c>
    </row>
    <row r="12374" spans="1:12" x14ac:dyDescent="0.3">
      <c r="A12374" t="s">
        <v>496</v>
      </c>
      <c r="B12374" t="s">
        <v>84</v>
      </c>
      <c r="C12374">
        <v>458</v>
      </c>
      <c r="D12374" t="s">
        <v>80</v>
      </c>
      <c r="E12374">
        <v>4.8979999999999996E-3</v>
      </c>
      <c r="F12374" t="s">
        <v>74</v>
      </c>
      <c r="G12374">
        <v>4.89825</v>
      </c>
      <c r="H12374" t="s">
        <v>75</v>
      </c>
      <c r="I12374">
        <v>4898.2520000000004</v>
      </c>
      <c r="J12374" t="s">
        <v>76</v>
      </c>
      <c r="K12374" t="s">
        <v>77</v>
      </c>
    </row>
    <row r="12375" spans="1:12" x14ac:dyDescent="0.3">
      <c r="A12375" t="s">
        <v>496</v>
      </c>
      <c r="B12375" t="s">
        <v>84</v>
      </c>
      <c r="C12375">
        <v>458</v>
      </c>
      <c r="D12375" t="s">
        <v>81</v>
      </c>
      <c r="E12375">
        <v>5.8219999999999999E-3</v>
      </c>
      <c r="F12375" t="s">
        <v>74</v>
      </c>
      <c r="G12375">
        <v>5.82226</v>
      </c>
      <c r="H12375" t="s">
        <v>75</v>
      </c>
      <c r="I12375">
        <v>5822.2619999999997</v>
      </c>
      <c r="J12375" t="s">
        <v>76</v>
      </c>
      <c r="K12375" t="s">
        <v>82</v>
      </c>
      <c r="L12375">
        <v>171.7545403</v>
      </c>
    </row>
    <row r="12376" spans="1:12" x14ac:dyDescent="0.3">
      <c r="A12376" t="s">
        <v>497</v>
      </c>
      <c r="B12376" t="s">
        <v>72</v>
      </c>
      <c r="C12376">
        <v>1</v>
      </c>
      <c r="D12376" t="s">
        <v>91</v>
      </c>
      <c r="E12376">
        <v>0.108359</v>
      </c>
      <c r="F12376" t="s">
        <v>74</v>
      </c>
      <c r="G12376">
        <v>108.35939999999999</v>
      </c>
      <c r="H12376" t="s">
        <v>75</v>
      </c>
      <c r="I12376">
        <v>108359.39599999999</v>
      </c>
      <c r="J12376" t="s">
        <v>76</v>
      </c>
      <c r="K12376" t="s">
        <v>77</v>
      </c>
    </row>
    <row r="12377" spans="1:12" x14ac:dyDescent="0.3">
      <c r="A12377" t="s">
        <v>497</v>
      </c>
      <c r="B12377" t="s">
        <v>72</v>
      </c>
      <c r="C12377">
        <v>1</v>
      </c>
      <c r="D12377" t="s">
        <v>92</v>
      </c>
      <c r="E12377">
        <v>6.0700000000000001E-4</v>
      </c>
      <c r="F12377" t="s">
        <v>74</v>
      </c>
      <c r="G12377">
        <v>0.60660000000000003</v>
      </c>
      <c r="H12377" t="s">
        <v>75</v>
      </c>
      <c r="I12377">
        <v>606.6</v>
      </c>
      <c r="J12377" t="s">
        <v>76</v>
      </c>
      <c r="K12377" t="s">
        <v>77</v>
      </c>
    </row>
    <row r="12378" spans="1:12" x14ac:dyDescent="0.3">
      <c r="A12378" t="s">
        <v>497</v>
      </c>
      <c r="B12378" t="s">
        <v>72</v>
      </c>
      <c r="C12378">
        <v>1</v>
      </c>
      <c r="D12378" t="s">
        <v>93</v>
      </c>
      <c r="E12378">
        <v>8.2622000000000001E-2</v>
      </c>
      <c r="F12378" t="s">
        <v>74</v>
      </c>
      <c r="G12378">
        <v>82.622299999999996</v>
      </c>
      <c r="H12378" t="s">
        <v>75</v>
      </c>
      <c r="I12378">
        <v>82622.297000000006</v>
      </c>
      <c r="J12378" t="s">
        <v>76</v>
      </c>
      <c r="K12378" t="s">
        <v>77</v>
      </c>
    </row>
    <row r="12379" spans="1:12" x14ac:dyDescent="0.3">
      <c r="A12379" t="s">
        <v>497</v>
      </c>
      <c r="B12379" t="s">
        <v>72</v>
      </c>
      <c r="C12379">
        <v>1</v>
      </c>
      <c r="D12379" t="s">
        <v>79</v>
      </c>
      <c r="E12379">
        <v>0.19159000000000001</v>
      </c>
      <c r="F12379" t="s">
        <v>74</v>
      </c>
      <c r="G12379">
        <v>191.59020000000001</v>
      </c>
      <c r="H12379" t="s">
        <v>75</v>
      </c>
      <c r="I12379">
        <v>191590.20499999999</v>
      </c>
      <c r="J12379" t="s">
        <v>76</v>
      </c>
      <c r="K12379" t="s">
        <v>77</v>
      </c>
    </row>
    <row r="12380" spans="1:12" x14ac:dyDescent="0.3">
      <c r="A12380" t="s">
        <v>497</v>
      </c>
      <c r="B12380" t="s">
        <v>72</v>
      </c>
      <c r="C12380">
        <v>1</v>
      </c>
      <c r="D12380" t="s">
        <v>94</v>
      </c>
      <c r="E12380">
        <v>9.4680000000000007E-3</v>
      </c>
      <c r="F12380" t="s">
        <v>74</v>
      </c>
      <c r="G12380">
        <v>9.4677000000000007</v>
      </c>
      <c r="H12380" t="s">
        <v>75</v>
      </c>
      <c r="I12380">
        <v>9467.7000000000007</v>
      </c>
      <c r="J12380" t="s">
        <v>76</v>
      </c>
      <c r="K12380" t="s">
        <v>77</v>
      </c>
    </row>
    <row r="12381" spans="1:12" x14ac:dyDescent="0.3">
      <c r="A12381" t="s">
        <v>497</v>
      </c>
      <c r="B12381" t="s">
        <v>72</v>
      </c>
      <c r="C12381">
        <v>1</v>
      </c>
      <c r="D12381" t="s">
        <v>80</v>
      </c>
      <c r="E12381">
        <v>9.469E-3</v>
      </c>
      <c r="F12381" t="s">
        <v>74</v>
      </c>
      <c r="G12381">
        <v>9.4686000000000003</v>
      </c>
      <c r="H12381" t="s">
        <v>75</v>
      </c>
      <c r="I12381">
        <v>9468.6</v>
      </c>
      <c r="J12381" t="s">
        <v>76</v>
      </c>
      <c r="K12381" t="s">
        <v>77</v>
      </c>
    </row>
    <row r="12382" spans="1:12" x14ac:dyDescent="0.3">
      <c r="A12382" t="s">
        <v>497</v>
      </c>
      <c r="B12382" t="s">
        <v>72</v>
      </c>
      <c r="C12382">
        <v>1</v>
      </c>
      <c r="D12382" t="s">
        <v>81</v>
      </c>
      <c r="E12382">
        <v>0.20105899999999999</v>
      </c>
      <c r="F12382" t="s">
        <v>74</v>
      </c>
      <c r="G12382">
        <v>201.05921000000001</v>
      </c>
      <c r="H12382" t="s">
        <v>75</v>
      </c>
      <c r="I12382">
        <v>201059.20699999999</v>
      </c>
      <c r="J12382" t="s">
        <v>76</v>
      </c>
      <c r="K12382" t="s">
        <v>82</v>
      </c>
      <c r="L12382">
        <v>4.9736592999999996</v>
      </c>
    </row>
    <row r="12383" spans="1:12" x14ac:dyDescent="0.3">
      <c r="A12383" t="s">
        <v>497</v>
      </c>
      <c r="B12383" t="s">
        <v>83</v>
      </c>
      <c r="C12383">
        <v>542</v>
      </c>
      <c r="D12383" t="s">
        <v>79</v>
      </c>
      <c r="E12383">
        <v>0</v>
      </c>
      <c r="F12383" t="s">
        <v>74</v>
      </c>
      <c r="G12383">
        <v>1.6000000000000001E-4</v>
      </c>
      <c r="H12383" t="s">
        <v>75</v>
      </c>
      <c r="I12383">
        <v>0.16400000000000001</v>
      </c>
      <c r="J12383" t="s">
        <v>76</v>
      </c>
      <c r="K12383" t="s">
        <v>77</v>
      </c>
    </row>
    <row r="12384" spans="1:12" x14ac:dyDescent="0.3">
      <c r="A12384" t="s">
        <v>497</v>
      </c>
      <c r="B12384" t="s">
        <v>83</v>
      </c>
      <c r="C12384">
        <v>542</v>
      </c>
      <c r="D12384" t="s">
        <v>94</v>
      </c>
      <c r="E12384">
        <v>4.3569999999999998E-3</v>
      </c>
      <c r="F12384" t="s">
        <v>74</v>
      </c>
      <c r="G12384">
        <v>4.3568300000000004</v>
      </c>
      <c r="H12384" t="s">
        <v>75</v>
      </c>
      <c r="I12384">
        <v>4356.8320000000003</v>
      </c>
      <c r="J12384" t="s">
        <v>76</v>
      </c>
      <c r="K12384" t="s">
        <v>77</v>
      </c>
    </row>
    <row r="12385" spans="1:12" x14ac:dyDescent="0.3">
      <c r="A12385" t="s">
        <v>497</v>
      </c>
      <c r="B12385" t="s">
        <v>83</v>
      </c>
      <c r="C12385">
        <v>542</v>
      </c>
      <c r="D12385" t="s">
        <v>80</v>
      </c>
      <c r="E12385">
        <v>4.529E-3</v>
      </c>
      <c r="F12385" t="s">
        <v>74</v>
      </c>
      <c r="G12385">
        <v>4.5288899999999996</v>
      </c>
      <c r="H12385" t="s">
        <v>75</v>
      </c>
      <c r="I12385">
        <v>4528.8940000000002</v>
      </c>
      <c r="J12385" t="s">
        <v>76</v>
      </c>
      <c r="K12385" t="s">
        <v>77</v>
      </c>
    </row>
    <row r="12386" spans="1:12" x14ac:dyDescent="0.3">
      <c r="A12386" t="s">
        <v>497</v>
      </c>
      <c r="B12386" t="s">
        <v>83</v>
      </c>
      <c r="C12386">
        <v>542</v>
      </c>
      <c r="D12386" t="s">
        <v>81</v>
      </c>
      <c r="E12386">
        <v>4.529E-3</v>
      </c>
      <c r="F12386" t="s">
        <v>74</v>
      </c>
      <c r="G12386">
        <v>4.5292700000000004</v>
      </c>
      <c r="H12386" t="s">
        <v>75</v>
      </c>
      <c r="I12386">
        <v>4529.2690000000002</v>
      </c>
      <c r="J12386" t="s">
        <v>76</v>
      </c>
      <c r="K12386" t="s">
        <v>82</v>
      </c>
      <c r="L12386">
        <v>220.7861594</v>
      </c>
    </row>
    <row r="12387" spans="1:12" x14ac:dyDescent="0.3">
      <c r="A12387" t="s">
        <v>497</v>
      </c>
      <c r="B12387" t="s">
        <v>84</v>
      </c>
      <c r="C12387">
        <v>1</v>
      </c>
      <c r="D12387" t="s">
        <v>91</v>
      </c>
      <c r="E12387">
        <v>0.108359</v>
      </c>
      <c r="F12387" t="s">
        <v>74</v>
      </c>
      <c r="G12387">
        <v>108.35939999999999</v>
      </c>
      <c r="H12387" t="s">
        <v>75</v>
      </c>
      <c r="I12387">
        <v>108359.39599999999</v>
      </c>
      <c r="J12387" t="s">
        <v>76</v>
      </c>
      <c r="K12387" t="s">
        <v>77</v>
      </c>
    </row>
    <row r="12388" spans="1:12" x14ac:dyDescent="0.3">
      <c r="A12388" t="s">
        <v>497</v>
      </c>
      <c r="B12388" t="s">
        <v>84</v>
      </c>
      <c r="C12388">
        <v>1</v>
      </c>
      <c r="D12388" t="s">
        <v>92</v>
      </c>
      <c r="E12388">
        <v>6.0700000000000001E-4</v>
      </c>
      <c r="F12388" t="s">
        <v>74</v>
      </c>
      <c r="G12388">
        <v>0.60660000000000003</v>
      </c>
      <c r="H12388" t="s">
        <v>75</v>
      </c>
      <c r="I12388">
        <v>606.6</v>
      </c>
      <c r="J12388" t="s">
        <v>76</v>
      </c>
      <c r="K12388" t="s">
        <v>77</v>
      </c>
    </row>
    <row r="12389" spans="1:12" x14ac:dyDescent="0.3">
      <c r="A12389" t="s">
        <v>497</v>
      </c>
      <c r="B12389" t="s">
        <v>84</v>
      </c>
      <c r="C12389">
        <v>1</v>
      </c>
      <c r="D12389" t="s">
        <v>93</v>
      </c>
      <c r="E12389">
        <v>8.2622000000000001E-2</v>
      </c>
      <c r="F12389" t="s">
        <v>74</v>
      </c>
      <c r="G12389">
        <v>82.622299999999996</v>
      </c>
      <c r="H12389" t="s">
        <v>75</v>
      </c>
      <c r="I12389">
        <v>82622.297000000006</v>
      </c>
      <c r="J12389" t="s">
        <v>76</v>
      </c>
      <c r="K12389" t="s">
        <v>77</v>
      </c>
    </row>
    <row r="12390" spans="1:12" x14ac:dyDescent="0.3">
      <c r="A12390" t="s">
        <v>497</v>
      </c>
      <c r="B12390" t="s">
        <v>84</v>
      </c>
      <c r="C12390">
        <v>543</v>
      </c>
      <c r="D12390" t="s">
        <v>79</v>
      </c>
      <c r="E12390">
        <v>3.5300000000000002E-4</v>
      </c>
      <c r="F12390" t="s">
        <v>74</v>
      </c>
      <c r="G12390">
        <v>0.35299999999999998</v>
      </c>
      <c r="H12390" t="s">
        <v>75</v>
      </c>
      <c r="I12390">
        <v>353</v>
      </c>
      <c r="J12390" t="s">
        <v>76</v>
      </c>
      <c r="K12390" t="s">
        <v>77</v>
      </c>
    </row>
    <row r="12391" spans="1:12" x14ac:dyDescent="0.3">
      <c r="A12391" t="s">
        <v>497</v>
      </c>
      <c r="B12391" t="s">
        <v>84</v>
      </c>
      <c r="C12391">
        <v>543</v>
      </c>
      <c r="D12391" t="s">
        <v>94</v>
      </c>
      <c r="E12391">
        <v>4.3660000000000001E-3</v>
      </c>
      <c r="F12391" t="s">
        <v>74</v>
      </c>
      <c r="G12391">
        <v>4.3662400000000003</v>
      </c>
      <c r="H12391" t="s">
        <v>75</v>
      </c>
      <c r="I12391">
        <v>4366.2439999999997</v>
      </c>
      <c r="J12391" t="s">
        <v>76</v>
      </c>
      <c r="K12391" t="s">
        <v>77</v>
      </c>
    </row>
    <row r="12392" spans="1:12" x14ac:dyDescent="0.3">
      <c r="A12392" t="s">
        <v>497</v>
      </c>
      <c r="B12392" t="s">
        <v>84</v>
      </c>
      <c r="C12392">
        <v>543</v>
      </c>
      <c r="D12392" t="s">
        <v>80</v>
      </c>
      <c r="E12392">
        <v>4.5380000000000004E-3</v>
      </c>
      <c r="F12392" t="s">
        <v>74</v>
      </c>
      <c r="G12392">
        <v>4.5379899999999997</v>
      </c>
      <c r="H12392" t="s">
        <v>75</v>
      </c>
      <c r="I12392">
        <v>4537.991</v>
      </c>
      <c r="J12392" t="s">
        <v>76</v>
      </c>
      <c r="K12392" t="s">
        <v>77</v>
      </c>
    </row>
    <row r="12393" spans="1:12" x14ac:dyDescent="0.3">
      <c r="A12393" t="s">
        <v>497</v>
      </c>
      <c r="B12393" t="s">
        <v>84</v>
      </c>
      <c r="C12393">
        <v>543</v>
      </c>
      <c r="D12393" t="s">
        <v>81</v>
      </c>
      <c r="E12393">
        <v>4.8910000000000004E-3</v>
      </c>
      <c r="F12393" t="s">
        <v>74</v>
      </c>
      <c r="G12393">
        <v>4.8912000000000004</v>
      </c>
      <c r="H12393" t="s">
        <v>75</v>
      </c>
      <c r="I12393">
        <v>4891.201</v>
      </c>
      <c r="J12393" t="s">
        <v>76</v>
      </c>
      <c r="K12393" t="s">
        <v>82</v>
      </c>
      <c r="L12393">
        <v>204.44878019999999</v>
      </c>
    </row>
    <row r="12394" spans="1:12" x14ac:dyDescent="0.3">
      <c r="A12394" t="s">
        <v>498</v>
      </c>
      <c r="B12394" t="s">
        <v>72</v>
      </c>
      <c r="C12394">
        <v>1</v>
      </c>
      <c r="D12394" t="s">
        <v>73</v>
      </c>
      <c r="E12394">
        <v>8.3999999999999995E-5</v>
      </c>
      <c r="F12394" t="s">
        <v>74</v>
      </c>
      <c r="G12394">
        <v>8.3900000000000002E-2</v>
      </c>
      <c r="H12394" t="s">
        <v>75</v>
      </c>
      <c r="I12394">
        <v>83.9</v>
      </c>
      <c r="J12394" t="s">
        <v>76</v>
      </c>
      <c r="K12394" t="s">
        <v>77</v>
      </c>
    </row>
    <row r="12395" spans="1:12" x14ac:dyDescent="0.3">
      <c r="A12395" t="s">
        <v>498</v>
      </c>
      <c r="B12395" t="s">
        <v>72</v>
      </c>
      <c r="C12395">
        <v>1</v>
      </c>
      <c r="D12395" t="s">
        <v>78</v>
      </c>
      <c r="E12395">
        <v>0.141931</v>
      </c>
      <c r="F12395" t="s">
        <v>74</v>
      </c>
      <c r="G12395">
        <v>141.93089000000001</v>
      </c>
      <c r="H12395" t="s">
        <v>75</v>
      </c>
      <c r="I12395">
        <v>141930.89300000001</v>
      </c>
      <c r="J12395" t="s">
        <v>76</v>
      </c>
      <c r="K12395" t="s">
        <v>77</v>
      </c>
    </row>
    <row r="12396" spans="1:12" x14ac:dyDescent="0.3">
      <c r="A12396" t="s">
        <v>498</v>
      </c>
      <c r="B12396" t="s">
        <v>72</v>
      </c>
      <c r="C12396">
        <v>2</v>
      </c>
      <c r="D12396" t="s">
        <v>86</v>
      </c>
      <c r="E12396">
        <v>0.22031300000000001</v>
      </c>
      <c r="F12396" t="s">
        <v>74</v>
      </c>
      <c r="G12396">
        <v>220.31254999999999</v>
      </c>
      <c r="H12396" t="s">
        <v>75</v>
      </c>
      <c r="I12396">
        <v>220312.55100000001</v>
      </c>
      <c r="J12396" t="s">
        <v>76</v>
      </c>
      <c r="K12396" t="s">
        <v>82</v>
      </c>
      <c r="L12396">
        <v>4.5390059999999997</v>
      </c>
    </row>
    <row r="12397" spans="1:12" x14ac:dyDescent="0.3">
      <c r="A12397" t="s">
        <v>498</v>
      </c>
      <c r="B12397" t="s">
        <v>83</v>
      </c>
      <c r="C12397">
        <v>999</v>
      </c>
      <c r="D12397" t="s">
        <v>86</v>
      </c>
      <c r="E12397">
        <v>2.477E-3</v>
      </c>
      <c r="F12397" t="s">
        <v>74</v>
      </c>
      <c r="G12397">
        <v>2.4770300000000001</v>
      </c>
      <c r="H12397" t="s">
        <v>75</v>
      </c>
      <c r="I12397">
        <v>2477.027</v>
      </c>
      <c r="J12397" t="s">
        <v>76</v>
      </c>
      <c r="K12397" t="s">
        <v>82</v>
      </c>
      <c r="L12397">
        <v>403.70972510000001</v>
      </c>
    </row>
    <row r="12398" spans="1:12" x14ac:dyDescent="0.3">
      <c r="A12398" t="s">
        <v>498</v>
      </c>
      <c r="B12398" t="s">
        <v>85</v>
      </c>
      <c r="C12398">
        <v>1001</v>
      </c>
      <c r="D12398" t="s">
        <v>86</v>
      </c>
      <c r="E12398">
        <v>2.676E-3</v>
      </c>
      <c r="F12398" t="s">
        <v>74</v>
      </c>
      <c r="G12398">
        <v>2.67625</v>
      </c>
      <c r="H12398" t="s">
        <v>75</v>
      </c>
      <c r="I12398">
        <v>2676.25</v>
      </c>
      <c r="J12398" t="s">
        <v>76</v>
      </c>
      <c r="K12398" t="s">
        <v>82</v>
      </c>
      <c r="L12398">
        <v>373.65710589999998</v>
      </c>
    </row>
    <row r="12399" spans="1:12" x14ac:dyDescent="0.3">
      <c r="A12399" t="s">
        <v>115</v>
      </c>
    </row>
    <row r="12400" spans="1:12" x14ac:dyDescent="0.3">
      <c r="A12400" t="s">
        <v>127</v>
      </c>
    </row>
    <row r="12401" spans="1:12" x14ac:dyDescent="0.3">
      <c r="A12401" t="s">
        <v>87</v>
      </c>
    </row>
    <row r="12402" spans="1:12" x14ac:dyDescent="0.3">
      <c r="A12402" t="s">
        <v>499</v>
      </c>
    </row>
    <row r="12403" spans="1:12" x14ac:dyDescent="0.3">
      <c r="A12403" t="s">
        <v>496</v>
      </c>
      <c r="B12403" t="s">
        <v>72</v>
      </c>
      <c r="C12403">
        <v>1</v>
      </c>
      <c r="D12403" t="s">
        <v>81</v>
      </c>
      <c r="E12403">
        <v>0.440579</v>
      </c>
      <c r="F12403" t="s">
        <v>74</v>
      </c>
      <c r="G12403">
        <v>440.57941</v>
      </c>
      <c r="H12403" t="s">
        <v>75</v>
      </c>
      <c r="I12403">
        <v>440579.41399999999</v>
      </c>
      <c r="J12403" t="s">
        <v>76</v>
      </c>
      <c r="K12403" t="s">
        <v>82</v>
      </c>
      <c r="L12403">
        <v>2.2697384</v>
      </c>
    </row>
    <row r="12404" spans="1:12" x14ac:dyDescent="0.3">
      <c r="A12404" t="s">
        <v>496</v>
      </c>
      <c r="B12404" t="s">
        <v>83</v>
      </c>
      <c r="C12404">
        <v>457</v>
      </c>
      <c r="D12404" t="s">
        <v>81</v>
      </c>
      <c r="E12404">
        <v>4.8710000000000003E-3</v>
      </c>
      <c r="F12404" t="s">
        <v>74</v>
      </c>
      <c r="G12404">
        <v>4.8709300000000004</v>
      </c>
      <c r="H12404" t="s">
        <v>75</v>
      </c>
      <c r="I12404">
        <v>4870.9319999999998</v>
      </c>
      <c r="J12404" t="s">
        <v>76</v>
      </c>
      <c r="K12404" t="s">
        <v>82</v>
      </c>
      <c r="L12404">
        <v>205.2995086</v>
      </c>
    </row>
    <row r="12405" spans="1:12" x14ac:dyDescent="0.3">
      <c r="A12405" t="s">
        <v>496</v>
      </c>
      <c r="B12405" t="s">
        <v>84</v>
      </c>
      <c r="C12405">
        <v>458</v>
      </c>
      <c r="D12405" t="s">
        <v>81</v>
      </c>
      <c r="E12405">
        <v>5.8219999999999999E-3</v>
      </c>
      <c r="F12405" t="s">
        <v>74</v>
      </c>
      <c r="G12405">
        <v>5.82226</v>
      </c>
      <c r="H12405" t="s">
        <v>75</v>
      </c>
      <c r="I12405">
        <v>5822.2619999999997</v>
      </c>
      <c r="J12405" t="s">
        <v>76</v>
      </c>
      <c r="K12405" t="s">
        <v>82</v>
      </c>
      <c r="L12405">
        <v>171.7545403</v>
      </c>
    </row>
    <row r="12406" spans="1:12" x14ac:dyDescent="0.3">
      <c r="A12406" t="s">
        <v>497</v>
      </c>
      <c r="B12406" t="s">
        <v>72</v>
      </c>
      <c r="C12406">
        <v>1</v>
      </c>
      <c r="D12406" t="s">
        <v>81</v>
      </c>
      <c r="E12406">
        <v>0.20105899999999999</v>
      </c>
      <c r="F12406" t="s">
        <v>74</v>
      </c>
      <c r="G12406">
        <v>201.05921000000001</v>
      </c>
      <c r="H12406" t="s">
        <v>75</v>
      </c>
      <c r="I12406">
        <v>201059.20699999999</v>
      </c>
      <c r="J12406" t="s">
        <v>76</v>
      </c>
      <c r="K12406" t="s">
        <v>82</v>
      </c>
      <c r="L12406">
        <v>4.9736592999999996</v>
      </c>
    </row>
    <row r="12407" spans="1:12" x14ac:dyDescent="0.3">
      <c r="A12407" t="s">
        <v>497</v>
      </c>
      <c r="B12407" t="s">
        <v>83</v>
      </c>
      <c r="C12407">
        <v>542</v>
      </c>
      <c r="D12407" t="s">
        <v>81</v>
      </c>
      <c r="E12407">
        <v>4.529E-3</v>
      </c>
      <c r="F12407" t="s">
        <v>74</v>
      </c>
      <c r="G12407">
        <v>4.5292700000000004</v>
      </c>
      <c r="H12407" t="s">
        <v>75</v>
      </c>
      <c r="I12407">
        <v>4529.2690000000002</v>
      </c>
      <c r="J12407" t="s">
        <v>76</v>
      </c>
      <c r="K12407" t="s">
        <v>82</v>
      </c>
      <c r="L12407">
        <v>220.7861594</v>
      </c>
    </row>
    <row r="12408" spans="1:12" x14ac:dyDescent="0.3">
      <c r="A12408" t="s">
        <v>497</v>
      </c>
      <c r="B12408" t="s">
        <v>84</v>
      </c>
      <c r="C12408">
        <v>543</v>
      </c>
      <c r="D12408" t="s">
        <v>81</v>
      </c>
      <c r="E12408">
        <v>4.8910000000000004E-3</v>
      </c>
      <c r="F12408" t="s">
        <v>74</v>
      </c>
      <c r="G12408">
        <v>4.8912000000000004</v>
      </c>
      <c r="H12408" t="s">
        <v>75</v>
      </c>
      <c r="I12408">
        <v>4891.201</v>
      </c>
      <c r="J12408" t="s">
        <v>76</v>
      </c>
      <c r="K12408" t="s">
        <v>82</v>
      </c>
      <c r="L12408">
        <v>204.44878019999999</v>
      </c>
    </row>
    <row r="12409" spans="1:12" x14ac:dyDescent="0.3">
      <c r="A12409" t="s">
        <v>498</v>
      </c>
      <c r="B12409" t="s">
        <v>72</v>
      </c>
      <c r="C12409">
        <v>2</v>
      </c>
      <c r="D12409" t="s">
        <v>86</v>
      </c>
      <c r="E12409">
        <v>0.22031300000000001</v>
      </c>
      <c r="F12409" t="s">
        <v>74</v>
      </c>
      <c r="G12409">
        <v>220.31254999999999</v>
      </c>
      <c r="H12409" t="s">
        <v>75</v>
      </c>
      <c r="I12409">
        <v>220312.55100000001</v>
      </c>
      <c r="J12409" t="s">
        <v>76</v>
      </c>
      <c r="K12409" t="s">
        <v>82</v>
      </c>
      <c r="L12409">
        <v>4.5390059999999997</v>
      </c>
    </row>
    <row r="12410" spans="1:12" x14ac:dyDescent="0.3">
      <c r="A12410" t="s">
        <v>498</v>
      </c>
      <c r="B12410" t="s">
        <v>83</v>
      </c>
      <c r="C12410">
        <v>999</v>
      </c>
      <c r="D12410" t="s">
        <v>86</v>
      </c>
      <c r="E12410">
        <v>2.477E-3</v>
      </c>
      <c r="F12410" t="s">
        <v>74</v>
      </c>
      <c r="G12410">
        <v>2.4770300000000001</v>
      </c>
      <c r="H12410" t="s">
        <v>75</v>
      </c>
      <c r="I12410">
        <v>2477.027</v>
      </c>
      <c r="J12410" t="s">
        <v>76</v>
      </c>
      <c r="K12410" t="s">
        <v>82</v>
      </c>
      <c r="L12410">
        <v>403.70972510000001</v>
      </c>
    </row>
    <row r="12411" spans="1:12" x14ac:dyDescent="0.3">
      <c r="A12411" t="s">
        <v>498</v>
      </c>
      <c r="B12411" t="s">
        <v>85</v>
      </c>
      <c r="C12411">
        <v>1001</v>
      </c>
      <c r="D12411" t="s">
        <v>86</v>
      </c>
      <c r="E12411">
        <v>2.676E-3</v>
      </c>
      <c r="F12411" t="s">
        <v>74</v>
      </c>
      <c r="G12411">
        <v>2.67625</v>
      </c>
      <c r="H12411" t="s">
        <v>75</v>
      </c>
      <c r="I12411">
        <v>2676.25</v>
      </c>
      <c r="J12411" t="s">
        <v>76</v>
      </c>
      <c r="K12411" t="s">
        <v>82</v>
      </c>
      <c r="L12411">
        <v>373.65710589999998</v>
      </c>
    </row>
    <row r="12413" spans="1:12" x14ac:dyDescent="0.3">
      <c r="A12413" t="s">
        <v>66</v>
      </c>
    </row>
    <row r="12415" spans="1:12" x14ac:dyDescent="0.3">
      <c r="A12415" t="s">
        <v>565</v>
      </c>
    </row>
    <row r="12416" spans="1:12" x14ac:dyDescent="0.3">
      <c r="A12416" t="s">
        <v>68</v>
      </c>
    </row>
    <row r="12417" spans="1:1" x14ac:dyDescent="0.3">
      <c r="A12417" t="s">
        <v>69</v>
      </c>
    </row>
    <row r="12418" spans="1:1" x14ac:dyDescent="0.3">
      <c r="A12418" t="s">
        <v>68</v>
      </c>
    </row>
    <row r="12419" spans="1:1" x14ac:dyDescent="0.3">
      <c r="A12419" t="s">
        <v>69</v>
      </c>
    </row>
    <row r="12420" spans="1:1" x14ac:dyDescent="0.3">
      <c r="A12420" t="s">
        <v>70</v>
      </c>
    </row>
    <row r="12421" spans="1:1" x14ac:dyDescent="0.3">
      <c r="A12421" t="s">
        <v>115</v>
      </c>
    </row>
    <row r="12422" spans="1:1" x14ac:dyDescent="0.3">
      <c r="A12422" t="s">
        <v>116</v>
      </c>
    </row>
    <row r="12423" spans="1:1" x14ac:dyDescent="0.3">
      <c r="A12423" t="s">
        <v>117</v>
      </c>
    </row>
    <row r="12424" spans="1:1" x14ac:dyDescent="0.3">
      <c r="A12424" t="s">
        <v>118</v>
      </c>
    </row>
    <row r="12425" spans="1:1" x14ac:dyDescent="0.3">
      <c r="A12425" t="s">
        <v>119</v>
      </c>
    </row>
    <row r="12426" spans="1:1" x14ac:dyDescent="0.3">
      <c r="A12426" t="s">
        <v>120</v>
      </c>
    </row>
    <row r="12427" spans="1:1" x14ac:dyDescent="0.3">
      <c r="A12427" t="s">
        <v>121</v>
      </c>
    </row>
    <row r="12428" spans="1:1" x14ac:dyDescent="0.3">
      <c r="A12428" t="s">
        <v>122</v>
      </c>
    </row>
    <row r="12429" spans="1:1" x14ac:dyDescent="0.3">
      <c r="A12429" t="s">
        <v>123</v>
      </c>
    </row>
    <row r="12430" spans="1:1" x14ac:dyDescent="0.3">
      <c r="A12430" t="s">
        <v>124</v>
      </c>
    </row>
    <row r="12431" spans="1:1" x14ac:dyDescent="0.3">
      <c r="A12431" t="s">
        <v>125</v>
      </c>
    </row>
    <row r="12432" spans="1:1" x14ac:dyDescent="0.3">
      <c r="A12432" t="s">
        <v>126</v>
      </c>
    </row>
    <row r="12433" spans="1:1" x14ac:dyDescent="0.3">
      <c r="A12433" t="s">
        <v>127</v>
      </c>
    </row>
    <row r="12434" spans="1:1" x14ac:dyDescent="0.3">
      <c r="A12434" t="s">
        <v>132</v>
      </c>
    </row>
    <row r="12435" spans="1:1" x14ac:dyDescent="0.3">
      <c r="A12435" t="s">
        <v>115</v>
      </c>
    </row>
    <row r="12436" spans="1:1" x14ac:dyDescent="0.3">
      <c r="A12436" t="s">
        <v>266</v>
      </c>
    </row>
    <row r="12437" spans="1:1" x14ac:dyDescent="0.3">
      <c r="A12437" t="s">
        <v>267</v>
      </c>
    </row>
    <row r="12438" spans="1:1" x14ac:dyDescent="0.3">
      <c r="A12438" t="s">
        <v>118</v>
      </c>
    </row>
    <row r="12439" spans="1:1" x14ac:dyDescent="0.3">
      <c r="A12439" t="s">
        <v>119</v>
      </c>
    </row>
    <row r="12440" spans="1:1" x14ac:dyDescent="0.3">
      <c r="A12440" t="s">
        <v>268</v>
      </c>
    </row>
    <row r="12441" spans="1:1" x14ac:dyDescent="0.3">
      <c r="A12441" t="s">
        <v>269</v>
      </c>
    </row>
    <row r="12442" spans="1:1" x14ac:dyDescent="0.3">
      <c r="A12442" t="s">
        <v>122</v>
      </c>
    </row>
    <row r="12443" spans="1:1" x14ac:dyDescent="0.3">
      <c r="A12443" t="s">
        <v>270</v>
      </c>
    </row>
    <row r="12444" spans="1:1" x14ac:dyDescent="0.3">
      <c r="A12444" t="s">
        <v>271</v>
      </c>
    </row>
    <row r="12445" spans="1:1" x14ac:dyDescent="0.3">
      <c r="A12445" t="s">
        <v>125</v>
      </c>
    </row>
    <row r="12446" spans="1:1" x14ac:dyDescent="0.3">
      <c r="A12446" t="s">
        <v>126</v>
      </c>
    </row>
    <row r="12447" spans="1:1" x14ac:dyDescent="0.3">
      <c r="A12447" t="s">
        <v>127</v>
      </c>
    </row>
    <row r="12448" spans="1:1" x14ac:dyDescent="0.3">
      <c r="A12448" t="s">
        <v>132</v>
      </c>
    </row>
    <row r="12449" spans="1:12" x14ac:dyDescent="0.3">
      <c r="A12449" t="s">
        <v>501</v>
      </c>
    </row>
    <row r="12450" spans="1:12" x14ac:dyDescent="0.3">
      <c r="A12450" t="s">
        <v>496</v>
      </c>
      <c r="B12450" t="s">
        <v>72</v>
      </c>
      <c r="C12450">
        <v>1</v>
      </c>
      <c r="D12450" t="s">
        <v>79</v>
      </c>
      <c r="E12450">
        <v>0.34645900000000002</v>
      </c>
      <c r="F12450" t="s">
        <v>74</v>
      </c>
      <c r="G12450">
        <v>346.45929999999998</v>
      </c>
      <c r="H12450" t="s">
        <v>75</v>
      </c>
      <c r="I12450">
        <v>346459.299</v>
      </c>
      <c r="J12450" t="s">
        <v>76</v>
      </c>
      <c r="K12450" t="s">
        <v>77</v>
      </c>
    </row>
    <row r="12451" spans="1:12" x14ac:dyDescent="0.3">
      <c r="A12451" t="s">
        <v>496</v>
      </c>
      <c r="B12451" t="s">
        <v>72</v>
      </c>
      <c r="C12451">
        <v>1</v>
      </c>
      <c r="D12451" t="s">
        <v>94</v>
      </c>
      <c r="E12451">
        <v>2.4046999999999999E-2</v>
      </c>
      <c r="F12451" t="s">
        <v>74</v>
      </c>
      <c r="G12451">
        <v>24.0474</v>
      </c>
      <c r="H12451" t="s">
        <v>75</v>
      </c>
      <c r="I12451">
        <v>24047.401000000002</v>
      </c>
      <c r="J12451" t="s">
        <v>76</v>
      </c>
      <c r="K12451" t="s">
        <v>77</v>
      </c>
    </row>
    <row r="12452" spans="1:12" x14ac:dyDescent="0.3">
      <c r="A12452" t="s">
        <v>496</v>
      </c>
      <c r="B12452" t="s">
        <v>72</v>
      </c>
      <c r="C12452">
        <v>1</v>
      </c>
      <c r="D12452" t="s">
        <v>80</v>
      </c>
      <c r="E12452">
        <v>2.4048E-2</v>
      </c>
      <c r="F12452" t="s">
        <v>74</v>
      </c>
      <c r="G12452">
        <v>24.048100000000002</v>
      </c>
      <c r="H12452" t="s">
        <v>75</v>
      </c>
      <c r="I12452">
        <v>24048.098999999998</v>
      </c>
      <c r="J12452" t="s">
        <v>76</v>
      </c>
      <c r="K12452" t="s">
        <v>77</v>
      </c>
    </row>
    <row r="12453" spans="1:12" x14ac:dyDescent="0.3">
      <c r="A12453" t="s">
        <v>496</v>
      </c>
      <c r="B12453" t="s">
        <v>72</v>
      </c>
      <c r="C12453">
        <v>1</v>
      </c>
      <c r="D12453" t="s">
        <v>81</v>
      </c>
      <c r="E12453">
        <v>0.370508</v>
      </c>
      <c r="F12453" t="s">
        <v>74</v>
      </c>
      <c r="G12453">
        <v>370.50819000000001</v>
      </c>
      <c r="H12453" t="s">
        <v>75</v>
      </c>
      <c r="I12453">
        <v>370508.19400000002</v>
      </c>
      <c r="J12453" t="s">
        <v>76</v>
      </c>
      <c r="K12453" t="s">
        <v>82</v>
      </c>
      <c r="L12453">
        <v>2.6989955999999999</v>
      </c>
    </row>
    <row r="12454" spans="1:12" x14ac:dyDescent="0.3">
      <c r="A12454" t="s">
        <v>496</v>
      </c>
      <c r="B12454" t="s">
        <v>83</v>
      </c>
      <c r="C12454">
        <v>421</v>
      </c>
      <c r="D12454" t="s">
        <v>79</v>
      </c>
      <c r="E12454">
        <v>0</v>
      </c>
      <c r="F12454" t="s">
        <v>74</v>
      </c>
      <c r="G12454">
        <v>1.9000000000000001E-4</v>
      </c>
      <c r="H12454" t="s">
        <v>75</v>
      </c>
      <c r="I12454">
        <v>0.19500000000000001</v>
      </c>
      <c r="J12454" t="s">
        <v>76</v>
      </c>
      <c r="K12454" t="s">
        <v>77</v>
      </c>
    </row>
    <row r="12455" spans="1:12" x14ac:dyDescent="0.3">
      <c r="A12455" t="s">
        <v>496</v>
      </c>
      <c r="B12455" t="s">
        <v>83</v>
      </c>
      <c r="C12455">
        <v>421</v>
      </c>
      <c r="D12455" t="s">
        <v>94</v>
      </c>
      <c r="E12455">
        <v>5.091E-3</v>
      </c>
      <c r="F12455" t="s">
        <v>74</v>
      </c>
      <c r="G12455">
        <v>5.0911900000000001</v>
      </c>
      <c r="H12455" t="s">
        <v>75</v>
      </c>
      <c r="I12455">
        <v>5091.1880000000001</v>
      </c>
      <c r="J12455" t="s">
        <v>76</v>
      </c>
      <c r="K12455" t="s">
        <v>77</v>
      </c>
    </row>
    <row r="12456" spans="1:12" x14ac:dyDescent="0.3">
      <c r="A12456" t="s">
        <v>496</v>
      </c>
      <c r="B12456" t="s">
        <v>83</v>
      </c>
      <c r="C12456">
        <v>421</v>
      </c>
      <c r="D12456" t="s">
        <v>80</v>
      </c>
      <c r="E12456">
        <v>5.2519999999999997E-3</v>
      </c>
      <c r="F12456" t="s">
        <v>74</v>
      </c>
      <c r="G12456">
        <v>5.2516100000000003</v>
      </c>
      <c r="H12456" t="s">
        <v>75</v>
      </c>
      <c r="I12456">
        <v>5251.6049999999996</v>
      </c>
      <c r="J12456" t="s">
        <v>76</v>
      </c>
      <c r="K12456" t="s">
        <v>77</v>
      </c>
    </row>
    <row r="12457" spans="1:12" x14ac:dyDescent="0.3">
      <c r="A12457" t="s">
        <v>496</v>
      </c>
      <c r="B12457" t="s">
        <v>83</v>
      </c>
      <c r="C12457">
        <v>421</v>
      </c>
      <c r="D12457" t="s">
        <v>81</v>
      </c>
      <c r="E12457">
        <v>5.2519999999999997E-3</v>
      </c>
      <c r="F12457" t="s">
        <v>74</v>
      </c>
      <c r="G12457">
        <v>5.2519999999999998</v>
      </c>
      <c r="H12457" t="s">
        <v>75</v>
      </c>
      <c r="I12457">
        <v>5252.0050000000001</v>
      </c>
      <c r="J12457" t="s">
        <v>76</v>
      </c>
      <c r="K12457" t="s">
        <v>82</v>
      </c>
      <c r="L12457">
        <v>190.40349190000001</v>
      </c>
    </row>
    <row r="12458" spans="1:12" x14ac:dyDescent="0.3">
      <c r="A12458" t="s">
        <v>496</v>
      </c>
      <c r="B12458" t="s">
        <v>84</v>
      </c>
      <c r="C12458">
        <v>422</v>
      </c>
      <c r="D12458" t="s">
        <v>79</v>
      </c>
      <c r="E12458">
        <v>8.2100000000000001E-4</v>
      </c>
      <c r="F12458" t="s">
        <v>74</v>
      </c>
      <c r="G12458">
        <v>0.82118999999999998</v>
      </c>
      <c r="H12458" t="s">
        <v>75</v>
      </c>
      <c r="I12458">
        <v>821.19</v>
      </c>
      <c r="J12458" t="s">
        <v>76</v>
      </c>
      <c r="K12458" t="s">
        <v>77</v>
      </c>
    </row>
    <row r="12459" spans="1:12" x14ac:dyDescent="0.3">
      <c r="A12459" t="s">
        <v>496</v>
      </c>
      <c r="B12459" t="s">
        <v>84</v>
      </c>
      <c r="C12459">
        <v>422</v>
      </c>
      <c r="D12459" t="s">
        <v>94</v>
      </c>
      <c r="E12459">
        <v>5.1359999999999999E-3</v>
      </c>
      <c r="F12459" t="s">
        <v>74</v>
      </c>
      <c r="G12459">
        <v>5.1361100000000004</v>
      </c>
      <c r="H12459" t="s">
        <v>75</v>
      </c>
      <c r="I12459">
        <v>5136.107</v>
      </c>
      <c r="J12459" t="s">
        <v>76</v>
      </c>
      <c r="K12459" t="s">
        <v>77</v>
      </c>
    </row>
    <row r="12460" spans="1:12" x14ac:dyDescent="0.3">
      <c r="A12460" t="s">
        <v>496</v>
      </c>
      <c r="B12460" t="s">
        <v>84</v>
      </c>
      <c r="C12460">
        <v>422</v>
      </c>
      <c r="D12460" t="s">
        <v>80</v>
      </c>
      <c r="E12460">
        <v>5.2960000000000004E-3</v>
      </c>
      <c r="F12460" t="s">
        <v>74</v>
      </c>
      <c r="G12460">
        <v>5.2961499999999999</v>
      </c>
      <c r="H12460" t="s">
        <v>75</v>
      </c>
      <c r="I12460">
        <v>5296.1459999999997</v>
      </c>
      <c r="J12460" t="s">
        <v>76</v>
      </c>
      <c r="K12460" t="s">
        <v>77</v>
      </c>
    </row>
    <row r="12461" spans="1:12" x14ac:dyDescent="0.3">
      <c r="A12461" t="s">
        <v>496</v>
      </c>
      <c r="B12461" t="s">
        <v>84</v>
      </c>
      <c r="C12461">
        <v>422</v>
      </c>
      <c r="D12461" t="s">
        <v>81</v>
      </c>
      <c r="E12461">
        <v>6.1180000000000002E-3</v>
      </c>
      <c r="F12461" t="s">
        <v>74</v>
      </c>
      <c r="G12461">
        <v>6.11754</v>
      </c>
      <c r="H12461" t="s">
        <v>75</v>
      </c>
      <c r="I12461">
        <v>6117.5420000000004</v>
      </c>
      <c r="J12461" t="s">
        <v>76</v>
      </c>
      <c r="K12461" t="s">
        <v>82</v>
      </c>
      <c r="L12461">
        <v>163.46434009999999</v>
      </c>
    </row>
    <row r="12462" spans="1:12" x14ac:dyDescent="0.3">
      <c r="A12462" t="s">
        <v>497</v>
      </c>
      <c r="B12462" t="s">
        <v>72</v>
      </c>
      <c r="C12462">
        <v>1</v>
      </c>
      <c r="D12462" t="s">
        <v>79</v>
      </c>
      <c r="E12462">
        <v>0.11845700000000001</v>
      </c>
      <c r="F12462" t="s">
        <v>74</v>
      </c>
      <c r="G12462">
        <v>118.4567</v>
      </c>
      <c r="H12462" t="s">
        <v>75</v>
      </c>
      <c r="I12462">
        <v>118456.69899999999</v>
      </c>
      <c r="J12462" t="s">
        <v>76</v>
      </c>
      <c r="K12462" t="s">
        <v>77</v>
      </c>
    </row>
    <row r="12463" spans="1:12" x14ac:dyDescent="0.3">
      <c r="A12463" t="s">
        <v>497</v>
      </c>
      <c r="B12463" t="s">
        <v>72</v>
      </c>
      <c r="C12463">
        <v>1</v>
      </c>
      <c r="D12463" t="s">
        <v>94</v>
      </c>
      <c r="E12463">
        <v>9.6889999999999997E-3</v>
      </c>
      <c r="F12463" t="s">
        <v>74</v>
      </c>
      <c r="G12463">
        <v>9.6884999999999994</v>
      </c>
      <c r="H12463" t="s">
        <v>75</v>
      </c>
      <c r="I12463">
        <v>9688.5</v>
      </c>
      <c r="J12463" t="s">
        <v>76</v>
      </c>
      <c r="K12463" t="s">
        <v>77</v>
      </c>
    </row>
    <row r="12464" spans="1:12" x14ac:dyDescent="0.3">
      <c r="A12464" t="s">
        <v>497</v>
      </c>
      <c r="B12464" t="s">
        <v>72</v>
      </c>
      <c r="C12464">
        <v>1</v>
      </c>
      <c r="D12464" t="s">
        <v>80</v>
      </c>
      <c r="E12464">
        <v>9.6889999999999997E-3</v>
      </c>
      <c r="F12464" t="s">
        <v>74</v>
      </c>
      <c r="G12464">
        <v>9.6895000000000007</v>
      </c>
      <c r="H12464" t="s">
        <v>75</v>
      </c>
      <c r="I12464">
        <v>9689.5</v>
      </c>
      <c r="J12464" t="s">
        <v>76</v>
      </c>
      <c r="K12464" t="s">
        <v>77</v>
      </c>
    </row>
    <row r="12465" spans="1:12" x14ac:dyDescent="0.3">
      <c r="A12465" t="s">
        <v>497</v>
      </c>
      <c r="B12465" t="s">
        <v>72</v>
      </c>
      <c r="C12465">
        <v>1</v>
      </c>
      <c r="D12465" t="s">
        <v>81</v>
      </c>
      <c r="E12465">
        <v>0.12814700000000001</v>
      </c>
      <c r="F12465" t="s">
        <v>74</v>
      </c>
      <c r="G12465">
        <v>128.14669000000001</v>
      </c>
      <c r="H12465" t="s">
        <v>75</v>
      </c>
      <c r="I12465">
        <v>128146.693</v>
      </c>
      <c r="J12465" t="s">
        <v>76</v>
      </c>
      <c r="K12465" t="s">
        <v>82</v>
      </c>
      <c r="L12465">
        <v>7.8035568</v>
      </c>
    </row>
    <row r="12466" spans="1:12" x14ac:dyDescent="0.3">
      <c r="A12466" t="s">
        <v>497</v>
      </c>
      <c r="B12466" t="s">
        <v>83</v>
      </c>
      <c r="C12466">
        <v>578</v>
      </c>
      <c r="D12466" t="s">
        <v>79</v>
      </c>
      <c r="E12466">
        <v>0</v>
      </c>
      <c r="F12466" t="s">
        <v>74</v>
      </c>
      <c r="G12466">
        <v>1.9000000000000001E-4</v>
      </c>
      <c r="H12466" t="s">
        <v>75</v>
      </c>
      <c r="I12466">
        <v>0.193</v>
      </c>
      <c r="J12466" t="s">
        <v>76</v>
      </c>
      <c r="K12466" t="s">
        <v>77</v>
      </c>
    </row>
    <row r="12467" spans="1:12" x14ac:dyDescent="0.3">
      <c r="A12467" t="s">
        <v>497</v>
      </c>
      <c r="B12467" t="s">
        <v>83</v>
      </c>
      <c r="C12467">
        <v>578</v>
      </c>
      <c r="D12467" t="s">
        <v>94</v>
      </c>
      <c r="E12467">
        <v>4.0720000000000001E-3</v>
      </c>
      <c r="F12467" t="s">
        <v>74</v>
      </c>
      <c r="G12467">
        <v>4.07233</v>
      </c>
      <c r="H12467" t="s">
        <v>75</v>
      </c>
      <c r="I12467">
        <v>4072.33</v>
      </c>
      <c r="J12467" t="s">
        <v>76</v>
      </c>
      <c r="K12467" t="s">
        <v>77</v>
      </c>
    </row>
    <row r="12468" spans="1:12" x14ac:dyDescent="0.3">
      <c r="A12468" t="s">
        <v>497</v>
      </c>
      <c r="B12468" t="s">
        <v>83</v>
      </c>
      <c r="C12468">
        <v>578</v>
      </c>
      <c r="D12468" t="s">
        <v>80</v>
      </c>
      <c r="E12468">
        <v>4.2379999999999996E-3</v>
      </c>
      <c r="F12468" t="s">
        <v>74</v>
      </c>
      <c r="G12468">
        <v>4.2375299999999996</v>
      </c>
      <c r="H12468" t="s">
        <v>75</v>
      </c>
      <c r="I12468">
        <v>4237.5259999999998</v>
      </c>
      <c r="J12468" t="s">
        <v>76</v>
      </c>
      <c r="K12468" t="s">
        <v>77</v>
      </c>
    </row>
    <row r="12469" spans="1:12" x14ac:dyDescent="0.3">
      <c r="A12469" t="s">
        <v>497</v>
      </c>
      <c r="B12469" t="s">
        <v>83</v>
      </c>
      <c r="C12469">
        <v>578</v>
      </c>
      <c r="D12469" t="s">
        <v>81</v>
      </c>
      <c r="E12469">
        <v>4.2379999999999996E-3</v>
      </c>
      <c r="F12469" t="s">
        <v>74</v>
      </c>
      <c r="G12469">
        <v>4.2379100000000003</v>
      </c>
      <c r="H12469" t="s">
        <v>75</v>
      </c>
      <c r="I12469">
        <v>4237.9049999999997</v>
      </c>
      <c r="J12469" t="s">
        <v>76</v>
      </c>
      <c r="K12469" t="s">
        <v>82</v>
      </c>
      <c r="L12469">
        <v>235.96564290000001</v>
      </c>
    </row>
    <row r="12470" spans="1:12" x14ac:dyDescent="0.3">
      <c r="A12470" t="s">
        <v>497</v>
      </c>
      <c r="B12470" t="s">
        <v>84</v>
      </c>
      <c r="C12470">
        <v>579</v>
      </c>
      <c r="D12470" t="s">
        <v>79</v>
      </c>
      <c r="E12470">
        <v>2.05E-4</v>
      </c>
      <c r="F12470" t="s">
        <v>74</v>
      </c>
      <c r="G12470">
        <v>0.20477999999999999</v>
      </c>
      <c r="H12470" t="s">
        <v>75</v>
      </c>
      <c r="I12470">
        <v>204.78100000000001</v>
      </c>
      <c r="J12470" t="s">
        <v>76</v>
      </c>
      <c r="K12470" t="s">
        <v>77</v>
      </c>
    </row>
    <row r="12471" spans="1:12" x14ac:dyDescent="0.3">
      <c r="A12471" t="s">
        <v>497</v>
      </c>
      <c r="B12471" t="s">
        <v>84</v>
      </c>
      <c r="C12471">
        <v>579</v>
      </c>
      <c r="D12471" t="s">
        <v>94</v>
      </c>
      <c r="E12471">
        <v>4.0819999999999997E-3</v>
      </c>
      <c r="F12471" t="s">
        <v>74</v>
      </c>
      <c r="G12471">
        <v>4.0820299999999996</v>
      </c>
      <c r="H12471" t="s">
        <v>75</v>
      </c>
      <c r="I12471">
        <v>4082.03</v>
      </c>
      <c r="J12471" t="s">
        <v>76</v>
      </c>
      <c r="K12471" t="s">
        <v>77</v>
      </c>
    </row>
    <row r="12472" spans="1:12" x14ac:dyDescent="0.3">
      <c r="A12472" t="s">
        <v>497</v>
      </c>
      <c r="B12472" t="s">
        <v>84</v>
      </c>
      <c r="C12472">
        <v>579</v>
      </c>
      <c r="D12472" t="s">
        <v>80</v>
      </c>
      <c r="E12472">
        <v>4.2469999999999999E-3</v>
      </c>
      <c r="F12472" t="s">
        <v>74</v>
      </c>
      <c r="G12472">
        <v>4.2469400000000004</v>
      </c>
      <c r="H12472" t="s">
        <v>75</v>
      </c>
      <c r="I12472">
        <v>4246.942</v>
      </c>
      <c r="J12472" t="s">
        <v>76</v>
      </c>
      <c r="K12472" t="s">
        <v>77</v>
      </c>
    </row>
    <row r="12473" spans="1:12" x14ac:dyDescent="0.3">
      <c r="A12473" t="s">
        <v>497</v>
      </c>
      <c r="B12473" t="s">
        <v>84</v>
      </c>
      <c r="C12473">
        <v>579</v>
      </c>
      <c r="D12473" t="s">
        <v>81</v>
      </c>
      <c r="E12473">
        <v>4.4520000000000002E-3</v>
      </c>
      <c r="F12473" t="s">
        <v>74</v>
      </c>
      <c r="G12473">
        <v>4.4519099999999998</v>
      </c>
      <c r="H12473" t="s">
        <v>75</v>
      </c>
      <c r="I12473">
        <v>4451.91</v>
      </c>
      <c r="J12473" t="s">
        <v>76</v>
      </c>
      <c r="K12473" t="s">
        <v>82</v>
      </c>
      <c r="L12473">
        <v>224.62267779999999</v>
      </c>
    </row>
    <row r="12474" spans="1:12" x14ac:dyDescent="0.3">
      <c r="A12474" t="s">
        <v>498</v>
      </c>
      <c r="B12474" t="s">
        <v>72</v>
      </c>
      <c r="C12474">
        <v>1</v>
      </c>
      <c r="D12474" t="s">
        <v>73</v>
      </c>
      <c r="E12474">
        <v>8.0000000000000007E-5</v>
      </c>
      <c r="F12474" t="s">
        <v>74</v>
      </c>
      <c r="G12474">
        <v>7.9500000000000001E-2</v>
      </c>
      <c r="H12474" t="s">
        <v>75</v>
      </c>
      <c r="I12474">
        <v>79.5</v>
      </c>
      <c r="J12474" t="s">
        <v>76</v>
      </c>
      <c r="K12474" t="s">
        <v>77</v>
      </c>
    </row>
    <row r="12475" spans="1:12" x14ac:dyDescent="0.3">
      <c r="A12475" t="s">
        <v>498</v>
      </c>
      <c r="B12475" t="s">
        <v>72</v>
      </c>
      <c r="C12475">
        <v>1</v>
      </c>
      <c r="D12475" t="s">
        <v>78</v>
      </c>
      <c r="E12475">
        <v>0.16131999999999999</v>
      </c>
      <c r="F12475" t="s">
        <v>74</v>
      </c>
      <c r="G12475">
        <v>161.32011</v>
      </c>
      <c r="H12475" t="s">
        <v>75</v>
      </c>
      <c r="I12475">
        <v>161320.10500000001</v>
      </c>
      <c r="J12475" t="s">
        <v>76</v>
      </c>
      <c r="K12475" t="s">
        <v>77</v>
      </c>
    </row>
    <row r="12476" spans="1:12" x14ac:dyDescent="0.3">
      <c r="A12476" t="s">
        <v>498</v>
      </c>
      <c r="B12476" t="s">
        <v>72</v>
      </c>
      <c r="C12476">
        <v>2</v>
      </c>
      <c r="D12476" t="s">
        <v>86</v>
      </c>
      <c r="E12476">
        <v>0.185276</v>
      </c>
      <c r="F12476" t="s">
        <v>74</v>
      </c>
      <c r="G12476">
        <v>185.27645000000001</v>
      </c>
      <c r="H12476" t="s">
        <v>75</v>
      </c>
      <c r="I12476">
        <v>185276.44899999999</v>
      </c>
      <c r="J12476" t="s">
        <v>76</v>
      </c>
      <c r="K12476" t="s">
        <v>82</v>
      </c>
      <c r="L12476">
        <v>5.3973401000000001</v>
      </c>
    </row>
    <row r="12477" spans="1:12" x14ac:dyDescent="0.3">
      <c r="A12477" t="s">
        <v>498</v>
      </c>
      <c r="B12477" t="s">
        <v>83</v>
      </c>
      <c r="C12477">
        <v>999</v>
      </c>
      <c r="D12477" t="s">
        <v>86</v>
      </c>
      <c r="E12477">
        <v>2.4680000000000001E-3</v>
      </c>
      <c r="F12477" t="s">
        <v>74</v>
      </c>
      <c r="G12477">
        <v>2.4677099999999998</v>
      </c>
      <c r="H12477" t="s">
        <v>75</v>
      </c>
      <c r="I12477">
        <v>2467.7069999999999</v>
      </c>
      <c r="J12477" t="s">
        <v>76</v>
      </c>
      <c r="K12477" t="s">
        <v>82</v>
      </c>
      <c r="L12477">
        <v>405.23457450000001</v>
      </c>
    </row>
    <row r="12478" spans="1:12" x14ac:dyDescent="0.3">
      <c r="A12478" t="s">
        <v>498</v>
      </c>
      <c r="B12478" t="s">
        <v>85</v>
      </c>
      <c r="C12478">
        <v>1001</v>
      </c>
      <c r="D12478" t="s">
        <v>86</v>
      </c>
      <c r="E12478">
        <v>2.594E-3</v>
      </c>
      <c r="F12478" t="s">
        <v>74</v>
      </c>
      <c r="G12478">
        <v>2.5940300000000001</v>
      </c>
      <c r="H12478" t="s">
        <v>75</v>
      </c>
      <c r="I12478">
        <v>2594.027</v>
      </c>
      <c r="J12478" t="s">
        <v>76</v>
      </c>
      <c r="K12478" t="s">
        <v>82</v>
      </c>
      <c r="L12478">
        <v>385.50106840000001</v>
      </c>
    </row>
    <row r="12479" spans="1:12" x14ac:dyDescent="0.3">
      <c r="A12479" t="s">
        <v>134</v>
      </c>
    </row>
    <row r="12480" spans="1:12" x14ac:dyDescent="0.3">
      <c r="A12480" t="s">
        <v>134</v>
      </c>
    </row>
    <row r="12481" spans="1:12" x14ac:dyDescent="0.3">
      <c r="A12481" t="s">
        <v>502</v>
      </c>
    </row>
    <row r="12482" spans="1:12" x14ac:dyDescent="0.3">
      <c r="A12482" t="s">
        <v>496</v>
      </c>
      <c r="B12482" t="s">
        <v>72</v>
      </c>
      <c r="C12482">
        <v>1</v>
      </c>
      <c r="D12482" t="s">
        <v>79</v>
      </c>
      <c r="E12482">
        <v>5.9719999999999999E-3</v>
      </c>
      <c r="F12482" t="s">
        <v>74</v>
      </c>
      <c r="G12482">
        <v>5.9715999999999996</v>
      </c>
      <c r="H12482" t="s">
        <v>75</v>
      </c>
      <c r="I12482">
        <v>5971.6</v>
      </c>
      <c r="J12482" t="s">
        <v>76</v>
      </c>
      <c r="K12482" t="s">
        <v>77</v>
      </c>
    </row>
    <row r="12483" spans="1:12" x14ac:dyDescent="0.3">
      <c r="A12483" t="s">
        <v>496</v>
      </c>
      <c r="B12483" t="s">
        <v>72</v>
      </c>
      <c r="C12483">
        <v>1</v>
      </c>
      <c r="D12483" t="s">
        <v>94</v>
      </c>
      <c r="E12483">
        <v>2.7420000000000001E-3</v>
      </c>
      <c r="F12483" t="s">
        <v>74</v>
      </c>
      <c r="G12483">
        <v>2.7422</v>
      </c>
      <c r="H12483" t="s">
        <v>75</v>
      </c>
      <c r="I12483">
        <v>2742.2</v>
      </c>
      <c r="J12483" t="s">
        <v>76</v>
      </c>
      <c r="K12483" t="s">
        <v>77</v>
      </c>
    </row>
    <row r="12484" spans="1:12" x14ac:dyDescent="0.3">
      <c r="A12484" t="s">
        <v>496</v>
      </c>
      <c r="B12484" t="s">
        <v>72</v>
      </c>
      <c r="C12484">
        <v>1</v>
      </c>
      <c r="D12484" t="s">
        <v>80</v>
      </c>
      <c r="E12484">
        <v>2.967E-3</v>
      </c>
      <c r="F12484" t="s">
        <v>74</v>
      </c>
      <c r="G12484">
        <v>2.9668000000000001</v>
      </c>
      <c r="H12484" t="s">
        <v>75</v>
      </c>
      <c r="I12484">
        <v>2966.8</v>
      </c>
      <c r="J12484" t="s">
        <v>76</v>
      </c>
      <c r="K12484" t="s">
        <v>77</v>
      </c>
    </row>
    <row r="12485" spans="1:12" x14ac:dyDescent="0.3">
      <c r="A12485" t="s">
        <v>496</v>
      </c>
      <c r="B12485" t="s">
        <v>72</v>
      </c>
      <c r="C12485">
        <v>1</v>
      </c>
      <c r="D12485" t="s">
        <v>81</v>
      </c>
      <c r="E12485">
        <v>8.9390000000000008E-3</v>
      </c>
      <c r="F12485" t="s">
        <v>74</v>
      </c>
      <c r="G12485">
        <v>8.9389000000000003</v>
      </c>
      <c r="H12485" t="s">
        <v>75</v>
      </c>
      <c r="I12485">
        <v>8938.9</v>
      </c>
      <c r="J12485" t="s">
        <v>76</v>
      </c>
      <c r="K12485" t="s">
        <v>82</v>
      </c>
      <c r="L12485">
        <v>111.87058570000001</v>
      </c>
    </row>
    <row r="12486" spans="1:12" x14ac:dyDescent="0.3">
      <c r="A12486" t="s">
        <v>496</v>
      </c>
      <c r="B12486" t="s">
        <v>83</v>
      </c>
      <c r="C12486">
        <v>693</v>
      </c>
      <c r="D12486" t="s">
        <v>79</v>
      </c>
      <c r="E12486">
        <v>0</v>
      </c>
      <c r="F12486" t="s">
        <v>74</v>
      </c>
      <c r="G12486">
        <v>1.9000000000000001E-4</v>
      </c>
      <c r="H12486" t="s">
        <v>75</v>
      </c>
      <c r="I12486">
        <v>0.189</v>
      </c>
      <c r="J12486" t="s">
        <v>76</v>
      </c>
      <c r="K12486" t="s">
        <v>77</v>
      </c>
    </row>
    <row r="12487" spans="1:12" x14ac:dyDescent="0.3">
      <c r="A12487" t="s">
        <v>496</v>
      </c>
      <c r="B12487" t="s">
        <v>83</v>
      </c>
      <c r="C12487">
        <v>693</v>
      </c>
      <c r="D12487" t="s">
        <v>94</v>
      </c>
      <c r="E12487">
        <v>3.31E-3</v>
      </c>
      <c r="F12487" t="s">
        <v>74</v>
      </c>
      <c r="G12487">
        <v>3.3104</v>
      </c>
      <c r="H12487" t="s">
        <v>75</v>
      </c>
      <c r="I12487">
        <v>3310.4050000000002</v>
      </c>
      <c r="J12487" t="s">
        <v>76</v>
      </c>
      <c r="K12487" t="s">
        <v>77</v>
      </c>
    </row>
    <row r="12488" spans="1:12" x14ac:dyDescent="0.3">
      <c r="A12488" t="s">
        <v>496</v>
      </c>
      <c r="B12488" t="s">
        <v>83</v>
      </c>
      <c r="C12488">
        <v>693</v>
      </c>
      <c r="D12488" t="s">
        <v>80</v>
      </c>
      <c r="E12488">
        <v>3.467E-3</v>
      </c>
      <c r="F12488" t="s">
        <v>74</v>
      </c>
      <c r="G12488">
        <v>3.46652</v>
      </c>
      <c r="H12488" t="s">
        <v>75</v>
      </c>
      <c r="I12488">
        <v>3466.5230000000001</v>
      </c>
      <c r="J12488" t="s">
        <v>76</v>
      </c>
      <c r="K12488" t="s">
        <v>77</v>
      </c>
    </row>
    <row r="12489" spans="1:12" x14ac:dyDescent="0.3">
      <c r="A12489" t="s">
        <v>496</v>
      </c>
      <c r="B12489" t="s">
        <v>83</v>
      </c>
      <c r="C12489">
        <v>693</v>
      </c>
      <c r="D12489" t="s">
        <v>81</v>
      </c>
      <c r="E12489">
        <v>3.467E-3</v>
      </c>
      <c r="F12489" t="s">
        <v>74</v>
      </c>
      <c r="G12489">
        <v>3.4669099999999999</v>
      </c>
      <c r="H12489" t="s">
        <v>75</v>
      </c>
      <c r="I12489">
        <v>3466.91</v>
      </c>
      <c r="J12489" t="s">
        <v>76</v>
      </c>
      <c r="K12489" t="s">
        <v>82</v>
      </c>
      <c r="L12489">
        <v>288.44132689999998</v>
      </c>
    </row>
    <row r="12490" spans="1:12" x14ac:dyDescent="0.3">
      <c r="A12490" t="s">
        <v>496</v>
      </c>
      <c r="B12490" t="s">
        <v>84</v>
      </c>
      <c r="C12490">
        <v>694</v>
      </c>
      <c r="D12490" t="s">
        <v>79</v>
      </c>
      <c r="E12490">
        <v>9.0000000000000002E-6</v>
      </c>
      <c r="F12490" t="s">
        <v>74</v>
      </c>
      <c r="G12490">
        <v>8.7899999999999992E-3</v>
      </c>
      <c r="H12490" t="s">
        <v>75</v>
      </c>
      <c r="I12490">
        <v>8.7929999999999993</v>
      </c>
      <c r="J12490" t="s">
        <v>76</v>
      </c>
      <c r="K12490" t="s">
        <v>77</v>
      </c>
    </row>
    <row r="12491" spans="1:12" x14ac:dyDescent="0.3">
      <c r="A12491" t="s">
        <v>496</v>
      </c>
      <c r="B12491" t="s">
        <v>84</v>
      </c>
      <c r="C12491">
        <v>694</v>
      </c>
      <c r="D12491" t="s">
        <v>94</v>
      </c>
      <c r="E12491">
        <v>3.31E-3</v>
      </c>
      <c r="F12491" t="s">
        <v>74</v>
      </c>
      <c r="G12491">
        <v>3.30959</v>
      </c>
      <c r="H12491" t="s">
        <v>75</v>
      </c>
      <c r="I12491">
        <v>3309.5859999999998</v>
      </c>
      <c r="J12491" t="s">
        <v>76</v>
      </c>
      <c r="K12491" t="s">
        <v>77</v>
      </c>
    </row>
    <row r="12492" spans="1:12" x14ac:dyDescent="0.3">
      <c r="A12492" t="s">
        <v>496</v>
      </c>
      <c r="B12492" t="s">
        <v>84</v>
      </c>
      <c r="C12492">
        <v>694</v>
      </c>
      <c r="D12492" t="s">
        <v>80</v>
      </c>
      <c r="E12492">
        <v>3.4659999999999999E-3</v>
      </c>
      <c r="F12492" t="s">
        <v>74</v>
      </c>
      <c r="G12492">
        <v>3.4658000000000002</v>
      </c>
      <c r="H12492" t="s">
        <v>75</v>
      </c>
      <c r="I12492">
        <v>3465.8029999999999</v>
      </c>
      <c r="J12492" t="s">
        <v>76</v>
      </c>
      <c r="K12492" t="s">
        <v>77</v>
      </c>
    </row>
    <row r="12493" spans="1:12" x14ac:dyDescent="0.3">
      <c r="A12493" t="s">
        <v>496</v>
      </c>
      <c r="B12493" t="s">
        <v>84</v>
      </c>
      <c r="C12493">
        <v>694</v>
      </c>
      <c r="D12493" t="s">
        <v>81</v>
      </c>
      <c r="E12493">
        <v>3.4749999999999998E-3</v>
      </c>
      <c r="F12493" t="s">
        <v>74</v>
      </c>
      <c r="G12493">
        <v>3.47479</v>
      </c>
      <c r="H12493" t="s">
        <v>75</v>
      </c>
      <c r="I12493">
        <v>3474.7939999999999</v>
      </c>
      <c r="J12493" t="s">
        <v>76</v>
      </c>
      <c r="K12493" t="s">
        <v>82</v>
      </c>
      <c r="L12493">
        <v>287.7868047</v>
      </c>
    </row>
    <row r="12494" spans="1:12" x14ac:dyDescent="0.3">
      <c r="A12494" t="s">
        <v>497</v>
      </c>
      <c r="B12494" t="s">
        <v>72</v>
      </c>
      <c r="C12494">
        <v>1</v>
      </c>
      <c r="D12494" t="s">
        <v>79</v>
      </c>
      <c r="E12494">
        <v>3.0040000000000002E-3</v>
      </c>
      <c r="F12494" t="s">
        <v>74</v>
      </c>
      <c r="G12494">
        <v>3.0036999999999998</v>
      </c>
      <c r="H12494" t="s">
        <v>75</v>
      </c>
      <c r="I12494">
        <v>3003.7</v>
      </c>
      <c r="J12494" t="s">
        <v>76</v>
      </c>
      <c r="K12494" t="s">
        <v>77</v>
      </c>
    </row>
    <row r="12495" spans="1:12" x14ac:dyDescent="0.3">
      <c r="A12495" t="s">
        <v>497</v>
      </c>
      <c r="B12495" t="s">
        <v>72</v>
      </c>
      <c r="C12495">
        <v>1</v>
      </c>
      <c r="D12495" t="s">
        <v>94</v>
      </c>
      <c r="E12495">
        <v>2.7439999999999999E-3</v>
      </c>
      <c r="F12495" t="s">
        <v>74</v>
      </c>
      <c r="G12495">
        <v>2.7439</v>
      </c>
      <c r="H12495" t="s">
        <v>75</v>
      </c>
      <c r="I12495">
        <v>2743.9</v>
      </c>
      <c r="J12495" t="s">
        <v>76</v>
      </c>
      <c r="K12495" t="s">
        <v>77</v>
      </c>
    </row>
    <row r="12496" spans="1:12" x14ac:dyDescent="0.3">
      <c r="A12496" t="s">
        <v>497</v>
      </c>
      <c r="B12496" t="s">
        <v>72</v>
      </c>
      <c r="C12496">
        <v>1</v>
      </c>
      <c r="D12496" t="s">
        <v>80</v>
      </c>
      <c r="E12496">
        <v>2.9710000000000001E-3</v>
      </c>
      <c r="F12496" t="s">
        <v>74</v>
      </c>
      <c r="G12496">
        <v>2.9706000000000001</v>
      </c>
      <c r="H12496" t="s">
        <v>75</v>
      </c>
      <c r="I12496">
        <v>2970.6</v>
      </c>
      <c r="J12496" t="s">
        <v>76</v>
      </c>
      <c r="K12496" t="s">
        <v>77</v>
      </c>
    </row>
    <row r="12497" spans="1:12" x14ac:dyDescent="0.3">
      <c r="A12497" t="s">
        <v>497</v>
      </c>
      <c r="B12497" t="s">
        <v>72</v>
      </c>
      <c r="C12497">
        <v>1</v>
      </c>
      <c r="D12497" t="s">
        <v>81</v>
      </c>
      <c r="E12497">
        <v>5.9750000000000003E-3</v>
      </c>
      <c r="F12497" t="s">
        <v>74</v>
      </c>
      <c r="G12497">
        <v>5.9747000000000003</v>
      </c>
      <c r="H12497" t="s">
        <v>75</v>
      </c>
      <c r="I12497">
        <v>5974.7</v>
      </c>
      <c r="J12497" t="s">
        <v>76</v>
      </c>
      <c r="K12497" t="s">
        <v>82</v>
      </c>
      <c r="L12497">
        <v>167.37241449999999</v>
      </c>
    </row>
    <row r="12498" spans="1:12" x14ac:dyDescent="0.3">
      <c r="A12498" t="s">
        <v>497</v>
      </c>
      <c r="B12498" t="s">
        <v>83</v>
      </c>
      <c r="C12498">
        <v>306</v>
      </c>
      <c r="D12498" t="s">
        <v>79</v>
      </c>
      <c r="E12498">
        <v>0</v>
      </c>
      <c r="F12498" t="s">
        <v>74</v>
      </c>
      <c r="G12498">
        <v>1.9000000000000001E-4</v>
      </c>
      <c r="H12498" t="s">
        <v>75</v>
      </c>
      <c r="I12498">
        <v>0.192</v>
      </c>
      <c r="J12498" t="s">
        <v>76</v>
      </c>
      <c r="K12498" t="s">
        <v>77</v>
      </c>
    </row>
    <row r="12499" spans="1:12" x14ac:dyDescent="0.3">
      <c r="A12499" t="s">
        <v>497</v>
      </c>
      <c r="B12499" t="s">
        <v>83</v>
      </c>
      <c r="C12499">
        <v>306</v>
      </c>
      <c r="D12499" t="s">
        <v>94</v>
      </c>
      <c r="E12499">
        <v>7.7539999999999996E-3</v>
      </c>
      <c r="F12499" t="s">
        <v>74</v>
      </c>
      <c r="G12499">
        <v>7.75359</v>
      </c>
      <c r="H12499" t="s">
        <v>75</v>
      </c>
      <c r="I12499">
        <v>7753.59</v>
      </c>
      <c r="J12499" t="s">
        <v>76</v>
      </c>
      <c r="K12499" t="s">
        <v>77</v>
      </c>
    </row>
    <row r="12500" spans="1:12" x14ac:dyDescent="0.3">
      <c r="A12500" t="s">
        <v>497</v>
      </c>
      <c r="B12500" t="s">
        <v>83</v>
      </c>
      <c r="C12500">
        <v>306</v>
      </c>
      <c r="D12500" t="s">
        <v>80</v>
      </c>
      <c r="E12500">
        <v>7.9129999999999999E-3</v>
      </c>
      <c r="F12500" t="s">
        <v>74</v>
      </c>
      <c r="G12500">
        <v>7.9130200000000004</v>
      </c>
      <c r="H12500" t="s">
        <v>75</v>
      </c>
      <c r="I12500">
        <v>7913.0159999999996</v>
      </c>
      <c r="J12500" t="s">
        <v>76</v>
      </c>
      <c r="K12500" t="s">
        <v>77</v>
      </c>
    </row>
    <row r="12501" spans="1:12" x14ac:dyDescent="0.3">
      <c r="A12501" t="s">
        <v>497</v>
      </c>
      <c r="B12501" t="s">
        <v>83</v>
      </c>
      <c r="C12501">
        <v>306</v>
      </c>
      <c r="D12501" t="s">
        <v>81</v>
      </c>
      <c r="E12501">
        <v>7.9129999999999999E-3</v>
      </c>
      <c r="F12501" t="s">
        <v>74</v>
      </c>
      <c r="G12501">
        <v>7.9133899999999997</v>
      </c>
      <c r="H12501" t="s">
        <v>75</v>
      </c>
      <c r="I12501">
        <v>7913.3909999999996</v>
      </c>
      <c r="J12501" t="s">
        <v>76</v>
      </c>
      <c r="K12501" t="s">
        <v>82</v>
      </c>
      <c r="L12501">
        <v>126.3680799</v>
      </c>
    </row>
    <row r="12502" spans="1:12" x14ac:dyDescent="0.3">
      <c r="A12502" t="s">
        <v>497</v>
      </c>
      <c r="B12502" t="s">
        <v>84</v>
      </c>
      <c r="C12502">
        <v>307</v>
      </c>
      <c r="D12502" t="s">
        <v>79</v>
      </c>
      <c r="E12502">
        <v>1.0000000000000001E-5</v>
      </c>
      <c r="F12502" t="s">
        <v>74</v>
      </c>
      <c r="G12502">
        <v>9.9699999999999997E-3</v>
      </c>
      <c r="H12502" t="s">
        <v>75</v>
      </c>
      <c r="I12502">
        <v>9.9749999999999996</v>
      </c>
      <c r="J12502" t="s">
        <v>76</v>
      </c>
      <c r="K12502" t="s">
        <v>77</v>
      </c>
    </row>
    <row r="12503" spans="1:12" x14ac:dyDescent="0.3">
      <c r="A12503" t="s">
        <v>497</v>
      </c>
      <c r="B12503" t="s">
        <v>84</v>
      </c>
      <c r="C12503">
        <v>307</v>
      </c>
      <c r="D12503" t="s">
        <v>94</v>
      </c>
      <c r="E12503">
        <v>7.737E-3</v>
      </c>
      <c r="F12503" t="s">
        <v>74</v>
      </c>
      <c r="G12503">
        <v>7.7372699999999996</v>
      </c>
      <c r="H12503" t="s">
        <v>75</v>
      </c>
      <c r="I12503">
        <v>7737.2709999999997</v>
      </c>
      <c r="J12503" t="s">
        <v>76</v>
      </c>
      <c r="K12503" t="s">
        <v>77</v>
      </c>
    </row>
    <row r="12504" spans="1:12" x14ac:dyDescent="0.3">
      <c r="A12504" t="s">
        <v>497</v>
      </c>
      <c r="B12504" t="s">
        <v>84</v>
      </c>
      <c r="C12504">
        <v>307</v>
      </c>
      <c r="D12504" t="s">
        <v>80</v>
      </c>
      <c r="E12504">
        <v>7.8969999999999995E-3</v>
      </c>
      <c r="F12504" t="s">
        <v>74</v>
      </c>
      <c r="G12504">
        <v>7.8969199999999997</v>
      </c>
      <c r="H12504" t="s">
        <v>75</v>
      </c>
      <c r="I12504">
        <v>7896.9170000000004</v>
      </c>
      <c r="J12504" t="s">
        <v>76</v>
      </c>
      <c r="K12504" t="s">
        <v>77</v>
      </c>
    </row>
    <row r="12505" spans="1:12" x14ac:dyDescent="0.3">
      <c r="A12505" t="s">
        <v>497</v>
      </c>
      <c r="B12505" t="s">
        <v>84</v>
      </c>
      <c r="C12505">
        <v>307</v>
      </c>
      <c r="D12505" t="s">
        <v>81</v>
      </c>
      <c r="E12505">
        <v>7.9070000000000008E-3</v>
      </c>
      <c r="F12505" t="s">
        <v>74</v>
      </c>
      <c r="G12505">
        <v>7.9070799999999997</v>
      </c>
      <c r="H12505" t="s">
        <v>75</v>
      </c>
      <c r="I12505">
        <v>7907.0749999999998</v>
      </c>
      <c r="J12505" t="s">
        <v>76</v>
      </c>
      <c r="K12505" t="s">
        <v>82</v>
      </c>
      <c r="L12505">
        <v>126.46901200000001</v>
      </c>
    </row>
    <row r="12506" spans="1:12" x14ac:dyDescent="0.3">
      <c r="A12506" t="s">
        <v>498</v>
      </c>
      <c r="B12506" t="s">
        <v>72</v>
      </c>
      <c r="C12506">
        <v>1</v>
      </c>
      <c r="D12506" t="s">
        <v>73</v>
      </c>
      <c r="E12506">
        <v>8.0000000000000007E-5</v>
      </c>
      <c r="F12506" t="s">
        <v>74</v>
      </c>
      <c r="G12506">
        <v>7.9500000000000001E-2</v>
      </c>
      <c r="H12506" t="s">
        <v>75</v>
      </c>
      <c r="I12506">
        <v>79.5</v>
      </c>
      <c r="J12506" t="s">
        <v>76</v>
      </c>
      <c r="K12506" t="s">
        <v>77</v>
      </c>
    </row>
    <row r="12507" spans="1:12" x14ac:dyDescent="0.3">
      <c r="A12507" t="s">
        <v>498</v>
      </c>
      <c r="B12507" t="s">
        <v>72</v>
      </c>
      <c r="C12507">
        <v>1</v>
      </c>
      <c r="D12507" t="s">
        <v>78</v>
      </c>
      <c r="E12507">
        <v>1.25E-4</v>
      </c>
      <c r="F12507" t="s">
        <v>74</v>
      </c>
      <c r="G12507">
        <v>0.125</v>
      </c>
      <c r="H12507" t="s">
        <v>75</v>
      </c>
      <c r="I12507">
        <v>125</v>
      </c>
      <c r="J12507" t="s">
        <v>76</v>
      </c>
      <c r="K12507" t="s">
        <v>77</v>
      </c>
    </row>
    <row r="12508" spans="1:12" x14ac:dyDescent="0.3">
      <c r="A12508" t="s">
        <v>498</v>
      </c>
      <c r="B12508" t="s">
        <v>72</v>
      </c>
      <c r="C12508">
        <v>2</v>
      </c>
      <c r="D12508" t="s">
        <v>86</v>
      </c>
      <c r="E12508">
        <v>4.4730000000000004E-3</v>
      </c>
      <c r="F12508" t="s">
        <v>74</v>
      </c>
      <c r="G12508">
        <v>4.47255</v>
      </c>
      <c r="H12508" t="s">
        <v>75</v>
      </c>
      <c r="I12508">
        <v>4472.55</v>
      </c>
      <c r="J12508" t="s">
        <v>76</v>
      </c>
      <c r="K12508" t="s">
        <v>82</v>
      </c>
      <c r="L12508">
        <v>223.58609720000001</v>
      </c>
    </row>
    <row r="12509" spans="1:12" x14ac:dyDescent="0.3">
      <c r="A12509" t="s">
        <v>498</v>
      </c>
      <c r="B12509" t="s">
        <v>83</v>
      </c>
      <c r="C12509">
        <v>999</v>
      </c>
      <c r="D12509" t="s">
        <v>86</v>
      </c>
      <c r="E12509">
        <v>2.4269999999999999E-3</v>
      </c>
      <c r="F12509" t="s">
        <v>74</v>
      </c>
      <c r="G12509">
        <v>2.427</v>
      </c>
      <c r="H12509" t="s">
        <v>75</v>
      </c>
      <c r="I12509">
        <v>2426.9960000000001</v>
      </c>
      <c r="J12509" t="s">
        <v>76</v>
      </c>
      <c r="K12509" t="s">
        <v>82</v>
      </c>
      <c r="L12509">
        <v>412.03205309999998</v>
      </c>
    </row>
    <row r="12510" spans="1:12" x14ac:dyDescent="0.3">
      <c r="A12510" t="s">
        <v>498</v>
      </c>
      <c r="B12510" t="s">
        <v>85</v>
      </c>
      <c r="C12510">
        <v>1001</v>
      </c>
      <c r="D12510" t="s">
        <v>86</v>
      </c>
      <c r="E12510">
        <v>2.434E-3</v>
      </c>
      <c r="F12510" t="s">
        <v>74</v>
      </c>
      <c r="G12510">
        <v>2.43398</v>
      </c>
      <c r="H12510" t="s">
        <v>75</v>
      </c>
      <c r="I12510">
        <v>2433.9830000000002</v>
      </c>
      <c r="J12510" t="s">
        <v>76</v>
      </c>
      <c r="K12510" t="s">
        <v>82</v>
      </c>
      <c r="L12510">
        <v>410.84919280000003</v>
      </c>
    </row>
    <row r="12511" spans="1:12" x14ac:dyDescent="0.3">
      <c r="A12511" t="s">
        <v>115</v>
      </c>
    </row>
    <row r="12512" spans="1:12" x14ac:dyDescent="0.3">
      <c r="A12512" t="s">
        <v>127</v>
      </c>
    </row>
    <row r="12513" spans="1:12" x14ac:dyDescent="0.3">
      <c r="A12513" t="s">
        <v>87</v>
      </c>
    </row>
    <row r="12514" spans="1:12" x14ac:dyDescent="0.3">
      <c r="A12514" t="s">
        <v>503</v>
      </c>
    </row>
    <row r="12515" spans="1:12" x14ac:dyDescent="0.3">
      <c r="A12515" t="s">
        <v>496</v>
      </c>
      <c r="B12515" t="s">
        <v>72</v>
      </c>
      <c r="C12515">
        <v>1</v>
      </c>
      <c r="D12515" t="s">
        <v>81</v>
      </c>
      <c r="E12515">
        <v>0.370508</v>
      </c>
      <c r="F12515" t="s">
        <v>74</v>
      </c>
      <c r="G12515">
        <v>370.50819000000001</v>
      </c>
      <c r="H12515" t="s">
        <v>75</v>
      </c>
      <c r="I12515">
        <v>370508.19400000002</v>
      </c>
      <c r="J12515" t="s">
        <v>76</v>
      </c>
      <c r="K12515" t="s">
        <v>82</v>
      </c>
      <c r="L12515">
        <v>2.6989955999999999</v>
      </c>
    </row>
    <row r="12516" spans="1:12" x14ac:dyDescent="0.3">
      <c r="A12516" t="s">
        <v>496</v>
      </c>
      <c r="B12516" t="s">
        <v>83</v>
      </c>
      <c r="C12516">
        <v>421</v>
      </c>
      <c r="D12516" t="s">
        <v>81</v>
      </c>
      <c r="E12516">
        <v>5.2519999999999997E-3</v>
      </c>
      <c r="F12516" t="s">
        <v>74</v>
      </c>
      <c r="G12516">
        <v>5.2519999999999998</v>
      </c>
      <c r="H12516" t="s">
        <v>75</v>
      </c>
      <c r="I12516">
        <v>5252.0050000000001</v>
      </c>
      <c r="J12516" t="s">
        <v>76</v>
      </c>
      <c r="K12516" t="s">
        <v>82</v>
      </c>
      <c r="L12516">
        <v>190.40349190000001</v>
      </c>
    </row>
    <row r="12517" spans="1:12" x14ac:dyDescent="0.3">
      <c r="A12517" t="s">
        <v>496</v>
      </c>
      <c r="B12517" t="s">
        <v>84</v>
      </c>
      <c r="C12517">
        <v>422</v>
      </c>
      <c r="D12517" t="s">
        <v>81</v>
      </c>
      <c r="E12517">
        <v>6.1180000000000002E-3</v>
      </c>
      <c r="F12517" t="s">
        <v>74</v>
      </c>
      <c r="G12517">
        <v>6.11754</v>
      </c>
      <c r="H12517" t="s">
        <v>75</v>
      </c>
      <c r="I12517">
        <v>6117.5420000000004</v>
      </c>
      <c r="J12517" t="s">
        <v>76</v>
      </c>
      <c r="K12517" t="s">
        <v>82</v>
      </c>
      <c r="L12517">
        <v>163.46434009999999</v>
      </c>
    </row>
    <row r="12518" spans="1:12" x14ac:dyDescent="0.3">
      <c r="A12518" t="s">
        <v>497</v>
      </c>
      <c r="B12518" t="s">
        <v>72</v>
      </c>
      <c r="C12518">
        <v>1</v>
      </c>
      <c r="D12518" t="s">
        <v>81</v>
      </c>
      <c r="E12518">
        <v>0.12814700000000001</v>
      </c>
      <c r="F12518" t="s">
        <v>74</v>
      </c>
      <c r="G12518">
        <v>128.14669000000001</v>
      </c>
      <c r="H12518" t="s">
        <v>75</v>
      </c>
      <c r="I12518">
        <v>128146.693</v>
      </c>
      <c r="J12518" t="s">
        <v>76</v>
      </c>
      <c r="K12518" t="s">
        <v>82</v>
      </c>
      <c r="L12518">
        <v>7.8035568</v>
      </c>
    </row>
    <row r="12519" spans="1:12" x14ac:dyDescent="0.3">
      <c r="A12519" t="s">
        <v>497</v>
      </c>
      <c r="B12519" t="s">
        <v>83</v>
      </c>
      <c r="C12519">
        <v>578</v>
      </c>
      <c r="D12519" t="s">
        <v>81</v>
      </c>
      <c r="E12519">
        <v>4.2379999999999996E-3</v>
      </c>
      <c r="F12519" t="s">
        <v>74</v>
      </c>
      <c r="G12519">
        <v>4.2379100000000003</v>
      </c>
      <c r="H12519" t="s">
        <v>75</v>
      </c>
      <c r="I12519">
        <v>4237.9049999999997</v>
      </c>
      <c r="J12519" t="s">
        <v>76</v>
      </c>
      <c r="K12519" t="s">
        <v>82</v>
      </c>
      <c r="L12519">
        <v>235.96564290000001</v>
      </c>
    </row>
    <row r="12520" spans="1:12" x14ac:dyDescent="0.3">
      <c r="A12520" t="s">
        <v>497</v>
      </c>
      <c r="B12520" t="s">
        <v>84</v>
      </c>
      <c r="C12520">
        <v>579</v>
      </c>
      <c r="D12520" t="s">
        <v>81</v>
      </c>
      <c r="E12520">
        <v>4.4520000000000002E-3</v>
      </c>
      <c r="F12520" t="s">
        <v>74</v>
      </c>
      <c r="G12520">
        <v>4.4519099999999998</v>
      </c>
      <c r="H12520" t="s">
        <v>75</v>
      </c>
      <c r="I12520">
        <v>4451.91</v>
      </c>
      <c r="J12520" t="s">
        <v>76</v>
      </c>
      <c r="K12520" t="s">
        <v>82</v>
      </c>
      <c r="L12520">
        <v>224.62267779999999</v>
      </c>
    </row>
    <row r="12521" spans="1:12" x14ac:dyDescent="0.3">
      <c r="A12521" t="s">
        <v>498</v>
      </c>
      <c r="B12521" t="s">
        <v>72</v>
      </c>
      <c r="C12521">
        <v>2</v>
      </c>
      <c r="D12521" t="s">
        <v>86</v>
      </c>
      <c r="E12521">
        <v>0.185276</v>
      </c>
      <c r="F12521" t="s">
        <v>74</v>
      </c>
      <c r="G12521">
        <v>185.27645000000001</v>
      </c>
      <c r="H12521" t="s">
        <v>75</v>
      </c>
      <c r="I12521">
        <v>185276.44899999999</v>
      </c>
      <c r="J12521" t="s">
        <v>76</v>
      </c>
      <c r="K12521" t="s">
        <v>82</v>
      </c>
      <c r="L12521">
        <v>5.3973401000000001</v>
      </c>
    </row>
    <row r="12522" spans="1:12" x14ac:dyDescent="0.3">
      <c r="A12522" t="s">
        <v>498</v>
      </c>
      <c r="B12522" t="s">
        <v>83</v>
      </c>
      <c r="C12522">
        <v>999</v>
      </c>
      <c r="D12522" t="s">
        <v>86</v>
      </c>
      <c r="E12522">
        <v>2.4680000000000001E-3</v>
      </c>
      <c r="F12522" t="s">
        <v>74</v>
      </c>
      <c r="G12522">
        <v>2.4677099999999998</v>
      </c>
      <c r="H12522" t="s">
        <v>75</v>
      </c>
      <c r="I12522">
        <v>2467.7069999999999</v>
      </c>
      <c r="J12522" t="s">
        <v>76</v>
      </c>
      <c r="K12522" t="s">
        <v>82</v>
      </c>
      <c r="L12522">
        <v>405.23457450000001</v>
      </c>
    </row>
    <row r="12523" spans="1:12" x14ac:dyDescent="0.3">
      <c r="A12523" t="s">
        <v>498</v>
      </c>
      <c r="B12523" t="s">
        <v>85</v>
      </c>
      <c r="C12523">
        <v>1001</v>
      </c>
      <c r="D12523" t="s">
        <v>86</v>
      </c>
      <c r="E12523">
        <v>2.594E-3</v>
      </c>
      <c r="F12523" t="s">
        <v>74</v>
      </c>
      <c r="G12523">
        <v>2.5940300000000001</v>
      </c>
      <c r="H12523" t="s">
        <v>75</v>
      </c>
      <c r="I12523">
        <v>2594.027</v>
      </c>
      <c r="J12523" t="s">
        <v>76</v>
      </c>
      <c r="K12523" t="s">
        <v>82</v>
      </c>
      <c r="L12523">
        <v>385.50106840000001</v>
      </c>
    </row>
    <row r="12525" spans="1:12" x14ac:dyDescent="0.3">
      <c r="A12525" t="s">
        <v>504</v>
      </c>
    </row>
    <row r="12526" spans="1:12" x14ac:dyDescent="0.3">
      <c r="A12526" t="s">
        <v>496</v>
      </c>
      <c r="B12526" t="s">
        <v>72</v>
      </c>
      <c r="C12526">
        <v>1</v>
      </c>
      <c r="D12526" t="s">
        <v>81</v>
      </c>
      <c r="E12526">
        <v>8.9390000000000008E-3</v>
      </c>
      <c r="F12526" t="s">
        <v>74</v>
      </c>
      <c r="G12526">
        <v>8.9389000000000003</v>
      </c>
      <c r="H12526" t="s">
        <v>75</v>
      </c>
      <c r="I12526">
        <v>8938.9</v>
      </c>
      <c r="J12526" t="s">
        <v>76</v>
      </c>
      <c r="K12526" t="s">
        <v>82</v>
      </c>
      <c r="L12526">
        <v>111.87058570000001</v>
      </c>
    </row>
    <row r="12527" spans="1:12" x14ac:dyDescent="0.3">
      <c r="A12527" t="s">
        <v>496</v>
      </c>
      <c r="B12527" t="s">
        <v>83</v>
      </c>
      <c r="C12527">
        <v>693</v>
      </c>
      <c r="D12527" t="s">
        <v>81</v>
      </c>
      <c r="E12527">
        <v>3.467E-3</v>
      </c>
      <c r="F12527" t="s">
        <v>74</v>
      </c>
      <c r="G12527">
        <v>3.4669099999999999</v>
      </c>
      <c r="H12527" t="s">
        <v>75</v>
      </c>
      <c r="I12527">
        <v>3466.91</v>
      </c>
      <c r="J12527" t="s">
        <v>76</v>
      </c>
      <c r="K12527" t="s">
        <v>82</v>
      </c>
      <c r="L12527">
        <v>288.44132689999998</v>
      </c>
    </row>
    <row r="12528" spans="1:12" x14ac:dyDescent="0.3">
      <c r="A12528" t="s">
        <v>496</v>
      </c>
      <c r="B12528" t="s">
        <v>84</v>
      </c>
      <c r="C12528">
        <v>694</v>
      </c>
      <c r="D12528" t="s">
        <v>81</v>
      </c>
      <c r="E12528">
        <v>3.4749999999999998E-3</v>
      </c>
      <c r="F12528" t="s">
        <v>74</v>
      </c>
      <c r="G12528">
        <v>3.47479</v>
      </c>
      <c r="H12528" t="s">
        <v>75</v>
      </c>
      <c r="I12528">
        <v>3474.7939999999999</v>
      </c>
      <c r="J12528" t="s">
        <v>76</v>
      </c>
      <c r="K12528" t="s">
        <v>82</v>
      </c>
      <c r="L12528">
        <v>287.7868047</v>
      </c>
    </row>
    <row r="12529" spans="1:12" x14ac:dyDescent="0.3">
      <c r="A12529" t="s">
        <v>497</v>
      </c>
      <c r="B12529" t="s">
        <v>72</v>
      </c>
      <c r="C12529">
        <v>1</v>
      </c>
      <c r="D12529" t="s">
        <v>81</v>
      </c>
      <c r="E12529">
        <v>5.9750000000000003E-3</v>
      </c>
      <c r="F12529" t="s">
        <v>74</v>
      </c>
      <c r="G12529">
        <v>5.9747000000000003</v>
      </c>
      <c r="H12529" t="s">
        <v>75</v>
      </c>
      <c r="I12529">
        <v>5974.7</v>
      </c>
      <c r="J12529" t="s">
        <v>76</v>
      </c>
      <c r="K12529" t="s">
        <v>82</v>
      </c>
      <c r="L12529">
        <v>167.37241449999999</v>
      </c>
    </row>
    <row r="12530" spans="1:12" x14ac:dyDescent="0.3">
      <c r="A12530" t="s">
        <v>497</v>
      </c>
      <c r="B12530" t="s">
        <v>83</v>
      </c>
      <c r="C12530">
        <v>306</v>
      </c>
      <c r="D12530" t="s">
        <v>81</v>
      </c>
      <c r="E12530">
        <v>7.9129999999999999E-3</v>
      </c>
      <c r="F12530" t="s">
        <v>74</v>
      </c>
      <c r="G12530">
        <v>7.9133899999999997</v>
      </c>
      <c r="H12530" t="s">
        <v>75</v>
      </c>
      <c r="I12530">
        <v>7913.3909999999996</v>
      </c>
      <c r="J12530" t="s">
        <v>76</v>
      </c>
      <c r="K12530" t="s">
        <v>82</v>
      </c>
      <c r="L12530">
        <v>126.3680799</v>
      </c>
    </row>
    <row r="12531" spans="1:12" x14ac:dyDescent="0.3">
      <c r="A12531" t="s">
        <v>497</v>
      </c>
      <c r="B12531" t="s">
        <v>84</v>
      </c>
      <c r="C12531">
        <v>307</v>
      </c>
      <c r="D12531" t="s">
        <v>81</v>
      </c>
      <c r="E12531">
        <v>7.9070000000000008E-3</v>
      </c>
      <c r="F12531" t="s">
        <v>74</v>
      </c>
      <c r="G12531">
        <v>7.9070799999999997</v>
      </c>
      <c r="H12531" t="s">
        <v>75</v>
      </c>
      <c r="I12531">
        <v>7907.0749999999998</v>
      </c>
      <c r="J12531" t="s">
        <v>76</v>
      </c>
      <c r="K12531" t="s">
        <v>82</v>
      </c>
      <c r="L12531">
        <v>126.46901200000001</v>
      </c>
    </row>
    <row r="12532" spans="1:12" x14ac:dyDescent="0.3">
      <c r="A12532" t="s">
        <v>498</v>
      </c>
      <c r="B12532" t="s">
        <v>72</v>
      </c>
      <c r="C12532">
        <v>2</v>
      </c>
      <c r="D12532" t="s">
        <v>86</v>
      </c>
      <c r="E12532">
        <v>4.4730000000000004E-3</v>
      </c>
      <c r="F12532" t="s">
        <v>74</v>
      </c>
      <c r="G12532">
        <v>4.47255</v>
      </c>
      <c r="H12532" t="s">
        <v>75</v>
      </c>
      <c r="I12532">
        <v>4472.55</v>
      </c>
      <c r="J12532" t="s">
        <v>76</v>
      </c>
      <c r="K12532" t="s">
        <v>82</v>
      </c>
      <c r="L12532">
        <v>223.58609720000001</v>
      </c>
    </row>
    <row r="12533" spans="1:12" x14ac:dyDescent="0.3">
      <c r="A12533" t="s">
        <v>498</v>
      </c>
      <c r="B12533" t="s">
        <v>83</v>
      </c>
      <c r="C12533">
        <v>999</v>
      </c>
      <c r="D12533" t="s">
        <v>86</v>
      </c>
      <c r="E12533">
        <v>2.4269999999999999E-3</v>
      </c>
      <c r="F12533" t="s">
        <v>74</v>
      </c>
      <c r="G12533">
        <v>2.427</v>
      </c>
      <c r="H12533" t="s">
        <v>75</v>
      </c>
      <c r="I12533">
        <v>2426.9960000000001</v>
      </c>
      <c r="J12533" t="s">
        <v>76</v>
      </c>
      <c r="K12533" t="s">
        <v>82</v>
      </c>
      <c r="L12533">
        <v>412.03205309999998</v>
      </c>
    </row>
    <row r="12534" spans="1:12" x14ac:dyDescent="0.3">
      <c r="A12534" t="s">
        <v>498</v>
      </c>
      <c r="B12534" t="s">
        <v>85</v>
      </c>
      <c r="C12534">
        <v>1001</v>
      </c>
      <c r="D12534" t="s">
        <v>86</v>
      </c>
      <c r="E12534">
        <v>2.434E-3</v>
      </c>
      <c r="F12534" t="s">
        <v>74</v>
      </c>
      <c r="G12534">
        <v>2.43398</v>
      </c>
      <c r="H12534" t="s">
        <v>75</v>
      </c>
      <c r="I12534">
        <v>2433.9830000000002</v>
      </c>
      <c r="J12534" t="s">
        <v>76</v>
      </c>
      <c r="K12534" t="s">
        <v>82</v>
      </c>
      <c r="L12534">
        <v>410.84919280000003</v>
      </c>
    </row>
    <row r="12536" spans="1:12" x14ac:dyDescent="0.3">
      <c r="A12536" t="s">
        <v>66</v>
      </c>
    </row>
    <row r="12538" spans="1:12" x14ac:dyDescent="0.3">
      <c r="A12538" t="s">
        <v>566</v>
      </c>
    </row>
    <row r="12539" spans="1:12" x14ac:dyDescent="0.3">
      <c r="A12539" t="s">
        <v>68</v>
      </c>
    </row>
    <row r="12540" spans="1:12" x14ac:dyDescent="0.3">
      <c r="A12540" t="s">
        <v>69</v>
      </c>
    </row>
    <row r="12541" spans="1:12" x14ac:dyDescent="0.3">
      <c r="A12541" t="s">
        <v>68</v>
      </c>
    </row>
    <row r="12542" spans="1:12" x14ac:dyDescent="0.3">
      <c r="A12542" t="s">
        <v>69</v>
      </c>
    </row>
    <row r="12543" spans="1:12" x14ac:dyDescent="0.3">
      <c r="A12543" t="s">
        <v>70</v>
      </c>
    </row>
    <row r="12544" spans="1:12" x14ac:dyDescent="0.3">
      <c r="A12544" t="s">
        <v>115</v>
      </c>
    </row>
    <row r="12545" spans="1:1" x14ac:dyDescent="0.3">
      <c r="A12545" t="s">
        <v>116</v>
      </c>
    </row>
    <row r="12546" spans="1:1" x14ac:dyDescent="0.3">
      <c r="A12546" t="s">
        <v>117</v>
      </c>
    </row>
    <row r="12547" spans="1:1" x14ac:dyDescent="0.3">
      <c r="A12547" t="s">
        <v>118</v>
      </c>
    </row>
    <row r="12548" spans="1:1" x14ac:dyDescent="0.3">
      <c r="A12548" t="s">
        <v>119</v>
      </c>
    </row>
    <row r="12549" spans="1:1" x14ac:dyDescent="0.3">
      <c r="A12549" t="s">
        <v>120</v>
      </c>
    </row>
    <row r="12550" spans="1:1" x14ac:dyDescent="0.3">
      <c r="A12550" t="s">
        <v>121</v>
      </c>
    </row>
    <row r="12551" spans="1:1" x14ac:dyDescent="0.3">
      <c r="A12551" t="s">
        <v>122</v>
      </c>
    </row>
    <row r="12552" spans="1:1" x14ac:dyDescent="0.3">
      <c r="A12552" t="s">
        <v>123</v>
      </c>
    </row>
    <row r="12553" spans="1:1" x14ac:dyDescent="0.3">
      <c r="A12553" t="s">
        <v>124</v>
      </c>
    </row>
    <row r="12554" spans="1:1" x14ac:dyDescent="0.3">
      <c r="A12554" t="s">
        <v>125</v>
      </c>
    </row>
    <row r="12555" spans="1:1" x14ac:dyDescent="0.3">
      <c r="A12555" t="s">
        <v>126</v>
      </c>
    </row>
    <row r="12556" spans="1:1" x14ac:dyDescent="0.3">
      <c r="A12556" t="s">
        <v>127</v>
      </c>
    </row>
    <row r="12557" spans="1:1" x14ac:dyDescent="0.3">
      <c r="A12557" t="s">
        <v>139</v>
      </c>
    </row>
    <row r="12558" spans="1:1" x14ac:dyDescent="0.3">
      <c r="A12558" t="s">
        <v>115</v>
      </c>
    </row>
    <row r="12559" spans="1:1" x14ac:dyDescent="0.3">
      <c r="A12559" t="s">
        <v>266</v>
      </c>
    </row>
    <row r="12560" spans="1:1" x14ac:dyDescent="0.3">
      <c r="A12560" t="s">
        <v>267</v>
      </c>
    </row>
    <row r="12561" spans="1:12" x14ac:dyDescent="0.3">
      <c r="A12561" t="s">
        <v>118</v>
      </c>
    </row>
    <row r="12562" spans="1:12" x14ac:dyDescent="0.3">
      <c r="A12562" t="s">
        <v>119</v>
      </c>
    </row>
    <row r="12563" spans="1:12" x14ac:dyDescent="0.3">
      <c r="A12563" t="s">
        <v>268</v>
      </c>
    </row>
    <row r="12564" spans="1:12" x14ac:dyDescent="0.3">
      <c r="A12564" t="s">
        <v>269</v>
      </c>
    </row>
    <row r="12565" spans="1:12" x14ac:dyDescent="0.3">
      <c r="A12565" t="s">
        <v>122</v>
      </c>
    </row>
    <row r="12566" spans="1:12" x14ac:dyDescent="0.3">
      <c r="A12566" t="s">
        <v>270</v>
      </c>
    </row>
    <row r="12567" spans="1:12" x14ac:dyDescent="0.3">
      <c r="A12567" t="s">
        <v>271</v>
      </c>
    </row>
    <row r="12568" spans="1:12" x14ac:dyDescent="0.3">
      <c r="A12568" t="s">
        <v>125</v>
      </c>
    </row>
    <row r="12569" spans="1:12" x14ac:dyDescent="0.3">
      <c r="A12569" t="s">
        <v>126</v>
      </c>
    </row>
    <row r="12570" spans="1:12" x14ac:dyDescent="0.3">
      <c r="A12570" t="s">
        <v>127</v>
      </c>
    </row>
    <row r="12571" spans="1:12" x14ac:dyDescent="0.3">
      <c r="A12571" t="s">
        <v>139</v>
      </c>
    </row>
    <row r="12572" spans="1:12" x14ac:dyDescent="0.3">
      <c r="A12572" t="s">
        <v>506</v>
      </c>
    </row>
    <row r="12573" spans="1:12" x14ac:dyDescent="0.3">
      <c r="A12573" t="s">
        <v>496</v>
      </c>
      <c r="B12573" t="s">
        <v>72</v>
      </c>
      <c r="C12573">
        <v>1</v>
      </c>
      <c r="D12573" t="s">
        <v>79</v>
      </c>
      <c r="E12573">
        <v>0.48833199999999999</v>
      </c>
      <c r="F12573" t="s">
        <v>74</v>
      </c>
      <c r="G12573">
        <v>488.33179000000001</v>
      </c>
      <c r="H12573" t="s">
        <v>75</v>
      </c>
      <c r="I12573">
        <v>488331.79499999998</v>
      </c>
      <c r="J12573" t="s">
        <v>76</v>
      </c>
      <c r="K12573" t="s">
        <v>77</v>
      </c>
    </row>
    <row r="12574" spans="1:12" x14ac:dyDescent="0.3">
      <c r="A12574" t="s">
        <v>496</v>
      </c>
      <c r="B12574" t="s">
        <v>72</v>
      </c>
      <c r="C12574">
        <v>1</v>
      </c>
      <c r="D12574" t="s">
        <v>94</v>
      </c>
      <c r="E12574">
        <v>1.4624E-2</v>
      </c>
      <c r="F12574" t="s">
        <v>74</v>
      </c>
      <c r="G12574">
        <v>14.6243</v>
      </c>
      <c r="H12574" t="s">
        <v>75</v>
      </c>
      <c r="I12574">
        <v>14624.3</v>
      </c>
      <c r="J12574" t="s">
        <v>76</v>
      </c>
      <c r="K12574" t="s">
        <v>77</v>
      </c>
    </row>
    <row r="12575" spans="1:12" x14ac:dyDescent="0.3">
      <c r="A12575" t="s">
        <v>496</v>
      </c>
      <c r="B12575" t="s">
        <v>72</v>
      </c>
      <c r="C12575">
        <v>1</v>
      </c>
      <c r="D12575" t="s">
        <v>80</v>
      </c>
      <c r="E12575">
        <v>1.4625000000000001E-2</v>
      </c>
      <c r="F12575" t="s">
        <v>74</v>
      </c>
      <c r="G12575">
        <v>14.625</v>
      </c>
      <c r="H12575" t="s">
        <v>75</v>
      </c>
      <c r="I12575">
        <v>14625</v>
      </c>
      <c r="J12575" t="s">
        <v>76</v>
      </c>
      <c r="K12575" t="s">
        <v>77</v>
      </c>
    </row>
    <row r="12576" spans="1:12" x14ac:dyDescent="0.3">
      <c r="A12576" t="s">
        <v>496</v>
      </c>
      <c r="B12576" t="s">
        <v>72</v>
      </c>
      <c r="C12576">
        <v>1</v>
      </c>
      <c r="D12576" t="s">
        <v>81</v>
      </c>
      <c r="E12576">
        <v>0.50295699999999999</v>
      </c>
      <c r="F12576" t="s">
        <v>74</v>
      </c>
      <c r="G12576">
        <v>502.95722000000001</v>
      </c>
      <c r="H12576" t="s">
        <v>75</v>
      </c>
      <c r="I12576">
        <v>502957.22499999998</v>
      </c>
      <c r="J12576" t="s">
        <v>76</v>
      </c>
      <c r="K12576" t="s">
        <v>82</v>
      </c>
      <c r="L12576">
        <v>1.9882407</v>
      </c>
    </row>
    <row r="12577" spans="1:12" x14ac:dyDescent="0.3">
      <c r="A12577" t="s">
        <v>496</v>
      </c>
      <c r="B12577" t="s">
        <v>83</v>
      </c>
      <c r="C12577">
        <v>399</v>
      </c>
      <c r="D12577" t="s">
        <v>79</v>
      </c>
      <c r="E12577">
        <v>0</v>
      </c>
      <c r="F12577" t="s">
        <v>74</v>
      </c>
      <c r="G12577">
        <v>1.9000000000000001E-4</v>
      </c>
      <c r="H12577" t="s">
        <v>75</v>
      </c>
      <c r="I12577">
        <v>0.185</v>
      </c>
      <c r="J12577" t="s">
        <v>76</v>
      </c>
      <c r="K12577" t="s">
        <v>77</v>
      </c>
    </row>
    <row r="12578" spans="1:12" x14ac:dyDescent="0.3">
      <c r="A12578" t="s">
        <v>496</v>
      </c>
      <c r="B12578" t="s">
        <v>83</v>
      </c>
      <c r="C12578">
        <v>399</v>
      </c>
      <c r="D12578" t="s">
        <v>94</v>
      </c>
      <c r="E12578">
        <v>5.1070000000000004E-3</v>
      </c>
      <c r="F12578" t="s">
        <v>74</v>
      </c>
      <c r="G12578">
        <v>5.1065699999999996</v>
      </c>
      <c r="H12578" t="s">
        <v>75</v>
      </c>
      <c r="I12578">
        <v>5106.57</v>
      </c>
      <c r="J12578" t="s">
        <v>76</v>
      </c>
      <c r="K12578" t="s">
        <v>77</v>
      </c>
    </row>
    <row r="12579" spans="1:12" x14ac:dyDescent="0.3">
      <c r="A12579" t="s">
        <v>496</v>
      </c>
      <c r="B12579" t="s">
        <v>83</v>
      </c>
      <c r="C12579">
        <v>399</v>
      </c>
      <c r="D12579" t="s">
        <v>80</v>
      </c>
      <c r="E12579">
        <v>5.2630000000000003E-3</v>
      </c>
      <c r="F12579" t="s">
        <v>74</v>
      </c>
      <c r="G12579">
        <v>5.2625200000000003</v>
      </c>
      <c r="H12579" t="s">
        <v>75</v>
      </c>
      <c r="I12579">
        <v>5262.5159999999996</v>
      </c>
      <c r="J12579" t="s">
        <v>76</v>
      </c>
      <c r="K12579" t="s">
        <v>77</v>
      </c>
    </row>
    <row r="12580" spans="1:12" x14ac:dyDescent="0.3">
      <c r="A12580" t="s">
        <v>496</v>
      </c>
      <c r="B12580" t="s">
        <v>83</v>
      </c>
      <c r="C12580">
        <v>399</v>
      </c>
      <c r="D12580" t="s">
        <v>81</v>
      </c>
      <c r="E12580">
        <v>5.2630000000000003E-3</v>
      </c>
      <c r="F12580" t="s">
        <v>74</v>
      </c>
      <c r="G12580">
        <v>5.2628700000000004</v>
      </c>
      <c r="H12580" t="s">
        <v>75</v>
      </c>
      <c r="I12580">
        <v>5262.8739999999998</v>
      </c>
      <c r="J12580" t="s">
        <v>76</v>
      </c>
      <c r="K12580" t="s">
        <v>82</v>
      </c>
      <c r="L12580">
        <v>190.0102339</v>
      </c>
    </row>
    <row r="12581" spans="1:12" x14ac:dyDescent="0.3">
      <c r="A12581" t="s">
        <v>496</v>
      </c>
      <c r="B12581" t="s">
        <v>84</v>
      </c>
      <c r="C12581">
        <v>400</v>
      </c>
      <c r="D12581" t="s">
        <v>79</v>
      </c>
      <c r="E12581">
        <v>1.2210000000000001E-3</v>
      </c>
      <c r="F12581" t="s">
        <v>74</v>
      </c>
      <c r="G12581">
        <v>1.22102</v>
      </c>
      <c r="H12581" t="s">
        <v>75</v>
      </c>
      <c r="I12581">
        <v>1221.0160000000001</v>
      </c>
      <c r="J12581" t="s">
        <v>76</v>
      </c>
      <c r="K12581" t="s">
        <v>77</v>
      </c>
    </row>
    <row r="12582" spans="1:12" x14ac:dyDescent="0.3">
      <c r="A12582" t="s">
        <v>496</v>
      </c>
      <c r="B12582" t="s">
        <v>84</v>
      </c>
      <c r="C12582">
        <v>400</v>
      </c>
      <c r="D12582" t="s">
        <v>94</v>
      </c>
      <c r="E12582">
        <v>5.13E-3</v>
      </c>
      <c r="F12582" t="s">
        <v>74</v>
      </c>
      <c r="G12582">
        <v>5.1303599999999996</v>
      </c>
      <c r="H12582" t="s">
        <v>75</v>
      </c>
      <c r="I12582">
        <v>5130.3630000000003</v>
      </c>
      <c r="J12582" t="s">
        <v>76</v>
      </c>
      <c r="K12582" t="s">
        <v>77</v>
      </c>
    </row>
    <row r="12583" spans="1:12" x14ac:dyDescent="0.3">
      <c r="A12583" t="s">
        <v>496</v>
      </c>
      <c r="B12583" t="s">
        <v>84</v>
      </c>
      <c r="C12583">
        <v>400</v>
      </c>
      <c r="D12583" t="s">
        <v>80</v>
      </c>
      <c r="E12583">
        <v>5.2859999999999999E-3</v>
      </c>
      <c r="F12583" t="s">
        <v>74</v>
      </c>
      <c r="G12583">
        <v>5.28592</v>
      </c>
      <c r="H12583" t="s">
        <v>75</v>
      </c>
      <c r="I12583">
        <v>5285.9229999999998</v>
      </c>
      <c r="J12583" t="s">
        <v>76</v>
      </c>
      <c r="K12583" t="s">
        <v>77</v>
      </c>
    </row>
    <row r="12584" spans="1:12" x14ac:dyDescent="0.3">
      <c r="A12584" t="s">
        <v>496</v>
      </c>
      <c r="B12584" t="s">
        <v>84</v>
      </c>
      <c r="C12584">
        <v>400</v>
      </c>
      <c r="D12584" t="s">
        <v>81</v>
      </c>
      <c r="E12584">
        <v>6.5069999999999998E-3</v>
      </c>
      <c r="F12584" t="s">
        <v>74</v>
      </c>
      <c r="G12584">
        <v>6.5071099999999999</v>
      </c>
      <c r="H12584" t="s">
        <v>75</v>
      </c>
      <c r="I12584">
        <v>6507.1049999999996</v>
      </c>
      <c r="J12584" t="s">
        <v>76</v>
      </c>
      <c r="K12584" t="s">
        <v>82</v>
      </c>
      <c r="L12584">
        <v>153.67816629999999</v>
      </c>
    </row>
    <row r="12585" spans="1:12" x14ac:dyDescent="0.3">
      <c r="A12585" t="s">
        <v>497</v>
      </c>
      <c r="B12585" t="s">
        <v>72</v>
      </c>
      <c r="C12585">
        <v>1</v>
      </c>
      <c r="D12585" t="s">
        <v>79</v>
      </c>
      <c r="E12585">
        <v>0.13902300000000001</v>
      </c>
      <c r="F12585" t="s">
        <v>74</v>
      </c>
      <c r="G12585">
        <v>139.0232</v>
      </c>
      <c r="H12585" t="s">
        <v>75</v>
      </c>
      <c r="I12585">
        <v>139023.20000000001</v>
      </c>
      <c r="J12585" t="s">
        <v>76</v>
      </c>
      <c r="K12585" t="s">
        <v>77</v>
      </c>
    </row>
    <row r="12586" spans="1:12" x14ac:dyDescent="0.3">
      <c r="A12586" t="s">
        <v>497</v>
      </c>
      <c r="B12586" t="s">
        <v>72</v>
      </c>
      <c r="C12586">
        <v>1</v>
      </c>
      <c r="D12586" t="s">
        <v>94</v>
      </c>
      <c r="E12586">
        <v>9.9170000000000005E-3</v>
      </c>
      <c r="F12586" t="s">
        <v>74</v>
      </c>
      <c r="G12586">
        <v>9.9169999999999998</v>
      </c>
      <c r="H12586" t="s">
        <v>75</v>
      </c>
      <c r="I12586">
        <v>9917</v>
      </c>
      <c r="J12586" t="s">
        <v>76</v>
      </c>
      <c r="K12586" t="s">
        <v>77</v>
      </c>
    </row>
    <row r="12587" spans="1:12" x14ac:dyDescent="0.3">
      <c r="A12587" t="s">
        <v>497</v>
      </c>
      <c r="B12587" t="s">
        <v>72</v>
      </c>
      <c r="C12587">
        <v>1</v>
      </c>
      <c r="D12587" t="s">
        <v>80</v>
      </c>
      <c r="E12587">
        <v>9.9179999999999997E-3</v>
      </c>
      <c r="F12587" t="s">
        <v>74</v>
      </c>
      <c r="G12587">
        <v>9.9181000000000008</v>
      </c>
      <c r="H12587" t="s">
        <v>75</v>
      </c>
      <c r="I12587">
        <v>9918.1</v>
      </c>
      <c r="J12587" t="s">
        <v>76</v>
      </c>
      <c r="K12587" t="s">
        <v>77</v>
      </c>
    </row>
    <row r="12588" spans="1:12" x14ac:dyDescent="0.3">
      <c r="A12588" t="s">
        <v>497</v>
      </c>
      <c r="B12588" t="s">
        <v>72</v>
      </c>
      <c r="C12588">
        <v>1</v>
      </c>
      <c r="D12588" t="s">
        <v>81</v>
      </c>
      <c r="E12588">
        <v>0.14894199999999999</v>
      </c>
      <c r="F12588" t="s">
        <v>74</v>
      </c>
      <c r="G12588">
        <v>148.9418</v>
      </c>
      <c r="H12588" t="s">
        <v>75</v>
      </c>
      <c r="I12588">
        <v>148941.79999999999</v>
      </c>
      <c r="J12588" t="s">
        <v>76</v>
      </c>
      <c r="K12588" t="s">
        <v>82</v>
      </c>
      <c r="L12588">
        <v>6.7140319000000002</v>
      </c>
    </row>
    <row r="12589" spans="1:12" x14ac:dyDescent="0.3">
      <c r="A12589" t="s">
        <v>497</v>
      </c>
      <c r="B12589" t="s">
        <v>83</v>
      </c>
      <c r="C12589">
        <v>600</v>
      </c>
      <c r="D12589" t="s">
        <v>79</v>
      </c>
      <c r="E12589">
        <v>0</v>
      </c>
      <c r="F12589" t="s">
        <v>74</v>
      </c>
      <c r="G12589">
        <v>2.0000000000000001E-4</v>
      </c>
      <c r="H12589" t="s">
        <v>75</v>
      </c>
      <c r="I12589">
        <v>0.20300000000000001</v>
      </c>
      <c r="J12589" t="s">
        <v>76</v>
      </c>
      <c r="K12589" t="s">
        <v>77</v>
      </c>
    </row>
    <row r="12590" spans="1:12" x14ac:dyDescent="0.3">
      <c r="A12590" t="s">
        <v>497</v>
      </c>
      <c r="B12590" t="s">
        <v>83</v>
      </c>
      <c r="C12590">
        <v>600</v>
      </c>
      <c r="D12590" t="s">
        <v>94</v>
      </c>
      <c r="E12590">
        <v>3.9139999999999999E-3</v>
      </c>
      <c r="F12590" t="s">
        <v>74</v>
      </c>
      <c r="G12590">
        <v>3.9136199999999999</v>
      </c>
      <c r="H12590" t="s">
        <v>75</v>
      </c>
      <c r="I12590">
        <v>3913.6219999999998</v>
      </c>
      <c r="J12590" t="s">
        <v>76</v>
      </c>
      <c r="K12590" t="s">
        <v>77</v>
      </c>
    </row>
    <row r="12591" spans="1:12" x14ac:dyDescent="0.3">
      <c r="A12591" t="s">
        <v>497</v>
      </c>
      <c r="B12591" t="s">
        <v>83</v>
      </c>
      <c r="C12591">
        <v>600</v>
      </c>
      <c r="D12591" t="s">
        <v>80</v>
      </c>
      <c r="E12591">
        <v>4.078E-3</v>
      </c>
      <c r="F12591" t="s">
        <v>74</v>
      </c>
      <c r="G12591">
        <v>4.07829</v>
      </c>
      <c r="H12591" t="s">
        <v>75</v>
      </c>
      <c r="I12591">
        <v>4078.2930000000001</v>
      </c>
      <c r="J12591" t="s">
        <v>76</v>
      </c>
      <c r="K12591" t="s">
        <v>77</v>
      </c>
    </row>
    <row r="12592" spans="1:12" x14ac:dyDescent="0.3">
      <c r="A12592" t="s">
        <v>497</v>
      </c>
      <c r="B12592" t="s">
        <v>83</v>
      </c>
      <c r="C12592">
        <v>600</v>
      </c>
      <c r="D12592" t="s">
        <v>81</v>
      </c>
      <c r="E12592">
        <v>4.0790000000000002E-3</v>
      </c>
      <c r="F12592" t="s">
        <v>74</v>
      </c>
      <c r="G12592">
        <v>4.0786699999999998</v>
      </c>
      <c r="H12592" t="s">
        <v>75</v>
      </c>
      <c r="I12592">
        <v>4078.6660000000002</v>
      </c>
      <c r="J12592" t="s">
        <v>76</v>
      </c>
      <c r="K12592" t="s">
        <v>82</v>
      </c>
      <c r="L12592">
        <v>245.17822849999999</v>
      </c>
    </row>
    <row r="12593" spans="1:12" x14ac:dyDescent="0.3">
      <c r="A12593" t="s">
        <v>497</v>
      </c>
      <c r="B12593" t="s">
        <v>84</v>
      </c>
      <c r="C12593">
        <v>601</v>
      </c>
      <c r="D12593" t="s">
        <v>79</v>
      </c>
      <c r="E12593">
        <v>2.32E-4</v>
      </c>
      <c r="F12593" t="s">
        <v>74</v>
      </c>
      <c r="G12593">
        <v>0.23152</v>
      </c>
      <c r="H12593" t="s">
        <v>75</v>
      </c>
      <c r="I12593">
        <v>231.52</v>
      </c>
      <c r="J12593" t="s">
        <v>76</v>
      </c>
      <c r="K12593" t="s">
        <v>77</v>
      </c>
    </row>
    <row r="12594" spans="1:12" x14ac:dyDescent="0.3">
      <c r="A12594" t="s">
        <v>497</v>
      </c>
      <c r="B12594" t="s">
        <v>84</v>
      </c>
      <c r="C12594">
        <v>601</v>
      </c>
      <c r="D12594" t="s">
        <v>94</v>
      </c>
      <c r="E12594">
        <v>3.9240000000000004E-3</v>
      </c>
      <c r="F12594" t="s">
        <v>74</v>
      </c>
      <c r="G12594">
        <v>3.92361</v>
      </c>
      <c r="H12594" t="s">
        <v>75</v>
      </c>
      <c r="I12594">
        <v>3923.6109999999999</v>
      </c>
      <c r="J12594" t="s">
        <v>76</v>
      </c>
      <c r="K12594" t="s">
        <v>77</v>
      </c>
    </row>
    <row r="12595" spans="1:12" x14ac:dyDescent="0.3">
      <c r="A12595" t="s">
        <v>497</v>
      </c>
      <c r="B12595" t="s">
        <v>84</v>
      </c>
      <c r="C12595">
        <v>601</v>
      </c>
      <c r="D12595" t="s">
        <v>80</v>
      </c>
      <c r="E12595">
        <v>4.0879999999999996E-3</v>
      </c>
      <c r="F12595" t="s">
        <v>74</v>
      </c>
      <c r="G12595">
        <v>4.0880099999999997</v>
      </c>
      <c r="H12595" t="s">
        <v>75</v>
      </c>
      <c r="I12595">
        <v>4088.01</v>
      </c>
      <c r="J12595" t="s">
        <v>76</v>
      </c>
      <c r="K12595" t="s">
        <v>77</v>
      </c>
    </row>
    <row r="12596" spans="1:12" x14ac:dyDescent="0.3">
      <c r="A12596" t="s">
        <v>497</v>
      </c>
      <c r="B12596" t="s">
        <v>84</v>
      </c>
      <c r="C12596">
        <v>601</v>
      </c>
      <c r="D12596" t="s">
        <v>81</v>
      </c>
      <c r="E12596">
        <v>4.3200000000000001E-3</v>
      </c>
      <c r="F12596" t="s">
        <v>74</v>
      </c>
      <c r="G12596">
        <v>4.3197000000000001</v>
      </c>
      <c r="H12596" t="s">
        <v>75</v>
      </c>
      <c r="I12596">
        <v>4319.7030000000004</v>
      </c>
      <c r="J12596" t="s">
        <v>76</v>
      </c>
      <c r="K12596" t="s">
        <v>82</v>
      </c>
      <c r="L12596">
        <v>231.49739030000001</v>
      </c>
    </row>
    <row r="12597" spans="1:12" x14ac:dyDescent="0.3">
      <c r="A12597" t="s">
        <v>498</v>
      </c>
      <c r="B12597" t="s">
        <v>72</v>
      </c>
      <c r="C12597">
        <v>1</v>
      </c>
      <c r="D12597" t="s">
        <v>73</v>
      </c>
      <c r="E12597">
        <v>8.2999999999999998E-5</v>
      </c>
      <c r="F12597" t="s">
        <v>74</v>
      </c>
      <c r="G12597">
        <v>8.3299999999999999E-2</v>
      </c>
      <c r="H12597" t="s">
        <v>75</v>
      </c>
      <c r="I12597">
        <v>83.3</v>
      </c>
      <c r="J12597" t="s">
        <v>76</v>
      </c>
      <c r="K12597" t="s">
        <v>77</v>
      </c>
    </row>
    <row r="12598" spans="1:12" x14ac:dyDescent="0.3">
      <c r="A12598" t="s">
        <v>498</v>
      </c>
      <c r="B12598" t="s">
        <v>72</v>
      </c>
      <c r="C12598">
        <v>1</v>
      </c>
      <c r="D12598" t="s">
        <v>78</v>
      </c>
      <c r="E12598">
        <v>0.13436600000000001</v>
      </c>
      <c r="F12598" t="s">
        <v>74</v>
      </c>
      <c r="G12598">
        <v>134.36609999999999</v>
      </c>
      <c r="H12598" t="s">
        <v>75</v>
      </c>
      <c r="I12598">
        <v>134366.095</v>
      </c>
      <c r="J12598" t="s">
        <v>76</v>
      </c>
      <c r="K12598" t="s">
        <v>77</v>
      </c>
    </row>
    <row r="12599" spans="1:12" x14ac:dyDescent="0.3">
      <c r="A12599" t="s">
        <v>498</v>
      </c>
      <c r="B12599" t="s">
        <v>72</v>
      </c>
      <c r="C12599">
        <v>2</v>
      </c>
      <c r="D12599" t="s">
        <v>86</v>
      </c>
      <c r="E12599">
        <v>0.25150400000000001</v>
      </c>
      <c r="F12599" t="s">
        <v>74</v>
      </c>
      <c r="G12599">
        <v>251.50421</v>
      </c>
      <c r="H12599" t="s">
        <v>75</v>
      </c>
      <c r="I12599">
        <v>251504.21299999999</v>
      </c>
      <c r="J12599" t="s">
        <v>76</v>
      </c>
      <c r="K12599" t="s">
        <v>82</v>
      </c>
      <c r="L12599">
        <v>3.9760765</v>
      </c>
    </row>
    <row r="12600" spans="1:12" x14ac:dyDescent="0.3">
      <c r="A12600" t="s">
        <v>498</v>
      </c>
      <c r="B12600" t="s">
        <v>83</v>
      </c>
      <c r="C12600">
        <v>999</v>
      </c>
      <c r="D12600" t="s">
        <v>86</v>
      </c>
      <c r="E12600">
        <v>2.464E-3</v>
      </c>
      <c r="F12600" t="s">
        <v>74</v>
      </c>
      <c r="G12600">
        <v>2.46394</v>
      </c>
      <c r="H12600" t="s">
        <v>75</v>
      </c>
      <c r="I12600">
        <v>2463.9450000000002</v>
      </c>
      <c r="J12600" t="s">
        <v>76</v>
      </c>
      <c r="K12600" t="s">
        <v>82</v>
      </c>
      <c r="L12600">
        <v>405.85328720000001</v>
      </c>
    </row>
    <row r="12601" spans="1:12" x14ac:dyDescent="0.3">
      <c r="A12601" t="s">
        <v>498</v>
      </c>
      <c r="B12601" t="s">
        <v>85</v>
      </c>
      <c r="C12601">
        <v>1001</v>
      </c>
      <c r="D12601" t="s">
        <v>86</v>
      </c>
      <c r="E12601">
        <v>2.611E-3</v>
      </c>
      <c r="F12601" t="s">
        <v>74</v>
      </c>
      <c r="G12601">
        <v>2.6111</v>
      </c>
      <c r="H12601" t="s">
        <v>75</v>
      </c>
      <c r="I12601">
        <v>2611.096</v>
      </c>
      <c r="J12601" t="s">
        <v>76</v>
      </c>
      <c r="K12601" t="s">
        <v>82</v>
      </c>
      <c r="L12601">
        <v>382.9808744</v>
      </c>
    </row>
    <row r="12602" spans="1:12" x14ac:dyDescent="0.3">
      <c r="A12602" t="s">
        <v>141</v>
      </c>
    </row>
    <row r="12603" spans="1:12" x14ac:dyDescent="0.3">
      <c r="A12603" t="s">
        <v>141</v>
      </c>
    </row>
    <row r="12604" spans="1:12" x14ac:dyDescent="0.3">
      <c r="A12604" t="s">
        <v>507</v>
      </c>
    </row>
    <row r="12605" spans="1:12" x14ac:dyDescent="0.3">
      <c r="A12605" t="s">
        <v>496</v>
      </c>
      <c r="B12605" t="s">
        <v>72</v>
      </c>
      <c r="C12605">
        <v>1</v>
      </c>
      <c r="D12605" t="s">
        <v>79</v>
      </c>
      <c r="E12605">
        <v>7.0670000000000004E-3</v>
      </c>
      <c r="F12605" t="s">
        <v>74</v>
      </c>
      <c r="G12605">
        <v>7.0669000000000004</v>
      </c>
      <c r="H12605" t="s">
        <v>75</v>
      </c>
      <c r="I12605">
        <v>7066.9</v>
      </c>
      <c r="J12605" t="s">
        <v>76</v>
      </c>
      <c r="K12605" t="s">
        <v>77</v>
      </c>
    </row>
    <row r="12606" spans="1:12" x14ac:dyDescent="0.3">
      <c r="A12606" t="s">
        <v>496</v>
      </c>
      <c r="B12606" t="s">
        <v>72</v>
      </c>
      <c r="C12606">
        <v>1</v>
      </c>
      <c r="D12606" t="s">
        <v>94</v>
      </c>
      <c r="E12606">
        <v>2.1839000000000001E-2</v>
      </c>
      <c r="F12606" t="s">
        <v>74</v>
      </c>
      <c r="G12606">
        <v>21.838699999999999</v>
      </c>
      <c r="H12606" t="s">
        <v>75</v>
      </c>
      <c r="I12606">
        <v>21838.7</v>
      </c>
      <c r="J12606" t="s">
        <v>76</v>
      </c>
      <c r="K12606" t="s">
        <v>77</v>
      </c>
    </row>
    <row r="12607" spans="1:12" x14ac:dyDescent="0.3">
      <c r="A12607" t="s">
        <v>496</v>
      </c>
      <c r="B12607" t="s">
        <v>72</v>
      </c>
      <c r="C12607">
        <v>1</v>
      </c>
      <c r="D12607" t="s">
        <v>80</v>
      </c>
      <c r="E12607">
        <v>2.1984E-2</v>
      </c>
      <c r="F12607" t="s">
        <v>74</v>
      </c>
      <c r="G12607">
        <v>21.983499999999999</v>
      </c>
      <c r="H12607" t="s">
        <v>75</v>
      </c>
      <c r="I12607">
        <v>21983.501</v>
      </c>
      <c r="J12607" t="s">
        <v>76</v>
      </c>
      <c r="K12607" t="s">
        <v>77</v>
      </c>
    </row>
    <row r="12608" spans="1:12" x14ac:dyDescent="0.3">
      <c r="A12608" t="s">
        <v>496</v>
      </c>
      <c r="B12608" t="s">
        <v>72</v>
      </c>
      <c r="C12608">
        <v>1</v>
      </c>
      <c r="D12608" t="s">
        <v>81</v>
      </c>
      <c r="E12608">
        <v>2.9051E-2</v>
      </c>
      <c r="F12608" t="s">
        <v>74</v>
      </c>
      <c r="G12608">
        <v>29.050799999999999</v>
      </c>
      <c r="H12608" t="s">
        <v>75</v>
      </c>
      <c r="I12608">
        <v>29050.798999999999</v>
      </c>
      <c r="J12608" t="s">
        <v>76</v>
      </c>
      <c r="K12608" t="s">
        <v>82</v>
      </c>
      <c r="L12608">
        <v>34.422460999999998</v>
      </c>
    </row>
    <row r="12609" spans="1:12" x14ac:dyDescent="0.3">
      <c r="A12609" t="s">
        <v>496</v>
      </c>
      <c r="B12609" t="s">
        <v>83</v>
      </c>
      <c r="C12609">
        <v>529</v>
      </c>
      <c r="D12609" t="s">
        <v>79</v>
      </c>
      <c r="E12609">
        <v>0</v>
      </c>
      <c r="F12609" t="s">
        <v>74</v>
      </c>
      <c r="G12609">
        <v>1.6000000000000001E-4</v>
      </c>
      <c r="H12609" t="s">
        <v>75</v>
      </c>
      <c r="I12609">
        <v>0.157</v>
      </c>
      <c r="J12609" t="s">
        <v>76</v>
      </c>
      <c r="K12609" t="s">
        <v>77</v>
      </c>
    </row>
    <row r="12610" spans="1:12" x14ac:dyDescent="0.3">
      <c r="A12610" t="s">
        <v>496</v>
      </c>
      <c r="B12610" t="s">
        <v>83</v>
      </c>
      <c r="C12610">
        <v>529</v>
      </c>
      <c r="D12610" t="s">
        <v>94</v>
      </c>
      <c r="E12610">
        <v>4.4079999999999996E-3</v>
      </c>
      <c r="F12610" t="s">
        <v>74</v>
      </c>
      <c r="G12610">
        <v>4.4081799999999998</v>
      </c>
      <c r="H12610" t="s">
        <v>75</v>
      </c>
      <c r="I12610">
        <v>4408.18</v>
      </c>
      <c r="J12610" t="s">
        <v>76</v>
      </c>
      <c r="K12610" t="s">
        <v>77</v>
      </c>
    </row>
    <row r="12611" spans="1:12" x14ac:dyDescent="0.3">
      <c r="A12611" t="s">
        <v>496</v>
      </c>
      <c r="B12611" t="s">
        <v>83</v>
      </c>
      <c r="C12611">
        <v>529</v>
      </c>
      <c r="D12611" t="s">
        <v>80</v>
      </c>
      <c r="E12611">
        <v>4.5649999999999996E-3</v>
      </c>
      <c r="F12611" t="s">
        <v>74</v>
      </c>
      <c r="G12611">
        <v>4.5647700000000002</v>
      </c>
      <c r="H12611" t="s">
        <v>75</v>
      </c>
      <c r="I12611">
        <v>4564.7719999999999</v>
      </c>
      <c r="J12611" t="s">
        <v>76</v>
      </c>
      <c r="K12611" t="s">
        <v>77</v>
      </c>
    </row>
    <row r="12612" spans="1:12" x14ac:dyDescent="0.3">
      <c r="A12612" t="s">
        <v>496</v>
      </c>
      <c r="B12612" t="s">
        <v>83</v>
      </c>
      <c r="C12612">
        <v>529</v>
      </c>
      <c r="D12612" t="s">
        <v>81</v>
      </c>
      <c r="E12612">
        <v>4.5649999999999996E-3</v>
      </c>
      <c r="F12612" t="s">
        <v>74</v>
      </c>
      <c r="G12612">
        <v>4.5651099999999998</v>
      </c>
      <c r="H12612" t="s">
        <v>75</v>
      </c>
      <c r="I12612">
        <v>4565.107</v>
      </c>
      <c r="J12612" t="s">
        <v>76</v>
      </c>
      <c r="K12612" t="s">
        <v>82</v>
      </c>
      <c r="L12612">
        <v>219.05289920000001</v>
      </c>
    </row>
    <row r="12613" spans="1:12" x14ac:dyDescent="0.3">
      <c r="A12613" t="s">
        <v>496</v>
      </c>
      <c r="B12613" t="s">
        <v>84</v>
      </c>
      <c r="C12613">
        <v>530</v>
      </c>
      <c r="D12613" t="s">
        <v>79</v>
      </c>
      <c r="E12613">
        <v>1.2999999999999999E-5</v>
      </c>
      <c r="F12613" t="s">
        <v>74</v>
      </c>
      <c r="G12613">
        <v>1.349E-2</v>
      </c>
      <c r="H12613" t="s">
        <v>75</v>
      </c>
      <c r="I12613">
        <v>13.491</v>
      </c>
      <c r="J12613" t="s">
        <v>76</v>
      </c>
      <c r="K12613" t="s">
        <v>77</v>
      </c>
    </row>
    <row r="12614" spans="1:12" x14ac:dyDescent="0.3">
      <c r="A12614" t="s">
        <v>496</v>
      </c>
      <c r="B12614" t="s">
        <v>84</v>
      </c>
      <c r="C12614">
        <v>530</v>
      </c>
      <c r="D12614" t="s">
        <v>94</v>
      </c>
      <c r="E12614">
        <v>4.4409999999999996E-3</v>
      </c>
      <c r="F12614" t="s">
        <v>74</v>
      </c>
      <c r="G12614">
        <v>4.4410699999999999</v>
      </c>
      <c r="H12614" t="s">
        <v>75</v>
      </c>
      <c r="I12614">
        <v>4441.0680000000002</v>
      </c>
      <c r="J12614" t="s">
        <v>76</v>
      </c>
      <c r="K12614" t="s">
        <v>77</v>
      </c>
    </row>
    <row r="12615" spans="1:12" x14ac:dyDescent="0.3">
      <c r="A12615" t="s">
        <v>496</v>
      </c>
      <c r="B12615" t="s">
        <v>84</v>
      </c>
      <c r="C12615">
        <v>530</v>
      </c>
      <c r="D12615" t="s">
        <v>80</v>
      </c>
      <c r="E12615">
        <v>4.5979999999999997E-3</v>
      </c>
      <c r="F12615" t="s">
        <v>74</v>
      </c>
      <c r="G12615">
        <v>4.5976400000000002</v>
      </c>
      <c r="H12615" t="s">
        <v>75</v>
      </c>
      <c r="I12615">
        <v>4597.6369999999997</v>
      </c>
      <c r="J12615" t="s">
        <v>76</v>
      </c>
      <c r="K12615" t="s">
        <v>77</v>
      </c>
    </row>
    <row r="12616" spans="1:12" x14ac:dyDescent="0.3">
      <c r="A12616" t="s">
        <v>496</v>
      </c>
      <c r="B12616" t="s">
        <v>84</v>
      </c>
      <c r="C12616">
        <v>530</v>
      </c>
      <c r="D12616" t="s">
        <v>81</v>
      </c>
      <c r="E12616">
        <v>4.6109999999999996E-3</v>
      </c>
      <c r="F12616" t="s">
        <v>74</v>
      </c>
      <c r="G12616">
        <v>4.6113099999999996</v>
      </c>
      <c r="H12616" t="s">
        <v>75</v>
      </c>
      <c r="I12616">
        <v>4611.3069999999998</v>
      </c>
      <c r="J12616" t="s">
        <v>76</v>
      </c>
      <c r="K12616" t="s">
        <v>82</v>
      </c>
      <c r="L12616">
        <v>216.85824460000001</v>
      </c>
    </row>
    <row r="12617" spans="1:12" x14ac:dyDescent="0.3">
      <c r="A12617" t="s">
        <v>497</v>
      </c>
      <c r="B12617" t="s">
        <v>72</v>
      </c>
      <c r="C12617">
        <v>1</v>
      </c>
      <c r="D12617" t="s">
        <v>79</v>
      </c>
      <c r="E12617">
        <v>6.1599999999999997E-3</v>
      </c>
      <c r="F12617" t="s">
        <v>74</v>
      </c>
      <c r="G12617">
        <v>6.1603000000000003</v>
      </c>
      <c r="H12617" t="s">
        <v>75</v>
      </c>
      <c r="I12617">
        <v>6160.3</v>
      </c>
      <c r="J12617" t="s">
        <v>76</v>
      </c>
      <c r="K12617" t="s">
        <v>77</v>
      </c>
    </row>
    <row r="12618" spans="1:12" x14ac:dyDescent="0.3">
      <c r="A12618" t="s">
        <v>497</v>
      </c>
      <c r="B12618" t="s">
        <v>72</v>
      </c>
      <c r="C12618">
        <v>1</v>
      </c>
      <c r="D12618" t="s">
        <v>94</v>
      </c>
      <c r="E12618">
        <v>3.3379999999999998E-3</v>
      </c>
      <c r="F12618" t="s">
        <v>74</v>
      </c>
      <c r="G12618">
        <v>3.3380000000000001</v>
      </c>
      <c r="H12618" t="s">
        <v>75</v>
      </c>
      <c r="I12618">
        <v>3338</v>
      </c>
      <c r="J12618" t="s">
        <v>76</v>
      </c>
      <c r="K12618" t="s">
        <v>77</v>
      </c>
    </row>
    <row r="12619" spans="1:12" x14ac:dyDescent="0.3">
      <c r="A12619" t="s">
        <v>497</v>
      </c>
      <c r="B12619" t="s">
        <v>72</v>
      </c>
      <c r="C12619">
        <v>1</v>
      </c>
      <c r="D12619" t="s">
        <v>80</v>
      </c>
      <c r="E12619">
        <v>3.48E-3</v>
      </c>
      <c r="F12619" t="s">
        <v>74</v>
      </c>
      <c r="G12619">
        <v>3.4803000000000002</v>
      </c>
      <c r="H12619" t="s">
        <v>75</v>
      </c>
      <c r="I12619">
        <v>3480.3</v>
      </c>
      <c r="J12619" t="s">
        <v>76</v>
      </c>
      <c r="K12619" t="s">
        <v>77</v>
      </c>
    </row>
    <row r="12620" spans="1:12" x14ac:dyDescent="0.3">
      <c r="A12620" t="s">
        <v>497</v>
      </c>
      <c r="B12620" t="s">
        <v>72</v>
      </c>
      <c r="C12620">
        <v>1</v>
      </c>
      <c r="D12620" t="s">
        <v>81</v>
      </c>
      <c r="E12620">
        <v>9.6410000000000003E-3</v>
      </c>
      <c r="F12620" t="s">
        <v>74</v>
      </c>
      <c r="G12620">
        <v>9.6414000000000009</v>
      </c>
      <c r="H12620" t="s">
        <v>75</v>
      </c>
      <c r="I12620">
        <v>9641.4</v>
      </c>
      <c r="J12620" t="s">
        <v>76</v>
      </c>
      <c r="K12620" t="s">
        <v>82</v>
      </c>
      <c r="L12620">
        <v>103.71938110000001</v>
      </c>
    </row>
    <row r="12621" spans="1:12" x14ac:dyDescent="0.3">
      <c r="A12621" t="s">
        <v>497</v>
      </c>
      <c r="B12621" t="s">
        <v>83</v>
      </c>
      <c r="C12621">
        <v>470</v>
      </c>
      <c r="D12621" t="s">
        <v>79</v>
      </c>
      <c r="E12621">
        <v>0</v>
      </c>
      <c r="F12621" t="s">
        <v>74</v>
      </c>
      <c r="G12621">
        <v>1.8000000000000001E-4</v>
      </c>
      <c r="H12621" t="s">
        <v>75</v>
      </c>
      <c r="I12621">
        <v>0.184</v>
      </c>
      <c r="J12621" t="s">
        <v>76</v>
      </c>
      <c r="K12621" t="s">
        <v>77</v>
      </c>
    </row>
    <row r="12622" spans="1:12" x14ac:dyDescent="0.3">
      <c r="A12622" t="s">
        <v>497</v>
      </c>
      <c r="B12622" t="s">
        <v>83</v>
      </c>
      <c r="C12622">
        <v>470</v>
      </c>
      <c r="D12622" t="s">
        <v>94</v>
      </c>
      <c r="E12622">
        <v>4.9940000000000002E-3</v>
      </c>
      <c r="F12622" t="s">
        <v>74</v>
      </c>
      <c r="G12622">
        <v>4.9938700000000003</v>
      </c>
      <c r="H12622" t="s">
        <v>75</v>
      </c>
      <c r="I12622">
        <v>4993.87</v>
      </c>
      <c r="J12622" t="s">
        <v>76</v>
      </c>
      <c r="K12622" t="s">
        <v>77</v>
      </c>
    </row>
    <row r="12623" spans="1:12" x14ac:dyDescent="0.3">
      <c r="A12623" t="s">
        <v>497</v>
      </c>
      <c r="B12623" t="s">
        <v>83</v>
      </c>
      <c r="C12623">
        <v>470</v>
      </c>
      <c r="D12623" t="s">
        <v>80</v>
      </c>
      <c r="E12623">
        <v>5.1529999999999996E-3</v>
      </c>
      <c r="F12623" t="s">
        <v>74</v>
      </c>
      <c r="G12623">
        <v>5.1529299999999996</v>
      </c>
      <c r="H12623" t="s">
        <v>75</v>
      </c>
      <c r="I12623">
        <v>5152.9350000000004</v>
      </c>
      <c r="J12623" t="s">
        <v>76</v>
      </c>
      <c r="K12623" t="s">
        <v>77</v>
      </c>
    </row>
    <row r="12624" spans="1:12" x14ac:dyDescent="0.3">
      <c r="A12624" t="s">
        <v>497</v>
      </c>
      <c r="B12624" t="s">
        <v>83</v>
      </c>
      <c r="C12624">
        <v>470</v>
      </c>
      <c r="D12624" t="s">
        <v>81</v>
      </c>
      <c r="E12624">
        <v>5.1529999999999996E-3</v>
      </c>
      <c r="F12624" t="s">
        <v>74</v>
      </c>
      <c r="G12624">
        <v>5.1532999999999998</v>
      </c>
      <c r="H12624" t="s">
        <v>75</v>
      </c>
      <c r="I12624">
        <v>5153.2960000000003</v>
      </c>
      <c r="J12624" t="s">
        <v>76</v>
      </c>
      <c r="K12624" t="s">
        <v>82</v>
      </c>
      <c r="L12624">
        <v>194.0505709</v>
      </c>
    </row>
    <row r="12625" spans="1:12" x14ac:dyDescent="0.3">
      <c r="A12625" t="s">
        <v>497</v>
      </c>
      <c r="B12625" t="s">
        <v>84</v>
      </c>
      <c r="C12625">
        <v>471</v>
      </c>
      <c r="D12625" t="s">
        <v>79</v>
      </c>
      <c r="E12625">
        <v>1.2999999999999999E-5</v>
      </c>
      <c r="F12625" t="s">
        <v>74</v>
      </c>
      <c r="G12625">
        <v>1.3259999999999999E-2</v>
      </c>
      <c r="H12625" t="s">
        <v>75</v>
      </c>
      <c r="I12625">
        <v>13.263</v>
      </c>
      <c r="J12625" t="s">
        <v>76</v>
      </c>
      <c r="K12625" t="s">
        <v>77</v>
      </c>
    </row>
    <row r="12626" spans="1:12" x14ac:dyDescent="0.3">
      <c r="A12626" t="s">
        <v>497</v>
      </c>
      <c r="B12626" t="s">
        <v>84</v>
      </c>
      <c r="C12626">
        <v>471</v>
      </c>
      <c r="D12626" t="s">
        <v>94</v>
      </c>
      <c r="E12626">
        <v>4.9899999999999996E-3</v>
      </c>
      <c r="F12626" t="s">
        <v>74</v>
      </c>
      <c r="G12626">
        <v>4.9903500000000003</v>
      </c>
      <c r="H12626" t="s">
        <v>75</v>
      </c>
      <c r="I12626">
        <v>4990.3540000000003</v>
      </c>
      <c r="J12626" t="s">
        <v>76</v>
      </c>
      <c r="K12626" t="s">
        <v>77</v>
      </c>
    </row>
    <row r="12627" spans="1:12" x14ac:dyDescent="0.3">
      <c r="A12627" t="s">
        <v>497</v>
      </c>
      <c r="B12627" t="s">
        <v>84</v>
      </c>
      <c r="C12627">
        <v>471</v>
      </c>
      <c r="D12627" t="s">
        <v>80</v>
      </c>
      <c r="E12627">
        <v>5.1489999999999999E-3</v>
      </c>
      <c r="F12627" t="s">
        <v>74</v>
      </c>
      <c r="G12627">
        <v>5.1493799999999998</v>
      </c>
      <c r="H12627" t="s">
        <v>75</v>
      </c>
      <c r="I12627">
        <v>5149.3829999999998</v>
      </c>
      <c r="J12627" t="s">
        <v>76</v>
      </c>
      <c r="K12627" t="s">
        <v>77</v>
      </c>
    </row>
    <row r="12628" spans="1:12" x14ac:dyDescent="0.3">
      <c r="A12628" t="s">
        <v>497</v>
      </c>
      <c r="B12628" t="s">
        <v>84</v>
      </c>
      <c r="C12628">
        <v>471</v>
      </c>
      <c r="D12628" t="s">
        <v>81</v>
      </c>
      <c r="E12628">
        <v>5.1630000000000001E-3</v>
      </c>
      <c r="F12628" t="s">
        <v>74</v>
      </c>
      <c r="G12628">
        <v>5.16282</v>
      </c>
      <c r="H12628" t="s">
        <v>75</v>
      </c>
      <c r="I12628">
        <v>5162.8249999999998</v>
      </c>
      <c r="J12628" t="s">
        <v>76</v>
      </c>
      <c r="K12628" t="s">
        <v>82</v>
      </c>
      <c r="L12628">
        <v>193.69241640000001</v>
      </c>
    </row>
    <row r="12629" spans="1:12" x14ac:dyDescent="0.3">
      <c r="A12629" t="s">
        <v>498</v>
      </c>
      <c r="B12629" t="s">
        <v>72</v>
      </c>
      <c r="C12629">
        <v>1</v>
      </c>
      <c r="D12629" t="s">
        <v>73</v>
      </c>
      <c r="E12629">
        <v>8.2999999999999998E-5</v>
      </c>
      <c r="F12629" t="s">
        <v>74</v>
      </c>
      <c r="G12629">
        <v>8.3299999999999999E-2</v>
      </c>
      <c r="H12629" t="s">
        <v>75</v>
      </c>
      <c r="I12629">
        <v>83.3</v>
      </c>
      <c r="J12629" t="s">
        <v>76</v>
      </c>
      <c r="K12629" t="s">
        <v>77</v>
      </c>
    </row>
    <row r="12630" spans="1:12" x14ac:dyDescent="0.3">
      <c r="A12630" t="s">
        <v>498</v>
      </c>
      <c r="B12630" t="s">
        <v>72</v>
      </c>
      <c r="C12630">
        <v>1</v>
      </c>
      <c r="D12630" t="s">
        <v>78</v>
      </c>
      <c r="E12630">
        <v>1.73E-4</v>
      </c>
      <c r="F12630" t="s">
        <v>74</v>
      </c>
      <c r="G12630">
        <v>0.17299999999999999</v>
      </c>
      <c r="H12630" t="s">
        <v>75</v>
      </c>
      <c r="I12630">
        <v>173</v>
      </c>
      <c r="J12630" t="s">
        <v>76</v>
      </c>
      <c r="K12630" t="s">
        <v>77</v>
      </c>
    </row>
    <row r="12631" spans="1:12" x14ac:dyDescent="0.3">
      <c r="A12631" t="s">
        <v>498</v>
      </c>
      <c r="B12631" t="s">
        <v>72</v>
      </c>
      <c r="C12631">
        <v>2</v>
      </c>
      <c r="D12631" t="s">
        <v>86</v>
      </c>
      <c r="E12631">
        <v>1.4527999999999999E-2</v>
      </c>
      <c r="F12631" t="s">
        <v>74</v>
      </c>
      <c r="G12631">
        <v>14.52825</v>
      </c>
      <c r="H12631" t="s">
        <v>75</v>
      </c>
      <c r="I12631">
        <v>14528.25</v>
      </c>
      <c r="J12631" t="s">
        <v>76</v>
      </c>
      <c r="K12631" t="s">
        <v>82</v>
      </c>
      <c r="L12631">
        <v>68.831413100000006</v>
      </c>
    </row>
    <row r="12632" spans="1:12" x14ac:dyDescent="0.3">
      <c r="A12632" t="s">
        <v>498</v>
      </c>
      <c r="B12632" t="s">
        <v>83</v>
      </c>
      <c r="C12632">
        <v>999</v>
      </c>
      <c r="D12632" t="s">
        <v>86</v>
      </c>
      <c r="E12632">
        <v>2.4450000000000001E-3</v>
      </c>
      <c r="F12632" t="s">
        <v>74</v>
      </c>
      <c r="G12632">
        <v>2.44509</v>
      </c>
      <c r="H12632" t="s">
        <v>75</v>
      </c>
      <c r="I12632">
        <v>2445.09</v>
      </c>
      <c r="J12632" t="s">
        <v>76</v>
      </c>
      <c r="K12632" t="s">
        <v>82</v>
      </c>
      <c r="L12632">
        <v>408.98295300000001</v>
      </c>
    </row>
    <row r="12633" spans="1:12" x14ac:dyDescent="0.3">
      <c r="A12633" t="s">
        <v>498</v>
      </c>
      <c r="B12633" t="s">
        <v>85</v>
      </c>
      <c r="C12633">
        <v>1001</v>
      </c>
      <c r="D12633" t="s">
        <v>86</v>
      </c>
      <c r="E12633">
        <v>2.4529999999999999E-3</v>
      </c>
      <c r="F12633" t="s">
        <v>74</v>
      </c>
      <c r="G12633">
        <v>2.45282</v>
      </c>
      <c r="H12633" t="s">
        <v>75</v>
      </c>
      <c r="I12633">
        <v>2452.8180000000002</v>
      </c>
      <c r="J12633" t="s">
        <v>76</v>
      </c>
      <c r="K12633" t="s">
        <v>82</v>
      </c>
      <c r="L12633">
        <v>407.69426290000001</v>
      </c>
    </row>
    <row r="12634" spans="1:12" x14ac:dyDescent="0.3">
      <c r="A12634" t="s">
        <v>115</v>
      </c>
    </row>
    <row r="12635" spans="1:12" x14ac:dyDescent="0.3">
      <c r="A12635" t="s">
        <v>127</v>
      </c>
    </row>
    <row r="12636" spans="1:12" x14ac:dyDescent="0.3">
      <c r="A12636" t="s">
        <v>87</v>
      </c>
    </row>
    <row r="12637" spans="1:12" x14ac:dyDescent="0.3">
      <c r="A12637" t="s">
        <v>508</v>
      </c>
    </row>
    <row r="12638" spans="1:12" x14ac:dyDescent="0.3">
      <c r="A12638" t="s">
        <v>496</v>
      </c>
      <c r="B12638" t="s">
        <v>72</v>
      </c>
      <c r="C12638">
        <v>1</v>
      </c>
      <c r="D12638" t="s">
        <v>81</v>
      </c>
      <c r="E12638">
        <v>0.50295699999999999</v>
      </c>
      <c r="F12638" t="s">
        <v>74</v>
      </c>
      <c r="G12638">
        <v>502.95722000000001</v>
      </c>
      <c r="H12638" t="s">
        <v>75</v>
      </c>
      <c r="I12638">
        <v>502957.22499999998</v>
      </c>
      <c r="J12638" t="s">
        <v>76</v>
      </c>
      <c r="K12638" t="s">
        <v>82</v>
      </c>
      <c r="L12638">
        <v>1.9882407</v>
      </c>
    </row>
    <row r="12639" spans="1:12" x14ac:dyDescent="0.3">
      <c r="A12639" t="s">
        <v>496</v>
      </c>
      <c r="B12639" t="s">
        <v>83</v>
      </c>
      <c r="C12639">
        <v>399</v>
      </c>
      <c r="D12639" t="s">
        <v>81</v>
      </c>
      <c r="E12639">
        <v>5.2630000000000003E-3</v>
      </c>
      <c r="F12639" t="s">
        <v>74</v>
      </c>
      <c r="G12639">
        <v>5.2628700000000004</v>
      </c>
      <c r="H12639" t="s">
        <v>75</v>
      </c>
      <c r="I12639">
        <v>5262.8739999999998</v>
      </c>
      <c r="J12639" t="s">
        <v>76</v>
      </c>
      <c r="K12639" t="s">
        <v>82</v>
      </c>
      <c r="L12639">
        <v>190.0102339</v>
      </c>
    </row>
    <row r="12640" spans="1:12" x14ac:dyDescent="0.3">
      <c r="A12640" t="s">
        <v>496</v>
      </c>
      <c r="B12640" t="s">
        <v>84</v>
      </c>
      <c r="C12640">
        <v>400</v>
      </c>
      <c r="D12640" t="s">
        <v>81</v>
      </c>
      <c r="E12640">
        <v>6.5069999999999998E-3</v>
      </c>
      <c r="F12640" t="s">
        <v>74</v>
      </c>
      <c r="G12640">
        <v>6.5071099999999999</v>
      </c>
      <c r="H12640" t="s">
        <v>75</v>
      </c>
      <c r="I12640">
        <v>6507.1049999999996</v>
      </c>
      <c r="J12640" t="s">
        <v>76</v>
      </c>
      <c r="K12640" t="s">
        <v>82</v>
      </c>
      <c r="L12640">
        <v>153.67816629999999</v>
      </c>
    </row>
    <row r="12641" spans="1:12" x14ac:dyDescent="0.3">
      <c r="A12641" t="s">
        <v>497</v>
      </c>
      <c r="B12641" t="s">
        <v>72</v>
      </c>
      <c r="C12641">
        <v>1</v>
      </c>
      <c r="D12641" t="s">
        <v>81</v>
      </c>
      <c r="E12641">
        <v>0.14894199999999999</v>
      </c>
      <c r="F12641" t="s">
        <v>74</v>
      </c>
      <c r="G12641">
        <v>148.9418</v>
      </c>
      <c r="H12641" t="s">
        <v>75</v>
      </c>
      <c r="I12641">
        <v>148941.79999999999</v>
      </c>
      <c r="J12641" t="s">
        <v>76</v>
      </c>
      <c r="K12641" t="s">
        <v>82</v>
      </c>
      <c r="L12641">
        <v>6.7140319000000002</v>
      </c>
    </row>
    <row r="12642" spans="1:12" x14ac:dyDescent="0.3">
      <c r="A12642" t="s">
        <v>497</v>
      </c>
      <c r="B12642" t="s">
        <v>83</v>
      </c>
      <c r="C12642">
        <v>600</v>
      </c>
      <c r="D12642" t="s">
        <v>81</v>
      </c>
      <c r="E12642">
        <v>4.0790000000000002E-3</v>
      </c>
      <c r="F12642" t="s">
        <v>74</v>
      </c>
      <c r="G12642">
        <v>4.0786699999999998</v>
      </c>
      <c r="H12642" t="s">
        <v>75</v>
      </c>
      <c r="I12642">
        <v>4078.6660000000002</v>
      </c>
      <c r="J12642" t="s">
        <v>76</v>
      </c>
      <c r="K12642" t="s">
        <v>82</v>
      </c>
      <c r="L12642">
        <v>245.17822849999999</v>
      </c>
    </row>
    <row r="12643" spans="1:12" x14ac:dyDescent="0.3">
      <c r="A12643" t="s">
        <v>497</v>
      </c>
      <c r="B12643" t="s">
        <v>84</v>
      </c>
      <c r="C12643">
        <v>601</v>
      </c>
      <c r="D12643" t="s">
        <v>81</v>
      </c>
      <c r="E12643">
        <v>4.3200000000000001E-3</v>
      </c>
      <c r="F12643" t="s">
        <v>74</v>
      </c>
      <c r="G12643">
        <v>4.3197000000000001</v>
      </c>
      <c r="H12643" t="s">
        <v>75</v>
      </c>
      <c r="I12643">
        <v>4319.7030000000004</v>
      </c>
      <c r="J12643" t="s">
        <v>76</v>
      </c>
      <c r="K12643" t="s">
        <v>82</v>
      </c>
      <c r="L12643">
        <v>231.49739030000001</v>
      </c>
    </row>
    <row r="12644" spans="1:12" x14ac:dyDescent="0.3">
      <c r="A12644" t="s">
        <v>498</v>
      </c>
      <c r="B12644" t="s">
        <v>72</v>
      </c>
      <c r="C12644">
        <v>2</v>
      </c>
      <c r="D12644" t="s">
        <v>86</v>
      </c>
      <c r="E12644">
        <v>0.25150400000000001</v>
      </c>
      <c r="F12644" t="s">
        <v>74</v>
      </c>
      <c r="G12644">
        <v>251.50421</v>
      </c>
      <c r="H12644" t="s">
        <v>75</v>
      </c>
      <c r="I12644">
        <v>251504.21299999999</v>
      </c>
      <c r="J12644" t="s">
        <v>76</v>
      </c>
      <c r="K12644" t="s">
        <v>82</v>
      </c>
      <c r="L12644">
        <v>3.9760765</v>
      </c>
    </row>
    <row r="12645" spans="1:12" x14ac:dyDescent="0.3">
      <c r="A12645" t="s">
        <v>498</v>
      </c>
      <c r="B12645" t="s">
        <v>83</v>
      </c>
      <c r="C12645">
        <v>999</v>
      </c>
      <c r="D12645" t="s">
        <v>86</v>
      </c>
      <c r="E12645">
        <v>2.464E-3</v>
      </c>
      <c r="F12645" t="s">
        <v>74</v>
      </c>
      <c r="G12645">
        <v>2.46394</v>
      </c>
      <c r="H12645" t="s">
        <v>75</v>
      </c>
      <c r="I12645">
        <v>2463.9450000000002</v>
      </c>
      <c r="J12645" t="s">
        <v>76</v>
      </c>
      <c r="K12645" t="s">
        <v>82</v>
      </c>
      <c r="L12645">
        <v>405.85328720000001</v>
      </c>
    </row>
    <row r="12646" spans="1:12" x14ac:dyDescent="0.3">
      <c r="A12646" t="s">
        <v>498</v>
      </c>
      <c r="B12646" t="s">
        <v>85</v>
      </c>
      <c r="C12646">
        <v>1001</v>
      </c>
      <c r="D12646" t="s">
        <v>86</v>
      </c>
      <c r="E12646">
        <v>2.611E-3</v>
      </c>
      <c r="F12646" t="s">
        <v>74</v>
      </c>
      <c r="G12646">
        <v>2.6111</v>
      </c>
      <c r="H12646" t="s">
        <v>75</v>
      </c>
      <c r="I12646">
        <v>2611.096</v>
      </c>
      <c r="J12646" t="s">
        <v>76</v>
      </c>
      <c r="K12646" t="s">
        <v>82</v>
      </c>
      <c r="L12646">
        <v>382.9808744</v>
      </c>
    </row>
    <row r="12648" spans="1:12" x14ac:dyDescent="0.3">
      <c r="A12648" t="s">
        <v>509</v>
      </c>
    </row>
    <row r="12649" spans="1:12" x14ac:dyDescent="0.3">
      <c r="A12649" t="s">
        <v>496</v>
      </c>
      <c r="B12649" t="s">
        <v>72</v>
      </c>
      <c r="C12649">
        <v>1</v>
      </c>
      <c r="D12649" t="s">
        <v>81</v>
      </c>
      <c r="E12649">
        <v>2.9051E-2</v>
      </c>
      <c r="F12649" t="s">
        <v>74</v>
      </c>
      <c r="G12649">
        <v>29.050799999999999</v>
      </c>
      <c r="H12649" t="s">
        <v>75</v>
      </c>
      <c r="I12649">
        <v>29050.798999999999</v>
      </c>
      <c r="J12649" t="s">
        <v>76</v>
      </c>
      <c r="K12649" t="s">
        <v>82</v>
      </c>
      <c r="L12649">
        <v>34.422460999999998</v>
      </c>
    </row>
    <row r="12650" spans="1:12" x14ac:dyDescent="0.3">
      <c r="A12650" t="s">
        <v>496</v>
      </c>
      <c r="B12650" t="s">
        <v>83</v>
      </c>
      <c r="C12650">
        <v>529</v>
      </c>
      <c r="D12650" t="s">
        <v>81</v>
      </c>
      <c r="E12650">
        <v>4.5649999999999996E-3</v>
      </c>
      <c r="F12650" t="s">
        <v>74</v>
      </c>
      <c r="G12650">
        <v>4.5651099999999998</v>
      </c>
      <c r="H12650" t="s">
        <v>75</v>
      </c>
      <c r="I12650">
        <v>4565.107</v>
      </c>
      <c r="J12650" t="s">
        <v>76</v>
      </c>
      <c r="K12650" t="s">
        <v>82</v>
      </c>
      <c r="L12650">
        <v>219.05289920000001</v>
      </c>
    </row>
    <row r="12651" spans="1:12" x14ac:dyDescent="0.3">
      <c r="A12651" t="s">
        <v>496</v>
      </c>
      <c r="B12651" t="s">
        <v>84</v>
      </c>
      <c r="C12651">
        <v>530</v>
      </c>
      <c r="D12651" t="s">
        <v>81</v>
      </c>
      <c r="E12651">
        <v>4.6109999999999996E-3</v>
      </c>
      <c r="F12651" t="s">
        <v>74</v>
      </c>
      <c r="G12651">
        <v>4.6113099999999996</v>
      </c>
      <c r="H12651" t="s">
        <v>75</v>
      </c>
      <c r="I12651">
        <v>4611.3069999999998</v>
      </c>
      <c r="J12651" t="s">
        <v>76</v>
      </c>
      <c r="K12651" t="s">
        <v>82</v>
      </c>
      <c r="L12651">
        <v>216.85824460000001</v>
      </c>
    </row>
    <row r="12652" spans="1:12" x14ac:dyDescent="0.3">
      <c r="A12652" t="s">
        <v>497</v>
      </c>
      <c r="B12652" t="s">
        <v>72</v>
      </c>
      <c r="C12652">
        <v>1</v>
      </c>
      <c r="D12652" t="s">
        <v>81</v>
      </c>
      <c r="E12652">
        <v>9.6410000000000003E-3</v>
      </c>
      <c r="F12652" t="s">
        <v>74</v>
      </c>
      <c r="G12652">
        <v>9.6414000000000009</v>
      </c>
      <c r="H12652" t="s">
        <v>75</v>
      </c>
      <c r="I12652">
        <v>9641.4</v>
      </c>
      <c r="J12652" t="s">
        <v>76</v>
      </c>
      <c r="K12652" t="s">
        <v>82</v>
      </c>
      <c r="L12652">
        <v>103.71938110000001</v>
      </c>
    </row>
    <row r="12653" spans="1:12" x14ac:dyDescent="0.3">
      <c r="A12653" t="s">
        <v>497</v>
      </c>
      <c r="B12653" t="s">
        <v>83</v>
      </c>
      <c r="C12653">
        <v>470</v>
      </c>
      <c r="D12653" t="s">
        <v>81</v>
      </c>
      <c r="E12653">
        <v>5.1529999999999996E-3</v>
      </c>
      <c r="F12653" t="s">
        <v>74</v>
      </c>
      <c r="G12653">
        <v>5.1532999999999998</v>
      </c>
      <c r="H12653" t="s">
        <v>75</v>
      </c>
      <c r="I12653">
        <v>5153.2960000000003</v>
      </c>
      <c r="J12653" t="s">
        <v>76</v>
      </c>
      <c r="K12653" t="s">
        <v>82</v>
      </c>
      <c r="L12653">
        <v>194.0505709</v>
      </c>
    </row>
    <row r="12654" spans="1:12" x14ac:dyDescent="0.3">
      <c r="A12654" t="s">
        <v>497</v>
      </c>
      <c r="B12654" t="s">
        <v>84</v>
      </c>
      <c r="C12654">
        <v>471</v>
      </c>
      <c r="D12654" t="s">
        <v>81</v>
      </c>
      <c r="E12654">
        <v>5.1630000000000001E-3</v>
      </c>
      <c r="F12654" t="s">
        <v>74</v>
      </c>
      <c r="G12654">
        <v>5.16282</v>
      </c>
      <c r="H12654" t="s">
        <v>75</v>
      </c>
      <c r="I12654">
        <v>5162.8249999999998</v>
      </c>
      <c r="J12654" t="s">
        <v>76</v>
      </c>
      <c r="K12654" t="s">
        <v>82</v>
      </c>
      <c r="L12654">
        <v>193.69241640000001</v>
      </c>
    </row>
    <row r="12655" spans="1:12" x14ac:dyDescent="0.3">
      <c r="A12655" t="s">
        <v>498</v>
      </c>
      <c r="B12655" t="s">
        <v>72</v>
      </c>
      <c r="C12655">
        <v>2</v>
      </c>
      <c r="D12655" t="s">
        <v>86</v>
      </c>
      <c r="E12655">
        <v>1.4527999999999999E-2</v>
      </c>
      <c r="F12655" t="s">
        <v>74</v>
      </c>
      <c r="G12655">
        <v>14.52825</v>
      </c>
      <c r="H12655" t="s">
        <v>75</v>
      </c>
      <c r="I12655">
        <v>14528.25</v>
      </c>
      <c r="J12655" t="s">
        <v>76</v>
      </c>
      <c r="K12655" t="s">
        <v>82</v>
      </c>
      <c r="L12655">
        <v>68.831413100000006</v>
      </c>
    </row>
    <row r="12656" spans="1:12" x14ac:dyDescent="0.3">
      <c r="A12656" t="s">
        <v>498</v>
      </c>
      <c r="B12656" t="s">
        <v>83</v>
      </c>
      <c r="C12656">
        <v>999</v>
      </c>
      <c r="D12656" t="s">
        <v>86</v>
      </c>
      <c r="E12656">
        <v>2.4450000000000001E-3</v>
      </c>
      <c r="F12656" t="s">
        <v>74</v>
      </c>
      <c r="G12656">
        <v>2.44509</v>
      </c>
      <c r="H12656" t="s">
        <v>75</v>
      </c>
      <c r="I12656">
        <v>2445.09</v>
      </c>
      <c r="J12656" t="s">
        <v>76</v>
      </c>
      <c r="K12656" t="s">
        <v>82</v>
      </c>
      <c r="L12656">
        <v>408.98295300000001</v>
      </c>
    </row>
    <row r="12657" spans="1:12" x14ac:dyDescent="0.3">
      <c r="A12657" t="s">
        <v>498</v>
      </c>
      <c r="B12657" t="s">
        <v>85</v>
      </c>
      <c r="C12657">
        <v>1001</v>
      </c>
      <c r="D12657" t="s">
        <v>86</v>
      </c>
      <c r="E12657">
        <v>2.4529999999999999E-3</v>
      </c>
      <c r="F12657" t="s">
        <v>74</v>
      </c>
      <c r="G12657">
        <v>2.45282</v>
      </c>
      <c r="H12657" t="s">
        <v>75</v>
      </c>
      <c r="I12657">
        <v>2452.8180000000002</v>
      </c>
      <c r="J12657" t="s">
        <v>76</v>
      </c>
      <c r="K12657" t="s">
        <v>82</v>
      </c>
      <c r="L12657">
        <v>407.69426290000001</v>
      </c>
    </row>
    <row r="12659" spans="1:12" x14ac:dyDescent="0.3">
      <c r="A12659" t="s">
        <v>66</v>
      </c>
    </row>
    <row r="12661" spans="1:12" x14ac:dyDescent="0.3">
      <c r="A12661" t="s">
        <v>567</v>
      </c>
    </row>
    <row r="12662" spans="1:12" x14ac:dyDescent="0.3">
      <c r="A12662" t="s">
        <v>68</v>
      </c>
    </row>
    <row r="12663" spans="1:12" x14ac:dyDescent="0.3">
      <c r="A12663" t="s">
        <v>69</v>
      </c>
    </row>
    <row r="12664" spans="1:12" x14ac:dyDescent="0.3">
      <c r="A12664" t="s">
        <v>68</v>
      </c>
    </row>
    <row r="12665" spans="1:12" x14ac:dyDescent="0.3">
      <c r="A12665" t="s">
        <v>69</v>
      </c>
    </row>
    <row r="12666" spans="1:12" x14ac:dyDescent="0.3">
      <c r="A12666" t="s">
        <v>70</v>
      </c>
    </row>
    <row r="12667" spans="1:12" x14ac:dyDescent="0.3">
      <c r="A12667" t="s">
        <v>115</v>
      </c>
    </row>
    <row r="12668" spans="1:12" x14ac:dyDescent="0.3">
      <c r="A12668" t="s">
        <v>116</v>
      </c>
    </row>
    <row r="12669" spans="1:12" x14ac:dyDescent="0.3">
      <c r="A12669" t="s">
        <v>117</v>
      </c>
    </row>
    <row r="12670" spans="1:12" x14ac:dyDescent="0.3">
      <c r="A12670" t="s">
        <v>118</v>
      </c>
    </row>
    <row r="12671" spans="1:12" x14ac:dyDescent="0.3">
      <c r="A12671" t="s">
        <v>119</v>
      </c>
    </row>
    <row r="12672" spans="1:12" x14ac:dyDescent="0.3">
      <c r="A12672" t="s">
        <v>120</v>
      </c>
    </row>
    <row r="12673" spans="1:1" x14ac:dyDescent="0.3">
      <c r="A12673" t="s">
        <v>121</v>
      </c>
    </row>
    <row r="12674" spans="1:1" x14ac:dyDescent="0.3">
      <c r="A12674" t="s">
        <v>122</v>
      </c>
    </row>
    <row r="12675" spans="1:1" x14ac:dyDescent="0.3">
      <c r="A12675" t="s">
        <v>123</v>
      </c>
    </row>
    <row r="12676" spans="1:1" x14ac:dyDescent="0.3">
      <c r="A12676" t="s">
        <v>124</v>
      </c>
    </row>
    <row r="12677" spans="1:1" x14ac:dyDescent="0.3">
      <c r="A12677" t="s">
        <v>125</v>
      </c>
    </row>
    <row r="12678" spans="1:1" x14ac:dyDescent="0.3">
      <c r="A12678" t="s">
        <v>126</v>
      </c>
    </row>
    <row r="12679" spans="1:1" x14ac:dyDescent="0.3">
      <c r="A12679" t="s">
        <v>127</v>
      </c>
    </row>
    <row r="12680" spans="1:1" x14ac:dyDescent="0.3">
      <c r="A12680" t="s">
        <v>146</v>
      </c>
    </row>
    <row r="12681" spans="1:1" x14ac:dyDescent="0.3">
      <c r="A12681" t="s">
        <v>115</v>
      </c>
    </row>
    <row r="12682" spans="1:1" x14ac:dyDescent="0.3">
      <c r="A12682" t="s">
        <v>266</v>
      </c>
    </row>
    <row r="12683" spans="1:1" x14ac:dyDescent="0.3">
      <c r="A12683" t="s">
        <v>267</v>
      </c>
    </row>
    <row r="12684" spans="1:1" x14ac:dyDescent="0.3">
      <c r="A12684" t="s">
        <v>118</v>
      </c>
    </row>
    <row r="12685" spans="1:1" x14ac:dyDescent="0.3">
      <c r="A12685" t="s">
        <v>119</v>
      </c>
    </row>
    <row r="12686" spans="1:1" x14ac:dyDescent="0.3">
      <c r="A12686" t="s">
        <v>268</v>
      </c>
    </row>
    <row r="12687" spans="1:1" x14ac:dyDescent="0.3">
      <c r="A12687" t="s">
        <v>269</v>
      </c>
    </row>
    <row r="12688" spans="1:1" x14ac:dyDescent="0.3">
      <c r="A12688" t="s">
        <v>122</v>
      </c>
    </row>
    <row r="12689" spans="1:12" x14ac:dyDescent="0.3">
      <c r="A12689" t="s">
        <v>270</v>
      </c>
    </row>
    <row r="12690" spans="1:12" x14ac:dyDescent="0.3">
      <c r="A12690" t="s">
        <v>271</v>
      </c>
    </row>
    <row r="12691" spans="1:12" x14ac:dyDescent="0.3">
      <c r="A12691" t="s">
        <v>125</v>
      </c>
    </row>
    <row r="12692" spans="1:12" x14ac:dyDescent="0.3">
      <c r="A12692" t="s">
        <v>126</v>
      </c>
    </row>
    <row r="12693" spans="1:12" x14ac:dyDescent="0.3">
      <c r="A12693" t="s">
        <v>127</v>
      </c>
    </row>
    <row r="12694" spans="1:12" x14ac:dyDescent="0.3">
      <c r="A12694" t="s">
        <v>146</v>
      </c>
    </row>
    <row r="12695" spans="1:12" x14ac:dyDescent="0.3">
      <c r="A12695" t="s">
        <v>511</v>
      </c>
    </row>
    <row r="12696" spans="1:12" x14ac:dyDescent="0.3">
      <c r="A12696" t="s">
        <v>496</v>
      </c>
      <c r="B12696" t="s">
        <v>72</v>
      </c>
      <c r="C12696">
        <v>1</v>
      </c>
      <c r="D12696" t="s">
        <v>79</v>
      </c>
      <c r="E12696">
        <v>0.40771600000000002</v>
      </c>
      <c r="F12696" t="s">
        <v>74</v>
      </c>
      <c r="G12696">
        <v>407.71600999999998</v>
      </c>
      <c r="H12696" t="s">
        <v>75</v>
      </c>
      <c r="I12696">
        <v>407716.00599999999</v>
      </c>
      <c r="J12696" t="s">
        <v>76</v>
      </c>
      <c r="K12696" t="s">
        <v>77</v>
      </c>
    </row>
    <row r="12697" spans="1:12" x14ac:dyDescent="0.3">
      <c r="A12697" t="s">
        <v>496</v>
      </c>
      <c r="B12697" t="s">
        <v>72</v>
      </c>
      <c r="C12697">
        <v>1</v>
      </c>
      <c r="D12697" t="s">
        <v>94</v>
      </c>
      <c r="E12697">
        <v>2.2875E-2</v>
      </c>
      <c r="F12697" t="s">
        <v>74</v>
      </c>
      <c r="G12697">
        <v>22.874700000000001</v>
      </c>
      <c r="H12697" t="s">
        <v>75</v>
      </c>
      <c r="I12697">
        <v>22874.7</v>
      </c>
      <c r="J12697" t="s">
        <v>76</v>
      </c>
      <c r="K12697" t="s">
        <v>77</v>
      </c>
    </row>
    <row r="12698" spans="1:12" x14ac:dyDescent="0.3">
      <c r="A12698" t="s">
        <v>496</v>
      </c>
      <c r="B12698" t="s">
        <v>72</v>
      </c>
      <c r="C12698">
        <v>1</v>
      </c>
      <c r="D12698" t="s">
        <v>80</v>
      </c>
      <c r="E12698">
        <v>2.2875E-2</v>
      </c>
      <c r="F12698" t="s">
        <v>74</v>
      </c>
      <c r="G12698">
        <v>22.875399999999999</v>
      </c>
      <c r="H12698" t="s">
        <v>75</v>
      </c>
      <c r="I12698">
        <v>22875.4</v>
      </c>
      <c r="J12698" t="s">
        <v>76</v>
      </c>
      <c r="K12698" t="s">
        <v>77</v>
      </c>
    </row>
    <row r="12699" spans="1:12" x14ac:dyDescent="0.3">
      <c r="A12699" t="s">
        <v>496</v>
      </c>
      <c r="B12699" t="s">
        <v>72</v>
      </c>
      <c r="C12699">
        <v>1</v>
      </c>
      <c r="D12699" t="s">
        <v>81</v>
      </c>
      <c r="E12699">
        <v>0.43059199999999997</v>
      </c>
      <c r="F12699" t="s">
        <v>74</v>
      </c>
      <c r="G12699">
        <v>430.59179</v>
      </c>
      <c r="H12699" t="s">
        <v>75</v>
      </c>
      <c r="I12699">
        <v>430591.79200000002</v>
      </c>
      <c r="J12699" t="s">
        <v>76</v>
      </c>
      <c r="K12699" t="s">
        <v>82</v>
      </c>
      <c r="L12699">
        <v>2.3223851999999998</v>
      </c>
    </row>
    <row r="12700" spans="1:12" x14ac:dyDescent="0.3">
      <c r="A12700" t="s">
        <v>496</v>
      </c>
      <c r="B12700" t="s">
        <v>83</v>
      </c>
      <c r="C12700">
        <v>432</v>
      </c>
      <c r="D12700" t="s">
        <v>79</v>
      </c>
      <c r="E12700">
        <v>0</v>
      </c>
      <c r="F12700" t="s">
        <v>74</v>
      </c>
      <c r="G12700">
        <v>1.9000000000000001E-4</v>
      </c>
      <c r="H12700" t="s">
        <v>75</v>
      </c>
      <c r="I12700">
        <v>0.19</v>
      </c>
      <c r="J12700" t="s">
        <v>76</v>
      </c>
      <c r="K12700" t="s">
        <v>77</v>
      </c>
    </row>
    <row r="12701" spans="1:12" x14ac:dyDescent="0.3">
      <c r="A12701" t="s">
        <v>496</v>
      </c>
      <c r="B12701" t="s">
        <v>83</v>
      </c>
      <c r="C12701">
        <v>432</v>
      </c>
      <c r="D12701" t="s">
        <v>94</v>
      </c>
      <c r="E12701">
        <v>4.8510000000000003E-3</v>
      </c>
      <c r="F12701" t="s">
        <v>74</v>
      </c>
      <c r="G12701">
        <v>4.8513900000000003</v>
      </c>
      <c r="H12701" t="s">
        <v>75</v>
      </c>
      <c r="I12701">
        <v>4851.3919999999998</v>
      </c>
      <c r="J12701" t="s">
        <v>76</v>
      </c>
      <c r="K12701" t="s">
        <v>77</v>
      </c>
    </row>
    <row r="12702" spans="1:12" x14ac:dyDescent="0.3">
      <c r="A12702" t="s">
        <v>496</v>
      </c>
      <c r="B12702" t="s">
        <v>83</v>
      </c>
      <c r="C12702">
        <v>432</v>
      </c>
      <c r="D12702" t="s">
        <v>80</v>
      </c>
      <c r="E12702">
        <v>5.0099999999999997E-3</v>
      </c>
      <c r="F12702" t="s">
        <v>74</v>
      </c>
      <c r="G12702">
        <v>5.0097100000000001</v>
      </c>
      <c r="H12702" t="s">
        <v>75</v>
      </c>
      <c r="I12702">
        <v>5009.7070000000003</v>
      </c>
      <c r="J12702" t="s">
        <v>76</v>
      </c>
      <c r="K12702" t="s">
        <v>77</v>
      </c>
    </row>
    <row r="12703" spans="1:12" x14ac:dyDescent="0.3">
      <c r="A12703" t="s">
        <v>496</v>
      </c>
      <c r="B12703" t="s">
        <v>83</v>
      </c>
      <c r="C12703">
        <v>432</v>
      </c>
      <c r="D12703" t="s">
        <v>81</v>
      </c>
      <c r="E12703">
        <v>5.0099999999999997E-3</v>
      </c>
      <c r="F12703" t="s">
        <v>74</v>
      </c>
      <c r="G12703">
        <v>5.0100800000000003</v>
      </c>
      <c r="H12703" t="s">
        <v>75</v>
      </c>
      <c r="I12703">
        <v>5010.0789999999997</v>
      </c>
      <c r="J12703" t="s">
        <v>76</v>
      </c>
      <c r="K12703" t="s">
        <v>82</v>
      </c>
      <c r="L12703">
        <v>199.59765490000001</v>
      </c>
    </row>
    <row r="12704" spans="1:12" x14ac:dyDescent="0.3">
      <c r="A12704" t="s">
        <v>496</v>
      </c>
      <c r="B12704" t="s">
        <v>84</v>
      </c>
      <c r="C12704">
        <v>433</v>
      </c>
      <c r="D12704" t="s">
        <v>79</v>
      </c>
      <c r="E12704">
        <v>9.4200000000000002E-4</v>
      </c>
      <c r="F12704" t="s">
        <v>74</v>
      </c>
      <c r="G12704">
        <v>0.94179999999999997</v>
      </c>
      <c r="H12704" t="s">
        <v>75</v>
      </c>
      <c r="I12704">
        <v>941.79899999999998</v>
      </c>
      <c r="J12704" t="s">
        <v>76</v>
      </c>
      <c r="K12704" t="s">
        <v>77</v>
      </c>
    </row>
    <row r="12705" spans="1:12" x14ac:dyDescent="0.3">
      <c r="A12705" t="s">
        <v>496</v>
      </c>
      <c r="B12705" t="s">
        <v>84</v>
      </c>
      <c r="C12705">
        <v>433</v>
      </c>
      <c r="D12705" t="s">
        <v>94</v>
      </c>
      <c r="E12705">
        <v>4.8929999999999998E-3</v>
      </c>
      <c r="F12705" t="s">
        <v>74</v>
      </c>
      <c r="G12705">
        <v>4.8930199999999999</v>
      </c>
      <c r="H12705" t="s">
        <v>75</v>
      </c>
      <c r="I12705">
        <v>4893.0169999999998</v>
      </c>
      <c r="J12705" t="s">
        <v>76</v>
      </c>
      <c r="K12705" t="s">
        <v>77</v>
      </c>
    </row>
    <row r="12706" spans="1:12" x14ac:dyDescent="0.3">
      <c r="A12706" t="s">
        <v>496</v>
      </c>
      <c r="B12706" t="s">
        <v>84</v>
      </c>
      <c r="C12706">
        <v>433</v>
      </c>
      <c r="D12706" t="s">
        <v>80</v>
      </c>
      <c r="E12706">
        <v>5.0509999999999999E-3</v>
      </c>
      <c r="F12706" t="s">
        <v>74</v>
      </c>
      <c r="G12706">
        <v>5.0509700000000004</v>
      </c>
      <c r="H12706" t="s">
        <v>75</v>
      </c>
      <c r="I12706">
        <v>5050.9679999999998</v>
      </c>
      <c r="J12706" t="s">
        <v>76</v>
      </c>
      <c r="K12706" t="s">
        <v>77</v>
      </c>
    </row>
    <row r="12707" spans="1:12" x14ac:dyDescent="0.3">
      <c r="A12707" t="s">
        <v>496</v>
      </c>
      <c r="B12707" t="s">
        <v>84</v>
      </c>
      <c r="C12707">
        <v>433</v>
      </c>
      <c r="D12707" t="s">
        <v>81</v>
      </c>
      <c r="E12707">
        <v>5.9930000000000001E-3</v>
      </c>
      <c r="F12707" t="s">
        <v>74</v>
      </c>
      <c r="G12707">
        <v>5.9929500000000004</v>
      </c>
      <c r="H12707" t="s">
        <v>75</v>
      </c>
      <c r="I12707">
        <v>5992.9489999999996</v>
      </c>
      <c r="J12707" t="s">
        <v>76</v>
      </c>
      <c r="K12707" t="s">
        <v>82</v>
      </c>
      <c r="L12707">
        <v>166.86276179999999</v>
      </c>
    </row>
    <row r="12708" spans="1:12" x14ac:dyDescent="0.3">
      <c r="A12708" t="s">
        <v>497</v>
      </c>
      <c r="B12708" t="s">
        <v>72</v>
      </c>
      <c r="C12708">
        <v>1</v>
      </c>
      <c r="D12708" t="s">
        <v>79</v>
      </c>
      <c r="E12708">
        <v>0.11187800000000001</v>
      </c>
      <c r="F12708" t="s">
        <v>74</v>
      </c>
      <c r="G12708">
        <v>111.8775</v>
      </c>
      <c r="H12708" t="s">
        <v>75</v>
      </c>
      <c r="I12708">
        <v>111877.501</v>
      </c>
      <c r="J12708" t="s">
        <v>76</v>
      </c>
      <c r="K12708" t="s">
        <v>77</v>
      </c>
    </row>
    <row r="12709" spans="1:12" x14ac:dyDescent="0.3">
      <c r="A12709" t="s">
        <v>497</v>
      </c>
      <c r="B12709" t="s">
        <v>72</v>
      </c>
      <c r="C12709">
        <v>1</v>
      </c>
      <c r="D12709" t="s">
        <v>94</v>
      </c>
      <c r="E12709">
        <v>9.4199999999999996E-3</v>
      </c>
      <c r="F12709" t="s">
        <v>74</v>
      </c>
      <c r="G12709">
        <v>9.4204000000000008</v>
      </c>
      <c r="H12709" t="s">
        <v>75</v>
      </c>
      <c r="I12709">
        <v>9420.4</v>
      </c>
      <c r="J12709" t="s">
        <v>76</v>
      </c>
      <c r="K12709" t="s">
        <v>77</v>
      </c>
    </row>
    <row r="12710" spans="1:12" x14ac:dyDescent="0.3">
      <c r="A12710" t="s">
        <v>497</v>
      </c>
      <c r="B12710" t="s">
        <v>72</v>
      </c>
      <c r="C12710">
        <v>1</v>
      </c>
      <c r="D12710" t="s">
        <v>80</v>
      </c>
      <c r="E12710">
        <v>9.4219999999999998E-3</v>
      </c>
      <c r="F12710" t="s">
        <v>74</v>
      </c>
      <c r="G12710">
        <v>9.4215</v>
      </c>
      <c r="H12710" t="s">
        <v>75</v>
      </c>
      <c r="I12710">
        <v>9421.5</v>
      </c>
      <c r="J12710" t="s">
        <v>76</v>
      </c>
      <c r="K12710" t="s">
        <v>77</v>
      </c>
    </row>
    <row r="12711" spans="1:12" x14ac:dyDescent="0.3">
      <c r="A12711" t="s">
        <v>497</v>
      </c>
      <c r="B12711" t="s">
        <v>72</v>
      </c>
      <c r="C12711">
        <v>1</v>
      </c>
      <c r="D12711" t="s">
        <v>81</v>
      </c>
      <c r="E12711">
        <v>0.121299</v>
      </c>
      <c r="F12711" t="s">
        <v>74</v>
      </c>
      <c r="G12711">
        <v>121.29949999999999</v>
      </c>
      <c r="H12711" t="s">
        <v>75</v>
      </c>
      <c r="I12711">
        <v>121299.49800000001</v>
      </c>
      <c r="J12711" t="s">
        <v>76</v>
      </c>
      <c r="K12711" t="s">
        <v>82</v>
      </c>
      <c r="L12711">
        <v>8.2440572000000003</v>
      </c>
    </row>
    <row r="12712" spans="1:12" x14ac:dyDescent="0.3">
      <c r="A12712" t="s">
        <v>497</v>
      </c>
      <c r="B12712" t="s">
        <v>83</v>
      </c>
      <c r="C12712">
        <v>567</v>
      </c>
      <c r="D12712" t="s">
        <v>79</v>
      </c>
      <c r="E12712">
        <v>0</v>
      </c>
      <c r="F12712" t="s">
        <v>74</v>
      </c>
      <c r="G12712">
        <v>2.2000000000000001E-4</v>
      </c>
      <c r="H12712" t="s">
        <v>75</v>
      </c>
      <c r="I12712">
        <v>0.219</v>
      </c>
      <c r="J12712" t="s">
        <v>76</v>
      </c>
      <c r="K12712" t="s">
        <v>77</v>
      </c>
    </row>
    <row r="12713" spans="1:12" x14ac:dyDescent="0.3">
      <c r="A12713" t="s">
        <v>497</v>
      </c>
      <c r="B12713" t="s">
        <v>83</v>
      </c>
      <c r="C12713">
        <v>567</v>
      </c>
      <c r="D12713" t="s">
        <v>94</v>
      </c>
      <c r="E12713">
        <v>4.1900000000000001E-3</v>
      </c>
      <c r="F12713" t="s">
        <v>74</v>
      </c>
      <c r="G12713">
        <v>4.1898299999999997</v>
      </c>
      <c r="H12713" t="s">
        <v>75</v>
      </c>
      <c r="I12713">
        <v>4189.8329999999996</v>
      </c>
      <c r="J12713" t="s">
        <v>76</v>
      </c>
      <c r="K12713" t="s">
        <v>77</v>
      </c>
    </row>
    <row r="12714" spans="1:12" x14ac:dyDescent="0.3">
      <c r="A12714" t="s">
        <v>497</v>
      </c>
      <c r="B12714" t="s">
        <v>83</v>
      </c>
      <c r="C12714">
        <v>567</v>
      </c>
      <c r="D12714" t="s">
        <v>80</v>
      </c>
      <c r="E12714">
        <v>4.3579999999999999E-3</v>
      </c>
      <c r="F12714" t="s">
        <v>74</v>
      </c>
      <c r="G12714">
        <v>4.3578000000000001</v>
      </c>
      <c r="H12714" t="s">
        <v>75</v>
      </c>
      <c r="I12714">
        <v>4357.8010000000004</v>
      </c>
      <c r="J12714" t="s">
        <v>76</v>
      </c>
      <c r="K12714" t="s">
        <v>77</v>
      </c>
    </row>
    <row r="12715" spans="1:12" x14ac:dyDescent="0.3">
      <c r="A12715" t="s">
        <v>497</v>
      </c>
      <c r="B12715" t="s">
        <v>83</v>
      </c>
      <c r="C12715">
        <v>567</v>
      </c>
      <c r="D12715" t="s">
        <v>81</v>
      </c>
      <c r="E12715">
        <v>4.3579999999999999E-3</v>
      </c>
      <c r="F12715" t="s">
        <v>74</v>
      </c>
      <c r="G12715">
        <v>4.3581899999999996</v>
      </c>
      <c r="H12715" t="s">
        <v>75</v>
      </c>
      <c r="I12715">
        <v>4358.1899999999996</v>
      </c>
      <c r="J12715" t="s">
        <v>76</v>
      </c>
      <c r="K12715" t="s">
        <v>82</v>
      </c>
      <c r="L12715">
        <v>229.45305980000001</v>
      </c>
    </row>
    <row r="12716" spans="1:12" x14ac:dyDescent="0.3">
      <c r="A12716" t="s">
        <v>497</v>
      </c>
      <c r="B12716" t="s">
        <v>84</v>
      </c>
      <c r="C12716">
        <v>568</v>
      </c>
      <c r="D12716" t="s">
        <v>79</v>
      </c>
      <c r="E12716">
        <v>1.9699999999999999E-4</v>
      </c>
      <c r="F12716" t="s">
        <v>74</v>
      </c>
      <c r="G12716">
        <v>0.19719</v>
      </c>
      <c r="H12716" t="s">
        <v>75</v>
      </c>
      <c r="I12716">
        <v>197.18600000000001</v>
      </c>
      <c r="J12716" t="s">
        <v>76</v>
      </c>
      <c r="K12716" t="s">
        <v>77</v>
      </c>
    </row>
    <row r="12717" spans="1:12" x14ac:dyDescent="0.3">
      <c r="A12717" t="s">
        <v>497</v>
      </c>
      <c r="B12717" t="s">
        <v>84</v>
      </c>
      <c r="C12717">
        <v>568</v>
      </c>
      <c r="D12717" t="s">
        <v>94</v>
      </c>
      <c r="E12717">
        <v>4.1989999999999996E-3</v>
      </c>
      <c r="F12717" t="s">
        <v>74</v>
      </c>
      <c r="G12717">
        <v>4.1990400000000001</v>
      </c>
      <c r="H12717" t="s">
        <v>75</v>
      </c>
      <c r="I12717">
        <v>4199.0410000000002</v>
      </c>
      <c r="J12717" t="s">
        <v>76</v>
      </c>
      <c r="K12717" t="s">
        <v>77</v>
      </c>
    </row>
    <row r="12718" spans="1:12" x14ac:dyDescent="0.3">
      <c r="A12718" t="s">
        <v>497</v>
      </c>
      <c r="B12718" t="s">
        <v>84</v>
      </c>
      <c r="C12718">
        <v>568</v>
      </c>
      <c r="D12718" t="s">
        <v>80</v>
      </c>
      <c r="E12718">
        <v>4.3670000000000002E-3</v>
      </c>
      <c r="F12718" t="s">
        <v>74</v>
      </c>
      <c r="G12718">
        <v>4.3667199999999999</v>
      </c>
      <c r="H12718" t="s">
        <v>75</v>
      </c>
      <c r="I12718">
        <v>4366.7160000000003</v>
      </c>
      <c r="J12718" t="s">
        <v>76</v>
      </c>
      <c r="K12718" t="s">
        <v>77</v>
      </c>
    </row>
    <row r="12719" spans="1:12" x14ac:dyDescent="0.3">
      <c r="A12719" t="s">
        <v>497</v>
      </c>
      <c r="B12719" t="s">
        <v>84</v>
      </c>
      <c r="C12719">
        <v>568</v>
      </c>
      <c r="D12719" t="s">
        <v>81</v>
      </c>
      <c r="E12719">
        <v>4.5640000000000003E-3</v>
      </c>
      <c r="F12719" t="s">
        <v>74</v>
      </c>
      <c r="G12719">
        <v>4.5640700000000001</v>
      </c>
      <c r="H12719" t="s">
        <v>75</v>
      </c>
      <c r="I12719">
        <v>4564.0730000000003</v>
      </c>
      <c r="J12719" t="s">
        <v>76</v>
      </c>
      <c r="K12719" t="s">
        <v>82</v>
      </c>
      <c r="L12719">
        <v>219.10254839999999</v>
      </c>
    </row>
    <row r="12720" spans="1:12" x14ac:dyDescent="0.3">
      <c r="A12720" t="s">
        <v>498</v>
      </c>
      <c r="B12720" t="s">
        <v>72</v>
      </c>
      <c r="C12720">
        <v>1</v>
      </c>
      <c r="D12720" t="s">
        <v>73</v>
      </c>
      <c r="E12720">
        <v>5.7000000000000003E-5</v>
      </c>
      <c r="F12720" t="s">
        <v>74</v>
      </c>
      <c r="G12720">
        <v>5.7200000000000001E-2</v>
      </c>
      <c r="H12720" t="s">
        <v>75</v>
      </c>
      <c r="I12720">
        <v>57.2</v>
      </c>
      <c r="J12720" t="s">
        <v>76</v>
      </c>
      <c r="K12720" t="s">
        <v>77</v>
      </c>
    </row>
    <row r="12721" spans="1:12" x14ac:dyDescent="0.3">
      <c r="A12721" t="s">
        <v>498</v>
      </c>
      <c r="B12721" t="s">
        <v>72</v>
      </c>
      <c r="C12721">
        <v>1</v>
      </c>
      <c r="D12721" t="s">
        <v>78</v>
      </c>
      <c r="E12721">
        <v>0.13071199999999999</v>
      </c>
      <c r="F12721" t="s">
        <v>74</v>
      </c>
      <c r="G12721">
        <v>130.71190000000001</v>
      </c>
      <c r="H12721" t="s">
        <v>75</v>
      </c>
      <c r="I12721">
        <v>130711.898</v>
      </c>
      <c r="J12721" t="s">
        <v>76</v>
      </c>
      <c r="K12721" t="s">
        <v>77</v>
      </c>
    </row>
    <row r="12722" spans="1:12" x14ac:dyDescent="0.3">
      <c r="A12722" t="s">
        <v>498</v>
      </c>
      <c r="B12722" t="s">
        <v>72</v>
      </c>
      <c r="C12722">
        <v>2</v>
      </c>
      <c r="D12722" t="s">
        <v>86</v>
      </c>
      <c r="E12722">
        <v>0.21531700000000001</v>
      </c>
      <c r="F12722" t="s">
        <v>74</v>
      </c>
      <c r="G12722">
        <v>215.31658999999999</v>
      </c>
      <c r="H12722" t="s">
        <v>75</v>
      </c>
      <c r="I12722">
        <v>215316.59400000001</v>
      </c>
      <c r="J12722" t="s">
        <v>76</v>
      </c>
      <c r="K12722" t="s">
        <v>82</v>
      </c>
      <c r="L12722">
        <v>4.6443238999999998</v>
      </c>
    </row>
    <row r="12723" spans="1:12" x14ac:dyDescent="0.3">
      <c r="A12723" t="s">
        <v>498</v>
      </c>
      <c r="B12723" t="s">
        <v>83</v>
      </c>
      <c r="C12723">
        <v>999</v>
      </c>
      <c r="D12723" t="s">
        <v>86</v>
      </c>
      <c r="E12723">
        <v>2.4870000000000001E-3</v>
      </c>
      <c r="F12723" t="s">
        <v>74</v>
      </c>
      <c r="G12723">
        <v>2.4874700000000001</v>
      </c>
      <c r="H12723" t="s">
        <v>75</v>
      </c>
      <c r="I12723">
        <v>2487.473</v>
      </c>
      <c r="J12723" t="s">
        <v>76</v>
      </c>
      <c r="K12723" t="s">
        <v>82</v>
      </c>
      <c r="L12723">
        <v>402.01444220000002</v>
      </c>
    </row>
    <row r="12724" spans="1:12" x14ac:dyDescent="0.3">
      <c r="A12724" t="s">
        <v>498</v>
      </c>
      <c r="B12724" t="s">
        <v>85</v>
      </c>
      <c r="C12724">
        <v>1001</v>
      </c>
      <c r="D12724" t="s">
        <v>86</v>
      </c>
      <c r="E12724">
        <v>2.6069999999999999E-3</v>
      </c>
      <c r="F12724" t="s">
        <v>74</v>
      </c>
      <c r="G12724">
        <v>2.6069100000000001</v>
      </c>
      <c r="H12724" t="s">
        <v>75</v>
      </c>
      <c r="I12724">
        <v>2606.91</v>
      </c>
      <c r="J12724" t="s">
        <v>76</v>
      </c>
      <c r="K12724" t="s">
        <v>82</v>
      </c>
      <c r="L12724">
        <v>383.59594729999998</v>
      </c>
    </row>
    <row r="12725" spans="1:12" x14ac:dyDescent="0.3">
      <c r="A12725" t="s">
        <v>148</v>
      </c>
    </row>
    <row r="12726" spans="1:12" x14ac:dyDescent="0.3">
      <c r="A12726" t="s">
        <v>148</v>
      </c>
    </row>
    <row r="12727" spans="1:12" x14ac:dyDescent="0.3">
      <c r="A12727" t="s">
        <v>512</v>
      </c>
    </row>
    <row r="12728" spans="1:12" x14ac:dyDescent="0.3">
      <c r="A12728" t="s">
        <v>496</v>
      </c>
      <c r="B12728" t="s">
        <v>72</v>
      </c>
      <c r="C12728">
        <v>1</v>
      </c>
      <c r="D12728" t="s">
        <v>79</v>
      </c>
      <c r="E12728">
        <v>8.0630000000000007E-3</v>
      </c>
      <c r="F12728" t="s">
        <v>74</v>
      </c>
      <c r="G12728">
        <v>8.0632999999999999</v>
      </c>
      <c r="H12728" t="s">
        <v>75</v>
      </c>
      <c r="I12728">
        <v>8063.3</v>
      </c>
      <c r="J12728" t="s">
        <v>76</v>
      </c>
      <c r="K12728" t="s">
        <v>77</v>
      </c>
    </row>
    <row r="12729" spans="1:12" x14ac:dyDescent="0.3">
      <c r="A12729" t="s">
        <v>496</v>
      </c>
      <c r="B12729" t="s">
        <v>72</v>
      </c>
      <c r="C12729">
        <v>1</v>
      </c>
      <c r="D12729" t="s">
        <v>94</v>
      </c>
      <c r="E12729">
        <v>2.2237E-2</v>
      </c>
      <c r="F12729" t="s">
        <v>74</v>
      </c>
      <c r="G12729">
        <v>22.236699999999999</v>
      </c>
      <c r="H12729" t="s">
        <v>75</v>
      </c>
      <c r="I12729">
        <v>22236.699000000001</v>
      </c>
      <c r="J12729" t="s">
        <v>76</v>
      </c>
      <c r="K12729" t="s">
        <v>77</v>
      </c>
    </row>
    <row r="12730" spans="1:12" x14ac:dyDescent="0.3">
      <c r="A12730" t="s">
        <v>496</v>
      </c>
      <c r="B12730" t="s">
        <v>72</v>
      </c>
      <c r="C12730">
        <v>1</v>
      </c>
      <c r="D12730" t="s">
        <v>80</v>
      </c>
      <c r="E12730">
        <v>2.2422999999999998E-2</v>
      </c>
      <c r="F12730" t="s">
        <v>74</v>
      </c>
      <c r="G12730">
        <v>22.422599999999999</v>
      </c>
      <c r="H12730" t="s">
        <v>75</v>
      </c>
      <c r="I12730">
        <v>22422.600999999999</v>
      </c>
      <c r="J12730" t="s">
        <v>76</v>
      </c>
      <c r="K12730" t="s">
        <v>77</v>
      </c>
    </row>
    <row r="12731" spans="1:12" x14ac:dyDescent="0.3">
      <c r="A12731" t="s">
        <v>496</v>
      </c>
      <c r="B12731" t="s">
        <v>72</v>
      </c>
      <c r="C12731">
        <v>1</v>
      </c>
      <c r="D12731" t="s">
        <v>81</v>
      </c>
      <c r="E12731">
        <v>3.0485999999999999E-2</v>
      </c>
      <c r="F12731" t="s">
        <v>74</v>
      </c>
      <c r="G12731">
        <v>30.4863</v>
      </c>
      <c r="H12731" t="s">
        <v>75</v>
      </c>
      <c r="I12731">
        <v>30486.300999999999</v>
      </c>
      <c r="J12731" t="s">
        <v>76</v>
      </c>
      <c r="K12731" t="s">
        <v>82</v>
      </c>
      <c r="L12731">
        <v>32.801618499999996</v>
      </c>
    </row>
    <row r="12732" spans="1:12" x14ac:dyDescent="0.3">
      <c r="A12732" t="s">
        <v>496</v>
      </c>
      <c r="B12732" t="s">
        <v>83</v>
      </c>
      <c r="C12732">
        <v>285</v>
      </c>
      <c r="D12732" t="s">
        <v>79</v>
      </c>
      <c r="E12732">
        <v>0</v>
      </c>
      <c r="F12732" t="s">
        <v>74</v>
      </c>
      <c r="G12732">
        <v>2.1000000000000001E-4</v>
      </c>
      <c r="H12732" t="s">
        <v>75</v>
      </c>
      <c r="I12732">
        <v>0.20699999999999999</v>
      </c>
      <c r="J12732" t="s">
        <v>76</v>
      </c>
      <c r="K12732" t="s">
        <v>77</v>
      </c>
    </row>
    <row r="12733" spans="1:12" x14ac:dyDescent="0.3">
      <c r="A12733" t="s">
        <v>496</v>
      </c>
      <c r="B12733" t="s">
        <v>83</v>
      </c>
      <c r="C12733">
        <v>285</v>
      </c>
      <c r="D12733" t="s">
        <v>94</v>
      </c>
      <c r="E12733">
        <v>8.2260000000000007E-3</v>
      </c>
      <c r="F12733" t="s">
        <v>74</v>
      </c>
      <c r="G12733">
        <v>8.2255400000000005</v>
      </c>
      <c r="H12733" t="s">
        <v>75</v>
      </c>
      <c r="I12733">
        <v>8225.5400000000009</v>
      </c>
      <c r="J12733" t="s">
        <v>76</v>
      </c>
      <c r="K12733" t="s">
        <v>77</v>
      </c>
    </row>
    <row r="12734" spans="1:12" x14ac:dyDescent="0.3">
      <c r="A12734" t="s">
        <v>496</v>
      </c>
      <c r="B12734" t="s">
        <v>83</v>
      </c>
      <c r="C12734">
        <v>285</v>
      </c>
      <c r="D12734" t="s">
        <v>80</v>
      </c>
      <c r="E12734">
        <v>8.3800000000000003E-3</v>
      </c>
      <c r="F12734" t="s">
        <v>74</v>
      </c>
      <c r="G12734">
        <v>8.3804099999999995</v>
      </c>
      <c r="H12734" t="s">
        <v>75</v>
      </c>
      <c r="I12734">
        <v>8380.4089999999997</v>
      </c>
      <c r="J12734" t="s">
        <v>76</v>
      </c>
      <c r="K12734" t="s">
        <v>77</v>
      </c>
    </row>
    <row r="12735" spans="1:12" x14ac:dyDescent="0.3">
      <c r="A12735" t="s">
        <v>496</v>
      </c>
      <c r="B12735" t="s">
        <v>83</v>
      </c>
      <c r="C12735">
        <v>285</v>
      </c>
      <c r="D12735" t="s">
        <v>81</v>
      </c>
      <c r="E12735">
        <v>8.3809999999999996E-3</v>
      </c>
      <c r="F12735" t="s">
        <v>74</v>
      </c>
      <c r="G12735">
        <v>8.3808000000000007</v>
      </c>
      <c r="H12735" t="s">
        <v>75</v>
      </c>
      <c r="I12735">
        <v>8380.7950000000001</v>
      </c>
      <c r="J12735" t="s">
        <v>76</v>
      </c>
      <c r="K12735" t="s">
        <v>82</v>
      </c>
      <c r="L12735">
        <v>119.3204173</v>
      </c>
    </row>
    <row r="12736" spans="1:12" x14ac:dyDescent="0.3">
      <c r="A12736" t="s">
        <v>496</v>
      </c>
      <c r="B12736" t="s">
        <v>84</v>
      </c>
      <c r="C12736">
        <v>286</v>
      </c>
      <c r="D12736" t="s">
        <v>79</v>
      </c>
      <c r="E12736">
        <v>2.8E-5</v>
      </c>
      <c r="F12736" t="s">
        <v>74</v>
      </c>
      <c r="G12736">
        <v>2.8400000000000002E-2</v>
      </c>
      <c r="H12736" t="s">
        <v>75</v>
      </c>
      <c r="I12736">
        <v>28.4</v>
      </c>
      <c r="J12736" t="s">
        <v>76</v>
      </c>
      <c r="K12736" t="s">
        <v>77</v>
      </c>
    </row>
    <row r="12737" spans="1:12" x14ac:dyDescent="0.3">
      <c r="A12737" t="s">
        <v>496</v>
      </c>
      <c r="B12737" t="s">
        <v>84</v>
      </c>
      <c r="C12737">
        <v>286</v>
      </c>
      <c r="D12737" t="s">
        <v>94</v>
      </c>
      <c r="E12737">
        <v>8.2749999999999994E-3</v>
      </c>
      <c r="F12737" t="s">
        <v>74</v>
      </c>
      <c r="G12737">
        <v>8.2745300000000004</v>
      </c>
      <c r="H12737" t="s">
        <v>75</v>
      </c>
      <c r="I12737">
        <v>8274.5290000000005</v>
      </c>
      <c r="J12737" t="s">
        <v>76</v>
      </c>
      <c r="K12737" t="s">
        <v>77</v>
      </c>
    </row>
    <row r="12738" spans="1:12" x14ac:dyDescent="0.3">
      <c r="A12738" t="s">
        <v>496</v>
      </c>
      <c r="B12738" t="s">
        <v>84</v>
      </c>
      <c r="C12738">
        <v>286</v>
      </c>
      <c r="D12738" t="s">
        <v>80</v>
      </c>
      <c r="E12738">
        <v>8.43E-3</v>
      </c>
      <c r="F12738" t="s">
        <v>74</v>
      </c>
      <c r="G12738">
        <v>8.4295100000000005</v>
      </c>
      <c r="H12738" t="s">
        <v>75</v>
      </c>
      <c r="I12738">
        <v>8429.5069999999996</v>
      </c>
      <c r="J12738" t="s">
        <v>76</v>
      </c>
      <c r="K12738" t="s">
        <v>77</v>
      </c>
    </row>
    <row r="12739" spans="1:12" x14ac:dyDescent="0.3">
      <c r="A12739" t="s">
        <v>496</v>
      </c>
      <c r="B12739" t="s">
        <v>84</v>
      </c>
      <c r="C12739">
        <v>286</v>
      </c>
      <c r="D12739" t="s">
        <v>81</v>
      </c>
      <c r="E12739">
        <v>8.4580000000000002E-3</v>
      </c>
      <c r="F12739" t="s">
        <v>74</v>
      </c>
      <c r="G12739">
        <v>8.4580900000000003</v>
      </c>
      <c r="H12739" t="s">
        <v>75</v>
      </c>
      <c r="I12739">
        <v>8458.0879999999997</v>
      </c>
      <c r="J12739" t="s">
        <v>76</v>
      </c>
      <c r="K12739" t="s">
        <v>82</v>
      </c>
      <c r="L12739">
        <v>118.2300257</v>
      </c>
    </row>
    <row r="12740" spans="1:12" x14ac:dyDescent="0.3">
      <c r="A12740" t="s">
        <v>497</v>
      </c>
      <c r="B12740" t="s">
        <v>72</v>
      </c>
      <c r="C12740">
        <v>1</v>
      </c>
      <c r="D12740" t="s">
        <v>79</v>
      </c>
      <c r="E12740">
        <v>5.8700000000000002E-3</v>
      </c>
      <c r="F12740" t="s">
        <v>74</v>
      </c>
      <c r="G12740">
        <v>5.8697999999999997</v>
      </c>
      <c r="H12740" t="s">
        <v>75</v>
      </c>
      <c r="I12740">
        <v>5869.8</v>
      </c>
      <c r="J12740" t="s">
        <v>76</v>
      </c>
      <c r="K12740" t="s">
        <v>77</v>
      </c>
    </row>
    <row r="12741" spans="1:12" x14ac:dyDescent="0.3">
      <c r="A12741" t="s">
        <v>497</v>
      </c>
      <c r="B12741" t="s">
        <v>72</v>
      </c>
      <c r="C12741">
        <v>1</v>
      </c>
      <c r="D12741" t="s">
        <v>94</v>
      </c>
      <c r="E12741">
        <v>3.9069999999999999E-3</v>
      </c>
      <c r="F12741" t="s">
        <v>74</v>
      </c>
      <c r="G12741">
        <v>3.907</v>
      </c>
      <c r="H12741" t="s">
        <v>75</v>
      </c>
      <c r="I12741">
        <v>3907</v>
      </c>
      <c r="J12741" t="s">
        <v>76</v>
      </c>
      <c r="K12741" t="s">
        <v>77</v>
      </c>
    </row>
    <row r="12742" spans="1:12" x14ac:dyDescent="0.3">
      <c r="A12742" t="s">
        <v>497</v>
      </c>
      <c r="B12742" t="s">
        <v>72</v>
      </c>
      <c r="C12742">
        <v>1</v>
      </c>
      <c r="D12742" t="s">
        <v>80</v>
      </c>
      <c r="E12742">
        <v>4.0470000000000002E-3</v>
      </c>
      <c r="F12742" t="s">
        <v>74</v>
      </c>
      <c r="G12742">
        <v>4.0473999999999997</v>
      </c>
      <c r="H12742" t="s">
        <v>75</v>
      </c>
      <c r="I12742">
        <v>4047.4</v>
      </c>
      <c r="J12742" t="s">
        <v>76</v>
      </c>
      <c r="K12742" t="s">
        <v>77</v>
      </c>
    </row>
    <row r="12743" spans="1:12" x14ac:dyDescent="0.3">
      <c r="A12743" t="s">
        <v>497</v>
      </c>
      <c r="B12743" t="s">
        <v>72</v>
      </c>
      <c r="C12743">
        <v>1</v>
      </c>
      <c r="D12743" t="s">
        <v>81</v>
      </c>
      <c r="E12743">
        <v>9.9179999999999997E-3</v>
      </c>
      <c r="F12743" t="s">
        <v>74</v>
      </c>
      <c r="G12743">
        <v>9.9176000000000002</v>
      </c>
      <c r="H12743" t="s">
        <v>75</v>
      </c>
      <c r="I12743">
        <v>9917.6</v>
      </c>
      <c r="J12743" t="s">
        <v>76</v>
      </c>
      <c r="K12743" t="s">
        <v>82</v>
      </c>
      <c r="L12743">
        <v>100.8308454</v>
      </c>
    </row>
    <row r="12744" spans="1:12" x14ac:dyDescent="0.3">
      <c r="A12744" t="s">
        <v>497</v>
      </c>
      <c r="B12744" t="s">
        <v>83</v>
      </c>
      <c r="C12744">
        <v>714</v>
      </c>
      <c r="D12744" t="s">
        <v>79</v>
      </c>
      <c r="E12744">
        <v>0</v>
      </c>
      <c r="F12744" t="s">
        <v>74</v>
      </c>
      <c r="G12744">
        <v>2.3000000000000001E-4</v>
      </c>
      <c r="H12744" t="s">
        <v>75</v>
      </c>
      <c r="I12744">
        <v>0.23300000000000001</v>
      </c>
      <c r="J12744" t="s">
        <v>76</v>
      </c>
      <c r="K12744" t="s">
        <v>77</v>
      </c>
    </row>
    <row r="12745" spans="1:12" x14ac:dyDescent="0.3">
      <c r="A12745" t="s">
        <v>497</v>
      </c>
      <c r="B12745" t="s">
        <v>83</v>
      </c>
      <c r="C12745">
        <v>714</v>
      </c>
      <c r="D12745" t="s">
        <v>94</v>
      </c>
      <c r="E12745">
        <v>3.2049999999999999E-3</v>
      </c>
      <c r="F12745" t="s">
        <v>74</v>
      </c>
      <c r="G12745">
        <v>3.2046399999999999</v>
      </c>
      <c r="H12745" t="s">
        <v>75</v>
      </c>
      <c r="I12745">
        <v>3204.6419999999998</v>
      </c>
      <c r="J12745" t="s">
        <v>76</v>
      </c>
      <c r="K12745" t="s">
        <v>77</v>
      </c>
    </row>
    <row r="12746" spans="1:12" x14ac:dyDescent="0.3">
      <c r="A12746" t="s">
        <v>497</v>
      </c>
      <c r="B12746" t="s">
        <v>83</v>
      </c>
      <c r="C12746">
        <v>714</v>
      </c>
      <c r="D12746" t="s">
        <v>80</v>
      </c>
      <c r="E12746">
        <v>3.362E-3</v>
      </c>
      <c r="F12746" t="s">
        <v>74</v>
      </c>
      <c r="G12746">
        <v>3.36219</v>
      </c>
      <c r="H12746" t="s">
        <v>75</v>
      </c>
      <c r="I12746">
        <v>3362.1860000000001</v>
      </c>
      <c r="J12746" t="s">
        <v>76</v>
      </c>
      <c r="K12746" t="s">
        <v>77</v>
      </c>
    </row>
    <row r="12747" spans="1:12" x14ac:dyDescent="0.3">
      <c r="A12747" t="s">
        <v>497</v>
      </c>
      <c r="B12747" t="s">
        <v>83</v>
      </c>
      <c r="C12747">
        <v>714</v>
      </c>
      <c r="D12747" t="s">
        <v>81</v>
      </c>
      <c r="E12747">
        <v>3.3630000000000001E-3</v>
      </c>
      <c r="F12747" t="s">
        <v>74</v>
      </c>
      <c r="G12747">
        <v>3.3625799999999999</v>
      </c>
      <c r="H12747" t="s">
        <v>75</v>
      </c>
      <c r="I12747">
        <v>3362.5749999999998</v>
      </c>
      <c r="J12747" t="s">
        <v>76</v>
      </c>
      <c r="K12747" t="s">
        <v>82</v>
      </c>
      <c r="L12747">
        <v>297.39112169999999</v>
      </c>
    </row>
    <row r="12748" spans="1:12" x14ac:dyDescent="0.3">
      <c r="A12748" t="s">
        <v>497</v>
      </c>
      <c r="B12748" t="s">
        <v>84</v>
      </c>
      <c r="C12748">
        <v>715</v>
      </c>
      <c r="D12748" t="s">
        <v>79</v>
      </c>
      <c r="E12748">
        <v>7.9999999999999996E-6</v>
      </c>
      <c r="F12748" t="s">
        <v>74</v>
      </c>
      <c r="G12748">
        <v>8.4399999999999996E-3</v>
      </c>
      <c r="H12748" t="s">
        <v>75</v>
      </c>
      <c r="I12748">
        <v>8.4420000000000002</v>
      </c>
      <c r="J12748" t="s">
        <v>76</v>
      </c>
      <c r="K12748" t="s">
        <v>77</v>
      </c>
    </row>
    <row r="12749" spans="1:12" x14ac:dyDescent="0.3">
      <c r="A12749" t="s">
        <v>497</v>
      </c>
      <c r="B12749" t="s">
        <v>84</v>
      </c>
      <c r="C12749">
        <v>715</v>
      </c>
      <c r="D12749" t="s">
        <v>94</v>
      </c>
      <c r="E12749">
        <v>3.2060000000000001E-3</v>
      </c>
      <c r="F12749" t="s">
        <v>74</v>
      </c>
      <c r="G12749">
        <v>3.2056200000000001</v>
      </c>
      <c r="H12749" t="s">
        <v>75</v>
      </c>
      <c r="I12749">
        <v>3205.6239999999998</v>
      </c>
      <c r="J12749" t="s">
        <v>76</v>
      </c>
      <c r="K12749" t="s">
        <v>77</v>
      </c>
    </row>
    <row r="12750" spans="1:12" x14ac:dyDescent="0.3">
      <c r="A12750" t="s">
        <v>497</v>
      </c>
      <c r="B12750" t="s">
        <v>84</v>
      </c>
      <c r="C12750">
        <v>715</v>
      </c>
      <c r="D12750" t="s">
        <v>80</v>
      </c>
      <c r="E12750">
        <v>3.3630000000000001E-3</v>
      </c>
      <c r="F12750" t="s">
        <v>74</v>
      </c>
      <c r="G12750">
        <v>3.36314</v>
      </c>
      <c r="H12750" t="s">
        <v>75</v>
      </c>
      <c r="I12750">
        <v>3363.145</v>
      </c>
      <c r="J12750" t="s">
        <v>76</v>
      </c>
      <c r="K12750" t="s">
        <v>77</v>
      </c>
    </row>
    <row r="12751" spans="1:12" x14ac:dyDescent="0.3">
      <c r="A12751" t="s">
        <v>497</v>
      </c>
      <c r="B12751" t="s">
        <v>84</v>
      </c>
      <c r="C12751">
        <v>715</v>
      </c>
      <c r="D12751" t="s">
        <v>81</v>
      </c>
      <c r="E12751">
        <v>3.372E-3</v>
      </c>
      <c r="F12751" t="s">
        <v>74</v>
      </c>
      <c r="G12751">
        <v>3.37174</v>
      </c>
      <c r="H12751" t="s">
        <v>75</v>
      </c>
      <c r="I12751">
        <v>3371.7429999999999</v>
      </c>
      <c r="J12751" t="s">
        <v>76</v>
      </c>
      <c r="K12751" t="s">
        <v>82</v>
      </c>
      <c r="L12751">
        <v>296.58248989999998</v>
      </c>
    </row>
    <row r="12752" spans="1:12" x14ac:dyDescent="0.3">
      <c r="A12752" t="s">
        <v>498</v>
      </c>
      <c r="B12752" t="s">
        <v>72</v>
      </c>
      <c r="C12752">
        <v>1</v>
      </c>
      <c r="D12752" t="s">
        <v>73</v>
      </c>
      <c r="E12752">
        <v>5.7000000000000003E-5</v>
      </c>
      <c r="F12752" t="s">
        <v>74</v>
      </c>
      <c r="G12752">
        <v>5.7200000000000001E-2</v>
      </c>
      <c r="H12752" t="s">
        <v>75</v>
      </c>
      <c r="I12752">
        <v>57.2</v>
      </c>
      <c r="J12752" t="s">
        <v>76</v>
      </c>
      <c r="K12752" t="s">
        <v>77</v>
      </c>
    </row>
    <row r="12753" spans="1:12" x14ac:dyDescent="0.3">
      <c r="A12753" t="s">
        <v>498</v>
      </c>
      <c r="B12753" t="s">
        <v>72</v>
      </c>
      <c r="C12753">
        <v>1</v>
      </c>
      <c r="D12753" t="s">
        <v>78</v>
      </c>
      <c r="E12753">
        <v>1.76E-4</v>
      </c>
      <c r="F12753" t="s">
        <v>74</v>
      </c>
      <c r="G12753">
        <v>0.17599999999999999</v>
      </c>
      <c r="H12753" t="s">
        <v>75</v>
      </c>
      <c r="I12753">
        <v>176</v>
      </c>
      <c r="J12753" t="s">
        <v>76</v>
      </c>
      <c r="K12753" t="s">
        <v>77</v>
      </c>
    </row>
    <row r="12754" spans="1:12" x14ac:dyDescent="0.3">
      <c r="A12754" t="s">
        <v>498</v>
      </c>
      <c r="B12754" t="s">
        <v>72</v>
      </c>
      <c r="C12754">
        <v>2</v>
      </c>
      <c r="D12754" t="s">
        <v>86</v>
      </c>
      <c r="E12754">
        <v>1.5245999999999999E-2</v>
      </c>
      <c r="F12754" t="s">
        <v>74</v>
      </c>
      <c r="G12754">
        <v>15.24605</v>
      </c>
      <c r="H12754" t="s">
        <v>75</v>
      </c>
      <c r="I12754">
        <v>15246.05</v>
      </c>
      <c r="J12754" t="s">
        <v>76</v>
      </c>
      <c r="K12754" t="s">
        <v>82</v>
      </c>
      <c r="L12754">
        <v>65.590757699999997</v>
      </c>
    </row>
    <row r="12755" spans="1:12" x14ac:dyDescent="0.3">
      <c r="A12755" t="s">
        <v>498</v>
      </c>
      <c r="B12755" t="s">
        <v>83</v>
      </c>
      <c r="C12755">
        <v>999</v>
      </c>
      <c r="D12755" t="s">
        <v>86</v>
      </c>
      <c r="E12755">
        <v>2.4199999999999998E-3</v>
      </c>
      <c r="F12755" t="s">
        <v>74</v>
      </c>
      <c r="G12755">
        <v>2.41967</v>
      </c>
      <c r="H12755" t="s">
        <v>75</v>
      </c>
      <c r="I12755">
        <v>2419.6660000000002</v>
      </c>
      <c r="J12755" t="s">
        <v>76</v>
      </c>
      <c r="K12755" t="s">
        <v>82</v>
      </c>
      <c r="L12755">
        <v>413.28021940000002</v>
      </c>
    </row>
    <row r="12756" spans="1:12" x14ac:dyDescent="0.3">
      <c r="A12756" t="s">
        <v>498</v>
      </c>
      <c r="B12756" t="s">
        <v>85</v>
      </c>
      <c r="C12756">
        <v>1001</v>
      </c>
      <c r="D12756" t="s">
        <v>86</v>
      </c>
      <c r="E12756">
        <v>2.428E-3</v>
      </c>
      <c r="F12756" t="s">
        <v>74</v>
      </c>
      <c r="G12756">
        <v>2.4276599999999999</v>
      </c>
      <c r="H12756" t="s">
        <v>75</v>
      </c>
      <c r="I12756">
        <v>2427.6640000000002</v>
      </c>
      <c r="J12756" t="s">
        <v>76</v>
      </c>
      <c r="K12756" t="s">
        <v>82</v>
      </c>
      <c r="L12756">
        <v>411.91862559999998</v>
      </c>
    </row>
    <row r="12757" spans="1:12" x14ac:dyDescent="0.3">
      <c r="A12757" t="s">
        <v>115</v>
      </c>
    </row>
    <row r="12758" spans="1:12" x14ac:dyDescent="0.3">
      <c r="A12758" t="s">
        <v>127</v>
      </c>
    </row>
    <row r="12759" spans="1:12" x14ac:dyDescent="0.3">
      <c r="A12759" t="s">
        <v>87</v>
      </c>
    </row>
    <row r="12760" spans="1:12" x14ac:dyDescent="0.3">
      <c r="A12760" t="s">
        <v>513</v>
      </c>
    </row>
    <row r="12761" spans="1:12" x14ac:dyDescent="0.3">
      <c r="A12761" t="s">
        <v>496</v>
      </c>
      <c r="B12761" t="s">
        <v>72</v>
      </c>
      <c r="C12761">
        <v>1</v>
      </c>
      <c r="D12761" t="s">
        <v>81</v>
      </c>
      <c r="E12761">
        <v>0.43059199999999997</v>
      </c>
      <c r="F12761" t="s">
        <v>74</v>
      </c>
      <c r="G12761">
        <v>430.59179</v>
      </c>
      <c r="H12761" t="s">
        <v>75</v>
      </c>
      <c r="I12761">
        <v>430591.79200000002</v>
      </c>
      <c r="J12761" t="s">
        <v>76</v>
      </c>
      <c r="K12761" t="s">
        <v>82</v>
      </c>
      <c r="L12761">
        <v>2.3223851999999998</v>
      </c>
    </row>
    <row r="12762" spans="1:12" x14ac:dyDescent="0.3">
      <c r="A12762" t="s">
        <v>496</v>
      </c>
      <c r="B12762" t="s">
        <v>83</v>
      </c>
      <c r="C12762">
        <v>432</v>
      </c>
      <c r="D12762" t="s">
        <v>81</v>
      </c>
      <c r="E12762">
        <v>5.0099999999999997E-3</v>
      </c>
      <c r="F12762" t="s">
        <v>74</v>
      </c>
      <c r="G12762">
        <v>5.0100800000000003</v>
      </c>
      <c r="H12762" t="s">
        <v>75</v>
      </c>
      <c r="I12762">
        <v>5010.0789999999997</v>
      </c>
      <c r="J12762" t="s">
        <v>76</v>
      </c>
      <c r="K12762" t="s">
        <v>82</v>
      </c>
      <c r="L12762">
        <v>199.59765490000001</v>
      </c>
    </row>
    <row r="12763" spans="1:12" x14ac:dyDescent="0.3">
      <c r="A12763" t="s">
        <v>496</v>
      </c>
      <c r="B12763" t="s">
        <v>84</v>
      </c>
      <c r="C12763">
        <v>433</v>
      </c>
      <c r="D12763" t="s">
        <v>81</v>
      </c>
      <c r="E12763">
        <v>5.9930000000000001E-3</v>
      </c>
      <c r="F12763" t="s">
        <v>74</v>
      </c>
      <c r="G12763">
        <v>5.9929500000000004</v>
      </c>
      <c r="H12763" t="s">
        <v>75</v>
      </c>
      <c r="I12763">
        <v>5992.9489999999996</v>
      </c>
      <c r="J12763" t="s">
        <v>76</v>
      </c>
      <c r="K12763" t="s">
        <v>82</v>
      </c>
      <c r="L12763">
        <v>166.86276179999999</v>
      </c>
    </row>
    <row r="12764" spans="1:12" x14ac:dyDescent="0.3">
      <c r="A12764" t="s">
        <v>497</v>
      </c>
      <c r="B12764" t="s">
        <v>72</v>
      </c>
      <c r="C12764">
        <v>1</v>
      </c>
      <c r="D12764" t="s">
        <v>81</v>
      </c>
      <c r="E12764">
        <v>0.121299</v>
      </c>
      <c r="F12764" t="s">
        <v>74</v>
      </c>
      <c r="G12764">
        <v>121.29949999999999</v>
      </c>
      <c r="H12764" t="s">
        <v>75</v>
      </c>
      <c r="I12764">
        <v>121299.49800000001</v>
      </c>
      <c r="J12764" t="s">
        <v>76</v>
      </c>
      <c r="K12764" t="s">
        <v>82</v>
      </c>
      <c r="L12764">
        <v>8.2440572000000003</v>
      </c>
    </row>
    <row r="12765" spans="1:12" x14ac:dyDescent="0.3">
      <c r="A12765" t="s">
        <v>497</v>
      </c>
      <c r="B12765" t="s">
        <v>83</v>
      </c>
      <c r="C12765">
        <v>567</v>
      </c>
      <c r="D12765" t="s">
        <v>81</v>
      </c>
      <c r="E12765">
        <v>4.3579999999999999E-3</v>
      </c>
      <c r="F12765" t="s">
        <v>74</v>
      </c>
      <c r="G12765">
        <v>4.3581899999999996</v>
      </c>
      <c r="H12765" t="s">
        <v>75</v>
      </c>
      <c r="I12765">
        <v>4358.1899999999996</v>
      </c>
      <c r="J12765" t="s">
        <v>76</v>
      </c>
      <c r="K12765" t="s">
        <v>82</v>
      </c>
      <c r="L12765">
        <v>229.45305980000001</v>
      </c>
    </row>
    <row r="12766" spans="1:12" x14ac:dyDescent="0.3">
      <c r="A12766" t="s">
        <v>497</v>
      </c>
      <c r="B12766" t="s">
        <v>84</v>
      </c>
      <c r="C12766">
        <v>568</v>
      </c>
      <c r="D12766" t="s">
        <v>81</v>
      </c>
      <c r="E12766">
        <v>4.5640000000000003E-3</v>
      </c>
      <c r="F12766" t="s">
        <v>74</v>
      </c>
      <c r="G12766">
        <v>4.5640700000000001</v>
      </c>
      <c r="H12766" t="s">
        <v>75</v>
      </c>
      <c r="I12766">
        <v>4564.0730000000003</v>
      </c>
      <c r="J12766" t="s">
        <v>76</v>
      </c>
      <c r="K12766" t="s">
        <v>82</v>
      </c>
      <c r="L12766">
        <v>219.10254839999999</v>
      </c>
    </row>
    <row r="12767" spans="1:12" x14ac:dyDescent="0.3">
      <c r="A12767" t="s">
        <v>498</v>
      </c>
      <c r="B12767" t="s">
        <v>72</v>
      </c>
      <c r="C12767">
        <v>2</v>
      </c>
      <c r="D12767" t="s">
        <v>86</v>
      </c>
      <c r="E12767">
        <v>0.21531700000000001</v>
      </c>
      <c r="F12767" t="s">
        <v>74</v>
      </c>
      <c r="G12767">
        <v>215.31658999999999</v>
      </c>
      <c r="H12767" t="s">
        <v>75</v>
      </c>
      <c r="I12767">
        <v>215316.59400000001</v>
      </c>
      <c r="J12767" t="s">
        <v>76</v>
      </c>
      <c r="K12767" t="s">
        <v>82</v>
      </c>
      <c r="L12767">
        <v>4.6443238999999998</v>
      </c>
    </row>
    <row r="12768" spans="1:12" x14ac:dyDescent="0.3">
      <c r="A12768" t="s">
        <v>498</v>
      </c>
      <c r="B12768" t="s">
        <v>83</v>
      </c>
      <c r="C12768">
        <v>999</v>
      </c>
      <c r="D12768" t="s">
        <v>86</v>
      </c>
      <c r="E12768">
        <v>2.4870000000000001E-3</v>
      </c>
      <c r="F12768" t="s">
        <v>74</v>
      </c>
      <c r="G12768">
        <v>2.4874700000000001</v>
      </c>
      <c r="H12768" t="s">
        <v>75</v>
      </c>
      <c r="I12768">
        <v>2487.473</v>
      </c>
      <c r="J12768" t="s">
        <v>76</v>
      </c>
      <c r="K12768" t="s">
        <v>82</v>
      </c>
      <c r="L12768">
        <v>402.01444220000002</v>
      </c>
    </row>
    <row r="12769" spans="1:12" x14ac:dyDescent="0.3">
      <c r="A12769" t="s">
        <v>498</v>
      </c>
      <c r="B12769" t="s">
        <v>85</v>
      </c>
      <c r="C12769">
        <v>1001</v>
      </c>
      <c r="D12769" t="s">
        <v>86</v>
      </c>
      <c r="E12769">
        <v>2.6069999999999999E-3</v>
      </c>
      <c r="F12769" t="s">
        <v>74</v>
      </c>
      <c r="G12769">
        <v>2.6069100000000001</v>
      </c>
      <c r="H12769" t="s">
        <v>75</v>
      </c>
      <c r="I12769">
        <v>2606.91</v>
      </c>
      <c r="J12769" t="s">
        <v>76</v>
      </c>
      <c r="K12769" t="s">
        <v>82</v>
      </c>
      <c r="L12769">
        <v>383.59594729999998</v>
      </c>
    </row>
    <row r="12771" spans="1:12" x14ac:dyDescent="0.3">
      <c r="A12771" t="s">
        <v>514</v>
      </c>
    </row>
    <row r="12772" spans="1:12" x14ac:dyDescent="0.3">
      <c r="A12772" t="s">
        <v>496</v>
      </c>
      <c r="B12772" t="s">
        <v>72</v>
      </c>
      <c r="C12772">
        <v>1</v>
      </c>
      <c r="D12772" t="s">
        <v>81</v>
      </c>
      <c r="E12772">
        <v>3.0485999999999999E-2</v>
      </c>
      <c r="F12772" t="s">
        <v>74</v>
      </c>
      <c r="G12772">
        <v>30.4863</v>
      </c>
      <c r="H12772" t="s">
        <v>75</v>
      </c>
      <c r="I12772">
        <v>30486.300999999999</v>
      </c>
      <c r="J12772" t="s">
        <v>76</v>
      </c>
      <c r="K12772" t="s">
        <v>82</v>
      </c>
      <c r="L12772">
        <v>32.801618499999996</v>
      </c>
    </row>
    <row r="12773" spans="1:12" x14ac:dyDescent="0.3">
      <c r="A12773" t="s">
        <v>496</v>
      </c>
      <c r="B12773" t="s">
        <v>83</v>
      </c>
      <c r="C12773">
        <v>285</v>
      </c>
      <c r="D12773" t="s">
        <v>81</v>
      </c>
      <c r="E12773">
        <v>8.3809999999999996E-3</v>
      </c>
      <c r="F12773" t="s">
        <v>74</v>
      </c>
      <c r="G12773">
        <v>8.3808000000000007</v>
      </c>
      <c r="H12773" t="s">
        <v>75</v>
      </c>
      <c r="I12773">
        <v>8380.7950000000001</v>
      </c>
      <c r="J12773" t="s">
        <v>76</v>
      </c>
      <c r="K12773" t="s">
        <v>82</v>
      </c>
      <c r="L12773">
        <v>119.3204173</v>
      </c>
    </row>
    <row r="12774" spans="1:12" x14ac:dyDescent="0.3">
      <c r="A12774" t="s">
        <v>496</v>
      </c>
      <c r="B12774" t="s">
        <v>84</v>
      </c>
      <c r="C12774">
        <v>286</v>
      </c>
      <c r="D12774" t="s">
        <v>81</v>
      </c>
      <c r="E12774">
        <v>8.4580000000000002E-3</v>
      </c>
      <c r="F12774" t="s">
        <v>74</v>
      </c>
      <c r="G12774">
        <v>8.4580900000000003</v>
      </c>
      <c r="H12774" t="s">
        <v>75</v>
      </c>
      <c r="I12774">
        <v>8458.0879999999997</v>
      </c>
      <c r="J12774" t="s">
        <v>76</v>
      </c>
      <c r="K12774" t="s">
        <v>82</v>
      </c>
      <c r="L12774">
        <v>118.2300257</v>
      </c>
    </row>
    <row r="12775" spans="1:12" x14ac:dyDescent="0.3">
      <c r="A12775" t="s">
        <v>497</v>
      </c>
      <c r="B12775" t="s">
        <v>72</v>
      </c>
      <c r="C12775">
        <v>1</v>
      </c>
      <c r="D12775" t="s">
        <v>81</v>
      </c>
      <c r="E12775">
        <v>9.9179999999999997E-3</v>
      </c>
      <c r="F12775" t="s">
        <v>74</v>
      </c>
      <c r="G12775">
        <v>9.9176000000000002</v>
      </c>
      <c r="H12775" t="s">
        <v>75</v>
      </c>
      <c r="I12775">
        <v>9917.6</v>
      </c>
      <c r="J12775" t="s">
        <v>76</v>
      </c>
      <c r="K12775" t="s">
        <v>82</v>
      </c>
      <c r="L12775">
        <v>100.8308454</v>
      </c>
    </row>
    <row r="12776" spans="1:12" x14ac:dyDescent="0.3">
      <c r="A12776" t="s">
        <v>497</v>
      </c>
      <c r="B12776" t="s">
        <v>83</v>
      </c>
      <c r="C12776">
        <v>714</v>
      </c>
      <c r="D12776" t="s">
        <v>81</v>
      </c>
      <c r="E12776">
        <v>3.3630000000000001E-3</v>
      </c>
      <c r="F12776" t="s">
        <v>74</v>
      </c>
      <c r="G12776">
        <v>3.3625799999999999</v>
      </c>
      <c r="H12776" t="s">
        <v>75</v>
      </c>
      <c r="I12776">
        <v>3362.5749999999998</v>
      </c>
      <c r="J12776" t="s">
        <v>76</v>
      </c>
      <c r="K12776" t="s">
        <v>82</v>
      </c>
      <c r="L12776">
        <v>297.39112169999999</v>
      </c>
    </row>
    <row r="12777" spans="1:12" x14ac:dyDescent="0.3">
      <c r="A12777" t="s">
        <v>497</v>
      </c>
      <c r="B12777" t="s">
        <v>84</v>
      </c>
      <c r="C12777">
        <v>715</v>
      </c>
      <c r="D12777" t="s">
        <v>81</v>
      </c>
      <c r="E12777">
        <v>3.372E-3</v>
      </c>
      <c r="F12777" t="s">
        <v>74</v>
      </c>
      <c r="G12777">
        <v>3.37174</v>
      </c>
      <c r="H12777" t="s">
        <v>75</v>
      </c>
      <c r="I12777">
        <v>3371.7429999999999</v>
      </c>
      <c r="J12777" t="s">
        <v>76</v>
      </c>
      <c r="K12777" t="s">
        <v>82</v>
      </c>
      <c r="L12777">
        <v>296.58248989999998</v>
      </c>
    </row>
    <row r="12778" spans="1:12" x14ac:dyDescent="0.3">
      <c r="A12778" t="s">
        <v>498</v>
      </c>
      <c r="B12778" t="s">
        <v>72</v>
      </c>
      <c r="C12778">
        <v>2</v>
      </c>
      <c r="D12778" t="s">
        <v>86</v>
      </c>
      <c r="E12778">
        <v>1.5245999999999999E-2</v>
      </c>
      <c r="F12778" t="s">
        <v>74</v>
      </c>
      <c r="G12778">
        <v>15.24605</v>
      </c>
      <c r="H12778" t="s">
        <v>75</v>
      </c>
      <c r="I12778">
        <v>15246.05</v>
      </c>
      <c r="J12778" t="s">
        <v>76</v>
      </c>
      <c r="K12778" t="s">
        <v>82</v>
      </c>
      <c r="L12778">
        <v>65.590757699999997</v>
      </c>
    </row>
    <row r="12779" spans="1:12" x14ac:dyDescent="0.3">
      <c r="A12779" t="s">
        <v>498</v>
      </c>
      <c r="B12779" t="s">
        <v>83</v>
      </c>
      <c r="C12779">
        <v>999</v>
      </c>
      <c r="D12779" t="s">
        <v>86</v>
      </c>
      <c r="E12779">
        <v>2.4199999999999998E-3</v>
      </c>
      <c r="F12779" t="s">
        <v>74</v>
      </c>
      <c r="G12779">
        <v>2.41967</v>
      </c>
      <c r="H12779" t="s">
        <v>75</v>
      </c>
      <c r="I12779">
        <v>2419.6660000000002</v>
      </c>
      <c r="J12779" t="s">
        <v>76</v>
      </c>
      <c r="K12779" t="s">
        <v>82</v>
      </c>
      <c r="L12779">
        <v>413.28021940000002</v>
      </c>
    </row>
    <row r="12780" spans="1:12" x14ac:dyDescent="0.3">
      <c r="A12780" t="s">
        <v>498</v>
      </c>
      <c r="B12780" t="s">
        <v>85</v>
      </c>
      <c r="C12780">
        <v>1001</v>
      </c>
      <c r="D12780" t="s">
        <v>86</v>
      </c>
      <c r="E12780">
        <v>2.428E-3</v>
      </c>
      <c r="F12780" t="s">
        <v>74</v>
      </c>
      <c r="G12780">
        <v>2.4276599999999999</v>
      </c>
      <c r="H12780" t="s">
        <v>75</v>
      </c>
      <c r="I12780">
        <v>2427.6640000000002</v>
      </c>
      <c r="J12780" t="s">
        <v>76</v>
      </c>
      <c r="K12780" t="s">
        <v>82</v>
      </c>
      <c r="L12780">
        <v>411.91862559999998</v>
      </c>
    </row>
    <row r="12782" spans="1:12" x14ac:dyDescent="0.3">
      <c r="A12782" t="s">
        <v>66</v>
      </c>
    </row>
    <row r="12784" spans="1:12" x14ac:dyDescent="0.3">
      <c r="A12784" t="s">
        <v>568</v>
      </c>
    </row>
    <row r="12785" spans="1:1" x14ac:dyDescent="0.3">
      <c r="A12785" t="s">
        <v>68</v>
      </c>
    </row>
    <row r="12786" spans="1:1" x14ac:dyDescent="0.3">
      <c r="A12786" t="s">
        <v>69</v>
      </c>
    </row>
    <row r="12787" spans="1:1" x14ac:dyDescent="0.3">
      <c r="A12787" t="s">
        <v>68</v>
      </c>
    </row>
    <row r="12788" spans="1:1" x14ac:dyDescent="0.3">
      <c r="A12788" t="s">
        <v>69</v>
      </c>
    </row>
    <row r="12789" spans="1:1" x14ac:dyDescent="0.3">
      <c r="A12789" t="s">
        <v>70</v>
      </c>
    </row>
    <row r="12790" spans="1:1" x14ac:dyDescent="0.3">
      <c r="A12790" t="s">
        <v>115</v>
      </c>
    </row>
    <row r="12791" spans="1:1" x14ac:dyDescent="0.3">
      <c r="A12791" t="s">
        <v>116</v>
      </c>
    </row>
    <row r="12792" spans="1:1" x14ac:dyDescent="0.3">
      <c r="A12792" t="s">
        <v>117</v>
      </c>
    </row>
    <row r="12793" spans="1:1" x14ac:dyDescent="0.3">
      <c r="A12793" t="s">
        <v>118</v>
      </c>
    </row>
    <row r="12794" spans="1:1" x14ac:dyDescent="0.3">
      <c r="A12794" t="s">
        <v>119</v>
      </c>
    </row>
    <row r="12795" spans="1:1" x14ac:dyDescent="0.3">
      <c r="A12795" t="s">
        <v>120</v>
      </c>
    </row>
    <row r="12796" spans="1:1" x14ac:dyDescent="0.3">
      <c r="A12796" t="s">
        <v>121</v>
      </c>
    </row>
    <row r="12797" spans="1:1" x14ac:dyDescent="0.3">
      <c r="A12797" t="s">
        <v>122</v>
      </c>
    </row>
    <row r="12798" spans="1:1" x14ac:dyDescent="0.3">
      <c r="A12798" t="s">
        <v>123</v>
      </c>
    </row>
    <row r="12799" spans="1:1" x14ac:dyDescent="0.3">
      <c r="A12799" t="s">
        <v>124</v>
      </c>
    </row>
    <row r="12800" spans="1:1" x14ac:dyDescent="0.3">
      <c r="A12800" t="s">
        <v>125</v>
      </c>
    </row>
    <row r="12801" spans="1:1" x14ac:dyDescent="0.3">
      <c r="A12801" t="s">
        <v>126</v>
      </c>
    </row>
    <row r="12802" spans="1:1" x14ac:dyDescent="0.3">
      <c r="A12802" t="s">
        <v>127</v>
      </c>
    </row>
    <row r="12803" spans="1:1" x14ac:dyDescent="0.3">
      <c r="A12803" t="s">
        <v>153</v>
      </c>
    </row>
    <row r="12804" spans="1:1" x14ac:dyDescent="0.3">
      <c r="A12804" t="s">
        <v>115</v>
      </c>
    </row>
    <row r="12805" spans="1:1" x14ac:dyDescent="0.3">
      <c r="A12805" t="s">
        <v>266</v>
      </c>
    </row>
    <row r="12806" spans="1:1" x14ac:dyDescent="0.3">
      <c r="A12806" t="s">
        <v>267</v>
      </c>
    </row>
    <row r="12807" spans="1:1" x14ac:dyDescent="0.3">
      <c r="A12807" t="s">
        <v>118</v>
      </c>
    </row>
    <row r="12808" spans="1:1" x14ac:dyDescent="0.3">
      <c r="A12808" t="s">
        <v>119</v>
      </c>
    </row>
    <row r="12809" spans="1:1" x14ac:dyDescent="0.3">
      <c r="A12809" t="s">
        <v>268</v>
      </c>
    </row>
    <row r="12810" spans="1:1" x14ac:dyDescent="0.3">
      <c r="A12810" t="s">
        <v>269</v>
      </c>
    </row>
    <row r="12811" spans="1:1" x14ac:dyDescent="0.3">
      <c r="A12811" t="s">
        <v>122</v>
      </c>
    </row>
    <row r="12812" spans="1:1" x14ac:dyDescent="0.3">
      <c r="A12812" t="s">
        <v>270</v>
      </c>
    </row>
    <row r="12813" spans="1:1" x14ac:dyDescent="0.3">
      <c r="A12813" t="s">
        <v>271</v>
      </c>
    </row>
    <row r="12814" spans="1:1" x14ac:dyDescent="0.3">
      <c r="A12814" t="s">
        <v>125</v>
      </c>
    </row>
    <row r="12815" spans="1:1" x14ac:dyDescent="0.3">
      <c r="A12815" t="s">
        <v>126</v>
      </c>
    </row>
    <row r="12816" spans="1:1" x14ac:dyDescent="0.3">
      <c r="A12816" t="s">
        <v>127</v>
      </c>
    </row>
    <row r="12817" spans="1:12" x14ac:dyDescent="0.3">
      <c r="A12817" t="s">
        <v>153</v>
      </c>
    </row>
    <row r="12818" spans="1:12" x14ac:dyDescent="0.3">
      <c r="A12818" t="s">
        <v>516</v>
      </c>
    </row>
    <row r="12819" spans="1:12" x14ac:dyDescent="0.3">
      <c r="A12819" t="s">
        <v>496</v>
      </c>
      <c r="B12819" t="s">
        <v>72</v>
      </c>
      <c r="C12819">
        <v>1</v>
      </c>
      <c r="D12819" t="s">
        <v>79</v>
      </c>
      <c r="E12819">
        <v>0.43739699999999998</v>
      </c>
      <c r="F12819" t="s">
        <v>74</v>
      </c>
      <c r="G12819">
        <v>437.39679000000001</v>
      </c>
      <c r="H12819" t="s">
        <v>75</v>
      </c>
      <c r="I12819">
        <v>437396.79499999998</v>
      </c>
      <c r="J12819" t="s">
        <v>76</v>
      </c>
      <c r="K12819" t="s">
        <v>77</v>
      </c>
    </row>
    <row r="12820" spans="1:12" x14ac:dyDescent="0.3">
      <c r="A12820" t="s">
        <v>496</v>
      </c>
      <c r="B12820" t="s">
        <v>72</v>
      </c>
      <c r="C12820">
        <v>1</v>
      </c>
      <c r="D12820" t="s">
        <v>94</v>
      </c>
      <c r="E12820">
        <v>5.5850999999999998E-2</v>
      </c>
      <c r="F12820" t="s">
        <v>74</v>
      </c>
      <c r="G12820">
        <v>55.851399999999998</v>
      </c>
      <c r="H12820" t="s">
        <v>75</v>
      </c>
      <c r="I12820">
        <v>55851.4</v>
      </c>
      <c r="J12820" t="s">
        <v>76</v>
      </c>
      <c r="K12820" t="s">
        <v>77</v>
      </c>
    </row>
    <row r="12821" spans="1:12" x14ac:dyDescent="0.3">
      <c r="A12821" t="s">
        <v>496</v>
      </c>
      <c r="B12821" t="s">
        <v>72</v>
      </c>
      <c r="C12821">
        <v>1</v>
      </c>
      <c r="D12821" t="s">
        <v>80</v>
      </c>
      <c r="E12821">
        <v>5.5853E-2</v>
      </c>
      <c r="F12821" t="s">
        <v>74</v>
      </c>
      <c r="G12821">
        <v>55.852800000000002</v>
      </c>
      <c r="H12821" t="s">
        <v>75</v>
      </c>
      <c r="I12821">
        <v>55852.800999999999</v>
      </c>
      <c r="J12821" t="s">
        <v>76</v>
      </c>
      <c r="K12821" t="s">
        <v>77</v>
      </c>
    </row>
    <row r="12822" spans="1:12" x14ac:dyDescent="0.3">
      <c r="A12822" t="s">
        <v>496</v>
      </c>
      <c r="B12822" t="s">
        <v>72</v>
      </c>
      <c r="C12822">
        <v>1</v>
      </c>
      <c r="D12822" t="s">
        <v>81</v>
      </c>
      <c r="E12822">
        <v>0.49325000000000002</v>
      </c>
      <c r="F12822" t="s">
        <v>74</v>
      </c>
      <c r="G12822">
        <v>493.25018999999998</v>
      </c>
      <c r="H12822" t="s">
        <v>75</v>
      </c>
      <c r="I12822">
        <v>493250.19099999999</v>
      </c>
      <c r="J12822" t="s">
        <v>76</v>
      </c>
      <c r="K12822" t="s">
        <v>82</v>
      </c>
      <c r="L12822">
        <v>2.0273686999999998</v>
      </c>
    </row>
    <row r="12823" spans="1:12" x14ac:dyDescent="0.3">
      <c r="A12823" t="s">
        <v>496</v>
      </c>
      <c r="B12823" t="s">
        <v>83</v>
      </c>
      <c r="C12823">
        <v>621</v>
      </c>
      <c r="D12823" t="s">
        <v>79</v>
      </c>
      <c r="E12823">
        <v>0</v>
      </c>
      <c r="F12823" t="s">
        <v>74</v>
      </c>
      <c r="G12823">
        <v>3.1E-4</v>
      </c>
      <c r="H12823" t="s">
        <v>75</v>
      </c>
      <c r="I12823">
        <v>0.30599999999999999</v>
      </c>
      <c r="J12823" t="s">
        <v>76</v>
      </c>
      <c r="K12823" t="s">
        <v>77</v>
      </c>
    </row>
    <row r="12824" spans="1:12" x14ac:dyDescent="0.3">
      <c r="A12824" t="s">
        <v>496</v>
      </c>
      <c r="B12824" t="s">
        <v>83</v>
      </c>
      <c r="C12824">
        <v>621</v>
      </c>
      <c r="D12824" t="s">
        <v>94</v>
      </c>
      <c r="E12824">
        <v>1.7014000000000001E-2</v>
      </c>
      <c r="F12824" t="s">
        <v>74</v>
      </c>
      <c r="G12824">
        <v>17.01444</v>
      </c>
      <c r="H12824" t="s">
        <v>75</v>
      </c>
      <c r="I12824">
        <v>17014.440999999999</v>
      </c>
      <c r="J12824" t="s">
        <v>76</v>
      </c>
      <c r="K12824" t="s">
        <v>77</v>
      </c>
    </row>
    <row r="12825" spans="1:12" x14ac:dyDescent="0.3">
      <c r="A12825" t="s">
        <v>496</v>
      </c>
      <c r="B12825" t="s">
        <v>83</v>
      </c>
      <c r="C12825">
        <v>621</v>
      </c>
      <c r="D12825" t="s">
        <v>80</v>
      </c>
      <c r="E12825">
        <v>1.7014999999999999E-2</v>
      </c>
      <c r="F12825" t="s">
        <v>74</v>
      </c>
      <c r="G12825">
        <v>17.0152</v>
      </c>
      <c r="H12825" t="s">
        <v>75</v>
      </c>
      <c r="I12825">
        <v>17015.199000000001</v>
      </c>
      <c r="J12825" t="s">
        <v>76</v>
      </c>
      <c r="K12825" t="s">
        <v>77</v>
      </c>
    </row>
    <row r="12826" spans="1:12" x14ac:dyDescent="0.3">
      <c r="A12826" t="s">
        <v>496</v>
      </c>
      <c r="B12826" t="s">
        <v>83</v>
      </c>
      <c r="C12826">
        <v>621</v>
      </c>
      <c r="D12826" t="s">
        <v>81</v>
      </c>
      <c r="E12826">
        <v>1.7016E-2</v>
      </c>
      <c r="F12826" t="s">
        <v>74</v>
      </c>
      <c r="G12826">
        <v>17.015709999999999</v>
      </c>
      <c r="H12826" t="s">
        <v>75</v>
      </c>
      <c r="I12826">
        <v>17015.708999999999</v>
      </c>
      <c r="J12826" t="s">
        <v>76</v>
      </c>
      <c r="K12826" t="s">
        <v>82</v>
      </c>
      <c r="L12826">
        <v>58.769223199999999</v>
      </c>
    </row>
    <row r="12827" spans="1:12" x14ac:dyDescent="0.3">
      <c r="A12827" t="s">
        <v>496</v>
      </c>
      <c r="B12827" t="s">
        <v>84</v>
      </c>
      <c r="C12827">
        <v>622</v>
      </c>
      <c r="D12827" t="s">
        <v>79</v>
      </c>
      <c r="E12827">
        <v>7.0399999999999998E-4</v>
      </c>
      <c r="F12827" t="s">
        <v>74</v>
      </c>
      <c r="G12827">
        <v>0.70350999999999997</v>
      </c>
      <c r="H12827" t="s">
        <v>75</v>
      </c>
      <c r="I12827">
        <v>703.51300000000003</v>
      </c>
      <c r="J12827" t="s">
        <v>76</v>
      </c>
      <c r="K12827" t="s">
        <v>77</v>
      </c>
    </row>
    <row r="12828" spans="1:12" x14ac:dyDescent="0.3">
      <c r="A12828" t="s">
        <v>496</v>
      </c>
      <c r="B12828" t="s">
        <v>84</v>
      </c>
      <c r="C12828">
        <v>622</v>
      </c>
      <c r="D12828" t="s">
        <v>94</v>
      </c>
      <c r="E12828">
        <v>1.7076999999999998E-2</v>
      </c>
      <c r="F12828" t="s">
        <v>74</v>
      </c>
      <c r="G12828">
        <v>17.076879999999999</v>
      </c>
      <c r="H12828" t="s">
        <v>75</v>
      </c>
      <c r="I12828">
        <v>17076.88</v>
      </c>
      <c r="J12828" t="s">
        <v>76</v>
      </c>
      <c r="K12828" t="s">
        <v>77</v>
      </c>
    </row>
    <row r="12829" spans="1:12" x14ac:dyDescent="0.3">
      <c r="A12829" t="s">
        <v>496</v>
      </c>
      <c r="B12829" t="s">
        <v>84</v>
      </c>
      <c r="C12829">
        <v>622</v>
      </c>
      <c r="D12829" t="s">
        <v>80</v>
      </c>
      <c r="E12829">
        <v>1.7077999999999999E-2</v>
      </c>
      <c r="F12829" t="s">
        <v>74</v>
      </c>
      <c r="G12829">
        <v>17.077639999999999</v>
      </c>
      <c r="H12829" t="s">
        <v>75</v>
      </c>
      <c r="I12829">
        <v>17077.638999999999</v>
      </c>
      <c r="J12829" t="s">
        <v>76</v>
      </c>
      <c r="K12829" t="s">
        <v>77</v>
      </c>
    </row>
    <row r="12830" spans="1:12" x14ac:dyDescent="0.3">
      <c r="A12830" t="s">
        <v>496</v>
      </c>
      <c r="B12830" t="s">
        <v>84</v>
      </c>
      <c r="C12830">
        <v>622</v>
      </c>
      <c r="D12830" t="s">
        <v>81</v>
      </c>
      <c r="E12830">
        <v>1.7781000000000002E-2</v>
      </c>
      <c r="F12830" t="s">
        <v>74</v>
      </c>
      <c r="G12830">
        <v>17.781359999999999</v>
      </c>
      <c r="H12830" t="s">
        <v>75</v>
      </c>
      <c r="I12830">
        <v>17781.363000000001</v>
      </c>
      <c r="J12830" t="s">
        <v>76</v>
      </c>
      <c r="K12830" t="s">
        <v>82</v>
      </c>
      <c r="L12830">
        <v>56.238657099999998</v>
      </c>
    </row>
    <row r="12831" spans="1:12" x14ac:dyDescent="0.3">
      <c r="A12831" t="s">
        <v>497</v>
      </c>
      <c r="B12831" t="s">
        <v>72</v>
      </c>
      <c r="C12831">
        <v>1</v>
      </c>
      <c r="D12831" t="s">
        <v>79</v>
      </c>
      <c r="E12831">
        <v>0.16961699999999999</v>
      </c>
      <c r="F12831" t="s">
        <v>74</v>
      </c>
      <c r="G12831">
        <v>169.61689000000001</v>
      </c>
      <c r="H12831" t="s">
        <v>75</v>
      </c>
      <c r="I12831">
        <v>169616.89300000001</v>
      </c>
      <c r="J12831" t="s">
        <v>76</v>
      </c>
      <c r="K12831" t="s">
        <v>77</v>
      </c>
    </row>
    <row r="12832" spans="1:12" x14ac:dyDescent="0.3">
      <c r="A12832" t="s">
        <v>497</v>
      </c>
      <c r="B12832" t="s">
        <v>72</v>
      </c>
      <c r="C12832">
        <v>1</v>
      </c>
      <c r="D12832" t="s">
        <v>94</v>
      </c>
      <c r="E12832">
        <v>1.8620999999999999E-2</v>
      </c>
      <c r="F12832" t="s">
        <v>74</v>
      </c>
      <c r="G12832">
        <v>18.6206</v>
      </c>
      <c r="H12832" t="s">
        <v>75</v>
      </c>
      <c r="I12832">
        <v>18620.600999999999</v>
      </c>
      <c r="J12832" t="s">
        <v>76</v>
      </c>
      <c r="K12832" t="s">
        <v>77</v>
      </c>
    </row>
    <row r="12833" spans="1:12" x14ac:dyDescent="0.3">
      <c r="A12833" t="s">
        <v>497</v>
      </c>
      <c r="B12833" t="s">
        <v>72</v>
      </c>
      <c r="C12833">
        <v>1</v>
      </c>
      <c r="D12833" t="s">
        <v>80</v>
      </c>
      <c r="E12833">
        <v>1.8622E-2</v>
      </c>
      <c r="F12833" t="s">
        <v>74</v>
      </c>
      <c r="G12833">
        <v>18.621700000000001</v>
      </c>
      <c r="H12833" t="s">
        <v>75</v>
      </c>
      <c r="I12833">
        <v>18621.7</v>
      </c>
      <c r="J12833" t="s">
        <v>76</v>
      </c>
      <c r="K12833" t="s">
        <v>77</v>
      </c>
    </row>
    <row r="12834" spans="1:12" x14ac:dyDescent="0.3">
      <c r="A12834" t="s">
        <v>497</v>
      </c>
      <c r="B12834" t="s">
        <v>72</v>
      </c>
      <c r="C12834">
        <v>1</v>
      </c>
      <c r="D12834" t="s">
        <v>81</v>
      </c>
      <c r="E12834">
        <v>0.18823899999999999</v>
      </c>
      <c r="F12834" t="s">
        <v>74</v>
      </c>
      <c r="G12834">
        <v>188.23920000000001</v>
      </c>
      <c r="H12834" t="s">
        <v>75</v>
      </c>
      <c r="I12834">
        <v>188239.20199999999</v>
      </c>
      <c r="J12834" t="s">
        <v>76</v>
      </c>
      <c r="K12834" t="s">
        <v>82</v>
      </c>
      <c r="L12834">
        <v>5.3123896999999998</v>
      </c>
    </row>
    <row r="12835" spans="1:12" x14ac:dyDescent="0.3">
      <c r="A12835" t="s">
        <v>497</v>
      </c>
      <c r="B12835" t="s">
        <v>83</v>
      </c>
      <c r="C12835">
        <v>378</v>
      </c>
      <c r="D12835" t="s">
        <v>79</v>
      </c>
      <c r="E12835">
        <v>9.9999999999999995E-7</v>
      </c>
      <c r="F12835" t="s">
        <v>74</v>
      </c>
      <c r="G12835">
        <v>5.4000000000000001E-4</v>
      </c>
      <c r="H12835" t="s">
        <v>75</v>
      </c>
      <c r="I12835">
        <v>0.53500000000000003</v>
      </c>
      <c r="J12835" t="s">
        <v>76</v>
      </c>
      <c r="K12835" t="s">
        <v>77</v>
      </c>
    </row>
    <row r="12836" spans="1:12" x14ac:dyDescent="0.3">
      <c r="A12836" t="s">
        <v>497</v>
      </c>
      <c r="B12836" t="s">
        <v>83</v>
      </c>
      <c r="C12836">
        <v>378</v>
      </c>
      <c r="D12836" t="s">
        <v>94</v>
      </c>
      <c r="E12836">
        <v>2.8760000000000001E-2</v>
      </c>
      <c r="F12836" t="s">
        <v>74</v>
      </c>
      <c r="G12836">
        <v>28.759910000000001</v>
      </c>
      <c r="H12836" t="s">
        <v>75</v>
      </c>
      <c r="I12836">
        <v>28759.911</v>
      </c>
      <c r="J12836" t="s">
        <v>76</v>
      </c>
      <c r="K12836" t="s">
        <v>77</v>
      </c>
    </row>
    <row r="12837" spans="1:12" x14ac:dyDescent="0.3">
      <c r="A12837" t="s">
        <v>497</v>
      </c>
      <c r="B12837" t="s">
        <v>83</v>
      </c>
      <c r="C12837">
        <v>378</v>
      </c>
      <c r="D12837" t="s">
        <v>80</v>
      </c>
      <c r="E12837">
        <v>2.8760999999999998E-2</v>
      </c>
      <c r="F12837" t="s">
        <v>74</v>
      </c>
      <c r="G12837">
        <v>28.760770000000001</v>
      </c>
      <c r="H12837" t="s">
        <v>75</v>
      </c>
      <c r="I12837">
        <v>28760.766</v>
      </c>
      <c r="J12837" t="s">
        <v>76</v>
      </c>
      <c r="K12837" t="s">
        <v>77</v>
      </c>
    </row>
    <row r="12838" spans="1:12" x14ac:dyDescent="0.3">
      <c r="A12838" t="s">
        <v>497</v>
      </c>
      <c r="B12838" t="s">
        <v>83</v>
      </c>
      <c r="C12838">
        <v>378</v>
      </c>
      <c r="D12838" t="s">
        <v>81</v>
      </c>
      <c r="E12838">
        <v>2.8761999999999999E-2</v>
      </c>
      <c r="F12838" t="s">
        <v>74</v>
      </c>
      <c r="G12838">
        <v>28.761700000000001</v>
      </c>
      <c r="H12838" t="s">
        <v>75</v>
      </c>
      <c r="I12838">
        <v>28761.705000000002</v>
      </c>
      <c r="J12838" t="s">
        <v>76</v>
      </c>
      <c r="K12838" t="s">
        <v>82</v>
      </c>
      <c r="L12838">
        <v>34.768453700000002</v>
      </c>
    </row>
    <row r="12839" spans="1:12" x14ac:dyDescent="0.3">
      <c r="A12839" t="s">
        <v>497</v>
      </c>
      <c r="B12839" t="s">
        <v>84</v>
      </c>
      <c r="C12839">
        <v>379</v>
      </c>
      <c r="D12839" t="s">
        <v>79</v>
      </c>
      <c r="E12839">
        <v>4.4799999999999999E-4</v>
      </c>
      <c r="F12839" t="s">
        <v>74</v>
      </c>
      <c r="G12839">
        <v>0.44807000000000002</v>
      </c>
      <c r="H12839" t="s">
        <v>75</v>
      </c>
      <c r="I12839">
        <v>448.07299999999998</v>
      </c>
      <c r="J12839" t="s">
        <v>76</v>
      </c>
      <c r="K12839" t="s">
        <v>77</v>
      </c>
    </row>
    <row r="12840" spans="1:12" x14ac:dyDescent="0.3">
      <c r="A12840" t="s">
        <v>497</v>
      </c>
      <c r="B12840" t="s">
        <v>84</v>
      </c>
      <c r="C12840">
        <v>379</v>
      </c>
      <c r="D12840" t="s">
        <v>94</v>
      </c>
      <c r="E12840">
        <v>2.8733000000000002E-2</v>
      </c>
      <c r="F12840" t="s">
        <v>74</v>
      </c>
      <c r="G12840">
        <v>28.733160000000002</v>
      </c>
      <c r="H12840" t="s">
        <v>75</v>
      </c>
      <c r="I12840">
        <v>28733.154999999999</v>
      </c>
      <c r="J12840" t="s">
        <v>76</v>
      </c>
      <c r="K12840" t="s">
        <v>77</v>
      </c>
    </row>
    <row r="12841" spans="1:12" x14ac:dyDescent="0.3">
      <c r="A12841" t="s">
        <v>497</v>
      </c>
      <c r="B12841" t="s">
        <v>84</v>
      </c>
      <c r="C12841">
        <v>379</v>
      </c>
      <c r="D12841" t="s">
        <v>80</v>
      </c>
      <c r="E12841">
        <v>2.8733999999999999E-2</v>
      </c>
      <c r="F12841" t="s">
        <v>74</v>
      </c>
      <c r="G12841">
        <v>28.734010000000001</v>
      </c>
      <c r="H12841" t="s">
        <v>75</v>
      </c>
      <c r="I12841">
        <v>28734.012999999999</v>
      </c>
      <c r="J12841" t="s">
        <v>76</v>
      </c>
      <c r="K12841" t="s">
        <v>77</v>
      </c>
    </row>
    <row r="12842" spans="1:12" x14ac:dyDescent="0.3">
      <c r="A12842" t="s">
        <v>497</v>
      </c>
      <c r="B12842" t="s">
        <v>84</v>
      </c>
      <c r="C12842">
        <v>379</v>
      </c>
      <c r="D12842" t="s">
        <v>81</v>
      </c>
      <c r="E12842">
        <v>2.9182E-2</v>
      </c>
      <c r="F12842" t="s">
        <v>74</v>
      </c>
      <c r="G12842">
        <v>29.182480000000002</v>
      </c>
      <c r="H12842" t="s">
        <v>75</v>
      </c>
      <c r="I12842">
        <v>29182.484</v>
      </c>
      <c r="J12842" t="s">
        <v>76</v>
      </c>
      <c r="K12842" t="s">
        <v>82</v>
      </c>
      <c r="L12842">
        <v>34.267130399999999</v>
      </c>
    </row>
    <row r="12843" spans="1:12" x14ac:dyDescent="0.3">
      <c r="A12843" t="s">
        <v>498</v>
      </c>
      <c r="B12843" t="s">
        <v>72</v>
      </c>
      <c r="C12843">
        <v>1</v>
      </c>
      <c r="D12843" t="s">
        <v>73</v>
      </c>
      <c r="E12843">
        <v>5.1E-5</v>
      </c>
      <c r="F12843" t="s">
        <v>74</v>
      </c>
      <c r="G12843">
        <v>5.11E-2</v>
      </c>
      <c r="H12843" t="s">
        <v>75</v>
      </c>
      <c r="I12843">
        <v>51.1</v>
      </c>
      <c r="J12843" t="s">
        <v>76</v>
      </c>
      <c r="K12843" t="s">
        <v>77</v>
      </c>
    </row>
    <row r="12844" spans="1:12" x14ac:dyDescent="0.3">
      <c r="A12844" t="s">
        <v>498</v>
      </c>
      <c r="B12844" t="s">
        <v>72</v>
      </c>
      <c r="C12844">
        <v>1</v>
      </c>
      <c r="D12844" t="s">
        <v>78</v>
      </c>
      <c r="E12844">
        <v>0.13626199999999999</v>
      </c>
      <c r="F12844" t="s">
        <v>74</v>
      </c>
      <c r="G12844">
        <v>136.262</v>
      </c>
      <c r="H12844" t="s">
        <v>75</v>
      </c>
      <c r="I12844">
        <v>136262</v>
      </c>
      <c r="J12844" t="s">
        <v>76</v>
      </c>
      <c r="K12844" t="s">
        <v>77</v>
      </c>
    </row>
    <row r="12845" spans="1:12" x14ac:dyDescent="0.3">
      <c r="A12845" t="s">
        <v>498</v>
      </c>
      <c r="B12845" t="s">
        <v>72</v>
      </c>
      <c r="C12845">
        <v>2</v>
      </c>
      <c r="D12845" t="s">
        <v>86</v>
      </c>
      <c r="E12845">
        <v>0.24665300000000001</v>
      </c>
      <c r="F12845" t="s">
        <v>74</v>
      </c>
      <c r="G12845">
        <v>246.65334999999999</v>
      </c>
      <c r="H12845" t="s">
        <v>75</v>
      </c>
      <c r="I12845">
        <v>246653.348</v>
      </c>
      <c r="J12845" t="s">
        <v>76</v>
      </c>
      <c r="K12845" t="s">
        <v>82</v>
      </c>
      <c r="L12845">
        <v>4.0542730000000002</v>
      </c>
    </row>
    <row r="12846" spans="1:12" x14ac:dyDescent="0.3">
      <c r="A12846" t="s">
        <v>498</v>
      </c>
      <c r="B12846" t="s">
        <v>83</v>
      </c>
      <c r="C12846">
        <v>999</v>
      </c>
      <c r="D12846" t="s">
        <v>86</v>
      </c>
      <c r="E12846">
        <v>1.0884E-2</v>
      </c>
      <c r="F12846" t="s">
        <v>74</v>
      </c>
      <c r="G12846">
        <v>10.88372</v>
      </c>
      <c r="H12846" t="s">
        <v>75</v>
      </c>
      <c r="I12846">
        <v>10883.722</v>
      </c>
      <c r="J12846" t="s">
        <v>76</v>
      </c>
      <c r="K12846" t="s">
        <v>82</v>
      </c>
      <c r="L12846">
        <v>91.880335000000002</v>
      </c>
    </row>
    <row r="12847" spans="1:12" x14ac:dyDescent="0.3">
      <c r="A12847" t="s">
        <v>498</v>
      </c>
      <c r="B12847" t="s">
        <v>85</v>
      </c>
      <c r="C12847">
        <v>1001</v>
      </c>
      <c r="D12847" t="s">
        <v>86</v>
      </c>
      <c r="E12847">
        <v>1.1069000000000001E-2</v>
      </c>
      <c r="F12847" t="s">
        <v>74</v>
      </c>
      <c r="G12847">
        <v>11.06894</v>
      </c>
      <c r="H12847" t="s">
        <v>75</v>
      </c>
      <c r="I12847">
        <v>11068.942999999999</v>
      </c>
      <c r="J12847" t="s">
        <v>76</v>
      </c>
      <c r="K12847" t="s">
        <v>82</v>
      </c>
      <c r="L12847">
        <v>90.342859799999999</v>
      </c>
    </row>
    <row r="12848" spans="1:12" x14ac:dyDescent="0.3">
      <c r="A12848" t="s">
        <v>155</v>
      </c>
    </row>
    <row r="12849" spans="1:12" x14ac:dyDescent="0.3">
      <c r="A12849" t="s">
        <v>155</v>
      </c>
    </row>
    <row r="12850" spans="1:12" x14ac:dyDescent="0.3">
      <c r="A12850" t="s">
        <v>517</v>
      </c>
    </row>
    <row r="12851" spans="1:12" x14ac:dyDescent="0.3">
      <c r="A12851" t="s">
        <v>496</v>
      </c>
      <c r="B12851" t="s">
        <v>72</v>
      </c>
      <c r="C12851">
        <v>1</v>
      </c>
      <c r="D12851" t="s">
        <v>79</v>
      </c>
      <c r="E12851">
        <v>5.4920000000000004E-3</v>
      </c>
      <c r="F12851" t="s">
        <v>74</v>
      </c>
      <c r="G12851">
        <v>5.492</v>
      </c>
      <c r="H12851" t="s">
        <v>75</v>
      </c>
      <c r="I12851">
        <v>5492</v>
      </c>
      <c r="J12851" t="s">
        <v>76</v>
      </c>
      <c r="K12851" t="s">
        <v>77</v>
      </c>
    </row>
    <row r="12852" spans="1:12" x14ac:dyDescent="0.3">
      <c r="A12852" t="s">
        <v>496</v>
      </c>
      <c r="B12852" t="s">
        <v>72</v>
      </c>
      <c r="C12852">
        <v>1</v>
      </c>
      <c r="D12852" t="s">
        <v>94</v>
      </c>
      <c r="E12852">
        <v>5.0570999999999998E-2</v>
      </c>
      <c r="F12852" t="s">
        <v>74</v>
      </c>
      <c r="G12852">
        <v>50.571100000000001</v>
      </c>
      <c r="H12852" t="s">
        <v>75</v>
      </c>
      <c r="I12852">
        <v>50571.099000000002</v>
      </c>
      <c r="J12852" t="s">
        <v>76</v>
      </c>
      <c r="K12852" t="s">
        <v>77</v>
      </c>
    </row>
    <row r="12853" spans="1:12" x14ac:dyDescent="0.3">
      <c r="A12853" t="s">
        <v>496</v>
      </c>
      <c r="B12853" t="s">
        <v>72</v>
      </c>
      <c r="C12853">
        <v>1</v>
      </c>
      <c r="D12853" t="s">
        <v>80</v>
      </c>
      <c r="E12853">
        <v>5.0571999999999999E-2</v>
      </c>
      <c r="F12853" t="s">
        <v>74</v>
      </c>
      <c r="G12853">
        <v>50.572299999999998</v>
      </c>
      <c r="H12853" t="s">
        <v>75</v>
      </c>
      <c r="I12853">
        <v>50572.298000000003</v>
      </c>
      <c r="J12853" t="s">
        <v>76</v>
      </c>
      <c r="K12853" t="s">
        <v>77</v>
      </c>
    </row>
    <row r="12854" spans="1:12" x14ac:dyDescent="0.3">
      <c r="A12854" t="s">
        <v>496</v>
      </c>
      <c r="B12854" t="s">
        <v>72</v>
      </c>
      <c r="C12854">
        <v>1</v>
      </c>
      <c r="D12854" t="s">
        <v>81</v>
      </c>
      <c r="E12854">
        <v>5.6064999999999997E-2</v>
      </c>
      <c r="F12854" t="s">
        <v>74</v>
      </c>
      <c r="G12854">
        <v>56.064700000000002</v>
      </c>
      <c r="H12854" t="s">
        <v>75</v>
      </c>
      <c r="I12854">
        <v>56064.699000000001</v>
      </c>
      <c r="J12854" t="s">
        <v>76</v>
      </c>
      <c r="K12854" t="s">
        <v>82</v>
      </c>
      <c r="L12854">
        <v>17.836535699999999</v>
      </c>
    </row>
    <row r="12855" spans="1:12" x14ac:dyDescent="0.3">
      <c r="A12855" t="s">
        <v>496</v>
      </c>
      <c r="B12855" t="s">
        <v>83</v>
      </c>
      <c r="C12855">
        <v>764</v>
      </c>
      <c r="D12855" t="s">
        <v>79</v>
      </c>
      <c r="E12855">
        <v>9.9999999999999995E-7</v>
      </c>
      <c r="F12855" t="s">
        <v>74</v>
      </c>
      <c r="G12855">
        <v>7.6000000000000004E-4</v>
      </c>
      <c r="H12855" t="s">
        <v>75</v>
      </c>
      <c r="I12855">
        <v>0.75600000000000001</v>
      </c>
      <c r="J12855" t="s">
        <v>76</v>
      </c>
      <c r="K12855" t="s">
        <v>77</v>
      </c>
    </row>
    <row r="12856" spans="1:12" x14ac:dyDescent="0.3">
      <c r="A12856" t="s">
        <v>496</v>
      </c>
      <c r="B12856" t="s">
        <v>83</v>
      </c>
      <c r="C12856">
        <v>764</v>
      </c>
      <c r="D12856" t="s">
        <v>94</v>
      </c>
      <c r="E12856">
        <v>2.5586999999999999E-2</v>
      </c>
      <c r="F12856" t="s">
        <v>74</v>
      </c>
      <c r="G12856">
        <v>25.586659999999998</v>
      </c>
      <c r="H12856" t="s">
        <v>75</v>
      </c>
      <c r="I12856">
        <v>25586.656999999999</v>
      </c>
      <c r="J12856" t="s">
        <v>76</v>
      </c>
      <c r="K12856" t="s">
        <v>77</v>
      </c>
    </row>
    <row r="12857" spans="1:12" x14ac:dyDescent="0.3">
      <c r="A12857" t="s">
        <v>496</v>
      </c>
      <c r="B12857" t="s">
        <v>83</v>
      </c>
      <c r="C12857">
        <v>764</v>
      </c>
      <c r="D12857" t="s">
        <v>80</v>
      </c>
      <c r="E12857">
        <v>2.5826000000000002E-2</v>
      </c>
      <c r="F12857" t="s">
        <v>74</v>
      </c>
      <c r="G12857">
        <v>25.8264</v>
      </c>
      <c r="H12857" t="s">
        <v>75</v>
      </c>
      <c r="I12857">
        <v>25826.397000000001</v>
      </c>
      <c r="J12857" t="s">
        <v>76</v>
      </c>
      <c r="K12857" t="s">
        <v>77</v>
      </c>
    </row>
    <row r="12858" spans="1:12" x14ac:dyDescent="0.3">
      <c r="A12858" t="s">
        <v>496</v>
      </c>
      <c r="B12858" t="s">
        <v>83</v>
      </c>
      <c r="C12858">
        <v>764</v>
      </c>
      <c r="D12858" t="s">
        <v>81</v>
      </c>
      <c r="E12858">
        <v>2.5826999999999999E-2</v>
      </c>
      <c r="F12858" t="s">
        <v>74</v>
      </c>
      <c r="G12858">
        <v>25.827439999999999</v>
      </c>
      <c r="H12858" t="s">
        <v>75</v>
      </c>
      <c r="I12858">
        <v>25827.437999999998</v>
      </c>
      <c r="J12858" t="s">
        <v>76</v>
      </c>
      <c r="K12858" t="s">
        <v>82</v>
      </c>
      <c r="L12858">
        <v>38.7185135</v>
      </c>
    </row>
    <row r="12859" spans="1:12" x14ac:dyDescent="0.3">
      <c r="A12859" t="s">
        <v>496</v>
      </c>
      <c r="B12859" t="s">
        <v>84</v>
      </c>
      <c r="C12859">
        <v>765</v>
      </c>
      <c r="D12859" t="s">
        <v>79</v>
      </c>
      <c r="E12859">
        <v>7.9999999999999996E-6</v>
      </c>
      <c r="F12859" t="s">
        <v>74</v>
      </c>
      <c r="G12859">
        <v>7.9299999999999995E-3</v>
      </c>
      <c r="H12859" t="s">
        <v>75</v>
      </c>
      <c r="I12859">
        <v>7.9340000000000002</v>
      </c>
      <c r="J12859" t="s">
        <v>76</v>
      </c>
      <c r="K12859" t="s">
        <v>77</v>
      </c>
    </row>
    <row r="12860" spans="1:12" x14ac:dyDescent="0.3">
      <c r="A12860" t="s">
        <v>496</v>
      </c>
      <c r="B12860" t="s">
        <v>84</v>
      </c>
      <c r="C12860">
        <v>765</v>
      </c>
      <c r="D12860" t="s">
        <v>94</v>
      </c>
      <c r="E12860">
        <v>2.5618999999999999E-2</v>
      </c>
      <c r="F12860" t="s">
        <v>74</v>
      </c>
      <c r="G12860">
        <v>25.619319999999998</v>
      </c>
      <c r="H12860" t="s">
        <v>75</v>
      </c>
      <c r="I12860">
        <v>25619.316999999999</v>
      </c>
      <c r="J12860" t="s">
        <v>76</v>
      </c>
      <c r="K12860" t="s">
        <v>77</v>
      </c>
    </row>
    <row r="12861" spans="1:12" x14ac:dyDescent="0.3">
      <c r="A12861" t="s">
        <v>496</v>
      </c>
      <c r="B12861" t="s">
        <v>84</v>
      </c>
      <c r="C12861">
        <v>765</v>
      </c>
      <c r="D12861" t="s">
        <v>80</v>
      </c>
      <c r="E12861">
        <v>2.5859E-2</v>
      </c>
      <c r="F12861" t="s">
        <v>74</v>
      </c>
      <c r="G12861">
        <v>25.858740000000001</v>
      </c>
      <c r="H12861" t="s">
        <v>75</v>
      </c>
      <c r="I12861">
        <v>25858.742999999999</v>
      </c>
      <c r="J12861" t="s">
        <v>76</v>
      </c>
      <c r="K12861" t="s">
        <v>77</v>
      </c>
    </row>
    <row r="12862" spans="1:12" x14ac:dyDescent="0.3">
      <c r="A12862" t="s">
        <v>496</v>
      </c>
      <c r="B12862" t="s">
        <v>84</v>
      </c>
      <c r="C12862">
        <v>765</v>
      </c>
      <c r="D12862" t="s">
        <v>81</v>
      </c>
      <c r="E12862">
        <v>2.5867000000000001E-2</v>
      </c>
      <c r="F12862" t="s">
        <v>74</v>
      </c>
      <c r="G12862">
        <v>25.866959999999999</v>
      </c>
      <c r="H12862" t="s">
        <v>75</v>
      </c>
      <c r="I12862">
        <v>25866.958999999999</v>
      </c>
      <c r="J12862" t="s">
        <v>76</v>
      </c>
      <c r="K12862" t="s">
        <v>82</v>
      </c>
      <c r="L12862">
        <v>38.6593576</v>
      </c>
    </row>
    <row r="12863" spans="1:12" x14ac:dyDescent="0.3">
      <c r="A12863" t="s">
        <v>497</v>
      </c>
      <c r="B12863" t="s">
        <v>72</v>
      </c>
      <c r="C12863">
        <v>1</v>
      </c>
      <c r="D12863" t="s">
        <v>79</v>
      </c>
      <c r="E12863">
        <v>1.9844000000000001E-2</v>
      </c>
      <c r="F12863" t="s">
        <v>74</v>
      </c>
      <c r="G12863">
        <v>19.843599999999999</v>
      </c>
      <c r="H12863" t="s">
        <v>75</v>
      </c>
      <c r="I12863">
        <v>19843.600999999999</v>
      </c>
      <c r="J12863" t="s">
        <v>76</v>
      </c>
      <c r="K12863" t="s">
        <v>77</v>
      </c>
    </row>
    <row r="12864" spans="1:12" x14ac:dyDescent="0.3">
      <c r="A12864" t="s">
        <v>497</v>
      </c>
      <c r="B12864" t="s">
        <v>72</v>
      </c>
      <c r="C12864">
        <v>1</v>
      </c>
      <c r="D12864" t="s">
        <v>94</v>
      </c>
      <c r="E12864">
        <v>6.3175999999999996E-2</v>
      </c>
      <c r="F12864" t="s">
        <v>74</v>
      </c>
      <c r="G12864">
        <v>63.175899999999999</v>
      </c>
      <c r="H12864" t="s">
        <v>75</v>
      </c>
      <c r="I12864">
        <v>63175.902000000002</v>
      </c>
      <c r="J12864" t="s">
        <v>76</v>
      </c>
      <c r="K12864" t="s">
        <v>77</v>
      </c>
    </row>
    <row r="12865" spans="1:12" x14ac:dyDescent="0.3">
      <c r="A12865" t="s">
        <v>497</v>
      </c>
      <c r="B12865" t="s">
        <v>72</v>
      </c>
      <c r="C12865">
        <v>1</v>
      </c>
      <c r="D12865" t="s">
        <v>80</v>
      </c>
      <c r="E12865">
        <v>6.3176999999999997E-2</v>
      </c>
      <c r="F12865" t="s">
        <v>74</v>
      </c>
      <c r="G12865">
        <v>63.1768</v>
      </c>
      <c r="H12865" t="s">
        <v>75</v>
      </c>
      <c r="I12865">
        <v>63176.803</v>
      </c>
      <c r="J12865" t="s">
        <v>76</v>
      </c>
      <c r="K12865" t="s">
        <v>77</v>
      </c>
    </row>
    <row r="12866" spans="1:12" x14ac:dyDescent="0.3">
      <c r="A12866" t="s">
        <v>497</v>
      </c>
      <c r="B12866" t="s">
        <v>72</v>
      </c>
      <c r="C12866">
        <v>1</v>
      </c>
      <c r="D12866" t="s">
        <v>81</v>
      </c>
      <c r="E12866">
        <v>8.3024000000000001E-2</v>
      </c>
      <c r="F12866" t="s">
        <v>74</v>
      </c>
      <c r="G12866">
        <v>83.023899999999998</v>
      </c>
      <c r="H12866" t="s">
        <v>75</v>
      </c>
      <c r="I12866">
        <v>83023.898000000001</v>
      </c>
      <c r="J12866" t="s">
        <v>76</v>
      </c>
      <c r="K12866" t="s">
        <v>82</v>
      </c>
      <c r="L12866">
        <v>12.0447247</v>
      </c>
    </row>
    <row r="12867" spans="1:12" x14ac:dyDescent="0.3">
      <c r="A12867" t="s">
        <v>497</v>
      </c>
      <c r="B12867" t="s">
        <v>83</v>
      </c>
      <c r="C12867">
        <v>235</v>
      </c>
      <c r="D12867" t="s">
        <v>79</v>
      </c>
      <c r="E12867">
        <v>9.9999999999999995E-7</v>
      </c>
      <c r="F12867" t="s">
        <v>74</v>
      </c>
      <c r="G12867">
        <v>1.39E-3</v>
      </c>
      <c r="H12867" t="s">
        <v>75</v>
      </c>
      <c r="I12867">
        <v>1.3939999999999999</v>
      </c>
      <c r="J12867" t="s">
        <v>76</v>
      </c>
      <c r="K12867" t="s">
        <v>77</v>
      </c>
    </row>
    <row r="12868" spans="1:12" x14ac:dyDescent="0.3">
      <c r="A12868" t="s">
        <v>497</v>
      </c>
      <c r="B12868" t="s">
        <v>83</v>
      </c>
      <c r="C12868">
        <v>235</v>
      </c>
      <c r="D12868" t="s">
        <v>94</v>
      </c>
      <c r="E12868">
        <v>8.1525E-2</v>
      </c>
      <c r="F12868" t="s">
        <v>74</v>
      </c>
      <c r="G12868">
        <v>81.524680000000004</v>
      </c>
      <c r="H12868" t="s">
        <v>75</v>
      </c>
      <c r="I12868">
        <v>81524.683000000005</v>
      </c>
      <c r="J12868" t="s">
        <v>76</v>
      </c>
      <c r="K12868" t="s">
        <v>77</v>
      </c>
    </row>
    <row r="12869" spans="1:12" x14ac:dyDescent="0.3">
      <c r="A12869" t="s">
        <v>497</v>
      </c>
      <c r="B12869" t="s">
        <v>83</v>
      </c>
      <c r="C12869">
        <v>235</v>
      </c>
      <c r="D12869" t="s">
        <v>80</v>
      </c>
      <c r="E12869">
        <v>8.2278000000000004E-2</v>
      </c>
      <c r="F12869" t="s">
        <v>74</v>
      </c>
      <c r="G12869">
        <v>82.278459999999995</v>
      </c>
      <c r="H12869" t="s">
        <v>75</v>
      </c>
      <c r="I12869">
        <v>82278.459000000003</v>
      </c>
      <c r="J12869" t="s">
        <v>76</v>
      </c>
      <c r="K12869" t="s">
        <v>77</v>
      </c>
    </row>
    <row r="12870" spans="1:12" x14ac:dyDescent="0.3">
      <c r="A12870" t="s">
        <v>497</v>
      </c>
      <c r="B12870" t="s">
        <v>83</v>
      </c>
      <c r="C12870">
        <v>235</v>
      </c>
      <c r="D12870" t="s">
        <v>81</v>
      </c>
      <c r="E12870">
        <v>8.2281000000000007E-2</v>
      </c>
      <c r="F12870" t="s">
        <v>74</v>
      </c>
      <c r="G12870">
        <v>82.280799999999999</v>
      </c>
      <c r="H12870" t="s">
        <v>75</v>
      </c>
      <c r="I12870">
        <v>82280.796000000002</v>
      </c>
      <c r="J12870" t="s">
        <v>76</v>
      </c>
      <c r="K12870" t="s">
        <v>82</v>
      </c>
      <c r="L12870">
        <v>12.1535042</v>
      </c>
    </row>
    <row r="12871" spans="1:12" x14ac:dyDescent="0.3">
      <c r="A12871" t="s">
        <v>497</v>
      </c>
      <c r="B12871" t="s">
        <v>84</v>
      </c>
      <c r="C12871">
        <v>236</v>
      </c>
      <c r="D12871" t="s">
        <v>79</v>
      </c>
      <c r="E12871">
        <v>8.5000000000000006E-5</v>
      </c>
      <c r="F12871" t="s">
        <v>74</v>
      </c>
      <c r="G12871">
        <v>8.5470000000000004E-2</v>
      </c>
      <c r="H12871" t="s">
        <v>75</v>
      </c>
      <c r="I12871">
        <v>85.471000000000004</v>
      </c>
      <c r="J12871" t="s">
        <v>76</v>
      </c>
      <c r="K12871" t="s">
        <v>77</v>
      </c>
    </row>
    <row r="12872" spans="1:12" x14ac:dyDescent="0.3">
      <c r="A12872" t="s">
        <v>497</v>
      </c>
      <c r="B12872" t="s">
        <v>84</v>
      </c>
      <c r="C12872">
        <v>236</v>
      </c>
      <c r="D12872" t="s">
        <v>94</v>
      </c>
      <c r="E12872">
        <v>8.1447000000000006E-2</v>
      </c>
      <c r="F12872" t="s">
        <v>74</v>
      </c>
      <c r="G12872">
        <v>81.446929999999995</v>
      </c>
      <c r="H12872" t="s">
        <v>75</v>
      </c>
      <c r="I12872">
        <v>81446.930999999997</v>
      </c>
      <c r="J12872" t="s">
        <v>76</v>
      </c>
      <c r="K12872" t="s">
        <v>77</v>
      </c>
    </row>
    <row r="12873" spans="1:12" x14ac:dyDescent="0.3">
      <c r="A12873" t="s">
        <v>497</v>
      </c>
      <c r="B12873" t="s">
        <v>84</v>
      </c>
      <c r="C12873">
        <v>236</v>
      </c>
      <c r="D12873" t="s">
        <v>80</v>
      </c>
      <c r="E12873">
        <v>8.2197999999999993E-2</v>
      </c>
      <c r="F12873" t="s">
        <v>74</v>
      </c>
      <c r="G12873">
        <v>82.197519999999997</v>
      </c>
      <c r="H12873" t="s">
        <v>75</v>
      </c>
      <c r="I12873">
        <v>82197.520999999993</v>
      </c>
      <c r="J12873" t="s">
        <v>76</v>
      </c>
      <c r="K12873" t="s">
        <v>77</v>
      </c>
    </row>
    <row r="12874" spans="1:12" x14ac:dyDescent="0.3">
      <c r="A12874" t="s">
        <v>497</v>
      </c>
      <c r="B12874" t="s">
        <v>84</v>
      </c>
      <c r="C12874">
        <v>236</v>
      </c>
      <c r="D12874" t="s">
        <v>81</v>
      </c>
      <c r="E12874">
        <v>8.2283999999999996E-2</v>
      </c>
      <c r="F12874" t="s">
        <v>74</v>
      </c>
      <c r="G12874">
        <v>82.283940000000001</v>
      </c>
      <c r="H12874" t="s">
        <v>75</v>
      </c>
      <c r="I12874">
        <v>82283.941000000006</v>
      </c>
      <c r="J12874" t="s">
        <v>76</v>
      </c>
      <c r="K12874" t="s">
        <v>82</v>
      </c>
      <c r="L12874">
        <v>12.1530396</v>
      </c>
    </row>
    <row r="12875" spans="1:12" x14ac:dyDescent="0.3">
      <c r="A12875" t="s">
        <v>498</v>
      </c>
      <c r="B12875" t="s">
        <v>72</v>
      </c>
      <c r="C12875">
        <v>1</v>
      </c>
      <c r="D12875" t="s">
        <v>73</v>
      </c>
      <c r="E12875">
        <v>5.1E-5</v>
      </c>
      <c r="F12875" t="s">
        <v>74</v>
      </c>
      <c r="G12875">
        <v>5.11E-2</v>
      </c>
      <c r="H12875" t="s">
        <v>75</v>
      </c>
      <c r="I12875">
        <v>51.1</v>
      </c>
      <c r="J12875" t="s">
        <v>76</v>
      </c>
      <c r="K12875" t="s">
        <v>77</v>
      </c>
    </row>
    <row r="12876" spans="1:12" x14ac:dyDescent="0.3">
      <c r="A12876" t="s">
        <v>498</v>
      </c>
      <c r="B12876" t="s">
        <v>72</v>
      </c>
      <c r="C12876">
        <v>1</v>
      </c>
      <c r="D12876" t="s">
        <v>78</v>
      </c>
      <c r="E12876">
        <v>1.034E-3</v>
      </c>
      <c r="F12876" t="s">
        <v>74</v>
      </c>
      <c r="G12876">
        <v>1.0345</v>
      </c>
      <c r="H12876" t="s">
        <v>75</v>
      </c>
      <c r="I12876">
        <v>1034.5</v>
      </c>
      <c r="J12876" t="s">
        <v>76</v>
      </c>
      <c r="K12876" t="s">
        <v>77</v>
      </c>
    </row>
    <row r="12877" spans="1:12" x14ac:dyDescent="0.3">
      <c r="A12877" t="s">
        <v>498</v>
      </c>
      <c r="B12877" t="s">
        <v>72</v>
      </c>
      <c r="C12877">
        <v>2</v>
      </c>
      <c r="D12877" t="s">
        <v>86</v>
      </c>
      <c r="E12877">
        <v>4.1515000000000003E-2</v>
      </c>
      <c r="F12877" t="s">
        <v>74</v>
      </c>
      <c r="G12877">
        <v>41.515300000000003</v>
      </c>
      <c r="H12877" t="s">
        <v>75</v>
      </c>
      <c r="I12877">
        <v>41515.298000000003</v>
      </c>
      <c r="J12877" t="s">
        <v>76</v>
      </c>
      <c r="K12877" t="s">
        <v>82</v>
      </c>
      <c r="L12877">
        <v>24.087506099999999</v>
      </c>
    </row>
    <row r="12878" spans="1:12" x14ac:dyDescent="0.3">
      <c r="A12878" t="s">
        <v>498</v>
      </c>
      <c r="B12878" t="s">
        <v>83</v>
      </c>
      <c r="C12878">
        <v>999</v>
      </c>
      <c r="D12878" t="s">
        <v>86</v>
      </c>
      <c r="E12878">
        <v>1.9786000000000002E-2</v>
      </c>
      <c r="F12878" t="s">
        <v>74</v>
      </c>
      <c r="G12878">
        <v>19.786020000000001</v>
      </c>
      <c r="H12878" t="s">
        <v>75</v>
      </c>
      <c r="I12878">
        <v>19786.021000000001</v>
      </c>
      <c r="J12878" t="s">
        <v>76</v>
      </c>
      <c r="K12878" t="s">
        <v>82</v>
      </c>
      <c r="L12878">
        <v>50.540731800000003</v>
      </c>
    </row>
    <row r="12879" spans="1:12" x14ac:dyDescent="0.3">
      <c r="A12879" t="s">
        <v>498</v>
      </c>
      <c r="B12879" t="s">
        <v>85</v>
      </c>
      <c r="C12879">
        <v>1001</v>
      </c>
      <c r="D12879" t="s">
        <v>86</v>
      </c>
      <c r="E12879">
        <v>1.9803999999999999E-2</v>
      </c>
      <c r="F12879" t="s">
        <v>74</v>
      </c>
      <c r="G12879">
        <v>19.80433</v>
      </c>
      <c r="H12879" t="s">
        <v>75</v>
      </c>
      <c r="I12879">
        <v>19804.333999999999</v>
      </c>
      <c r="J12879" t="s">
        <v>76</v>
      </c>
      <c r="K12879" t="s">
        <v>82</v>
      </c>
      <c r="L12879">
        <v>50.493997100000001</v>
      </c>
    </row>
    <row r="12880" spans="1:12" x14ac:dyDescent="0.3">
      <c r="A12880" t="s">
        <v>115</v>
      </c>
    </row>
    <row r="12881" spans="1:12" x14ac:dyDescent="0.3">
      <c r="A12881" t="s">
        <v>127</v>
      </c>
    </row>
    <row r="12882" spans="1:12" x14ac:dyDescent="0.3">
      <c r="A12882" t="s">
        <v>87</v>
      </c>
    </row>
    <row r="12883" spans="1:12" x14ac:dyDescent="0.3">
      <c r="A12883" t="s">
        <v>518</v>
      </c>
    </row>
    <row r="12884" spans="1:12" x14ac:dyDescent="0.3">
      <c r="A12884" t="s">
        <v>496</v>
      </c>
      <c r="B12884" t="s">
        <v>72</v>
      </c>
      <c r="C12884">
        <v>1</v>
      </c>
      <c r="D12884" t="s">
        <v>81</v>
      </c>
      <c r="E12884">
        <v>0.49325000000000002</v>
      </c>
      <c r="F12884" t="s">
        <v>74</v>
      </c>
      <c r="G12884">
        <v>493.25018999999998</v>
      </c>
      <c r="H12884" t="s">
        <v>75</v>
      </c>
      <c r="I12884">
        <v>493250.19099999999</v>
      </c>
      <c r="J12884" t="s">
        <v>76</v>
      </c>
      <c r="K12884" t="s">
        <v>82</v>
      </c>
      <c r="L12884">
        <v>2.0273686999999998</v>
      </c>
    </row>
    <row r="12885" spans="1:12" x14ac:dyDescent="0.3">
      <c r="A12885" t="s">
        <v>496</v>
      </c>
      <c r="B12885" t="s">
        <v>83</v>
      </c>
      <c r="C12885">
        <v>621</v>
      </c>
      <c r="D12885" t="s">
        <v>81</v>
      </c>
      <c r="E12885">
        <v>1.7016E-2</v>
      </c>
      <c r="F12885" t="s">
        <v>74</v>
      </c>
      <c r="G12885">
        <v>17.015709999999999</v>
      </c>
      <c r="H12885" t="s">
        <v>75</v>
      </c>
      <c r="I12885">
        <v>17015.708999999999</v>
      </c>
      <c r="J12885" t="s">
        <v>76</v>
      </c>
      <c r="K12885" t="s">
        <v>82</v>
      </c>
      <c r="L12885">
        <v>58.769223199999999</v>
      </c>
    </row>
    <row r="12886" spans="1:12" x14ac:dyDescent="0.3">
      <c r="A12886" t="s">
        <v>496</v>
      </c>
      <c r="B12886" t="s">
        <v>84</v>
      </c>
      <c r="C12886">
        <v>622</v>
      </c>
      <c r="D12886" t="s">
        <v>81</v>
      </c>
      <c r="E12886">
        <v>1.7781000000000002E-2</v>
      </c>
      <c r="F12886" t="s">
        <v>74</v>
      </c>
      <c r="G12886">
        <v>17.781359999999999</v>
      </c>
      <c r="H12886" t="s">
        <v>75</v>
      </c>
      <c r="I12886">
        <v>17781.363000000001</v>
      </c>
      <c r="J12886" t="s">
        <v>76</v>
      </c>
      <c r="K12886" t="s">
        <v>82</v>
      </c>
      <c r="L12886">
        <v>56.238657099999998</v>
      </c>
    </row>
    <row r="12887" spans="1:12" x14ac:dyDescent="0.3">
      <c r="A12887" t="s">
        <v>497</v>
      </c>
      <c r="B12887" t="s">
        <v>72</v>
      </c>
      <c r="C12887">
        <v>1</v>
      </c>
      <c r="D12887" t="s">
        <v>81</v>
      </c>
      <c r="E12887">
        <v>0.18823899999999999</v>
      </c>
      <c r="F12887" t="s">
        <v>74</v>
      </c>
      <c r="G12887">
        <v>188.23920000000001</v>
      </c>
      <c r="H12887" t="s">
        <v>75</v>
      </c>
      <c r="I12887">
        <v>188239.20199999999</v>
      </c>
      <c r="J12887" t="s">
        <v>76</v>
      </c>
      <c r="K12887" t="s">
        <v>82</v>
      </c>
      <c r="L12887">
        <v>5.3123896999999998</v>
      </c>
    </row>
    <row r="12888" spans="1:12" x14ac:dyDescent="0.3">
      <c r="A12888" t="s">
        <v>497</v>
      </c>
      <c r="B12888" t="s">
        <v>83</v>
      </c>
      <c r="C12888">
        <v>378</v>
      </c>
      <c r="D12888" t="s">
        <v>81</v>
      </c>
      <c r="E12888">
        <v>2.8761999999999999E-2</v>
      </c>
      <c r="F12888" t="s">
        <v>74</v>
      </c>
      <c r="G12888">
        <v>28.761700000000001</v>
      </c>
      <c r="H12888" t="s">
        <v>75</v>
      </c>
      <c r="I12888">
        <v>28761.705000000002</v>
      </c>
      <c r="J12888" t="s">
        <v>76</v>
      </c>
      <c r="K12888" t="s">
        <v>82</v>
      </c>
      <c r="L12888">
        <v>34.768453700000002</v>
      </c>
    </row>
    <row r="12889" spans="1:12" x14ac:dyDescent="0.3">
      <c r="A12889" t="s">
        <v>497</v>
      </c>
      <c r="B12889" t="s">
        <v>84</v>
      </c>
      <c r="C12889">
        <v>379</v>
      </c>
      <c r="D12889" t="s">
        <v>81</v>
      </c>
      <c r="E12889">
        <v>2.9182E-2</v>
      </c>
      <c r="F12889" t="s">
        <v>74</v>
      </c>
      <c r="G12889">
        <v>29.182480000000002</v>
      </c>
      <c r="H12889" t="s">
        <v>75</v>
      </c>
      <c r="I12889">
        <v>29182.484</v>
      </c>
      <c r="J12889" t="s">
        <v>76</v>
      </c>
      <c r="K12889" t="s">
        <v>82</v>
      </c>
      <c r="L12889">
        <v>34.267130399999999</v>
      </c>
    </row>
    <row r="12890" spans="1:12" x14ac:dyDescent="0.3">
      <c r="A12890" t="s">
        <v>498</v>
      </c>
      <c r="B12890" t="s">
        <v>72</v>
      </c>
      <c r="C12890">
        <v>2</v>
      </c>
      <c r="D12890" t="s">
        <v>86</v>
      </c>
      <c r="E12890">
        <v>0.24665300000000001</v>
      </c>
      <c r="F12890" t="s">
        <v>74</v>
      </c>
      <c r="G12890">
        <v>246.65334999999999</v>
      </c>
      <c r="H12890" t="s">
        <v>75</v>
      </c>
      <c r="I12890">
        <v>246653.348</v>
      </c>
      <c r="J12890" t="s">
        <v>76</v>
      </c>
      <c r="K12890" t="s">
        <v>82</v>
      </c>
      <c r="L12890">
        <v>4.0542730000000002</v>
      </c>
    </row>
    <row r="12891" spans="1:12" x14ac:dyDescent="0.3">
      <c r="A12891" t="s">
        <v>498</v>
      </c>
      <c r="B12891" t="s">
        <v>83</v>
      </c>
      <c r="C12891">
        <v>999</v>
      </c>
      <c r="D12891" t="s">
        <v>86</v>
      </c>
      <c r="E12891">
        <v>1.0884E-2</v>
      </c>
      <c r="F12891" t="s">
        <v>74</v>
      </c>
      <c r="G12891">
        <v>10.88372</v>
      </c>
      <c r="H12891" t="s">
        <v>75</v>
      </c>
      <c r="I12891">
        <v>10883.722</v>
      </c>
      <c r="J12891" t="s">
        <v>76</v>
      </c>
      <c r="K12891" t="s">
        <v>82</v>
      </c>
      <c r="L12891">
        <v>91.880335000000002</v>
      </c>
    </row>
    <row r="12892" spans="1:12" x14ac:dyDescent="0.3">
      <c r="A12892" t="s">
        <v>498</v>
      </c>
      <c r="B12892" t="s">
        <v>85</v>
      </c>
      <c r="C12892">
        <v>1001</v>
      </c>
      <c r="D12892" t="s">
        <v>86</v>
      </c>
      <c r="E12892">
        <v>1.1069000000000001E-2</v>
      </c>
      <c r="F12892" t="s">
        <v>74</v>
      </c>
      <c r="G12892">
        <v>11.06894</v>
      </c>
      <c r="H12892" t="s">
        <v>75</v>
      </c>
      <c r="I12892">
        <v>11068.942999999999</v>
      </c>
      <c r="J12892" t="s">
        <v>76</v>
      </c>
      <c r="K12892" t="s">
        <v>82</v>
      </c>
      <c r="L12892">
        <v>90.342859799999999</v>
      </c>
    </row>
    <row r="12894" spans="1:12" x14ac:dyDescent="0.3">
      <c r="A12894" t="s">
        <v>519</v>
      </c>
    </row>
    <row r="12895" spans="1:12" x14ac:dyDescent="0.3">
      <c r="A12895" t="s">
        <v>496</v>
      </c>
      <c r="B12895" t="s">
        <v>72</v>
      </c>
      <c r="C12895">
        <v>1</v>
      </c>
      <c r="D12895" t="s">
        <v>81</v>
      </c>
      <c r="E12895">
        <v>5.6064999999999997E-2</v>
      </c>
      <c r="F12895" t="s">
        <v>74</v>
      </c>
      <c r="G12895">
        <v>56.064700000000002</v>
      </c>
      <c r="H12895" t="s">
        <v>75</v>
      </c>
      <c r="I12895">
        <v>56064.699000000001</v>
      </c>
      <c r="J12895" t="s">
        <v>76</v>
      </c>
      <c r="K12895" t="s">
        <v>82</v>
      </c>
      <c r="L12895">
        <v>17.836535699999999</v>
      </c>
    </row>
    <row r="12896" spans="1:12" x14ac:dyDescent="0.3">
      <c r="A12896" t="s">
        <v>496</v>
      </c>
      <c r="B12896" t="s">
        <v>83</v>
      </c>
      <c r="C12896">
        <v>764</v>
      </c>
      <c r="D12896" t="s">
        <v>81</v>
      </c>
      <c r="E12896">
        <v>2.5826999999999999E-2</v>
      </c>
      <c r="F12896" t="s">
        <v>74</v>
      </c>
      <c r="G12896">
        <v>25.827439999999999</v>
      </c>
      <c r="H12896" t="s">
        <v>75</v>
      </c>
      <c r="I12896">
        <v>25827.437999999998</v>
      </c>
      <c r="J12896" t="s">
        <v>76</v>
      </c>
      <c r="K12896" t="s">
        <v>82</v>
      </c>
      <c r="L12896">
        <v>38.7185135</v>
      </c>
    </row>
    <row r="12897" spans="1:12" x14ac:dyDescent="0.3">
      <c r="A12897" t="s">
        <v>496</v>
      </c>
      <c r="B12897" t="s">
        <v>84</v>
      </c>
      <c r="C12897">
        <v>765</v>
      </c>
      <c r="D12897" t="s">
        <v>81</v>
      </c>
      <c r="E12897">
        <v>2.5867000000000001E-2</v>
      </c>
      <c r="F12897" t="s">
        <v>74</v>
      </c>
      <c r="G12897">
        <v>25.866959999999999</v>
      </c>
      <c r="H12897" t="s">
        <v>75</v>
      </c>
      <c r="I12897">
        <v>25866.958999999999</v>
      </c>
      <c r="J12897" t="s">
        <v>76</v>
      </c>
      <c r="K12897" t="s">
        <v>82</v>
      </c>
      <c r="L12897">
        <v>38.6593576</v>
      </c>
    </row>
    <row r="12898" spans="1:12" x14ac:dyDescent="0.3">
      <c r="A12898" t="s">
        <v>497</v>
      </c>
      <c r="B12898" t="s">
        <v>72</v>
      </c>
      <c r="C12898">
        <v>1</v>
      </c>
      <c r="D12898" t="s">
        <v>81</v>
      </c>
      <c r="E12898">
        <v>8.3024000000000001E-2</v>
      </c>
      <c r="F12898" t="s">
        <v>74</v>
      </c>
      <c r="G12898">
        <v>83.023899999999998</v>
      </c>
      <c r="H12898" t="s">
        <v>75</v>
      </c>
      <c r="I12898">
        <v>83023.898000000001</v>
      </c>
      <c r="J12898" t="s">
        <v>76</v>
      </c>
      <c r="K12898" t="s">
        <v>82</v>
      </c>
      <c r="L12898">
        <v>12.0447247</v>
      </c>
    </row>
    <row r="12899" spans="1:12" x14ac:dyDescent="0.3">
      <c r="A12899" t="s">
        <v>497</v>
      </c>
      <c r="B12899" t="s">
        <v>83</v>
      </c>
      <c r="C12899">
        <v>235</v>
      </c>
      <c r="D12899" t="s">
        <v>81</v>
      </c>
      <c r="E12899">
        <v>8.2281000000000007E-2</v>
      </c>
      <c r="F12899" t="s">
        <v>74</v>
      </c>
      <c r="G12899">
        <v>82.280799999999999</v>
      </c>
      <c r="H12899" t="s">
        <v>75</v>
      </c>
      <c r="I12899">
        <v>82280.796000000002</v>
      </c>
      <c r="J12899" t="s">
        <v>76</v>
      </c>
      <c r="K12899" t="s">
        <v>82</v>
      </c>
      <c r="L12899">
        <v>12.1535042</v>
      </c>
    </row>
    <row r="12900" spans="1:12" x14ac:dyDescent="0.3">
      <c r="A12900" t="s">
        <v>497</v>
      </c>
      <c r="B12900" t="s">
        <v>84</v>
      </c>
      <c r="C12900">
        <v>236</v>
      </c>
      <c r="D12900" t="s">
        <v>81</v>
      </c>
      <c r="E12900">
        <v>8.2283999999999996E-2</v>
      </c>
      <c r="F12900" t="s">
        <v>74</v>
      </c>
      <c r="G12900">
        <v>82.283940000000001</v>
      </c>
      <c r="H12900" t="s">
        <v>75</v>
      </c>
      <c r="I12900">
        <v>82283.941000000006</v>
      </c>
      <c r="J12900" t="s">
        <v>76</v>
      </c>
      <c r="K12900" t="s">
        <v>82</v>
      </c>
      <c r="L12900">
        <v>12.1530396</v>
      </c>
    </row>
    <row r="12901" spans="1:12" x14ac:dyDescent="0.3">
      <c r="A12901" t="s">
        <v>498</v>
      </c>
      <c r="B12901" t="s">
        <v>72</v>
      </c>
      <c r="C12901">
        <v>2</v>
      </c>
      <c r="D12901" t="s">
        <v>86</v>
      </c>
      <c r="E12901">
        <v>4.1515000000000003E-2</v>
      </c>
      <c r="F12901" t="s">
        <v>74</v>
      </c>
      <c r="G12901">
        <v>41.515300000000003</v>
      </c>
      <c r="H12901" t="s">
        <v>75</v>
      </c>
      <c r="I12901">
        <v>41515.298000000003</v>
      </c>
      <c r="J12901" t="s">
        <v>76</v>
      </c>
      <c r="K12901" t="s">
        <v>82</v>
      </c>
      <c r="L12901">
        <v>24.087506099999999</v>
      </c>
    </row>
    <row r="12902" spans="1:12" x14ac:dyDescent="0.3">
      <c r="A12902" t="s">
        <v>498</v>
      </c>
      <c r="B12902" t="s">
        <v>83</v>
      </c>
      <c r="C12902">
        <v>999</v>
      </c>
      <c r="D12902" t="s">
        <v>86</v>
      </c>
      <c r="E12902">
        <v>1.9786000000000002E-2</v>
      </c>
      <c r="F12902" t="s">
        <v>74</v>
      </c>
      <c r="G12902">
        <v>19.786020000000001</v>
      </c>
      <c r="H12902" t="s">
        <v>75</v>
      </c>
      <c r="I12902">
        <v>19786.021000000001</v>
      </c>
      <c r="J12902" t="s">
        <v>76</v>
      </c>
      <c r="K12902" t="s">
        <v>82</v>
      </c>
      <c r="L12902">
        <v>50.540731800000003</v>
      </c>
    </row>
    <row r="12903" spans="1:12" x14ac:dyDescent="0.3">
      <c r="A12903" t="s">
        <v>498</v>
      </c>
      <c r="B12903" t="s">
        <v>85</v>
      </c>
      <c r="C12903">
        <v>1001</v>
      </c>
      <c r="D12903" t="s">
        <v>86</v>
      </c>
      <c r="E12903">
        <v>1.9803999999999999E-2</v>
      </c>
      <c r="F12903" t="s">
        <v>74</v>
      </c>
      <c r="G12903">
        <v>19.80433</v>
      </c>
      <c r="H12903" t="s">
        <v>75</v>
      </c>
      <c r="I12903">
        <v>19804.333999999999</v>
      </c>
      <c r="J12903" t="s">
        <v>76</v>
      </c>
      <c r="K12903" t="s">
        <v>82</v>
      </c>
      <c r="L12903">
        <v>50.493997100000001</v>
      </c>
    </row>
    <row r="12905" spans="1:12" x14ac:dyDescent="0.3">
      <c r="A12905" t="s">
        <v>66</v>
      </c>
    </row>
    <row r="12907" spans="1:12" x14ac:dyDescent="0.3">
      <c r="A12907" t="s">
        <v>569</v>
      </c>
    </row>
    <row r="12908" spans="1:12" x14ac:dyDescent="0.3">
      <c r="A12908" t="s">
        <v>68</v>
      </c>
    </row>
    <row r="12909" spans="1:12" x14ac:dyDescent="0.3">
      <c r="A12909" t="s">
        <v>69</v>
      </c>
    </row>
    <row r="12910" spans="1:12" x14ac:dyDescent="0.3">
      <c r="A12910" t="s">
        <v>68</v>
      </c>
    </row>
    <row r="12911" spans="1:12" x14ac:dyDescent="0.3">
      <c r="A12911" t="s">
        <v>69</v>
      </c>
    </row>
    <row r="12912" spans="1:12" x14ac:dyDescent="0.3">
      <c r="A12912" t="s">
        <v>70</v>
      </c>
    </row>
    <row r="12913" spans="1:1" x14ac:dyDescent="0.3">
      <c r="A12913" t="s">
        <v>115</v>
      </c>
    </row>
    <row r="12914" spans="1:1" x14ac:dyDescent="0.3">
      <c r="A12914" t="s">
        <v>116</v>
      </c>
    </row>
    <row r="12915" spans="1:1" x14ac:dyDescent="0.3">
      <c r="A12915" t="s">
        <v>117</v>
      </c>
    </row>
    <row r="12916" spans="1:1" x14ac:dyDescent="0.3">
      <c r="A12916" t="s">
        <v>118</v>
      </c>
    </row>
    <row r="12917" spans="1:1" x14ac:dyDescent="0.3">
      <c r="A12917" t="s">
        <v>119</v>
      </c>
    </row>
    <row r="12918" spans="1:1" x14ac:dyDescent="0.3">
      <c r="A12918" t="s">
        <v>120</v>
      </c>
    </row>
    <row r="12919" spans="1:1" x14ac:dyDescent="0.3">
      <c r="A12919" t="s">
        <v>121</v>
      </c>
    </row>
    <row r="12920" spans="1:1" x14ac:dyDescent="0.3">
      <c r="A12920" t="s">
        <v>122</v>
      </c>
    </row>
    <row r="12921" spans="1:1" x14ac:dyDescent="0.3">
      <c r="A12921" t="s">
        <v>123</v>
      </c>
    </row>
    <row r="12922" spans="1:1" x14ac:dyDescent="0.3">
      <c r="A12922" t="s">
        <v>124</v>
      </c>
    </row>
    <row r="12923" spans="1:1" x14ac:dyDescent="0.3">
      <c r="A12923" t="s">
        <v>125</v>
      </c>
    </row>
    <row r="12924" spans="1:1" x14ac:dyDescent="0.3">
      <c r="A12924" t="s">
        <v>126</v>
      </c>
    </row>
    <row r="12925" spans="1:1" x14ac:dyDescent="0.3">
      <c r="A12925" t="s">
        <v>127</v>
      </c>
    </row>
    <row r="12926" spans="1:1" x14ac:dyDescent="0.3">
      <c r="A12926" t="s">
        <v>160</v>
      </c>
    </row>
    <row r="12927" spans="1:1" x14ac:dyDescent="0.3">
      <c r="A12927" t="s">
        <v>115</v>
      </c>
    </row>
    <row r="12928" spans="1:1" x14ac:dyDescent="0.3">
      <c r="A12928" t="s">
        <v>266</v>
      </c>
    </row>
    <row r="12929" spans="1:11" x14ac:dyDescent="0.3">
      <c r="A12929" t="s">
        <v>267</v>
      </c>
    </row>
    <row r="12930" spans="1:11" x14ac:dyDescent="0.3">
      <c r="A12930" t="s">
        <v>118</v>
      </c>
    </row>
    <row r="12931" spans="1:11" x14ac:dyDescent="0.3">
      <c r="A12931" t="s">
        <v>119</v>
      </c>
    </row>
    <row r="12932" spans="1:11" x14ac:dyDescent="0.3">
      <c r="A12932" t="s">
        <v>268</v>
      </c>
    </row>
    <row r="12933" spans="1:11" x14ac:dyDescent="0.3">
      <c r="A12933" t="s">
        <v>269</v>
      </c>
    </row>
    <row r="12934" spans="1:11" x14ac:dyDescent="0.3">
      <c r="A12934" t="s">
        <v>122</v>
      </c>
    </row>
    <row r="12935" spans="1:11" x14ac:dyDescent="0.3">
      <c r="A12935" t="s">
        <v>270</v>
      </c>
    </row>
    <row r="12936" spans="1:11" x14ac:dyDescent="0.3">
      <c r="A12936" t="s">
        <v>271</v>
      </c>
    </row>
    <row r="12937" spans="1:11" x14ac:dyDescent="0.3">
      <c r="A12937" t="s">
        <v>125</v>
      </c>
    </row>
    <row r="12938" spans="1:11" x14ac:dyDescent="0.3">
      <c r="A12938" t="s">
        <v>126</v>
      </c>
    </row>
    <row r="12939" spans="1:11" x14ac:dyDescent="0.3">
      <c r="A12939" t="s">
        <v>127</v>
      </c>
    </row>
    <row r="12940" spans="1:11" x14ac:dyDescent="0.3">
      <c r="A12940" t="s">
        <v>160</v>
      </c>
    </row>
    <row r="12941" spans="1:11" x14ac:dyDescent="0.3">
      <c r="A12941" t="s">
        <v>521</v>
      </c>
    </row>
    <row r="12942" spans="1:11" x14ac:dyDescent="0.3">
      <c r="A12942" t="s">
        <v>496</v>
      </c>
      <c r="B12942" t="s">
        <v>72</v>
      </c>
      <c r="C12942">
        <v>1</v>
      </c>
      <c r="D12942" t="s">
        <v>79</v>
      </c>
      <c r="E12942">
        <v>0.30144199999999999</v>
      </c>
      <c r="F12942" t="s">
        <v>74</v>
      </c>
      <c r="G12942">
        <v>301.44161000000003</v>
      </c>
      <c r="H12942" t="s">
        <v>75</v>
      </c>
      <c r="I12942">
        <v>301441.61</v>
      </c>
      <c r="J12942" t="s">
        <v>76</v>
      </c>
      <c r="K12942" t="s">
        <v>77</v>
      </c>
    </row>
    <row r="12943" spans="1:11" x14ac:dyDescent="0.3">
      <c r="A12943" t="s">
        <v>496</v>
      </c>
      <c r="B12943" t="s">
        <v>72</v>
      </c>
      <c r="C12943">
        <v>1</v>
      </c>
      <c r="D12943" t="s">
        <v>94</v>
      </c>
      <c r="E12943">
        <v>0.20564499999999999</v>
      </c>
      <c r="F12943" t="s">
        <v>74</v>
      </c>
      <c r="G12943">
        <v>205.64499000000001</v>
      </c>
      <c r="H12943" t="s">
        <v>75</v>
      </c>
      <c r="I12943">
        <v>205644.995</v>
      </c>
      <c r="J12943" t="s">
        <v>76</v>
      </c>
      <c r="K12943" t="s">
        <v>77</v>
      </c>
    </row>
    <row r="12944" spans="1:11" x14ac:dyDescent="0.3">
      <c r="A12944" t="s">
        <v>496</v>
      </c>
      <c r="B12944" t="s">
        <v>72</v>
      </c>
      <c r="C12944">
        <v>1</v>
      </c>
      <c r="D12944" t="s">
        <v>80</v>
      </c>
      <c r="E12944">
        <v>0.205646</v>
      </c>
      <c r="F12944" t="s">
        <v>74</v>
      </c>
      <c r="G12944">
        <v>205.64599000000001</v>
      </c>
      <c r="H12944" t="s">
        <v>75</v>
      </c>
      <c r="I12944">
        <v>205645.99299999999</v>
      </c>
      <c r="J12944" t="s">
        <v>76</v>
      </c>
      <c r="K12944" t="s">
        <v>77</v>
      </c>
    </row>
    <row r="12945" spans="1:12" x14ac:dyDescent="0.3">
      <c r="A12945" t="s">
        <v>496</v>
      </c>
      <c r="B12945" t="s">
        <v>72</v>
      </c>
      <c r="C12945">
        <v>1</v>
      </c>
      <c r="D12945" t="s">
        <v>81</v>
      </c>
      <c r="E12945">
        <v>0.50708900000000001</v>
      </c>
      <c r="F12945" t="s">
        <v>74</v>
      </c>
      <c r="G12945">
        <v>507.08859999999999</v>
      </c>
      <c r="H12945" t="s">
        <v>75</v>
      </c>
      <c r="I12945">
        <v>507088.60200000001</v>
      </c>
      <c r="J12945" t="s">
        <v>76</v>
      </c>
      <c r="K12945" t="s">
        <v>82</v>
      </c>
      <c r="L12945">
        <v>1.9720420000000001</v>
      </c>
    </row>
    <row r="12946" spans="1:12" x14ac:dyDescent="0.3">
      <c r="A12946" t="s">
        <v>496</v>
      </c>
      <c r="B12946" t="s">
        <v>83</v>
      </c>
      <c r="C12946">
        <v>631</v>
      </c>
      <c r="D12946" t="s">
        <v>79</v>
      </c>
      <c r="E12946">
        <v>0</v>
      </c>
      <c r="F12946" t="s">
        <v>74</v>
      </c>
      <c r="G12946">
        <v>2.7E-4</v>
      </c>
      <c r="H12946" t="s">
        <v>75</v>
      </c>
      <c r="I12946">
        <v>0.27</v>
      </c>
      <c r="J12946" t="s">
        <v>76</v>
      </c>
      <c r="K12946" t="s">
        <v>77</v>
      </c>
    </row>
    <row r="12947" spans="1:12" x14ac:dyDescent="0.3">
      <c r="A12947" t="s">
        <v>496</v>
      </c>
      <c r="B12947" t="s">
        <v>83</v>
      </c>
      <c r="C12947">
        <v>631</v>
      </c>
      <c r="D12947" t="s">
        <v>94</v>
      </c>
      <c r="E12947">
        <v>1.6237000000000001E-2</v>
      </c>
      <c r="F12947" t="s">
        <v>74</v>
      </c>
      <c r="G12947">
        <v>16.236789999999999</v>
      </c>
      <c r="H12947" t="s">
        <v>75</v>
      </c>
      <c r="I12947">
        <v>16236.786</v>
      </c>
      <c r="J12947" t="s">
        <v>76</v>
      </c>
      <c r="K12947" t="s">
        <v>77</v>
      </c>
    </row>
    <row r="12948" spans="1:12" x14ac:dyDescent="0.3">
      <c r="A12948" t="s">
        <v>496</v>
      </c>
      <c r="B12948" t="s">
        <v>83</v>
      </c>
      <c r="C12948">
        <v>631</v>
      </c>
      <c r="D12948" t="s">
        <v>80</v>
      </c>
      <c r="E12948">
        <v>1.6237000000000001E-2</v>
      </c>
      <c r="F12948" t="s">
        <v>74</v>
      </c>
      <c r="G12948">
        <v>16.237439999999999</v>
      </c>
      <c r="H12948" t="s">
        <v>75</v>
      </c>
      <c r="I12948">
        <v>16237.437</v>
      </c>
      <c r="J12948" t="s">
        <v>76</v>
      </c>
      <c r="K12948" t="s">
        <v>77</v>
      </c>
    </row>
    <row r="12949" spans="1:12" x14ac:dyDescent="0.3">
      <c r="A12949" t="s">
        <v>496</v>
      </c>
      <c r="B12949" t="s">
        <v>83</v>
      </c>
      <c r="C12949">
        <v>631</v>
      </c>
      <c r="D12949" t="s">
        <v>81</v>
      </c>
      <c r="E12949">
        <v>1.6237999999999999E-2</v>
      </c>
      <c r="F12949" t="s">
        <v>74</v>
      </c>
      <c r="G12949">
        <v>16.237860000000001</v>
      </c>
      <c r="H12949" t="s">
        <v>75</v>
      </c>
      <c r="I12949">
        <v>16237.86</v>
      </c>
      <c r="J12949" t="s">
        <v>76</v>
      </c>
      <c r="K12949" t="s">
        <v>82</v>
      </c>
      <c r="L12949">
        <v>61.584468200000003</v>
      </c>
    </row>
    <row r="12950" spans="1:12" x14ac:dyDescent="0.3">
      <c r="A12950" t="s">
        <v>496</v>
      </c>
      <c r="B12950" t="s">
        <v>84</v>
      </c>
      <c r="C12950">
        <v>632</v>
      </c>
      <c r="D12950" t="s">
        <v>79</v>
      </c>
      <c r="E12950">
        <v>4.7699999999999999E-4</v>
      </c>
      <c r="F12950" t="s">
        <v>74</v>
      </c>
      <c r="G12950">
        <v>0.47722999999999999</v>
      </c>
      <c r="H12950" t="s">
        <v>75</v>
      </c>
      <c r="I12950">
        <v>477.233</v>
      </c>
      <c r="J12950" t="s">
        <v>76</v>
      </c>
      <c r="K12950" t="s">
        <v>77</v>
      </c>
    </row>
    <row r="12951" spans="1:12" x14ac:dyDescent="0.3">
      <c r="A12951" t="s">
        <v>496</v>
      </c>
      <c r="B12951" t="s">
        <v>84</v>
      </c>
      <c r="C12951">
        <v>632</v>
      </c>
      <c r="D12951" t="s">
        <v>94</v>
      </c>
      <c r="E12951">
        <v>1.6535999999999999E-2</v>
      </c>
      <c r="F12951" t="s">
        <v>74</v>
      </c>
      <c r="G12951">
        <v>16.536480000000001</v>
      </c>
      <c r="H12951" t="s">
        <v>75</v>
      </c>
      <c r="I12951">
        <v>16536.476999999999</v>
      </c>
      <c r="J12951" t="s">
        <v>76</v>
      </c>
      <c r="K12951" t="s">
        <v>77</v>
      </c>
    </row>
    <row r="12952" spans="1:12" x14ac:dyDescent="0.3">
      <c r="A12952" t="s">
        <v>496</v>
      </c>
      <c r="B12952" t="s">
        <v>84</v>
      </c>
      <c r="C12952">
        <v>632</v>
      </c>
      <c r="D12952" t="s">
        <v>80</v>
      </c>
      <c r="E12952">
        <v>1.6537E-2</v>
      </c>
      <c r="F12952" t="s">
        <v>74</v>
      </c>
      <c r="G12952">
        <v>16.537130000000001</v>
      </c>
      <c r="H12952" t="s">
        <v>75</v>
      </c>
      <c r="I12952">
        <v>16537.132000000001</v>
      </c>
      <c r="J12952" t="s">
        <v>76</v>
      </c>
      <c r="K12952" t="s">
        <v>77</v>
      </c>
    </row>
    <row r="12953" spans="1:12" x14ac:dyDescent="0.3">
      <c r="A12953" t="s">
        <v>496</v>
      </c>
      <c r="B12953" t="s">
        <v>84</v>
      </c>
      <c r="C12953">
        <v>632</v>
      </c>
      <c r="D12953" t="s">
        <v>81</v>
      </c>
      <c r="E12953">
        <v>1.7014999999999999E-2</v>
      </c>
      <c r="F12953" t="s">
        <v>74</v>
      </c>
      <c r="G12953">
        <v>17.014520000000001</v>
      </c>
      <c r="H12953" t="s">
        <v>75</v>
      </c>
      <c r="I12953">
        <v>17014.519</v>
      </c>
      <c r="J12953" t="s">
        <v>76</v>
      </c>
      <c r="K12953" t="s">
        <v>82</v>
      </c>
      <c r="L12953">
        <v>58.773335000000003</v>
      </c>
    </row>
    <row r="12954" spans="1:12" x14ac:dyDescent="0.3">
      <c r="A12954" t="s">
        <v>497</v>
      </c>
      <c r="B12954" t="s">
        <v>72</v>
      </c>
      <c r="C12954">
        <v>1</v>
      </c>
      <c r="D12954" t="s">
        <v>79</v>
      </c>
      <c r="E12954">
        <v>0.128466</v>
      </c>
      <c r="F12954" t="s">
        <v>74</v>
      </c>
      <c r="G12954">
        <v>128.46610000000001</v>
      </c>
      <c r="H12954" t="s">
        <v>75</v>
      </c>
      <c r="I12954">
        <v>128466.1</v>
      </c>
      <c r="J12954" t="s">
        <v>76</v>
      </c>
      <c r="K12954" t="s">
        <v>77</v>
      </c>
    </row>
    <row r="12955" spans="1:12" x14ac:dyDescent="0.3">
      <c r="A12955" t="s">
        <v>497</v>
      </c>
      <c r="B12955" t="s">
        <v>72</v>
      </c>
      <c r="C12955">
        <v>1</v>
      </c>
      <c r="D12955" t="s">
        <v>94</v>
      </c>
      <c r="E12955">
        <v>0.109543</v>
      </c>
      <c r="F12955" t="s">
        <v>74</v>
      </c>
      <c r="G12955">
        <v>109.54259999999999</v>
      </c>
      <c r="H12955" t="s">
        <v>75</v>
      </c>
      <c r="I12955">
        <v>109542.601</v>
      </c>
      <c r="J12955" t="s">
        <v>76</v>
      </c>
      <c r="K12955" t="s">
        <v>77</v>
      </c>
    </row>
    <row r="12956" spans="1:12" x14ac:dyDescent="0.3">
      <c r="A12956" t="s">
        <v>497</v>
      </c>
      <c r="B12956" t="s">
        <v>72</v>
      </c>
      <c r="C12956">
        <v>1</v>
      </c>
      <c r="D12956" t="s">
        <v>80</v>
      </c>
      <c r="E12956">
        <v>0.109545</v>
      </c>
      <c r="F12956" t="s">
        <v>74</v>
      </c>
      <c r="G12956">
        <v>109.5454</v>
      </c>
      <c r="H12956" t="s">
        <v>75</v>
      </c>
      <c r="I12956">
        <v>109545.402</v>
      </c>
      <c r="J12956" t="s">
        <v>76</v>
      </c>
      <c r="K12956" t="s">
        <v>77</v>
      </c>
    </row>
    <row r="12957" spans="1:12" x14ac:dyDescent="0.3">
      <c r="A12957" t="s">
        <v>497</v>
      </c>
      <c r="B12957" t="s">
        <v>72</v>
      </c>
      <c r="C12957">
        <v>1</v>
      </c>
      <c r="D12957" t="s">
        <v>81</v>
      </c>
      <c r="E12957">
        <v>0.238012</v>
      </c>
      <c r="F12957" t="s">
        <v>74</v>
      </c>
      <c r="G12957">
        <v>238.01219</v>
      </c>
      <c r="H12957" t="s">
        <v>75</v>
      </c>
      <c r="I12957">
        <v>238012.19500000001</v>
      </c>
      <c r="J12957" t="s">
        <v>76</v>
      </c>
      <c r="K12957" t="s">
        <v>82</v>
      </c>
      <c r="L12957">
        <v>4.2014654</v>
      </c>
    </row>
    <row r="12958" spans="1:12" x14ac:dyDescent="0.3">
      <c r="A12958" t="s">
        <v>497</v>
      </c>
      <c r="B12958" t="s">
        <v>83</v>
      </c>
      <c r="C12958">
        <v>368</v>
      </c>
      <c r="D12958" t="s">
        <v>79</v>
      </c>
      <c r="E12958">
        <v>0</v>
      </c>
      <c r="F12958" t="s">
        <v>74</v>
      </c>
      <c r="G12958">
        <v>4.4999999999999999E-4</v>
      </c>
      <c r="H12958" t="s">
        <v>75</v>
      </c>
      <c r="I12958">
        <v>0.44800000000000001</v>
      </c>
      <c r="J12958" t="s">
        <v>76</v>
      </c>
      <c r="K12958" t="s">
        <v>77</v>
      </c>
    </row>
    <row r="12959" spans="1:12" x14ac:dyDescent="0.3">
      <c r="A12959" t="s">
        <v>497</v>
      </c>
      <c r="B12959" t="s">
        <v>83</v>
      </c>
      <c r="C12959">
        <v>368</v>
      </c>
      <c r="D12959" t="s">
        <v>94</v>
      </c>
      <c r="E12959">
        <v>2.8565E-2</v>
      </c>
      <c r="F12959" t="s">
        <v>74</v>
      </c>
      <c r="G12959">
        <v>28.565349999999999</v>
      </c>
      <c r="H12959" t="s">
        <v>75</v>
      </c>
      <c r="I12959">
        <v>28565.355</v>
      </c>
      <c r="J12959" t="s">
        <v>76</v>
      </c>
      <c r="K12959" t="s">
        <v>77</v>
      </c>
    </row>
    <row r="12960" spans="1:12" x14ac:dyDescent="0.3">
      <c r="A12960" t="s">
        <v>497</v>
      </c>
      <c r="B12960" t="s">
        <v>83</v>
      </c>
      <c r="C12960">
        <v>368</v>
      </c>
      <c r="D12960" t="s">
        <v>80</v>
      </c>
      <c r="E12960">
        <v>2.8566000000000001E-2</v>
      </c>
      <c r="F12960" t="s">
        <v>74</v>
      </c>
      <c r="G12960">
        <v>28.566079999999999</v>
      </c>
      <c r="H12960" t="s">
        <v>75</v>
      </c>
      <c r="I12960">
        <v>28566.078000000001</v>
      </c>
      <c r="J12960" t="s">
        <v>76</v>
      </c>
      <c r="K12960" t="s">
        <v>77</v>
      </c>
    </row>
    <row r="12961" spans="1:12" x14ac:dyDescent="0.3">
      <c r="A12961" t="s">
        <v>497</v>
      </c>
      <c r="B12961" t="s">
        <v>83</v>
      </c>
      <c r="C12961">
        <v>368</v>
      </c>
      <c r="D12961" t="s">
        <v>81</v>
      </c>
      <c r="E12961">
        <v>2.8566999999999999E-2</v>
      </c>
      <c r="F12961" t="s">
        <v>74</v>
      </c>
      <c r="G12961">
        <v>28.566749999999999</v>
      </c>
      <c r="H12961" t="s">
        <v>75</v>
      </c>
      <c r="I12961">
        <v>28566.754000000001</v>
      </c>
      <c r="J12961" t="s">
        <v>76</v>
      </c>
      <c r="K12961" t="s">
        <v>82</v>
      </c>
      <c r="L12961">
        <v>35.005726799999998</v>
      </c>
    </row>
    <row r="12962" spans="1:12" x14ac:dyDescent="0.3">
      <c r="A12962" t="s">
        <v>497</v>
      </c>
      <c r="B12962" t="s">
        <v>84</v>
      </c>
      <c r="C12962">
        <v>369</v>
      </c>
      <c r="D12962" t="s">
        <v>79</v>
      </c>
      <c r="E12962">
        <v>3.4900000000000003E-4</v>
      </c>
      <c r="F12962" t="s">
        <v>74</v>
      </c>
      <c r="G12962">
        <v>0.34859000000000001</v>
      </c>
      <c r="H12962" t="s">
        <v>75</v>
      </c>
      <c r="I12962">
        <v>348.59300000000002</v>
      </c>
      <c r="J12962" t="s">
        <v>76</v>
      </c>
      <c r="K12962" t="s">
        <v>77</v>
      </c>
    </row>
    <row r="12963" spans="1:12" x14ac:dyDescent="0.3">
      <c r="A12963" t="s">
        <v>497</v>
      </c>
      <c r="B12963" t="s">
        <v>84</v>
      </c>
      <c r="C12963">
        <v>369</v>
      </c>
      <c r="D12963" t="s">
        <v>94</v>
      </c>
      <c r="E12963">
        <v>2.8785000000000002E-2</v>
      </c>
      <c r="F12963" t="s">
        <v>74</v>
      </c>
      <c r="G12963">
        <v>28.784800000000001</v>
      </c>
      <c r="H12963" t="s">
        <v>75</v>
      </c>
      <c r="I12963">
        <v>28784.804</v>
      </c>
      <c r="J12963" t="s">
        <v>76</v>
      </c>
      <c r="K12963" t="s">
        <v>77</v>
      </c>
    </row>
    <row r="12964" spans="1:12" x14ac:dyDescent="0.3">
      <c r="A12964" t="s">
        <v>497</v>
      </c>
      <c r="B12964" t="s">
        <v>84</v>
      </c>
      <c r="C12964">
        <v>369</v>
      </c>
      <c r="D12964" t="s">
        <v>80</v>
      </c>
      <c r="E12964">
        <v>2.8785999999999999E-2</v>
      </c>
      <c r="F12964" t="s">
        <v>74</v>
      </c>
      <c r="G12964">
        <v>28.785530000000001</v>
      </c>
      <c r="H12964" t="s">
        <v>75</v>
      </c>
      <c r="I12964">
        <v>28785.53</v>
      </c>
      <c r="J12964" t="s">
        <v>76</v>
      </c>
      <c r="K12964" t="s">
        <v>77</v>
      </c>
    </row>
    <row r="12965" spans="1:12" x14ac:dyDescent="0.3">
      <c r="A12965" t="s">
        <v>497</v>
      </c>
      <c r="B12965" t="s">
        <v>84</v>
      </c>
      <c r="C12965">
        <v>369</v>
      </c>
      <c r="D12965" t="s">
        <v>81</v>
      </c>
      <c r="E12965">
        <v>2.9134E-2</v>
      </c>
      <c r="F12965" t="s">
        <v>74</v>
      </c>
      <c r="G12965">
        <v>29.134360000000001</v>
      </c>
      <c r="H12965" t="s">
        <v>75</v>
      </c>
      <c r="I12965">
        <v>29134.363000000001</v>
      </c>
      <c r="J12965" t="s">
        <v>76</v>
      </c>
      <c r="K12965" t="s">
        <v>82</v>
      </c>
      <c r="L12965">
        <v>34.323729999999998</v>
      </c>
    </row>
    <row r="12966" spans="1:12" x14ac:dyDescent="0.3">
      <c r="A12966" t="s">
        <v>498</v>
      </c>
      <c r="B12966" t="s">
        <v>72</v>
      </c>
      <c r="C12966">
        <v>1</v>
      </c>
      <c r="D12966" t="s">
        <v>73</v>
      </c>
      <c r="E12966">
        <v>4.8000000000000001E-5</v>
      </c>
      <c r="F12966" t="s">
        <v>74</v>
      </c>
      <c r="G12966">
        <v>4.8500000000000001E-2</v>
      </c>
      <c r="H12966" t="s">
        <v>75</v>
      </c>
      <c r="I12966">
        <v>48.5</v>
      </c>
      <c r="J12966" t="s">
        <v>76</v>
      </c>
      <c r="K12966" t="s">
        <v>77</v>
      </c>
    </row>
    <row r="12967" spans="1:12" x14ac:dyDescent="0.3">
      <c r="A12967" t="s">
        <v>498</v>
      </c>
      <c r="B12967" t="s">
        <v>72</v>
      </c>
      <c r="C12967">
        <v>1</v>
      </c>
      <c r="D12967" t="s">
        <v>78</v>
      </c>
      <c r="E12967">
        <v>0.13902200000000001</v>
      </c>
      <c r="F12967" t="s">
        <v>74</v>
      </c>
      <c r="G12967">
        <v>139.0215</v>
      </c>
      <c r="H12967" t="s">
        <v>75</v>
      </c>
      <c r="I12967">
        <v>139021.50099999999</v>
      </c>
      <c r="J12967" t="s">
        <v>76</v>
      </c>
      <c r="K12967" t="s">
        <v>77</v>
      </c>
    </row>
    <row r="12968" spans="1:12" x14ac:dyDescent="0.3">
      <c r="A12968" t="s">
        <v>498</v>
      </c>
      <c r="B12968" t="s">
        <v>72</v>
      </c>
      <c r="C12968">
        <v>2</v>
      </c>
      <c r="D12968" t="s">
        <v>86</v>
      </c>
      <c r="E12968">
        <v>0.25357099999999999</v>
      </c>
      <c r="F12968" t="s">
        <v>74</v>
      </c>
      <c r="G12968">
        <v>253.57065</v>
      </c>
      <c r="H12968" t="s">
        <v>75</v>
      </c>
      <c r="I12968">
        <v>253570.64600000001</v>
      </c>
      <c r="J12968" t="s">
        <v>76</v>
      </c>
      <c r="K12968" t="s">
        <v>82</v>
      </c>
      <c r="L12968">
        <v>3.9436741</v>
      </c>
    </row>
    <row r="12969" spans="1:12" x14ac:dyDescent="0.3">
      <c r="A12969" t="s">
        <v>498</v>
      </c>
      <c r="B12969" t="s">
        <v>83</v>
      </c>
      <c r="C12969">
        <v>999</v>
      </c>
      <c r="D12969" t="s">
        <v>86</v>
      </c>
      <c r="E12969">
        <v>1.0526000000000001E-2</v>
      </c>
      <c r="F12969" t="s">
        <v>74</v>
      </c>
      <c r="G12969">
        <v>10.52627</v>
      </c>
      <c r="H12969" t="s">
        <v>75</v>
      </c>
      <c r="I12969">
        <v>10526.273999999999</v>
      </c>
      <c r="J12969" t="s">
        <v>76</v>
      </c>
      <c r="K12969" t="s">
        <v>82</v>
      </c>
      <c r="L12969">
        <v>95.000374500000007</v>
      </c>
    </row>
    <row r="12970" spans="1:12" x14ac:dyDescent="0.3">
      <c r="A12970" t="s">
        <v>498</v>
      </c>
      <c r="B12970" t="s">
        <v>85</v>
      </c>
      <c r="C12970">
        <v>1001</v>
      </c>
      <c r="D12970" t="s">
        <v>86</v>
      </c>
      <c r="E12970">
        <v>1.0761E-2</v>
      </c>
      <c r="F12970" t="s">
        <v>74</v>
      </c>
      <c r="G12970">
        <v>10.76099</v>
      </c>
      <c r="H12970" t="s">
        <v>75</v>
      </c>
      <c r="I12970">
        <v>10760.99</v>
      </c>
      <c r="J12970" t="s">
        <v>76</v>
      </c>
      <c r="K12970" t="s">
        <v>82</v>
      </c>
      <c r="L12970">
        <v>92.928249300000004</v>
      </c>
    </row>
    <row r="12971" spans="1:12" x14ac:dyDescent="0.3">
      <c r="A12971" t="s">
        <v>162</v>
      </c>
    </row>
    <row r="12972" spans="1:12" x14ac:dyDescent="0.3">
      <c r="A12972" t="s">
        <v>162</v>
      </c>
    </row>
    <row r="12973" spans="1:12" x14ac:dyDescent="0.3">
      <c r="A12973" t="s">
        <v>522</v>
      </c>
    </row>
    <row r="12974" spans="1:12" x14ac:dyDescent="0.3">
      <c r="A12974" t="s">
        <v>496</v>
      </c>
      <c r="B12974" t="s">
        <v>72</v>
      </c>
      <c r="C12974">
        <v>1</v>
      </c>
      <c r="D12974" t="s">
        <v>79</v>
      </c>
      <c r="E12974">
        <v>3.771E-3</v>
      </c>
      <c r="F12974" t="s">
        <v>74</v>
      </c>
      <c r="G12974">
        <v>3.7713999999999999</v>
      </c>
      <c r="H12974" t="s">
        <v>75</v>
      </c>
      <c r="I12974">
        <v>3771.4</v>
      </c>
      <c r="J12974" t="s">
        <v>76</v>
      </c>
      <c r="K12974" t="s">
        <v>77</v>
      </c>
    </row>
    <row r="12975" spans="1:12" x14ac:dyDescent="0.3">
      <c r="A12975" t="s">
        <v>496</v>
      </c>
      <c r="B12975" t="s">
        <v>72</v>
      </c>
      <c r="C12975">
        <v>1</v>
      </c>
      <c r="D12975" t="s">
        <v>94</v>
      </c>
      <c r="E12975">
        <v>2.8409E-2</v>
      </c>
      <c r="F12975" t="s">
        <v>74</v>
      </c>
      <c r="G12975">
        <v>28.409500000000001</v>
      </c>
      <c r="H12975" t="s">
        <v>75</v>
      </c>
      <c r="I12975">
        <v>28409.5</v>
      </c>
      <c r="J12975" t="s">
        <v>76</v>
      </c>
      <c r="K12975" t="s">
        <v>77</v>
      </c>
    </row>
    <row r="12976" spans="1:12" x14ac:dyDescent="0.3">
      <c r="A12976" t="s">
        <v>496</v>
      </c>
      <c r="B12976" t="s">
        <v>72</v>
      </c>
      <c r="C12976">
        <v>1</v>
      </c>
      <c r="D12976" t="s">
        <v>80</v>
      </c>
      <c r="E12976">
        <v>2.8410000000000001E-2</v>
      </c>
      <c r="F12976" t="s">
        <v>74</v>
      </c>
      <c r="G12976">
        <v>28.4102</v>
      </c>
      <c r="H12976" t="s">
        <v>75</v>
      </c>
      <c r="I12976">
        <v>28410.2</v>
      </c>
      <c r="J12976" t="s">
        <v>76</v>
      </c>
      <c r="K12976" t="s">
        <v>77</v>
      </c>
    </row>
    <row r="12977" spans="1:12" x14ac:dyDescent="0.3">
      <c r="A12977" t="s">
        <v>496</v>
      </c>
      <c r="B12977" t="s">
        <v>72</v>
      </c>
      <c r="C12977">
        <v>1</v>
      </c>
      <c r="D12977" t="s">
        <v>81</v>
      </c>
      <c r="E12977">
        <v>3.2182000000000002E-2</v>
      </c>
      <c r="F12977" t="s">
        <v>74</v>
      </c>
      <c r="G12977">
        <v>32.181800000000003</v>
      </c>
      <c r="H12977" t="s">
        <v>75</v>
      </c>
      <c r="I12977">
        <v>32181.798999999999</v>
      </c>
      <c r="J12977" t="s">
        <v>76</v>
      </c>
      <c r="K12977" t="s">
        <v>82</v>
      </c>
      <c r="L12977">
        <v>31.0734645</v>
      </c>
    </row>
    <row r="12978" spans="1:12" x14ac:dyDescent="0.3">
      <c r="A12978" t="s">
        <v>496</v>
      </c>
      <c r="B12978" t="s">
        <v>83</v>
      </c>
      <c r="C12978">
        <v>750</v>
      </c>
      <c r="D12978" t="s">
        <v>79</v>
      </c>
      <c r="E12978">
        <v>9.9999999999999995E-7</v>
      </c>
      <c r="F12978" t="s">
        <v>74</v>
      </c>
      <c r="G12978">
        <v>7.1000000000000002E-4</v>
      </c>
      <c r="H12978" t="s">
        <v>75</v>
      </c>
      <c r="I12978">
        <v>0.70699999999999996</v>
      </c>
      <c r="J12978" t="s">
        <v>76</v>
      </c>
      <c r="K12978" t="s">
        <v>77</v>
      </c>
    </row>
    <row r="12979" spans="1:12" x14ac:dyDescent="0.3">
      <c r="A12979" t="s">
        <v>496</v>
      </c>
      <c r="B12979" t="s">
        <v>83</v>
      </c>
      <c r="C12979">
        <v>750</v>
      </c>
      <c r="D12979" t="s">
        <v>94</v>
      </c>
      <c r="E12979">
        <v>2.5968999999999999E-2</v>
      </c>
      <c r="F12979" t="s">
        <v>74</v>
      </c>
      <c r="G12979">
        <v>25.968579999999999</v>
      </c>
      <c r="H12979" t="s">
        <v>75</v>
      </c>
      <c r="I12979">
        <v>25968.584999999999</v>
      </c>
      <c r="J12979" t="s">
        <v>76</v>
      </c>
      <c r="K12979" t="s">
        <v>77</v>
      </c>
    </row>
    <row r="12980" spans="1:12" x14ac:dyDescent="0.3">
      <c r="A12980" t="s">
        <v>496</v>
      </c>
      <c r="B12980" t="s">
        <v>83</v>
      </c>
      <c r="C12980">
        <v>750</v>
      </c>
      <c r="D12980" t="s">
        <v>80</v>
      </c>
      <c r="E12980">
        <v>2.6223E-2</v>
      </c>
      <c r="F12980" t="s">
        <v>74</v>
      </c>
      <c r="G12980">
        <v>26.22296</v>
      </c>
      <c r="H12980" t="s">
        <v>75</v>
      </c>
      <c r="I12980">
        <v>26222.958999999999</v>
      </c>
      <c r="J12980" t="s">
        <v>76</v>
      </c>
      <c r="K12980" t="s">
        <v>77</v>
      </c>
    </row>
    <row r="12981" spans="1:12" x14ac:dyDescent="0.3">
      <c r="A12981" t="s">
        <v>496</v>
      </c>
      <c r="B12981" t="s">
        <v>83</v>
      </c>
      <c r="C12981">
        <v>750</v>
      </c>
      <c r="D12981" t="s">
        <v>81</v>
      </c>
      <c r="E12981">
        <v>2.6224000000000001E-2</v>
      </c>
      <c r="F12981" t="s">
        <v>74</v>
      </c>
      <c r="G12981">
        <v>26.223929999999999</v>
      </c>
      <c r="H12981" t="s">
        <v>75</v>
      </c>
      <c r="I12981">
        <v>26223.933000000001</v>
      </c>
      <c r="J12981" t="s">
        <v>76</v>
      </c>
      <c r="K12981" t="s">
        <v>82</v>
      </c>
      <c r="L12981">
        <v>38.133105499999999</v>
      </c>
    </row>
    <row r="12982" spans="1:12" x14ac:dyDescent="0.3">
      <c r="A12982" t="s">
        <v>496</v>
      </c>
      <c r="B12982" t="s">
        <v>84</v>
      </c>
      <c r="C12982">
        <v>751</v>
      </c>
      <c r="D12982" t="s">
        <v>79</v>
      </c>
      <c r="E12982">
        <v>6.0000000000000002E-6</v>
      </c>
      <c r="F12982" t="s">
        <v>74</v>
      </c>
      <c r="G12982">
        <v>5.7299999999999999E-3</v>
      </c>
      <c r="H12982" t="s">
        <v>75</v>
      </c>
      <c r="I12982">
        <v>5.7279999999999998</v>
      </c>
      <c r="J12982" t="s">
        <v>76</v>
      </c>
      <c r="K12982" t="s">
        <v>77</v>
      </c>
    </row>
    <row r="12983" spans="1:12" x14ac:dyDescent="0.3">
      <c r="A12983" t="s">
        <v>496</v>
      </c>
      <c r="B12983" t="s">
        <v>84</v>
      </c>
      <c r="C12983">
        <v>751</v>
      </c>
      <c r="D12983" t="s">
        <v>94</v>
      </c>
      <c r="E12983">
        <v>2.5971999999999999E-2</v>
      </c>
      <c r="F12983" t="s">
        <v>74</v>
      </c>
      <c r="G12983">
        <v>25.971830000000001</v>
      </c>
      <c r="H12983" t="s">
        <v>75</v>
      </c>
      <c r="I12983">
        <v>25971.832999999999</v>
      </c>
      <c r="J12983" t="s">
        <v>76</v>
      </c>
      <c r="K12983" t="s">
        <v>77</v>
      </c>
    </row>
    <row r="12984" spans="1:12" x14ac:dyDescent="0.3">
      <c r="A12984" t="s">
        <v>496</v>
      </c>
      <c r="B12984" t="s">
        <v>84</v>
      </c>
      <c r="C12984">
        <v>751</v>
      </c>
      <c r="D12984" t="s">
        <v>80</v>
      </c>
      <c r="E12984">
        <v>2.6225999999999999E-2</v>
      </c>
      <c r="F12984" t="s">
        <v>74</v>
      </c>
      <c r="G12984">
        <v>26.22587</v>
      </c>
      <c r="H12984" t="s">
        <v>75</v>
      </c>
      <c r="I12984">
        <v>26225.870999999999</v>
      </c>
      <c r="J12984" t="s">
        <v>76</v>
      </c>
      <c r="K12984" t="s">
        <v>77</v>
      </c>
    </row>
    <row r="12985" spans="1:12" x14ac:dyDescent="0.3">
      <c r="A12985" t="s">
        <v>496</v>
      </c>
      <c r="B12985" t="s">
        <v>84</v>
      </c>
      <c r="C12985">
        <v>751</v>
      </c>
      <c r="D12985" t="s">
        <v>81</v>
      </c>
      <c r="E12985">
        <v>2.6231999999999998E-2</v>
      </c>
      <c r="F12985" t="s">
        <v>74</v>
      </c>
      <c r="G12985">
        <v>26.231860000000001</v>
      </c>
      <c r="H12985" t="s">
        <v>75</v>
      </c>
      <c r="I12985">
        <v>26231.865000000002</v>
      </c>
      <c r="J12985" t="s">
        <v>76</v>
      </c>
      <c r="K12985" t="s">
        <v>82</v>
      </c>
      <c r="L12985">
        <v>38.121575</v>
      </c>
    </row>
    <row r="12986" spans="1:12" x14ac:dyDescent="0.3">
      <c r="A12986" t="s">
        <v>497</v>
      </c>
      <c r="B12986" t="s">
        <v>72</v>
      </c>
      <c r="C12986">
        <v>1</v>
      </c>
      <c r="D12986" t="s">
        <v>79</v>
      </c>
      <c r="E12986">
        <v>2.7614E-2</v>
      </c>
      <c r="F12986" t="s">
        <v>74</v>
      </c>
      <c r="G12986">
        <v>27.613600000000002</v>
      </c>
      <c r="H12986" t="s">
        <v>75</v>
      </c>
      <c r="I12986">
        <v>27613.600999999999</v>
      </c>
      <c r="J12986" t="s">
        <v>76</v>
      </c>
      <c r="K12986" t="s">
        <v>77</v>
      </c>
    </row>
    <row r="12987" spans="1:12" x14ac:dyDescent="0.3">
      <c r="A12987" t="s">
        <v>497</v>
      </c>
      <c r="B12987" t="s">
        <v>72</v>
      </c>
      <c r="C12987">
        <v>1</v>
      </c>
      <c r="D12987" t="s">
        <v>94</v>
      </c>
      <c r="E12987">
        <v>9.3096999999999999E-2</v>
      </c>
      <c r="F12987" t="s">
        <v>74</v>
      </c>
      <c r="G12987">
        <v>93.096599999999995</v>
      </c>
      <c r="H12987" t="s">
        <v>75</v>
      </c>
      <c r="I12987">
        <v>93096.599000000002</v>
      </c>
      <c r="J12987" t="s">
        <v>76</v>
      </c>
      <c r="K12987" t="s">
        <v>77</v>
      </c>
    </row>
    <row r="12988" spans="1:12" x14ac:dyDescent="0.3">
      <c r="A12988" t="s">
        <v>497</v>
      </c>
      <c r="B12988" t="s">
        <v>72</v>
      </c>
      <c r="C12988">
        <v>1</v>
      </c>
      <c r="D12988" t="s">
        <v>80</v>
      </c>
      <c r="E12988">
        <v>9.3105999999999994E-2</v>
      </c>
      <c r="F12988" t="s">
        <v>74</v>
      </c>
      <c r="G12988">
        <v>93.105500000000006</v>
      </c>
      <c r="H12988" t="s">
        <v>75</v>
      </c>
      <c r="I12988">
        <v>93105.501999999993</v>
      </c>
      <c r="J12988" t="s">
        <v>76</v>
      </c>
      <c r="K12988" t="s">
        <v>77</v>
      </c>
    </row>
    <row r="12989" spans="1:12" x14ac:dyDescent="0.3">
      <c r="A12989" t="s">
        <v>497</v>
      </c>
      <c r="B12989" t="s">
        <v>72</v>
      </c>
      <c r="C12989">
        <v>1</v>
      </c>
      <c r="D12989" t="s">
        <v>81</v>
      </c>
      <c r="E12989">
        <v>0.12071900000000001</v>
      </c>
      <c r="F12989" t="s">
        <v>74</v>
      </c>
      <c r="G12989">
        <v>120.7195</v>
      </c>
      <c r="H12989" t="s">
        <v>75</v>
      </c>
      <c r="I12989">
        <v>120719.5</v>
      </c>
      <c r="J12989" t="s">
        <v>76</v>
      </c>
      <c r="K12989" t="s">
        <v>82</v>
      </c>
      <c r="L12989">
        <v>8.2836659000000008</v>
      </c>
    </row>
    <row r="12990" spans="1:12" x14ac:dyDescent="0.3">
      <c r="A12990" t="s">
        <v>497</v>
      </c>
      <c r="B12990" t="s">
        <v>83</v>
      </c>
      <c r="C12990">
        <v>249</v>
      </c>
      <c r="D12990" t="s">
        <v>79</v>
      </c>
      <c r="E12990">
        <v>1.9999999999999999E-6</v>
      </c>
      <c r="F12990" t="s">
        <v>74</v>
      </c>
      <c r="G12990">
        <v>1.8600000000000001E-3</v>
      </c>
      <c r="H12990" t="s">
        <v>75</v>
      </c>
      <c r="I12990">
        <v>1.863</v>
      </c>
      <c r="J12990" t="s">
        <v>76</v>
      </c>
      <c r="K12990" t="s">
        <v>77</v>
      </c>
    </row>
    <row r="12991" spans="1:12" x14ac:dyDescent="0.3">
      <c r="A12991" t="s">
        <v>497</v>
      </c>
      <c r="B12991" t="s">
        <v>83</v>
      </c>
      <c r="C12991">
        <v>249</v>
      </c>
      <c r="D12991" t="s">
        <v>94</v>
      </c>
      <c r="E12991">
        <v>7.4675000000000005E-2</v>
      </c>
      <c r="F12991" t="s">
        <v>74</v>
      </c>
      <c r="G12991">
        <v>74.675280000000001</v>
      </c>
      <c r="H12991" t="s">
        <v>75</v>
      </c>
      <c r="I12991">
        <v>74675.28</v>
      </c>
      <c r="J12991" t="s">
        <v>76</v>
      </c>
      <c r="K12991" t="s">
        <v>77</v>
      </c>
    </row>
    <row r="12992" spans="1:12" x14ac:dyDescent="0.3">
      <c r="A12992" t="s">
        <v>497</v>
      </c>
      <c r="B12992" t="s">
        <v>83</v>
      </c>
      <c r="C12992">
        <v>249</v>
      </c>
      <c r="D12992" t="s">
        <v>80</v>
      </c>
      <c r="E12992">
        <v>7.5954999999999995E-2</v>
      </c>
      <c r="F12992" t="s">
        <v>74</v>
      </c>
      <c r="G12992">
        <v>75.954800000000006</v>
      </c>
      <c r="H12992" t="s">
        <v>75</v>
      </c>
      <c r="I12992">
        <v>75954.797000000006</v>
      </c>
      <c r="J12992" t="s">
        <v>76</v>
      </c>
      <c r="K12992" t="s">
        <v>77</v>
      </c>
    </row>
    <row r="12993" spans="1:12" x14ac:dyDescent="0.3">
      <c r="A12993" t="s">
        <v>497</v>
      </c>
      <c r="B12993" t="s">
        <v>83</v>
      </c>
      <c r="C12993">
        <v>249</v>
      </c>
      <c r="D12993" t="s">
        <v>81</v>
      </c>
      <c r="E12993">
        <v>7.5957999999999998E-2</v>
      </c>
      <c r="F12993" t="s">
        <v>74</v>
      </c>
      <c r="G12993">
        <v>75.957689999999999</v>
      </c>
      <c r="H12993" t="s">
        <v>75</v>
      </c>
      <c r="I12993">
        <v>75957.684999999998</v>
      </c>
      <c r="J12993" t="s">
        <v>76</v>
      </c>
      <c r="K12993" t="s">
        <v>82</v>
      </c>
      <c r="L12993">
        <v>13.165224800000001</v>
      </c>
    </row>
    <row r="12994" spans="1:12" x14ac:dyDescent="0.3">
      <c r="A12994" t="s">
        <v>497</v>
      </c>
      <c r="B12994" t="s">
        <v>84</v>
      </c>
      <c r="C12994">
        <v>250</v>
      </c>
      <c r="D12994" t="s">
        <v>79</v>
      </c>
      <c r="E12994">
        <v>1.12E-4</v>
      </c>
      <c r="F12994" t="s">
        <v>74</v>
      </c>
      <c r="G12994">
        <v>0.11230999999999999</v>
      </c>
      <c r="H12994" t="s">
        <v>75</v>
      </c>
      <c r="I12994">
        <v>112.31</v>
      </c>
      <c r="J12994" t="s">
        <v>76</v>
      </c>
      <c r="K12994" t="s">
        <v>77</v>
      </c>
    </row>
    <row r="12995" spans="1:12" x14ac:dyDescent="0.3">
      <c r="A12995" t="s">
        <v>497</v>
      </c>
      <c r="B12995" t="s">
        <v>84</v>
      </c>
      <c r="C12995">
        <v>250</v>
      </c>
      <c r="D12995" t="s">
        <v>94</v>
      </c>
      <c r="E12995">
        <v>7.4748999999999996E-2</v>
      </c>
      <c r="F12995" t="s">
        <v>74</v>
      </c>
      <c r="G12995">
        <v>74.74897</v>
      </c>
      <c r="H12995" t="s">
        <v>75</v>
      </c>
      <c r="I12995">
        <v>74748.97</v>
      </c>
      <c r="J12995" t="s">
        <v>76</v>
      </c>
      <c r="K12995" t="s">
        <v>77</v>
      </c>
    </row>
    <row r="12996" spans="1:12" x14ac:dyDescent="0.3">
      <c r="A12996" t="s">
        <v>497</v>
      </c>
      <c r="B12996" t="s">
        <v>84</v>
      </c>
      <c r="C12996">
        <v>250</v>
      </c>
      <c r="D12996" t="s">
        <v>80</v>
      </c>
      <c r="E12996">
        <v>7.6022999999999993E-2</v>
      </c>
      <c r="F12996" t="s">
        <v>74</v>
      </c>
      <c r="G12996">
        <v>76.023399999999995</v>
      </c>
      <c r="H12996" t="s">
        <v>75</v>
      </c>
      <c r="I12996">
        <v>76023.399000000005</v>
      </c>
      <c r="J12996" t="s">
        <v>76</v>
      </c>
      <c r="K12996" t="s">
        <v>77</v>
      </c>
    </row>
    <row r="12997" spans="1:12" x14ac:dyDescent="0.3">
      <c r="A12997" t="s">
        <v>497</v>
      </c>
      <c r="B12997" t="s">
        <v>84</v>
      </c>
      <c r="C12997">
        <v>250</v>
      </c>
      <c r="D12997" t="s">
        <v>81</v>
      </c>
      <c r="E12997">
        <v>7.6136999999999996E-2</v>
      </c>
      <c r="F12997" t="s">
        <v>74</v>
      </c>
      <c r="G12997">
        <v>76.13673</v>
      </c>
      <c r="H12997" t="s">
        <v>75</v>
      </c>
      <c r="I12997">
        <v>76136.733999999997</v>
      </c>
      <c r="J12997" t="s">
        <v>76</v>
      </c>
      <c r="K12997" t="s">
        <v>82</v>
      </c>
      <c r="L12997">
        <v>13.1342645</v>
      </c>
    </row>
    <row r="12998" spans="1:12" x14ac:dyDescent="0.3">
      <c r="A12998" t="s">
        <v>498</v>
      </c>
      <c r="B12998" t="s">
        <v>72</v>
      </c>
      <c r="C12998">
        <v>1</v>
      </c>
      <c r="D12998" t="s">
        <v>73</v>
      </c>
      <c r="E12998">
        <v>4.8000000000000001E-5</v>
      </c>
      <c r="F12998" t="s">
        <v>74</v>
      </c>
      <c r="G12998">
        <v>4.8500000000000001E-2</v>
      </c>
      <c r="H12998" t="s">
        <v>75</v>
      </c>
      <c r="I12998">
        <v>48.5</v>
      </c>
      <c r="J12998" t="s">
        <v>76</v>
      </c>
      <c r="K12998" t="s">
        <v>77</v>
      </c>
    </row>
    <row r="12999" spans="1:12" x14ac:dyDescent="0.3">
      <c r="A12999" t="s">
        <v>498</v>
      </c>
      <c r="B12999" t="s">
        <v>72</v>
      </c>
      <c r="C12999">
        <v>1</v>
      </c>
      <c r="D12999" t="s">
        <v>78</v>
      </c>
      <c r="E12999">
        <v>1.0560000000000001E-3</v>
      </c>
      <c r="F12999" t="s">
        <v>74</v>
      </c>
      <c r="G12999">
        <v>1.0555000000000001</v>
      </c>
      <c r="H12999" t="s">
        <v>75</v>
      </c>
      <c r="I12999">
        <v>1055.5</v>
      </c>
      <c r="J12999" t="s">
        <v>76</v>
      </c>
      <c r="K12999" t="s">
        <v>77</v>
      </c>
    </row>
    <row r="13000" spans="1:12" x14ac:dyDescent="0.3">
      <c r="A13000" t="s">
        <v>498</v>
      </c>
      <c r="B13000" t="s">
        <v>72</v>
      </c>
      <c r="C13000">
        <v>2</v>
      </c>
      <c r="D13000" t="s">
        <v>86</v>
      </c>
      <c r="E13000">
        <v>6.0363E-2</v>
      </c>
      <c r="F13000" t="s">
        <v>74</v>
      </c>
      <c r="G13000">
        <v>60.363149999999997</v>
      </c>
      <c r="H13000" t="s">
        <v>75</v>
      </c>
      <c r="I13000">
        <v>60363.150999999998</v>
      </c>
      <c r="J13000" t="s">
        <v>76</v>
      </c>
      <c r="K13000" t="s">
        <v>82</v>
      </c>
      <c r="L13000">
        <v>16.566398199999998</v>
      </c>
    </row>
    <row r="13001" spans="1:12" x14ac:dyDescent="0.3">
      <c r="A13001" t="s">
        <v>498</v>
      </c>
      <c r="B13001" t="s">
        <v>83</v>
      </c>
      <c r="C13001">
        <v>999</v>
      </c>
      <c r="D13001" t="s">
        <v>86</v>
      </c>
      <c r="E13001">
        <v>1.9724999999999999E-2</v>
      </c>
      <c r="F13001" t="s">
        <v>74</v>
      </c>
      <c r="G13001">
        <v>19.725380000000001</v>
      </c>
      <c r="H13001" t="s">
        <v>75</v>
      </c>
      <c r="I13001">
        <v>19725.381000000001</v>
      </c>
      <c r="J13001" t="s">
        <v>76</v>
      </c>
      <c r="K13001" t="s">
        <v>82</v>
      </c>
      <c r="L13001">
        <v>50.696104599999998</v>
      </c>
    </row>
    <row r="13002" spans="1:12" x14ac:dyDescent="0.3">
      <c r="A13002" t="s">
        <v>498</v>
      </c>
      <c r="B13002" t="s">
        <v>85</v>
      </c>
      <c r="C13002">
        <v>1001</v>
      </c>
      <c r="D13002" t="s">
        <v>86</v>
      </c>
      <c r="E13002">
        <v>1.9719E-2</v>
      </c>
      <c r="F13002" t="s">
        <v>74</v>
      </c>
      <c r="G13002">
        <v>19.71942</v>
      </c>
      <c r="H13002" t="s">
        <v>75</v>
      </c>
      <c r="I13002">
        <v>19719.419999999998</v>
      </c>
      <c r="J13002" t="s">
        <v>76</v>
      </c>
      <c r="K13002" t="s">
        <v>82</v>
      </c>
      <c r="L13002">
        <v>50.711430300000004</v>
      </c>
    </row>
    <row r="13003" spans="1:12" x14ac:dyDescent="0.3">
      <c r="A13003" t="s">
        <v>115</v>
      </c>
    </row>
    <row r="13004" spans="1:12" x14ac:dyDescent="0.3">
      <c r="A13004" t="s">
        <v>127</v>
      </c>
    </row>
    <row r="13005" spans="1:12" x14ac:dyDescent="0.3">
      <c r="A13005" t="s">
        <v>87</v>
      </c>
    </row>
    <row r="13006" spans="1:12" x14ac:dyDescent="0.3">
      <c r="A13006" t="s">
        <v>523</v>
      </c>
    </row>
    <row r="13007" spans="1:12" x14ac:dyDescent="0.3">
      <c r="A13007" t="s">
        <v>496</v>
      </c>
      <c r="B13007" t="s">
        <v>72</v>
      </c>
      <c r="C13007">
        <v>1</v>
      </c>
      <c r="D13007" t="s">
        <v>81</v>
      </c>
      <c r="E13007">
        <v>0.50708900000000001</v>
      </c>
      <c r="F13007" t="s">
        <v>74</v>
      </c>
      <c r="G13007">
        <v>507.08859999999999</v>
      </c>
      <c r="H13007" t="s">
        <v>75</v>
      </c>
      <c r="I13007">
        <v>507088.60200000001</v>
      </c>
      <c r="J13007" t="s">
        <v>76</v>
      </c>
      <c r="K13007" t="s">
        <v>82</v>
      </c>
      <c r="L13007">
        <v>1.9720420000000001</v>
      </c>
    </row>
    <row r="13008" spans="1:12" x14ac:dyDescent="0.3">
      <c r="A13008" t="s">
        <v>496</v>
      </c>
      <c r="B13008" t="s">
        <v>83</v>
      </c>
      <c r="C13008">
        <v>631</v>
      </c>
      <c r="D13008" t="s">
        <v>81</v>
      </c>
      <c r="E13008">
        <v>1.6237999999999999E-2</v>
      </c>
      <c r="F13008" t="s">
        <v>74</v>
      </c>
      <c r="G13008">
        <v>16.237860000000001</v>
      </c>
      <c r="H13008" t="s">
        <v>75</v>
      </c>
      <c r="I13008">
        <v>16237.86</v>
      </c>
      <c r="J13008" t="s">
        <v>76</v>
      </c>
      <c r="K13008" t="s">
        <v>82</v>
      </c>
      <c r="L13008">
        <v>61.584468200000003</v>
      </c>
    </row>
    <row r="13009" spans="1:12" x14ac:dyDescent="0.3">
      <c r="A13009" t="s">
        <v>496</v>
      </c>
      <c r="B13009" t="s">
        <v>84</v>
      </c>
      <c r="C13009">
        <v>632</v>
      </c>
      <c r="D13009" t="s">
        <v>81</v>
      </c>
      <c r="E13009">
        <v>1.7014999999999999E-2</v>
      </c>
      <c r="F13009" t="s">
        <v>74</v>
      </c>
      <c r="G13009">
        <v>17.014520000000001</v>
      </c>
      <c r="H13009" t="s">
        <v>75</v>
      </c>
      <c r="I13009">
        <v>17014.519</v>
      </c>
      <c r="J13009" t="s">
        <v>76</v>
      </c>
      <c r="K13009" t="s">
        <v>82</v>
      </c>
      <c r="L13009">
        <v>58.773335000000003</v>
      </c>
    </row>
    <row r="13010" spans="1:12" x14ac:dyDescent="0.3">
      <c r="A13010" t="s">
        <v>497</v>
      </c>
      <c r="B13010" t="s">
        <v>72</v>
      </c>
      <c r="C13010">
        <v>1</v>
      </c>
      <c r="D13010" t="s">
        <v>81</v>
      </c>
      <c r="E13010">
        <v>0.238012</v>
      </c>
      <c r="F13010" t="s">
        <v>74</v>
      </c>
      <c r="G13010">
        <v>238.01219</v>
      </c>
      <c r="H13010" t="s">
        <v>75</v>
      </c>
      <c r="I13010">
        <v>238012.19500000001</v>
      </c>
      <c r="J13010" t="s">
        <v>76</v>
      </c>
      <c r="K13010" t="s">
        <v>82</v>
      </c>
      <c r="L13010">
        <v>4.2014654</v>
      </c>
    </row>
    <row r="13011" spans="1:12" x14ac:dyDescent="0.3">
      <c r="A13011" t="s">
        <v>497</v>
      </c>
      <c r="B13011" t="s">
        <v>83</v>
      </c>
      <c r="C13011">
        <v>368</v>
      </c>
      <c r="D13011" t="s">
        <v>81</v>
      </c>
      <c r="E13011">
        <v>2.8566999999999999E-2</v>
      </c>
      <c r="F13011" t="s">
        <v>74</v>
      </c>
      <c r="G13011">
        <v>28.566749999999999</v>
      </c>
      <c r="H13011" t="s">
        <v>75</v>
      </c>
      <c r="I13011">
        <v>28566.754000000001</v>
      </c>
      <c r="J13011" t="s">
        <v>76</v>
      </c>
      <c r="K13011" t="s">
        <v>82</v>
      </c>
      <c r="L13011">
        <v>35.005726799999998</v>
      </c>
    </row>
    <row r="13012" spans="1:12" x14ac:dyDescent="0.3">
      <c r="A13012" t="s">
        <v>497</v>
      </c>
      <c r="B13012" t="s">
        <v>84</v>
      </c>
      <c r="C13012">
        <v>369</v>
      </c>
      <c r="D13012" t="s">
        <v>81</v>
      </c>
      <c r="E13012">
        <v>2.9134E-2</v>
      </c>
      <c r="F13012" t="s">
        <v>74</v>
      </c>
      <c r="G13012">
        <v>29.134360000000001</v>
      </c>
      <c r="H13012" t="s">
        <v>75</v>
      </c>
      <c r="I13012">
        <v>29134.363000000001</v>
      </c>
      <c r="J13012" t="s">
        <v>76</v>
      </c>
      <c r="K13012" t="s">
        <v>82</v>
      </c>
      <c r="L13012">
        <v>34.323729999999998</v>
      </c>
    </row>
    <row r="13013" spans="1:12" x14ac:dyDescent="0.3">
      <c r="A13013" t="s">
        <v>498</v>
      </c>
      <c r="B13013" t="s">
        <v>72</v>
      </c>
      <c r="C13013">
        <v>2</v>
      </c>
      <c r="D13013" t="s">
        <v>86</v>
      </c>
      <c r="E13013">
        <v>0.25357099999999999</v>
      </c>
      <c r="F13013" t="s">
        <v>74</v>
      </c>
      <c r="G13013">
        <v>253.57065</v>
      </c>
      <c r="H13013" t="s">
        <v>75</v>
      </c>
      <c r="I13013">
        <v>253570.64600000001</v>
      </c>
      <c r="J13013" t="s">
        <v>76</v>
      </c>
      <c r="K13013" t="s">
        <v>82</v>
      </c>
      <c r="L13013">
        <v>3.9436741</v>
      </c>
    </row>
    <row r="13014" spans="1:12" x14ac:dyDescent="0.3">
      <c r="A13014" t="s">
        <v>498</v>
      </c>
      <c r="B13014" t="s">
        <v>83</v>
      </c>
      <c r="C13014">
        <v>999</v>
      </c>
      <c r="D13014" t="s">
        <v>86</v>
      </c>
      <c r="E13014">
        <v>1.0526000000000001E-2</v>
      </c>
      <c r="F13014" t="s">
        <v>74</v>
      </c>
      <c r="G13014">
        <v>10.52627</v>
      </c>
      <c r="H13014" t="s">
        <v>75</v>
      </c>
      <c r="I13014">
        <v>10526.273999999999</v>
      </c>
      <c r="J13014" t="s">
        <v>76</v>
      </c>
      <c r="K13014" t="s">
        <v>82</v>
      </c>
      <c r="L13014">
        <v>95.000374500000007</v>
      </c>
    </row>
    <row r="13015" spans="1:12" x14ac:dyDescent="0.3">
      <c r="A13015" t="s">
        <v>498</v>
      </c>
      <c r="B13015" t="s">
        <v>85</v>
      </c>
      <c r="C13015">
        <v>1001</v>
      </c>
      <c r="D13015" t="s">
        <v>86</v>
      </c>
      <c r="E13015">
        <v>1.0761E-2</v>
      </c>
      <c r="F13015" t="s">
        <v>74</v>
      </c>
      <c r="G13015">
        <v>10.76099</v>
      </c>
      <c r="H13015" t="s">
        <v>75</v>
      </c>
      <c r="I13015">
        <v>10760.99</v>
      </c>
      <c r="J13015" t="s">
        <v>76</v>
      </c>
      <c r="K13015" t="s">
        <v>82</v>
      </c>
      <c r="L13015">
        <v>92.928249300000004</v>
      </c>
    </row>
    <row r="13017" spans="1:12" x14ac:dyDescent="0.3">
      <c r="A13017" t="s">
        <v>524</v>
      </c>
    </row>
    <row r="13018" spans="1:12" x14ac:dyDescent="0.3">
      <c r="A13018" t="s">
        <v>496</v>
      </c>
      <c r="B13018" t="s">
        <v>72</v>
      </c>
      <c r="C13018">
        <v>1</v>
      </c>
      <c r="D13018" t="s">
        <v>81</v>
      </c>
      <c r="E13018">
        <v>3.2182000000000002E-2</v>
      </c>
      <c r="F13018" t="s">
        <v>74</v>
      </c>
      <c r="G13018">
        <v>32.181800000000003</v>
      </c>
      <c r="H13018" t="s">
        <v>75</v>
      </c>
      <c r="I13018">
        <v>32181.798999999999</v>
      </c>
      <c r="J13018" t="s">
        <v>76</v>
      </c>
      <c r="K13018" t="s">
        <v>82</v>
      </c>
      <c r="L13018">
        <v>31.0734645</v>
      </c>
    </row>
    <row r="13019" spans="1:12" x14ac:dyDescent="0.3">
      <c r="A13019" t="s">
        <v>496</v>
      </c>
      <c r="B13019" t="s">
        <v>83</v>
      </c>
      <c r="C13019">
        <v>750</v>
      </c>
      <c r="D13019" t="s">
        <v>81</v>
      </c>
      <c r="E13019">
        <v>2.6224000000000001E-2</v>
      </c>
      <c r="F13019" t="s">
        <v>74</v>
      </c>
      <c r="G13019">
        <v>26.223929999999999</v>
      </c>
      <c r="H13019" t="s">
        <v>75</v>
      </c>
      <c r="I13019">
        <v>26223.933000000001</v>
      </c>
      <c r="J13019" t="s">
        <v>76</v>
      </c>
      <c r="K13019" t="s">
        <v>82</v>
      </c>
      <c r="L13019">
        <v>38.133105499999999</v>
      </c>
    </row>
    <row r="13020" spans="1:12" x14ac:dyDescent="0.3">
      <c r="A13020" t="s">
        <v>496</v>
      </c>
      <c r="B13020" t="s">
        <v>84</v>
      </c>
      <c r="C13020">
        <v>751</v>
      </c>
      <c r="D13020" t="s">
        <v>81</v>
      </c>
      <c r="E13020">
        <v>2.6231999999999998E-2</v>
      </c>
      <c r="F13020" t="s">
        <v>74</v>
      </c>
      <c r="G13020">
        <v>26.231860000000001</v>
      </c>
      <c r="H13020" t="s">
        <v>75</v>
      </c>
      <c r="I13020">
        <v>26231.865000000002</v>
      </c>
      <c r="J13020" t="s">
        <v>76</v>
      </c>
      <c r="K13020" t="s">
        <v>82</v>
      </c>
      <c r="L13020">
        <v>38.121575</v>
      </c>
    </row>
    <row r="13021" spans="1:12" x14ac:dyDescent="0.3">
      <c r="A13021" t="s">
        <v>497</v>
      </c>
      <c r="B13021" t="s">
        <v>72</v>
      </c>
      <c r="C13021">
        <v>1</v>
      </c>
      <c r="D13021" t="s">
        <v>81</v>
      </c>
      <c r="E13021">
        <v>0.12071900000000001</v>
      </c>
      <c r="F13021" t="s">
        <v>74</v>
      </c>
      <c r="G13021">
        <v>120.7195</v>
      </c>
      <c r="H13021" t="s">
        <v>75</v>
      </c>
      <c r="I13021">
        <v>120719.5</v>
      </c>
      <c r="J13021" t="s">
        <v>76</v>
      </c>
      <c r="K13021" t="s">
        <v>82</v>
      </c>
      <c r="L13021">
        <v>8.2836659000000008</v>
      </c>
    </row>
    <row r="13022" spans="1:12" x14ac:dyDescent="0.3">
      <c r="A13022" t="s">
        <v>497</v>
      </c>
      <c r="B13022" t="s">
        <v>83</v>
      </c>
      <c r="C13022">
        <v>249</v>
      </c>
      <c r="D13022" t="s">
        <v>81</v>
      </c>
      <c r="E13022">
        <v>7.5957999999999998E-2</v>
      </c>
      <c r="F13022" t="s">
        <v>74</v>
      </c>
      <c r="G13022">
        <v>75.957689999999999</v>
      </c>
      <c r="H13022" t="s">
        <v>75</v>
      </c>
      <c r="I13022">
        <v>75957.684999999998</v>
      </c>
      <c r="J13022" t="s">
        <v>76</v>
      </c>
      <c r="K13022" t="s">
        <v>82</v>
      </c>
      <c r="L13022">
        <v>13.165224800000001</v>
      </c>
    </row>
    <row r="13023" spans="1:12" x14ac:dyDescent="0.3">
      <c r="A13023" t="s">
        <v>497</v>
      </c>
      <c r="B13023" t="s">
        <v>84</v>
      </c>
      <c r="C13023">
        <v>250</v>
      </c>
      <c r="D13023" t="s">
        <v>81</v>
      </c>
      <c r="E13023">
        <v>7.6136999999999996E-2</v>
      </c>
      <c r="F13023" t="s">
        <v>74</v>
      </c>
      <c r="G13023">
        <v>76.13673</v>
      </c>
      <c r="H13023" t="s">
        <v>75</v>
      </c>
      <c r="I13023">
        <v>76136.733999999997</v>
      </c>
      <c r="J13023" t="s">
        <v>76</v>
      </c>
      <c r="K13023" t="s">
        <v>82</v>
      </c>
      <c r="L13023">
        <v>13.1342645</v>
      </c>
    </row>
    <row r="13024" spans="1:12" x14ac:dyDescent="0.3">
      <c r="A13024" t="s">
        <v>498</v>
      </c>
      <c r="B13024" t="s">
        <v>72</v>
      </c>
      <c r="C13024">
        <v>2</v>
      </c>
      <c r="D13024" t="s">
        <v>86</v>
      </c>
      <c r="E13024">
        <v>6.0363E-2</v>
      </c>
      <c r="F13024" t="s">
        <v>74</v>
      </c>
      <c r="G13024">
        <v>60.363149999999997</v>
      </c>
      <c r="H13024" t="s">
        <v>75</v>
      </c>
      <c r="I13024">
        <v>60363.150999999998</v>
      </c>
      <c r="J13024" t="s">
        <v>76</v>
      </c>
      <c r="K13024" t="s">
        <v>82</v>
      </c>
      <c r="L13024">
        <v>16.566398199999998</v>
      </c>
    </row>
    <row r="13025" spans="1:12" x14ac:dyDescent="0.3">
      <c r="A13025" t="s">
        <v>498</v>
      </c>
      <c r="B13025" t="s">
        <v>83</v>
      </c>
      <c r="C13025">
        <v>999</v>
      </c>
      <c r="D13025" t="s">
        <v>86</v>
      </c>
      <c r="E13025">
        <v>1.9724999999999999E-2</v>
      </c>
      <c r="F13025" t="s">
        <v>74</v>
      </c>
      <c r="G13025">
        <v>19.725380000000001</v>
      </c>
      <c r="H13025" t="s">
        <v>75</v>
      </c>
      <c r="I13025">
        <v>19725.381000000001</v>
      </c>
      <c r="J13025" t="s">
        <v>76</v>
      </c>
      <c r="K13025" t="s">
        <v>82</v>
      </c>
      <c r="L13025">
        <v>50.696104599999998</v>
      </c>
    </row>
    <row r="13026" spans="1:12" x14ac:dyDescent="0.3">
      <c r="A13026" t="s">
        <v>498</v>
      </c>
      <c r="B13026" t="s">
        <v>85</v>
      </c>
      <c r="C13026">
        <v>1001</v>
      </c>
      <c r="D13026" t="s">
        <v>86</v>
      </c>
      <c r="E13026">
        <v>1.9719E-2</v>
      </c>
      <c r="F13026" t="s">
        <v>74</v>
      </c>
      <c r="G13026">
        <v>19.71942</v>
      </c>
      <c r="H13026" t="s">
        <v>75</v>
      </c>
      <c r="I13026">
        <v>19719.419999999998</v>
      </c>
      <c r="J13026" t="s">
        <v>76</v>
      </c>
      <c r="K13026" t="s">
        <v>82</v>
      </c>
      <c r="L13026">
        <v>50.711430300000004</v>
      </c>
    </row>
    <row r="13028" spans="1:12" x14ac:dyDescent="0.3">
      <c r="A13028" t="s">
        <v>66</v>
      </c>
    </row>
    <row r="13030" spans="1:12" x14ac:dyDescent="0.3">
      <c r="A13030" t="s">
        <v>570</v>
      </c>
    </row>
    <row r="13031" spans="1:12" x14ac:dyDescent="0.3">
      <c r="A13031" t="s">
        <v>68</v>
      </c>
    </row>
    <row r="13032" spans="1:12" x14ac:dyDescent="0.3">
      <c r="A13032" t="s">
        <v>69</v>
      </c>
    </row>
    <row r="13033" spans="1:12" x14ac:dyDescent="0.3">
      <c r="A13033" t="s">
        <v>68</v>
      </c>
    </row>
    <row r="13034" spans="1:12" x14ac:dyDescent="0.3">
      <c r="A13034" t="s">
        <v>69</v>
      </c>
    </row>
    <row r="13035" spans="1:12" x14ac:dyDescent="0.3">
      <c r="A13035" t="s">
        <v>70</v>
      </c>
    </row>
    <row r="13036" spans="1:12" x14ac:dyDescent="0.3">
      <c r="A13036" t="s">
        <v>115</v>
      </c>
    </row>
    <row r="13037" spans="1:12" x14ac:dyDescent="0.3">
      <c r="A13037" t="s">
        <v>116</v>
      </c>
    </row>
    <row r="13038" spans="1:12" x14ac:dyDescent="0.3">
      <c r="A13038" t="s">
        <v>117</v>
      </c>
    </row>
    <row r="13039" spans="1:12" x14ac:dyDescent="0.3">
      <c r="A13039" t="s">
        <v>118</v>
      </c>
    </row>
    <row r="13040" spans="1:12" x14ac:dyDescent="0.3">
      <c r="A13040" t="s">
        <v>119</v>
      </c>
    </row>
    <row r="13041" spans="1:1" x14ac:dyDescent="0.3">
      <c r="A13041" t="s">
        <v>120</v>
      </c>
    </row>
    <row r="13042" spans="1:1" x14ac:dyDescent="0.3">
      <c r="A13042" t="s">
        <v>121</v>
      </c>
    </row>
    <row r="13043" spans="1:1" x14ac:dyDescent="0.3">
      <c r="A13043" t="s">
        <v>122</v>
      </c>
    </row>
    <row r="13044" spans="1:1" x14ac:dyDescent="0.3">
      <c r="A13044" t="s">
        <v>123</v>
      </c>
    </row>
    <row r="13045" spans="1:1" x14ac:dyDescent="0.3">
      <c r="A13045" t="s">
        <v>124</v>
      </c>
    </row>
    <row r="13046" spans="1:1" x14ac:dyDescent="0.3">
      <c r="A13046" t="s">
        <v>125</v>
      </c>
    </row>
    <row r="13047" spans="1:1" x14ac:dyDescent="0.3">
      <c r="A13047" t="s">
        <v>126</v>
      </c>
    </row>
    <row r="13048" spans="1:1" x14ac:dyDescent="0.3">
      <c r="A13048" t="s">
        <v>127</v>
      </c>
    </row>
    <row r="13049" spans="1:1" x14ac:dyDescent="0.3">
      <c r="A13049" t="s">
        <v>167</v>
      </c>
    </row>
    <row r="13050" spans="1:1" x14ac:dyDescent="0.3">
      <c r="A13050" t="s">
        <v>115</v>
      </c>
    </row>
    <row r="13051" spans="1:1" x14ac:dyDescent="0.3">
      <c r="A13051" t="s">
        <v>266</v>
      </c>
    </row>
    <row r="13052" spans="1:1" x14ac:dyDescent="0.3">
      <c r="A13052" t="s">
        <v>267</v>
      </c>
    </row>
    <row r="13053" spans="1:1" x14ac:dyDescent="0.3">
      <c r="A13053" t="s">
        <v>118</v>
      </c>
    </row>
    <row r="13054" spans="1:1" x14ac:dyDescent="0.3">
      <c r="A13054" t="s">
        <v>119</v>
      </c>
    </row>
    <row r="13055" spans="1:1" x14ac:dyDescent="0.3">
      <c r="A13055" t="s">
        <v>268</v>
      </c>
    </row>
    <row r="13056" spans="1:1" x14ac:dyDescent="0.3">
      <c r="A13056" t="s">
        <v>269</v>
      </c>
    </row>
    <row r="13057" spans="1:12" x14ac:dyDescent="0.3">
      <c r="A13057" t="s">
        <v>122</v>
      </c>
    </row>
    <row r="13058" spans="1:12" x14ac:dyDescent="0.3">
      <c r="A13058" t="s">
        <v>270</v>
      </c>
    </row>
    <row r="13059" spans="1:12" x14ac:dyDescent="0.3">
      <c r="A13059" t="s">
        <v>271</v>
      </c>
    </row>
    <row r="13060" spans="1:12" x14ac:dyDescent="0.3">
      <c r="A13060" t="s">
        <v>125</v>
      </c>
    </row>
    <row r="13061" spans="1:12" x14ac:dyDescent="0.3">
      <c r="A13061" t="s">
        <v>126</v>
      </c>
    </row>
    <row r="13062" spans="1:12" x14ac:dyDescent="0.3">
      <c r="A13062" t="s">
        <v>127</v>
      </c>
    </row>
    <row r="13063" spans="1:12" x14ac:dyDescent="0.3">
      <c r="A13063" t="s">
        <v>167</v>
      </c>
    </row>
    <row r="13064" spans="1:12" x14ac:dyDescent="0.3">
      <c r="A13064" t="s">
        <v>526</v>
      </c>
    </row>
    <row r="13065" spans="1:12" x14ac:dyDescent="0.3">
      <c r="A13065" t="s">
        <v>496</v>
      </c>
      <c r="B13065" t="s">
        <v>72</v>
      </c>
      <c r="C13065">
        <v>1</v>
      </c>
      <c r="D13065" t="s">
        <v>79</v>
      </c>
      <c r="E13065">
        <v>0.29756899999999997</v>
      </c>
      <c r="F13065" t="s">
        <v>74</v>
      </c>
      <c r="G13065">
        <v>297.56871000000001</v>
      </c>
      <c r="H13065" t="s">
        <v>75</v>
      </c>
      <c r="I13065">
        <v>297568.70899999997</v>
      </c>
      <c r="J13065" t="s">
        <v>76</v>
      </c>
      <c r="K13065" t="s">
        <v>77</v>
      </c>
    </row>
    <row r="13066" spans="1:12" x14ac:dyDescent="0.3">
      <c r="A13066" t="s">
        <v>496</v>
      </c>
      <c r="B13066" t="s">
        <v>72</v>
      </c>
      <c r="C13066">
        <v>1</v>
      </c>
      <c r="D13066" t="s">
        <v>94</v>
      </c>
      <c r="E13066">
        <v>0.15629899999999999</v>
      </c>
      <c r="F13066" t="s">
        <v>74</v>
      </c>
      <c r="G13066">
        <v>156.29849999999999</v>
      </c>
      <c r="H13066" t="s">
        <v>75</v>
      </c>
      <c r="I13066">
        <v>156298.503</v>
      </c>
      <c r="J13066" t="s">
        <v>76</v>
      </c>
      <c r="K13066" t="s">
        <v>77</v>
      </c>
    </row>
    <row r="13067" spans="1:12" x14ac:dyDescent="0.3">
      <c r="A13067" t="s">
        <v>496</v>
      </c>
      <c r="B13067" t="s">
        <v>72</v>
      </c>
      <c r="C13067">
        <v>1</v>
      </c>
      <c r="D13067" t="s">
        <v>80</v>
      </c>
      <c r="E13067">
        <v>0.15629999999999999</v>
      </c>
      <c r="F13067" t="s">
        <v>74</v>
      </c>
      <c r="G13067">
        <v>156.29949999999999</v>
      </c>
      <c r="H13067" t="s">
        <v>75</v>
      </c>
      <c r="I13067">
        <v>156299.50200000001</v>
      </c>
      <c r="J13067" t="s">
        <v>76</v>
      </c>
      <c r="K13067" t="s">
        <v>77</v>
      </c>
    </row>
    <row r="13068" spans="1:12" x14ac:dyDescent="0.3">
      <c r="A13068" t="s">
        <v>496</v>
      </c>
      <c r="B13068" t="s">
        <v>72</v>
      </c>
      <c r="C13068">
        <v>1</v>
      </c>
      <c r="D13068" t="s">
        <v>81</v>
      </c>
      <c r="E13068">
        <v>0.45386900000000002</v>
      </c>
      <c r="F13068" t="s">
        <v>74</v>
      </c>
      <c r="G13068">
        <v>453.86869000000002</v>
      </c>
      <c r="H13068" t="s">
        <v>75</v>
      </c>
      <c r="I13068">
        <v>453868.68699999998</v>
      </c>
      <c r="J13068" t="s">
        <v>76</v>
      </c>
      <c r="K13068" t="s">
        <v>82</v>
      </c>
      <c r="L13068">
        <v>2.2032804000000001</v>
      </c>
    </row>
    <row r="13069" spans="1:12" x14ac:dyDescent="0.3">
      <c r="A13069" t="s">
        <v>496</v>
      </c>
      <c r="B13069" t="s">
        <v>83</v>
      </c>
      <c r="C13069">
        <v>935</v>
      </c>
      <c r="D13069" t="s">
        <v>79</v>
      </c>
      <c r="E13069">
        <v>0</v>
      </c>
      <c r="F13069" t="s">
        <v>74</v>
      </c>
      <c r="G13069">
        <v>1.6000000000000001E-4</v>
      </c>
      <c r="H13069" t="s">
        <v>75</v>
      </c>
      <c r="I13069">
        <v>0.16400000000000001</v>
      </c>
      <c r="J13069" t="s">
        <v>76</v>
      </c>
      <c r="K13069" t="s">
        <v>77</v>
      </c>
    </row>
    <row r="13070" spans="1:12" x14ac:dyDescent="0.3">
      <c r="A13070" t="s">
        <v>496</v>
      </c>
      <c r="B13070" t="s">
        <v>83</v>
      </c>
      <c r="C13070">
        <v>935</v>
      </c>
      <c r="D13070" t="s">
        <v>94</v>
      </c>
      <c r="E13070">
        <v>8.6899999999999998E-4</v>
      </c>
      <c r="F13070" t="s">
        <v>74</v>
      </c>
      <c r="G13070">
        <v>0.86870999999999998</v>
      </c>
      <c r="H13070" t="s">
        <v>75</v>
      </c>
      <c r="I13070">
        <v>868.70899999999995</v>
      </c>
      <c r="J13070" t="s">
        <v>76</v>
      </c>
      <c r="K13070" t="s">
        <v>77</v>
      </c>
    </row>
    <row r="13071" spans="1:12" x14ac:dyDescent="0.3">
      <c r="A13071" t="s">
        <v>496</v>
      </c>
      <c r="B13071" t="s">
        <v>83</v>
      </c>
      <c r="C13071">
        <v>935</v>
      </c>
      <c r="D13071" t="s">
        <v>80</v>
      </c>
      <c r="E13071">
        <v>8.6899999999999998E-4</v>
      </c>
      <c r="F13071" t="s">
        <v>74</v>
      </c>
      <c r="G13071">
        <v>0.86939</v>
      </c>
      <c r="H13071" t="s">
        <v>75</v>
      </c>
      <c r="I13071">
        <v>869.39200000000005</v>
      </c>
      <c r="J13071" t="s">
        <v>76</v>
      </c>
      <c r="K13071" t="s">
        <v>77</v>
      </c>
    </row>
    <row r="13072" spans="1:12" x14ac:dyDescent="0.3">
      <c r="A13072" t="s">
        <v>496</v>
      </c>
      <c r="B13072" t="s">
        <v>83</v>
      </c>
      <c r="C13072">
        <v>935</v>
      </c>
      <c r="D13072" t="s">
        <v>81</v>
      </c>
      <c r="E13072">
        <v>8.7000000000000001E-4</v>
      </c>
      <c r="F13072" t="s">
        <v>74</v>
      </c>
      <c r="G13072">
        <v>0.86975000000000002</v>
      </c>
      <c r="H13072" t="s">
        <v>75</v>
      </c>
      <c r="I13072">
        <v>869.75199999999995</v>
      </c>
      <c r="J13072" t="s">
        <v>76</v>
      </c>
      <c r="K13072" t="s">
        <v>82</v>
      </c>
      <c r="L13072">
        <v>1149.7530376</v>
      </c>
    </row>
    <row r="13073" spans="1:12" x14ac:dyDescent="0.3">
      <c r="A13073" t="s">
        <v>496</v>
      </c>
      <c r="B13073" t="s">
        <v>84</v>
      </c>
      <c r="C13073">
        <v>936</v>
      </c>
      <c r="D13073" t="s">
        <v>79</v>
      </c>
      <c r="E13073">
        <v>3.1799999999999998E-4</v>
      </c>
      <c r="F13073" t="s">
        <v>74</v>
      </c>
      <c r="G13073">
        <v>0.31807999999999997</v>
      </c>
      <c r="H13073" t="s">
        <v>75</v>
      </c>
      <c r="I13073">
        <v>318.07600000000002</v>
      </c>
      <c r="J13073" t="s">
        <v>76</v>
      </c>
      <c r="K13073" t="s">
        <v>77</v>
      </c>
    </row>
    <row r="13074" spans="1:12" x14ac:dyDescent="0.3">
      <c r="A13074" t="s">
        <v>496</v>
      </c>
      <c r="B13074" t="s">
        <v>84</v>
      </c>
      <c r="C13074">
        <v>936</v>
      </c>
      <c r="D13074" t="s">
        <v>94</v>
      </c>
      <c r="E13074">
        <v>1.0349999999999999E-3</v>
      </c>
      <c r="F13074" t="s">
        <v>74</v>
      </c>
      <c r="G13074">
        <v>1.03477</v>
      </c>
      <c r="H13074" t="s">
        <v>75</v>
      </c>
      <c r="I13074">
        <v>1034.7660000000001</v>
      </c>
      <c r="J13074" t="s">
        <v>76</v>
      </c>
      <c r="K13074" t="s">
        <v>77</v>
      </c>
    </row>
    <row r="13075" spans="1:12" x14ac:dyDescent="0.3">
      <c r="A13075" t="s">
        <v>496</v>
      </c>
      <c r="B13075" t="s">
        <v>84</v>
      </c>
      <c r="C13075">
        <v>936</v>
      </c>
      <c r="D13075" t="s">
        <v>80</v>
      </c>
      <c r="E13075">
        <v>1.0349999999999999E-3</v>
      </c>
      <c r="F13075" t="s">
        <v>74</v>
      </c>
      <c r="G13075">
        <v>1.03545</v>
      </c>
      <c r="H13075" t="s">
        <v>75</v>
      </c>
      <c r="I13075">
        <v>1035.4490000000001</v>
      </c>
      <c r="J13075" t="s">
        <v>76</v>
      </c>
      <c r="K13075" t="s">
        <v>77</v>
      </c>
    </row>
    <row r="13076" spans="1:12" x14ac:dyDescent="0.3">
      <c r="A13076" t="s">
        <v>496</v>
      </c>
      <c r="B13076" t="s">
        <v>84</v>
      </c>
      <c r="C13076">
        <v>936</v>
      </c>
      <c r="D13076" t="s">
        <v>81</v>
      </c>
      <c r="E13076">
        <v>1.354E-3</v>
      </c>
      <c r="F13076" t="s">
        <v>74</v>
      </c>
      <c r="G13076">
        <v>1.3537300000000001</v>
      </c>
      <c r="H13076" t="s">
        <v>75</v>
      </c>
      <c r="I13076">
        <v>1353.7249999999999</v>
      </c>
      <c r="J13076" t="s">
        <v>76</v>
      </c>
      <c r="K13076" t="s">
        <v>82</v>
      </c>
      <c r="L13076">
        <v>738.70245450000004</v>
      </c>
    </row>
    <row r="13077" spans="1:12" x14ac:dyDescent="0.3">
      <c r="A13077" t="s">
        <v>497</v>
      </c>
      <c r="B13077" t="s">
        <v>72</v>
      </c>
      <c r="C13077">
        <v>1</v>
      </c>
      <c r="D13077" t="s">
        <v>79</v>
      </c>
      <c r="E13077">
        <v>0.128057</v>
      </c>
      <c r="F13077" t="s">
        <v>74</v>
      </c>
      <c r="G13077">
        <v>128.05741</v>
      </c>
      <c r="H13077" t="s">
        <v>75</v>
      </c>
      <c r="I13077">
        <v>128057.405</v>
      </c>
      <c r="J13077" t="s">
        <v>76</v>
      </c>
      <c r="K13077" t="s">
        <v>77</v>
      </c>
    </row>
    <row r="13078" spans="1:12" x14ac:dyDescent="0.3">
      <c r="A13078" t="s">
        <v>497</v>
      </c>
      <c r="B13078" t="s">
        <v>72</v>
      </c>
      <c r="C13078">
        <v>1</v>
      </c>
      <c r="D13078" t="s">
        <v>94</v>
      </c>
      <c r="E13078">
        <v>0.107789</v>
      </c>
      <c r="F13078" t="s">
        <v>74</v>
      </c>
      <c r="G13078">
        <v>107.7889</v>
      </c>
      <c r="H13078" t="s">
        <v>75</v>
      </c>
      <c r="I13078">
        <v>107788.898</v>
      </c>
      <c r="J13078" t="s">
        <v>76</v>
      </c>
      <c r="K13078" t="s">
        <v>77</v>
      </c>
    </row>
    <row r="13079" spans="1:12" x14ac:dyDescent="0.3">
      <c r="A13079" t="s">
        <v>497</v>
      </c>
      <c r="B13079" t="s">
        <v>72</v>
      </c>
      <c r="C13079">
        <v>1</v>
      </c>
      <c r="D13079" t="s">
        <v>80</v>
      </c>
      <c r="E13079">
        <v>0.10779</v>
      </c>
      <c r="F13079" t="s">
        <v>74</v>
      </c>
      <c r="G13079">
        <v>107.7902</v>
      </c>
      <c r="H13079" t="s">
        <v>75</v>
      </c>
      <c r="I13079">
        <v>107790.202</v>
      </c>
      <c r="J13079" t="s">
        <v>76</v>
      </c>
      <c r="K13079" t="s">
        <v>77</v>
      </c>
    </row>
    <row r="13080" spans="1:12" x14ac:dyDescent="0.3">
      <c r="A13080" t="s">
        <v>497</v>
      </c>
      <c r="B13080" t="s">
        <v>72</v>
      </c>
      <c r="C13080">
        <v>1</v>
      </c>
      <c r="D13080" t="s">
        <v>81</v>
      </c>
      <c r="E13080">
        <v>0.235848</v>
      </c>
      <c r="F13080" t="s">
        <v>74</v>
      </c>
      <c r="G13080">
        <v>235.84809999999999</v>
      </c>
      <c r="H13080" t="s">
        <v>75</v>
      </c>
      <c r="I13080">
        <v>235848.09899999999</v>
      </c>
      <c r="J13080" t="s">
        <v>76</v>
      </c>
      <c r="K13080" t="s">
        <v>82</v>
      </c>
      <c r="L13080">
        <v>4.2400171999999996</v>
      </c>
    </row>
    <row r="13081" spans="1:12" x14ac:dyDescent="0.3">
      <c r="A13081" t="s">
        <v>497</v>
      </c>
      <c r="B13081" t="s">
        <v>83</v>
      </c>
      <c r="C13081">
        <v>64</v>
      </c>
      <c r="D13081" t="s">
        <v>79</v>
      </c>
      <c r="E13081">
        <v>0</v>
      </c>
      <c r="F13081" t="s">
        <v>74</v>
      </c>
      <c r="G13081">
        <v>3.4000000000000002E-4</v>
      </c>
      <c r="H13081" t="s">
        <v>75</v>
      </c>
      <c r="I13081">
        <v>0.33900000000000002</v>
      </c>
      <c r="J13081" t="s">
        <v>76</v>
      </c>
      <c r="K13081" t="s">
        <v>77</v>
      </c>
    </row>
    <row r="13082" spans="1:12" x14ac:dyDescent="0.3">
      <c r="A13082" t="s">
        <v>497</v>
      </c>
      <c r="B13082" t="s">
        <v>83</v>
      </c>
      <c r="C13082">
        <v>64</v>
      </c>
      <c r="D13082" t="s">
        <v>94</v>
      </c>
      <c r="E13082">
        <v>1.6403000000000001E-2</v>
      </c>
      <c r="F13082" t="s">
        <v>74</v>
      </c>
      <c r="G13082">
        <v>16.403379999999999</v>
      </c>
      <c r="H13082" t="s">
        <v>75</v>
      </c>
      <c r="I13082">
        <v>16403.381000000001</v>
      </c>
      <c r="J13082" t="s">
        <v>76</v>
      </c>
      <c r="K13082" t="s">
        <v>77</v>
      </c>
    </row>
    <row r="13083" spans="1:12" x14ac:dyDescent="0.3">
      <c r="A13083" t="s">
        <v>497</v>
      </c>
      <c r="B13083" t="s">
        <v>83</v>
      </c>
      <c r="C13083">
        <v>64</v>
      </c>
      <c r="D13083" t="s">
        <v>80</v>
      </c>
      <c r="E13083">
        <v>1.6403999999999998E-2</v>
      </c>
      <c r="F13083" t="s">
        <v>74</v>
      </c>
      <c r="G13083">
        <v>16.404319999999998</v>
      </c>
      <c r="H13083" t="s">
        <v>75</v>
      </c>
      <c r="I13083">
        <v>16404.317999999999</v>
      </c>
      <c r="J13083" t="s">
        <v>76</v>
      </c>
      <c r="K13083" t="s">
        <v>77</v>
      </c>
    </row>
    <row r="13084" spans="1:12" x14ac:dyDescent="0.3">
      <c r="A13084" t="s">
        <v>497</v>
      </c>
      <c r="B13084" t="s">
        <v>83</v>
      </c>
      <c r="C13084">
        <v>64</v>
      </c>
      <c r="D13084" t="s">
        <v>81</v>
      </c>
      <c r="E13084">
        <v>1.6404999999999999E-2</v>
      </c>
      <c r="F13084" t="s">
        <v>74</v>
      </c>
      <c r="G13084">
        <v>16.404879999999999</v>
      </c>
      <c r="H13084" t="s">
        <v>75</v>
      </c>
      <c r="I13084">
        <v>16404.876</v>
      </c>
      <c r="J13084" t="s">
        <v>76</v>
      </c>
      <c r="K13084" t="s">
        <v>82</v>
      </c>
      <c r="L13084">
        <v>60.957484299999997</v>
      </c>
    </row>
    <row r="13085" spans="1:12" x14ac:dyDescent="0.3">
      <c r="A13085" t="s">
        <v>497</v>
      </c>
      <c r="B13085" t="s">
        <v>84</v>
      </c>
      <c r="C13085">
        <v>65</v>
      </c>
      <c r="D13085" t="s">
        <v>79</v>
      </c>
      <c r="E13085">
        <v>1.97E-3</v>
      </c>
      <c r="F13085" t="s">
        <v>74</v>
      </c>
      <c r="G13085">
        <v>1.97045</v>
      </c>
      <c r="H13085" t="s">
        <v>75</v>
      </c>
      <c r="I13085">
        <v>1970.4469999999999</v>
      </c>
      <c r="J13085" t="s">
        <v>76</v>
      </c>
      <c r="K13085" t="s">
        <v>77</v>
      </c>
    </row>
    <row r="13086" spans="1:12" x14ac:dyDescent="0.3">
      <c r="A13086" t="s">
        <v>497</v>
      </c>
      <c r="B13086" t="s">
        <v>84</v>
      </c>
      <c r="C13086">
        <v>65</v>
      </c>
      <c r="D13086" t="s">
        <v>94</v>
      </c>
      <c r="E13086">
        <v>1.7808999999999998E-2</v>
      </c>
      <c r="F13086" t="s">
        <v>74</v>
      </c>
      <c r="G13086">
        <v>17.80931</v>
      </c>
      <c r="H13086" t="s">
        <v>75</v>
      </c>
      <c r="I13086">
        <v>17809.312000000002</v>
      </c>
      <c r="J13086" t="s">
        <v>76</v>
      </c>
      <c r="K13086" t="s">
        <v>77</v>
      </c>
    </row>
    <row r="13087" spans="1:12" x14ac:dyDescent="0.3">
      <c r="A13087" t="s">
        <v>497</v>
      </c>
      <c r="B13087" t="s">
        <v>84</v>
      </c>
      <c r="C13087">
        <v>65</v>
      </c>
      <c r="D13087" t="s">
        <v>80</v>
      </c>
      <c r="E13087">
        <v>1.7809999999999999E-2</v>
      </c>
      <c r="F13087" t="s">
        <v>74</v>
      </c>
      <c r="G13087">
        <v>17.81025</v>
      </c>
      <c r="H13087" t="s">
        <v>75</v>
      </c>
      <c r="I13087">
        <v>17810.255000000001</v>
      </c>
      <c r="J13087" t="s">
        <v>76</v>
      </c>
      <c r="K13087" t="s">
        <v>77</v>
      </c>
    </row>
    <row r="13088" spans="1:12" x14ac:dyDescent="0.3">
      <c r="A13088" t="s">
        <v>497</v>
      </c>
      <c r="B13088" t="s">
        <v>84</v>
      </c>
      <c r="C13088">
        <v>65</v>
      </c>
      <c r="D13088" t="s">
        <v>81</v>
      </c>
      <c r="E13088">
        <v>1.9781E-2</v>
      </c>
      <c r="F13088" t="s">
        <v>74</v>
      </c>
      <c r="G13088">
        <v>19.780919999999998</v>
      </c>
      <c r="H13088" t="s">
        <v>75</v>
      </c>
      <c r="I13088">
        <v>19780.923999999999</v>
      </c>
      <c r="J13088" t="s">
        <v>76</v>
      </c>
      <c r="K13088" t="s">
        <v>82</v>
      </c>
      <c r="L13088">
        <v>50.553756300000003</v>
      </c>
    </row>
    <row r="13089" spans="1:12" x14ac:dyDescent="0.3">
      <c r="A13089" t="s">
        <v>498</v>
      </c>
      <c r="B13089" t="s">
        <v>72</v>
      </c>
      <c r="C13089">
        <v>1</v>
      </c>
      <c r="D13089" t="s">
        <v>73</v>
      </c>
      <c r="E13089">
        <v>5.3999999999999998E-5</v>
      </c>
      <c r="F13089" t="s">
        <v>74</v>
      </c>
      <c r="G13089">
        <v>5.4199999999999998E-2</v>
      </c>
      <c r="H13089" t="s">
        <v>75</v>
      </c>
      <c r="I13089">
        <v>54.2</v>
      </c>
      <c r="J13089" t="s">
        <v>76</v>
      </c>
      <c r="K13089" t="s">
        <v>77</v>
      </c>
    </row>
    <row r="13090" spans="1:12" x14ac:dyDescent="0.3">
      <c r="A13090" t="s">
        <v>498</v>
      </c>
      <c r="B13090" t="s">
        <v>72</v>
      </c>
      <c r="C13090">
        <v>1</v>
      </c>
      <c r="D13090" t="s">
        <v>78</v>
      </c>
      <c r="E13090">
        <v>0.134131</v>
      </c>
      <c r="F13090" t="s">
        <v>74</v>
      </c>
      <c r="G13090">
        <v>134.13059999999999</v>
      </c>
      <c r="H13090" t="s">
        <v>75</v>
      </c>
      <c r="I13090">
        <v>134130.59700000001</v>
      </c>
      <c r="J13090" t="s">
        <v>76</v>
      </c>
      <c r="K13090" t="s">
        <v>77</v>
      </c>
    </row>
    <row r="13091" spans="1:12" x14ac:dyDescent="0.3">
      <c r="A13091" t="s">
        <v>498</v>
      </c>
      <c r="B13091" t="s">
        <v>72</v>
      </c>
      <c r="C13091">
        <v>2</v>
      </c>
      <c r="D13091" t="s">
        <v>86</v>
      </c>
      <c r="E13091">
        <v>0.22695399999999999</v>
      </c>
      <c r="F13091" t="s">
        <v>74</v>
      </c>
      <c r="G13091">
        <v>226.95425</v>
      </c>
      <c r="H13091" t="s">
        <v>75</v>
      </c>
      <c r="I13091">
        <v>226954.25200000001</v>
      </c>
      <c r="J13091" t="s">
        <v>76</v>
      </c>
      <c r="K13091" t="s">
        <v>82</v>
      </c>
      <c r="L13091">
        <v>4.4061743</v>
      </c>
    </row>
    <row r="13092" spans="1:12" x14ac:dyDescent="0.3">
      <c r="A13092" t="s">
        <v>498</v>
      </c>
      <c r="B13092" t="s">
        <v>83</v>
      </c>
      <c r="C13092">
        <v>999</v>
      </c>
      <c r="D13092" t="s">
        <v>86</v>
      </c>
      <c r="E13092">
        <v>1.0369999999999999E-3</v>
      </c>
      <c r="F13092" t="s">
        <v>74</v>
      </c>
      <c r="G13092">
        <v>1.0375000000000001</v>
      </c>
      <c r="H13092" t="s">
        <v>75</v>
      </c>
      <c r="I13092">
        <v>1037.498</v>
      </c>
      <c r="J13092" t="s">
        <v>76</v>
      </c>
      <c r="K13092" t="s">
        <v>82</v>
      </c>
      <c r="L13092">
        <v>963.85737489999997</v>
      </c>
    </row>
    <row r="13093" spans="1:12" x14ac:dyDescent="0.3">
      <c r="A13093" t="s">
        <v>498</v>
      </c>
      <c r="B13093" t="s">
        <v>85</v>
      </c>
      <c r="C13093">
        <v>1001</v>
      </c>
      <c r="D13093" t="s">
        <v>86</v>
      </c>
      <c r="E13093">
        <v>1.289E-3</v>
      </c>
      <c r="F13093" t="s">
        <v>74</v>
      </c>
      <c r="G13093">
        <v>1.28898</v>
      </c>
      <c r="H13093" t="s">
        <v>75</v>
      </c>
      <c r="I13093">
        <v>1288.9760000000001</v>
      </c>
      <c r="J13093" t="s">
        <v>76</v>
      </c>
      <c r="K13093" t="s">
        <v>82</v>
      </c>
      <c r="L13093">
        <v>775.80964210000002</v>
      </c>
    </row>
    <row r="13094" spans="1:12" x14ac:dyDescent="0.3">
      <c r="A13094" t="s">
        <v>169</v>
      </c>
    </row>
    <row r="13095" spans="1:12" x14ac:dyDescent="0.3">
      <c r="A13095" t="s">
        <v>169</v>
      </c>
    </row>
    <row r="13096" spans="1:12" x14ac:dyDescent="0.3">
      <c r="A13096" t="s">
        <v>527</v>
      </c>
    </row>
    <row r="13097" spans="1:12" x14ac:dyDescent="0.3">
      <c r="A13097" t="s">
        <v>496</v>
      </c>
      <c r="B13097" t="s">
        <v>72</v>
      </c>
      <c r="C13097">
        <v>1</v>
      </c>
      <c r="D13097" t="s">
        <v>79</v>
      </c>
      <c r="E13097">
        <v>5.7169999999999999E-3</v>
      </c>
      <c r="F13097" t="s">
        <v>74</v>
      </c>
      <c r="G13097">
        <v>5.7168999999999999</v>
      </c>
      <c r="H13097" t="s">
        <v>75</v>
      </c>
      <c r="I13097">
        <v>5716.9</v>
      </c>
      <c r="J13097" t="s">
        <v>76</v>
      </c>
      <c r="K13097" t="s">
        <v>77</v>
      </c>
    </row>
    <row r="13098" spans="1:12" x14ac:dyDescent="0.3">
      <c r="A13098" t="s">
        <v>496</v>
      </c>
      <c r="B13098" t="s">
        <v>72</v>
      </c>
      <c r="C13098">
        <v>1</v>
      </c>
      <c r="D13098" t="s">
        <v>94</v>
      </c>
      <c r="E13098">
        <v>4.5960000000000003E-3</v>
      </c>
      <c r="F13098" t="s">
        <v>74</v>
      </c>
      <c r="G13098">
        <v>4.5963000000000003</v>
      </c>
      <c r="H13098" t="s">
        <v>75</v>
      </c>
      <c r="I13098">
        <v>4596.3</v>
      </c>
      <c r="J13098" t="s">
        <v>76</v>
      </c>
      <c r="K13098" t="s">
        <v>77</v>
      </c>
    </row>
    <row r="13099" spans="1:12" x14ac:dyDescent="0.3">
      <c r="A13099" t="s">
        <v>496</v>
      </c>
      <c r="B13099" t="s">
        <v>72</v>
      </c>
      <c r="C13099">
        <v>1</v>
      </c>
      <c r="D13099" t="s">
        <v>80</v>
      </c>
      <c r="E13099">
        <v>4.5970000000000004E-3</v>
      </c>
      <c r="F13099" t="s">
        <v>74</v>
      </c>
      <c r="G13099">
        <v>4.5975000000000001</v>
      </c>
      <c r="H13099" t="s">
        <v>75</v>
      </c>
      <c r="I13099">
        <v>4597.5</v>
      </c>
      <c r="J13099" t="s">
        <v>76</v>
      </c>
      <c r="K13099" t="s">
        <v>77</v>
      </c>
    </row>
    <row r="13100" spans="1:12" x14ac:dyDescent="0.3">
      <c r="A13100" t="s">
        <v>496</v>
      </c>
      <c r="B13100" t="s">
        <v>72</v>
      </c>
      <c r="C13100">
        <v>1</v>
      </c>
      <c r="D13100" t="s">
        <v>81</v>
      </c>
      <c r="E13100">
        <v>1.0315E-2</v>
      </c>
      <c r="F13100" t="s">
        <v>74</v>
      </c>
      <c r="G13100">
        <v>10.315099999999999</v>
      </c>
      <c r="H13100" t="s">
        <v>75</v>
      </c>
      <c r="I13100">
        <v>10315.1</v>
      </c>
      <c r="J13100" t="s">
        <v>76</v>
      </c>
      <c r="K13100" t="s">
        <v>82</v>
      </c>
      <c r="L13100">
        <v>96.945257499999997</v>
      </c>
    </row>
    <row r="13101" spans="1:12" x14ac:dyDescent="0.3">
      <c r="A13101" t="s">
        <v>496</v>
      </c>
      <c r="B13101" t="s">
        <v>83</v>
      </c>
      <c r="C13101">
        <v>925</v>
      </c>
      <c r="D13101" t="s">
        <v>79</v>
      </c>
      <c r="E13101">
        <v>9.9999999999999995E-7</v>
      </c>
      <c r="F13101" t="s">
        <v>74</v>
      </c>
      <c r="G13101">
        <v>8.0999999999999996E-4</v>
      </c>
      <c r="H13101" t="s">
        <v>75</v>
      </c>
      <c r="I13101">
        <v>0.80700000000000005</v>
      </c>
      <c r="J13101" t="s">
        <v>76</v>
      </c>
      <c r="K13101" t="s">
        <v>77</v>
      </c>
    </row>
    <row r="13102" spans="1:12" x14ac:dyDescent="0.3">
      <c r="A13102" t="s">
        <v>496</v>
      </c>
      <c r="B13102" t="s">
        <v>83</v>
      </c>
      <c r="C13102">
        <v>925</v>
      </c>
      <c r="D13102" t="s">
        <v>94</v>
      </c>
      <c r="E13102">
        <v>2.0509999999999999E-3</v>
      </c>
      <c r="F13102" t="s">
        <v>74</v>
      </c>
      <c r="G13102">
        <v>2.0514600000000001</v>
      </c>
      <c r="H13102" t="s">
        <v>75</v>
      </c>
      <c r="I13102">
        <v>2051.4560000000001</v>
      </c>
      <c r="J13102" t="s">
        <v>76</v>
      </c>
      <c r="K13102" t="s">
        <v>77</v>
      </c>
    </row>
    <row r="13103" spans="1:12" x14ac:dyDescent="0.3">
      <c r="A13103" t="s">
        <v>496</v>
      </c>
      <c r="B13103" t="s">
        <v>83</v>
      </c>
      <c r="C13103">
        <v>925</v>
      </c>
      <c r="D13103" t="s">
        <v>80</v>
      </c>
      <c r="E13103">
        <v>2.3289999999999999E-3</v>
      </c>
      <c r="F13103" t="s">
        <v>74</v>
      </c>
      <c r="G13103">
        <v>2.3294199999999998</v>
      </c>
      <c r="H13103" t="s">
        <v>75</v>
      </c>
      <c r="I13103">
        <v>2329.4209999999998</v>
      </c>
      <c r="J13103" t="s">
        <v>76</v>
      </c>
      <c r="K13103" t="s">
        <v>77</v>
      </c>
    </row>
    <row r="13104" spans="1:12" x14ac:dyDescent="0.3">
      <c r="A13104" t="s">
        <v>496</v>
      </c>
      <c r="B13104" t="s">
        <v>83</v>
      </c>
      <c r="C13104">
        <v>925</v>
      </c>
      <c r="D13104" t="s">
        <v>81</v>
      </c>
      <c r="E13104">
        <v>2.3310000000000002E-3</v>
      </c>
      <c r="F13104" t="s">
        <v>74</v>
      </c>
      <c r="G13104">
        <v>2.3305799999999999</v>
      </c>
      <c r="H13104" t="s">
        <v>75</v>
      </c>
      <c r="I13104">
        <v>2330.5830000000001</v>
      </c>
      <c r="J13104" t="s">
        <v>76</v>
      </c>
      <c r="K13104" t="s">
        <v>82</v>
      </c>
      <c r="L13104">
        <v>429.07721550000002</v>
      </c>
    </row>
    <row r="13105" spans="1:12" x14ac:dyDescent="0.3">
      <c r="A13105" t="s">
        <v>496</v>
      </c>
      <c r="B13105" t="s">
        <v>84</v>
      </c>
      <c r="C13105">
        <v>926</v>
      </c>
      <c r="D13105" t="s">
        <v>79</v>
      </c>
      <c r="E13105">
        <v>6.9999999999999999E-6</v>
      </c>
      <c r="F13105" t="s">
        <v>74</v>
      </c>
      <c r="G13105">
        <v>6.9800000000000001E-3</v>
      </c>
      <c r="H13105" t="s">
        <v>75</v>
      </c>
      <c r="I13105">
        <v>6.98</v>
      </c>
      <c r="J13105" t="s">
        <v>76</v>
      </c>
      <c r="K13105" t="s">
        <v>77</v>
      </c>
    </row>
    <row r="13106" spans="1:12" x14ac:dyDescent="0.3">
      <c r="A13106" t="s">
        <v>496</v>
      </c>
      <c r="B13106" t="s">
        <v>84</v>
      </c>
      <c r="C13106">
        <v>926</v>
      </c>
      <c r="D13106" t="s">
        <v>94</v>
      </c>
      <c r="E13106">
        <v>2.0539999999999998E-3</v>
      </c>
      <c r="F13106" t="s">
        <v>74</v>
      </c>
      <c r="G13106">
        <v>2.0541999999999998</v>
      </c>
      <c r="H13106" t="s">
        <v>75</v>
      </c>
      <c r="I13106">
        <v>2054.2040000000002</v>
      </c>
      <c r="J13106" t="s">
        <v>76</v>
      </c>
      <c r="K13106" t="s">
        <v>77</v>
      </c>
    </row>
    <row r="13107" spans="1:12" x14ac:dyDescent="0.3">
      <c r="A13107" t="s">
        <v>496</v>
      </c>
      <c r="B13107" t="s">
        <v>84</v>
      </c>
      <c r="C13107">
        <v>926</v>
      </c>
      <c r="D13107" t="s">
        <v>80</v>
      </c>
      <c r="E13107">
        <v>2.3319999999999999E-3</v>
      </c>
      <c r="F13107" t="s">
        <v>74</v>
      </c>
      <c r="G13107">
        <v>2.3318699999999999</v>
      </c>
      <c r="H13107" t="s">
        <v>75</v>
      </c>
      <c r="I13107">
        <v>2331.87</v>
      </c>
      <c r="J13107" t="s">
        <v>76</v>
      </c>
      <c r="K13107" t="s">
        <v>77</v>
      </c>
    </row>
    <row r="13108" spans="1:12" x14ac:dyDescent="0.3">
      <c r="A13108" t="s">
        <v>496</v>
      </c>
      <c r="B13108" t="s">
        <v>84</v>
      </c>
      <c r="C13108">
        <v>926</v>
      </c>
      <c r="D13108" t="s">
        <v>81</v>
      </c>
      <c r="E13108">
        <v>2.3389999999999999E-3</v>
      </c>
      <c r="F13108" t="s">
        <v>74</v>
      </c>
      <c r="G13108">
        <v>2.33921</v>
      </c>
      <c r="H13108" t="s">
        <v>75</v>
      </c>
      <c r="I13108">
        <v>2339.2049999999999</v>
      </c>
      <c r="J13108" t="s">
        <v>76</v>
      </c>
      <c r="K13108" t="s">
        <v>82</v>
      </c>
      <c r="L13108">
        <v>427.49561729999999</v>
      </c>
    </row>
    <row r="13109" spans="1:12" x14ac:dyDescent="0.3">
      <c r="A13109" t="s">
        <v>497</v>
      </c>
      <c r="B13109" t="s">
        <v>72</v>
      </c>
      <c r="C13109">
        <v>1</v>
      </c>
      <c r="D13109" t="s">
        <v>79</v>
      </c>
      <c r="E13109">
        <v>8.763E-3</v>
      </c>
      <c r="F13109" t="s">
        <v>74</v>
      </c>
      <c r="G13109">
        <v>8.7631999999999994</v>
      </c>
      <c r="H13109" t="s">
        <v>75</v>
      </c>
      <c r="I13109">
        <v>8763.2000000000007</v>
      </c>
      <c r="J13109" t="s">
        <v>76</v>
      </c>
      <c r="K13109" t="s">
        <v>77</v>
      </c>
    </row>
    <row r="13110" spans="1:12" x14ac:dyDescent="0.3">
      <c r="A13110" t="s">
        <v>497</v>
      </c>
      <c r="B13110" t="s">
        <v>72</v>
      </c>
      <c r="C13110">
        <v>1</v>
      </c>
      <c r="D13110" t="s">
        <v>94</v>
      </c>
      <c r="E13110">
        <v>4.3462000000000001E-2</v>
      </c>
      <c r="F13110" t="s">
        <v>74</v>
      </c>
      <c r="G13110">
        <v>43.461599999999997</v>
      </c>
      <c r="H13110" t="s">
        <v>75</v>
      </c>
      <c r="I13110">
        <v>43461.597999999998</v>
      </c>
      <c r="J13110" t="s">
        <v>76</v>
      </c>
      <c r="K13110" t="s">
        <v>77</v>
      </c>
    </row>
    <row r="13111" spans="1:12" x14ac:dyDescent="0.3">
      <c r="A13111" t="s">
        <v>497</v>
      </c>
      <c r="B13111" t="s">
        <v>72</v>
      </c>
      <c r="C13111">
        <v>1</v>
      </c>
      <c r="D13111" t="s">
        <v>80</v>
      </c>
      <c r="E13111">
        <v>4.3464000000000003E-2</v>
      </c>
      <c r="F13111" t="s">
        <v>74</v>
      </c>
      <c r="G13111">
        <v>43.463799999999999</v>
      </c>
      <c r="H13111" t="s">
        <v>75</v>
      </c>
      <c r="I13111">
        <v>43463.8</v>
      </c>
      <c r="J13111" t="s">
        <v>76</v>
      </c>
      <c r="K13111" t="s">
        <v>77</v>
      </c>
    </row>
    <row r="13112" spans="1:12" x14ac:dyDescent="0.3">
      <c r="A13112" t="s">
        <v>497</v>
      </c>
      <c r="B13112" t="s">
        <v>72</v>
      </c>
      <c r="C13112">
        <v>1</v>
      </c>
      <c r="D13112" t="s">
        <v>81</v>
      </c>
      <c r="E13112">
        <v>5.2229999999999999E-2</v>
      </c>
      <c r="F13112" t="s">
        <v>74</v>
      </c>
      <c r="G13112">
        <v>52.229799999999997</v>
      </c>
      <c r="H13112" t="s">
        <v>75</v>
      </c>
      <c r="I13112">
        <v>52229.798999999999</v>
      </c>
      <c r="J13112" t="s">
        <v>76</v>
      </c>
      <c r="K13112" t="s">
        <v>82</v>
      </c>
      <c r="L13112">
        <v>19.146158199999999</v>
      </c>
    </row>
    <row r="13113" spans="1:12" x14ac:dyDescent="0.3">
      <c r="A13113" t="s">
        <v>497</v>
      </c>
      <c r="B13113" t="s">
        <v>83</v>
      </c>
      <c r="C13113">
        <v>74</v>
      </c>
      <c r="D13113" t="s">
        <v>79</v>
      </c>
      <c r="E13113">
        <v>0</v>
      </c>
      <c r="F13113" t="s">
        <v>74</v>
      </c>
      <c r="G13113">
        <v>3.4000000000000002E-4</v>
      </c>
      <c r="H13113" t="s">
        <v>75</v>
      </c>
      <c r="I13113">
        <v>0.33900000000000002</v>
      </c>
      <c r="J13113" t="s">
        <v>76</v>
      </c>
      <c r="K13113" t="s">
        <v>77</v>
      </c>
    </row>
    <row r="13114" spans="1:12" x14ac:dyDescent="0.3">
      <c r="A13114" t="s">
        <v>497</v>
      </c>
      <c r="B13114" t="s">
        <v>83</v>
      </c>
      <c r="C13114">
        <v>74</v>
      </c>
      <c r="D13114" t="s">
        <v>94</v>
      </c>
      <c r="E13114">
        <v>2.8475E-2</v>
      </c>
      <c r="F13114" t="s">
        <v>74</v>
      </c>
      <c r="G13114">
        <v>28.475249999999999</v>
      </c>
      <c r="H13114" t="s">
        <v>75</v>
      </c>
      <c r="I13114">
        <v>28475.252</v>
      </c>
      <c r="J13114" t="s">
        <v>76</v>
      </c>
      <c r="K13114" t="s">
        <v>77</v>
      </c>
    </row>
    <row r="13115" spans="1:12" x14ac:dyDescent="0.3">
      <c r="A13115" t="s">
        <v>497</v>
      </c>
      <c r="B13115" t="s">
        <v>83</v>
      </c>
      <c r="C13115">
        <v>74</v>
      </c>
      <c r="D13115" t="s">
        <v>80</v>
      </c>
      <c r="E13115">
        <v>2.8753999999999998E-2</v>
      </c>
      <c r="F13115" t="s">
        <v>74</v>
      </c>
      <c r="G13115">
        <v>28.75403</v>
      </c>
      <c r="H13115" t="s">
        <v>75</v>
      </c>
      <c r="I13115">
        <v>28754.035</v>
      </c>
      <c r="J13115" t="s">
        <v>76</v>
      </c>
      <c r="K13115" t="s">
        <v>77</v>
      </c>
    </row>
    <row r="13116" spans="1:12" x14ac:dyDescent="0.3">
      <c r="A13116" t="s">
        <v>497</v>
      </c>
      <c r="B13116" t="s">
        <v>83</v>
      </c>
      <c r="C13116">
        <v>74</v>
      </c>
      <c r="D13116" t="s">
        <v>81</v>
      </c>
      <c r="E13116">
        <v>2.8754999999999999E-2</v>
      </c>
      <c r="F13116" t="s">
        <v>74</v>
      </c>
      <c r="G13116">
        <v>28.754629999999999</v>
      </c>
      <c r="H13116" t="s">
        <v>75</v>
      </c>
      <c r="I13116">
        <v>28754.627</v>
      </c>
      <c r="J13116" t="s">
        <v>76</v>
      </c>
      <c r="K13116" t="s">
        <v>82</v>
      </c>
      <c r="L13116">
        <v>34.777011299999998</v>
      </c>
    </row>
    <row r="13117" spans="1:12" x14ac:dyDescent="0.3">
      <c r="A13117" t="s">
        <v>497</v>
      </c>
      <c r="B13117" t="s">
        <v>84</v>
      </c>
      <c r="C13117">
        <v>75</v>
      </c>
      <c r="D13117" t="s">
        <v>79</v>
      </c>
      <c r="E13117">
        <v>1.17E-4</v>
      </c>
      <c r="F13117" t="s">
        <v>74</v>
      </c>
      <c r="G13117">
        <v>0.11718000000000001</v>
      </c>
      <c r="H13117" t="s">
        <v>75</v>
      </c>
      <c r="I13117">
        <v>117.17700000000001</v>
      </c>
      <c r="J13117" t="s">
        <v>76</v>
      </c>
      <c r="K13117" t="s">
        <v>77</v>
      </c>
    </row>
    <row r="13118" spans="1:12" x14ac:dyDescent="0.3">
      <c r="A13118" t="s">
        <v>497</v>
      </c>
      <c r="B13118" t="s">
        <v>84</v>
      </c>
      <c r="C13118">
        <v>75</v>
      </c>
      <c r="D13118" t="s">
        <v>94</v>
      </c>
      <c r="E13118">
        <v>2.8674999999999999E-2</v>
      </c>
      <c r="F13118" t="s">
        <v>74</v>
      </c>
      <c r="G13118">
        <v>28.675070000000002</v>
      </c>
      <c r="H13118" t="s">
        <v>75</v>
      </c>
      <c r="I13118">
        <v>28675.07</v>
      </c>
      <c r="J13118" t="s">
        <v>76</v>
      </c>
      <c r="K13118" t="s">
        <v>77</v>
      </c>
    </row>
    <row r="13119" spans="1:12" x14ac:dyDescent="0.3">
      <c r="A13119" t="s">
        <v>497</v>
      </c>
      <c r="B13119" t="s">
        <v>84</v>
      </c>
      <c r="C13119">
        <v>75</v>
      </c>
      <c r="D13119" t="s">
        <v>80</v>
      </c>
      <c r="E13119">
        <v>2.895E-2</v>
      </c>
      <c r="F13119" t="s">
        <v>74</v>
      </c>
      <c r="G13119">
        <v>28.95017</v>
      </c>
      <c r="H13119" t="s">
        <v>75</v>
      </c>
      <c r="I13119">
        <v>28950.167000000001</v>
      </c>
      <c r="J13119" t="s">
        <v>76</v>
      </c>
      <c r="K13119" t="s">
        <v>77</v>
      </c>
    </row>
    <row r="13120" spans="1:12" x14ac:dyDescent="0.3">
      <c r="A13120" t="s">
        <v>497</v>
      </c>
      <c r="B13120" t="s">
        <v>84</v>
      </c>
      <c r="C13120">
        <v>75</v>
      </c>
      <c r="D13120" t="s">
        <v>81</v>
      </c>
      <c r="E13120">
        <v>2.9068E-2</v>
      </c>
      <c r="F13120" t="s">
        <v>74</v>
      </c>
      <c r="G13120">
        <v>29.067620000000002</v>
      </c>
      <c r="H13120" t="s">
        <v>75</v>
      </c>
      <c r="I13120">
        <v>29067.620999999999</v>
      </c>
      <c r="J13120" t="s">
        <v>76</v>
      </c>
      <c r="K13120" t="s">
        <v>82</v>
      </c>
      <c r="L13120">
        <v>34.402539900000001</v>
      </c>
    </row>
    <row r="13121" spans="1:12" x14ac:dyDescent="0.3">
      <c r="A13121" t="s">
        <v>498</v>
      </c>
      <c r="B13121" t="s">
        <v>72</v>
      </c>
      <c r="C13121">
        <v>1</v>
      </c>
      <c r="D13121" t="s">
        <v>73</v>
      </c>
      <c r="E13121">
        <v>5.3999999999999998E-5</v>
      </c>
      <c r="F13121" t="s">
        <v>74</v>
      </c>
      <c r="G13121">
        <v>5.4199999999999998E-2</v>
      </c>
      <c r="H13121" t="s">
        <v>75</v>
      </c>
      <c r="I13121">
        <v>54.2</v>
      </c>
      <c r="J13121" t="s">
        <v>76</v>
      </c>
      <c r="K13121" t="s">
        <v>77</v>
      </c>
    </row>
    <row r="13122" spans="1:12" x14ac:dyDescent="0.3">
      <c r="A13122" t="s">
        <v>498</v>
      </c>
      <c r="B13122" t="s">
        <v>72</v>
      </c>
      <c r="C13122">
        <v>1</v>
      </c>
      <c r="D13122" t="s">
        <v>78</v>
      </c>
      <c r="E13122">
        <v>5.4299999999999997E-4</v>
      </c>
      <c r="F13122" t="s">
        <v>74</v>
      </c>
      <c r="G13122">
        <v>0.54320000000000002</v>
      </c>
      <c r="H13122" t="s">
        <v>75</v>
      </c>
      <c r="I13122">
        <v>543.20000000000005</v>
      </c>
      <c r="J13122" t="s">
        <v>76</v>
      </c>
      <c r="K13122" t="s">
        <v>77</v>
      </c>
    </row>
    <row r="13123" spans="1:12" x14ac:dyDescent="0.3">
      <c r="A13123" t="s">
        <v>498</v>
      </c>
      <c r="B13123" t="s">
        <v>72</v>
      </c>
      <c r="C13123">
        <v>2</v>
      </c>
      <c r="D13123" t="s">
        <v>86</v>
      </c>
      <c r="E13123">
        <v>2.6117999999999999E-2</v>
      </c>
      <c r="F13123" t="s">
        <v>74</v>
      </c>
      <c r="G13123">
        <v>26.118400000000001</v>
      </c>
      <c r="H13123" t="s">
        <v>75</v>
      </c>
      <c r="I13123">
        <v>26118.400000000001</v>
      </c>
      <c r="J13123" t="s">
        <v>76</v>
      </c>
      <c r="K13123" t="s">
        <v>82</v>
      </c>
      <c r="L13123">
        <v>38.287185100000002</v>
      </c>
    </row>
    <row r="13124" spans="1:12" x14ac:dyDescent="0.3">
      <c r="A13124" t="s">
        <v>498</v>
      </c>
      <c r="B13124" t="s">
        <v>83</v>
      </c>
      <c r="C13124">
        <v>999</v>
      </c>
      <c r="D13124" t="s">
        <v>86</v>
      </c>
      <c r="E13124">
        <v>2.1779999999999998E-3</v>
      </c>
      <c r="F13124" t="s">
        <v>74</v>
      </c>
      <c r="G13124">
        <v>2.1780499999999998</v>
      </c>
      <c r="H13124" t="s">
        <v>75</v>
      </c>
      <c r="I13124">
        <v>2178.0509999999999</v>
      </c>
      <c r="J13124" t="s">
        <v>76</v>
      </c>
      <c r="K13124" t="s">
        <v>82</v>
      </c>
      <c r="L13124">
        <v>459.12600209999999</v>
      </c>
    </row>
    <row r="13125" spans="1:12" x14ac:dyDescent="0.3">
      <c r="A13125" t="s">
        <v>498</v>
      </c>
      <c r="B13125" t="s">
        <v>85</v>
      </c>
      <c r="C13125">
        <v>1001</v>
      </c>
      <c r="D13125" t="s">
        <v>86</v>
      </c>
      <c r="E13125">
        <v>2.1849999999999999E-3</v>
      </c>
      <c r="F13125" t="s">
        <v>74</v>
      </c>
      <c r="G13125">
        <v>2.1853099999999999</v>
      </c>
      <c r="H13125" t="s">
        <v>75</v>
      </c>
      <c r="I13125">
        <v>2185.3110000000001</v>
      </c>
      <c r="J13125" t="s">
        <v>76</v>
      </c>
      <c r="K13125" t="s">
        <v>82</v>
      </c>
      <c r="L13125">
        <v>457.600798</v>
      </c>
    </row>
    <row r="13126" spans="1:12" x14ac:dyDescent="0.3">
      <c r="A13126" t="s">
        <v>115</v>
      </c>
    </row>
    <row r="13127" spans="1:12" x14ac:dyDescent="0.3">
      <c r="A13127" t="s">
        <v>127</v>
      </c>
    </row>
    <row r="13128" spans="1:12" x14ac:dyDescent="0.3">
      <c r="A13128" t="s">
        <v>87</v>
      </c>
    </row>
    <row r="13129" spans="1:12" x14ac:dyDescent="0.3">
      <c r="A13129" t="s">
        <v>528</v>
      </c>
    </row>
    <row r="13130" spans="1:12" x14ac:dyDescent="0.3">
      <c r="A13130" t="s">
        <v>496</v>
      </c>
      <c r="B13130" t="s">
        <v>72</v>
      </c>
      <c r="C13130">
        <v>1</v>
      </c>
      <c r="D13130" t="s">
        <v>81</v>
      </c>
      <c r="E13130">
        <v>0.45386900000000002</v>
      </c>
      <c r="F13130" t="s">
        <v>74</v>
      </c>
      <c r="G13130">
        <v>453.86869000000002</v>
      </c>
      <c r="H13130" t="s">
        <v>75</v>
      </c>
      <c r="I13130">
        <v>453868.68699999998</v>
      </c>
      <c r="J13130" t="s">
        <v>76</v>
      </c>
      <c r="K13130" t="s">
        <v>82</v>
      </c>
      <c r="L13130">
        <v>2.2032804000000001</v>
      </c>
    </row>
    <row r="13131" spans="1:12" x14ac:dyDescent="0.3">
      <c r="A13131" t="s">
        <v>496</v>
      </c>
      <c r="B13131" t="s">
        <v>83</v>
      </c>
      <c r="C13131">
        <v>935</v>
      </c>
      <c r="D13131" t="s">
        <v>81</v>
      </c>
      <c r="E13131">
        <v>8.7000000000000001E-4</v>
      </c>
      <c r="F13131" t="s">
        <v>74</v>
      </c>
      <c r="G13131">
        <v>0.86975000000000002</v>
      </c>
      <c r="H13131" t="s">
        <v>75</v>
      </c>
      <c r="I13131">
        <v>869.75199999999995</v>
      </c>
      <c r="J13131" t="s">
        <v>76</v>
      </c>
      <c r="K13131" t="s">
        <v>82</v>
      </c>
      <c r="L13131">
        <v>1149.7530376</v>
      </c>
    </row>
    <row r="13132" spans="1:12" x14ac:dyDescent="0.3">
      <c r="A13132" t="s">
        <v>496</v>
      </c>
      <c r="B13132" t="s">
        <v>84</v>
      </c>
      <c r="C13132">
        <v>936</v>
      </c>
      <c r="D13132" t="s">
        <v>81</v>
      </c>
      <c r="E13132">
        <v>1.354E-3</v>
      </c>
      <c r="F13132" t="s">
        <v>74</v>
      </c>
      <c r="G13132">
        <v>1.3537300000000001</v>
      </c>
      <c r="H13132" t="s">
        <v>75</v>
      </c>
      <c r="I13132">
        <v>1353.7249999999999</v>
      </c>
      <c r="J13132" t="s">
        <v>76</v>
      </c>
      <c r="K13132" t="s">
        <v>82</v>
      </c>
      <c r="L13132">
        <v>738.70245450000004</v>
      </c>
    </row>
    <row r="13133" spans="1:12" x14ac:dyDescent="0.3">
      <c r="A13133" t="s">
        <v>497</v>
      </c>
      <c r="B13133" t="s">
        <v>72</v>
      </c>
      <c r="C13133">
        <v>1</v>
      </c>
      <c r="D13133" t="s">
        <v>81</v>
      </c>
      <c r="E13133">
        <v>0.235848</v>
      </c>
      <c r="F13133" t="s">
        <v>74</v>
      </c>
      <c r="G13133">
        <v>235.84809999999999</v>
      </c>
      <c r="H13133" t="s">
        <v>75</v>
      </c>
      <c r="I13133">
        <v>235848.09899999999</v>
      </c>
      <c r="J13133" t="s">
        <v>76</v>
      </c>
      <c r="K13133" t="s">
        <v>82</v>
      </c>
      <c r="L13133">
        <v>4.2400171999999996</v>
      </c>
    </row>
    <row r="13134" spans="1:12" x14ac:dyDescent="0.3">
      <c r="A13134" t="s">
        <v>497</v>
      </c>
      <c r="B13134" t="s">
        <v>83</v>
      </c>
      <c r="C13134">
        <v>64</v>
      </c>
      <c r="D13134" t="s">
        <v>81</v>
      </c>
      <c r="E13134">
        <v>1.6404999999999999E-2</v>
      </c>
      <c r="F13134" t="s">
        <v>74</v>
      </c>
      <c r="G13134">
        <v>16.404879999999999</v>
      </c>
      <c r="H13134" t="s">
        <v>75</v>
      </c>
      <c r="I13134">
        <v>16404.876</v>
      </c>
      <c r="J13134" t="s">
        <v>76</v>
      </c>
      <c r="K13134" t="s">
        <v>82</v>
      </c>
      <c r="L13134">
        <v>60.957484299999997</v>
      </c>
    </row>
    <row r="13135" spans="1:12" x14ac:dyDescent="0.3">
      <c r="A13135" t="s">
        <v>497</v>
      </c>
      <c r="B13135" t="s">
        <v>84</v>
      </c>
      <c r="C13135">
        <v>65</v>
      </c>
      <c r="D13135" t="s">
        <v>81</v>
      </c>
      <c r="E13135">
        <v>1.9781E-2</v>
      </c>
      <c r="F13135" t="s">
        <v>74</v>
      </c>
      <c r="G13135">
        <v>19.780919999999998</v>
      </c>
      <c r="H13135" t="s">
        <v>75</v>
      </c>
      <c r="I13135">
        <v>19780.923999999999</v>
      </c>
      <c r="J13135" t="s">
        <v>76</v>
      </c>
      <c r="K13135" t="s">
        <v>82</v>
      </c>
      <c r="L13135">
        <v>50.553756300000003</v>
      </c>
    </row>
    <row r="13136" spans="1:12" x14ac:dyDescent="0.3">
      <c r="A13136" t="s">
        <v>498</v>
      </c>
      <c r="B13136" t="s">
        <v>72</v>
      </c>
      <c r="C13136">
        <v>2</v>
      </c>
      <c r="D13136" t="s">
        <v>86</v>
      </c>
      <c r="E13136">
        <v>0.22695399999999999</v>
      </c>
      <c r="F13136" t="s">
        <v>74</v>
      </c>
      <c r="G13136">
        <v>226.95425</v>
      </c>
      <c r="H13136" t="s">
        <v>75</v>
      </c>
      <c r="I13136">
        <v>226954.25200000001</v>
      </c>
      <c r="J13136" t="s">
        <v>76</v>
      </c>
      <c r="K13136" t="s">
        <v>82</v>
      </c>
      <c r="L13136">
        <v>4.4061743</v>
      </c>
    </row>
    <row r="13137" spans="1:12" x14ac:dyDescent="0.3">
      <c r="A13137" t="s">
        <v>498</v>
      </c>
      <c r="B13137" t="s">
        <v>83</v>
      </c>
      <c r="C13137">
        <v>999</v>
      </c>
      <c r="D13137" t="s">
        <v>86</v>
      </c>
      <c r="E13137">
        <v>1.0369999999999999E-3</v>
      </c>
      <c r="F13137" t="s">
        <v>74</v>
      </c>
      <c r="G13137">
        <v>1.0375000000000001</v>
      </c>
      <c r="H13137" t="s">
        <v>75</v>
      </c>
      <c r="I13137">
        <v>1037.498</v>
      </c>
      <c r="J13137" t="s">
        <v>76</v>
      </c>
      <c r="K13137" t="s">
        <v>82</v>
      </c>
      <c r="L13137">
        <v>963.85737489999997</v>
      </c>
    </row>
    <row r="13138" spans="1:12" x14ac:dyDescent="0.3">
      <c r="A13138" t="s">
        <v>498</v>
      </c>
      <c r="B13138" t="s">
        <v>85</v>
      </c>
      <c r="C13138">
        <v>1001</v>
      </c>
      <c r="D13138" t="s">
        <v>86</v>
      </c>
      <c r="E13138">
        <v>1.289E-3</v>
      </c>
      <c r="F13138" t="s">
        <v>74</v>
      </c>
      <c r="G13138">
        <v>1.28898</v>
      </c>
      <c r="H13138" t="s">
        <v>75</v>
      </c>
      <c r="I13138">
        <v>1288.9760000000001</v>
      </c>
      <c r="J13138" t="s">
        <v>76</v>
      </c>
      <c r="K13138" t="s">
        <v>82</v>
      </c>
      <c r="L13138">
        <v>775.80964210000002</v>
      </c>
    </row>
    <row r="13140" spans="1:12" x14ac:dyDescent="0.3">
      <c r="A13140" t="s">
        <v>529</v>
      </c>
    </row>
    <row r="13141" spans="1:12" x14ac:dyDescent="0.3">
      <c r="A13141" t="s">
        <v>496</v>
      </c>
      <c r="B13141" t="s">
        <v>72</v>
      </c>
      <c r="C13141">
        <v>1</v>
      </c>
      <c r="D13141" t="s">
        <v>81</v>
      </c>
      <c r="E13141">
        <v>1.0315E-2</v>
      </c>
      <c r="F13141" t="s">
        <v>74</v>
      </c>
      <c r="G13141">
        <v>10.315099999999999</v>
      </c>
      <c r="H13141" t="s">
        <v>75</v>
      </c>
      <c r="I13141">
        <v>10315.1</v>
      </c>
      <c r="J13141" t="s">
        <v>76</v>
      </c>
      <c r="K13141" t="s">
        <v>82</v>
      </c>
      <c r="L13141">
        <v>96.945257499999997</v>
      </c>
    </row>
    <row r="13142" spans="1:12" x14ac:dyDescent="0.3">
      <c r="A13142" t="s">
        <v>496</v>
      </c>
      <c r="B13142" t="s">
        <v>83</v>
      </c>
      <c r="C13142">
        <v>925</v>
      </c>
      <c r="D13142" t="s">
        <v>81</v>
      </c>
      <c r="E13142">
        <v>2.3310000000000002E-3</v>
      </c>
      <c r="F13142" t="s">
        <v>74</v>
      </c>
      <c r="G13142">
        <v>2.3305799999999999</v>
      </c>
      <c r="H13142" t="s">
        <v>75</v>
      </c>
      <c r="I13142">
        <v>2330.5830000000001</v>
      </c>
      <c r="J13142" t="s">
        <v>76</v>
      </c>
      <c r="K13142" t="s">
        <v>82</v>
      </c>
      <c r="L13142">
        <v>429.07721550000002</v>
      </c>
    </row>
    <row r="13143" spans="1:12" x14ac:dyDescent="0.3">
      <c r="A13143" t="s">
        <v>496</v>
      </c>
      <c r="B13143" t="s">
        <v>84</v>
      </c>
      <c r="C13143">
        <v>926</v>
      </c>
      <c r="D13143" t="s">
        <v>81</v>
      </c>
      <c r="E13143">
        <v>2.3389999999999999E-3</v>
      </c>
      <c r="F13143" t="s">
        <v>74</v>
      </c>
      <c r="G13143">
        <v>2.33921</v>
      </c>
      <c r="H13143" t="s">
        <v>75</v>
      </c>
      <c r="I13143">
        <v>2339.2049999999999</v>
      </c>
      <c r="J13143" t="s">
        <v>76</v>
      </c>
      <c r="K13143" t="s">
        <v>82</v>
      </c>
      <c r="L13143">
        <v>427.49561729999999</v>
      </c>
    </row>
    <row r="13144" spans="1:12" x14ac:dyDescent="0.3">
      <c r="A13144" t="s">
        <v>497</v>
      </c>
      <c r="B13144" t="s">
        <v>72</v>
      </c>
      <c r="C13144">
        <v>1</v>
      </c>
      <c r="D13144" t="s">
        <v>81</v>
      </c>
      <c r="E13144">
        <v>5.2229999999999999E-2</v>
      </c>
      <c r="F13144" t="s">
        <v>74</v>
      </c>
      <c r="G13144">
        <v>52.229799999999997</v>
      </c>
      <c r="H13144" t="s">
        <v>75</v>
      </c>
      <c r="I13144">
        <v>52229.798999999999</v>
      </c>
      <c r="J13144" t="s">
        <v>76</v>
      </c>
      <c r="K13144" t="s">
        <v>82</v>
      </c>
      <c r="L13144">
        <v>19.146158199999999</v>
      </c>
    </row>
    <row r="13145" spans="1:12" x14ac:dyDescent="0.3">
      <c r="A13145" t="s">
        <v>497</v>
      </c>
      <c r="B13145" t="s">
        <v>83</v>
      </c>
      <c r="C13145">
        <v>74</v>
      </c>
      <c r="D13145" t="s">
        <v>81</v>
      </c>
      <c r="E13145">
        <v>2.8754999999999999E-2</v>
      </c>
      <c r="F13145" t="s">
        <v>74</v>
      </c>
      <c r="G13145">
        <v>28.754629999999999</v>
      </c>
      <c r="H13145" t="s">
        <v>75</v>
      </c>
      <c r="I13145">
        <v>28754.627</v>
      </c>
      <c r="J13145" t="s">
        <v>76</v>
      </c>
      <c r="K13145" t="s">
        <v>82</v>
      </c>
      <c r="L13145">
        <v>34.777011299999998</v>
      </c>
    </row>
    <row r="13146" spans="1:12" x14ac:dyDescent="0.3">
      <c r="A13146" t="s">
        <v>497</v>
      </c>
      <c r="B13146" t="s">
        <v>84</v>
      </c>
      <c r="C13146">
        <v>75</v>
      </c>
      <c r="D13146" t="s">
        <v>81</v>
      </c>
      <c r="E13146">
        <v>2.9068E-2</v>
      </c>
      <c r="F13146" t="s">
        <v>74</v>
      </c>
      <c r="G13146">
        <v>29.067620000000002</v>
      </c>
      <c r="H13146" t="s">
        <v>75</v>
      </c>
      <c r="I13146">
        <v>29067.620999999999</v>
      </c>
      <c r="J13146" t="s">
        <v>76</v>
      </c>
      <c r="K13146" t="s">
        <v>82</v>
      </c>
      <c r="L13146">
        <v>34.402539900000001</v>
      </c>
    </row>
    <row r="13147" spans="1:12" x14ac:dyDescent="0.3">
      <c r="A13147" t="s">
        <v>498</v>
      </c>
      <c r="B13147" t="s">
        <v>72</v>
      </c>
      <c r="C13147">
        <v>2</v>
      </c>
      <c r="D13147" t="s">
        <v>86</v>
      </c>
      <c r="E13147">
        <v>2.6117999999999999E-2</v>
      </c>
      <c r="F13147" t="s">
        <v>74</v>
      </c>
      <c r="G13147">
        <v>26.118400000000001</v>
      </c>
      <c r="H13147" t="s">
        <v>75</v>
      </c>
      <c r="I13147">
        <v>26118.400000000001</v>
      </c>
      <c r="J13147" t="s">
        <v>76</v>
      </c>
      <c r="K13147" t="s">
        <v>82</v>
      </c>
      <c r="L13147">
        <v>38.287185100000002</v>
      </c>
    </row>
    <row r="13148" spans="1:12" x14ac:dyDescent="0.3">
      <c r="A13148" t="s">
        <v>498</v>
      </c>
      <c r="B13148" t="s">
        <v>83</v>
      </c>
      <c r="C13148">
        <v>999</v>
      </c>
      <c r="D13148" t="s">
        <v>86</v>
      </c>
      <c r="E13148">
        <v>2.1779999999999998E-3</v>
      </c>
      <c r="F13148" t="s">
        <v>74</v>
      </c>
      <c r="G13148">
        <v>2.1780499999999998</v>
      </c>
      <c r="H13148" t="s">
        <v>75</v>
      </c>
      <c r="I13148">
        <v>2178.0509999999999</v>
      </c>
      <c r="J13148" t="s">
        <v>76</v>
      </c>
      <c r="K13148" t="s">
        <v>82</v>
      </c>
      <c r="L13148">
        <v>459.12600209999999</v>
      </c>
    </row>
    <row r="13149" spans="1:12" x14ac:dyDescent="0.3">
      <c r="A13149" t="s">
        <v>498</v>
      </c>
      <c r="B13149" t="s">
        <v>85</v>
      </c>
      <c r="C13149">
        <v>1001</v>
      </c>
      <c r="D13149" t="s">
        <v>86</v>
      </c>
      <c r="E13149">
        <v>2.1849999999999999E-3</v>
      </c>
      <c r="F13149" t="s">
        <v>74</v>
      </c>
      <c r="G13149">
        <v>2.1853099999999999</v>
      </c>
      <c r="H13149" t="s">
        <v>75</v>
      </c>
      <c r="I13149">
        <v>2185.3110000000001</v>
      </c>
      <c r="J13149" t="s">
        <v>76</v>
      </c>
      <c r="K13149" t="s">
        <v>82</v>
      </c>
      <c r="L13149">
        <v>457.600798</v>
      </c>
    </row>
    <row r="13151" spans="1:12" x14ac:dyDescent="0.3">
      <c r="A13151" t="s">
        <v>66</v>
      </c>
    </row>
    <row r="13153" spans="1:1" x14ac:dyDescent="0.3">
      <c r="A13153" t="s">
        <v>571</v>
      </c>
    </row>
    <row r="13154" spans="1:1" x14ac:dyDescent="0.3">
      <c r="A13154" t="s">
        <v>68</v>
      </c>
    </row>
    <row r="13155" spans="1:1" x14ac:dyDescent="0.3">
      <c r="A13155" t="s">
        <v>69</v>
      </c>
    </row>
    <row r="13156" spans="1:1" x14ac:dyDescent="0.3">
      <c r="A13156" t="s">
        <v>68</v>
      </c>
    </row>
    <row r="13157" spans="1:1" x14ac:dyDescent="0.3">
      <c r="A13157" t="s">
        <v>69</v>
      </c>
    </row>
    <row r="13158" spans="1:1" x14ac:dyDescent="0.3">
      <c r="A13158" t="s">
        <v>70</v>
      </c>
    </row>
    <row r="13159" spans="1:1" x14ac:dyDescent="0.3">
      <c r="A13159" t="s">
        <v>115</v>
      </c>
    </row>
    <row r="13160" spans="1:1" x14ac:dyDescent="0.3">
      <c r="A13160" t="s">
        <v>116</v>
      </c>
    </row>
    <row r="13161" spans="1:1" x14ac:dyDescent="0.3">
      <c r="A13161" t="s">
        <v>117</v>
      </c>
    </row>
    <row r="13162" spans="1:1" x14ac:dyDescent="0.3">
      <c r="A13162" t="s">
        <v>118</v>
      </c>
    </row>
    <row r="13163" spans="1:1" x14ac:dyDescent="0.3">
      <c r="A13163" t="s">
        <v>119</v>
      </c>
    </row>
    <row r="13164" spans="1:1" x14ac:dyDescent="0.3">
      <c r="A13164" t="s">
        <v>120</v>
      </c>
    </row>
    <row r="13165" spans="1:1" x14ac:dyDescent="0.3">
      <c r="A13165" t="s">
        <v>121</v>
      </c>
    </row>
    <row r="13166" spans="1:1" x14ac:dyDescent="0.3">
      <c r="A13166" t="s">
        <v>122</v>
      </c>
    </row>
    <row r="13167" spans="1:1" x14ac:dyDescent="0.3">
      <c r="A13167" t="s">
        <v>123</v>
      </c>
    </row>
    <row r="13168" spans="1:1" x14ac:dyDescent="0.3">
      <c r="A13168" t="s">
        <v>124</v>
      </c>
    </row>
    <row r="13169" spans="1:1" x14ac:dyDescent="0.3">
      <c r="A13169" t="s">
        <v>125</v>
      </c>
    </row>
    <row r="13170" spans="1:1" x14ac:dyDescent="0.3">
      <c r="A13170" t="s">
        <v>126</v>
      </c>
    </row>
    <row r="13171" spans="1:1" x14ac:dyDescent="0.3">
      <c r="A13171" t="s">
        <v>127</v>
      </c>
    </row>
    <row r="13172" spans="1:1" x14ac:dyDescent="0.3">
      <c r="A13172" t="s">
        <v>174</v>
      </c>
    </row>
    <row r="13173" spans="1:1" x14ac:dyDescent="0.3">
      <c r="A13173" t="s">
        <v>115</v>
      </c>
    </row>
    <row r="13174" spans="1:1" x14ac:dyDescent="0.3">
      <c r="A13174" t="s">
        <v>266</v>
      </c>
    </row>
    <row r="13175" spans="1:1" x14ac:dyDescent="0.3">
      <c r="A13175" t="s">
        <v>267</v>
      </c>
    </row>
    <row r="13176" spans="1:1" x14ac:dyDescent="0.3">
      <c r="A13176" t="s">
        <v>118</v>
      </c>
    </row>
    <row r="13177" spans="1:1" x14ac:dyDescent="0.3">
      <c r="A13177" t="s">
        <v>119</v>
      </c>
    </row>
    <row r="13178" spans="1:1" x14ac:dyDescent="0.3">
      <c r="A13178" t="s">
        <v>268</v>
      </c>
    </row>
    <row r="13179" spans="1:1" x14ac:dyDescent="0.3">
      <c r="A13179" t="s">
        <v>269</v>
      </c>
    </row>
    <row r="13180" spans="1:1" x14ac:dyDescent="0.3">
      <c r="A13180" t="s">
        <v>122</v>
      </c>
    </row>
    <row r="13181" spans="1:1" x14ac:dyDescent="0.3">
      <c r="A13181" t="s">
        <v>270</v>
      </c>
    </row>
    <row r="13182" spans="1:1" x14ac:dyDescent="0.3">
      <c r="A13182" t="s">
        <v>271</v>
      </c>
    </row>
    <row r="13183" spans="1:1" x14ac:dyDescent="0.3">
      <c r="A13183" t="s">
        <v>125</v>
      </c>
    </row>
    <row r="13184" spans="1:1" x14ac:dyDescent="0.3">
      <c r="A13184" t="s">
        <v>126</v>
      </c>
    </row>
    <row r="13185" spans="1:12" x14ac:dyDescent="0.3">
      <c r="A13185" t="s">
        <v>127</v>
      </c>
    </row>
    <row r="13186" spans="1:12" x14ac:dyDescent="0.3">
      <c r="A13186" t="s">
        <v>174</v>
      </c>
    </row>
    <row r="13187" spans="1:12" x14ac:dyDescent="0.3">
      <c r="A13187" t="s">
        <v>531</v>
      </c>
    </row>
    <row r="13188" spans="1:12" x14ac:dyDescent="0.3">
      <c r="A13188" t="s">
        <v>496</v>
      </c>
      <c r="B13188" t="s">
        <v>72</v>
      </c>
      <c r="C13188">
        <v>1</v>
      </c>
      <c r="D13188" t="s">
        <v>91</v>
      </c>
      <c r="E13188">
        <v>0.413547</v>
      </c>
      <c r="F13188" t="s">
        <v>74</v>
      </c>
      <c r="G13188">
        <v>413.54701</v>
      </c>
      <c r="H13188" t="s">
        <v>75</v>
      </c>
      <c r="I13188">
        <v>413547.00900000002</v>
      </c>
      <c r="J13188" t="s">
        <v>76</v>
      </c>
      <c r="K13188" t="s">
        <v>77</v>
      </c>
    </row>
    <row r="13189" spans="1:12" x14ac:dyDescent="0.3">
      <c r="A13189" t="s">
        <v>496</v>
      </c>
      <c r="B13189" t="s">
        <v>72</v>
      </c>
      <c r="C13189">
        <v>1</v>
      </c>
      <c r="D13189" t="s">
        <v>92</v>
      </c>
      <c r="E13189">
        <v>4.463E-3</v>
      </c>
      <c r="F13189" t="s">
        <v>74</v>
      </c>
      <c r="G13189">
        <v>4.4626000000000001</v>
      </c>
      <c r="H13189" t="s">
        <v>75</v>
      </c>
      <c r="I13189">
        <v>4462.6000000000004</v>
      </c>
      <c r="J13189" t="s">
        <v>76</v>
      </c>
      <c r="K13189" t="s">
        <v>77</v>
      </c>
    </row>
    <row r="13190" spans="1:12" x14ac:dyDescent="0.3">
      <c r="A13190" t="s">
        <v>496</v>
      </c>
      <c r="B13190" t="s">
        <v>72</v>
      </c>
      <c r="C13190">
        <v>1</v>
      </c>
      <c r="D13190" t="s">
        <v>93</v>
      </c>
      <c r="E13190">
        <v>4.9740000000000001E-3</v>
      </c>
      <c r="F13190" t="s">
        <v>74</v>
      </c>
      <c r="G13190">
        <v>4.9734999999999996</v>
      </c>
      <c r="H13190" t="s">
        <v>75</v>
      </c>
      <c r="I13190">
        <v>4973.5</v>
      </c>
      <c r="J13190" t="s">
        <v>76</v>
      </c>
      <c r="K13190" t="s">
        <v>77</v>
      </c>
    </row>
    <row r="13191" spans="1:12" x14ac:dyDescent="0.3">
      <c r="A13191" t="s">
        <v>496</v>
      </c>
      <c r="B13191" t="s">
        <v>72</v>
      </c>
      <c r="C13191">
        <v>1</v>
      </c>
      <c r="D13191" t="s">
        <v>79</v>
      </c>
      <c r="E13191">
        <v>0.422985</v>
      </c>
      <c r="F13191" t="s">
        <v>74</v>
      </c>
      <c r="G13191">
        <v>422.98469</v>
      </c>
      <c r="H13191" t="s">
        <v>75</v>
      </c>
      <c r="I13191">
        <v>422984.68900000001</v>
      </c>
      <c r="J13191" t="s">
        <v>76</v>
      </c>
      <c r="K13191" t="s">
        <v>77</v>
      </c>
    </row>
    <row r="13192" spans="1:12" x14ac:dyDescent="0.3">
      <c r="A13192" t="s">
        <v>496</v>
      </c>
      <c r="B13192" t="s">
        <v>72</v>
      </c>
      <c r="C13192">
        <v>1</v>
      </c>
      <c r="D13192" t="s">
        <v>94</v>
      </c>
      <c r="E13192">
        <v>1.5724999999999999E-2</v>
      </c>
      <c r="F13192" t="s">
        <v>74</v>
      </c>
      <c r="G13192">
        <v>15.724600000000001</v>
      </c>
      <c r="H13192" t="s">
        <v>75</v>
      </c>
      <c r="I13192">
        <v>15724.599</v>
      </c>
      <c r="J13192" t="s">
        <v>76</v>
      </c>
      <c r="K13192" t="s">
        <v>77</v>
      </c>
    </row>
    <row r="13193" spans="1:12" x14ac:dyDescent="0.3">
      <c r="A13193" t="s">
        <v>496</v>
      </c>
      <c r="B13193" t="s">
        <v>72</v>
      </c>
      <c r="C13193">
        <v>1</v>
      </c>
      <c r="D13193" t="s">
        <v>80</v>
      </c>
      <c r="E13193">
        <v>1.5724999999999999E-2</v>
      </c>
      <c r="F13193" t="s">
        <v>74</v>
      </c>
      <c r="G13193">
        <v>15.725300000000001</v>
      </c>
      <c r="H13193" t="s">
        <v>75</v>
      </c>
      <c r="I13193">
        <v>15725.3</v>
      </c>
      <c r="J13193" t="s">
        <v>76</v>
      </c>
      <c r="K13193" t="s">
        <v>77</v>
      </c>
    </row>
    <row r="13194" spans="1:12" x14ac:dyDescent="0.3">
      <c r="A13194" t="s">
        <v>496</v>
      </c>
      <c r="B13194" t="s">
        <v>72</v>
      </c>
      <c r="C13194">
        <v>1</v>
      </c>
      <c r="D13194" t="s">
        <v>81</v>
      </c>
      <c r="E13194">
        <v>0.43870999999999999</v>
      </c>
      <c r="F13194" t="s">
        <v>74</v>
      </c>
      <c r="G13194">
        <v>438.71030000000002</v>
      </c>
      <c r="H13194" t="s">
        <v>75</v>
      </c>
      <c r="I13194">
        <v>438710.30200000003</v>
      </c>
      <c r="J13194" t="s">
        <v>76</v>
      </c>
      <c r="K13194" t="s">
        <v>82</v>
      </c>
      <c r="L13194">
        <v>2.2794085000000002</v>
      </c>
    </row>
    <row r="13195" spans="1:12" x14ac:dyDescent="0.3">
      <c r="A13195" t="s">
        <v>496</v>
      </c>
      <c r="B13195" t="s">
        <v>83</v>
      </c>
      <c r="C13195">
        <v>578</v>
      </c>
      <c r="D13195" t="s">
        <v>79</v>
      </c>
      <c r="E13195">
        <v>0</v>
      </c>
      <c r="F13195" t="s">
        <v>74</v>
      </c>
      <c r="G13195">
        <v>1.6000000000000001E-4</v>
      </c>
      <c r="H13195" t="s">
        <v>75</v>
      </c>
      <c r="I13195">
        <v>0.16200000000000001</v>
      </c>
      <c r="J13195" t="s">
        <v>76</v>
      </c>
      <c r="K13195" t="s">
        <v>77</v>
      </c>
    </row>
    <row r="13196" spans="1:12" x14ac:dyDescent="0.3">
      <c r="A13196" t="s">
        <v>496</v>
      </c>
      <c r="B13196" t="s">
        <v>83</v>
      </c>
      <c r="C13196">
        <v>578</v>
      </c>
      <c r="D13196" t="s">
        <v>94</v>
      </c>
      <c r="E13196">
        <v>3.5270000000000002E-3</v>
      </c>
      <c r="F13196" t="s">
        <v>74</v>
      </c>
      <c r="G13196">
        <v>3.5267300000000001</v>
      </c>
      <c r="H13196" t="s">
        <v>75</v>
      </c>
      <c r="I13196">
        <v>3526.7330000000002</v>
      </c>
      <c r="J13196" t="s">
        <v>76</v>
      </c>
      <c r="K13196" t="s">
        <v>77</v>
      </c>
    </row>
    <row r="13197" spans="1:12" x14ac:dyDescent="0.3">
      <c r="A13197" t="s">
        <v>496</v>
      </c>
      <c r="B13197" t="s">
        <v>83</v>
      </c>
      <c r="C13197">
        <v>578</v>
      </c>
      <c r="D13197" t="s">
        <v>80</v>
      </c>
      <c r="E13197">
        <v>3.679E-3</v>
      </c>
      <c r="F13197" t="s">
        <v>74</v>
      </c>
      <c r="G13197">
        <v>3.6793100000000001</v>
      </c>
      <c r="H13197" t="s">
        <v>75</v>
      </c>
      <c r="I13197">
        <v>3679.3110000000001</v>
      </c>
      <c r="J13197" t="s">
        <v>76</v>
      </c>
      <c r="K13197" t="s">
        <v>77</v>
      </c>
    </row>
    <row r="13198" spans="1:12" x14ac:dyDescent="0.3">
      <c r="A13198" t="s">
        <v>496</v>
      </c>
      <c r="B13198" t="s">
        <v>83</v>
      </c>
      <c r="C13198">
        <v>578</v>
      </c>
      <c r="D13198" t="s">
        <v>81</v>
      </c>
      <c r="E13198">
        <v>3.6800000000000001E-3</v>
      </c>
      <c r="F13198" t="s">
        <v>74</v>
      </c>
      <c r="G13198">
        <v>3.6796500000000001</v>
      </c>
      <c r="H13198" t="s">
        <v>75</v>
      </c>
      <c r="I13198">
        <v>3679.654</v>
      </c>
      <c r="J13198" t="s">
        <v>76</v>
      </c>
      <c r="K13198" t="s">
        <v>82</v>
      </c>
      <c r="L13198">
        <v>271.76469959999997</v>
      </c>
    </row>
    <row r="13199" spans="1:12" x14ac:dyDescent="0.3">
      <c r="A13199" t="s">
        <v>496</v>
      </c>
      <c r="B13199" t="s">
        <v>84</v>
      </c>
      <c r="C13199">
        <v>1</v>
      </c>
      <c r="D13199" t="s">
        <v>91</v>
      </c>
      <c r="E13199">
        <v>0.413547</v>
      </c>
      <c r="F13199" t="s">
        <v>74</v>
      </c>
      <c r="G13199">
        <v>413.54701</v>
      </c>
      <c r="H13199" t="s">
        <v>75</v>
      </c>
      <c r="I13199">
        <v>413547.00900000002</v>
      </c>
      <c r="J13199" t="s">
        <v>76</v>
      </c>
      <c r="K13199" t="s">
        <v>77</v>
      </c>
    </row>
    <row r="13200" spans="1:12" x14ac:dyDescent="0.3">
      <c r="A13200" t="s">
        <v>496</v>
      </c>
      <c r="B13200" t="s">
        <v>84</v>
      </c>
      <c r="C13200">
        <v>1</v>
      </c>
      <c r="D13200" t="s">
        <v>92</v>
      </c>
      <c r="E13200">
        <v>4.463E-3</v>
      </c>
      <c r="F13200" t="s">
        <v>74</v>
      </c>
      <c r="G13200">
        <v>4.4626000000000001</v>
      </c>
      <c r="H13200" t="s">
        <v>75</v>
      </c>
      <c r="I13200">
        <v>4462.6000000000004</v>
      </c>
      <c r="J13200" t="s">
        <v>76</v>
      </c>
      <c r="K13200" t="s">
        <v>77</v>
      </c>
    </row>
    <row r="13201" spans="1:12" x14ac:dyDescent="0.3">
      <c r="A13201" t="s">
        <v>496</v>
      </c>
      <c r="B13201" t="s">
        <v>84</v>
      </c>
      <c r="C13201">
        <v>1</v>
      </c>
      <c r="D13201" t="s">
        <v>93</v>
      </c>
      <c r="E13201">
        <v>4.9740000000000001E-3</v>
      </c>
      <c r="F13201" t="s">
        <v>74</v>
      </c>
      <c r="G13201">
        <v>4.9734999999999996</v>
      </c>
      <c r="H13201" t="s">
        <v>75</v>
      </c>
      <c r="I13201">
        <v>4973.5</v>
      </c>
      <c r="J13201" t="s">
        <v>76</v>
      </c>
      <c r="K13201" t="s">
        <v>77</v>
      </c>
    </row>
    <row r="13202" spans="1:12" x14ac:dyDescent="0.3">
      <c r="A13202" t="s">
        <v>496</v>
      </c>
      <c r="B13202" t="s">
        <v>84</v>
      </c>
      <c r="C13202">
        <v>579</v>
      </c>
      <c r="D13202" t="s">
        <v>79</v>
      </c>
      <c r="E13202">
        <v>7.3099999999999999E-4</v>
      </c>
      <c r="F13202" t="s">
        <v>74</v>
      </c>
      <c r="G13202">
        <v>0.73070000000000002</v>
      </c>
      <c r="H13202" t="s">
        <v>75</v>
      </c>
      <c r="I13202">
        <v>730.70399999999995</v>
      </c>
      <c r="J13202" t="s">
        <v>76</v>
      </c>
      <c r="K13202" t="s">
        <v>77</v>
      </c>
    </row>
    <row r="13203" spans="1:12" x14ac:dyDescent="0.3">
      <c r="A13203" t="s">
        <v>496</v>
      </c>
      <c r="B13203" t="s">
        <v>84</v>
      </c>
      <c r="C13203">
        <v>579</v>
      </c>
      <c r="D13203" t="s">
        <v>94</v>
      </c>
      <c r="E13203">
        <v>3.5479999999999999E-3</v>
      </c>
      <c r="F13203" t="s">
        <v>74</v>
      </c>
      <c r="G13203">
        <v>3.5478000000000001</v>
      </c>
      <c r="H13203" t="s">
        <v>75</v>
      </c>
      <c r="I13203">
        <v>3547.8</v>
      </c>
      <c r="J13203" t="s">
        <v>76</v>
      </c>
      <c r="K13203" t="s">
        <v>77</v>
      </c>
    </row>
    <row r="13204" spans="1:12" x14ac:dyDescent="0.3">
      <c r="A13204" t="s">
        <v>496</v>
      </c>
      <c r="B13204" t="s">
        <v>84</v>
      </c>
      <c r="C13204">
        <v>579</v>
      </c>
      <c r="D13204" t="s">
        <v>80</v>
      </c>
      <c r="E13204">
        <v>3.7000000000000002E-3</v>
      </c>
      <c r="F13204" t="s">
        <v>74</v>
      </c>
      <c r="G13204">
        <v>3.7001200000000001</v>
      </c>
      <c r="H13204" t="s">
        <v>75</v>
      </c>
      <c r="I13204">
        <v>3700.1149999999998</v>
      </c>
      <c r="J13204" t="s">
        <v>76</v>
      </c>
      <c r="K13204" t="s">
        <v>77</v>
      </c>
    </row>
    <row r="13205" spans="1:12" x14ac:dyDescent="0.3">
      <c r="A13205" t="s">
        <v>496</v>
      </c>
      <c r="B13205" t="s">
        <v>84</v>
      </c>
      <c r="C13205">
        <v>579</v>
      </c>
      <c r="D13205" t="s">
        <v>81</v>
      </c>
      <c r="E13205">
        <v>4.431E-3</v>
      </c>
      <c r="F13205" t="s">
        <v>74</v>
      </c>
      <c r="G13205">
        <v>4.431</v>
      </c>
      <c r="H13205" t="s">
        <v>75</v>
      </c>
      <c r="I13205">
        <v>4431.0010000000002</v>
      </c>
      <c r="J13205" t="s">
        <v>76</v>
      </c>
      <c r="K13205" t="s">
        <v>82</v>
      </c>
      <c r="L13205">
        <v>225.68265729999999</v>
      </c>
    </row>
    <row r="13206" spans="1:12" x14ac:dyDescent="0.3">
      <c r="A13206" t="s">
        <v>497</v>
      </c>
      <c r="B13206" t="s">
        <v>72</v>
      </c>
      <c r="C13206">
        <v>1</v>
      </c>
      <c r="D13206" t="s">
        <v>91</v>
      </c>
      <c r="E13206">
        <v>0.114858</v>
      </c>
      <c r="F13206" t="s">
        <v>74</v>
      </c>
      <c r="G13206">
        <v>114.8579</v>
      </c>
      <c r="H13206" t="s">
        <v>75</v>
      </c>
      <c r="I13206">
        <v>114857.897</v>
      </c>
      <c r="J13206" t="s">
        <v>76</v>
      </c>
      <c r="K13206" t="s">
        <v>77</v>
      </c>
    </row>
    <row r="13207" spans="1:12" x14ac:dyDescent="0.3">
      <c r="A13207" t="s">
        <v>497</v>
      </c>
      <c r="B13207" t="s">
        <v>72</v>
      </c>
      <c r="C13207">
        <v>1</v>
      </c>
      <c r="D13207" t="s">
        <v>92</v>
      </c>
      <c r="E13207">
        <v>6.8999999999999997E-4</v>
      </c>
      <c r="F13207" t="s">
        <v>74</v>
      </c>
      <c r="G13207">
        <v>0.69010000000000005</v>
      </c>
      <c r="H13207" t="s">
        <v>75</v>
      </c>
      <c r="I13207">
        <v>690.1</v>
      </c>
      <c r="J13207" t="s">
        <v>76</v>
      </c>
      <c r="K13207" t="s">
        <v>77</v>
      </c>
    </row>
    <row r="13208" spans="1:12" x14ac:dyDescent="0.3">
      <c r="A13208" t="s">
        <v>497</v>
      </c>
      <c r="B13208" t="s">
        <v>72</v>
      </c>
      <c r="C13208">
        <v>1</v>
      </c>
      <c r="D13208" t="s">
        <v>93</v>
      </c>
      <c r="E13208">
        <v>4.8899999999999996E-4</v>
      </c>
      <c r="F13208" t="s">
        <v>74</v>
      </c>
      <c r="G13208">
        <v>0.4894</v>
      </c>
      <c r="H13208" t="s">
        <v>75</v>
      </c>
      <c r="I13208">
        <v>489.4</v>
      </c>
      <c r="J13208" t="s">
        <v>76</v>
      </c>
      <c r="K13208" t="s">
        <v>77</v>
      </c>
    </row>
    <row r="13209" spans="1:12" x14ac:dyDescent="0.3">
      <c r="A13209" t="s">
        <v>497</v>
      </c>
      <c r="B13209" t="s">
        <v>72</v>
      </c>
      <c r="C13209">
        <v>1</v>
      </c>
      <c r="D13209" t="s">
        <v>79</v>
      </c>
      <c r="E13209">
        <v>0.116039</v>
      </c>
      <c r="F13209" t="s">
        <v>74</v>
      </c>
      <c r="G13209">
        <v>116.0389</v>
      </c>
      <c r="H13209" t="s">
        <v>75</v>
      </c>
      <c r="I13209">
        <v>116038.90399999999</v>
      </c>
      <c r="J13209" t="s">
        <v>76</v>
      </c>
      <c r="K13209" t="s">
        <v>77</v>
      </c>
    </row>
    <row r="13210" spans="1:12" x14ac:dyDescent="0.3">
      <c r="A13210" t="s">
        <v>497</v>
      </c>
      <c r="B13210" t="s">
        <v>72</v>
      </c>
      <c r="C13210">
        <v>1</v>
      </c>
      <c r="D13210" t="s">
        <v>94</v>
      </c>
      <c r="E13210">
        <v>1.0376E-2</v>
      </c>
      <c r="F13210" t="s">
        <v>74</v>
      </c>
      <c r="G13210">
        <v>10.3757</v>
      </c>
      <c r="H13210" t="s">
        <v>75</v>
      </c>
      <c r="I13210">
        <v>10375.700000000001</v>
      </c>
      <c r="J13210" t="s">
        <v>76</v>
      </c>
      <c r="K13210" t="s">
        <v>77</v>
      </c>
    </row>
    <row r="13211" spans="1:12" x14ac:dyDescent="0.3">
      <c r="A13211" t="s">
        <v>497</v>
      </c>
      <c r="B13211" t="s">
        <v>72</v>
      </c>
      <c r="C13211">
        <v>1</v>
      </c>
      <c r="D13211" t="s">
        <v>80</v>
      </c>
      <c r="E13211">
        <v>1.0376E-2</v>
      </c>
      <c r="F13211" t="s">
        <v>74</v>
      </c>
      <c r="G13211">
        <v>10.3765</v>
      </c>
      <c r="H13211" t="s">
        <v>75</v>
      </c>
      <c r="I13211">
        <v>10376.5</v>
      </c>
      <c r="J13211" t="s">
        <v>76</v>
      </c>
      <c r="K13211" t="s">
        <v>77</v>
      </c>
    </row>
    <row r="13212" spans="1:12" x14ac:dyDescent="0.3">
      <c r="A13212" t="s">
        <v>497</v>
      </c>
      <c r="B13212" t="s">
        <v>72</v>
      </c>
      <c r="C13212">
        <v>1</v>
      </c>
      <c r="D13212" t="s">
        <v>81</v>
      </c>
      <c r="E13212">
        <v>0.126416</v>
      </c>
      <c r="F13212" t="s">
        <v>74</v>
      </c>
      <c r="G13212">
        <v>126.41551</v>
      </c>
      <c r="H13212" t="s">
        <v>75</v>
      </c>
      <c r="I13212">
        <v>126415.50599999999</v>
      </c>
      <c r="J13212" t="s">
        <v>76</v>
      </c>
      <c r="K13212" t="s">
        <v>82</v>
      </c>
      <c r="L13212">
        <v>7.9104219999999996</v>
      </c>
    </row>
    <row r="13213" spans="1:12" x14ac:dyDescent="0.3">
      <c r="A13213" t="s">
        <v>497</v>
      </c>
      <c r="B13213" t="s">
        <v>83</v>
      </c>
      <c r="C13213">
        <v>421</v>
      </c>
      <c r="D13213" t="s">
        <v>79</v>
      </c>
      <c r="E13213">
        <v>0</v>
      </c>
      <c r="F13213" t="s">
        <v>74</v>
      </c>
      <c r="G13213">
        <v>1.8000000000000001E-4</v>
      </c>
      <c r="H13213" t="s">
        <v>75</v>
      </c>
      <c r="I13213">
        <v>0.17499999999999999</v>
      </c>
      <c r="J13213" t="s">
        <v>76</v>
      </c>
      <c r="K13213" t="s">
        <v>77</v>
      </c>
    </row>
    <row r="13214" spans="1:12" x14ac:dyDescent="0.3">
      <c r="A13214" t="s">
        <v>497</v>
      </c>
      <c r="B13214" t="s">
        <v>83</v>
      </c>
      <c r="C13214">
        <v>421</v>
      </c>
      <c r="D13214" t="s">
        <v>94</v>
      </c>
      <c r="E13214">
        <v>5.6550000000000003E-3</v>
      </c>
      <c r="F13214" t="s">
        <v>74</v>
      </c>
      <c r="G13214">
        <v>5.6547099999999997</v>
      </c>
      <c r="H13214" t="s">
        <v>75</v>
      </c>
      <c r="I13214">
        <v>5654.7089999999998</v>
      </c>
      <c r="J13214" t="s">
        <v>76</v>
      </c>
      <c r="K13214" t="s">
        <v>77</v>
      </c>
    </row>
    <row r="13215" spans="1:12" x14ac:dyDescent="0.3">
      <c r="A13215" t="s">
        <v>497</v>
      </c>
      <c r="B13215" t="s">
        <v>83</v>
      </c>
      <c r="C13215">
        <v>421</v>
      </c>
      <c r="D13215" t="s">
        <v>80</v>
      </c>
      <c r="E13215">
        <v>5.8199999999999997E-3</v>
      </c>
      <c r="F13215" t="s">
        <v>74</v>
      </c>
      <c r="G13215">
        <v>5.8200900000000004</v>
      </c>
      <c r="H13215" t="s">
        <v>75</v>
      </c>
      <c r="I13215">
        <v>5820.0870000000004</v>
      </c>
      <c r="J13215" t="s">
        <v>76</v>
      </c>
      <c r="K13215" t="s">
        <v>77</v>
      </c>
    </row>
    <row r="13216" spans="1:12" x14ac:dyDescent="0.3">
      <c r="A13216" t="s">
        <v>497</v>
      </c>
      <c r="B13216" t="s">
        <v>83</v>
      </c>
      <c r="C13216">
        <v>421</v>
      </c>
      <c r="D13216" t="s">
        <v>81</v>
      </c>
      <c r="E13216">
        <v>5.8199999999999997E-3</v>
      </c>
      <c r="F13216" t="s">
        <v>74</v>
      </c>
      <c r="G13216">
        <v>5.8204500000000001</v>
      </c>
      <c r="H13216" t="s">
        <v>75</v>
      </c>
      <c r="I13216">
        <v>5820.45</v>
      </c>
      <c r="J13216" t="s">
        <v>76</v>
      </c>
      <c r="K13216" t="s">
        <v>82</v>
      </c>
      <c r="L13216">
        <v>171.8080076</v>
      </c>
    </row>
    <row r="13217" spans="1:12" x14ac:dyDescent="0.3">
      <c r="A13217" t="s">
        <v>497</v>
      </c>
      <c r="B13217" t="s">
        <v>84</v>
      </c>
      <c r="C13217">
        <v>1</v>
      </c>
      <c r="D13217" t="s">
        <v>91</v>
      </c>
      <c r="E13217">
        <v>0.114858</v>
      </c>
      <c r="F13217" t="s">
        <v>74</v>
      </c>
      <c r="G13217">
        <v>114.8579</v>
      </c>
      <c r="H13217" t="s">
        <v>75</v>
      </c>
      <c r="I13217">
        <v>114857.897</v>
      </c>
      <c r="J13217" t="s">
        <v>76</v>
      </c>
      <c r="K13217" t="s">
        <v>77</v>
      </c>
    </row>
    <row r="13218" spans="1:12" x14ac:dyDescent="0.3">
      <c r="A13218" t="s">
        <v>497</v>
      </c>
      <c r="B13218" t="s">
        <v>84</v>
      </c>
      <c r="C13218">
        <v>1</v>
      </c>
      <c r="D13218" t="s">
        <v>92</v>
      </c>
      <c r="E13218">
        <v>6.8999999999999997E-4</v>
      </c>
      <c r="F13218" t="s">
        <v>74</v>
      </c>
      <c r="G13218">
        <v>0.69010000000000005</v>
      </c>
      <c r="H13218" t="s">
        <v>75</v>
      </c>
      <c r="I13218">
        <v>690.1</v>
      </c>
      <c r="J13218" t="s">
        <v>76</v>
      </c>
      <c r="K13218" t="s">
        <v>77</v>
      </c>
    </row>
    <row r="13219" spans="1:12" x14ac:dyDescent="0.3">
      <c r="A13219" t="s">
        <v>497</v>
      </c>
      <c r="B13219" t="s">
        <v>84</v>
      </c>
      <c r="C13219">
        <v>1</v>
      </c>
      <c r="D13219" t="s">
        <v>93</v>
      </c>
      <c r="E13219">
        <v>4.8899999999999996E-4</v>
      </c>
      <c r="F13219" t="s">
        <v>74</v>
      </c>
      <c r="G13219">
        <v>0.4894</v>
      </c>
      <c r="H13219" t="s">
        <v>75</v>
      </c>
      <c r="I13219">
        <v>489.4</v>
      </c>
      <c r="J13219" t="s">
        <v>76</v>
      </c>
      <c r="K13219" t="s">
        <v>77</v>
      </c>
    </row>
    <row r="13220" spans="1:12" x14ac:dyDescent="0.3">
      <c r="A13220" t="s">
        <v>497</v>
      </c>
      <c r="B13220" t="s">
        <v>84</v>
      </c>
      <c r="C13220">
        <v>422</v>
      </c>
      <c r="D13220" t="s">
        <v>79</v>
      </c>
      <c r="E13220">
        <v>2.7500000000000002E-4</v>
      </c>
      <c r="F13220" t="s">
        <v>74</v>
      </c>
      <c r="G13220">
        <v>0.27515000000000001</v>
      </c>
      <c r="H13220" t="s">
        <v>75</v>
      </c>
      <c r="I13220">
        <v>275.14800000000002</v>
      </c>
      <c r="J13220" t="s">
        <v>76</v>
      </c>
      <c r="K13220" t="s">
        <v>77</v>
      </c>
    </row>
    <row r="13221" spans="1:12" x14ac:dyDescent="0.3">
      <c r="A13221" t="s">
        <v>497</v>
      </c>
      <c r="B13221" t="s">
        <v>84</v>
      </c>
      <c r="C13221">
        <v>422</v>
      </c>
      <c r="D13221" t="s">
        <v>94</v>
      </c>
      <c r="E13221">
        <v>5.666E-3</v>
      </c>
      <c r="F13221" t="s">
        <v>74</v>
      </c>
      <c r="G13221">
        <v>5.6658999999999997</v>
      </c>
      <c r="H13221" t="s">
        <v>75</v>
      </c>
      <c r="I13221">
        <v>5665.8969999999999</v>
      </c>
      <c r="J13221" t="s">
        <v>76</v>
      </c>
      <c r="K13221" t="s">
        <v>77</v>
      </c>
    </row>
    <row r="13222" spans="1:12" x14ac:dyDescent="0.3">
      <c r="A13222" t="s">
        <v>497</v>
      </c>
      <c r="B13222" t="s">
        <v>84</v>
      </c>
      <c r="C13222">
        <v>422</v>
      </c>
      <c r="D13222" t="s">
        <v>80</v>
      </c>
      <c r="E13222">
        <v>5.8310000000000002E-3</v>
      </c>
      <c r="F13222" t="s">
        <v>74</v>
      </c>
      <c r="G13222">
        <v>5.8308799999999996</v>
      </c>
      <c r="H13222" t="s">
        <v>75</v>
      </c>
      <c r="I13222">
        <v>5830.884</v>
      </c>
      <c r="J13222" t="s">
        <v>76</v>
      </c>
      <c r="K13222" t="s">
        <v>77</v>
      </c>
    </row>
    <row r="13223" spans="1:12" x14ac:dyDescent="0.3">
      <c r="A13223" t="s">
        <v>497</v>
      </c>
      <c r="B13223" t="s">
        <v>84</v>
      </c>
      <c r="C13223">
        <v>422</v>
      </c>
      <c r="D13223" t="s">
        <v>81</v>
      </c>
      <c r="E13223">
        <v>6.1060000000000003E-3</v>
      </c>
      <c r="F13223" t="s">
        <v>74</v>
      </c>
      <c r="G13223">
        <v>6.1062200000000004</v>
      </c>
      <c r="H13223" t="s">
        <v>75</v>
      </c>
      <c r="I13223">
        <v>6106.22</v>
      </c>
      <c r="J13223" t="s">
        <v>76</v>
      </c>
      <c r="K13223" t="s">
        <v>82</v>
      </c>
      <c r="L13223">
        <v>163.76743310000001</v>
      </c>
    </row>
    <row r="13224" spans="1:12" x14ac:dyDescent="0.3">
      <c r="A13224" t="s">
        <v>498</v>
      </c>
      <c r="B13224" t="s">
        <v>72</v>
      </c>
      <c r="C13224">
        <v>1</v>
      </c>
      <c r="D13224" t="s">
        <v>73</v>
      </c>
      <c r="E13224">
        <v>6.4999999999999994E-5</v>
      </c>
      <c r="F13224" t="s">
        <v>74</v>
      </c>
      <c r="G13224">
        <v>6.54E-2</v>
      </c>
      <c r="H13224" t="s">
        <v>75</v>
      </c>
      <c r="I13224">
        <v>65.400000000000006</v>
      </c>
      <c r="J13224" t="s">
        <v>76</v>
      </c>
      <c r="K13224" t="s">
        <v>77</v>
      </c>
    </row>
    <row r="13225" spans="1:12" x14ac:dyDescent="0.3">
      <c r="A13225" t="s">
        <v>498</v>
      </c>
      <c r="B13225" t="s">
        <v>72</v>
      </c>
      <c r="C13225">
        <v>1</v>
      </c>
      <c r="D13225" t="s">
        <v>78</v>
      </c>
      <c r="E13225">
        <v>0.139959</v>
      </c>
      <c r="F13225" t="s">
        <v>74</v>
      </c>
      <c r="G13225">
        <v>139.95868999999999</v>
      </c>
      <c r="H13225" t="s">
        <v>75</v>
      </c>
      <c r="I13225">
        <v>139958.69500000001</v>
      </c>
      <c r="J13225" t="s">
        <v>76</v>
      </c>
      <c r="K13225" t="s">
        <v>77</v>
      </c>
    </row>
    <row r="13226" spans="1:12" x14ac:dyDescent="0.3">
      <c r="A13226" t="s">
        <v>498</v>
      </c>
      <c r="B13226" t="s">
        <v>72</v>
      </c>
      <c r="C13226">
        <v>2</v>
      </c>
      <c r="D13226" t="s">
        <v>86</v>
      </c>
      <c r="E13226">
        <v>0.21937699999999999</v>
      </c>
      <c r="F13226" t="s">
        <v>74</v>
      </c>
      <c r="G13226">
        <v>219.37715</v>
      </c>
      <c r="H13226" t="s">
        <v>75</v>
      </c>
      <c r="I13226">
        <v>219377.14499999999</v>
      </c>
      <c r="J13226" t="s">
        <v>76</v>
      </c>
      <c r="K13226" t="s">
        <v>82</v>
      </c>
      <c r="L13226">
        <v>4.5583600000000004</v>
      </c>
    </row>
    <row r="13227" spans="1:12" x14ac:dyDescent="0.3">
      <c r="A13227" t="s">
        <v>498</v>
      </c>
      <c r="B13227" t="s">
        <v>83</v>
      </c>
      <c r="C13227">
        <v>999</v>
      </c>
      <c r="D13227" t="s">
        <v>86</v>
      </c>
      <c r="E13227">
        <v>2.4650000000000002E-3</v>
      </c>
      <c r="F13227" t="s">
        <v>74</v>
      </c>
      <c r="G13227">
        <v>2.4646699999999999</v>
      </c>
      <c r="H13227" t="s">
        <v>75</v>
      </c>
      <c r="I13227">
        <v>2464.665</v>
      </c>
      <c r="J13227" t="s">
        <v>76</v>
      </c>
      <c r="K13227" t="s">
        <v>82</v>
      </c>
      <c r="L13227">
        <v>405.73460310000002</v>
      </c>
    </row>
    <row r="13228" spans="1:12" x14ac:dyDescent="0.3">
      <c r="A13228" t="s">
        <v>498</v>
      </c>
      <c r="B13228" t="s">
        <v>85</v>
      </c>
      <c r="C13228">
        <v>1001</v>
      </c>
      <c r="D13228" t="s">
        <v>86</v>
      </c>
      <c r="E13228">
        <v>2.5890000000000002E-3</v>
      </c>
      <c r="F13228" t="s">
        <v>74</v>
      </c>
      <c r="G13228">
        <v>2.5891000000000002</v>
      </c>
      <c r="H13228" t="s">
        <v>75</v>
      </c>
      <c r="I13228">
        <v>2589.1</v>
      </c>
      <c r="J13228" t="s">
        <v>76</v>
      </c>
      <c r="K13228" t="s">
        <v>82</v>
      </c>
      <c r="L13228">
        <v>386.23456190000002</v>
      </c>
    </row>
    <row r="13229" spans="1:12" x14ac:dyDescent="0.3">
      <c r="A13229" t="s">
        <v>115</v>
      </c>
    </row>
    <row r="13230" spans="1:12" x14ac:dyDescent="0.3">
      <c r="A13230" t="s">
        <v>127</v>
      </c>
    </row>
    <row r="13231" spans="1:12" x14ac:dyDescent="0.3">
      <c r="A13231" t="s">
        <v>87</v>
      </c>
    </row>
    <row r="13232" spans="1:12" x14ac:dyDescent="0.3">
      <c r="A13232" t="s">
        <v>532</v>
      </c>
    </row>
    <row r="13233" spans="1:12" x14ac:dyDescent="0.3">
      <c r="A13233" t="s">
        <v>496</v>
      </c>
      <c r="B13233" t="s">
        <v>72</v>
      </c>
      <c r="C13233">
        <v>1</v>
      </c>
      <c r="D13233" t="s">
        <v>81</v>
      </c>
      <c r="E13233">
        <v>0.43870999999999999</v>
      </c>
      <c r="F13233" t="s">
        <v>74</v>
      </c>
      <c r="G13233">
        <v>438.71030000000002</v>
      </c>
      <c r="H13233" t="s">
        <v>75</v>
      </c>
      <c r="I13233">
        <v>438710.30200000003</v>
      </c>
      <c r="J13233" t="s">
        <v>76</v>
      </c>
      <c r="K13233" t="s">
        <v>82</v>
      </c>
      <c r="L13233">
        <v>2.2794085000000002</v>
      </c>
    </row>
    <row r="13234" spans="1:12" x14ac:dyDescent="0.3">
      <c r="A13234" t="s">
        <v>496</v>
      </c>
      <c r="B13234" t="s">
        <v>83</v>
      </c>
      <c r="C13234">
        <v>578</v>
      </c>
      <c r="D13234" t="s">
        <v>81</v>
      </c>
      <c r="E13234">
        <v>3.6800000000000001E-3</v>
      </c>
      <c r="F13234" t="s">
        <v>74</v>
      </c>
      <c r="G13234">
        <v>3.6796500000000001</v>
      </c>
      <c r="H13234" t="s">
        <v>75</v>
      </c>
      <c r="I13234">
        <v>3679.654</v>
      </c>
      <c r="J13234" t="s">
        <v>76</v>
      </c>
      <c r="K13234" t="s">
        <v>82</v>
      </c>
      <c r="L13234">
        <v>271.76469959999997</v>
      </c>
    </row>
    <row r="13235" spans="1:12" x14ac:dyDescent="0.3">
      <c r="A13235" t="s">
        <v>496</v>
      </c>
      <c r="B13235" t="s">
        <v>84</v>
      </c>
      <c r="C13235">
        <v>579</v>
      </c>
      <c r="D13235" t="s">
        <v>81</v>
      </c>
      <c r="E13235">
        <v>4.431E-3</v>
      </c>
      <c r="F13235" t="s">
        <v>74</v>
      </c>
      <c r="G13235">
        <v>4.431</v>
      </c>
      <c r="H13235" t="s">
        <v>75</v>
      </c>
      <c r="I13235">
        <v>4431.0010000000002</v>
      </c>
      <c r="J13235" t="s">
        <v>76</v>
      </c>
      <c r="K13235" t="s">
        <v>82</v>
      </c>
      <c r="L13235">
        <v>225.68265729999999</v>
      </c>
    </row>
    <row r="13236" spans="1:12" x14ac:dyDescent="0.3">
      <c r="A13236" t="s">
        <v>497</v>
      </c>
      <c r="B13236" t="s">
        <v>72</v>
      </c>
      <c r="C13236">
        <v>1</v>
      </c>
      <c r="D13236" t="s">
        <v>81</v>
      </c>
      <c r="E13236">
        <v>0.126416</v>
      </c>
      <c r="F13236" t="s">
        <v>74</v>
      </c>
      <c r="G13236">
        <v>126.41551</v>
      </c>
      <c r="H13236" t="s">
        <v>75</v>
      </c>
      <c r="I13236">
        <v>126415.50599999999</v>
      </c>
      <c r="J13236" t="s">
        <v>76</v>
      </c>
      <c r="K13236" t="s">
        <v>82</v>
      </c>
      <c r="L13236">
        <v>7.9104219999999996</v>
      </c>
    </row>
    <row r="13237" spans="1:12" x14ac:dyDescent="0.3">
      <c r="A13237" t="s">
        <v>497</v>
      </c>
      <c r="B13237" t="s">
        <v>83</v>
      </c>
      <c r="C13237">
        <v>421</v>
      </c>
      <c r="D13237" t="s">
        <v>81</v>
      </c>
      <c r="E13237">
        <v>5.8199999999999997E-3</v>
      </c>
      <c r="F13237" t="s">
        <v>74</v>
      </c>
      <c r="G13237">
        <v>5.8204500000000001</v>
      </c>
      <c r="H13237" t="s">
        <v>75</v>
      </c>
      <c r="I13237">
        <v>5820.45</v>
      </c>
      <c r="J13237" t="s">
        <v>76</v>
      </c>
      <c r="K13237" t="s">
        <v>82</v>
      </c>
      <c r="L13237">
        <v>171.8080076</v>
      </c>
    </row>
    <row r="13238" spans="1:12" x14ac:dyDescent="0.3">
      <c r="A13238" t="s">
        <v>497</v>
      </c>
      <c r="B13238" t="s">
        <v>84</v>
      </c>
      <c r="C13238">
        <v>422</v>
      </c>
      <c r="D13238" t="s">
        <v>81</v>
      </c>
      <c r="E13238">
        <v>6.1060000000000003E-3</v>
      </c>
      <c r="F13238" t="s">
        <v>74</v>
      </c>
      <c r="G13238">
        <v>6.1062200000000004</v>
      </c>
      <c r="H13238" t="s">
        <v>75</v>
      </c>
      <c r="I13238">
        <v>6106.22</v>
      </c>
      <c r="J13238" t="s">
        <v>76</v>
      </c>
      <c r="K13238" t="s">
        <v>82</v>
      </c>
      <c r="L13238">
        <v>163.76743310000001</v>
      </c>
    </row>
    <row r="13239" spans="1:12" x14ac:dyDescent="0.3">
      <c r="A13239" t="s">
        <v>498</v>
      </c>
      <c r="B13239" t="s">
        <v>72</v>
      </c>
      <c r="C13239">
        <v>2</v>
      </c>
      <c r="D13239" t="s">
        <v>86</v>
      </c>
      <c r="E13239">
        <v>0.21937699999999999</v>
      </c>
      <c r="F13239" t="s">
        <v>74</v>
      </c>
      <c r="G13239">
        <v>219.37715</v>
      </c>
      <c r="H13239" t="s">
        <v>75</v>
      </c>
      <c r="I13239">
        <v>219377.14499999999</v>
      </c>
      <c r="J13239" t="s">
        <v>76</v>
      </c>
      <c r="K13239" t="s">
        <v>82</v>
      </c>
      <c r="L13239">
        <v>4.5583600000000004</v>
      </c>
    </row>
    <row r="13240" spans="1:12" x14ac:dyDescent="0.3">
      <c r="A13240" t="s">
        <v>498</v>
      </c>
      <c r="B13240" t="s">
        <v>83</v>
      </c>
      <c r="C13240">
        <v>999</v>
      </c>
      <c r="D13240" t="s">
        <v>86</v>
      </c>
      <c r="E13240">
        <v>2.4650000000000002E-3</v>
      </c>
      <c r="F13240" t="s">
        <v>74</v>
      </c>
      <c r="G13240">
        <v>2.4646699999999999</v>
      </c>
      <c r="H13240" t="s">
        <v>75</v>
      </c>
      <c r="I13240">
        <v>2464.665</v>
      </c>
      <c r="J13240" t="s">
        <v>76</v>
      </c>
      <c r="K13240" t="s">
        <v>82</v>
      </c>
      <c r="L13240">
        <v>405.73460310000002</v>
      </c>
    </row>
    <row r="13241" spans="1:12" x14ac:dyDescent="0.3">
      <c r="A13241" t="s">
        <v>498</v>
      </c>
      <c r="B13241" t="s">
        <v>85</v>
      </c>
      <c r="C13241">
        <v>1001</v>
      </c>
      <c r="D13241" t="s">
        <v>86</v>
      </c>
      <c r="E13241">
        <v>2.5890000000000002E-3</v>
      </c>
      <c r="F13241" t="s">
        <v>74</v>
      </c>
      <c r="G13241">
        <v>2.5891000000000002</v>
      </c>
      <c r="H13241" t="s">
        <v>75</v>
      </c>
      <c r="I13241">
        <v>2589.1</v>
      </c>
      <c r="J13241" t="s">
        <v>76</v>
      </c>
      <c r="K13241" t="s">
        <v>82</v>
      </c>
      <c r="L13241">
        <v>386.23456190000002</v>
      </c>
    </row>
    <row r="13243" spans="1:12" x14ac:dyDescent="0.3">
      <c r="A13243" t="s">
        <v>66</v>
      </c>
    </row>
    <row r="13245" spans="1:12" x14ac:dyDescent="0.3">
      <c r="A13245" t="s">
        <v>572</v>
      </c>
    </row>
    <row r="13246" spans="1:12" x14ac:dyDescent="0.3">
      <c r="A13246" t="s">
        <v>68</v>
      </c>
    </row>
    <row r="13247" spans="1:12" x14ac:dyDescent="0.3">
      <c r="A13247" t="s">
        <v>69</v>
      </c>
    </row>
    <row r="13248" spans="1:12" x14ac:dyDescent="0.3">
      <c r="A13248" t="s">
        <v>68</v>
      </c>
    </row>
    <row r="13249" spans="1:1" x14ac:dyDescent="0.3">
      <c r="A13249" t="s">
        <v>69</v>
      </c>
    </row>
    <row r="13250" spans="1:1" x14ac:dyDescent="0.3">
      <c r="A13250" t="s">
        <v>70</v>
      </c>
    </row>
    <row r="13251" spans="1:1" x14ac:dyDescent="0.3">
      <c r="A13251" t="s">
        <v>115</v>
      </c>
    </row>
    <row r="13252" spans="1:1" x14ac:dyDescent="0.3">
      <c r="A13252" t="s">
        <v>116</v>
      </c>
    </row>
    <row r="13253" spans="1:1" x14ac:dyDescent="0.3">
      <c r="A13253" t="s">
        <v>117</v>
      </c>
    </row>
    <row r="13254" spans="1:1" x14ac:dyDescent="0.3">
      <c r="A13254" t="s">
        <v>118</v>
      </c>
    </row>
    <row r="13255" spans="1:1" x14ac:dyDescent="0.3">
      <c r="A13255" t="s">
        <v>119</v>
      </c>
    </row>
    <row r="13256" spans="1:1" x14ac:dyDescent="0.3">
      <c r="A13256" t="s">
        <v>120</v>
      </c>
    </row>
    <row r="13257" spans="1:1" x14ac:dyDescent="0.3">
      <c r="A13257" t="s">
        <v>121</v>
      </c>
    </row>
    <row r="13258" spans="1:1" x14ac:dyDescent="0.3">
      <c r="A13258" t="s">
        <v>122</v>
      </c>
    </row>
    <row r="13259" spans="1:1" x14ac:dyDescent="0.3">
      <c r="A13259" t="s">
        <v>123</v>
      </c>
    </row>
    <row r="13260" spans="1:1" x14ac:dyDescent="0.3">
      <c r="A13260" t="s">
        <v>124</v>
      </c>
    </row>
    <row r="13261" spans="1:1" x14ac:dyDescent="0.3">
      <c r="A13261" t="s">
        <v>125</v>
      </c>
    </row>
    <row r="13262" spans="1:1" x14ac:dyDescent="0.3">
      <c r="A13262" t="s">
        <v>126</v>
      </c>
    </row>
    <row r="13263" spans="1:1" x14ac:dyDescent="0.3">
      <c r="A13263" t="s">
        <v>127</v>
      </c>
    </row>
    <row r="13264" spans="1:1" x14ac:dyDescent="0.3">
      <c r="A13264" t="s">
        <v>178</v>
      </c>
    </row>
    <row r="13265" spans="1:11" x14ac:dyDescent="0.3">
      <c r="A13265" t="s">
        <v>115</v>
      </c>
    </row>
    <row r="13266" spans="1:11" x14ac:dyDescent="0.3">
      <c r="A13266" t="s">
        <v>266</v>
      </c>
    </row>
    <row r="13267" spans="1:11" x14ac:dyDescent="0.3">
      <c r="A13267" t="s">
        <v>267</v>
      </c>
    </row>
    <row r="13268" spans="1:11" x14ac:dyDescent="0.3">
      <c r="A13268" t="s">
        <v>118</v>
      </c>
    </row>
    <row r="13269" spans="1:11" x14ac:dyDescent="0.3">
      <c r="A13269" t="s">
        <v>119</v>
      </c>
    </row>
    <row r="13270" spans="1:11" x14ac:dyDescent="0.3">
      <c r="A13270" t="s">
        <v>268</v>
      </c>
    </row>
    <row r="13271" spans="1:11" x14ac:dyDescent="0.3">
      <c r="A13271" t="s">
        <v>269</v>
      </c>
    </row>
    <row r="13272" spans="1:11" x14ac:dyDescent="0.3">
      <c r="A13272" t="s">
        <v>122</v>
      </c>
    </row>
    <row r="13273" spans="1:11" x14ac:dyDescent="0.3">
      <c r="A13273" t="s">
        <v>270</v>
      </c>
    </row>
    <row r="13274" spans="1:11" x14ac:dyDescent="0.3">
      <c r="A13274" t="s">
        <v>271</v>
      </c>
    </row>
    <row r="13275" spans="1:11" x14ac:dyDescent="0.3">
      <c r="A13275" t="s">
        <v>125</v>
      </c>
    </row>
    <row r="13276" spans="1:11" x14ac:dyDescent="0.3">
      <c r="A13276" t="s">
        <v>126</v>
      </c>
    </row>
    <row r="13277" spans="1:11" x14ac:dyDescent="0.3">
      <c r="A13277" t="s">
        <v>127</v>
      </c>
    </row>
    <row r="13278" spans="1:11" x14ac:dyDescent="0.3">
      <c r="A13278" t="s">
        <v>178</v>
      </c>
    </row>
    <row r="13279" spans="1:11" x14ac:dyDescent="0.3">
      <c r="A13279" t="s">
        <v>534</v>
      </c>
    </row>
    <row r="13280" spans="1:11" x14ac:dyDescent="0.3">
      <c r="A13280" t="s">
        <v>496</v>
      </c>
      <c r="B13280" t="s">
        <v>72</v>
      </c>
      <c r="C13280">
        <v>1</v>
      </c>
      <c r="D13280" t="s">
        <v>79</v>
      </c>
      <c r="E13280">
        <v>0.36506499999999997</v>
      </c>
      <c r="F13280" t="s">
        <v>74</v>
      </c>
      <c r="G13280">
        <v>365.06479999999999</v>
      </c>
      <c r="H13280" t="s">
        <v>75</v>
      </c>
      <c r="I13280">
        <v>365064.8</v>
      </c>
      <c r="J13280" t="s">
        <v>76</v>
      </c>
      <c r="K13280" t="s">
        <v>77</v>
      </c>
    </row>
    <row r="13281" spans="1:12" x14ac:dyDescent="0.3">
      <c r="A13281" t="s">
        <v>496</v>
      </c>
      <c r="B13281" t="s">
        <v>72</v>
      </c>
      <c r="C13281">
        <v>1</v>
      </c>
      <c r="D13281" t="s">
        <v>94</v>
      </c>
      <c r="E13281">
        <v>1.5413E-2</v>
      </c>
      <c r="F13281" t="s">
        <v>74</v>
      </c>
      <c r="G13281">
        <v>15.412699999999999</v>
      </c>
      <c r="H13281" t="s">
        <v>75</v>
      </c>
      <c r="I13281">
        <v>15412.7</v>
      </c>
      <c r="J13281" t="s">
        <v>76</v>
      </c>
      <c r="K13281" t="s">
        <v>77</v>
      </c>
    </row>
    <row r="13282" spans="1:12" x14ac:dyDescent="0.3">
      <c r="A13282" t="s">
        <v>496</v>
      </c>
      <c r="B13282" t="s">
        <v>72</v>
      </c>
      <c r="C13282">
        <v>1</v>
      </c>
      <c r="D13282" t="s">
        <v>80</v>
      </c>
      <c r="E13282">
        <v>1.5414000000000001E-2</v>
      </c>
      <c r="F13282" t="s">
        <v>74</v>
      </c>
      <c r="G13282">
        <v>15.413500000000001</v>
      </c>
      <c r="H13282" t="s">
        <v>75</v>
      </c>
      <c r="I13282">
        <v>15413.5</v>
      </c>
      <c r="J13282" t="s">
        <v>76</v>
      </c>
      <c r="K13282" t="s">
        <v>77</v>
      </c>
    </row>
    <row r="13283" spans="1:12" x14ac:dyDescent="0.3">
      <c r="A13283" t="s">
        <v>496</v>
      </c>
      <c r="B13283" t="s">
        <v>72</v>
      </c>
      <c r="C13283">
        <v>1</v>
      </c>
      <c r="D13283" t="s">
        <v>81</v>
      </c>
      <c r="E13283">
        <v>0.38047900000000001</v>
      </c>
      <c r="F13283" t="s">
        <v>74</v>
      </c>
      <c r="G13283">
        <v>380.47870999999998</v>
      </c>
      <c r="H13283" t="s">
        <v>75</v>
      </c>
      <c r="I13283">
        <v>380478.71</v>
      </c>
      <c r="J13283" t="s">
        <v>76</v>
      </c>
      <c r="K13283" t="s">
        <v>82</v>
      </c>
      <c r="L13283">
        <v>2.6282679999999998</v>
      </c>
    </row>
    <row r="13284" spans="1:12" x14ac:dyDescent="0.3">
      <c r="A13284" t="s">
        <v>496</v>
      </c>
      <c r="B13284" t="s">
        <v>83</v>
      </c>
      <c r="C13284">
        <v>491</v>
      </c>
      <c r="D13284" t="s">
        <v>79</v>
      </c>
      <c r="E13284">
        <v>0</v>
      </c>
      <c r="F13284" t="s">
        <v>74</v>
      </c>
      <c r="G13284">
        <v>1.7000000000000001E-4</v>
      </c>
      <c r="H13284" t="s">
        <v>75</v>
      </c>
      <c r="I13284">
        <v>0.16900000000000001</v>
      </c>
      <c r="J13284" t="s">
        <v>76</v>
      </c>
      <c r="K13284" t="s">
        <v>77</v>
      </c>
    </row>
    <row r="13285" spans="1:12" x14ac:dyDescent="0.3">
      <c r="A13285" t="s">
        <v>496</v>
      </c>
      <c r="B13285" t="s">
        <v>83</v>
      </c>
      <c r="C13285">
        <v>491</v>
      </c>
      <c r="D13285" t="s">
        <v>94</v>
      </c>
      <c r="E13285">
        <v>4.3049999999999998E-3</v>
      </c>
      <c r="F13285" t="s">
        <v>74</v>
      </c>
      <c r="G13285">
        <v>4.30457</v>
      </c>
      <c r="H13285" t="s">
        <v>75</v>
      </c>
      <c r="I13285">
        <v>4304.5739999999996</v>
      </c>
      <c r="J13285" t="s">
        <v>76</v>
      </c>
      <c r="K13285" t="s">
        <v>77</v>
      </c>
    </row>
    <row r="13286" spans="1:12" x14ac:dyDescent="0.3">
      <c r="A13286" t="s">
        <v>496</v>
      </c>
      <c r="B13286" t="s">
        <v>83</v>
      </c>
      <c r="C13286">
        <v>491</v>
      </c>
      <c r="D13286" t="s">
        <v>80</v>
      </c>
      <c r="E13286">
        <v>4.4669999999999996E-3</v>
      </c>
      <c r="F13286" t="s">
        <v>74</v>
      </c>
      <c r="G13286">
        <v>4.4671000000000003</v>
      </c>
      <c r="H13286" t="s">
        <v>75</v>
      </c>
      <c r="I13286">
        <v>4467.0990000000002</v>
      </c>
      <c r="J13286" t="s">
        <v>76</v>
      </c>
      <c r="K13286" t="s">
        <v>77</v>
      </c>
    </row>
    <row r="13287" spans="1:12" x14ac:dyDescent="0.3">
      <c r="A13287" t="s">
        <v>496</v>
      </c>
      <c r="B13287" t="s">
        <v>83</v>
      </c>
      <c r="C13287">
        <v>491</v>
      </c>
      <c r="D13287" t="s">
        <v>81</v>
      </c>
      <c r="E13287">
        <v>4.4669999999999996E-3</v>
      </c>
      <c r="F13287" t="s">
        <v>74</v>
      </c>
      <c r="G13287">
        <v>4.4674500000000004</v>
      </c>
      <c r="H13287" t="s">
        <v>75</v>
      </c>
      <c r="I13287">
        <v>4467.4470000000001</v>
      </c>
      <c r="J13287" t="s">
        <v>76</v>
      </c>
      <c r="K13287" t="s">
        <v>82</v>
      </c>
      <c r="L13287">
        <v>223.8415143</v>
      </c>
    </row>
    <row r="13288" spans="1:12" x14ac:dyDescent="0.3">
      <c r="A13288" t="s">
        <v>496</v>
      </c>
      <c r="B13288" t="s">
        <v>84</v>
      </c>
      <c r="C13288">
        <v>492</v>
      </c>
      <c r="D13288" t="s">
        <v>79</v>
      </c>
      <c r="E13288">
        <v>7.4200000000000004E-4</v>
      </c>
      <c r="F13288" t="s">
        <v>74</v>
      </c>
      <c r="G13288">
        <v>0.74217</v>
      </c>
      <c r="H13288" t="s">
        <v>75</v>
      </c>
      <c r="I13288">
        <v>742.17</v>
      </c>
      <c r="J13288" t="s">
        <v>76</v>
      </c>
      <c r="K13288" t="s">
        <v>77</v>
      </c>
    </row>
    <row r="13289" spans="1:12" x14ac:dyDescent="0.3">
      <c r="A13289" t="s">
        <v>496</v>
      </c>
      <c r="B13289" t="s">
        <v>84</v>
      </c>
      <c r="C13289">
        <v>492</v>
      </c>
      <c r="D13289" t="s">
        <v>94</v>
      </c>
      <c r="E13289">
        <v>4.3270000000000001E-3</v>
      </c>
      <c r="F13289" t="s">
        <v>74</v>
      </c>
      <c r="G13289">
        <v>4.3271499999999996</v>
      </c>
      <c r="H13289" t="s">
        <v>75</v>
      </c>
      <c r="I13289">
        <v>4327.152</v>
      </c>
      <c r="J13289" t="s">
        <v>76</v>
      </c>
      <c r="K13289" t="s">
        <v>77</v>
      </c>
    </row>
    <row r="13290" spans="1:12" x14ac:dyDescent="0.3">
      <c r="A13290" t="s">
        <v>496</v>
      </c>
      <c r="B13290" t="s">
        <v>84</v>
      </c>
      <c r="C13290">
        <v>492</v>
      </c>
      <c r="D13290" t="s">
        <v>80</v>
      </c>
      <c r="E13290">
        <v>4.4889999999999999E-3</v>
      </c>
      <c r="F13290" t="s">
        <v>74</v>
      </c>
      <c r="G13290">
        <v>4.48935</v>
      </c>
      <c r="H13290" t="s">
        <v>75</v>
      </c>
      <c r="I13290">
        <v>4489.348</v>
      </c>
      <c r="J13290" t="s">
        <v>76</v>
      </c>
      <c r="K13290" t="s">
        <v>77</v>
      </c>
    </row>
    <row r="13291" spans="1:12" x14ac:dyDescent="0.3">
      <c r="A13291" t="s">
        <v>496</v>
      </c>
      <c r="B13291" t="s">
        <v>84</v>
      </c>
      <c r="C13291">
        <v>492</v>
      </c>
      <c r="D13291" t="s">
        <v>81</v>
      </c>
      <c r="E13291">
        <v>5.2319999999999997E-3</v>
      </c>
      <c r="F13291" t="s">
        <v>74</v>
      </c>
      <c r="G13291">
        <v>5.2317</v>
      </c>
      <c r="H13291" t="s">
        <v>75</v>
      </c>
      <c r="I13291">
        <v>5231.7</v>
      </c>
      <c r="J13291" t="s">
        <v>76</v>
      </c>
      <c r="K13291" t="s">
        <v>82</v>
      </c>
      <c r="L13291">
        <v>191.14244780000001</v>
      </c>
    </row>
    <row r="13292" spans="1:12" x14ac:dyDescent="0.3">
      <c r="A13292" t="s">
        <v>497</v>
      </c>
      <c r="B13292" t="s">
        <v>72</v>
      </c>
      <c r="C13292">
        <v>1</v>
      </c>
      <c r="D13292" t="s">
        <v>79</v>
      </c>
      <c r="E13292">
        <v>0.114926</v>
      </c>
      <c r="F13292" t="s">
        <v>74</v>
      </c>
      <c r="G13292">
        <v>114.92570000000001</v>
      </c>
      <c r="H13292" t="s">
        <v>75</v>
      </c>
      <c r="I13292">
        <v>114925.697</v>
      </c>
      <c r="J13292" t="s">
        <v>76</v>
      </c>
      <c r="K13292" t="s">
        <v>77</v>
      </c>
    </row>
    <row r="13293" spans="1:12" x14ac:dyDescent="0.3">
      <c r="A13293" t="s">
        <v>497</v>
      </c>
      <c r="B13293" t="s">
        <v>72</v>
      </c>
      <c r="C13293">
        <v>1</v>
      </c>
      <c r="D13293" t="s">
        <v>94</v>
      </c>
      <c r="E13293">
        <v>9.7040000000000008E-3</v>
      </c>
      <c r="F13293" t="s">
        <v>74</v>
      </c>
      <c r="G13293">
        <v>9.7042000000000002</v>
      </c>
      <c r="H13293" t="s">
        <v>75</v>
      </c>
      <c r="I13293">
        <v>9704.2000000000007</v>
      </c>
      <c r="J13293" t="s">
        <v>76</v>
      </c>
      <c r="K13293" t="s">
        <v>77</v>
      </c>
    </row>
    <row r="13294" spans="1:12" x14ac:dyDescent="0.3">
      <c r="A13294" t="s">
        <v>497</v>
      </c>
      <c r="B13294" t="s">
        <v>72</v>
      </c>
      <c r="C13294">
        <v>1</v>
      </c>
      <c r="D13294" t="s">
        <v>80</v>
      </c>
      <c r="E13294">
        <v>9.7050000000000001E-3</v>
      </c>
      <c r="F13294" t="s">
        <v>74</v>
      </c>
      <c r="G13294">
        <v>9.7051999999999996</v>
      </c>
      <c r="H13294" t="s">
        <v>75</v>
      </c>
      <c r="I13294">
        <v>9705.2000000000007</v>
      </c>
      <c r="J13294" t="s">
        <v>76</v>
      </c>
      <c r="K13294" t="s">
        <v>77</v>
      </c>
    </row>
    <row r="13295" spans="1:12" x14ac:dyDescent="0.3">
      <c r="A13295" t="s">
        <v>497</v>
      </c>
      <c r="B13295" t="s">
        <v>72</v>
      </c>
      <c r="C13295">
        <v>1</v>
      </c>
      <c r="D13295" t="s">
        <v>81</v>
      </c>
      <c r="E13295">
        <v>0.12463100000000001</v>
      </c>
      <c r="F13295" t="s">
        <v>74</v>
      </c>
      <c r="G13295">
        <v>124.6313</v>
      </c>
      <c r="H13295" t="s">
        <v>75</v>
      </c>
      <c r="I13295">
        <v>124631.30100000001</v>
      </c>
      <c r="J13295" t="s">
        <v>76</v>
      </c>
      <c r="K13295" t="s">
        <v>82</v>
      </c>
      <c r="L13295">
        <v>8.0236666000000003</v>
      </c>
    </row>
    <row r="13296" spans="1:12" x14ac:dyDescent="0.3">
      <c r="A13296" t="s">
        <v>497</v>
      </c>
      <c r="B13296" t="s">
        <v>83</v>
      </c>
      <c r="C13296">
        <v>508</v>
      </c>
      <c r="D13296" t="s">
        <v>79</v>
      </c>
      <c r="E13296">
        <v>0</v>
      </c>
      <c r="F13296" t="s">
        <v>74</v>
      </c>
      <c r="G13296">
        <v>1.9000000000000001E-4</v>
      </c>
      <c r="H13296" t="s">
        <v>75</v>
      </c>
      <c r="I13296">
        <v>0.192</v>
      </c>
      <c r="J13296" t="s">
        <v>76</v>
      </c>
      <c r="K13296" t="s">
        <v>77</v>
      </c>
    </row>
    <row r="13297" spans="1:12" x14ac:dyDescent="0.3">
      <c r="A13297" t="s">
        <v>497</v>
      </c>
      <c r="B13297" t="s">
        <v>83</v>
      </c>
      <c r="C13297">
        <v>508</v>
      </c>
      <c r="D13297" t="s">
        <v>94</v>
      </c>
      <c r="E13297">
        <v>4.6569999999999997E-3</v>
      </c>
      <c r="F13297" t="s">
        <v>74</v>
      </c>
      <c r="G13297">
        <v>4.6568500000000004</v>
      </c>
      <c r="H13297" t="s">
        <v>75</v>
      </c>
      <c r="I13297">
        <v>4656.8540000000003</v>
      </c>
      <c r="J13297" t="s">
        <v>76</v>
      </c>
      <c r="K13297" t="s">
        <v>77</v>
      </c>
    </row>
    <row r="13298" spans="1:12" x14ac:dyDescent="0.3">
      <c r="A13298" t="s">
        <v>497</v>
      </c>
      <c r="B13298" t="s">
        <v>83</v>
      </c>
      <c r="C13298">
        <v>508</v>
      </c>
      <c r="D13298" t="s">
        <v>80</v>
      </c>
      <c r="E13298">
        <v>4.8300000000000001E-3</v>
      </c>
      <c r="F13298" t="s">
        <v>74</v>
      </c>
      <c r="G13298">
        <v>4.8295399999999997</v>
      </c>
      <c r="H13298" t="s">
        <v>75</v>
      </c>
      <c r="I13298">
        <v>4829.5429999999997</v>
      </c>
      <c r="J13298" t="s">
        <v>76</v>
      </c>
      <c r="K13298" t="s">
        <v>77</v>
      </c>
    </row>
    <row r="13299" spans="1:12" x14ac:dyDescent="0.3">
      <c r="A13299" t="s">
        <v>497</v>
      </c>
      <c r="B13299" t="s">
        <v>83</v>
      </c>
      <c r="C13299">
        <v>508</v>
      </c>
      <c r="D13299" t="s">
        <v>81</v>
      </c>
      <c r="E13299">
        <v>4.8300000000000001E-3</v>
      </c>
      <c r="F13299" t="s">
        <v>74</v>
      </c>
      <c r="G13299">
        <v>4.8299099999999999</v>
      </c>
      <c r="H13299" t="s">
        <v>75</v>
      </c>
      <c r="I13299">
        <v>4829.91</v>
      </c>
      <c r="J13299" t="s">
        <v>76</v>
      </c>
      <c r="K13299" t="s">
        <v>82</v>
      </c>
      <c r="L13299">
        <v>207.04318140000001</v>
      </c>
    </row>
    <row r="13300" spans="1:12" x14ac:dyDescent="0.3">
      <c r="A13300" t="s">
        <v>497</v>
      </c>
      <c r="B13300" t="s">
        <v>84</v>
      </c>
      <c r="C13300">
        <v>509</v>
      </c>
      <c r="D13300" t="s">
        <v>79</v>
      </c>
      <c r="E13300">
        <v>2.2599999999999999E-4</v>
      </c>
      <c r="F13300" t="s">
        <v>74</v>
      </c>
      <c r="G13300">
        <v>0.22597999999999999</v>
      </c>
      <c r="H13300" t="s">
        <v>75</v>
      </c>
      <c r="I13300">
        <v>225.97800000000001</v>
      </c>
      <c r="J13300" t="s">
        <v>76</v>
      </c>
      <c r="K13300" t="s">
        <v>77</v>
      </c>
    </row>
    <row r="13301" spans="1:12" x14ac:dyDescent="0.3">
      <c r="A13301" t="s">
        <v>497</v>
      </c>
      <c r="B13301" t="s">
        <v>84</v>
      </c>
      <c r="C13301">
        <v>509</v>
      </c>
      <c r="D13301" t="s">
        <v>94</v>
      </c>
      <c r="E13301">
        <v>4.6670000000000001E-3</v>
      </c>
      <c r="F13301" t="s">
        <v>74</v>
      </c>
      <c r="G13301">
        <v>4.6667699999999996</v>
      </c>
      <c r="H13301" t="s">
        <v>75</v>
      </c>
      <c r="I13301">
        <v>4666.7709999999997</v>
      </c>
      <c r="J13301" t="s">
        <v>76</v>
      </c>
      <c r="K13301" t="s">
        <v>77</v>
      </c>
    </row>
    <row r="13302" spans="1:12" x14ac:dyDescent="0.3">
      <c r="A13302" t="s">
        <v>497</v>
      </c>
      <c r="B13302" t="s">
        <v>84</v>
      </c>
      <c r="C13302">
        <v>509</v>
      </c>
      <c r="D13302" t="s">
        <v>80</v>
      </c>
      <c r="E13302">
        <v>4.8390000000000004E-3</v>
      </c>
      <c r="F13302" t="s">
        <v>74</v>
      </c>
      <c r="G13302">
        <v>4.8391200000000003</v>
      </c>
      <c r="H13302" t="s">
        <v>75</v>
      </c>
      <c r="I13302">
        <v>4839.1220000000003</v>
      </c>
      <c r="J13302" t="s">
        <v>76</v>
      </c>
      <c r="K13302" t="s">
        <v>77</v>
      </c>
    </row>
    <row r="13303" spans="1:12" x14ac:dyDescent="0.3">
      <c r="A13303" t="s">
        <v>497</v>
      </c>
      <c r="B13303" t="s">
        <v>84</v>
      </c>
      <c r="C13303">
        <v>509</v>
      </c>
      <c r="D13303" t="s">
        <v>81</v>
      </c>
      <c r="E13303">
        <v>5.0650000000000001E-3</v>
      </c>
      <c r="F13303" t="s">
        <v>74</v>
      </c>
      <c r="G13303">
        <v>5.0652799999999996</v>
      </c>
      <c r="H13303" t="s">
        <v>75</v>
      </c>
      <c r="I13303">
        <v>5065.2759999999998</v>
      </c>
      <c r="J13303" t="s">
        <v>76</v>
      </c>
      <c r="K13303" t="s">
        <v>82</v>
      </c>
      <c r="L13303">
        <v>197.42259849999999</v>
      </c>
    </row>
    <row r="13304" spans="1:12" x14ac:dyDescent="0.3">
      <c r="A13304" t="s">
        <v>498</v>
      </c>
      <c r="B13304" t="s">
        <v>72</v>
      </c>
      <c r="C13304">
        <v>1</v>
      </c>
      <c r="D13304" t="s">
        <v>73</v>
      </c>
      <c r="E13304">
        <v>9.2999999999999997E-5</v>
      </c>
      <c r="F13304" t="s">
        <v>74</v>
      </c>
      <c r="G13304">
        <v>9.2700000000000005E-2</v>
      </c>
      <c r="H13304" t="s">
        <v>75</v>
      </c>
      <c r="I13304">
        <v>92.7</v>
      </c>
      <c r="J13304" t="s">
        <v>76</v>
      </c>
      <c r="K13304" t="s">
        <v>77</v>
      </c>
    </row>
    <row r="13305" spans="1:12" x14ac:dyDescent="0.3">
      <c r="A13305" t="s">
        <v>498</v>
      </c>
      <c r="B13305" t="s">
        <v>72</v>
      </c>
      <c r="C13305">
        <v>1</v>
      </c>
      <c r="D13305" t="s">
        <v>78</v>
      </c>
      <c r="E13305">
        <v>0.139708</v>
      </c>
      <c r="F13305" t="s">
        <v>74</v>
      </c>
      <c r="G13305">
        <v>139.708</v>
      </c>
      <c r="H13305" t="s">
        <v>75</v>
      </c>
      <c r="I13305">
        <v>139707.997</v>
      </c>
      <c r="J13305" t="s">
        <v>76</v>
      </c>
      <c r="K13305" t="s">
        <v>77</v>
      </c>
    </row>
    <row r="13306" spans="1:12" x14ac:dyDescent="0.3">
      <c r="A13306" t="s">
        <v>498</v>
      </c>
      <c r="B13306" t="s">
        <v>72</v>
      </c>
      <c r="C13306">
        <v>2</v>
      </c>
      <c r="D13306" t="s">
        <v>86</v>
      </c>
      <c r="E13306">
        <v>0.19026000000000001</v>
      </c>
      <c r="F13306" t="s">
        <v>74</v>
      </c>
      <c r="G13306">
        <v>190.25995</v>
      </c>
      <c r="H13306" t="s">
        <v>75</v>
      </c>
      <c r="I13306">
        <v>190259.948</v>
      </c>
      <c r="J13306" t="s">
        <v>76</v>
      </c>
      <c r="K13306" t="s">
        <v>82</v>
      </c>
      <c r="L13306">
        <v>5.2559668999999998</v>
      </c>
    </row>
    <row r="13307" spans="1:12" x14ac:dyDescent="0.3">
      <c r="A13307" t="s">
        <v>498</v>
      </c>
      <c r="B13307" t="s">
        <v>83</v>
      </c>
      <c r="C13307">
        <v>999</v>
      </c>
      <c r="D13307" t="s">
        <v>86</v>
      </c>
      <c r="E13307">
        <v>2.4689999999999998E-3</v>
      </c>
      <c r="F13307" t="s">
        <v>74</v>
      </c>
      <c r="G13307">
        <v>2.4685600000000001</v>
      </c>
      <c r="H13307" t="s">
        <v>75</v>
      </c>
      <c r="I13307">
        <v>2468.556</v>
      </c>
      <c r="J13307" t="s">
        <v>76</v>
      </c>
      <c r="K13307" t="s">
        <v>82</v>
      </c>
      <c r="L13307">
        <v>405.09518050000003</v>
      </c>
    </row>
    <row r="13308" spans="1:12" x14ac:dyDescent="0.3">
      <c r="A13308" t="s">
        <v>498</v>
      </c>
      <c r="B13308" t="s">
        <v>85</v>
      </c>
      <c r="C13308">
        <v>1001</v>
      </c>
      <c r="D13308" t="s">
        <v>86</v>
      </c>
      <c r="E13308">
        <v>2.591E-3</v>
      </c>
      <c r="F13308" t="s">
        <v>74</v>
      </c>
      <c r="G13308">
        <v>2.5913499999999998</v>
      </c>
      <c r="H13308" t="s">
        <v>75</v>
      </c>
      <c r="I13308">
        <v>2591.35</v>
      </c>
      <c r="J13308" t="s">
        <v>76</v>
      </c>
      <c r="K13308" t="s">
        <v>82</v>
      </c>
      <c r="L13308">
        <v>385.89926229999998</v>
      </c>
    </row>
    <row r="13309" spans="1:12" x14ac:dyDescent="0.3">
      <c r="A13309" t="s">
        <v>180</v>
      </c>
    </row>
    <row r="13310" spans="1:12" x14ac:dyDescent="0.3">
      <c r="A13310" t="s">
        <v>180</v>
      </c>
    </row>
    <row r="13311" spans="1:12" x14ac:dyDescent="0.3">
      <c r="A13311" t="s">
        <v>535</v>
      </c>
    </row>
    <row r="13312" spans="1:12" x14ac:dyDescent="0.3">
      <c r="A13312" t="s">
        <v>496</v>
      </c>
      <c r="B13312" t="s">
        <v>72</v>
      </c>
      <c r="C13312">
        <v>1</v>
      </c>
      <c r="D13312" t="s">
        <v>79</v>
      </c>
      <c r="E13312">
        <v>5.4650000000000002E-3</v>
      </c>
      <c r="F13312" t="s">
        <v>74</v>
      </c>
      <c r="G13312">
        <v>5.4645999999999999</v>
      </c>
      <c r="H13312" t="s">
        <v>75</v>
      </c>
      <c r="I13312">
        <v>5464.6</v>
      </c>
      <c r="J13312" t="s">
        <v>76</v>
      </c>
      <c r="K13312" t="s">
        <v>77</v>
      </c>
    </row>
    <row r="13313" spans="1:12" x14ac:dyDescent="0.3">
      <c r="A13313" t="s">
        <v>496</v>
      </c>
      <c r="B13313" t="s">
        <v>72</v>
      </c>
      <c r="C13313">
        <v>1</v>
      </c>
      <c r="D13313" t="s">
        <v>94</v>
      </c>
      <c r="E13313">
        <v>2.2096999999999999E-2</v>
      </c>
      <c r="F13313" t="s">
        <v>74</v>
      </c>
      <c r="G13313">
        <v>22.0974</v>
      </c>
      <c r="H13313" t="s">
        <v>75</v>
      </c>
      <c r="I13313">
        <v>22097.399000000001</v>
      </c>
      <c r="J13313" t="s">
        <v>76</v>
      </c>
      <c r="K13313" t="s">
        <v>77</v>
      </c>
    </row>
    <row r="13314" spans="1:12" x14ac:dyDescent="0.3">
      <c r="A13314" t="s">
        <v>496</v>
      </c>
      <c r="B13314" t="s">
        <v>72</v>
      </c>
      <c r="C13314">
        <v>1</v>
      </c>
      <c r="D13314" t="s">
        <v>80</v>
      </c>
      <c r="E13314">
        <v>2.2266000000000001E-2</v>
      </c>
      <c r="F13314" t="s">
        <v>74</v>
      </c>
      <c r="G13314">
        <v>22.266400000000001</v>
      </c>
      <c r="H13314" t="s">
        <v>75</v>
      </c>
      <c r="I13314">
        <v>22266.399000000001</v>
      </c>
      <c r="J13314" t="s">
        <v>76</v>
      </c>
      <c r="K13314" t="s">
        <v>77</v>
      </c>
    </row>
    <row r="13315" spans="1:12" x14ac:dyDescent="0.3">
      <c r="A13315" t="s">
        <v>496</v>
      </c>
      <c r="B13315" t="s">
        <v>72</v>
      </c>
      <c r="C13315">
        <v>1</v>
      </c>
      <c r="D13315" t="s">
        <v>81</v>
      </c>
      <c r="E13315">
        <v>2.7732E-2</v>
      </c>
      <c r="F13315" t="s">
        <v>74</v>
      </c>
      <c r="G13315">
        <v>27.7317</v>
      </c>
      <c r="H13315" t="s">
        <v>75</v>
      </c>
      <c r="I13315">
        <v>27731.7</v>
      </c>
      <c r="J13315" t="s">
        <v>76</v>
      </c>
      <c r="K13315" t="s">
        <v>82</v>
      </c>
      <c r="L13315">
        <v>36.0598162</v>
      </c>
    </row>
    <row r="13316" spans="1:12" x14ac:dyDescent="0.3">
      <c r="A13316" t="s">
        <v>496</v>
      </c>
      <c r="B13316" t="s">
        <v>83</v>
      </c>
      <c r="C13316">
        <v>291</v>
      </c>
      <c r="D13316" t="s">
        <v>79</v>
      </c>
      <c r="E13316">
        <v>0</v>
      </c>
      <c r="F13316" t="s">
        <v>74</v>
      </c>
      <c r="G13316">
        <v>1.9000000000000001E-4</v>
      </c>
      <c r="H13316" t="s">
        <v>75</v>
      </c>
      <c r="I13316">
        <v>0.189</v>
      </c>
      <c r="J13316" t="s">
        <v>76</v>
      </c>
      <c r="K13316" t="s">
        <v>77</v>
      </c>
    </row>
    <row r="13317" spans="1:12" x14ac:dyDescent="0.3">
      <c r="A13317" t="s">
        <v>496</v>
      </c>
      <c r="B13317" t="s">
        <v>83</v>
      </c>
      <c r="C13317">
        <v>291</v>
      </c>
      <c r="D13317" t="s">
        <v>94</v>
      </c>
      <c r="E13317">
        <v>8.1770000000000002E-3</v>
      </c>
      <c r="F13317" t="s">
        <v>74</v>
      </c>
      <c r="G13317">
        <v>8.1770800000000001</v>
      </c>
      <c r="H13317" t="s">
        <v>75</v>
      </c>
      <c r="I13317">
        <v>8177.085</v>
      </c>
      <c r="J13317" t="s">
        <v>76</v>
      </c>
      <c r="K13317" t="s">
        <v>77</v>
      </c>
    </row>
    <row r="13318" spans="1:12" x14ac:dyDescent="0.3">
      <c r="A13318" t="s">
        <v>496</v>
      </c>
      <c r="B13318" t="s">
        <v>83</v>
      </c>
      <c r="C13318">
        <v>291</v>
      </c>
      <c r="D13318" t="s">
        <v>80</v>
      </c>
      <c r="E13318">
        <v>8.3330000000000001E-3</v>
      </c>
      <c r="F13318" t="s">
        <v>74</v>
      </c>
      <c r="G13318">
        <v>8.3331099999999996</v>
      </c>
      <c r="H13318" t="s">
        <v>75</v>
      </c>
      <c r="I13318">
        <v>8333.107</v>
      </c>
      <c r="J13318" t="s">
        <v>76</v>
      </c>
      <c r="K13318" t="s">
        <v>77</v>
      </c>
    </row>
    <row r="13319" spans="1:12" x14ac:dyDescent="0.3">
      <c r="A13319" t="s">
        <v>496</v>
      </c>
      <c r="B13319" t="s">
        <v>83</v>
      </c>
      <c r="C13319">
        <v>291</v>
      </c>
      <c r="D13319" t="s">
        <v>81</v>
      </c>
      <c r="E13319">
        <v>8.3330000000000001E-3</v>
      </c>
      <c r="F13319" t="s">
        <v>74</v>
      </c>
      <c r="G13319">
        <v>8.3334899999999994</v>
      </c>
      <c r="H13319" t="s">
        <v>75</v>
      </c>
      <c r="I13319">
        <v>8333.4889999999996</v>
      </c>
      <c r="J13319" t="s">
        <v>76</v>
      </c>
      <c r="K13319" t="s">
        <v>82</v>
      </c>
      <c r="L13319">
        <v>119.99776079999999</v>
      </c>
    </row>
    <row r="13320" spans="1:12" x14ac:dyDescent="0.3">
      <c r="A13320" t="s">
        <v>496</v>
      </c>
      <c r="B13320" t="s">
        <v>84</v>
      </c>
      <c r="C13320">
        <v>292</v>
      </c>
      <c r="D13320" t="s">
        <v>79</v>
      </c>
      <c r="E13320">
        <v>1.9000000000000001E-5</v>
      </c>
      <c r="F13320" t="s">
        <v>74</v>
      </c>
      <c r="G13320">
        <v>1.89E-2</v>
      </c>
      <c r="H13320" t="s">
        <v>75</v>
      </c>
      <c r="I13320">
        <v>18.902000000000001</v>
      </c>
      <c r="J13320" t="s">
        <v>76</v>
      </c>
      <c r="K13320" t="s">
        <v>77</v>
      </c>
    </row>
    <row r="13321" spans="1:12" x14ac:dyDescent="0.3">
      <c r="A13321" t="s">
        <v>496</v>
      </c>
      <c r="B13321" t="s">
        <v>84</v>
      </c>
      <c r="C13321">
        <v>292</v>
      </c>
      <c r="D13321" t="s">
        <v>94</v>
      </c>
      <c r="E13321">
        <v>8.2249999999999997E-3</v>
      </c>
      <c r="F13321" t="s">
        <v>74</v>
      </c>
      <c r="G13321">
        <v>8.2247599999999998</v>
      </c>
      <c r="H13321" t="s">
        <v>75</v>
      </c>
      <c r="I13321">
        <v>8224.7579999999998</v>
      </c>
      <c r="J13321" t="s">
        <v>76</v>
      </c>
      <c r="K13321" t="s">
        <v>77</v>
      </c>
    </row>
    <row r="13322" spans="1:12" x14ac:dyDescent="0.3">
      <c r="A13322" t="s">
        <v>496</v>
      </c>
      <c r="B13322" t="s">
        <v>84</v>
      </c>
      <c r="C13322">
        <v>292</v>
      </c>
      <c r="D13322" t="s">
        <v>80</v>
      </c>
      <c r="E13322">
        <v>8.3809999999999996E-3</v>
      </c>
      <c r="F13322" t="s">
        <v>74</v>
      </c>
      <c r="G13322">
        <v>8.3808199999999999</v>
      </c>
      <c r="H13322" t="s">
        <v>75</v>
      </c>
      <c r="I13322">
        <v>8380.8230000000003</v>
      </c>
      <c r="J13322" t="s">
        <v>76</v>
      </c>
      <c r="K13322" t="s">
        <v>77</v>
      </c>
    </row>
    <row r="13323" spans="1:12" x14ac:dyDescent="0.3">
      <c r="A13323" t="s">
        <v>496</v>
      </c>
      <c r="B13323" t="s">
        <v>84</v>
      </c>
      <c r="C13323">
        <v>292</v>
      </c>
      <c r="D13323" t="s">
        <v>81</v>
      </c>
      <c r="E13323">
        <v>8.3999999999999995E-3</v>
      </c>
      <c r="F13323" t="s">
        <v>74</v>
      </c>
      <c r="G13323">
        <v>8.3999199999999998</v>
      </c>
      <c r="H13323" t="s">
        <v>75</v>
      </c>
      <c r="I13323">
        <v>8399.9210000000003</v>
      </c>
      <c r="J13323" t="s">
        <v>76</v>
      </c>
      <c r="K13323" t="s">
        <v>82</v>
      </c>
      <c r="L13323">
        <v>119.04873980000001</v>
      </c>
    </row>
    <row r="13324" spans="1:12" x14ac:dyDescent="0.3">
      <c r="A13324" t="s">
        <v>497</v>
      </c>
      <c r="B13324" t="s">
        <v>72</v>
      </c>
      <c r="C13324">
        <v>1</v>
      </c>
      <c r="D13324" t="s">
        <v>79</v>
      </c>
      <c r="E13324">
        <v>2.892E-3</v>
      </c>
      <c r="F13324" t="s">
        <v>74</v>
      </c>
      <c r="G13324">
        <v>2.8917999999999999</v>
      </c>
      <c r="H13324" t="s">
        <v>75</v>
      </c>
      <c r="I13324">
        <v>2891.8</v>
      </c>
      <c r="J13324" t="s">
        <v>76</v>
      </c>
      <c r="K13324" t="s">
        <v>77</v>
      </c>
    </row>
    <row r="13325" spans="1:12" x14ac:dyDescent="0.3">
      <c r="A13325" t="s">
        <v>497</v>
      </c>
      <c r="B13325" t="s">
        <v>72</v>
      </c>
      <c r="C13325">
        <v>1</v>
      </c>
      <c r="D13325" t="s">
        <v>94</v>
      </c>
      <c r="E13325">
        <v>2.8210000000000002E-3</v>
      </c>
      <c r="F13325" t="s">
        <v>74</v>
      </c>
      <c r="G13325">
        <v>2.8210000000000002</v>
      </c>
      <c r="H13325" t="s">
        <v>75</v>
      </c>
      <c r="I13325">
        <v>2821</v>
      </c>
      <c r="J13325" t="s">
        <v>76</v>
      </c>
      <c r="K13325" t="s">
        <v>77</v>
      </c>
    </row>
    <row r="13326" spans="1:12" x14ac:dyDescent="0.3">
      <c r="A13326" t="s">
        <v>497</v>
      </c>
      <c r="B13326" t="s">
        <v>72</v>
      </c>
      <c r="C13326">
        <v>1</v>
      </c>
      <c r="D13326" t="s">
        <v>80</v>
      </c>
      <c r="E13326">
        <v>3.0460000000000001E-3</v>
      </c>
      <c r="F13326" t="s">
        <v>74</v>
      </c>
      <c r="G13326">
        <v>3.0457000000000001</v>
      </c>
      <c r="H13326" t="s">
        <v>75</v>
      </c>
      <c r="I13326">
        <v>3045.7</v>
      </c>
      <c r="J13326" t="s">
        <v>76</v>
      </c>
      <c r="K13326" t="s">
        <v>77</v>
      </c>
    </row>
    <row r="13327" spans="1:12" x14ac:dyDescent="0.3">
      <c r="A13327" t="s">
        <v>497</v>
      </c>
      <c r="B13327" t="s">
        <v>72</v>
      </c>
      <c r="C13327">
        <v>1</v>
      </c>
      <c r="D13327" t="s">
        <v>81</v>
      </c>
      <c r="E13327">
        <v>5.9379999999999997E-3</v>
      </c>
      <c r="F13327" t="s">
        <v>74</v>
      </c>
      <c r="G13327">
        <v>5.9378000000000002</v>
      </c>
      <c r="H13327" t="s">
        <v>75</v>
      </c>
      <c r="I13327">
        <v>5937.8</v>
      </c>
      <c r="J13327" t="s">
        <v>76</v>
      </c>
      <c r="K13327" t="s">
        <v>82</v>
      </c>
      <c r="L13327">
        <v>168.4125487</v>
      </c>
    </row>
    <row r="13328" spans="1:12" x14ac:dyDescent="0.3">
      <c r="A13328" t="s">
        <v>497</v>
      </c>
      <c r="B13328" t="s">
        <v>83</v>
      </c>
      <c r="C13328">
        <v>708</v>
      </c>
      <c r="D13328" t="s">
        <v>79</v>
      </c>
      <c r="E13328">
        <v>0</v>
      </c>
      <c r="F13328" t="s">
        <v>74</v>
      </c>
      <c r="G13328">
        <v>2.0000000000000001E-4</v>
      </c>
      <c r="H13328" t="s">
        <v>75</v>
      </c>
      <c r="I13328">
        <v>0.20200000000000001</v>
      </c>
      <c r="J13328" t="s">
        <v>76</v>
      </c>
      <c r="K13328" t="s">
        <v>77</v>
      </c>
    </row>
    <row r="13329" spans="1:12" x14ac:dyDescent="0.3">
      <c r="A13329" t="s">
        <v>497</v>
      </c>
      <c r="B13329" t="s">
        <v>83</v>
      </c>
      <c r="C13329">
        <v>708</v>
      </c>
      <c r="D13329" t="s">
        <v>94</v>
      </c>
      <c r="E13329">
        <v>3.2550000000000001E-3</v>
      </c>
      <c r="F13329" t="s">
        <v>74</v>
      </c>
      <c r="G13329">
        <v>3.25481</v>
      </c>
      <c r="H13329" t="s">
        <v>75</v>
      </c>
      <c r="I13329">
        <v>3254.8110000000001</v>
      </c>
      <c r="J13329" t="s">
        <v>76</v>
      </c>
      <c r="K13329" t="s">
        <v>77</v>
      </c>
    </row>
    <row r="13330" spans="1:12" x14ac:dyDescent="0.3">
      <c r="A13330" t="s">
        <v>497</v>
      </c>
      <c r="B13330" t="s">
        <v>83</v>
      </c>
      <c r="C13330">
        <v>708</v>
      </c>
      <c r="D13330" t="s">
        <v>80</v>
      </c>
      <c r="E13330">
        <v>3.4199999999999999E-3</v>
      </c>
      <c r="F13330" t="s">
        <v>74</v>
      </c>
      <c r="G13330">
        <v>3.4195899999999999</v>
      </c>
      <c r="H13330" t="s">
        <v>75</v>
      </c>
      <c r="I13330">
        <v>3419.5880000000002</v>
      </c>
      <c r="J13330" t="s">
        <v>76</v>
      </c>
      <c r="K13330" t="s">
        <v>77</v>
      </c>
    </row>
    <row r="13331" spans="1:12" x14ac:dyDescent="0.3">
      <c r="A13331" t="s">
        <v>497</v>
      </c>
      <c r="B13331" t="s">
        <v>83</v>
      </c>
      <c r="C13331">
        <v>708</v>
      </c>
      <c r="D13331" t="s">
        <v>81</v>
      </c>
      <c r="E13331">
        <v>3.4199999999999999E-3</v>
      </c>
      <c r="F13331" t="s">
        <v>74</v>
      </c>
      <c r="G13331">
        <v>3.4199600000000001</v>
      </c>
      <c r="H13331" t="s">
        <v>75</v>
      </c>
      <c r="I13331">
        <v>3419.9609999999998</v>
      </c>
      <c r="J13331" t="s">
        <v>76</v>
      </c>
      <c r="K13331" t="s">
        <v>82</v>
      </c>
      <c r="L13331">
        <v>292.4009987</v>
      </c>
    </row>
    <row r="13332" spans="1:12" x14ac:dyDescent="0.3">
      <c r="A13332" t="s">
        <v>497</v>
      </c>
      <c r="B13332" t="s">
        <v>84</v>
      </c>
      <c r="C13332">
        <v>709</v>
      </c>
      <c r="D13332" t="s">
        <v>79</v>
      </c>
      <c r="E13332">
        <v>3.9999999999999998E-6</v>
      </c>
      <c r="F13332" t="s">
        <v>74</v>
      </c>
      <c r="G13332">
        <v>4.28E-3</v>
      </c>
      <c r="H13332" t="s">
        <v>75</v>
      </c>
      <c r="I13332">
        <v>4.28</v>
      </c>
      <c r="J13332" t="s">
        <v>76</v>
      </c>
      <c r="K13332" t="s">
        <v>77</v>
      </c>
    </row>
    <row r="13333" spans="1:12" x14ac:dyDescent="0.3">
      <c r="A13333" t="s">
        <v>497</v>
      </c>
      <c r="B13333" t="s">
        <v>84</v>
      </c>
      <c r="C13333">
        <v>709</v>
      </c>
      <c r="D13333" t="s">
        <v>94</v>
      </c>
      <c r="E13333">
        <v>3.2539999999999999E-3</v>
      </c>
      <c r="F13333" t="s">
        <v>74</v>
      </c>
      <c r="G13333">
        <v>3.2542</v>
      </c>
      <c r="H13333" t="s">
        <v>75</v>
      </c>
      <c r="I13333">
        <v>3254.1990000000001</v>
      </c>
      <c r="J13333" t="s">
        <v>76</v>
      </c>
      <c r="K13333" t="s">
        <v>77</v>
      </c>
    </row>
    <row r="13334" spans="1:12" x14ac:dyDescent="0.3">
      <c r="A13334" t="s">
        <v>497</v>
      </c>
      <c r="B13334" t="s">
        <v>84</v>
      </c>
      <c r="C13334">
        <v>709</v>
      </c>
      <c r="D13334" t="s">
        <v>80</v>
      </c>
      <c r="E13334">
        <v>3.4190000000000002E-3</v>
      </c>
      <c r="F13334" t="s">
        <v>74</v>
      </c>
      <c r="G13334">
        <v>3.41906</v>
      </c>
      <c r="H13334" t="s">
        <v>75</v>
      </c>
      <c r="I13334">
        <v>3419.06</v>
      </c>
      <c r="J13334" t="s">
        <v>76</v>
      </c>
      <c r="K13334" t="s">
        <v>77</v>
      </c>
    </row>
    <row r="13335" spans="1:12" x14ac:dyDescent="0.3">
      <c r="A13335" t="s">
        <v>497</v>
      </c>
      <c r="B13335" t="s">
        <v>84</v>
      </c>
      <c r="C13335">
        <v>709</v>
      </c>
      <c r="D13335" t="s">
        <v>81</v>
      </c>
      <c r="E13335">
        <v>3.424E-3</v>
      </c>
      <c r="F13335" t="s">
        <v>74</v>
      </c>
      <c r="G13335">
        <v>3.4235099999999998</v>
      </c>
      <c r="H13335" t="s">
        <v>75</v>
      </c>
      <c r="I13335">
        <v>3423.5129999999999</v>
      </c>
      <c r="J13335" t="s">
        <v>76</v>
      </c>
      <c r="K13335" t="s">
        <v>82</v>
      </c>
      <c r="L13335">
        <v>292.09765679999998</v>
      </c>
    </row>
    <row r="13336" spans="1:12" x14ac:dyDescent="0.3">
      <c r="A13336" t="s">
        <v>498</v>
      </c>
      <c r="B13336" t="s">
        <v>72</v>
      </c>
      <c r="C13336">
        <v>1</v>
      </c>
      <c r="D13336" t="s">
        <v>73</v>
      </c>
      <c r="E13336">
        <v>9.2999999999999997E-5</v>
      </c>
      <c r="F13336" t="s">
        <v>74</v>
      </c>
      <c r="G13336">
        <v>9.2700000000000005E-2</v>
      </c>
      <c r="H13336" t="s">
        <v>75</v>
      </c>
      <c r="I13336">
        <v>92.7</v>
      </c>
      <c r="J13336" t="s">
        <v>76</v>
      </c>
      <c r="K13336" t="s">
        <v>77</v>
      </c>
    </row>
    <row r="13337" spans="1:12" x14ac:dyDescent="0.3">
      <c r="A13337" t="s">
        <v>498</v>
      </c>
      <c r="B13337" t="s">
        <v>72</v>
      </c>
      <c r="C13337">
        <v>1</v>
      </c>
      <c r="D13337" t="s">
        <v>78</v>
      </c>
      <c r="E13337">
        <v>1.36E-4</v>
      </c>
      <c r="F13337" t="s">
        <v>74</v>
      </c>
      <c r="G13337">
        <v>0.1363</v>
      </c>
      <c r="H13337" t="s">
        <v>75</v>
      </c>
      <c r="I13337">
        <v>136.30000000000001</v>
      </c>
      <c r="J13337" t="s">
        <v>76</v>
      </c>
      <c r="K13337" t="s">
        <v>77</v>
      </c>
    </row>
    <row r="13338" spans="1:12" x14ac:dyDescent="0.3">
      <c r="A13338" t="s">
        <v>498</v>
      </c>
      <c r="B13338" t="s">
        <v>72</v>
      </c>
      <c r="C13338">
        <v>2</v>
      </c>
      <c r="D13338" t="s">
        <v>86</v>
      </c>
      <c r="E13338">
        <v>1.3868999999999999E-2</v>
      </c>
      <c r="F13338" t="s">
        <v>74</v>
      </c>
      <c r="G13338">
        <v>13.869450000000001</v>
      </c>
      <c r="H13338" t="s">
        <v>75</v>
      </c>
      <c r="I13338">
        <v>13869.45</v>
      </c>
      <c r="J13338" t="s">
        <v>76</v>
      </c>
      <c r="K13338" t="s">
        <v>82</v>
      </c>
      <c r="L13338">
        <v>72.100910200000001</v>
      </c>
    </row>
    <row r="13339" spans="1:12" x14ac:dyDescent="0.3">
      <c r="A13339" t="s">
        <v>498</v>
      </c>
      <c r="B13339" t="s">
        <v>83</v>
      </c>
      <c r="C13339">
        <v>999</v>
      </c>
      <c r="D13339" t="s">
        <v>86</v>
      </c>
      <c r="E13339">
        <v>2.4529999999999999E-3</v>
      </c>
      <c r="F13339" t="s">
        <v>74</v>
      </c>
      <c r="G13339">
        <v>2.4532799999999999</v>
      </c>
      <c r="H13339" t="s">
        <v>75</v>
      </c>
      <c r="I13339">
        <v>2453.2779999999998</v>
      </c>
      <c r="J13339" t="s">
        <v>76</v>
      </c>
      <c r="K13339" t="s">
        <v>82</v>
      </c>
      <c r="L13339">
        <v>407.61780729999998</v>
      </c>
    </row>
    <row r="13340" spans="1:12" x14ac:dyDescent="0.3">
      <c r="A13340" t="s">
        <v>498</v>
      </c>
      <c r="B13340" t="s">
        <v>85</v>
      </c>
      <c r="C13340">
        <v>1001</v>
      </c>
      <c r="D13340" t="s">
        <v>86</v>
      </c>
      <c r="E13340">
        <v>2.457E-3</v>
      </c>
      <c r="F13340" t="s">
        <v>74</v>
      </c>
      <c r="G13340">
        <v>2.45722</v>
      </c>
      <c r="H13340" t="s">
        <v>75</v>
      </c>
      <c r="I13340">
        <v>2457.2190000000001</v>
      </c>
      <c r="J13340" t="s">
        <v>76</v>
      </c>
      <c r="K13340" t="s">
        <v>82</v>
      </c>
      <c r="L13340">
        <v>406.96420419999998</v>
      </c>
    </row>
    <row r="13341" spans="1:12" x14ac:dyDescent="0.3">
      <c r="A13341" t="s">
        <v>115</v>
      </c>
    </row>
    <row r="13342" spans="1:12" x14ac:dyDescent="0.3">
      <c r="A13342" t="s">
        <v>127</v>
      </c>
    </row>
    <row r="13343" spans="1:12" x14ac:dyDescent="0.3">
      <c r="A13343" t="s">
        <v>87</v>
      </c>
    </row>
    <row r="13344" spans="1:12" x14ac:dyDescent="0.3">
      <c r="A13344" t="s">
        <v>536</v>
      </c>
    </row>
    <row r="13345" spans="1:12" x14ac:dyDescent="0.3">
      <c r="A13345" t="s">
        <v>496</v>
      </c>
      <c r="B13345" t="s">
        <v>72</v>
      </c>
      <c r="C13345">
        <v>1</v>
      </c>
      <c r="D13345" t="s">
        <v>81</v>
      </c>
      <c r="E13345">
        <v>0.38047900000000001</v>
      </c>
      <c r="F13345" t="s">
        <v>74</v>
      </c>
      <c r="G13345">
        <v>380.47870999999998</v>
      </c>
      <c r="H13345" t="s">
        <v>75</v>
      </c>
      <c r="I13345">
        <v>380478.71</v>
      </c>
      <c r="J13345" t="s">
        <v>76</v>
      </c>
      <c r="K13345" t="s">
        <v>82</v>
      </c>
      <c r="L13345">
        <v>2.6282679999999998</v>
      </c>
    </row>
    <row r="13346" spans="1:12" x14ac:dyDescent="0.3">
      <c r="A13346" t="s">
        <v>496</v>
      </c>
      <c r="B13346" t="s">
        <v>83</v>
      </c>
      <c r="C13346">
        <v>491</v>
      </c>
      <c r="D13346" t="s">
        <v>81</v>
      </c>
      <c r="E13346">
        <v>4.4669999999999996E-3</v>
      </c>
      <c r="F13346" t="s">
        <v>74</v>
      </c>
      <c r="G13346">
        <v>4.4674500000000004</v>
      </c>
      <c r="H13346" t="s">
        <v>75</v>
      </c>
      <c r="I13346">
        <v>4467.4470000000001</v>
      </c>
      <c r="J13346" t="s">
        <v>76</v>
      </c>
      <c r="K13346" t="s">
        <v>82</v>
      </c>
      <c r="L13346">
        <v>223.8415143</v>
      </c>
    </row>
    <row r="13347" spans="1:12" x14ac:dyDescent="0.3">
      <c r="A13347" t="s">
        <v>496</v>
      </c>
      <c r="B13347" t="s">
        <v>84</v>
      </c>
      <c r="C13347">
        <v>492</v>
      </c>
      <c r="D13347" t="s">
        <v>81</v>
      </c>
      <c r="E13347">
        <v>5.2319999999999997E-3</v>
      </c>
      <c r="F13347" t="s">
        <v>74</v>
      </c>
      <c r="G13347">
        <v>5.2317</v>
      </c>
      <c r="H13347" t="s">
        <v>75</v>
      </c>
      <c r="I13347">
        <v>5231.7</v>
      </c>
      <c r="J13347" t="s">
        <v>76</v>
      </c>
      <c r="K13347" t="s">
        <v>82</v>
      </c>
      <c r="L13347">
        <v>191.14244780000001</v>
      </c>
    </row>
    <row r="13348" spans="1:12" x14ac:dyDescent="0.3">
      <c r="A13348" t="s">
        <v>497</v>
      </c>
      <c r="B13348" t="s">
        <v>72</v>
      </c>
      <c r="C13348">
        <v>1</v>
      </c>
      <c r="D13348" t="s">
        <v>81</v>
      </c>
      <c r="E13348">
        <v>0.12463100000000001</v>
      </c>
      <c r="F13348" t="s">
        <v>74</v>
      </c>
      <c r="G13348">
        <v>124.6313</v>
      </c>
      <c r="H13348" t="s">
        <v>75</v>
      </c>
      <c r="I13348">
        <v>124631.30100000001</v>
      </c>
      <c r="J13348" t="s">
        <v>76</v>
      </c>
      <c r="K13348" t="s">
        <v>82</v>
      </c>
      <c r="L13348">
        <v>8.0236666000000003</v>
      </c>
    </row>
    <row r="13349" spans="1:12" x14ac:dyDescent="0.3">
      <c r="A13349" t="s">
        <v>497</v>
      </c>
      <c r="B13349" t="s">
        <v>83</v>
      </c>
      <c r="C13349">
        <v>508</v>
      </c>
      <c r="D13349" t="s">
        <v>81</v>
      </c>
      <c r="E13349">
        <v>4.8300000000000001E-3</v>
      </c>
      <c r="F13349" t="s">
        <v>74</v>
      </c>
      <c r="G13349">
        <v>4.8299099999999999</v>
      </c>
      <c r="H13349" t="s">
        <v>75</v>
      </c>
      <c r="I13349">
        <v>4829.91</v>
      </c>
      <c r="J13349" t="s">
        <v>76</v>
      </c>
      <c r="K13349" t="s">
        <v>82</v>
      </c>
      <c r="L13349">
        <v>207.04318140000001</v>
      </c>
    </row>
    <row r="13350" spans="1:12" x14ac:dyDescent="0.3">
      <c r="A13350" t="s">
        <v>497</v>
      </c>
      <c r="B13350" t="s">
        <v>84</v>
      </c>
      <c r="C13350">
        <v>509</v>
      </c>
      <c r="D13350" t="s">
        <v>81</v>
      </c>
      <c r="E13350">
        <v>5.0650000000000001E-3</v>
      </c>
      <c r="F13350" t="s">
        <v>74</v>
      </c>
      <c r="G13350">
        <v>5.0652799999999996</v>
      </c>
      <c r="H13350" t="s">
        <v>75</v>
      </c>
      <c r="I13350">
        <v>5065.2759999999998</v>
      </c>
      <c r="J13350" t="s">
        <v>76</v>
      </c>
      <c r="K13350" t="s">
        <v>82</v>
      </c>
      <c r="L13350">
        <v>197.42259849999999</v>
      </c>
    </row>
    <row r="13351" spans="1:12" x14ac:dyDescent="0.3">
      <c r="A13351" t="s">
        <v>498</v>
      </c>
      <c r="B13351" t="s">
        <v>72</v>
      </c>
      <c r="C13351">
        <v>2</v>
      </c>
      <c r="D13351" t="s">
        <v>86</v>
      </c>
      <c r="E13351">
        <v>0.19026000000000001</v>
      </c>
      <c r="F13351" t="s">
        <v>74</v>
      </c>
      <c r="G13351">
        <v>190.25995</v>
      </c>
      <c r="H13351" t="s">
        <v>75</v>
      </c>
      <c r="I13351">
        <v>190259.948</v>
      </c>
      <c r="J13351" t="s">
        <v>76</v>
      </c>
      <c r="K13351" t="s">
        <v>82</v>
      </c>
      <c r="L13351">
        <v>5.2559668999999998</v>
      </c>
    </row>
    <row r="13352" spans="1:12" x14ac:dyDescent="0.3">
      <c r="A13352" t="s">
        <v>498</v>
      </c>
      <c r="B13352" t="s">
        <v>83</v>
      </c>
      <c r="C13352">
        <v>999</v>
      </c>
      <c r="D13352" t="s">
        <v>86</v>
      </c>
      <c r="E13352">
        <v>2.4689999999999998E-3</v>
      </c>
      <c r="F13352" t="s">
        <v>74</v>
      </c>
      <c r="G13352">
        <v>2.4685600000000001</v>
      </c>
      <c r="H13352" t="s">
        <v>75</v>
      </c>
      <c r="I13352">
        <v>2468.556</v>
      </c>
      <c r="J13352" t="s">
        <v>76</v>
      </c>
      <c r="K13352" t="s">
        <v>82</v>
      </c>
      <c r="L13352">
        <v>405.09518050000003</v>
      </c>
    </row>
    <row r="13353" spans="1:12" x14ac:dyDescent="0.3">
      <c r="A13353" t="s">
        <v>498</v>
      </c>
      <c r="B13353" t="s">
        <v>85</v>
      </c>
      <c r="C13353">
        <v>1001</v>
      </c>
      <c r="D13353" t="s">
        <v>86</v>
      </c>
      <c r="E13353">
        <v>2.591E-3</v>
      </c>
      <c r="F13353" t="s">
        <v>74</v>
      </c>
      <c r="G13353">
        <v>2.5913499999999998</v>
      </c>
      <c r="H13353" t="s">
        <v>75</v>
      </c>
      <c r="I13353">
        <v>2591.35</v>
      </c>
      <c r="J13353" t="s">
        <v>76</v>
      </c>
      <c r="K13353" t="s">
        <v>82</v>
      </c>
      <c r="L13353">
        <v>385.89926229999998</v>
      </c>
    </row>
    <row r="13355" spans="1:12" x14ac:dyDescent="0.3">
      <c r="A13355" t="s">
        <v>537</v>
      </c>
    </row>
    <row r="13356" spans="1:12" x14ac:dyDescent="0.3">
      <c r="A13356" t="s">
        <v>496</v>
      </c>
      <c r="B13356" t="s">
        <v>72</v>
      </c>
      <c r="C13356">
        <v>1</v>
      </c>
      <c r="D13356" t="s">
        <v>81</v>
      </c>
      <c r="E13356">
        <v>2.7732E-2</v>
      </c>
      <c r="F13356" t="s">
        <v>74</v>
      </c>
      <c r="G13356">
        <v>27.7317</v>
      </c>
      <c r="H13356" t="s">
        <v>75</v>
      </c>
      <c r="I13356">
        <v>27731.7</v>
      </c>
      <c r="J13356" t="s">
        <v>76</v>
      </c>
      <c r="K13356" t="s">
        <v>82</v>
      </c>
      <c r="L13356">
        <v>36.0598162</v>
      </c>
    </row>
    <row r="13357" spans="1:12" x14ac:dyDescent="0.3">
      <c r="A13357" t="s">
        <v>496</v>
      </c>
      <c r="B13357" t="s">
        <v>83</v>
      </c>
      <c r="C13357">
        <v>291</v>
      </c>
      <c r="D13357" t="s">
        <v>81</v>
      </c>
      <c r="E13357">
        <v>8.3330000000000001E-3</v>
      </c>
      <c r="F13357" t="s">
        <v>74</v>
      </c>
      <c r="G13357">
        <v>8.3334899999999994</v>
      </c>
      <c r="H13357" t="s">
        <v>75</v>
      </c>
      <c r="I13357">
        <v>8333.4889999999996</v>
      </c>
      <c r="J13357" t="s">
        <v>76</v>
      </c>
      <c r="K13357" t="s">
        <v>82</v>
      </c>
      <c r="L13357">
        <v>119.99776079999999</v>
      </c>
    </row>
    <row r="13358" spans="1:12" x14ac:dyDescent="0.3">
      <c r="A13358" t="s">
        <v>496</v>
      </c>
      <c r="B13358" t="s">
        <v>84</v>
      </c>
      <c r="C13358">
        <v>292</v>
      </c>
      <c r="D13358" t="s">
        <v>81</v>
      </c>
      <c r="E13358">
        <v>8.3999999999999995E-3</v>
      </c>
      <c r="F13358" t="s">
        <v>74</v>
      </c>
      <c r="G13358">
        <v>8.3999199999999998</v>
      </c>
      <c r="H13358" t="s">
        <v>75</v>
      </c>
      <c r="I13358">
        <v>8399.9210000000003</v>
      </c>
      <c r="J13358" t="s">
        <v>76</v>
      </c>
      <c r="K13358" t="s">
        <v>82</v>
      </c>
      <c r="L13358">
        <v>119.04873980000001</v>
      </c>
    </row>
    <row r="13359" spans="1:12" x14ac:dyDescent="0.3">
      <c r="A13359" t="s">
        <v>497</v>
      </c>
      <c r="B13359" t="s">
        <v>72</v>
      </c>
      <c r="C13359">
        <v>1</v>
      </c>
      <c r="D13359" t="s">
        <v>81</v>
      </c>
      <c r="E13359">
        <v>5.9379999999999997E-3</v>
      </c>
      <c r="F13359" t="s">
        <v>74</v>
      </c>
      <c r="G13359">
        <v>5.9378000000000002</v>
      </c>
      <c r="H13359" t="s">
        <v>75</v>
      </c>
      <c r="I13359">
        <v>5937.8</v>
      </c>
      <c r="J13359" t="s">
        <v>76</v>
      </c>
      <c r="K13359" t="s">
        <v>82</v>
      </c>
      <c r="L13359">
        <v>168.4125487</v>
      </c>
    </row>
    <row r="13360" spans="1:12" x14ac:dyDescent="0.3">
      <c r="A13360" t="s">
        <v>497</v>
      </c>
      <c r="B13360" t="s">
        <v>83</v>
      </c>
      <c r="C13360">
        <v>708</v>
      </c>
      <c r="D13360" t="s">
        <v>81</v>
      </c>
      <c r="E13360">
        <v>3.4199999999999999E-3</v>
      </c>
      <c r="F13360" t="s">
        <v>74</v>
      </c>
      <c r="G13360">
        <v>3.4199600000000001</v>
      </c>
      <c r="H13360" t="s">
        <v>75</v>
      </c>
      <c r="I13360">
        <v>3419.9609999999998</v>
      </c>
      <c r="J13360" t="s">
        <v>76</v>
      </c>
      <c r="K13360" t="s">
        <v>82</v>
      </c>
      <c r="L13360">
        <v>292.4009987</v>
      </c>
    </row>
    <row r="13361" spans="1:12" x14ac:dyDescent="0.3">
      <c r="A13361" t="s">
        <v>497</v>
      </c>
      <c r="B13361" t="s">
        <v>84</v>
      </c>
      <c r="C13361">
        <v>709</v>
      </c>
      <c r="D13361" t="s">
        <v>81</v>
      </c>
      <c r="E13361">
        <v>3.424E-3</v>
      </c>
      <c r="F13361" t="s">
        <v>74</v>
      </c>
      <c r="G13361">
        <v>3.4235099999999998</v>
      </c>
      <c r="H13361" t="s">
        <v>75</v>
      </c>
      <c r="I13361">
        <v>3423.5129999999999</v>
      </c>
      <c r="J13361" t="s">
        <v>76</v>
      </c>
      <c r="K13361" t="s">
        <v>82</v>
      </c>
      <c r="L13361">
        <v>292.09765679999998</v>
      </c>
    </row>
    <row r="13362" spans="1:12" x14ac:dyDescent="0.3">
      <c r="A13362" t="s">
        <v>498</v>
      </c>
      <c r="B13362" t="s">
        <v>72</v>
      </c>
      <c r="C13362">
        <v>2</v>
      </c>
      <c r="D13362" t="s">
        <v>86</v>
      </c>
      <c r="E13362">
        <v>1.3868999999999999E-2</v>
      </c>
      <c r="F13362" t="s">
        <v>74</v>
      </c>
      <c r="G13362">
        <v>13.869450000000001</v>
      </c>
      <c r="H13362" t="s">
        <v>75</v>
      </c>
      <c r="I13362">
        <v>13869.45</v>
      </c>
      <c r="J13362" t="s">
        <v>76</v>
      </c>
      <c r="K13362" t="s">
        <v>82</v>
      </c>
      <c r="L13362">
        <v>72.100910200000001</v>
      </c>
    </row>
    <row r="13363" spans="1:12" x14ac:dyDescent="0.3">
      <c r="A13363" t="s">
        <v>498</v>
      </c>
      <c r="B13363" t="s">
        <v>83</v>
      </c>
      <c r="C13363">
        <v>999</v>
      </c>
      <c r="D13363" t="s">
        <v>86</v>
      </c>
      <c r="E13363">
        <v>2.4529999999999999E-3</v>
      </c>
      <c r="F13363" t="s">
        <v>74</v>
      </c>
      <c r="G13363">
        <v>2.4532799999999999</v>
      </c>
      <c r="H13363" t="s">
        <v>75</v>
      </c>
      <c r="I13363">
        <v>2453.2779999999998</v>
      </c>
      <c r="J13363" t="s">
        <v>76</v>
      </c>
      <c r="K13363" t="s">
        <v>82</v>
      </c>
      <c r="L13363">
        <v>407.61780729999998</v>
      </c>
    </row>
    <row r="13364" spans="1:12" x14ac:dyDescent="0.3">
      <c r="A13364" t="s">
        <v>498</v>
      </c>
      <c r="B13364" t="s">
        <v>85</v>
      </c>
      <c r="C13364">
        <v>1001</v>
      </c>
      <c r="D13364" t="s">
        <v>86</v>
      </c>
      <c r="E13364">
        <v>2.457E-3</v>
      </c>
      <c r="F13364" t="s">
        <v>74</v>
      </c>
      <c r="G13364">
        <v>2.45722</v>
      </c>
      <c r="H13364" t="s">
        <v>75</v>
      </c>
      <c r="I13364">
        <v>2457.2190000000001</v>
      </c>
      <c r="J13364" t="s">
        <v>76</v>
      </c>
      <c r="K13364" t="s">
        <v>82</v>
      </c>
      <c r="L13364">
        <v>406.96420419999998</v>
      </c>
    </row>
    <row r="13366" spans="1:12" x14ac:dyDescent="0.3">
      <c r="A13366" t="s">
        <v>66</v>
      </c>
    </row>
    <row r="13368" spans="1:12" x14ac:dyDescent="0.3">
      <c r="A13368" t="s">
        <v>573</v>
      </c>
    </row>
    <row r="13369" spans="1:12" x14ac:dyDescent="0.3">
      <c r="A13369" t="s">
        <v>68</v>
      </c>
    </row>
    <row r="13370" spans="1:12" x14ac:dyDescent="0.3">
      <c r="A13370" t="s">
        <v>69</v>
      </c>
    </row>
    <row r="13371" spans="1:12" x14ac:dyDescent="0.3">
      <c r="A13371" t="s">
        <v>68</v>
      </c>
    </row>
    <row r="13372" spans="1:12" x14ac:dyDescent="0.3">
      <c r="A13372" t="s">
        <v>69</v>
      </c>
    </row>
    <row r="13373" spans="1:12" x14ac:dyDescent="0.3">
      <c r="A13373" t="s">
        <v>70</v>
      </c>
    </row>
    <row r="13374" spans="1:12" x14ac:dyDescent="0.3">
      <c r="A13374" t="s">
        <v>115</v>
      </c>
    </row>
    <row r="13375" spans="1:12" x14ac:dyDescent="0.3">
      <c r="A13375" t="s">
        <v>116</v>
      </c>
    </row>
    <row r="13376" spans="1:12" x14ac:dyDescent="0.3">
      <c r="A13376" t="s">
        <v>117</v>
      </c>
    </row>
    <row r="13377" spans="1:1" x14ac:dyDescent="0.3">
      <c r="A13377" t="s">
        <v>118</v>
      </c>
    </row>
    <row r="13378" spans="1:1" x14ac:dyDescent="0.3">
      <c r="A13378" t="s">
        <v>119</v>
      </c>
    </row>
    <row r="13379" spans="1:1" x14ac:dyDescent="0.3">
      <c r="A13379" t="s">
        <v>120</v>
      </c>
    </row>
    <row r="13380" spans="1:1" x14ac:dyDescent="0.3">
      <c r="A13380" t="s">
        <v>121</v>
      </c>
    </row>
    <row r="13381" spans="1:1" x14ac:dyDescent="0.3">
      <c r="A13381" t="s">
        <v>122</v>
      </c>
    </row>
    <row r="13382" spans="1:1" x14ac:dyDescent="0.3">
      <c r="A13382" t="s">
        <v>123</v>
      </c>
    </row>
    <row r="13383" spans="1:1" x14ac:dyDescent="0.3">
      <c r="A13383" t="s">
        <v>124</v>
      </c>
    </row>
    <row r="13384" spans="1:1" x14ac:dyDescent="0.3">
      <c r="A13384" t="s">
        <v>125</v>
      </c>
    </row>
    <row r="13385" spans="1:1" x14ac:dyDescent="0.3">
      <c r="A13385" t="s">
        <v>126</v>
      </c>
    </row>
    <row r="13386" spans="1:1" x14ac:dyDescent="0.3">
      <c r="A13386" t="s">
        <v>127</v>
      </c>
    </row>
    <row r="13387" spans="1:1" x14ac:dyDescent="0.3">
      <c r="A13387" t="s">
        <v>185</v>
      </c>
    </row>
    <row r="13388" spans="1:1" x14ac:dyDescent="0.3">
      <c r="A13388" t="s">
        <v>115</v>
      </c>
    </row>
    <row r="13389" spans="1:1" x14ac:dyDescent="0.3">
      <c r="A13389" t="s">
        <v>266</v>
      </c>
    </row>
    <row r="13390" spans="1:1" x14ac:dyDescent="0.3">
      <c r="A13390" t="s">
        <v>267</v>
      </c>
    </row>
    <row r="13391" spans="1:1" x14ac:dyDescent="0.3">
      <c r="A13391" t="s">
        <v>118</v>
      </c>
    </row>
    <row r="13392" spans="1:1" x14ac:dyDescent="0.3">
      <c r="A13392" t="s">
        <v>119</v>
      </c>
    </row>
    <row r="13393" spans="1:12" x14ac:dyDescent="0.3">
      <c r="A13393" t="s">
        <v>268</v>
      </c>
    </row>
    <row r="13394" spans="1:12" x14ac:dyDescent="0.3">
      <c r="A13394" t="s">
        <v>269</v>
      </c>
    </row>
    <row r="13395" spans="1:12" x14ac:dyDescent="0.3">
      <c r="A13395" t="s">
        <v>122</v>
      </c>
    </row>
    <row r="13396" spans="1:12" x14ac:dyDescent="0.3">
      <c r="A13396" t="s">
        <v>270</v>
      </c>
    </row>
    <row r="13397" spans="1:12" x14ac:dyDescent="0.3">
      <c r="A13397" t="s">
        <v>271</v>
      </c>
    </row>
    <row r="13398" spans="1:12" x14ac:dyDescent="0.3">
      <c r="A13398" t="s">
        <v>125</v>
      </c>
    </row>
    <row r="13399" spans="1:12" x14ac:dyDescent="0.3">
      <c r="A13399" t="s">
        <v>126</v>
      </c>
    </row>
    <row r="13400" spans="1:12" x14ac:dyDescent="0.3">
      <c r="A13400" t="s">
        <v>127</v>
      </c>
    </row>
    <row r="13401" spans="1:12" x14ac:dyDescent="0.3">
      <c r="A13401" t="s">
        <v>185</v>
      </c>
    </row>
    <row r="13402" spans="1:12" x14ac:dyDescent="0.3">
      <c r="A13402" t="s">
        <v>539</v>
      </c>
    </row>
    <row r="13403" spans="1:12" x14ac:dyDescent="0.3">
      <c r="A13403" t="s">
        <v>496</v>
      </c>
      <c r="B13403" t="s">
        <v>72</v>
      </c>
      <c r="C13403">
        <v>1</v>
      </c>
      <c r="D13403" t="s">
        <v>79</v>
      </c>
      <c r="E13403">
        <v>0.48739500000000002</v>
      </c>
      <c r="F13403" t="s">
        <v>74</v>
      </c>
      <c r="G13403">
        <v>487.39519999999999</v>
      </c>
      <c r="H13403" t="s">
        <v>75</v>
      </c>
      <c r="I13403">
        <v>487395.19699999999</v>
      </c>
      <c r="J13403" t="s">
        <v>76</v>
      </c>
      <c r="K13403" t="s">
        <v>77</v>
      </c>
    </row>
    <row r="13404" spans="1:12" x14ac:dyDescent="0.3">
      <c r="A13404" t="s">
        <v>496</v>
      </c>
      <c r="B13404" t="s">
        <v>72</v>
      </c>
      <c r="C13404">
        <v>1</v>
      </c>
      <c r="D13404" t="s">
        <v>94</v>
      </c>
      <c r="E13404">
        <v>1.6551E-2</v>
      </c>
      <c r="F13404" t="s">
        <v>74</v>
      </c>
      <c r="G13404">
        <v>16.551300000000001</v>
      </c>
      <c r="H13404" t="s">
        <v>75</v>
      </c>
      <c r="I13404">
        <v>16551.300999999999</v>
      </c>
      <c r="J13404" t="s">
        <v>76</v>
      </c>
      <c r="K13404" t="s">
        <v>77</v>
      </c>
    </row>
    <row r="13405" spans="1:12" x14ac:dyDescent="0.3">
      <c r="A13405" t="s">
        <v>496</v>
      </c>
      <c r="B13405" t="s">
        <v>72</v>
      </c>
      <c r="C13405">
        <v>1</v>
      </c>
      <c r="D13405" t="s">
        <v>80</v>
      </c>
      <c r="E13405">
        <v>1.6552000000000001E-2</v>
      </c>
      <c r="F13405" t="s">
        <v>74</v>
      </c>
      <c r="G13405">
        <v>16.552</v>
      </c>
      <c r="H13405" t="s">
        <v>75</v>
      </c>
      <c r="I13405">
        <v>16551.999</v>
      </c>
      <c r="J13405" t="s">
        <v>76</v>
      </c>
      <c r="K13405" t="s">
        <v>77</v>
      </c>
    </row>
    <row r="13406" spans="1:12" x14ac:dyDescent="0.3">
      <c r="A13406" t="s">
        <v>496</v>
      </c>
      <c r="B13406" t="s">
        <v>72</v>
      </c>
      <c r="C13406">
        <v>1</v>
      </c>
      <c r="D13406" t="s">
        <v>81</v>
      </c>
      <c r="E13406">
        <v>0.50394799999999995</v>
      </c>
      <c r="F13406" t="s">
        <v>74</v>
      </c>
      <c r="G13406">
        <v>503.94797</v>
      </c>
      <c r="H13406" t="s">
        <v>75</v>
      </c>
      <c r="I13406">
        <v>503947.973</v>
      </c>
      <c r="J13406" t="s">
        <v>76</v>
      </c>
      <c r="K13406" t="s">
        <v>82</v>
      </c>
      <c r="L13406">
        <v>1.9843318000000001</v>
      </c>
    </row>
    <row r="13407" spans="1:12" x14ac:dyDescent="0.3">
      <c r="A13407" t="s">
        <v>496</v>
      </c>
      <c r="B13407" t="s">
        <v>83</v>
      </c>
      <c r="C13407">
        <v>306</v>
      </c>
      <c r="D13407" t="s">
        <v>79</v>
      </c>
      <c r="E13407">
        <v>0</v>
      </c>
      <c r="F13407" t="s">
        <v>74</v>
      </c>
      <c r="G13407">
        <v>1.6000000000000001E-4</v>
      </c>
      <c r="H13407" t="s">
        <v>75</v>
      </c>
      <c r="I13407">
        <v>0.159</v>
      </c>
      <c r="J13407" t="s">
        <v>76</v>
      </c>
      <c r="K13407" t="s">
        <v>77</v>
      </c>
    </row>
    <row r="13408" spans="1:12" x14ac:dyDescent="0.3">
      <c r="A13408" t="s">
        <v>496</v>
      </c>
      <c r="B13408" t="s">
        <v>83</v>
      </c>
      <c r="C13408">
        <v>306</v>
      </c>
      <c r="D13408" t="s">
        <v>94</v>
      </c>
      <c r="E13408">
        <v>6.777E-3</v>
      </c>
      <c r="F13408" t="s">
        <v>74</v>
      </c>
      <c r="G13408">
        <v>6.7772800000000002</v>
      </c>
      <c r="H13408" t="s">
        <v>75</v>
      </c>
      <c r="I13408">
        <v>6777.28</v>
      </c>
      <c r="J13408" t="s">
        <v>76</v>
      </c>
      <c r="K13408" t="s">
        <v>77</v>
      </c>
    </row>
    <row r="13409" spans="1:12" x14ac:dyDescent="0.3">
      <c r="A13409" t="s">
        <v>496</v>
      </c>
      <c r="B13409" t="s">
        <v>83</v>
      </c>
      <c r="C13409">
        <v>306</v>
      </c>
      <c r="D13409" t="s">
        <v>80</v>
      </c>
      <c r="E13409">
        <v>6.927E-3</v>
      </c>
      <c r="F13409" t="s">
        <v>74</v>
      </c>
      <c r="G13409">
        <v>6.9274800000000001</v>
      </c>
      <c r="H13409" t="s">
        <v>75</v>
      </c>
      <c r="I13409">
        <v>6927.4769999999999</v>
      </c>
      <c r="J13409" t="s">
        <v>76</v>
      </c>
      <c r="K13409" t="s">
        <v>77</v>
      </c>
    </row>
    <row r="13410" spans="1:12" x14ac:dyDescent="0.3">
      <c r="A13410" t="s">
        <v>496</v>
      </c>
      <c r="B13410" t="s">
        <v>83</v>
      </c>
      <c r="C13410">
        <v>306</v>
      </c>
      <c r="D13410" t="s">
        <v>81</v>
      </c>
      <c r="E13410">
        <v>6.9280000000000001E-3</v>
      </c>
      <c r="F13410" t="s">
        <v>74</v>
      </c>
      <c r="G13410">
        <v>6.92781</v>
      </c>
      <c r="H13410" t="s">
        <v>75</v>
      </c>
      <c r="I13410">
        <v>6927.8069999999998</v>
      </c>
      <c r="J13410" t="s">
        <v>76</v>
      </c>
      <c r="K13410" t="s">
        <v>82</v>
      </c>
      <c r="L13410">
        <v>144.3458153</v>
      </c>
    </row>
    <row r="13411" spans="1:12" x14ac:dyDescent="0.3">
      <c r="A13411" t="s">
        <v>496</v>
      </c>
      <c r="B13411" t="s">
        <v>84</v>
      </c>
      <c r="C13411">
        <v>307</v>
      </c>
      <c r="D13411" t="s">
        <v>79</v>
      </c>
      <c r="E13411">
        <v>1.588E-3</v>
      </c>
      <c r="F13411" t="s">
        <v>74</v>
      </c>
      <c r="G13411">
        <v>1.5877600000000001</v>
      </c>
      <c r="H13411" t="s">
        <v>75</v>
      </c>
      <c r="I13411">
        <v>1587.7629999999999</v>
      </c>
      <c r="J13411" t="s">
        <v>76</v>
      </c>
      <c r="K13411" t="s">
        <v>77</v>
      </c>
    </row>
    <row r="13412" spans="1:12" x14ac:dyDescent="0.3">
      <c r="A13412" t="s">
        <v>496</v>
      </c>
      <c r="B13412" t="s">
        <v>84</v>
      </c>
      <c r="C13412">
        <v>307</v>
      </c>
      <c r="D13412" t="s">
        <v>94</v>
      </c>
      <c r="E13412">
        <v>6.8089999999999999E-3</v>
      </c>
      <c r="F13412" t="s">
        <v>74</v>
      </c>
      <c r="G13412">
        <v>6.8091200000000001</v>
      </c>
      <c r="H13412" t="s">
        <v>75</v>
      </c>
      <c r="I13412">
        <v>6809.116</v>
      </c>
      <c r="J13412" t="s">
        <v>76</v>
      </c>
      <c r="K13412" t="s">
        <v>77</v>
      </c>
    </row>
    <row r="13413" spans="1:12" x14ac:dyDescent="0.3">
      <c r="A13413" t="s">
        <v>496</v>
      </c>
      <c r="B13413" t="s">
        <v>84</v>
      </c>
      <c r="C13413">
        <v>307</v>
      </c>
      <c r="D13413" t="s">
        <v>80</v>
      </c>
      <c r="E13413">
        <v>6.9589999999999999E-3</v>
      </c>
      <c r="F13413" t="s">
        <v>74</v>
      </c>
      <c r="G13413">
        <v>6.9588299999999998</v>
      </c>
      <c r="H13413" t="s">
        <v>75</v>
      </c>
      <c r="I13413">
        <v>6958.826</v>
      </c>
      <c r="J13413" t="s">
        <v>76</v>
      </c>
      <c r="K13413" t="s">
        <v>77</v>
      </c>
    </row>
    <row r="13414" spans="1:12" x14ac:dyDescent="0.3">
      <c r="A13414" t="s">
        <v>496</v>
      </c>
      <c r="B13414" t="s">
        <v>84</v>
      </c>
      <c r="C13414">
        <v>307</v>
      </c>
      <c r="D13414" t="s">
        <v>81</v>
      </c>
      <c r="E13414">
        <v>8.5470000000000008E-3</v>
      </c>
      <c r="F13414" t="s">
        <v>74</v>
      </c>
      <c r="G13414">
        <v>8.5467700000000004</v>
      </c>
      <c r="H13414" t="s">
        <v>75</v>
      </c>
      <c r="I13414">
        <v>8546.7669999999998</v>
      </c>
      <c r="J13414" t="s">
        <v>76</v>
      </c>
      <c r="K13414" t="s">
        <v>82</v>
      </c>
      <c r="L13414">
        <v>117.00330529999999</v>
      </c>
    </row>
    <row r="13415" spans="1:12" x14ac:dyDescent="0.3">
      <c r="A13415" t="s">
        <v>497</v>
      </c>
      <c r="B13415" t="s">
        <v>72</v>
      </c>
      <c r="C13415">
        <v>1</v>
      </c>
      <c r="D13415" t="s">
        <v>79</v>
      </c>
      <c r="E13415">
        <v>0.13845099999999999</v>
      </c>
      <c r="F13415" t="s">
        <v>74</v>
      </c>
      <c r="G13415">
        <v>138.45079999999999</v>
      </c>
      <c r="H13415" t="s">
        <v>75</v>
      </c>
      <c r="I13415">
        <v>138450.80100000001</v>
      </c>
      <c r="J13415" t="s">
        <v>76</v>
      </c>
      <c r="K13415" t="s">
        <v>77</v>
      </c>
    </row>
    <row r="13416" spans="1:12" x14ac:dyDescent="0.3">
      <c r="A13416" t="s">
        <v>497</v>
      </c>
      <c r="B13416" t="s">
        <v>72</v>
      </c>
      <c r="C13416">
        <v>1</v>
      </c>
      <c r="D13416" t="s">
        <v>94</v>
      </c>
      <c r="E13416">
        <v>9.8510000000000004E-3</v>
      </c>
      <c r="F13416" t="s">
        <v>74</v>
      </c>
      <c r="G13416">
        <v>9.8506</v>
      </c>
      <c r="H13416" t="s">
        <v>75</v>
      </c>
      <c r="I13416">
        <v>9850.6</v>
      </c>
      <c r="J13416" t="s">
        <v>76</v>
      </c>
      <c r="K13416" t="s">
        <v>77</v>
      </c>
    </row>
    <row r="13417" spans="1:12" x14ac:dyDescent="0.3">
      <c r="A13417" t="s">
        <v>497</v>
      </c>
      <c r="B13417" t="s">
        <v>72</v>
      </c>
      <c r="C13417">
        <v>1</v>
      </c>
      <c r="D13417" t="s">
        <v>80</v>
      </c>
      <c r="E13417">
        <v>9.8519999999999996E-3</v>
      </c>
      <c r="F13417" t="s">
        <v>74</v>
      </c>
      <c r="G13417">
        <v>9.8514999999999997</v>
      </c>
      <c r="H13417" t="s">
        <v>75</v>
      </c>
      <c r="I13417">
        <v>9851.5</v>
      </c>
      <c r="J13417" t="s">
        <v>76</v>
      </c>
      <c r="K13417" t="s">
        <v>77</v>
      </c>
    </row>
    <row r="13418" spans="1:12" x14ac:dyDescent="0.3">
      <c r="A13418" t="s">
        <v>497</v>
      </c>
      <c r="B13418" t="s">
        <v>72</v>
      </c>
      <c r="C13418">
        <v>1</v>
      </c>
      <c r="D13418" t="s">
        <v>81</v>
      </c>
      <c r="E13418">
        <v>0.14830299999999999</v>
      </c>
      <c r="F13418" t="s">
        <v>74</v>
      </c>
      <c r="G13418">
        <v>148.303</v>
      </c>
      <c r="H13418" t="s">
        <v>75</v>
      </c>
      <c r="I13418">
        <v>148303.00200000001</v>
      </c>
      <c r="J13418" t="s">
        <v>76</v>
      </c>
      <c r="K13418" t="s">
        <v>82</v>
      </c>
      <c r="L13418">
        <v>6.7429518000000002</v>
      </c>
    </row>
    <row r="13419" spans="1:12" x14ac:dyDescent="0.3">
      <c r="A13419" t="s">
        <v>497</v>
      </c>
      <c r="B13419" t="s">
        <v>83</v>
      </c>
      <c r="C13419">
        <v>693</v>
      </c>
      <c r="D13419" t="s">
        <v>79</v>
      </c>
      <c r="E13419">
        <v>0</v>
      </c>
      <c r="F13419" t="s">
        <v>74</v>
      </c>
      <c r="G13419">
        <v>1.4999999999999999E-4</v>
      </c>
      <c r="H13419" t="s">
        <v>75</v>
      </c>
      <c r="I13419">
        <v>0.14699999999999999</v>
      </c>
      <c r="J13419" t="s">
        <v>76</v>
      </c>
      <c r="K13419" t="s">
        <v>77</v>
      </c>
    </row>
    <row r="13420" spans="1:12" x14ac:dyDescent="0.3">
      <c r="A13420" t="s">
        <v>497</v>
      </c>
      <c r="B13420" t="s">
        <v>83</v>
      </c>
      <c r="C13420">
        <v>693</v>
      </c>
      <c r="D13420" t="s">
        <v>94</v>
      </c>
      <c r="E13420">
        <v>3.3649999999999999E-3</v>
      </c>
      <c r="F13420" t="s">
        <v>74</v>
      </c>
      <c r="G13420">
        <v>3.3654000000000002</v>
      </c>
      <c r="H13420" t="s">
        <v>75</v>
      </c>
      <c r="I13420">
        <v>3365.4</v>
      </c>
      <c r="J13420" t="s">
        <v>76</v>
      </c>
      <c r="K13420" t="s">
        <v>77</v>
      </c>
    </row>
    <row r="13421" spans="1:12" x14ac:dyDescent="0.3">
      <c r="A13421" t="s">
        <v>497</v>
      </c>
      <c r="B13421" t="s">
        <v>83</v>
      </c>
      <c r="C13421">
        <v>693</v>
      </c>
      <c r="D13421" t="s">
        <v>80</v>
      </c>
      <c r="E13421">
        <v>3.5379999999999999E-3</v>
      </c>
      <c r="F13421" t="s">
        <v>74</v>
      </c>
      <c r="G13421">
        <v>3.5382899999999999</v>
      </c>
      <c r="H13421" t="s">
        <v>75</v>
      </c>
      <c r="I13421">
        <v>3538.2910000000002</v>
      </c>
      <c r="J13421" t="s">
        <v>76</v>
      </c>
      <c r="K13421" t="s">
        <v>77</v>
      </c>
    </row>
    <row r="13422" spans="1:12" x14ac:dyDescent="0.3">
      <c r="A13422" t="s">
        <v>497</v>
      </c>
      <c r="B13422" t="s">
        <v>83</v>
      </c>
      <c r="C13422">
        <v>693</v>
      </c>
      <c r="D13422" t="s">
        <v>81</v>
      </c>
      <c r="E13422">
        <v>3.539E-3</v>
      </c>
      <c r="F13422" t="s">
        <v>74</v>
      </c>
      <c r="G13422">
        <v>3.5386099999999998</v>
      </c>
      <c r="H13422" t="s">
        <v>75</v>
      </c>
      <c r="I13422">
        <v>3538.6129999999998</v>
      </c>
      <c r="J13422" t="s">
        <v>76</v>
      </c>
      <c r="K13422" t="s">
        <v>82</v>
      </c>
      <c r="L13422">
        <v>282.59662489999999</v>
      </c>
    </row>
    <row r="13423" spans="1:12" x14ac:dyDescent="0.3">
      <c r="A13423" t="s">
        <v>497</v>
      </c>
      <c r="B13423" t="s">
        <v>84</v>
      </c>
      <c r="C13423">
        <v>694</v>
      </c>
      <c r="D13423" t="s">
        <v>79</v>
      </c>
      <c r="E13423">
        <v>2.0000000000000001E-4</v>
      </c>
      <c r="F13423" t="s">
        <v>74</v>
      </c>
      <c r="G13423">
        <v>0.19964000000000001</v>
      </c>
      <c r="H13423" t="s">
        <v>75</v>
      </c>
      <c r="I13423">
        <v>199.64400000000001</v>
      </c>
      <c r="J13423" t="s">
        <v>76</v>
      </c>
      <c r="K13423" t="s">
        <v>77</v>
      </c>
    </row>
    <row r="13424" spans="1:12" x14ac:dyDescent="0.3">
      <c r="A13424" t="s">
        <v>497</v>
      </c>
      <c r="B13424" t="s">
        <v>84</v>
      </c>
      <c r="C13424">
        <v>694</v>
      </c>
      <c r="D13424" t="s">
        <v>94</v>
      </c>
      <c r="E13424">
        <v>3.375E-3</v>
      </c>
      <c r="F13424" t="s">
        <v>74</v>
      </c>
      <c r="G13424">
        <v>3.3747400000000001</v>
      </c>
      <c r="H13424" t="s">
        <v>75</v>
      </c>
      <c r="I13424">
        <v>3374.7440000000001</v>
      </c>
      <c r="J13424" t="s">
        <v>76</v>
      </c>
      <c r="K13424" t="s">
        <v>77</v>
      </c>
    </row>
    <row r="13425" spans="1:12" x14ac:dyDescent="0.3">
      <c r="A13425" t="s">
        <v>497</v>
      </c>
      <c r="B13425" t="s">
        <v>84</v>
      </c>
      <c r="C13425">
        <v>694</v>
      </c>
      <c r="D13425" t="s">
        <v>80</v>
      </c>
      <c r="E13425">
        <v>3.5469999999999998E-3</v>
      </c>
      <c r="F13425" t="s">
        <v>74</v>
      </c>
      <c r="G13425">
        <v>3.54739</v>
      </c>
      <c r="H13425" t="s">
        <v>75</v>
      </c>
      <c r="I13425">
        <v>3547.3879999999999</v>
      </c>
      <c r="J13425" t="s">
        <v>76</v>
      </c>
      <c r="K13425" t="s">
        <v>77</v>
      </c>
    </row>
    <row r="13426" spans="1:12" x14ac:dyDescent="0.3">
      <c r="A13426" t="s">
        <v>497</v>
      </c>
      <c r="B13426" t="s">
        <v>84</v>
      </c>
      <c r="C13426">
        <v>694</v>
      </c>
      <c r="D13426" t="s">
        <v>81</v>
      </c>
      <c r="E13426">
        <v>3.7469999999999999E-3</v>
      </c>
      <c r="F13426" t="s">
        <v>74</v>
      </c>
      <c r="G13426">
        <v>3.7472099999999999</v>
      </c>
      <c r="H13426" t="s">
        <v>75</v>
      </c>
      <c r="I13426">
        <v>3747.2089999999998</v>
      </c>
      <c r="J13426" t="s">
        <v>76</v>
      </c>
      <c r="K13426" t="s">
        <v>82</v>
      </c>
      <c r="L13426">
        <v>266.86530970000001</v>
      </c>
    </row>
    <row r="13427" spans="1:12" x14ac:dyDescent="0.3">
      <c r="A13427" t="s">
        <v>498</v>
      </c>
      <c r="B13427" t="s">
        <v>72</v>
      </c>
      <c r="C13427">
        <v>1</v>
      </c>
      <c r="D13427" t="s">
        <v>73</v>
      </c>
      <c r="E13427">
        <v>5.1E-5</v>
      </c>
      <c r="F13427" t="s">
        <v>74</v>
      </c>
      <c r="G13427">
        <v>5.1499999999999997E-2</v>
      </c>
      <c r="H13427" t="s">
        <v>75</v>
      </c>
      <c r="I13427">
        <v>51.5</v>
      </c>
      <c r="J13427" t="s">
        <v>76</v>
      </c>
      <c r="K13427" t="s">
        <v>77</v>
      </c>
    </row>
    <row r="13428" spans="1:12" x14ac:dyDescent="0.3">
      <c r="A13428" t="s">
        <v>498</v>
      </c>
      <c r="B13428" t="s">
        <v>72</v>
      </c>
      <c r="C13428">
        <v>1</v>
      </c>
      <c r="D13428" t="s">
        <v>78</v>
      </c>
      <c r="E13428">
        <v>0.133053</v>
      </c>
      <c r="F13428" t="s">
        <v>74</v>
      </c>
      <c r="G13428">
        <v>133.05289999999999</v>
      </c>
      <c r="H13428" t="s">
        <v>75</v>
      </c>
      <c r="I13428">
        <v>133052.9</v>
      </c>
      <c r="J13428" t="s">
        <v>76</v>
      </c>
      <c r="K13428" t="s">
        <v>77</v>
      </c>
    </row>
    <row r="13429" spans="1:12" x14ac:dyDescent="0.3">
      <c r="A13429" t="s">
        <v>498</v>
      </c>
      <c r="B13429" t="s">
        <v>72</v>
      </c>
      <c r="C13429">
        <v>2</v>
      </c>
      <c r="D13429" t="s">
        <v>86</v>
      </c>
      <c r="E13429">
        <v>0.25199500000000002</v>
      </c>
      <c r="F13429" t="s">
        <v>74</v>
      </c>
      <c r="G13429">
        <v>251.99509</v>
      </c>
      <c r="H13429" t="s">
        <v>75</v>
      </c>
      <c r="I13429">
        <v>251995.087</v>
      </c>
      <c r="J13429" t="s">
        <v>76</v>
      </c>
      <c r="K13429" t="s">
        <v>82</v>
      </c>
      <c r="L13429">
        <v>3.9683313</v>
      </c>
    </row>
    <row r="13430" spans="1:12" x14ac:dyDescent="0.3">
      <c r="A13430" t="s">
        <v>498</v>
      </c>
      <c r="B13430" t="s">
        <v>83</v>
      </c>
      <c r="C13430">
        <v>999</v>
      </c>
      <c r="D13430" t="s">
        <v>86</v>
      </c>
      <c r="E13430">
        <v>2.4810000000000001E-3</v>
      </c>
      <c r="F13430" t="s">
        <v>74</v>
      </c>
      <c r="G13430">
        <v>2.4809000000000001</v>
      </c>
      <c r="H13430" t="s">
        <v>75</v>
      </c>
      <c r="I13430">
        <v>2480.9</v>
      </c>
      <c r="J13430" t="s">
        <v>76</v>
      </c>
      <c r="K13430" t="s">
        <v>82</v>
      </c>
      <c r="L13430">
        <v>403.07949439999999</v>
      </c>
    </row>
    <row r="13431" spans="1:12" x14ac:dyDescent="0.3">
      <c r="A13431" t="s">
        <v>498</v>
      </c>
      <c r="B13431" t="s">
        <v>85</v>
      </c>
      <c r="C13431">
        <v>1001</v>
      </c>
      <c r="D13431" t="s">
        <v>86</v>
      </c>
      <c r="E13431">
        <v>2.627E-3</v>
      </c>
      <c r="F13431" t="s">
        <v>74</v>
      </c>
      <c r="G13431">
        <v>2.6271900000000001</v>
      </c>
      <c r="H13431" t="s">
        <v>75</v>
      </c>
      <c r="I13431">
        <v>2627.1860000000001</v>
      </c>
      <c r="J13431" t="s">
        <v>76</v>
      </c>
      <c r="K13431" t="s">
        <v>82</v>
      </c>
      <c r="L13431">
        <v>380.63547010000002</v>
      </c>
    </row>
    <row r="13432" spans="1:12" x14ac:dyDescent="0.3">
      <c r="A13432" t="s">
        <v>187</v>
      </c>
    </row>
    <row r="13433" spans="1:12" x14ac:dyDescent="0.3">
      <c r="A13433" t="s">
        <v>187</v>
      </c>
    </row>
    <row r="13434" spans="1:12" x14ac:dyDescent="0.3">
      <c r="A13434" t="s">
        <v>540</v>
      </c>
    </row>
    <row r="13435" spans="1:12" x14ac:dyDescent="0.3">
      <c r="A13435" t="s">
        <v>496</v>
      </c>
      <c r="B13435" t="s">
        <v>72</v>
      </c>
      <c r="C13435">
        <v>1</v>
      </c>
      <c r="D13435" t="s">
        <v>79</v>
      </c>
      <c r="E13435">
        <v>7.3090000000000004E-3</v>
      </c>
      <c r="F13435" t="s">
        <v>74</v>
      </c>
      <c r="G13435">
        <v>7.3091999999999997</v>
      </c>
      <c r="H13435" t="s">
        <v>75</v>
      </c>
      <c r="I13435">
        <v>7309.2</v>
      </c>
      <c r="J13435" t="s">
        <v>76</v>
      </c>
      <c r="K13435" t="s">
        <v>77</v>
      </c>
    </row>
    <row r="13436" spans="1:12" x14ac:dyDescent="0.3">
      <c r="A13436" t="s">
        <v>496</v>
      </c>
      <c r="B13436" t="s">
        <v>72</v>
      </c>
      <c r="C13436">
        <v>1</v>
      </c>
      <c r="D13436" t="s">
        <v>94</v>
      </c>
      <c r="E13436">
        <v>2.0976000000000002E-2</v>
      </c>
      <c r="F13436" t="s">
        <v>74</v>
      </c>
      <c r="G13436">
        <v>20.9756</v>
      </c>
      <c r="H13436" t="s">
        <v>75</v>
      </c>
      <c r="I13436">
        <v>20975.600999999999</v>
      </c>
      <c r="J13436" t="s">
        <v>76</v>
      </c>
      <c r="K13436" t="s">
        <v>77</v>
      </c>
    </row>
    <row r="13437" spans="1:12" x14ac:dyDescent="0.3">
      <c r="A13437" t="s">
        <v>496</v>
      </c>
      <c r="B13437" t="s">
        <v>72</v>
      </c>
      <c r="C13437">
        <v>1</v>
      </c>
      <c r="D13437" t="s">
        <v>80</v>
      </c>
      <c r="E13437">
        <v>2.1166999999999998E-2</v>
      </c>
      <c r="F13437" t="s">
        <v>74</v>
      </c>
      <c r="G13437">
        <v>21.167000000000002</v>
      </c>
      <c r="H13437" t="s">
        <v>75</v>
      </c>
      <c r="I13437">
        <v>21167.001</v>
      </c>
      <c r="J13437" t="s">
        <v>76</v>
      </c>
      <c r="K13437" t="s">
        <v>77</v>
      </c>
    </row>
    <row r="13438" spans="1:12" x14ac:dyDescent="0.3">
      <c r="A13438" t="s">
        <v>496</v>
      </c>
      <c r="B13438" t="s">
        <v>72</v>
      </c>
      <c r="C13438">
        <v>1</v>
      </c>
      <c r="D13438" t="s">
        <v>81</v>
      </c>
      <c r="E13438">
        <v>2.8476999999999999E-2</v>
      </c>
      <c r="F13438" t="s">
        <v>74</v>
      </c>
      <c r="G13438">
        <v>28.4772</v>
      </c>
      <c r="H13438" t="s">
        <v>75</v>
      </c>
      <c r="I13438">
        <v>28477.199000000001</v>
      </c>
      <c r="J13438" t="s">
        <v>76</v>
      </c>
      <c r="K13438" t="s">
        <v>82</v>
      </c>
      <c r="L13438">
        <v>35.115812699999999</v>
      </c>
    </row>
    <row r="13439" spans="1:12" x14ac:dyDescent="0.3">
      <c r="A13439" t="s">
        <v>496</v>
      </c>
      <c r="B13439" t="s">
        <v>83</v>
      </c>
      <c r="C13439">
        <v>587</v>
      </c>
      <c r="D13439" t="s">
        <v>79</v>
      </c>
      <c r="E13439">
        <v>0</v>
      </c>
      <c r="F13439" t="s">
        <v>74</v>
      </c>
      <c r="G13439">
        <v>1.6000000000000001E-4</v>
      </c>
      <c r="H13439" t="s">
        <v>75</v>
      </c>
      <c r="I13439">
        <v>0.155</v>
      </c>
      <c r="J13439" t="s">
        <v>76</v>
      </c>
      <c r="K13439" t="s">
        <v>77</v>
      </c>
    </row>
    <row r="13440" spans="1:12" x14ac:dyDescent="0.3">
      <c r="A13440" t="s">
        <v>496</v>
      </c>
      <c r="B13440" t="s">
        <v>83</v>
      </c>
      <c r="C13440">
        <v>587</v>
      </c>
      <c r="D13440" t="s">
        <v>94</v>
      </c>
      <c r="E13440">
        <v>3.9280000000000001E-3</v>
      </c>
      <c r="F13440" t="s">
        <v>74</v>
      </c>
      <c r="G13440">
        <v>3.9278300000000002</v>
      </c>
      <c r="H13440" t="s">
        <v>75</v>
      </c>
      <c r="I13440">
        <v>3927.8330000000001</v>
      </c>
      <c r="J13440" t="s">
        <v>76</v>
      </c>
      <c r="K13440" t="s">
        <v>77</v>
      </c>
    </row>
    <row r="13441" spans="1:12" x14ac:dyDescent="0.3">
      <c r="A13441" t="s">
        <v>496</v>
      </c>
      <c r="B13441" t="s">
        <v>83</v>
      </c>
      <c r="C13441">
        <v>587</v>
      </c>
      <c r="D13441" t="s">
        <v>80</v>
      </c>
      <c r="E13441">
        <v>4.0899999999999999E-3</v>
      </c>
      <c r="F13441" t="s">
        <v>74</v>
      </c>
      <c r="G13441">
        <v>4.0902700000000003</v>
      </c>
      <c r="H13441" t="s">
        <v>75</v>
      </c>
      <c r="I13441">
        <v>4090.27</v>
      </c>
      <c r="J13441" t="s">
        <v>76</v>
      </c>
      <c r="K13441" t="s">
        <v>77</v>
      </c>
    </row>
    <row r="13442" spans="1:12" x14ac:dyDescent="0.3">
      <c r="A13442" t="s">
        <v>496</v>
      </c>
      <c r="B13442" t="s">
        <v>83</v>
      </c>
      <c r="C13442">
        <v>587</v>
      </c>
      <c r="D13442" t="s">
        <v>81</v>
      </c>
      <c r="E13442">
        <v>4.091E-3</v>
      </c>
      <c r="F13442" t="s">
        <v>74</v>
      </c>
      <c r="G13442">
        <v>4.0906099999999999</v>
      </c>
      <c r="H13442" t="s">
        <v>75</v>
      </c>
      <c r="I13442">
        <v>4090.607</v>
      </c>
      <c r="J13442" t="s">
        <v>76</v>
      </c>
      <c r="K13442" t="s">
        <v>82</v>
      </c>
      <c r="L13442">
        <v>244.4625049</v>
      </c>
    </row>
    <row r="13443" spans="1:12" x14ac:dyDescent="0.3">
      <c r="A13443" t="s">
        <v>496</v>
      </c>
      <c r="B13443" t="s">
        <v>84</v>
      </c>
      <c r="C13443">
        <v>588</v>
      </c>
      <c r="D13443" t="s">
        <v>79</v>
      </c>
      <c r="E13443">
        <v>1.2999999999999999E-5</v>
      </c>
      <c r="F13443" t="s">
        <v>74</v>
      </c>
      <c r="G13443">
        <v>1.259E-2</v>
      </c>
      <c r="H13443" t="s">
        <v>75</v>
      </c>
      <c r="I13443">
        <v>12.585000000000001</v>
      </c>
      <c r="J13443" t="s">
        <v>76</v>
      </c>
      <c r="K13443" t="s">
        <v>77</v>
      </c>
    </row>
    <row r="13444" spans="1:12" x14ac:dyDescent="0.3">
      <c r="A13444" t="s">
        <v>496</v>
      </c>
      <c r="B13444" t="s">
        <v>84</v>
      </c>
      <c r="C13444">
        <v>588</v>
      </c>
      <c r="D13444" t="s">
        <v>94</v>
      </c>
      <c r="E13444">
        <v>3.9569999999999996E-3</v>
      </c>
      <c r="F13444" t="s">
        <v>74</v>
      </c>
      <c r="G13444">
        <v>3.9568300000000001</v>
      </c>
      <c r="H13444" t="s">
        <v>75</v>
      </c>
      <c r="I13444">
        <v>3956.8270000000002</v>
      </c>
      <c r="J13444" t="s">
        <v>76</v>
      </c>
      <c r="K13444" t="s">
        <v>77</v>
      </c>
    </row>
    <row r="13445" spans="1:12" x14ac:dyDescent="0.3">
      <c r="A13445" t="s">
        <v>496</v>
      </c>
      <c r="B13445" t="s">
        <v>84</v>
      </c>
      <c r="C13445">
        <v>588</v>
      </c>
      <c r="D13445" t="s">
        <v>80</v>
      </c>
      <c r="E13445">
        <v>4.1190000000000003E-3</v>
      </c>
      <c r="F13445" t="s">
        <v>74</v>
      </c>
      <c r="G13445">
        <v>4.1193099999999996</v>
      </c>
      <c r="H13445" t="s">
        <v>75</v>
      </c>
      <c r="I13445">
        <v>4119.3130000000001</v>
      </c>
      <c r="J13445" t="s">
        <v>76</v>
      </c>
      <c r="K13445" t="s">
        <v>77</v>
      </c>
    </row>
    <row r="13446" spans="1:12" x14ac:dyDescent="0.3">
      <c r="A13446" t="s">
        <v>496</v>
      </c>
      <c r="B13446" t="s">
        <v>84</v>
      </c>
      <c r="C13446">
        <v>588</v>
      </c>
      <c r="D13446" t="s">
        <v>81</v>
      </c>
      <c r="E13446">
        <v>4.1320000000000003E-3</v>
      </c>
      <c r="F13446" t="s">
        <v>74</v>
      </c>
      <c r="G13446">
        <v>4.1320800000000002</v>
      </c>
      <c r="H13446" t="s">
        <v>75</v>
      </c>
      <c r="I13446">
        <v>4132.08</v>
      </c>
      <c r="J13446" t="s">
        <v>76</v>
      </c>
      <c r="K13446" t="s">
        <v>82</v>
      </c>
      <c r="L13446">
        <v>242.00885310000001</v>
      </c>
    </row>
    <row r="13447" spans="1:12" x14ac:dyDescent="0.3">
      <c r="A13447" t="s">
        <v>497</v>
      </c>
      <c r="B13447" t="s">
        <v>72</v>
      </c>
      <c r="C13447">
        <v>1</v>
      </c>
      <c r="D13447" t="s">
        <v>79</v>
      </c>
      <c r="E13447">
        <v>4.4320000000000002E-3</v>
      </c>
      <c r="F13447" t="s">
        <v>74</v>
      </c>
      <c r="G13447">
        <v>4.4320000000000004</v>
      </c>
      <c r="H13447" t="s">
        <v>75</v>
      </c>
      <c r="I13447">
        <v>4432</v>
      </c>
      <c r="J13447" t="s">
        <v>76</v>
      </c>
      <c r="K13447" t="s">
        <v>77</v>
      </c>
    </row>
    <row r="13448" spans="1:12" x14ac:dyDescent="0.3">
      <c r="A13448" t="s">
        <v>497</v>
      </c>
      <c r="B13448" t="s">
        <v>72</v>
      </c>
      <c r="C13448">
        <v>1</v>
      </c>
      <c r="D13448" t="s">
        <v>94</v>
      </c>
      <c r="E13448">
        <v>4.8050000000000002E-3</v>
      </c>
      <c r="F13448" t="s">
        <v>74</v>
      </c>
      <c r="G13448">
        <v>4.8048999999999999</v>
      </c>
      <c r="H13448" t="s">
        <v>75</v>
      </c>
      <c r="I13448">
        <v>4804.8999999999996</v>
      </c>
      <c r="J13448" t="s">
        <v>76</v>
      </c>
      <c r="K13448" t="s">
        <v>77</v>
      </c>
    </row>
    <row r="13449" spans="1:12" x14ac:dyDescent="0.3">
      <c r="A13449" t="s">
        <v>497</v>
      </c>
      <c r="B13449" t="s">
        <v>72</v>
      </c>
      <c r="C13449">
        <v>1</v>
      </c>
      <c r="D13449" t="s">
        <v>80</v>
      </c>
      <c r="E13449">
        <v>4.9630000000000004E-3</v>
      </c>
      <c r="F13449" t="s">
        <v>74</v>
      </c>
      <c r="G13449">
        <v>4.9629000000000003</v>
      </c>
      <c r="H13449" t="s">
        <v>75</v>
      </c>
      <c r="I13449">
        <v>4962.8999999999996</v>
      </c>
      <c r="J13449" t="s">
        <v>76</v>
      </c>
      <c r="K13449" t="s">
        <v>77</v>
      </c>
    </row>
    <row r="13450" spans="1:12" x14ac:dyDescent="0.3">
      <c r="A13450" t="s">
        <v>497</v>
      </c>
      <c r="B13450" t="s">
        <v>72</v>
      </c>
      <c r="C13450">
        <v>1</v>
      </c>
      <c r="D13450" t="s">
        <v>81</v>
      </c>
      <c r="E13450">
        <v>9.3959999999999998E-3</v>
      </c>
      <c r="F13450" t="s">
        <v>74</v>
      </c>
      <c r="G13450">
        <v>9.3956</v>
      </c>
      <c r="H13450" t="s">
        <v>75</v>
      </c>
      <c r="I13450">
        <v>9395.6</v>
      </c>
      <c r="J13450" t="s">
        <v>76</v>
      </c>
      <c r="K13450" t="s">
        <v>82</v>
      </c>
      <c r="L13450">
        <v>106.432795</v>
      </c>
    </row>
    <row r="13451" spans="1:12" x14ac:dyDescent="0.3">
      <c r="A13451" t="s">
        <v>497</v>
      </c>
      <c r="B13451" t="s">
        <v>83</v>
      </c>
      <c r="C13451">
        <v>412</v>
      </c>
      <c r="D13451" t="s">
        <v>79</v>
      </c>
      <c r="E13451">
        <v>0</v>
      </c>
      <c r="F13451" t="s">
        <v>74</v>
      </c>
      <c r="G13451">
        <v>1.3999999999999999E-4</v>
      </c>
      <c r="H13451" t="s">
        <v>75</v>
      </c>
      <c r="I13451">
        <v>0.13800000000000001</v>
      </c>
      <c r="J13451" t="s">
        <v>76</v>
      </c>
      <c r="K13451" t="s">
        <v>77</v>
      </c>
    </row>
    <row r="13452" spans="1:12" x14ac:dyDescent="0.3">
      <c r="A13452" t="s">
        <v>497</v>
      </c>
      <c r="B13452" t="s">
        <v>83</v>
      </c>
      <c r="C13452">
        <v>412</v>
      </c>
      <c r="D13452" t="s">
        <v>94</v>
      </c>
      <c r="E13452">
        <v>5.7200000000000003E-3</v>
      </c>
      <c r="F13452" t="s">
        <v>74</v>
      </c>
      <c r="G13452">
        <v>5.7199799999999996</v>
      </c>
      <c r="H13452" t="s">
        <v>75</v>
      </c>
      <c r="I13452">
        <v>5719.9809999999998</v>
      </c>
      <c r="J13452" t="s">
        <v>76</v>
      </c>
      <c r="K13452" t="s">
        <v>77</v>
      </c>
    </row>
    <row r="13453" spans="1:12" x14ac:dyDescent="0.3">
      <c r="A13453" t="s">
        <v>497</v>
      </c>
      <c r="B13453" t="s">
        <v>83</v>
      </c>
      <c r="C13453">
        <v>412</v>
      </c>
      <c r="D13453" t="s">
        <v>80</v>
      </c>
      <c r="E13453">
        <v>5.8840000000000003E-3</v>
      </c>
      <c r="F13453" t="s">
        <v>74</v>
      </c>
      <c r="G13453">
        <v>5.88375</v>
      </c>
      <c r="H13453" t="s">
        <v>75</v>
      </c>
      <c r="I13453">
        <v>5883.7449999999999</v>
      </c>
      <c r="J13453" t="s">
        <v>76</v>
      </c>
      <c r="K13453" t="s">
        <v>77</v>
      </c>
    </row>
    <row r="13454" spans="1:12" x14ac:dyDescent="0.3">
      <c r="A13454" t="s">
        <v>497</v>
      </c>
      <c r="B13454" t="s">
        <v>83</v>
      </c>
      <c r="C13454">
        <v>412</v>
      </c>
      <c r="D13454" t="s">
        <v>81</v>
      </c>
      <c r="E13454">
        <v>5.8840000000000003E-3</v>
      </c>
      <c r="F13454" t="s">
        <v>74</v>
      </c>
      <c r="G13454">
        <v>5.8840599999999998</v>
      </c>
      <c r="H13454" t="s">
        <v>75</v>
      </c>
      <c r="I13454">
        <v>5884.06</v>
      </c>
      <c r="J13454" t="s">
        <v>76</v>
      </c>
      <c r="K13454" t="s">
        <v>82</v>
      </c>
      <c r="L13454">
        <v>169.95068019999999</v>
      </c>
    </row>
    <row r="13455" spans="1:12" x14ac:dyDescent="0.3">
      <c r="A13455" t="s">
        <v>497</v>
      </c>
      <c r="B13455" t="s">
        <v>84</v>
      </c>
      <c r="C13455">
        <v>413</v>
      </c>
      <c r="D13455" t="s">
        <v>79</v>
      </c>
      <c r="E13455">
        <v>1.1E-5</v>
      </c>
      <c r="F13455" t="s">
        <v>74</v>
      </c>
      <c r="G13455">
        <v>1.0869999999999999E-2</v>
      </c>
      <c r="H13455" t="s">
        <v>75</v>
      </c>
      <c r="I13455">
        <v>10.869</v>
      </c>
      <c r="J13455" t="s">
        <v>76</v>
      </c>
      <c r="K13455" t="s">
        <v>77</v>
      </c>
    </row>
    <row r="13456" spans="1:12" x14ac:dyDescent="0.3">
      <c r="A13456" t="s">
        <v>497</v>
      </c>
      <c r="B13456" t="s">
        <v>84</v>
      </c>
      <c r="C13456">
        <v>413</v>
      </c>
      <c r="D13456" t="s">
        <v>94</v>
      </c>
      <c r="E13456">
        <v>5.718E-3</v>
      </c>
      <c r="F13456" t="s">
        <v>74</v>
      </c>
      <c r="G13456">
        <v>5.7177699999999998</v>
      </c>
      <c r="H13456" t="s">
        <v>75</v>
      </c>
      <c r="I13456">
        <v>5717.7650000000003</v>
      </c>
      <c r="J13456" t="s">
        <v>76</v>
      </c>
      <c r="K13456" t="s">
        <v>77</v>
      </c>
    </row>
    <row r="13457" spans="1:12" x14ac:dyDescent="0.3">
      <c r="A13457" t="s">
        <v>497</v>
      </c>
      <c r="B13457" t="s">
        <v>84</v>
      </c>
      <c r="C13457">
        <v>413</v>
      </c>
      <c r="D13457" t="s">
        <v>80</v>
      </c>
      <c r="E13457">
        <v>5.8820000000000001E-3</v>
      </c>
      <c r="F13457" t="s">
        <v>74</v>
      </c>
      <c r="G13457">
        <v>5.8815200000000001</v>
      </c>
      <c r="H13457" t="s">
        <v>75</v>
      </c>
      <c r="I13457">
        <v>5881.5150000000003</v>
      </c>
      <c r="J13457" t="s">
        <v>76</v>
      </c>
      <c r="K13457" t="s">
        <v>77</v>
      </c>
    </row>
    <row r="13458" spans="1:12" x14ac:dyDescent="0.3">
      <c r="A13458" t="s">
        <v>497</v>
      </c>
      <c r="B13458" t="s">
        <v>84</v>
      </c>
      <c r="C13458">
        <v>413</v>
      </c>
      <c r="D13458" t="s">
        <v>81</v>
      </c>
      <c r="E13458">
        <v>5.8929999999999998E-3</v>
      </c>
      <c r="F13458" t="s">
        <v>74</v>
      </c>
      <c r="G13458">
        <v>5.8925599999999996</v>
      </c>
      <c r="H13458" t="s">
        <v>75</v>
      </c>
      <c r="I13458">
        <v>5892.5619999999999</v>
      </c>
      <c r="J13458" t="s">
        <v>76</v>
      </c>
      <c r="K13458" t="s">
        <v>82</v>
      </c>
      <c r="L13458">
        <v>169.70547099999999</v>
      </c>
    </row>
    <row r="13459" spans="1:12" x14ac:dyDescent="0.3">
      <c r="A13459" t="s">
        <v>498</v>
      </c>
      <c r="B13459" t="s">
        <v>72</v>
      </c>
      <c r="C13459">
        <v>1</v>
      </c>
      <c r="D13459" t="s">
        <v>73</v>
      </c>
      <c r="E13459">
        <v>5.1E-5</v>
      </c>
      <c r="F13459" t="s">
        <v>74</v>
      </c>
      <c r="G13459">
        <v>5.1499999999999997E-2</v>
      </c>
      <c r="H13459" t="s">
        <v>75</v>
      </c>
      <c r="I13459">
        <v>51.5</v>
      </c>
      <c r="J13459" t="s">
        <v>76</v>
      </c>
      <c r="K13459" t="s">
        <v>77</v>
      </c>
    </row>
    <row r="13460" spans="1:12" x14ac:dyDescent="0.3">
      <c r="A13460" t="s">
        <v>498</v>
      </c>
      <c r="B13460" t="s">
        <v>72</v>
      </c>
      <c r="C13460">
        <v>1</v>
      </c>
      <c r="D13460" t="s">
        <v>78</v>
      </c>
      <c r="E13460">
        <v>1.26E-4</v>
      </c>
      <c r="F13460" t="s">
        <v>74</v>
      </c>
      <c r="G13460">
        <v>0.1258</v>
      </c>
      <c r="H13460" t="s">
        <v>75</v>
      </c>
      <c r="I13460">
        <v>125.8</v>
      </c>
      <c r="J13460" t="s">
        <v>76</v>
      </c>
      <c r="K13460" t="s">
        <v>77</v>
      </c>
    </row>
    <row r="13461" spans="1:12" x14ac:dyDescent="0.3">
      <c r="A13461" t="s">
        <v>498</v>
      </c>
      <c r="B13461" t="s">
        <v>72</v>
      </c>
      <c r="C13461">
        <v>2</v>
      </c>
      <c r="D13461" t="s">
        <v>86</v>
      </c>
      <c r="E13461">
        <v>1.4241999999999999E-2</v>
      </c>
      <c r="F13461" t="s">
        <v>74</v>
      </c>
      <c r="G13461">
        <v>14.2416</v>
      </c>
      <c r="H13461" t="s">
        <v>75</v>
      </c>
      <c r="I13461">
        <v>14241.6</v>
      </c>
      <c r="J13461" t="s">
        <v>76</v>
      </c>
      <c r="K13461" t="s">
        <v>82</v>
      </c>
      <c r="L13461">
        <v>70.216827600000002</v>
      </c>
    </row>
    <row r="13462" spans="1:12" x14ac:dyDescent="0.3">
      <c r="A13462" t="s">
        <v>498</v>
      </c>
      <c r="B13462" t="s">
        <v>83</v>
      </c>
      <c r="C13462">
        <v>999</v>
      </c>
      <c r="D13462" t="s">
        <v>86</v>
      </c>
      <c r="E13462">
        <v>2.4350000000000001E-3</v>
      </c>
      <c r="F13462" t="s">
        <v>74</v>
      </c>
      <c r="G13462">
        <v>2.4347799999999999</v>
      </c>
      <c r="H13462" t="s">
        <v>75</v>
      </c>
      <c r="I13462">
        <v>2434.7779999999998</v>
      </c>
      <c r="J13462" t="s">
        <v>76</v>
      </c>
      <c r="K13462" t="s">
        <v>82</v>
      </c>
      <c r="L13462">
        <v>410.71501910000001</v>
      </c>
    </row>
    <row r="13463" spans="1:12" x14ac:dyDescent="0.3">
      <c r="A13463" t="s">
        <v>498</v>
      </c>
      <c r="B13463" t="s">
        <v>85</v>
      </c>
      <c r="C13463">
        <v>1001</v>
      </c>
      <c r="D13463" t="s">
        <v>86</v>
      </c>
      <c r="E13463">
        <v>2.4420000000000002E-3</v>
      </c>
      <c r="F13463" t="s">
        <v>74</v>
      </c>
      <c r="G13463">
        <v>2.4422600000000001</v>
      </c>
      <c r="H13463" t="s">
        <v>75</v>
      </c>
      <c r="I13463">
        <v>2442.2640000000001</v>
      </c>
      <c r="J13463" t="s">
        <v>76</v>
      </c>
      <c r="K13463" t="s">
        <v>82</v>
      </c>
      <c r="L13463">
        <v>409.4561544</v>
      </c>
    </row>
    <row r="13464" spans="1:12" x14ac:dyDescent="0.3">
      <c r="A13464" t="s">
        <v>115</v>
      </c>
    </row>
    <row r="13465" spans="1:12" x14ac:dyDescent="0.3">
      <c r="A13465" t="s">
        <v>127</v>
      </c>
    </row>
    <row r="13466" spans="1:12" x14ac:dyDescent="0.3">
      <c r="A13466" t="s">
        <v>87</v>
      </c>
    </row>
    <row r="13467" spans="1:12" x14ac:dyDescent="0.3">
      <c r="A13467" t="s">
        <v>541</v>
      </c>
    </row>
    <row r="13468" spans="1:12" x14ac:dyDescent="0.3">
      <c r="A13468" t="s">
        <v>496</v>
      </c>
      <c r="B13468" t="s">
        <v>72</v>
      </c>
      <c r="C13468">
        <v>1</v>
      </c>
      <c r="D13468" t="s">
        <v>81</v>
      </c>
      <c r="E13468">
        <v>0.50394799999999995</v>
      </c>
      <c r="F13468" t="s">
        <v>74</v>
      </c>
      <c r="G13468">
        <v>503.94797</v>
      </c>
      <c r="H13468" t="s">
        <v>75</v>
      </c>
      <c r="I13468">
        <v>503947.973</v>
      </c>
      <c r="J13468" t="s">
        <v>76</v>
      </c>
      <c r="K13468" t="s">
        <v>82</v>
      </c>
      <c r="L13468">
        <v>1.9843318000000001</v>
      </c>
    </row>
    <row r="13469" spans="1:12" x14ac:dyDescent="0.3">
      <c r="A13469" t="s">
        <v>496</v>
      </c>
      <c r="B13469" t="s">
        <v>83</v>
      </c>
      <c r="C13469">
        <v>306</v>
      </c>
      <c r="D13469" t="s">
        <v>81</v>
      </c>
      <c r="E13469">
        <v>6.9280000000000001E-3</v>
      </c>
      <c r="F13469" t="s">
        <v>74</v>
      </c>
      <c r="G13469">
        <v>6.92781</v>
      </c>
      <c r="H13469" t="s">
        <v>75</v>
      </c>
      <c r="I13469">
        <v>6927.8069999999998</v>
      </c>
      <c r="J13469" t="s">
        <v>76</v>
      </c>
      <c r="K13469" t="s">
        <v>82</v>
      </c>
      <c r="L13469">
        <v>144.3458153</v>
      </c>
    </row>
    <row r="13470" spans="1:12" x14ac:dyDescent="0.3">
      <c r="A13470" t="s">
        <v>496</v>
      </c>
      <c r="B13470" t="s">
        <v>84</v>
      </c>
      <c r="C13470">
        <v>307</v>
      </c>
      <c r="D13470" t="s">
        <v>81</v>
      </c>
      <c r="E13470">
        <v>8.5470000000000008E-3</v>
      </c>
      <c r="F13470" t="s">
        <v>74</v>
      </c>
      <c r="G13470">
        <v>8.5467700000000004</v>
      </c>
      <c r="H13470" t="s">
        <v>75</v>
      </c>
      <c r="I13470">
        <v>8546.7669999999998</v>
      </c>
      <c r="J13470" t="s">
        <v>76</v>
      </c>
      <c r="K13470" t="s">
        <v>82</v>
      </c>
      <c r="L13470">
        <v>117.00330529999999</v>
      </c>
    </row>
    <row r="13471" spans="1:12" x14ac:dyDescent="0.3">
      <c r="A13471" t="s">
        <v>497</v>
      </c>
      <c r="B13471" t="s">
        <v>72</v>
      </c>
      <c r="C13471">
        <v>1</v>
      </c>
      <c r="D13471" t="s">
        <v>81</v>
      </c>
      <c r="E13471">
        <v>0.14830299999999999</v>
      </c>
      <c r="F13471" t="s">
        <v>74</v>
      </c>
      <c r="G13471">
        <v>148.303</v>
      </c>
      <c r="H13471" t="s">
        <v>75</v>
      </c>
      <c r="I13471">
        <v>148303.00200000001</v>
      </c>
      <c r="J13471" t="s">
        <v>76</v>
      </c>
      <c r="K13471" t="s">
        <v>82</v>
      </c>
      <c r="L13471">
        <v>6.7429518000000002</v>
      </c>
    </row>
    <row r="13472" spans="1:12" x14ac:dyDescent="0.3">
      <c r="A13472" t="s">
        <v>497</v>
      </c>
      <c r="B13472" t="s">
        <v>83</v>
      </c>
      <c r="C13472">
        <v>693</v>
      </c>
      <c r="D13472" t="s">
        <v>81</v>
      </c>
      <c r="E13472">
        <v>3.539E-3</v>
      </c>
      <c r="F13472" t="s">
        <v>74</v>
      </c>
      <c r="G13472">
        <v>3.5386099999999998</v>
      </c>
      <c r="H13472" t="s">
        <v>75</v>
      </c>
      <c r="I13472">
        <v>3538.6129999999998</v>
      </c>
      <c r="J13472" t="s">
        <v>76</v>
      </c>
      <c r="K13472" t="s">
        <v>82</v>
      </c>
      <c r="L13472">
        <v>282.59662489999999</v>
      </c>
    </row>
    <row r="13473" spans="1:12" x14ac:dyDescent="0.3">
      <c r="A13473" t="s">
        <v>497</v>
      </c>
      <c r="B13473" t="s">
        <v>84</v>
      </c>
      <c r="C13473">
        <v>694</v>
      </c>
      <c r="D13473" t="s">
        <v>81</v>
      </c>
      <c r="E13473">
        <v>3.7469999999999999E-3</v>
      </c>
      <c r="F13473" t="s">
        <v>74</v>
      </c>
      <c r="G13473">
        <v>3.7472099999999999</v>
      </c>
      <c r="H13473" t="s">
        <v>75</v>
      </c>
      <c r="I13473">
        <v>3747.2089999999998</v>
      </c>
      <c r="J13473" t="s">
        <v>76</v>
      </c>
      <c r="K13473" t="s">
        <v>82</v>
      </c>
      <c r="L13473">
        <v>266.86530970000001</v>
      </c>
    </row>
    <row r="13474" spans="1:12" x14ac:dyDescent="0.3">
      <c r="A13474" t="s">
        <v>498</v>
      </c>
      <c r="B13474" t="s">
        <v>72</v>
      </c>
      <c r="C13474">
        <v>2</v>
      </c>
      <c r="D13474" t="s">
        <v>86</v>
      </c>
      <c r="E13474">
        <v>0.25199500000000002</v>
      </c>
      <c r="F13474" t="s">
        <v>74</v>
      </c>
      <c r="G13474">
        <v>251.99509</v>
      </c>
      <c r="H13474" t="s">
        <v>75</v>
      </c>
      <c r="I13474">
        <v>251995.087</v>
      </c>
      <c r="J13474" t="s">
        <v>76</v>
      </c>
      <c r="K13474" t="s">
        <v>82</v>
      </c>
      <c r="L13474">
        <v>3.9683313</v>
      </c>
    </row>
    <row r="13475" spans="1:12" x14ac:dyDescent="0.3">
      <c r="A13475" t="s">
        <v>498</v>
      </c>
      <c r="B13475" t="s">
        <v>83</v>
      </c>
      <c r="C13475">
        <v>999</v>
      </c>
      <c r="D13475" t="s">
        <v>86</v>
      </c>
      <c r="E13475">
        <v>2.4810000000000001E-3</v>
      </c>
      <c r="F13475" t="s">
        <v>74</v>
      </c>
      <c r="G13475">
        <v>2.4809000000000001</v>
      </c>
      <c r="H13475" t="s">
        <v>75</v>
      </c>
      <c r="I13475">
        <v>2480.9</v>
      </c>
      <c r="J13475" t="s">
        <v>76</v>
      </c>
      <c r="K13475" t="s">
        <v>82</v>
      </c>
      <c r="L13475">
        <v>403.07949439999999</v>
      </c>
    </row>
    <row r="13476" spans="1:12" x14ac:dyDescent="0.3">
      <c r="A13476" t="s">
        <v>498</v>
      </c>
      <c r="B13476" t="s">
        <v>85</v>
      </c>
      <c r="C13476">
        <v>1001</v>
      </c>
      <c r="D13476" t="s">
        <v>86</v>
      </c>
      <c r="E13476">
        <v>2.627E-3</v>
      </c>
      <c r="F13476" t="s">
        <v>74</v>
      </c>
      <c r="G13476">
        <v>2.6271900000000001</v>
      </c>
      <c r="H13476" t="s">
        <v>75</v>
      </c>
      <c r="I13476">
        <v>2627.1860000000001</v>
      </c>
      <c r="J13476" t="s">
        <v>76</v>
      </c>
      <c r="K13476" t="s">
        <v>82</v>
      </c>
      <c r="L13476">
        <v>380.63547010000002</v>
      </c>
    </row>
    <row r="13478" spans="1:12" x14ac:dyDescent="0.3">
      <c r="A13478" t="s">
        <v>542</v>
      </c>
    </row>
    <row r="13479" spans="1:12" x14ac:dyDescent="0.3">
      <c r="A13479" t="s">
        <v>496</v>
      </c>
      <c r="B13479" t="s">
        <v>72</v>
      </c>
      <c r="C13479">
        <v>1</v>
      </c>
      <c r="D13479" t="s">
        <v>81</v>
      </c>
      <c r="E13479">
        <v>2.8476999999999999E-2</v>
      </c>
      <c r="F13479" t="s">
        <v>74</v>
      </c>
      <c r="G13479">
        <v>28.4772</v>
      </c>
      <c r="H13479" t="s">
        <v>75</v>
      </c>
      <c r="I13479">
        <v>28477.199000000001</v>
      </c>
      <c r="J13479" t="s">
        <v>76</v>
      </c>
      <c r="K13479" t="s">
        <v>82</v>
      </c>
      <c r="L13479">
        <v>35.115812699999999</v>
      </c>
    </row>
    <row r="13480" spans="1:12" x14ac:dyDescent="0.3">
      <c r="A13480" t="s">
        <v>496</v>
      </c>
      <c r="B13480" t="s">
        <v>83</v>
      </c>
      <c r="C13480">
        <v>587</v>
      </c>
      <c r="D13480" t="s">
        <v>81</v>
      </c>
      <c r="E13480">
        <v>4.091E-3</v>
      </c>
      <c r="F13480" t="s">
        <v>74</v>
      </c>
      <c r="G13480">
        <v>4.0906099999999999</v>
      </c>
      <c r="H13480" t="s">
        <v>75</v>
      </c>
      <c r="I13480">
        <v>4090.607</v>
      </c>
      <c r="J13480" t="s">
        <v>76</v>
      </c>
      <c r="K13480" t="s">
        <v>82</v>
      </c>
      <c r="L13480">
        <v>244.4625049</v>
      </c>
    </row>
    <row r="13481" spans="1:12" x14ac:dyDescent="0.3">
      <c r="A13481" t="s">
        <v>496</v>
      </c>
      <c r="B13481" t="s">
        <v>84</v>
      </c>
      <c r="C13481">
        <v>588</v>
      </c>
      <c r="D13481" t="s">
        <v>81</v>
      </c>
      <c r="E13481">
        <v>4.1320000000000003E-3</v>
      </c>
      <c r="F13481" t="s">
        <v>74</v>
      </c>
      <c r="G13481">
        <v>4.1320800000000002</v>
      </c>
      <c r="H13481" t="s">
        <v>75</v>
      </c>
      <c r="I13481">
        <v>4132.08</v>
      </c>
      <c r="J13481" t="s">
        <v>76</v>
      </c>
      <c r="K13481" t="s">
        <v>82</v>
      </c>
      <c r="L13481">
        <v>242.00885310000001</v>
      </c>
    </row>
    <row r="13482" spans="1:12" x14ac:dyDescent="0.3">
      <c r="A13482" t="s">
        <v>497</v>
      </c>
      <c r="B13482" t="s">
        <v>72</v>
      </c>
      <c r="C13482">
        <v>1</v>
      </c>
      <c r="D13482" t="s">
        <v>81</v>
      </c>
      <c r="E13482">
        <v>9.3959999999999998E-3</v>
      </c>
      <c r="F13482" t="s">
        <v>74</v>
      </c>
      <c r="G13482">
        <v>9.3956</v>
      </c>
      <c r="H13482" t="s">
        <v>75</v>
      </c>
      <c r="I13482">
        <v>9395.6</v>
      </c>
      <c r="J13482" t="s">
        <v>76</v>
      </c>
      <c r="K13482" t="s">
        <v>82</v>
      </c>
      <c r="L13482">
        <v>106.432795</v>
      </c>
    </row>
    <row r="13483" spans="1:12" x14ac:dyDescent="0.3">
      <c r="A13483" t="s">
        <v>497</v>
      </c>
      <c r="B13483" t="s">
        <v>83</v>
      </c>
      <c r="C13483">
        <v>412</v>
      </c>
      <c r="D13483" t="s">
        <v>81</v>
      </c>
      <c r="E13483">
        <v>5.8840000000000003E-3</v>
      </c>
      <c r="F13483" t="s">
        <v>74</v>
      </c>
      <c r="G13483">
        <v>5.8840599999999998</v>
      </c>
      <c r="H13483" t="s">
        <v>75</v>
      </c>
      <c r="I13483">
        <v>5884.06</v>
      </c>
      <c r="J13483" t="s">
        <v>76</v>
      </c>
      <c r="K13483" t="s">
        <v>82</v>
      </c>
      <c r="L13483">
        <v>169.95068019999999</v>
      </c>
    </row>
    <row r="13484" spans="1:12" x14ac:dyDescent="0.3">
      <c r="A13484" t="s">
        <v>497</v>
      </c>
      <c r="B13484" t="s">
        <v>84</v>
      </c>
      <c r="C13484">
        <v>413</v>
      </c>
      <c r="D13484" t="s">
        <v>81</v>
      </c>
      <c r="E13484">
        <v>5.8929999999999998E-3</v>
      </c>
      <c r="F13484" t="s">
        <v>74</v>
      </c>
      <c r="G13484">
        <v>5.8925599999999996</v>
      </c>
      <c r="H13484" t="s">
        <v>75</v>
      </c>
      <c r="I13484">
        <v>5892.5619999999999</v>
      </c>
      <c r="J13484" t="s">
        <v>76</v>
      </c>
      <c r="K13484" t="s">
        <v>82</v>
      </c>
      <c r="L13484">
        <v>169.70547099999999</v>
      </c>
    </row>
    <row r="13485" spans="1:12" x14ac:dyDescent="0.3">
      <c r="A13485" t="s">
        <v>498</v>
      </c>
      <c r="B13485" t="s">
        <v>72</v>
      </c>
      <c r="C13485">
        <v>2</v>
      </c>
      <c r="D13485" t="s">
        <v>86</v>
      </c>
      <c r="E13485">
        <v>1.4241999999999999E-2</v>
      </c>
      <c r="F13485" t="s">
        <v>74</v>
      </c>
      <c r="G13485">
        <v>14.2416</v>
      </c>
      <c r="H13485" t="s">
        <v>75</v>
      </c>
      <c r="I13485">
        <v>14241.6</v>
      </c>
      <c r="J13485" t="s">
        <v>76</v>
      </c>
      <c r="K13485" t="s">
        <v>82</v>
      </c>
      <c r="L13485">
        <v>70.216827600000002</v>
      </c>
    </row>
    <row r="13486" spans="1:12" x14ac:dyDescent="0.3">
      <c r="A13486" t="s">
        <v>498</v>
      </c>
      <c r="B13486" t="s">
        <v>83</v>
      </c>
      <c r="C13486">
        <v>999</v>
      </c>
      <c r="D13486" t="s">
        <v>86</v>
      </c>
      <c r="E13486">
        <v>2.4350000000000001E-3</v>
      </c>
      <c r="F13486" t="s">
        <v>74</v>
      </c>
      <c r="G13486">
        <v>2.4347799999999999</v>
      </c>
      <c r="H13486" t="s">
        <v>75</v>
      </c>
      <c r="I13486">
        <v>2434.7779999999998</v>
      </c>
      <c r="J13486" t="s">
        <v>76</v>
      </c>
      <c r="K13486" t="s">
        <v>82</v>
      </c>
      <c r="L13486">
        <v>410.71501910000001</v>
      </c>
    </row>
    <row r="13487" spans="1:12" x14ac:dyDescent="0.3">
      <c r="A13487" t="s">
        <v>498</v>
      </c>
      <c r="B13487" t="s">
        <v>85</v>
      </c>
      <c r="C13487">
        <v>1001</v>
      </c>
      <c r="D13487" t="s">
        <v>86</v>
      </c>
      <c r="E13487">
        <v>2.4420000000000002E-3</v>
      </c>
      <c r="F13487" t="s">
        <v>74</v>
      </c>
      <c r="G13487">
        <v>2.4422600000000001</v>
      </c>
      <c r="H13487" t="s">
        <v>75</v>
      </c>
      <c r="I13487">
        <v>2442.2640000000001</v>
      </c>
      <c r="J13487" t="s">
        <v>76</v>
      </c>
      <c r="K13487" t="s">
        <v>82</v>
      </c>
      <c r="L13487">
        <v>409.4561544</v>
      </c>
    </row>
    <row r="13489" spans="1:1" x14ac:dyDescent="0.3">
      <c r="A13489" t="s">
        <v>66</v>
      </c>
    </row>
    <row r="13491" spans="1:1" x14ac:dyDescent="0.3">
      <c r="A13491" t="s">
        <v>574</v>
      </c>
    </row>
    <row r="13492" spans="1:1" x14ac:dyDescent="0.3">
      <c r="A13492" t="s">
        <v>68</v>
      </c>
    </row>
    <row r="13493" spans="1:1" x14ac:dyDescent="0.3">
      <c r="A13493" t="s">
        <v>69</v>
      </c>
    </row>
    <row r="13494" spans="1:1" x14ac:dyDescent="0.3">
      <c r="A13494" t="s">
        <v>68</v>
      </c>
    </row>
    <row r="13495" spans="1:1" x14ac:dyDescent="0.3">
      <c r="A13495" t="s">
        <v>69</v>
      </c>
    </row>
    <row r="13496" spans="1:1" x14ac:dyDescent="0.3">
      <c r="A13496" t="s">
        <v>70</v>
      </c>
    </row>
    <row r="13497" spans="1:1" x14ac:dyDescent="0.3">
      <c r="A13497" t="s">
        <v>115</v>
      </c>
    </row>
    <row r="13498" spans="1:1" x14ac:dyDescent="0.3">
      <c r="A13498" t="s">
        <v>116</v>
      </c>
    </row>
    <row r="13499" spans="1:1" x14ac:dyDescent="0.3">
      <c r="A13499" t="s">
        <v>117</v>
      </c>
    </row>
    <row r="13500" spans="1:1" x14ac:dyDescent="0.3">
      <c r="A13500" t="s">
        <v>118</v>
      </c>
    </row>
    <row r="13501" spans="1:1" x14ac:dyDescent="0.3">
      <c r="A13501" t="s">
        <v>119</v>
      </c>
    </row>
    <row r="13502" spans="1:1" x14ac:dyDescent="0.3">
      <c r="A13502" t="s">
        <v>120</v>
      </c>
    </row>
    <row r="13503" spans="1:1" x14ac:dyDescent="0.3">
      <c r="A13503" t="s">
        <v>121</v>
      </c>
    </row>
    <row r="13504" spans="1:1" x14ac:dyDescent="0.3">
      <c r="A13504" t="s">
        <v>122</v>
      </c>
    </row>
    <row r="13505" spans="1:1" x14ac:dyDescent="0.3">
      <c r="A13505" t="s">
        <v>123</v>
      </c>
    </row>
    <row r="13506" spans="1:1" x14ac:dyDescent="0.3">
      <c r="A13506" t="s">
        <v>124</v>
      </c>
    </row>
    <row r="13507" spans="1:1" x14ac:dyDescent="0.3">
      <c r="A13507" t="s">
        <v>125</v>
      </c>
    </row>
    <row r="13508" spans="1:1" x14ac:dyDescent="0.3">
      <c r="A13508" t="s">
        <v>126</v>
      </c>
    </row>
    <row r="13509" spans="1:1" x14ac:dyDescent="0.3">
      <c r="A13509" t="s">
        <v>127</v>
      </c>
    </row>
    <row r="13510" spans="1:1" x14ac:dyDescent="0.3">
      <c r="A13510" t="s">
        <v>192</v>
      </c>
    </row>
    <row r="13511" spans="1:1" x14ac:dyDescent="0.3">
      <c r="A13511" t="s">
        <v>115</v>
      </c>
    </row>
    <row r="13512" spans="1:1" x14ac:dyDescent="0.3">
      <c r="A13512" t="s">
        <v>266</v>
      </c>
    </row>
    <row r="13513" spans="1:1" x14ac:dyDescent="0.3">
      <c r="A13513" t="s">
        <v>267</v>
      </c>
    </row>
    <row r="13514" spans="1:1" x14ac:dyDescent="0.3">
      <c r="A13514" t="s">
        <v>118</v>
      </c>
    </row>
    <row r="13515" spans="1:1" x14ac:dyDescent="0.3">
      <c r="A13515" t="s">
        <v>119</v>
      </c>
    </row>
    <row r="13516" spans="1:1" x14ac:dyDescent="0.3">
      <c r="A13516" t="s">
        <v>268</v>
      </c>
    </row>
    <row r="13517" spans="1:1" x14ac:dyDescent="0.3">
      <c r="A13517" t="s">
        <v>269</v>
      </c>
    </row>
    <row r="13518" spans="1:1" x14ac:dyDescent="0.3">
      <c r="A13518" t="s">
        <v>122</v>
      </c>
    </row>
    <row r="13519" spans="1:1" x14ac:dyDescent="0.3">
      <c r="A13519" t="s">
        <v>270</v>
      </c>
    </row>
    <row r="13520" spans="1:1" x14ac:dyDescent="0.3">
      <c r="A13520" t="s">
        <v>271</v>
      </c>
    </row>
    <row r="13521" spans="1:12" x14ac:dyDescent="0.3">
      <c r="A13521" t="s">
        <v>125</v>
      </c>
    </row>
    <row r="13522" spans="1:12" x14ac:dyDescent="0.3">
      <c r="A13522" t="s">
        <v>126</v>
      </c>
    </row>
    <row r="13523" spans="1:12" x14ac:dyDescent="0.3">
      <c r="A13523" t="s">
        <v>127</v>
      </c>
    </row>
    <row r="13524" spans="1:12" x14ac:dyDescent="0.3">
      <c r="A13524" t="s">
        <v>192</v>
      </c>
    </row>
    <row r="13525" spans="1:12" x14ac:dyDescent="0.3">
      <c r="A13525" t="s">
        <v>544</v>
      </c>
    </row>
    <row r="13526" spans="1:12" x14ac:dyDescent="0.3">
      <c r="A13526" t="s">
        <v>496</v>
      </c>
      <c r="B13526" t="s">
        <v>72</v>
      </c>
      <c r="C13526">
        <v>1</v>
      </c>
      <c r="D13526" t="s">
        <v>79</v>
      </c>
      <c r="E13526">
        <v>0.40316400000000002</v>
      </c>
      <c r="F13526" t="s">
        <v>74</v>
      </c>
      <c r="G13526">
        <v>403.16390999999999</v>
      </c>
      <c r="H13526" t="s">
        <v>75</v>
      </c>
      <c r="I13526">
        <v>403163.91</v>
      </c>
      <c r="J13526" t="s">
        <v>76</v>
      </c>
      <c r="K13526" t="s">
        <v>77</v>
      </c>
    </row>
    <row r="13527" spans="1:12" x14ac:dyDescent="0.3">
      <c r="A13527" t="s">
        <v>496</v>
      </c>
      <c r="B13527" t="s">
        <v>72</v>
      </c>
      <c r="C13527">
        <v>1</v>
      </c>
      <c r="D13527" t="s">
        <v>94</v>
      </c>
      <c r="E13527">
        <v>2.8050000000000002E-3</v>
      </c>
      <c r="F13527" t="s">
        <v>74</v>
      </c>
      <c r="G13527">
        <v>2.8052000000000001</v>
      </c>
      <c r="H13527" t="s">
        <v>75</v>
      </c>
      <c r="I13527">
        <v>2805.2</v>
      </c>
      <c r="J13527" t="s">
        <v>76</v>
      </c>
      <c r="K13527" t="s">
        <v>77</v>
      </c>
    </row>
    <row r="13528" spans="1:12" x14ac:dyDescent="0.3">
      <c r="A13528" t="s">
        <v>496</v>
      </c>
      <c r="B13528" t="s">
        <v>72</v>
      </c>
      <c r="C13528">
        <v>1</v>
      </c>
      <c r="D13528" t="s">
        <v>80</v>
      </c>
      <c r="E13528">
        <v>2.8059999999999999E-3</v>
      </c>
      <c r="F13528" t="s">
        <v>74</v>
      </c>
      <c r="G13528">
        <v>2.8058999999999998</v>
      </c>
      <c r="H13528" t="s">
        <v>75</v>
      </c>
      <c r="I13528">
        <v>2805.9</v>
      </c>
      <c r="J13528" t="s">
        <v>76</v>
      </c>
      <c r="K13528" t="s">
        <v>77</v>
      </c>
    </row>
    <row r="13529" spans="1:12" x14ac:dyDescent="0.3">
      <c r="A13529" t="s">
        <v>496</v>
      </c>
      <c r="B13529" t="s">
        <v>72</v>
      </c>
      <c r="C13529">
        <v>1</v>
      </c>
      <c r="D13529" t="s">
        <v>81</v>
      </c>
      <c r="E13529">
        <v>0.40597</v>
      </c>
      <c r="F13529" t="s">
        <v>74</v>
      </c>
      <c r="G13529">
        <v>405.97039000000001</v>
      </c>
      <c r="H13529" t="s">
        <v>75</v>
      </c>
      <c r="I13529">
        <v>405970.39500000002</v>
      </c>
      <c r="J13529" t="s">
        <v>76</v>
      </c>
      <c r="K13529" t="s">
        <v>82</v>
      </c>
      <c r="L13529">
        <v>2.4632337999999998</v>
      </c>
    </row>
    <row r="13530" spans="1:12" x14ac:dyDescent="0.3">
      <c r="A13530" t="s">
        <v>496</v>
      </c>
      <c r="B13530" t="s">
        <v>83</v>
      </c>
      <c r="C13530">
        <v>288</v>
      </c>
      <c r="D13530" t="s">
        <v>79</v>
      </c>
      <c r="E13530">
        <v>0</v>
      </c>
      <c r="F13530" t="s">
        <v>74</v>
      </c>
      <c r="G13530">
        <v>1.3999999999999999E-4</v>
      </c>
      <c r="H13530" t="s">
        <v>75</v>
      </c>
      <c r="I13530">
        <v>0.13600000000000001</v>
      </c>
      <c r="J13530" t="s">
        <v>76</v>
      </c>
      <c r="K13530" t="s">
        <v>77</v>
      </c>
    </row>
    <row r="13531" spans="1:12" x14ac:dyDescent="0.3">
      <c r="A13531" t="s">
        <v>496</v>
      </c>
      <c r="B13531" t="s">
        <v>83</v>
      </c>
      <c r="C13531">
        <v>288</v>
      </c>
      <c r="D13531" t="s">
        <v>94</v>
      </c>
      <c r="E13531">
        <v>7.5189999999999996E-3</v>
      </c>
      <c r="F13531" t="s">
        <v>74</v>
      </c>
      <c r="G13531">
        <v>7.5190900000000003</v>
      </c>
      <c r="H13531" t="s">
        <v>75</v>
      </c>
      <c r="I13531">
        <v>7519.0940000000001</v>
      </c>
      <c r="J13531" t="s">
        <v>76</v>
      </c>
      <c r="K13531" t="s">
        <v>77</v>
      </c>
    </row>
    <row r="13532" spans="1:12" x14ac:dyDescent="0.3">
      <c r="A13532" t="s">
        <v>496</v>
      </c>
      <c r="B13532" t="s">
        <v>83</v>
      </c>
      <c r="C13532">
        <v>288</v>
      </c>
      <c r="D13532" t="s">
        <v>80</v>
      </c>
      <c r="E13532">
        <v>7.6899999999999998E-3</v>
      </c>
      <c r="F13532" t="s">
        <v>74</v>
      </c>
      <c r="G13532">
        <v>7.6898600000000004</v>
      </c>
      <c r="H13532" t="s">
        <v>75</v>
      </c>
      <c r="I13532">
        <v>7689.8580000000002</v>
      </c>
      <c r="J13532" t="s">
        <v>76</v>
      </c>
      <c r="K13532" t="s">
        <v>77</v>
      </c>
    </row>
    <row r="13533" spans="1:12" x14ac:dyDescent="0.3">
      <c r="A13533" t="s">
        <v>496</v>
      </c>
      <c r="B13533" t="s">
        <v>83</v>
      </c>
      <c r="C13533">
        <v>288</v>
      </c>
      <c r="D13533" t="s">
        <v>81</v>
      </c>
      <c r="E13533">
        <v>7.6899999999999998E-3</v>
      </c>
      <c r="F13533" t="s">
        <v>74</v>
      </c>
      <c r="G13533">
        <v>7.6902100000000004</v>
      </c>
      <c r="H13533" t="s">
        <v>75</v>
      </c>
      <c r="I13533">
        <v>7690.2079999999996</v>
      </c>
      <c r="J13533" t="s">
        <v>76</v>
      </c>
      <c r="K13533" t="s">
        <v>82</v>
      </c>
      <c r="L13533">
        <v>130.0354974</v>
      </c>
    </row>
    <row r="13534" spans="1:12" x14ac:dyDescent="0.3">
      <c r="A13534" t="s">
        <v>496</v>
      </c>
      <c r="B13534" t="s">
        <v>84</v>
      </c>
      <c r="C13534">
        <v>289</v>
      </c>
      <c r="D13534" t="s">
        <v>79</v>
      </c>
      <c r="E13534">
        <v>1.395E-3</v>
      </c>
      <c r="F13534" t="s">
        <v>74</v>
      </c>
      <c r="G13534">
        <v>1.39516</v>
      </c>
      <c r="H13534" t="s">
        <v>75</v>
      </c>
      <c r="I13534">
        <v>1395.162</v>
      </c>
      <c r="J13534" t="s">
        <v>76</v>
      </c>
      <c r="K13534" t="s">
        <v>77</v>
      </c>
    </row>
    <row r="13535" spans="1:12" x14ac:dyDescent="0.3">
      <c r="A13535" t="s">
        <v>496</v>
      </c>
      <c r="B13535" t="s">
        <v>84</v>
      </c>
      <c r="C13535">
        <v>289</v>
      </c>
      <c r="D13535" t="s">
        <v>94</v>
      </c>
      <c r="E13535">
        <v>7.5030000000000001E-3</v>
      </c>
      <c r="F13535" t="s">
        <v>74</v>
      </c>
      <c r="G13535">
        <v>7.5027799999999996</v>
      </c>
      <c r="H13535" t="s">
        <v>75</v>
      </c>
      <c r="I13535">
        <v>7502.7830000000004</v>
      </c>
      <c r="J13535" t="s">
        <v>76</v>
      </c>
      <c r="K13535" t="s">
        <v>77</v>
      </c>
    </row>
    <row r="13536" spans="1:12" x14ac:dyDescent="0.3">
      <c r="A13536" t="s">
        <v>496</v>
      </c>
      <c r="B13536" t="s">
        <v>84</v>
      </c>
      <c r="C13536">
        <v>289</v>
      </c>
      <c r="D13536" t="s">
        <v>80</v>
      </c>
      <c r="E13536">
        <v>7.6730000000000001E-3</v>
      </c>
      <c r="F13536" t="s">
        <v>74</v>
      </c>
      <c r="G13536">
        <v>7.6729599999999998</v>
      </c>
      <c r="H13536" t="s">
        <v>75</v>
      </c>
      <c r="I13536">
        <v>7672.9579999999996</v>
      </c>
      <c r="J13536" t="s">
        <v>76</v>
      </c>
      <c r="K13536" t="s">
        <v>77</v>
      </c>
    </row>
    <row r="13537" spans="1:12" x14ac:dyDescent="0.3">
      <c r="A13537" t="s">
        <v>496</v>
      </c>
      <c r="B13537" t="s">
        <v>84</v>
      </c>
      <c r="C13537">
        <v>289</v>
      </c>
      <c r="D13537" t="s">
        <v>81</v>
      </c>
      <c r="E13537">
        <v>9.0679999999999997E-3</v>
      </c>
      <c r="F13537" t="s">
        <v>74</v>
      </c>
      <c r="G13537">
        <v>9.0683399999999992</v>
      </c>
      <c r="H13537" t="s">
        <v>75</v>
      </c>
      <c r="I13537">
        <v>9068.3439999999991</v>
      </c>
      <c r="J13537" t="s">
        <v>76</v>
      </c>
      <c r="K13537" t="s">
        <v>82</v>
      </c>
      <c r="L13537">
        <v>110.2737185</v>
      </c>
    </row>
    <row r="13538" spans="1:12" x14ac:dyDescent="0.3">
      <c r="A13538" t="s">
        <v>497</v>
      </c>
      <c r="B13538" t="s">
        <v>72</v>
      </c>
      <c r="C13538">
        <v>1</v>
      </c>
      <c r="D13538" t="s">
        <v>79</v>
      </c>
      <c r="E13538">
        <v>0.109142</v>
      </c>
      <c r="F13538" t="s">
        <v>74</v>
      </c>
      <c r="G13538">
        <v>109.1417</v>
      </c>
      <c r="H13538" t="s">
        <v>75</v>
      </c>
      <c r="I13538">
        <v>109141.7</v>
      </c>
      <c r="J13538" t="s">
        <v>76</v>
      </c>
      <c r="K13538" t="s">
        <v>77</v>
      </c>
    </row>
    <row r="13539" spans="1:12" x14ac:dyDescent="0.3">
      <c r="A13539" t="s">
        <v>497</v>
      </c>
      <c r="B13539" t="s">
        <v>72</v>
      </c>
      <c r="C13539">
        <v>1</v>
      </c>
      <c r="D13539" t="s">
        <v>94</v>
      </c>
      <c r="E13539">
        <v>9.6579999999999999E-3</v>
      </c>
      <c r="F13539" t="s">
        <v>74</v>
      </c>
      <c r="G13539">
        <v>9.6575000000000006</v>
      </c>
      <c r="H13539" t="s">
        <v>75</v>
      </c>
      <c r="I13539">
        <v>9657.5</v>
      </c>
      <c r="J13539" t="s">
        <v>76</v>
      </c>
      <c r="K13539" t="s">
        <v>77</v>
      </c>
    </row>
    <row r="13540" spans="1:12" x14ac:dyDescent="0.3">
      <c r="A13540" t="s">
        <v>497</v>
      </c>
      <c r="B13540" t="s">
        <v>72</v>
      </c>
      <c r="C13540">
        <v>1</v>
      </c>
      <c r="D13540" t="s">
        <v>80</v>
      </c>
      <c r="E13540">
        <v>9.6579999999999999E-3</v>
      </c>
      <c r="F13540" t="s">
        <v>74</v>
      </c>
      <c r="G13540">
        <v>9.6584000000000003</v>
      </c>
      <c r="H13540" t="s">
        <v>75</v>
      </c>
      <c r="I13540">
        <v>9658.4</v>
      </c>
      <c r="J13540" t="s">
        <v>76</v>
      </c>
      <c r="K13540" t="s">
        <v>77</v>
      </c>
    </row>
    <row r="13541" spans="1:12" x14ac:dyDescent="0.3">
      <c r="A13541" t="s">
        <v>497</v>
      </c>
      <c r="B13541" t="s">
        <v>72</v>
      </c>
      <c r="C13541">
        <v>1</v>
      </c>
      <c r="D13541" t="s">
        <v>81</v>
      </c>
      <c r="E13541">
        <v>0.118801</v>
      </c>
      <c r="F13541" t="s">
        <v>74</v>
      </c>
      <c r="G13541">
        <v>118.80070000000001</v>
      </c>
      <c r="H13541" t="s">
        <v>75</v>
      </c>
      <c r="I13541">
        <v>118800.7</v>
      </c>
      <c r="J13541" t="s">
        <v>76</v>
      </c>
      <c r="K13541" t="s">
        <v>82</v>
      </c>
      <c r="L13541">
        <v>8.4174588000000004</v>
      </c>
    </row>
    <row r="13542" spans="1:12" x14ac:dyDescent="0.3">
      <c r="A13542" t="s">
        <v>497</v>
      </c>
      <c r="B13542" t="s">
        <v>83</v>
      </c>
      <c r="C13542">
        <v>711</v>
      </c>
      <c r="D13542" t="s">
        <v>79</v>
      </c>
      <c r="E13542">
        <v>0</v>
      </c>
      <c r="F13542" t="s">
        <v>74</v>
      </c>
      <c r="G13542">
        <v>1.4999999999999999E-4</v>
      </c>
      <c r="H13542" t="s">
        <v>75</v>
      </c>
      <c r="I13542">
        <v>0.14799999999999999</v>
      </c>
      <c r="J13542" t="s">
        <v>76</v>
      </c>
      <c r="K13542" t="s">
        <v>77</v>
      </c>
    </row>
    <row r="13543" spans="1:12" x14ac:dyDescent="0.3">
      <c r="A13543" t="s">
        <v>497</v>
      </c>
      <c r="B13543" t="s">
        <v>83</v>
      </c>
      <c r="C13543">
        <v>711</v>
      </c>
      <c r="D13543" t="s">
        <v>94</v>
      </c>
      <c r="E13543">
        <v>3.3080000000000002E-3</v>
      </c>
      <c r="F13543" t="s">
        <v>74</v>
      </c>
      <c r="G13543">
        <v>3.3083100000000001</v>
      </c>
      <c r="H13543" t="s">
        <v>75</v>
      </c>
      <c r="I13543">
        <v>3308.3130000000001</v>
      </c>
      <c r="J13543" t="s">
        <v>76</v>
      </c>
      <c r="K13543" t="s">
        <v>77</v>
      </c>
    </row>
    <row r="13544" spans="1:12" x14ac:dyDescent="0.3">
      <c r="A13544" t="s">
        <v>497</v>
      </c>
      <c r="B13544" t="s">
        <v>83</v>
      </c>
      <c r="C13544">
        <v>711</v>
      </c>
      <c r="D13544" t="s">
        <v>80</v>
      </c>
      <c r="E13544">
        <v>3.4780000000000002E-3</v>
      </c>
      <c r="F13544" t="s">
        <v>74</v>
      </c>
      <c r="G13544">
        <v>3.4781300000000002</v>
      </c>
      <c r="H13544" t="s">
        <v>75</v>
      </c>
      <c r="I13544">
        <v>3478.13</v>
      </c>
      <c r="J13544" t="s">
        <v>76</v>
      </c>
      <c r="K13544" t="s">
        <v>77</v>
      </c>
    </row>
    <row r="13545" spans="1:12" x14ac:dyDescent="0.3">
      <c r="A13545" t="s">
        <v>497</v>
      </c>
      <c r="B13545" t="s">
        <v>83</v>
      </c>
      <c r="C13545">
        <v>711</v>
      </c>
      <c r="D13545" t="s">
        <v>81</v>
      </c>
      <c r="E13545">
        <v>3.4780000000000002E-3</v>
      </c>
      <c r="F13545" t="s">
        <v>74</v>
      </c>
      <c r="G13545">
        <v>3.4784700000000002</v>
      </c>
      <c r="H13545" t="s">
        <v>75</v>
      </c>
      <c r="I13545">
        <v>3478.4670000000001</v>
      </c>
      <c r="J13545" t="s">
        <v>76</v>
      </c>
      <c r="K13545" t="s">
        <v>82</v>
      </c>
      <c r="L13545">
        <v>287.48298699999998</v>
      </c>
    </row>
    <row r="13546" spans="1:12" x14ac:dyDescent="0.3">
      <c r="A13546" t="s">
        <v>497</v>
      </c>
      <c r="B13546" t="s">
        <v>84</v>
      </c>
      <c r="C13546">
        <v>712</v>
      </c>
      <c r="D13546" t="s">
        <v>79</v>
      </c>
      <c r="E13546">
        <v>1.5300000000000001E-4</v>
      </c>
      <c r="F13546" t="s">
        <v>74</v>
      </c>
      <c r="G13546">
        <v>0.15343999999999999</v>
      </c>
      <c r="H13546" t="s">
        <v>75</v>
      </c>
      <c r="I13546">
        <v>153.43600000000001</v>
      </c>
      <c r="J13546" t="s">
        <v>76</v>
      </c>
      <c r="K13546" t="s">
        <v>77</v>
      </c>
    </row>
    <row r="13547" spans="1:12" x14ac:dyDescent="0.3">
      <c r="A13547" t="s">
        <v>497</v>
      </c>
      <c r="B13547" t="s">
        <v>84</v>
      </c>
      <c r="C13547">
        <v>712</v>
      </c>
      <c r="D13547" t="s">
        <v>94</v>
      </c>
      <c r="E13547">
        <v>3.3170000000000001E-3</v>
      </c>
      <c r="F13547" t="s">
        <v>74</v>
      </c>
      <c r="G13547">
        <v>3.3172299999999999</v>
      </c>
      <c r="H13547" t="s">
        <v>75</v>
      </c>
      <c r="I13547">
        <v>3317.23</v>
      </c>
      <c r="J13547" t="s">
        <v>76</v>
      </c>
      <c r="K13547" t="s">
        <v>77</v>
      </c>
    </row>
    <row r="13548" spans="1:12" x14ac:dyDescent="0.3">
      <c r="A13548" t="s">
        <v>497</v>
      </c>
      <c r="B13548" t="s">
        <v>84</v>
      </c>
      <c r="C13548">
        <v>712</v>
      </c>
      <c r="D13548" t="s">
        <v>80</v>
      </c>
      <c r="E13548">
        <v>3.4870000000000001E-3</v>
      </c>
      <c r="F13548" t="s">
        <v>74</v>
      </c>
      <c r="G13548">
        <v>3.4868100000000002</v>
      </c>
      <c r="H13548" t="s">
        <v>75</v>
      </c>
      <c r="I13548">
        <v>3486.81</v>
      </c>
      <c r="J13548" t="s">
        <v>76</v>
      </c>
      <c r="K13548" t="s">
        <v>77</v>
      </c>
    </row>
    <row r="13549" spans="1:12" x14ac:dyDescent="0.3">
      <c r="A13549" t="s">
        <v>497</v>
      </c>
      <c r="B13549" t="s">
        <v>84</v>
      </c>
      <c r="C13549">
        <v>712</v>
      </c>
      <c r="D13549" t="s">
        <v>81</v>
      </c>
      <c r="E13549">
        <v>3.64E-3</v>
      </c>
      <c r="F13549" t="s">
        <v>74</v>
      </c>
      <c r="G13549">
        <v>3.6404399999999999</v>
      </c>
      <c r="H13549" t="s">
        <v>75</v>
      </c>
      <c r="I13549">
        <v>3640.4369999999999</v>
      </c>
      <c r="J13549" t="s">
        <v>76</v>
      </c>
      <c r="K13549" t="s">
        <v>82</v>
      </c>
      <c r="L13549">
        <v>274.69231739999998</v>
      </c>
    </row>
    <row r="13550" spans="1:12" x14ac:dyDescent="0.3">
      <c r="A13550" t="s">
        <v>498</v>
      </c>
      <c r="B13550" t="s">
        <v>72</v>
      </c>
      <c r="C13550">
        <v>1</v>
      </c>
      <c r="D13550" t="s">
        <v>73</v>
      </c>
      <c r="E13550">
        <v>7.8999999999999996E-5</v>
      </c>
      <c r="F13550" t="s">
        <v>74</v>
      </c>
      <c r="G13550">
        <v>7.9399999999999998E-2</v>
      </c>
      <c r="H13550" t="s">
        <v>75</v>
      </c>
      <c r="I13550">
        <v>79.400000000000006</v>
      </c>
      <c r="J13550" t="s">
        <v>76</v>
      </c>
      <c r="K13550" t="s">
        <v>77</v>
      </c>
    </row>
    <row r="13551" spans="1:12" x14ac:dyDescent="0.3">
      <c r="A13551" t="s">
        <v>498</v>
      </c>
      <c r="B13551" t="s">
        <v>72</v>
      </c>
      <c r="C13551">
        <v>1</v>
      </c>
      <c r="D13551" t="s">
        <v>78</v>
      </c>
      <c r="E13551">
        <v>0.14546700000000001</v>
      </c>
      <c r="F13551" t="s">
        <v>74</v>
      </c>
      <c r="G13551">
        <v>145.46729999999999</v>
      </c>
      <c r="H13551" t="s">
        <v>75</v>
      </c>
      <c r="I13551">
        <v>145467.296</v>
      </c>
      <c r="J13551" t="s">
        <v>76</v>
      </c>
      <c r="K13551" t="s">
        <v>77</v>
      </c>
    </row>
    <row r="13552" spans="1:12" x14ac:dyDescent="0.3">
      <c r="A13552" t="s">
        <v>498</v>
      </c>
      <c r="B13552" t="s">
        <v>72</v>
      </c>
      <c r="C13552">
        <v>2</v>
      </c>
      <c r="D13552" t="s">
        <v>86</v>
      </c>
      <c r="E13552">
        <v>0.203011</v>
      </c>
      <c r="F13552" t="s">
        <v>74</v>
      </c>
      <c r="G13552">
        <v>203.01053999999999</v>
      </c>
      <c r="H13552" t="s">
        <v>75</v>
      </c>
      <c r="I13552">
        <v>203010.54399999999</v>
      </c>
      <c r="J13552" t="s">
        <v>76</v>
      </c>
      <c r="K13552" t="s">
        <v>82</v>
      </c>
      <c r="L13552">
        <v>4.9258525000000004</v>
      </c>
    </row>
    <row r="13553" spans="1:12" x14ac:dyDescent="0.3">
      <c r="A13553" t="s">
        <v>498</v>
      </c>
      <c r="B13553" t="s">
        <v>83</v>
      </c>
      <c r="C13553">
        <v>999</v>
      </c>
      <c r="D13553" t="s">
        <v>86</v>
      </c>
      <c r="E13553">
        <v>2.513E-3</v>
      </c>
      <c r="F13553" t="s">
        <v>74</v>
      </c>
      <c r="G13553">
        <v>2.5128699999999999</v>
      </c>
      <c r="H13553" t="s">
        <v>75</v>
      </c>
      <c r="I13553">
        <v>2512.8690000000001</v>
      </c>
      <c r="J13553" t="s">
        <v>76</v>
      </c>
      <c r="K13553" t="s">
        <v>82</v>
      </c>
      <c r="L13553">
        <v>397.951458</v>
      </c>
    </row>
    <row r="13554" spans="1:12" x14ac:dyDescent="0.3">
      <c r="A13554" t="s">
        <v>498</v>
      </c>
      <c r="B13554" t="s">
        <v>85</v>
      </c>
      <c r="C13554">
        <v>1001</v>
      </c>
      <c r="D13554" t="s">
        <v>86</v>
      </c>
      <c r="E13554">
        <v>2.63E-3</v>
      </c>
      <c r="F13554" t="s">
        <v>74</v>
      </c>
      <c r="G13554">
        <v>2.6297999999999999</v>
      </c>
      <c r="H13554" t="s">
        <v>75</v>
      </c>
      <c r="I13554">
        <v>2629.8029999999999</v>
      </c>
      <c r="J13554" t="s">
        <v>76</v>
      </c>
      <c r="K13554" t="s">
        <v>82</v>
      </c>
      <c r="L13554">
        <v>380.25666940000002</v>
      </c>
    </row>
    <row r="13555" spans="1:12" x14ac:dyDescent="0.3">
      <c r="A13555" t="s">
        <v>194</v>
      </c>
    </row>
    <row r="13556" spans="1:12" x14ac:dyDescent="0.3">
      <c r="A13556" t="s">
        <v>194</v>
      </c>
    </row>
    <row r="13557" spans="1:12" x14ac:dyDescent="0.3">
      <c r="A13557" t="s">
        <v>545</v>
      </c>
    </row>
    <row r="13558" spans="1:12" x14ac:dyDescent="0.3">
      <c r="A13558" t="s">
        <v>496</v>
      </c>
      <c r="B13558" t="s">
        <v>72</v>
      </c>
      <c r="C13558">
        <v>1</v>
      </c>
      <c r="D13558" t="s">
        <v>79</v>
      </c>
      <c r="E13558">
        <v>7.3590000000000001E-3</v>
      </c>
      <c r="F13558" t="s">
        <v>74</v>
      </c>
      <c r="G13558">
        <v>7.3592000000000004</v>
      </c>
      <c r="H13558" t="s">
        <v>75</v>
      </c>
      <c r="I13558">
        <v>7359.2</v>
      </c>
      <c r="J13558" t="s">
        <v>76</v>
      </c>
      <c r="K13558" t="s">
        <v>77</v>
      </c>
    </row>
    <row r="13559" spans="1:12" x14ac:dyDescent="0.3">
      <c r="A13559" t="s">
        <v>496</v>
      </c>
      <c r="B13559" t="s">
        <v>72</v>
      </c>
      <c r="C13559">
        <v>1</v>
      </c>
      <c r="D13559" t="s">
        <v>94</v>
      </c>
      <c r="E13559">
        <v>1.6958999999999998E-2</v>
      </c>
      <c r="F13559" t="s">
        <v>74</v>
      </c>
      <c r="G13559">
        <v>16.9587</v>
      </c>
      <c r="H13559" t="s">
        <v>75</v>
      </c>
      <c r="I13559">
        <v>16958.7</v>
      </c>
      <c r="J13559" t="s">
        <v>76</v>
      </c>
      <c r="K13559" t="s">
        <v>77</v>
      </c>
    </row>
    <row r="13560" spans="1:12" x14ac:dyDescent="0.3">
      <c r="A13560" t="s">
        <v>496</v>
      </c>
      <c r="B13560" t="s">
        <v>72</v>
      </c>
      <c r="C13560">
        <v>1</v>
      </c>
      <c r="D13560" t="s">
        <v>80</v>
      </c>
      <c r="E13560">
        <v>1.7092E-2</v>
      </c>
      <c r="F13560" t="s">
        <v>74</v>
      </c>
      <c r="G13560">
        <v>17.091699999999999</v>
      </c>
      <c r="H13560" t="s">
        <v>75</v>
      </c>
      <c r="I13560">
        <v>17091.701000000001</v>
      </c>
      <c r="J13560" t="s">
        <v>76</v>
      </c>
      <c r="K13560" t="s">
        <v>77</v>
      </c>
    </row>
    <row r="13561" spans="1:12" x14ac:dyDescent="0.3">
      <c r="A13561" t="s">
        <v>496</v>
      </c>
      <c r="B13561" t="s">
        <v>72</v>
      </c>
      <c r="C13561">
        <v>1</v>
      </c>
      <c r="D13561" t="s">
        <v>81</v>
      </c>
      <c r="E13561">
        <v>2.4452000000000002E-2</v>
      </c>
      <c r="F13561" t="s">
        <v>74</v>
      </c>
      <c r="G13561">
        <v>24.451699999999999</v>
      </c>
      <c r="H13561" t="s">
        <v>75</v>
      </c>
      <c r="I13561">
        <v>24451.699000000001</v>
      </c>
      <c r="J13561" t="s">
        <v>76</v>
      </c>
      <c r="K13561" t="s">
        <v>82</v>
      </c>
      <c r="L13561">
        <v>40.896953400000001</v>
      </c>
    </row>
    <row r="13562" spans="1:12" x14ac:dyDescent="0.3">
      <c r="A13562" t="s">
        <v>496</v>
      </c>
      <c r="B13562" t="s">
        <v>83</v>
      </c>
      <c r="C13562">
        <v>452</v>
      </c>
      <c r="D13562" t="s">
        <v>79</v>
      </c>
      <c r="E13562">
        <v>0</v>
      </c>
      <c r="F13562" t="s">
        <v>74</v>
      </c>
      <c r="G13562">
        <v>1.3999999999999999E-4</v>
      </c>
      <c r="H13562" t="s">
        <v>75</v>
      </c>
      <c r="I13562">
        <v>0.14399999999999999</v>
      </c>
      <c r="J13562" t="s">
        <v>76</v>
      </c>
      <c r="K13562" t="s">
        <v>77</v>
      </c>
    </row>
    <row r="13563" spans="1:12" x14ac:dyDescent="0.3">
      <c r="A13563" t="s">
        <v>496</v>
      </c>
      <c r="B13563" t="s">
        <v>83</v>
      </c>
      <c r="C13563">
        <v>452</v>
      </c>
      <c r="D13563" t="s">
        <v>94</v>
      </c>
      <c r="E13563">
        <v>5.182E-3</v>
      </c>
      <c r="F13563" t="s">
        <v>74</v>
      </c>
      <c r="G13563">
        <v>5.1823600000000001</v>
      </c>
      <c r="H13563" t="s">
        <v>75</v>
      </c>
      <c r="I13563">
        <v>5182.357</v>
      </c>
      <c r="J13563" t="s">
        <v>76</v>
      </c>
      <c r="K13563" t="s">
        <v>77</v>
      </c>
    </row>
    <row r="13564" spans="1:12" x14ac:dyDescent="0.3">
      <c r="A13564" t="s">
        <v>496</v>
      </c>
      <c r="B13564" t="s">
        <v>83</v>
      </c>
      <c r="C13564">
        <v>452</v>
      </c>
      <c r="D13564" t="s">
        <v>80</v>
      </c>
      <c r="E13564">
        <v>5.3309999999999998E-3</v>
      </c>
      <c r="F13564" t="s">
        <v>74</v>
      </c>
      <c r="G13564">
        <v>5.3305600000000002</v>
      </c>
      <c r="H13564" t="s">
        <v>75</v>
      </c>
      <c r="I13564">
        <v>5330.5559999999996</v>
      </c>
      <c r="J13564" t="s">
        <v>76</v>
      </c>
      <c r="K13564" t="s">
        <v>77</v>
      </c>
    </row>
    <row r="13565" spans="1:12" x14ac:dyDescent="0.3">
      <c r="A13565" t="s">
        <v>496</v>
      </c>
      <c r="B13565" t="s">
        <v>83</v>
      </c>
      <c r="C13565">
        <v>452</v>
      </c>
      <c r="D13565" t="s">
        <v>81</v>
      </c>
      <c r="E13565">
        <v>5.3309999999999998E-3</v>
      </c>
      <c r="F13565" t="s">
        <v>74</v>
      </c>
      <c r="G13565">
        <v>5.3308799999999996</v>
      </c>
      <c r="H13565" t="s">
        <v>75</v>
      </c>
      <c r="I13565">
        <v>5330.8810000000003</v>
      </c>
      <c r="J13565" t="s">
        <v>76</v>
      </c>
      <c r="K13565" t="s">
        <v>82</v>
      </c>
      <c r="L13565">
        <v>187.58626649999999</v>
      </c>
    </row>
    <row r="13566" spans="1:12" x14ac:dyDescent="0.3">
      <c r="A13566" t="s">
        <v>496</v>
      </c>
      <c r="B13566" t="s">
        <v>84</v>
      </c>
      <c r="C13566">
        <v>453</v>
      </c>
      <c r="D13566" t="s">
        <v>79</v>
      </c>
      <c r="E13566">
        <v>1.5999999999999999E-5</v>
      </c>
      <c r="F13566" t="s">
        <v>74</v>
      </c>
      <c r="G13566">
        <v>1.6389999999999998E-2</v>
      </c>
      <c r="H13566" t="s">
        <v>75</v>
      </c>
      <c r="I13566">
        <v>16.388999999999999</v>
      </c>
      <c r="J13566" t="s">
        <v>76</v>
      </c>
      <c r="K13566" t="s">
        <v>77</v>
      </c>
    </row>
    <row r="13567" spans="1:12" x14ac:dyDescent="0.3">
      <c r="A13567" t="s">
        <v>496</v>
      </c>
      <c r="B13567" t="s">
        <v>84</v>
      </c>
      <c r="C13567">
        <v>453</v>
      </c>
      <c r="D13567" t="s">
        <v>94</v>
      </c>
      <c r="E13567">
        <v>5.208E-3</v>
      </c>
      <c r="F13567" t="s">
        <v>74</v>
      </c>
      <c r="G13567">
        <v>5.2083500000000003</v>
      </c>
      <c r="H13567" t="s">
        <v>75</v>
      </c>
      <c r="I13567">
        <v>5208.3540000000003</v>
      </c>
      <c r="J13567" t="s">
        <v>76</v>
      </c>
      <c r="K13567" t="s">
        <v>77</v>
      </c>
    </row>
    <row r="13568" spans="1:12" x14ac:dyDescent="0.3">
      <c r="A13568" t="s">
        <v>496</v>
      </c>
      <c r="B13568" t="s">
        <v>84</v>
      </c>
      <c r="C13568">
        <v>453</v>
      </c>
      <c r="D13568" t="s">
        <v>80</v>
      </c>
      <c r="E13568">
        <v>5.3569999999999998E-3</v>
      </c>
      <c r="F13568" t="s">
        <v>74</v>
      </c>
      <c r="G13568">
        <v>5.3565199999999997</v>
      </c>
      <c r="H13568" t="s">
        <v>75</v>
      </c>
      <c r="I13568">
        <v>5356.5190000000002</v>
      </c>
      <c r="J13568" t="s">
        <v>76</v>
      </c>
      <c r="K13568" t="s">
        <v>77</v>
      </c>
    </row>
    <row r="13569" spans="1:12" x14ac:dyDescent="0.3">
      <c r="A13569" t="s">
        <v>496</v>
      </c>
      <c r="B13569" t="s">
        <v>84</v>
      </c>
      <c r="C13569">
        <v>453</v>
      </c>
      <c r="D13569" t="s">
        <v>81</v>
      </c>
      <c r="E13569">
        <v>5.3730000000000002E-3</v>
      </c>
      <c r="F13569" t="s">
        <v>74</v>
      </c>
      <c r="G13569">
        <v>5.3730900000000004</v>
      </c>
      <c r="H13569" t="s">
        <v>75</v>
      </c>
      <c r="I13569">
        <v>5373.09</v>
      </c>
      <c r="J13569" t="s">
        <v>76</v>
      </c>
      <c r="K13569" t="s">
        <v>82</v>
      </c>
      <c r="L13569">
        <v>186.11264499999999</v>
      </c>
    </row>
    <row r="13570" spans="1:12" x14ac:dyDescent="0.3">
      <c r="A13570" t="s">
        <v>497</v>
      </c>
      <c r="B13570" t="s">
        <v>72</v>
      </c>
      <c r="C13570">
        <v>1</v>
      </c>
      <c r="D13570" t="s">
        <v>79</v>
      </c>
      <c r="E13570">
        <v>5.2700000000000004E-3</v>
      </c>
      <c r="F13570" t="s">
        <v>74</v>
      </c>
      <c r="G13570">
        <v>5.2698999999999998</v>
      </c>
      <c r="H13570" t="s">
        <v>75</v>
      </c>
      <c r="I13570">
        <v>5269.9</v>
      </c>
      <c r="J13570" t="s">
        <v>76</v>
      </c>
      <c r="K13570" t="s">
        <v>77</v>
      </c>
    </row>
    <row r="13571" spans="1:12" x14ac:dyDescent="0.3">
      <c r="A13571" t="s">
        <v>497</v>
      </c>
      <c r="B13571" t="s">
        <v>72</v>
      </c>
      <c r="C13571">
        <v>1</v>
      </c>
      <c r="D13571" t="s">
        <v>94</v>
      </c>
      <c r="E13571">
        <v>3.9639999999999996E-3</v>
      </c>
      <c r="F13571" t="s">
        <v>74</v>
      </c>
      <c r="G13571">
        <v>3.9636999999999998</v>
      </c>
      <c r="H13571" t="s">
        <v>75</v>
      </c>
      <c r="I13571">
        <v>3963.7</v>
      </c>
      <c r="J13571" t="s">
        <v>76</v>
      </c>
      <c r="K13571" t="s">
        <v>77</v>
      </c>
    </row>
    <row r="13572" spans="1:12" x14ac:dyDescent="0.3">
      <c r="A13572" t="s">
        <v>497</v>
      </c>
      <c r="B13572" t="s">
        <v>72</v>
      </c>
      <c r="C13572">
        <v>1</v>
      </c>
      <c r="D13572" t="s">
        <v>80</v>
      </c>
      <c r="E13572">
        <v>4.1110000000000001E-3</v>
      </c>
      <c r="F13572" t="s">
        <v>74</v>
      </c>
      <c r="G13572">
        <v>4.1109999999999998</v>
      </c>
      <c r="H13572" t="s">
        <v>75</v>
      </c>
      <c r="I13572">
        <v>4111</v>
      </c>
      <c r="J13572" t="s">
        <v>76</v>
      </c>
      <c r="K13572" t="s">
        <v>77</v>
      </c>
    </row>
    <row r="13573" spans="1:12" x14ac:dyDescent="0.3">
      <c r="A13573" t="s">
        <v>497</v>
      </c>
      <c r="B13573" t="s">
        <v>72</v>
      </c>
      <c r="C13573">
        <v>1</v>
      </c>
      <c r="D13573" t="s">
        <v>81</v>
      </c>
      <c r="E13573">
        <v>9.3810000000000004E-3</v>
      </c>
      <c r="F13573" t="s">
        <v>74</v>
      </c>
      <c r="G13573">
        <v>9.3811999999999998</v>
      </c>
      <c r="H13573" t="s">
        <v>75</v>
      </c>
      <c r="I13573">
        <v>9381.2000000000007</v>
      </c>
      <c r="J13573" t="s">
        <v>76</v>
      </c>
      <c r="K13573" t="s">
        <v>82</v>
      </c>
      <c r="L13573">
        <v>106.5961689</v>
      </c>
    </row>
    <row r="13574" spans="1:12" x14ac:dyDescent="0.3">
      <c r="A13574" t="s">
        <v>497</v>
      </c>
      <c r="B13574" t="s">
        <v>83</v>
      </c>
      <c r="C13574">
        <v>547</v>
      </c>
      <c r="D13574" t="s">
        <v>79</v>
      </c>
      <c r="E13574">
        <v>0</v>
      </c>
      <c r="F13574" t="s">
        <v>74</v>
      </c>
      <c r="G13574">
        <v>1.3999999999999999E-4</v>
      </c>
      <c r="H13574" t="s">
        <v>75</v>
      </c>
      <c r="I13574">
        <v>0.14099999999999999</v>
      </c>
      <c r="J13574" t="s">
        <v>76</v>
      </c>
      <c r="K13574" t="s">
        <v>77</v>
      </c>
    </row>
    <row r="13575" spans="1:12" x14ac:dyDescent="0.3">
      <c r="A13575" t="s">
        <v>497</v>
      </c>
      <c r="B13575" t="s">
        <v>83</v>
      </c>
      <c r="C13575">
        <v>547</v>
      </c>
      <c r="D13575" t="s">
        <v>94</v>
      </c>
      <c r="E13575">
        <v>4.2579999999999996E-3</v>
      </c>
      <c r="F13575" t="s">
        <v>74</v>
      </c>
      <c r="G13575">
        <v>4.2575799999999999</v>
      </c>
      <c r="H13575" t="s">
        <v>75</v>
      </c>
      <c r="I13575">
        <v>4257.5789999999997</v>
      </c>
      <c r="J13575" t="s">
        <v>76</v>
      </c>
      <c r="K13575" t="s">
        <v>77</v>
      </c>
    </row>
    <row r="13576" spans="1:12" x14ac:dyDescent="0.3">
      <c r="A13576" t="s">
        <v>497</v>
      </c>
      <c r="B13576" t="s">
        <v>83</v>
      </c>
      <c r="C13576">
        <v>547</v>
      </c>
      <c r="D13576" t="s">
        <v>80</v>
      </c>
      <c r="E13576">
        <v>4.431E-3</v>
      </c>
      <c r="F13576" t="s">
        <v>74</v>
      </c>
      <c r="G13576">
        <v>4.4312899999999997</v>
      </c>
      <c r="H13576" t="s">
        <v>75</v>
      </c>
      <c r="I13576">
        <v>4431.2889999999998</v>
      </c>
      <c r="J13576" t="s">
        <v>76</v>
      </c>
      <c r="K13576" t="s">
        <v>77</v>
      </c>
    </row>
    <row r="13577" spans="1:12" x14ac:dyDescent="0.3">
      <c r="A13577" t="s">
        <v>497</v>
      </c>
      <c r="B13577" t="s">
        <v>83</v>
      </c>
      <c r="C13577">
        <v>547</v>
      </c>
      <c r="D13577" t="s">
        <v>81</v>
      </c>
      <c r="E13577">
        <v>4.4320000000000002E-3</v>
      </c>
      <c r="F13577" t="s">
        <v>74</v>
      </c>
      <c r="G13577">
        <v>4.4316300000000002</v>
      </c>
      <c r="H13577" t="s">
        <v>75</v>
      </c>
      <c r="I13577">
        <v>4431.6260000000002</v>
      </c>
      <c r="J13577" t="s">
        <v>76</v>
      </c>
      <c r="K13577" t="s">
        <v>82</v>
      </c>
      <c r="L13577">
        <v>225.65083079999999</v>
      </c>
    </row>
    <row r="13578" spans="1:12" x14ac:dyDescent="0.3">
      <c r="A13578" t="s">
        <v>497</v>
      </c>
      <c r="B13578" t="s">
        <v>84</v>
      </c>
      <c r="C13578">
        <v>548</v>
      </c>
      <c r="D13578" t="s">
        <v>79</v>
      </c>
      <c r="E13578">
        <v>1.0000000000000001E-5</v>
      </c>
      <c r="F13578" t="s">
        <v>74</v>
      </c>
      <c r="G13578">
        <v>9.7599999999999996E-3</v>
      </c>
      <c r="H13578" t="s">
        <v>75</v>
      </c>
      <c r="I13578">
        <v>9.7579999999999991</v>
      </c>
      <c r="J13578" t="s">
        <v>76</v>
      </c>
      <c r="K13578" t="s">
        <v>77</v>
      </c>
    </row>
    <row r="13579" spans="1:12" x14ac:dyDescent="0.3">
      <c r="A13579" t="s">
        <v>497</v>
      </c>
      <c r="B13579" t="s">
        <v>84</v>
      </c>
      <c r="C13579">
        <v>548</v>
      </c>
      <c r="D13579" t="s">
        <v>94</v>
      </c>
      <c r="E13579">
        <v>4.2570000000000004E-3</v>
      </c>
      <c r="F13579" t="s">
        <v>74</v>
      </c>
      <c r="G13579">
        <v>4.2570399999999999</v>
      </c>
      <c r="H13579" t="s">
        <v>75</v>
      </c>
      <c r="I13579">
        <v>4257.0420000000004</v>
      </c>
      <c r="J13579" t="s">
        <v>76</v>
      </c>
      <c r="K13579" t="s">
        <v>77</v>
      </c>
    </row>
    <row r="13580" spans="1:12" x14ac:dyDescent="0.3">
      <c r="A13580" t="s">
        <v>497</v>
      </c>
      <c r="B13580" t="s">
        <v>84</v>
      </c>
      <c r="C13580">
        <v>548</v>
      </c>
      <c r="D13580" t="s">
        <v>80</v>
      </c>
      <c r="E13580">
        <v>4.431E-3</v>
      </c>
      <c r="F13580" t="s">
        <v>74</v>
      </c>
      <c r="G13580">
        <v>4.4306999999999999</v>
      </c>
      <c r="H13580" t="s">
        <v>75</v>
      </c>
      <c r="I13580">
        <v>4430.7049999999999</v>
      </c>
      <c r="J13580" t="s">
        <v>76</v>
      </c>
      <c r="K13580" t="s">
        <v>77</v>
      </c>
    </row>
    <row r="13581" spans="1:12" x14ac:dyDescent="0.3">
      <c r="A13581" t="s">
        <v>497</v>
      </c>
      <c r="B13581" t="s">
        <v>84</v>
      </c>
      <c r="C13581">
        <v>548</v>
      </c>
      <c r="D13581" t="s">
        <v>81</v>
      </c>
      <c r="E13581">
        <v>4.4409999999999996E-3</v>
      </c>
      <c r="F13581" t="s">
        <v>74</v>
      </c>
      <c r="G13581">
        <v>4.4406600000000003</v>
      </c>
      <c r="H13581" t="s">
        <v>75</v>
      </c>
      <c r="I13581">
        <v>4440.6580000000004</v>
      </c>
      <c r="J13581" t="s">
        <v>76</v>
      </c>
      <c r="K13581" t="s">
        <v>82</v>
      </c>
      <c r="L13581">
        <v>225.1918378</v>
      </c>
    </row>
    <row r="13582" spans="1:12" x14ac:dyDescent="0.3">
      <c r="A13582" t="s">
        <v>498</v>
      </c>
      <c r="B13582" t="s">
        <v>72</v>
      </c>
      <c r="C13582">
        <v>1</v>
      </c>
      <c r="D13582" t="s">
        <v>73</v>
      </c>
      <c r="E13582">
        <v>7.8999999999999996E-5</v>
      </c>
      <c r="F13582" t="s">
        <v>74</v>
      </c>
      <c r="G13582">
        <v>7.9399999999999998E-2</v>
      </c>
      <c r="H13582" t="s">
        <v>75</v>
      </c>
      <c r="I13582">
        <v>79.400000000000006</v>
      </c>
      <c r="J13582" t="s">
        <v>76</v>
      </c>
      <c r="K13582" t="s">
        <v>77</v>
      </c>
    </row>
    <row r="13583" spans="1:12" x14ac:dyDescent="0.3">
      <c r="A13583" t="s">
        <v>498</v>
      </c>
      <c r="B13583" t="s">
        <v>72</v>
      </c>
      <c r="C13583">
        <v>1</v>
      </c>
      <c r="D13583" t="s">
        <v>78</v>
      </c>
      <c r="E13583">
        <v>1.36E-4</v>
      </c>
      <c r="F13583" t="s">
        <v>74</v>
      </c>
      <c r="G13583">
        <v>0.13619999999999999</v>
      </c>
      <c r="H13583" t="s">
        <v>75</v>
      </c>
      <c r="I13583">
        <v>136.19999999999999</v>
      </c>
      <c r="J13583" t="s">
        <v>76</v>
      </c>
      <c r="K13583" t="s">
        <v>77</v>
      </c>
    </row>
    <row r="13584" spans="1:12" x14ac:dyDescent="0.3">
      <c r="A13584" t="s">
        <v>498</v>
      </c>
      <c r="B13584" t="s">
        <v>72</v>
      </c>
      <c r="C13584">
        <v>2</v>
      </c>
      <c r="D13584" t="s">
        <v>86</v>
      </c>
      <c r="E13584">
        <v>1.2229E-2</v>
      </c>
      <c r="F13584" t="s">
        <v>74</v>
      </c>
      <c r="G13584">
        <v>12.2285</v>
      </c>
      <c r="H13584" t="s">
        <v>75</v>
      </c>
      <c r="I13584">
        <v>12228.5</v>
      </c>
      <c r="J13584" t="s">
        <v>76</v>
      </c>
      <c r="K13584" t="s">
        <v>82</v>
      </c>
      <c r="L13584">
        <v>81.776177899999993</v>
      </c>
    </row>
    <row r="13585" spans="1:12" x14ac:dyDescent="0.3">
      <c r="A13585" t="s">
        <v>498</v>
      </c>
      <c r="B13585" t="s">
        <v>83</v>
      </c>
      <c r="C13585">
        <v>999</v>
      </c>
      <c r="D13585" t="s">
        <v>86</v>
      </c>
      <c r="E13585">
        <v>2.444E-3</v>
      </c>
      <c r="F13585" t="s">
        <v>74</v>
      </c>
      <c r="G13585">
        <v>2.444</v>
      </c>
      <c r="H13585" t="s">
        <v>75</v>
      </c>
      <c r="I13585">
        <v>2444.0030000000002</v>
      </c>
      <c r="J13585" t="s">
        <v>76</v>
      </c>
      <c r="K13585" t="s">
        <v>82</v>
      </c>
      <c r="L13585">
        <v>409.16478719999998</v>
      </c>
    </row>
    <row r="13586" spans="1:12" x14ac:dyDescent="0.3">
      <c r="A13586" t="s">
        <v>498</v>
      </c>
      <c r="B13586" t="s">
        <v>85</v>
      </c>
      <c r="C13586">
        <v>1001</v>
      </c>
      <c r="D13586" t="s">
        <v>86</v>
      </c>
      <c r="E13586">
        <v>2.4510000000000001E-3</v>
      </c>
      <c r="F13586" t="s">
        <v>74</v>
      </c>
      <c r="G13586">
        <v>2.45146</v>
      </c>
      <c r="H13586" t="s">
        <v>75</v>
      </c>
      <c r="I13586">
        <v>2451.462</v>
      </c>
      <c r="J13586" t="s">
        <v>76</v>
      </c>
      <c r="K13586" t="s">
        <v>82</v>
      </c>
      <c r="L13586">
        <v>407.9199266</v>
      </c>
    </row>
    <row r="13587" spans="1:12" x14ac:dyDescent="0.3">
      <c r="A13587" t="s">
        <v>115</v>
      </c>
    </row>
    <row r="13588" spans="1:12" x14ac:dyDescent="0.3">
      <c r="A13588" t="s">
        <v>127</v>
      </c>
    </row>
    <row r="13589" spans="1:12" x14ac:dyDescent="0.3">
      <c r="A13589" t="s">
        <v>87</v>
      </c>
    </row>
    <row r="13590" spans="1:12" x14ac:dyDescent="0.3">
      <c r="A13590" t="s">
        <v>546</v>
      </c>
    </row>
    <row r="13591" spans="1:12" x14ac:dyDescent="0.3">
      <c r="A13591" t="s">
        <v>496</v>
      </c>
      <c r="B13591" t="s">
        <v>72</v>
      </c>
      <c r="C13591">
        <v>1</v>
      </c>
      <c r="D13591" t="s">
        <v>81</v>
      </c>
      <c r="E13591">
        <v>0.40597</v>
      </c>
      <c r="F13591" t="s">
        <v>74</v>
      </c>
      <c r="G13591">
        <v>405.97039000000001</v>
      </c>
      <c r="H13591" t="s">
        <v>75</v>
      </c>
      <c r="I13591">
        <v>405970.39500000002</v>
      </c>
      <c r="J13591" t="s">
        <v>76</v>
      </c>
      <c r="K13591" t="s">
        <v>82</v>
      </c>
      <c r="L13591">
        <v>2.4632337999999998</v>
      </c>
    </row>
    <row r="13592" spans="1:12" x14ac:dyDescent="0.3">
      <c r="A13592" t="s">
        <v>496</v>
      </c>
      <c r="B13592" t="s">
        <v>83</v>
      </c>
      <c r="C13592">
        <v>288</v>
      </c>
      <c r="D13592" t="s">
        <v>81</v>
      </c>
      <c r="E13592">
        <v>7.6899999999999998E-3</v>
      </c>
      <c r="F13592" t="s">
        <v>74</v>
      </c>
      <c r="G13592">
        <v>7.6902100000000004</v>
      </c>
      <c r="H13592" t="s">
        <v>75</v>
      </c>
      <c r="I13592">
        <v>7690.2079999999996</v>
      </c>
      <c r="J13592" t="s">
        <v>76</v>
      </c>
      <c r="K13592" t="s">
        <v>82</v>
      </c>
      <c r="L13592">
        <v>130.0354974</v>
      </c>
    </row>
    <row r="13593" spans="1:12" x14ac:dyDescent="0.3">
      <c r="A13593" t="s">
        <v>496</v>
      </c>
      <c r="B13593" t="s">
        <v>84</v>
      </c>
      <c r="C13593">
        <v>289</v>
      </c>
      <c r="D13593" t="s">
        <v>81</v>
      </c>
      <c r="E13593">
        <v>9.0679999999999997E-3</v>
      </c>
      <c r="F13593" t="s">
        <v>74</v>
      </c>
      <c r="G13593">
        <v>9.0683399999999992</v>
      </c>
      <c r="H13593" t="s">
        <v>75</v>
      </c>
      <c r="I13593">
        <v>9068.3439999999991</v>
      </c>
      <c r="J13593" t="s">
        <v>76</v>
      </c>
      <c r="K13593" t="s">
        <v>82</v>
      </c>
      <c r="L13593">
        <v>110.2737185</v>
      </c>
    </row>
    <row r="13594" spans="1:12" x14ac:dyDescent="0.3">
      <c r="A13594" t="s">
        <v>497</v>
      </c>
      <c r="B13594" t="s">
        <v>72</v>
      </c>
      <c r="C13594">
        <v>1</v>
      </c>
      <c r="D13594" t="s">
        <v>81</v>
      </c>
      <c r="E13594">
        <v>0.118801</v>
      </c>
      <c r="F13594" t="s">
        <v>74</v>
      </c>
      <c r="G13594">
        <v>118.80070000000001</v>
      </c>
      <c r="H13594" t="s">
        <v>75</v>
      </c>
      <c r="I13594">
        <v>118800.7</v>
      </c>
      <c r="J13594" t="s">
        <v>76</v>
      </c>
      <c r="K13594" t="s">
        <v>82</v>
      </c>
      <c r="L13594">
        <v>8.4174588000000004</v>
      </c>
    </row>
    <row r="13595" spans="1:12" x14ac:dyDescent="0.3">
      <c r="A13595" t="s">
        <v>497</v>
      </c>
      <c r="B13595" t="s">
        <v>83</v>
      </c>
      <c r="C13595">
        <v>711</v>
      </c>
      <c r="D13595" t="s">
        <v>81</v>
      </c>
      <c r="E13595">
        <v>3.4780000000000002E-3</v>
      </c>
      <c r="F13595" t="s">
        <v>74</v>
      </c>
      <c r="G13595">
        <v>3.4784700000000002</v>
      </c>
      <c r="H13595" t="s">
        <v>75</v>
      </c>
      <c r="I13595">
        <v>3478.4670000000001</v>
      </c>
      <c r="J13595" t="s">
        <v>76</v>
      </c>
      <c r="K13595" t="s">
        <v>82</v>
      </c>
      <c r="L13595">
        <v>287.48298699999998</v>
      </c>
    </row>
    <row r="13596" spans="1:12" x14ac:dyDescent="0.3">
      <c r="A13596" t="s">
        <v>497</v>
      </c>
      <c r="B13596" t="s">
        <v>84</v>
      </c>
      <c r="C13596">
        <v>712</v>
      </c>
      <c r="D13596" t="s">
        <v>81</v>
      </c>
      <c r="E13596">
        <v>3.64E-3</v>
      </c>
      <c r="F13596" t="s">
        <v>74</v>
      </c>
      <c r="G13596">
        <v>3.6404399999999999</v>
      </c>
      <c r="H13596" t="s">
        <v>75</v>
      </c>
      <c r="I13596">
        <v>3640.4369999999999</v>
      </c>
      <c r="J13596" t="s">
        <v>76</v>
      </c>
      <c r="K13596" t="s">
        <v>82</v>
      </c>
      <c r="L13596">
        <v>274.69231739999998</v>
      </c>
    </row>
    <row r="13597" spans="1:12" x14ac:dyDescent="0.3">
      <c r="A13597" t="s">
        <v>498</v>
      </c>
      <c r="B13597" t="s">
        <v>72</v>
      </c>
      <c r="C13597">
        <v>2</v>
      </c>
      <c r="D13597" t="s">
        <v>86</v>
      </c>
      <c r="E13597">
        <v>0.203011</v>
      </c>
      <c r="F13597" t="s">
        <v>74</v>
      </c>
      <c r="G13597">
        <v>203.01053999999999</v>
      </c>
      <c r="H13597" t="s">
        <v>75</v>
      </c>
      <c r="I13597">
        <v>203010.54399999999</v>
      </c>
      <c r="J13597" t="s">
        <v>76</v>
      </c>
      <c r="K13597" t="s">
        <v>82</v>
      </c>
      <c r="L13597">
        <v>4.9258525000000004</v>
      </c>
    </row>
    <row r="13598" spans="1:12" x14ac:dyDescent="0.3">
      <c r="A13598" t="s">
        <v>498</v>
      </c>
      <c r="B13598" t="s">
        <v>83</v>
      </c>
      <c r="C13598">
        <v>999</v>
      </c>
      <c r="D13598" t="s">
        <v>86</v>
      </c>
      <c r="E13598">
        <v>2.513E-3</v>
      </c>
      <c r="F13598" t="s">
        <v>74</v>
      </c>
      <c r="G13598">
        <v>2.5128699999999999</v>
      </c>
      <c r="H13598" t="s">
        <v>75</v>
      </c>
      <c r="I13598">
        <v>2512.8690000000001</v>
      </c>
      <c r="J13598" t="s">
        <v>76</v>
      </c>
      <c r="K13598" t="s">
        <v>82</v>
      </c>
      <c r="L13598">
        <v>397.951458</v>
      </c>
    </row>
    <row r="13599" spans="1:12" x14ac:dyDescent="0.3">
      <c r="A13599" t="s">
        <v>498</v>
      </c>
      <c r="B13599" t="s">
        <v>85</v>
      </c>
      <c r="C13599">
        <v>1001</v>
      </c>
      <c r="D13599" t="s">
        <v>86</v>
      </c>
      <c r="E13599">
        <v>2.63E-3</v>
      </c>
      <c r="F13599" t="s">
        <v>74</v>
      </c>
      <c r="G13599">
        <v>2.6297999999999999</v>
      </c>
      <c r="H13599" t="s">
        <v>75</v>
      </c>
      <c r="I13599">
        <v>2629.8029999999999</v>
      </c>
      <c r="J13599" t="s">
        <v>76</v>
      </c>
      <c r="K13599" t="s">
        <v>82</v>
      </c>
      <c r="L13599">
        <v>380.25666940000002</v>
      </c>
    </row>
    <row r="13601" spans="1:12" x14ac:dyDescent="0.3">
      <c r="A13601" t="s">
        <v>547</v>
      </c>
    </row>
    <row r="13602" spans="1:12" x14ac:dyDescent="0.3">
      <c r="A13602" t="s">
        <v>496</v>
      </c>
      <c r="B13602" t="s">
        <v>72</v>
      </c>
      <c r="C13602">
        <v>1</v>
      </c>
      <c r="D13602" t="s">
        <v>81</v>
      </c>
      <c r="E13602">
        <v>2.4452000000000002E-2</v>
      </c>
      <c r="F13602" t="s">
        <v>74</v>
      </c>
      <c r="G13602">
        <v>24.451699999999999</v>
      </c>
      <c r="H13602" t="s">
        <v>75</v>
      </c>
      <c r="I13602">
        <v>24451.699000000001</v>
      </c>
      <c r="J13602" t="s">
        <v>76</v>
      </c>
      <c r="K13602" t="s">
        <v>82</v>
      </c>
      <c r="L13602">
        <v>40.896953400000001</v>
      </c>
    </row>
    <row r="13603" spans="1:12" x14ac:dyDescent="0.3">
      <c r="A13603" t="s">
        <v>496</v>
      </c>
      <c r="B13603" t="s">
        <v>83</v>
      </c>
      <c r="C13603">
        <v>452</v>
      </c>
      <c r="D13603" t="s">
        <v>81</v>
      </c>
      <c r="E13603">
        <v>5.3309999999999998E-3</v>
      </c>
      <c r="F13603" t="s">
        <v>74</v>
      </c>
      <c r="G13603">
        <v>5.3308799999999996</v>
      </c>
      <c r="H13603" t="s">
        <v>75</v>
      </c>
      <c r="I13603">
        <v>5330.8810000000003</v>
      </c>
      <c r="J13603" t="s">
        <v>76</v>
      </c>
      <c r="K13603" t="s">
        <v>82</v>
      </c>
      <c r="L13603">
        <v>187.58626649999999</v>
      </c>
    </row>
    <row r="13604" spans="1:12" x14ac:dyDescent="0.3">
      <c r="A13604" t="s">
        <v>496</v>
      </c>
      <c r="B13604" t="s">
        <v>84</v>
      </c>
      <c r="C13604">
        <v>453</v>
      </c>
      <c r="D13604" t="s">
        <v>81</v>
      </c>
      <c r="E13604">
        <v>5.3730000000000002E-3</v>
      </c>
      <c r="F13604" t="s">
        <v>74</v>
      </c>
      <c r="G13604">
        <v>5.3730900000000004</v>
      </c>
      <c r="H13604" t="s">
        <v>75</v>
      </c>
      <c r="I13604">
        <v>5373.09</v>
      </c>
      <c r="J13604" t="s">
        <v>76</v>
      </c>
      <c r="K13604" t="s">
        <v>82</v>
      </c>
      <c r="L13604">
        <v>186.11264499999999</v>
      </c>
    </row>
    <row r="13605" spans="1:12" x14ac:dyDescent="0.3">
      <c r="A13605" t="s">
        <v>497</v>
      </c>
      <c r="B13605" t="s">
        <v>72</v>
      </c>
      <c r="C13605">
        <v>1</v>
      </c>
      <c r="D13605" t="s">
        <v>81</v>
      </c>
      <c r="E13605">
        <v>9.3810000000000004E-3</v>
      </c>
      <c r="F13605" t="s">
        <v>74</v>
      </c>
      <c r="G13605">
        <v>9.3811999999999998</v>
      </c>
      <c r="H13605" t="s">
        <v>75</v>
      </c>
      <c r="I13605">
        <v>9381.2000000000007</v>
      </c>
      <c r="J13605" t="s">
        <v>76</v>
      </c>
      <c r="K13605" t="s">
        <v>82</v>
      </c>
      <c r="L13605">
        <v>106.5961689</v>
      </c>
    </row>
    <row r="13606" spans="1:12" x14ac:dyDescent="0.3">
      <c r="A13606" t="s">
        <v>497</v>
      </c>
      <c r="B13606" t="s">
        <v>83</v>
      </c>
      <c r="C13606">
        <v>547</v>
      </c>
      <c r="D13606" t="s">
        <v>81</v>
      </c>
      <c r="E13606">
        <v>4.4320000000000002E-3</v>
      </c>
      <c r="F13606" t="s">
        <v>74</v>
      </c>
      <c r="G13606">
        <v>4.4316300000000002</v>
      </c>
      <c r="H13606" t="s">
        <v>75</v>
      </c>
      <c r="I13606">
        <v>4431.6260000000002</v>
      </c>
      <c r="J13606" t="s">
        <v>76</v>
      </c>
      <c r="K13606" t="s">
        <v>82</v>
      </c>
      <c r="L13606">
        <v>225.65083079999999</v>
      </c>
    </row>
    <row r="13607" spans="1:12" x14ac:dyDescent="0.3">
      <c r="A13607" t="s">
        <v>497</v>
      </c>
      <c r="B13607" t="s">
        <v>84</v>
      </c>
      <c r="C13607">
        <v>548</v>
      </c>
      <c r="D13607" t="s">
        <v>81</v>
      </c>
      <c r="E13607">
        <v>4.4409999999999996E-3</v>
      </c>
      <c r="F13607" t="s">
        <v>74</v>
      </c>
      <c r="G13607">
        <v>4.4406600000000003</v>
      </c>
      <c r="H13607" t="s">
        <v>75</v>
      </c>
      <c r="I13607">
        <v>4440.6580000000004</v>
      </c>
      <c r="J13607" t="s">
        <v>76</v>
      </c>
      <c r="K13607" t="s">
        <v>82</v>
      </c>
      <c r="L13607">
        <v>225.1918378</v>
      </c>
    </row>
    <row r="13608" spans="1:12" x14ac:dyDescent="0.3">
      <c r="A13608" t="s">
        <v>498</v>
      </c>
      <c r="B13608" t="s">
        <v>72</v>
      </c>
      <c r="C13608">
        <v>2</v>
      </c>
      <c r="D13608" t="s">
        <v>86</v>
      </c>
      <c r="E13608">
        <v>1.2229E-2</v>
      </c>
      <c r="F13608" t="s">
        <v>74</v>
      </c>
      <c r="G13608">
        <v>12.2285</v>
      </c>
      <c r="H13608" t="s">
        <v>75</v>
      </c>
      <c r="I13608">
        <v>12228.5</v>
      </c>
      <c r="J13608" t="s">
        <v>76</v>
      </c>
      <c r="K13608" t="s">
        <v>82</v>
      </c>
      <c r="L13608">
        <v>81.776177899999993</v>
      </c>
    </row>
    <row r="13609" spans="1:12" x14ac:dyDescent="0.3">
      <c r="A13609" t="s">
        <v>498</v>
      </c>
      <c r="B13609" t="s">
        <v>83</v>
      </c>
      <c r="C13609">
        <v>999</v>
      </c>
      <c r="D13609" t="s">
        <v>86</v>
      </c>
      <c r="E13609">
        <v>2.444E-3</v>
      </c>
      <c r="F13609" t="s">
        <v>74</v>
      </c>
      <c r="G13609">
        <v>2.444</v>
      </c>
      <c r="H13609" t="s">
        <v>75</v>
      </c>
      <c r="I13609">
        <v>2444.0030000000002</v>
      </c>
      <c r="J13609" t="s">
        <v>76</v>
      </c>
      <c r="K13609" t="s">
        <v>82</v>
      </c>
      <c r="L13609">
        <v>409.16478719999998</v>
      </c>
    </row>
    <row r="13610" spans="1:12" x14ac:dyDescent="0.3">
      <c r="A13610" t="s">
        <v>498</v>
      </c>
      <c r="B13610" t="s">
        <v>85</v>
      </c>
      <c r="C13610">
        <v>1001</v>
      </c>
      <c r="D13610" t="s">
        <v>86</v>
      </c>
      <c r="E13610">
        <v>2.4510000000000001E-3</v>
      </c>
      <c r="F13610" t="s">
        <v>74</v>
      </c>
      <c r="G13610">
        <v>2.45146</v>
      </c>
      <c r="H13610" t="s">
        <v>75</v>
      </c>
      <c r="I13610">
        <v>2451.462</v>
      </c>
      <c r="J13610" t="s">
        <v>76</v>
      </c>
      <c r="K13610" t="s">
        <v>82</v>
      </c>
      <c r="L13610">
        <v>407.9199266</v>
      </c>
    </row>
    <row r="13612" spans="1:12" x14ac:dyDescent="0.3">
      <c r="A13612" t="s">
        <v>66</v>
      </c>
    </row>
    <row r="13614" spans="1:12" x14ac:dyDescent="0.3">
      <c r="A13614" t="s">
        <v>575</v>
      </c>
    </row>
    <row r="13615" spans="1:12" x14ac:dyDescent="0.3">
      <c r="A13615" t="s">
        <v>68</v>
      </c>
    </row>
    <row r="13616" spans="1:12" x14ac:dyDescent="0.3">
      <c r="A13616" t="s">
        <v>69</v>
      </c>
    </row>
    <row r="13617" spans="1:1" x14ac:dyDescent="0.3">
      <c r="A13617" t="s">
        <v>68</v>
      </c>
    </row>
    <row r="13618" spans="1:1" x14ac:dyDescent="0.3">
      <c r="A13618" t="s">
        <v>69</v>
      </c>
    </row>
    <row r="13619" spans="1:1" x14ac:dyDescent="0.3">
      <c r="A13619" t="s">
        <v>70</v>
      </c>
    </row>
    <row r="13620" spans="1:1" x14ac:dyDescent="0.3">
      <c r="A13620" t="s">
        <v>115</v>
      </c>
    </row>
    <row r="13621" spans="1:1" x14ac:dyDescent="0.3">
      <c r="A13621" t="s">
        <v>116</v>
      </c>
    </row>
    <row r="13622" spans="1:1" x14ac:dyDescent="0.3">
      <c r="A13622" t="s">
        <v>117</v>
      </c>
    </row>
    <row r="13623" spans="1:1" x14ac:dyDescent="0.3">
      <c r="A13623" t="s">
        <v>118</v>
      </c>
    </row>
    <row r="13624" spans="1:1" x14ac:dyDescent="0.3">
      <c r="A13624" t="s">
        <v>119</v>
      </c>
    </row>
    <row r="13625" spans="1:1" x14ac:dyDescent="0.3">
      <c r="A13625" t="s">
        <v>120</v>
      </c>
    </row>
    <row r="13626" spans="1:1" x14ac:dyDescent="0.3">
      <c r="A13626" t="s">
        <v>121</v>
      </c>
    </row>
    <row r="13627" spans="1:1" x14ac:dyDescent="0.3">
      <c r="A13627" t="s">
        <v>122</v>
      </c>
    </row>
    <row r="13628" spans="1:1" x14ac:dyDescent="0.3">
      <c r="A13628" t="s">
        <v>123</v>
      </c>
    </row>
    <row r="13629" spans="1:1" x14ac:dyDescent="0.3">
      <c r="A13629" t="s">
        <v>124</v>
      </c>
    </row>
    <row r="13630" spans="1:1" x14ac:dyDescent="0.3">
      <c r="A13630" t="s">
        <v>125</v>
      </c>
    </row>
    <row r="13631" spans="1:1" x14ac:dyDescent="0.3">
      <c r="A13631" t="s">
        <v>126</v>
      </c>
    </row>
    <row r="13632" spans="1:1" x14ac:dyDescent="0.3">
      <c r="A13632" t="s">
        <v>127</v>
      </c>
    </row>
    <row r="13633" spans="1:1" x14ac:dyDescent="0.3">
      <c r="A13633" t="s">
        <v>199</v>
      </c>
    </row>
    <row r="13634" spans="1:1" x14ac:dyDescent="0.3">
      <c r="A13634" t="s">
        <v>115</v>
      </c>
    </row>
    <row r="13635" spans="1:1" x14ac:dyDescent="0.3">
      <c r="A13635" t="s">
        <v>266</v>
      </c>
    </row>
    <row r="13636" spans="1:1" x14ac:dyDescent="0.3">
      <c r="A13636" t="s">
        <v>267</v>
      </c>
    </row>
    <row r="13637" spans="1:1" x14ac:dyDescent="0.3">
      <c r="A13637" t="s">
        <v>118</v>
      </c>
    </row>
    <row r="13638" spans="1:1" x14ac:dyDescent="0.3">
      <c r="A13638" t="s">
        <v>119</v>
      </c>
    </row>
    <row r="13639" spans="1:1" x14ac:dyDescent="0.3">
      <c r="A13639" t="s">
        <v>268</v>
      </c>
    </row>
    <row r="13640" spans="1:1" x14ac:dyDescent="0.3">
      <c r="A13640" t="s">
        <v>269</v>
      </c>
    </row>
    <row r="13641" spans="1:1" x14ac:dyDescent="0.3">
      <c r="A13641" t="s">
        <v>122</v>
      </c>
    </row>
    <row r="13642" spans="1:1" x14ac:dyDescent="0.3">
      <c r="A13642" t="s">
        <v>270</v>
      </c>
    </row>
    <row r="13643" spans="1:1" x14ac:dyDescent="0.3">
      <c r="A13643" t="s">
        <v>271</v>
      </c>
    </row>
    <row r="13644" spans="1:1" x14ac:dyDescent="0.3">
      <c r="A13644" t="s">
        <v>125</v>
      </c>
    </row>
    <row r="13645" spans="1:1" x14ac:dyDescent="0.3">
      <c r="A13645" t="s">
        <v>126</v>
      </c>
    </row>
    <row r="13646" spans="1:1" x14ac:dyDescent="0.3">
      <c r="A13646" t="s">
        <v>127</v>
      </c>
    </row>
    <row r="13647" spans="1:1" x14ac:dyDescent="0.3">
      <c r="A13647" t="s">
        <v>199</v>
      </c>
    </row>
    <row r="13648" spans="1:1" x14ac:dyDescent="0.3">
      <c r="A13648" t="s">
        <v>549</v>
      </c>
    </row>
    <row r="13649" spans="1:12" x14ac:dyDescent="0.3">
      <c r="A13649" t="s">
        <v>496</v>
      </c>
      <c r="B13649" t="s">
        <v>72</v>
      </c>
      <c r="C13649">
        <v>1</v>
      </c>
      <c r="D13649" t="s">
        <v>79</v>
      </c>
      <c r="E13649">
        <v>0.43381399999999998</v>
      </c>
      <c r="F13649" t="s">
        <v>74</v>
      </c>
      <c r="G13649">
        <v>433.81450000000001</v>
      </c>
      <c r="H13649" t="s">
        <v>75</v>
      </c>
      <c r="I13649">
        <v>433814.49599999998</v>
      </c>
      <c r="J13649" t="s">
        <v>76</v>
      </c>
      <c r="K13649" t="s">
        <v>77</v>
      </c>
    </row>
    <row r="13650" spans="1:12" x14ac:dyDescent="0.3">
      <c r="A13650" t="s">
        <v>496</v>
      </c>
      <c r="B13650" t="s">
        <v>72</v>
      </c>
      <c r="C13650">
        <v>1</v>
      </c>
      <c r="D13650" t="s">
        <v>94</v>
      </c>
      <c r="E13650">
        <v>5.3544000000000001E-2</v>
      </c>
      <c r="F13650" t="s">
        <v>74</v>
      </c>
      <c r="G13650">
        <v>53.543999999999997</v>
      </c>
      <c r="H13650" t="s">
        <v>75</v>
      </c>
      <c r="I13650">
        <v>53544</v>
      </c>
      <c r="J13650" t="s">
        <v>76</v>
      </c>
      <c r="K13650" t="s">
        <v>77</v>
      </c>
    </row>
    <row r="13651" spans="1:12" x14ac:dyDescent="0.3">
      <c r="A13651" t="s">
        <v>496</v>
      </c>
      <c r="B13651" t="s">
        <v>72</v>
      </c>
      <c r="C13651">
        <v>1</v>
      </c>
      <c r="D13651" t="s">
        <v>80</v>
      </c>
      <c r="E13651">
        <v>5.3546000000000003E-2</v>
      </c>
      <c r="F13651" t="s">
        <v>74</v>
      </c>
      <c r="G13651">
        <v>53.5458</v>
      </c>
      <c r="H13651" t="s">
        <v>75</v>
      </c>
      <c r="I13651">
        <v>53545.798999999999</v>
      </c>
      <c r="J13651" t="s">
        <v>76</v>
      </c>
      <c r="K13651" t="s">
        <v>77</v>
      </c>
    </row>
    <row r="13652" spans="1:12" x14ac:dyDescent="0.3">
      <c r="A13652" t="s">
        <v>496</v>
      </c>
      <c r="B13652" t="s">
        <v>72</v>
      </c>
      <c r="C13652">
        <v>1</v>
      </c>
      <c r="D13652" t="s">
        <v>81</v>
      </c>
      <c r="E13652">
        <v>0.48736099999999999</v>
      </c>
      <c r="F13652" t="s">
        <v>74</v>
      </c>
      <c r="G13652">
        <v>487.36101000000002</v>
      </c>
      <c r="H13652" t="s">
        <v>75</v>
      </c>
      <c r="I13652">
        <v>487361.01400000002</v>
      </c>
      <c r="J13652" t="s">
        <v>76</v>
      </c>
      <c r="K13652" t="s">
        <v>82</v>
      </c>
      <c r="L13652">
        <v>2.0518670000000001</v>
      </c>
    </row>
    <row r="13653" spans="1:12" x14ac:dyDescent="0.3">
      <c r="A13653" t="s">
        <v>496</v>
      </c>
      <c r="B13653" t="s">
        <v>83</v>
      </c>
      <c r="C13653">
        <v>591</v>
      </c>
      <c r="D13653" t="s">
        <v>79</v>
      </c>
      <c r="E13653">
        <v>0</v>
      </c>
      <c r="F13653" t="s">
        <v>74</v>
      </c>
      <c r="G13653">
        <v>2.5000000000000001E-4</v>
      </c>
      <c r="H13653" t="s">
        <v>75</v>
      </c>
      <c r="I13653">
        <v>0.25</v>
      </c>
      <c r="J13653" t="s">
        <v>76</v>
      </c>
      <c r="K13653" t="s">
        <v>77</v>
      </c>
    </row>
    <row r="13654" spans="1:12" x14ac:dyDescent="0.3">
      <c r="A13654" t="s">
        <v>496</v>
      </c>
      <c r="B13654" t="s">
        <v>83</v>
      </c>
      <c r="C13654">
        <v>591</v>
      </c>
      <c r="D13654" t="s">
        <v>94</v>
      </c>
      <c r="E13654">
        <v>1.4215999999999999E-2</v>
      </c>
      <c r="F13654" t="s">
        <v>74</v>
      </c>
      <c r="G13654">
        <v>14.215680000000001</v>
      </c>
      <c r="H13654" t="s">
        <v>75</v>
      </c>
      <c r="I13654">
        <v>14215.681</v>
      </c>
      <c r="J13654" t="s">
        <v>76</v>
      </c>
      <c r="K13654" t="s">
        <v>77</v>
      </c>
    </row>
    <row r="13655" spans="1:12" x14ac:dyDescent="0.3">
      <c r="A13655" t="s">
        <v>496</v>
      </c>
      <c r="B13655" t="s">
        <v>83</v>
      </c>
      <c r="C13655">
        <v>591</v>
      </c>
      <c r="D13655" t="s">
        <v>80</v>
      </c>
      <c r="E13655">
        <v>1.4215999999999999E-2</v>
      </c>
      <c r="F13655" t="s">
        <v>74</v>
      </c>
      <c r="G13655">
        <v>14.21645</v>
      </c>
      <c r="H13655" t="s">
        <v>75</v>
      </c>
      <c r="I13655">
        <v>14216.447</v>
      </c>
      <c r="J13655" t="s">
        <v>76</v>
      </c>
      <c r="K13655" t="s">
        <v>77</v>
      </c>
    </row>
    <row r="13656" spans="1:12" x14ac:dyDescent="0.3">
      <c r="A13656" t="s">
        <v>496</v>
      </c>
      <c r="B13656" t="s">
        <v>83</v>
      </c>
      <c r="C13656">
        <v>591</v>
      </c>
      <c r="D13656" t="s">
        <v>81</v>
      </c>
      <c r="E13656">
        <v>1.4217E-2</v>
      </c>
      <c r="F13656" t="s">
        <v>74</v>
      </c>
      <c r="G13656">
        <v>14.21688</v>
      </c>
      <c r="H13656" t="s">
        <v>75</v>
      </c>
      <c r="I13656">
        <v>14216.878000000001</v>
      </c>
      <c r="J13656" t="s">
        <v>76</v>
      </c>
      <c r="K13656" t="s">
        <v>82</v>
      </c>
      <c r="L13656">
        <v>70.338930500000004</v>
      </c>
    </row>
    <row r="13657" spans="1:12" x14ac:dyDescent="0.3">
      <c r="A13657" t="s">
        <v>496</v>
      </c>
      <c r="B13657" t="s">
        <v>84</v>
      </c>
      <c r="C13657">
        <v>592</v>
      </c>
      <c r="D13657" t="s">
        <v>79</v>
      </c>
      <c r="E13657">
        <v>7.3300000000000004E-4</v>
      </c>
      <c r="F13657" t="s">
        <v>74</v>
      </c>
      <c r="G13657">
        <v>0.73304000000000002</v>
      </c>
      <c r="H13657" t="s">
        <v>75</v>
      </c>
      <c r="I13657">
        <v>733.04200000000003</v>
      </c>
      <c r="J13657" t="s">
        <v>76</v>
      </c>
      <c r="K13657" t="s">
        <v>77</v>
      </c>
    </row>
    <row r="13658" spans="1:12" x14ac:dyDescent="0.3">
      <c r="A13658" t="s">
        <v>496</v>
      </c>
      <c r="B13658" t="s">
        <v>84</v>
      </c>
      <c r="C13658">
        <v>592</v>
      </c>
      <c r="D13658" t="s">
        <v>94</v>
      </c>
      <c r="E13658">
        <v>1.4282E-2</v>
      </c>
      <c r="F13658" t="s">
        <v>74</v>
      </c>
      <c r="G13658">
        <v>14.282120000000001</v>
      </c>
      <c r="H13658" t="s">
        <v>75</v>
      </c>
      <c r="I13658">
        <v>14282.117</v>
      </c>
      <c r="J13658" t="s">
        <v>76</v>
      </c>
      <c r="K13658" t="s">
        <v>77</v>
      </c>
    </row>
    <row r="13659" spans="1:12" x14ac:dyDescent="0.3">
      <c r="A13659" t="s">
        <v>496</v>
      </c>
      <c r="B13659" t="s">
        <v>84</v>
      </c>
      <c r="C13659">
        <v>592</v>
      </c>
      <c r="D13659" t="s">
        <v>80</v>
      </c>
      <c r="E13659">
        <v>1.4283000000000001E-2</v>
      </c>
      <c r="F13659" t="s">
        <v>74</v>
      </c>
      <c r="G13659">
        <v>14.28288</v>
      </c>
      <c r="H13659" t="s">
        <v>75</v>
      </c>
      <c r="I13659">
        <v>14282.882</v>
      </c>
      <c r="J13659" t="s">
        <v>76</v>
      </c>
      <c r="K13659" t="s">
        <v>77</v>
      </c>
    </row>
    <row r="13660" spans="1:12" x14ac:dyDescent="0.3">
      <c r="A13660" t="s">
        <v>496</v>
      </c>
      <c r="B13660" t="s">
        <v>84</v>
      </c>
      <c r="C13660">
        <v>592</v>
      </c>
      <c r="D13660" t="s">
        <v>81</v>
      </c>
      <c r="E13660">
        <v>1.5016E-2</v>
      </c>
      <c r="F13660" t="s">
        <v>74</v>
      </c>
      <c r="G13660">
        <v>15.0161</v>
      </c>
      <c r="H13660" t="s">
        <v>75</v>
      </c>
      <c r="I13660">
        <v>15016.098</v>
      </c>
      <c r="J13660" t="s">
        <v>76</v>
      </c>
      <c r="K13660" t="s">
        <v>82</v>
      </c>
      <c r="L13660">
        <v>66.595195500000003</v>
      </c>
    </row>
    <row r="13661" spans="1:12" x14ac:dyDescent="0.3">
      <c r="A13661" t="s">
        <v>497</v>
      </c>
      <c r="B13661" t="s">
        <v>72</v>
      </c>
      <c r="C13661">
        <v>1</v>
      </c>
      <c r="D13661" t="s">
        <v>79</v>
      </c>
      <c r="E13661">
        <v>0.15779099999999999</v>
      </c>
      <c r="F13661" t="s">
        <v>74</v>
      </c>
      <c r="G13661">
        <v>157.79089999999999</v>
      </c>
      <c r="H13661" t="s">
        <v>75</v>
      </c>
      <c r="I13661">
        <v>157790.899</v>
      </c>
      <c r="J13661" t="s">
        <v>76</v>
      </c>
      <c r="K13661" t="s">
        <v>77</v>
      </c>
    </row>
    <row r="13662" spans="1:12" x14ac:dyDescent="0.3">
      <c r="A13662" t="s">
        <v>497</v>
      </c>
      <c r="B13662" t="s">
        <v>72</v>
      </c>
      <c r="C13662">
        <v>1</v>
      </c>
      <c r="D13662" t="s">
        <v>94</v>
      </c>
      <c r="E13662">
        <v>1.8921E-2</v>
      </c>
      <c r="F13662" t="s">
        <v>74</v>
      </c>
      <c r="G13662">
        <v>18.921099999999999</v>
      </c>
      <c r="H13662" t="s">
        <v>75</v>
      </c>
      <c r="I13662">
        <v>18921.099999999999</v>
      </c>
      <c r="J13662" t="s">
        <v>76</v>
      </c>
      <c r="K13662" t="s">
        <v>77</v>
      </c>
    </row>
    <row r="13663" spans="1:12" x14ac:dyDescent="0.3">
      <c r="A13663" t="s">
        <v>497</v>
      </c>
      <c r="B13663" t="s">
        <v>72</v>
      </c>
      <c r="C13663">
        <v>1</v>
      </c>
      <c r="D13663" t="s">
        <v>80</v>
      </c>
      <c r="E13663">
        <v>1.8922000000000001E-2</v>
      </c>
      <c r="F13663" t="s">
        <v>74</v>
      </c>
      <c r="G13663">
        <v>18.921900000000001</v>
      </c>
      <c r="H13663" t="s">
        <v>75</v>
      </c>
      <c r="I13663">
        <v>18921.901000000002</v>
      </c>
      <c r="J13663" t="s">
        <v>76</v>
      </c>
      <c r="K13663" t="s">
        <v>77</v>
      </c>
    </row>
    <row r="13664" spans="1:12" x14ac:dyDescent="0.3">
      <c r="A13664" t="s">
        <v>497</v>
      </c>
      <c r="B13664" t="s">
        <v>72</v>
      </c>
      <c r="C13664">
        <v>1</v>
      </c>
      <c r="D13664" t="s">
        <v>81</v>
      </c>
      <c r="E13664">
        <v>0.17671300000000001</v>
      </c>
      <c r="F13664" t="s">
        <v>74</v>
      </c>
      <c r="G13664">
        <v>176.71350000000001</v>
      </c>
      <c r="H13664" t="s">
        <v>75</v>
      </c>
      <c r="I13664">
        <v>176713.49600000001</v>
      </c>
      <c r="J13664" t="s">
        <v>76</v>
      </c>
      <c r="K13664" t="s">
        <v>82</v>
      </c>
      <c r="L13664">
        <v>5.6588773000000003</v>
      </c>
    </row>
    <row r="13665" spans="1:12" x14ac:dyDescent="0.3">
      <c r="A13665" t="s">
        <v>497</v>
      </c>
      <c r="B13665" t="s">
        <v>83</v>
      </c>
      <c r="C13665">
        <v>408</v>
      </c>
      <c r="D13665" t="s">
        <v>79</v>
      </c>
      <c r="E13665">
        <v>0</v>
      </c>
      <c r="F13665" t="s">
        <v>74</v>
      </c>
      <c r="G13665">
        <v>3.3E-4</v>
      </c>
      <c r="H13665" t="s">
        <v>75</v>
      </c>
      <c r="I13665">
        <v>0.33400000000000002</v>
      </c>
      <c r="J13665" t="s">
        <v>76</v>
      </c>
      <c r="K13665" t="s">
        <v>77</v>
      </c>
    </row>
    <row r="13666" spans="1:12" x14ac:dyDescent="0.3">
      <c r="A13666" t="s">
        <v>497</v>
      </c>
      <c r="B13666" t="s">
        <v>83</v>
      </c>
      <c r="C13666">
        <v>408</v>
      </c>
      <c r="D13666" t="s">
        <v>94</v>
      </c>
      <c r="E13666">
        <v>2.1256000000000001E-2</v>
      </c>
      <c r="F13666" t="s">
        <v>74</v>
      </c>
      <c r="G13666">
        <v>21.255939999999999</v>
      </c>
      <c r="H13666" t="s">
        <v>75</v>
      </c>
      <c r="I13666">
        <v>21255.937000000002</v>
      </c>
      <c r="J13666" t="s">
        <v>76</v>
      </c>
      <c r="K13666" t="s">
        <v>77</v>
      </c>
    </row>
    <row r="13667" spans="1:12" x14ac:dyDescent="0.3">
      <c r="A13667" t="s">
        <v>497</v>
      </c>
      <c r="B13667" t="s">
        <v>83</v>
      </c>
      <c r="C13667">
        <v>408</v>
      </c>
      <c r="D13667" t="s">
        <v>80</v>
      </c>
      <c r="E13667">
        <v>2.1257000000000002E-2</v>
      </c>
      <c r="F13667" t="s">
        <v>74</v>
      </c>
      <c r="G13667">
        <v>21.25666</v>
      </c>
      <c r="H13667" t="s">
        <v>75</v>
      </c>
      <c r="I13667">
        <v>21256.664000000001</v>
      </c>
      <c r="J13667" t="s">
        <v>76</v>
      </c>
      <c r="K13667" t="s">
        <v>77</v>
      </c>
    </row>
    <row r="13668" spans="1:12" x14ac:dyDescent="0.3">
      <c r="A13668" t="s">
        <v>497</v>
      </c>
      <c r="B13668" t="s">
        <v>83</v>
      </c>
      <c r="C13668">
        <v>408</v>
      </c>
      <c r="D13668" t="s">
        <v>81</v>
      </c>
      <c r="E13668">
        <v>2.1257000000000002E-2</v>
      </c>
      <c r="F13668" t="s">
        <v>74</v>
      </c>
      <c r="G13668">
        <v>21.25723</v>
      </c>
      <c r="H13668" t="s">
        <v>75</v>
      </c>
      <c r="I13668">
        <v>21257.227999999999</v>
      </c>
      <c r="J13668" t="s">
        <v>76</v>
      </c>
      <c r="K13668" t="s">
        <v>82</v>
      </c>
      <c r="L13668">
        <v>47.042823300000002</v>
      </c>
    </row>
    <row r="13669" spans="1:12" x14ac:dyDescent="0.3">
      <c r="A13669" t="s">
        <v>497</v>
      </c>
      <c r="B13669" t="s">
        <v>84</v>
      </c>
      <c r="C13669">
        <v>409</v>
      </c>
      <c r="D13669" t="s">
        <v>79</v>
      </c>
      <c r="E13669">
        <v>3.86E-4</v>
      </c>
      <c r="F13669" t="s">
        <v>74</v>
      </c>
      <c r="G13669">
        <v>0.38612999999999997</v>
      </c>
      <c r="H13669" t="s">
        <v>75</v>
      </c>
      <c r="I13669">
        <v>386.13</v>
      </c>
      <c r="J13669" t="s">
        <v>76</v>
      </c>
      <c r="K13669" t="s">
        <v>77</v>
      </c>
    </row>
    <row r="13670" spans="1:12" x14ac:dyDescent="0.3">
      <c r="A13670" t="s">
        <v>497</v>
      </c>
      <c r="B13670" t="s">
        <v>84</v>
      </c>
      <c r="C13670">
        <v>409</v>
      </c>
      <c r="D13670" t="s">
        <v>94</v>
      </c>
      <c r="E13670">
        <v>2.1250000000000002E-2</v>
      </c>
      <c r="F13670" t="s">
        <v>74</v>
      </c>
      <c r="G13670">
        <v>21.250229999999998</v>
      </c>
      <c r="H13670" t="s">
        <v>75</v>
      </c>
      <c r="I13670">
        <v>21250.227999999999</v>
      </c>
      <c r="J13670" t="s">
        <v>76</v>
      </c>
      <c r="K13670" t="s">
        <v>77</v>
      </c>
    </row>
    <row r="13671" spans="1:12" x14ac:dyDescent="0.3">
      <c r="A13671" t="s">
        <v>497</v>
      </c>
      <c r="B13671" t="s">
        <v>84</v>
      </c>
      <c r="C13671">
        <v>409</v>
      </c>
      <c r="D13671" t="s">
        <v>80</v>
      </c>
      <c r="E13671">
        <v>2.1250999999999999E-2</v>
      </c>
      <c r="F13671" t="s">
        <v>74</v>
      </c>
      <c r="G13671">
        <v>21.250959999999999</v>
      </c>
      <c r="H13671" t="s">
        <v>75</v>
      </c>
      <c r="I13671">
        <v>21250.957999999999</v>
      </c>
      <c r="J13671" t="s">
        <v>76</v>
      </c>
      <c r="K13671" t="s">
        <v>77</v>
      </c>
    </row>
    <row r="13672" spans="1:12" x14ac:dyDescent="0.3">
      <c r="A13672" t="s">
        <v>497</v>
      </c>
      <c r="B13672" t="s">
        <v>84</v>
      </c>
      <c r="C13672">
        <v>409</v>
      </c>
      <c r="D13672" t="s">
        <v>81</v>
      </c>
      <c r="E13672">
        <v>2.1637E-2</v>
      </c>
      <c r="F13672" t="s">
        <v>74</v>
      </c>
      <c r="G13672">
        <v>21.637319999999999</v>
      </c>
      <c r="H13672" t="s">
        <v>75</v>
      </c>
      <c r="I13672">
        <v>21637.316999999999</v>
      </c>
      <c r="J13672" t="s">
        <v>76</v>
      </c>
      <c r="K13672" t="s">
        <v>82</v>
      </c>
      <c r="L13672">
        <v>46.216450299999998</v>
      </c>
    </row>
    <row r="13673" spans="1:12" x14ac:dyDescent="0.3">
      <c r="A13673" t="s">
        <v>498</v>
      </c>
      <c r="B13673" t="s">
        <v>72</v>
      </c>
      <c r="C13673">
        <v>1</v>
      </c>
      <c r="D13673" t="s">
        <v>73</v>
      </c>
      <c r="E13673">
        <v>6.2000000000000003E-5</v>
      </c>
      <c r="F13673" t="s">
        <v>74</v>
      </c>
      <c r="G13673">
        <v>6.2199999999999998E-2</v>
      </c>
      <c r="H13673" t="s">
        <v>75</v>
      </c>
      <c r="I13673">
        <v>62.2</v>
      </c>
      <c r="J13673" t="s">
        <v>76</v>
      </c>
      <c r="K13673" t="s">
        <v>77</v>
      </c>
    </row>
    <row r="13674" spans="1:12" x14ac:dyDescent="0.3">
      <c r="A13674" t="s">
        <v>498</v>
      </c>
      <c r="B13674" t="s">
        <v>72</v>
      </c>
      <c r="C13674">
        <v>1</v>
      </c>
      <c r="D13674" t="s">
        <v>78</v>
      </c>
      <c r="E13674">
        <v>0.146174</v>
      </c>
      <c r="F13674" t="s">
        <v>74</v>
      </c>
      <c r="G13674">
        <v>146.17429999999999</v>
      </c>
      <c r="H13674" t="s">
        <v>75</v>
      </c>
      <c r="I13674">
        <v>146174.29699999999</v>
      </c>
      <c r="J13674" t="s">
        <v>76</v>
      </c>
      <c r="K13674" t="s">
        <v>77</v>
      </c>
    </row>
    <row r="13675" spans="1:12" x14ac:dyDescent="0.3">
      <c r="A13675" t="s">
        <v>498</v>
      </c>
      <c r="B13675" t="s">
        <v>72</v>
      </c>
      <c r="C13675">
        <v>2</v>
      </c>
      <c r="D13675" t="s">
        <v>86</v>
      </c>
      <c r="E13675">
        <v>0.243702</v>
      </c>
      <c r="F13675" t="s">
        <v>74</v>
      </c>
      <c r="G13675">
        <v>243.70195000000001</v>
      </c>
      <c r="H13675" t="s">
        <v>75</v>
      </c>
      <c r="I13675">
        <v>243701.95</v>
      </c>
      <c r="J13675" t="s">
        <v>76</v>
      </c>
      <c r="K13675" t="s">
        <v>82</v>
      </c>
      <c r="L13675">
        <v>4.1033730000000004</v>
      </c>
    </row>
    <row r="13676" spans="1:12" x14ac:dyDescent="0.3">
      <c r="A13676" t="s">
        <v>498</v>
      </c>
      <c r="B13676" t="s">
        <v>83</v>
      </c>
      <c r="C13676">
        <v>999</v>
      </c>
      <c r="D13676" t="s">
        <v>86</v>
      </c>
      <c r="E13676">
        <v>8.7080000000000005E-3</v>
      </c>
      <c r="F13676" t="s">
        <v>74</v>
      </c>
      <c r="G13676">
        <v>8.7080000000000002</v>
      </c>
      <c r="H13676" t="s">
        <v>75</v>
      </c>
      <c r="I13676">
        <v>8707.9959999999992</v>
      </c>
      <c r="J13676" t="s">
        <v>76</v>
      </c>
      <c r="K13676" t="s">
        <v>82</v>
      </c>
      <c r="L13676">
        <v>114.8369795</v>
      </c>
    </row>
    <row r="13677" spans="1:12" x14ac:dyDescent="0.3">
      <c r="A13677" t="s">
        <v>498</v>
      </c>
      <c r="B13677" t="s">
        <v>85</v>
      </c>
      <c r="C13677">
        <v>1001</v>
      </c>
      <c r="D13677" t="s">
        <v>86</v>
      </c>
      <c r="E13677">
        <v>8.8859999999999998E-3</v>
      </c>
      <c r="F13677" t="s">
        <v>74</v>
      </c>
      <c r="G13677">
        <v>8.8862400000000008</v>
      </c>
      <c r="H13677" t="s">
        <v>75</v>
      </c>
      <c r="I13677">
        <v>8886.2440000000006</v>
      </c>
      <c r="J13677" t="s">
        <v>76</v>
      </c>
      <c r="K13677" t="s">
        <v>82</v>
      </c>
      <c r="L13677">
        <v>112.5334854</v>
      </c>
    </row>
    <row r="13678" spans="1:12" x14ac:dyDescent="0.3">
      <c r="A13678" t="s">
        <v>201</v>
      </c>
    </row>
    <row r="13679" spans="1:12" x14ac:dyDescent="0.3">
      <c r="A13679" t="s">
        <v>201</v>
      </c>
    </row>
    <row r="13680" spans="1:12" x14ac:dyDescent="0.3">
      <c r="A13680" t="s">
        <v>550</v>
      </c>
    </row>
    <row r="13681" spans="1:12" x14ac:dyDescent="0.3">
      <c r="A13681" t="s">
        <v>496</v>
      </c>
      <c r="B13681" t="s">
        <v>72</v>
      </c>
      <c r="C13681">
        <v>1</v>
      </c>
      <c r="D13681" t="s">
        <v>79</v>
      </c>
      <c r="E13681">
        <v>4.9649999999999998E-3</v>
      </c>
      <c r="F13681" t="s">
        <v>74</v>
      </c>
      <c r="G13681">
        <v>4.9653</v>
      </c>
      <c r="H13681" t="s">
        <v>75</v>
      </c>
      <c r="I13681">
        <v>4965.3</v>
      </c>
      <c r="J13681" t="s">
        <v>76</v>
      </c>
      <c r="K13681" t="s">
        <v>77</v>
      </c>
    </row>
    <row r="13682" spans="1:12" x14ac:dyDescent="0.3">
      <c r="A13682" t="s">
        <v>496</v>
      </c>
      <c r="B13682" t="s">
        <v>72</v>
      </c>
      <c r="C13682">
        <v>1</v>
      </c>
      <c r="D13682" t="s">
        <v>94</v>
      </c>
      <c r="E13682">
        <v>3.0779000000000001E-2</v>
      </c>
      <c r="F13682" t="s">
        <v>74</v>
      </c>
      <c r="G13682">
        <v>30.778700000000001</v>
      </c>
      <c r="H13682" t="s">
        <v>75</v>
      </c>
      <c r="I13682">
        <v>30778.7</v>
      </c>
      <c r="J13682" t="s">
        <v>76</v>
      </c>
      <c r="K13682" t="s">
        <v>77</v>
      </c>
    </row>
    <row r="13683" spans="1:12" x14ac:dyDescent="0.3">
      <c r="A13683" t="s">
        <v>496</v>
      </c>
      <c r="B13683" t="s">
        <v>72</v>
      </c>
      <c r="C13683">
        <v>1</v>
      </c>
      <c r="D13683" t="s">
        <v>80</v>
      </c>
      <c r="E13683">
        <v>3.0779999999999998E-2</v>
      </c>
      <c r="F13683" t="s">
        <v>74</v>
      </c>
      <c r="G13683">
        <v>30.779699999999998</v>
      </c>
      <c r="H13683" t="s">
        <v>75</v>
      </c>
      <c r="I13683">
        <v>30779.701000000001</v>
      </c>
      <c r="J13683" t="s">
        <v>76</v>
      </c>
      <c r="K13683" t="s">
        <v>77</v>
      </c>
    </row>
    <row r="13684" spans="1:12" x14ac:dyDescent="0.3">
      <c r="A13684" t="s">
        <v>496</v>
      </c>
      <c r="B13684" t="s">
        <v>72</v>
      </c>
      <c r="C13684">
        <v>1</v>
      </c>
      <c r="D13684" t="s">
        <v>81</v>
      </c>
      <c r="E13684">
        <v>3.5744999999999999E-2</v>
      </c>
      <c r="F13684" t="s">
        <v>74</v>
      </c>
      <c r="G13684">
        <v>35.7453</v>
      </c>
      <c r="H13684" t="s">
        <v>75</v>
      </c>
      <c r="I13684">
        <v>35745.300000000003</v>
      </c>
      <c r="J13684" t="s">
        <v>76</v>
      </c>
      <c r="K13684" t="s">
        <v>82</v>
      </c>
      <c r="L13684">
        <v>27.975705600000001</v>
      </c>
    </row>
    <row r="13685" spans="1:12" x14ac:dyDescent="0.3">
      <c r="A13685" t="s">
        <v>496</v>
      </c>
      <c r="B13685" t="s">
        <v>83</v>
      </c>
      <c r="C13685">
        <v>760</v>
      </c>
      <c r="D13685" t="s">
        <v>79</v>
      </c>
      <c r="E13685">
        <v>9.9999999999999995E-7</v>
      </c>
      <c r="F13685" t="s">
        <v>74</v>
      </c>
      <c r="G13685">
        <v>7.6000000000000004E-4</v>
      </c>
      <c r="H13685" t="s">
        <v>75</v>
      </c>
      <c r="I13685">
        <v>0.75700000000000001</v>
      </c>
      <c r="J13685" t="s">
        <v>76</v>
      </c>
      <c r="K13685" t="s">
        <v>77</v>
      </c>
    </row>
    <row r="13686" spans="1:12" x14ac:dyDescent="0.3">
      <c r="A13686" t="s">
        <v>496</v>
      </c>
      <c r="B13686" t="s">
        <v>83</v>
      </c>
      <c r="C13686">
        <v>760</v>
      </c>
      <c r="D13686" t="s">
        <v>94</v>
      </c>
      <c r="E13686">
        <v>2.5718000000000001E-2</v>
      </c>
      <c r="F13686" t="s">
        <v>74</v>
      </c>
      <c r="G13686">
        <v>25.718399999999999</v>
      </c>
      <c r="H13686" t="s">
        <v>75</v>
      </c>
      <c r="I13686">
        <v>25718.398000000001</v>
      </c>
      <c r="J13686" t="s">
        <v>76</v>
      </c>
      <c r="K13686" t="s">
        <v>77</v>
      </c>
    </row>
    <row r="13687" spans="1:12" x14ac:dyDescent="0.3">
      <c r="A13687" t="s">
        <v>496</v>
      </c>
      <c r="B13687" t="s">
        <v>83</v>
      </c>
      <c r="C13687">
        <v>760</v>
      </c>
      <c r="D13687" t="s">
        <v>80</v>
      </c>
      <c r="E13687">
        <v>2.5950999999999998E-2</v>
      </c>
      <c r="F13687" t="s">
        <v>74</v>
      </c>
      <c r="G13687">
        <v>25.95148</v>
      </c>
      <c r="H13687" t="s">
        <v>75</v>
      </c>
      <c r="I13687">
        <v>25951.477999999999</v>
      </c>
      <c r="J13687" t="s">
        <v>76</v>
      </c>
      <c r="K13687" t="s">
        <v>77</v>
      </c>
    </row>
    <row r="13688" spans="1:12" x14ac:dyDescent="0.3">
      <c r="A13688" t="s">
        <v>496</v>
      </c>
      <c r="B13688" t="s">
        <v>83</v>
      </c>
      <c r="C13688">
        <v>760</v>
      </c>
      <c r="D13688" t="s">
        <v>81</v>
      </c>
      <c r="E13688">
        <v>2.5953E-2</v>
      </c>
      <c r="F13688" t="s">
        <v>74</v>
      </c>
      <c r="G13688">
        <v>25.952500000000001</v>
      </c>
      <c r="H13688" t="s">
        <v>75</v>
      </c>
      <c r="I13688">
        <v>25952.502</v>
      </c>
      <c r="J13688" t="s">
        <v>76</v>
      </c>
      <c r="K13688" t="s">
        <v>82</v>
      </c>
      <c r="L13688">
        <v>38.531929900000002</v>
      </c>
    </row>
    <row r="13689" spans="1:12" x14ac:dyDescent="0.3">
      <c r="A13689" t="s">
        <v>496</v>
      </c>
      <c r="B13689" t="s">
        <v>84</v>
      </c>
      <c r="C13689">
        <v>761</v>
      </c>
      <c r="D13689" t="s">
        <v>79</v>
      </c>
      <c r="E13689">
        <v>6.9999999999999999E-6</v>
      </c>
      <c r="F13689" t="s">
        <v>74</v>
      </c>
      <c r="G13689">
        <v>7.28E-3</v>
      </c>
      <c r="H13689" t="s">
        <v>75</v>
      </c>
      <c r="I13689">
        <v>7.2809999999999997</v>
      </c>
      <c r="J13689" t="s">
        <v>76</v>
      </c>
      <c r="K13689" t="s">
        <v>77</v>
      </c>
    </row>
    <row r="13690" spans="1:12" x14ac:dyDescent="0.3">
      <c r="A13690" t="s">
        <v>496</v>
      </c>
      <c r="B13690" t="s">
        <v>84</v>
      </c>
      <c r="C13690">
        <v>761</v>
      </c>
      <c r="D13690" t="s">
        <v>94</v>
      </c>
      <c r="E13690">
        <v>2.5725000000000001E-2</v>
      </c>
      <c r="F13690" t="s">
        <v>74</v>
      </c>
      <c r="G13690">
        <v>25.72505</v>
      </c>
      <c r="H13690" t="s">
        <v>75</v>
      </c>
      <c r="I13690">
        <v>25725.047999999999</v>
      </c>
      <c r="J13690" t="s">
        <v>76</v>
      </c>
      <c r="K13690" t="s">
        <v>77</v>
      </c>
    </row>
    <row r="13691" spans="1:12" x14ac:dyDescent="0.3">
      <c r="A13691" t="s">
        <v>496</v>
      </c>
      <c r="B13691" t="s">
        <v>84</v>
      </c>
      <c r="C13691">
        <v>761</v>
      </c>
      <c r="D13691" t="s">
        <v>80</v>
      </c>
      <c r="E13691">
        <v>2.5957999999999998E-2</v>
      </c>
      <c r="F13691" t="s">
        <v>74</v>
      </c>
      <c r="G13691">
        <v>25.957820000000002</v>
      </c>
      <c r="H13691" t="s">
        <v>75</v>
      </c>
      <c r="I13691">
        <v>25957.824000000001</v>
      </c>
      <c r="J13691" t="s">
        <v>76</v>
      </c>
      <c r="K13691" t="s">
        <v>77</v>
      </c>
    </row>
    <row r="13692" spans="1:12" x14ac:dyDescent="0.3">
      <c r="A13692" t="s">
        <v>496</v>
      </c>
      <c r="B13692" t="s">
        <v>84</v>
      </c>
      <c r="C13692">
        <v>761</v>
      </c>
      <c r="D13692" t="s">
        <v>81</v>
      </c>
      <c r="E13692">
        <v>2.5964999999999998E-2</v>
      </c>
      <c r="F13692" t="s">
        <v>74</v>
      </c>
      <c r="G13692">
        <v>25.96537</v>
      </c>
      <c r="H13692" t="s">
        <v>75</v>
      </c>
      <c r="I13692">
        <v>25965.368999999999</v>
      </c>
      <c r="J13692" t="s">
        <v>76</v>
      </c>
      <c r="K13692" t="s">
        <v>82</v>
      </c>
      <c r="L13692">
        <v>38.512836800000002</v>
      </c>
    </row>
    <row r="13693" spans="1:12" x14ac:dyDescent="0.3">
      <c r="A13693" t="s">
        <v>497</v>
      </c>
      <c r="B13693" t="s">
        <v>72</v>
      </c>
      <c r="C13693">
        <v>1</v>
      </c>
      <c r="D13693" t="s">
        <v>79</v>
      </c>
      <c r="E13693">
        <v>2.8698000000000001E-2</v>
      </c>
      <c r="F13693" t="s">
        <v>74</v>
      </c>
      <c r="G13693">
        <v>28.698</v>
      </c>
      <c r="H13693" t="s">
        <v>75</v>
      </c>
      <c r="I13693">
        <v>28697.999</v>
      </c>
      <c r="J13693" t="s">
        <v>76</v>
      </c>
      <c r="K13693" t="s">
        <v>77</v>
      </c>
    </row>
    <row r="13694" spans="1:12" x14ac:dyDescent="0.3">
      <c r="A13694" t="s">
        <v>497</v>
      </c>
      <c r="B13694" t="s">
        <v>72</v>
      </c>
      <c r="C13694">
        <v>1</v>
      </c>
      <c r="D13694" t="s">
        <v>94</v>
      </c>
      <c r="E13694">
        <v>8.6952000000000002E-2</v>
      </c>
      <c r="F13694" t="s">
        <v>74</v>
      </c>
      <c r="G13694">
        <v>86.951800000000006</v>
      </c>
      <c r="H13694" t="s">
        <v>75</v>
      </c>
      <c r="I13694">
        <v>86951.8</v>
      </c>
      <c r="J13694" t="s">
        <v>76</v>
      </c>
      <c r="K13694" t="s">
        <v>77</v>
      </c>
    </row>
    <row r="13695" spans="1:12" x14ac:dyDescent="0.3">
      <c r="A13695" t="s">
        <v>497</v>
      </c>
      <c r="B13695" t="s">
        <v>72</v>
      </c>
      <c r="C13695">
        <v>1</v>
      </c>
      <c r="D13695" t="s">
        <v>80</v>
      </c>
      <c r="E13695">
        <v>8.6957000000000007E-2</v>
      </c>
      <c r="F13695" t="s">
        <v>74</v>
      </c>
      <c r="G13695">
        <v>86.957300000000004</v>
      </c>
      <c r="H13695" t="s">
        <v>75</v>
      </c>
      <c r="I13695">
        <v>86957.297999999995</v>
      </c>
      <c r="J13695" t="s">
        <v>76</v>
      </c>
      <c r="K13695" t="s">
        <v>77</v>
      </c>
    </row>
    <row r="13696" spans="1:12" x14ac:dyDescent="0.3">
      <c r="A13696" t="s">
        <v>497</v>
      </c>
      <c r="B13696" t="s">
        <v>72</v>
      </c>
      <c r="C13696">
        <v>1</v>
      </c>
      <c r="D13696" t="s">
        <v>81</v>
      </c>
      <c r="E13696">
        <v>0.11565599999999999</v>
      </c>
      <c r="F13696" t="s">
        <v>74</v>
      </c>
      <c r="G13696">
        <v>115.6563</v>
      </c>
      <c r="H13696" t="s">
        <v>75</v>
      </c>
      <c r="I13696">
        <v>115656.30100000001</v>
      </c>
      <c r="J13696" t="s">
        <v>76</v>
      </c>
      <c r="K13696" t="s">
        <v>82</v>
      </c>
      <c r="L13696">
        <v>8.6463079999999994</v>
      </c>
    </row>
    <row r="13697" spans="1:12" x14ac:dyDescent="0.3">
      <c r="A13697" t="s">
        <v>497</v>
      </c>
      <c r="B13697" t="s">
        <v>83</v>
      </c>
      <c r="C13697">
        <v>239</v>
      </c>
      <c r="D13697" t="s">
        <v>79</v>
      </c>
      <c r="E13697">
        <v>1.9999999999999999E-6</v>
      </c>
      <c r="F13697" t="s">
        <v>74</v>
      </c>
      <c r="G13697">
        <v>1.65E-3</v>
      </c>
      <c r="H13697" t="s">
        <v>75</v>
      </c>
      <c r="I13697">
        <v>1.6479999999999999</v>
      </c>
      <c r="J13697" t="s">
        <v>76</v>
      </c>
      <c r="K13697" t="s">
        <v>77</v>
      </c>
    </row>
    <row r="13698" spans="1:12" x14ac:dyDescent="0.3">
      <c r="A13698" t="s">
        <v>497</v>
      </c>
      <c r="B13698" t="s">
        <v>83</v>
      </c>
      <c r="C13698">
        <v>239</v>
      </c>
      <c r="D13698" t="s">
        <v>94</v>
      </c>
      <c r="E13698">
        <v>7.9229999999999995E-2</v>
      </c>
      <c r="F13698" t="s">
        <v>74</v>
      </c>
      <c r="G13698">
        <v>79.230239999999995</v>
      </c>
      <c r="H13698" t="s">
        <v>75</v>
      </c>
      <c r="I13698">
        <v>79230.240999999995</v>
      </c>
      <c r="J13698" t="s">
        <v>76</v>
      </c>
      <c r="K13698" t="s">
        <v>77</v>
      </c>
    </row>
    <row r="13699" spans="1:12" x14ac:dyDescent="0.3">
      <c r="A13699" t="s">
        <v>497</v>
      </c>
      <c r="B13699" t="s">
        <v>83</v>
      </c>
      <c r="C13699">
        <v>239</v>
      </c>
      <c r="D13699" t="s">
        <v>80</v>
      </c>
      <c r="E13699">
        <v>8.0069000000000001E-2</v>
      </c>
      <c r="F13699" t="s">
        <v>74</v>
      </c>
      <c r="G13699">
        <v>80.069109999999995</v>
      </c>
      <c r="H13699" t="s">
        <v>75</v>
      </c>
      <c r="I13699">
        <v>80069.115000000005</v>
      </c>
      <c r="J13699" t="s">
        <v>76</v>
      </c>
      <c r="K13699" t="s">
        <v>77</v>
      </c>
    </row>
    <row r="13700" spans="1:12" x14ac:dyDescent="0.3">
      <c r="A13700" t="s">
        <v>497</v>
      </c>
      <c r="B13700" t="s">
        <v>83</v>
      </c>
      <c r="C13700">
        <v>239</v>
      </c>
      <c r="D13700" t="s">
        <v>81</v>
      </c>
      <c r="E13700">
        <v>8.0072000000000004E-2</v>
      </c>
      <c r="F13700" t="s">
        <v>74</v>
      </c>
      <c r="G13700">
        <v>80.071529999999996</v>
      </c>
      <c r="H13700" t="s">
        <v>75</v>
      </c>
      <c r="I13700">
        <v>80071.532999999996</v>
      </c>
      <c r="J13700" t="s">
        <v>76</v>
      </c>
      <c r="K13700" t="s">
        <v>82</v>
      </c>
      <c r="L13700">
        <v>12.4888329</v>
      </c>
    </row>
    <row r="13701" spans="1:12" x14ac:dyDescent="0.3">
      <c r="A13701" t="s">
        <v>497</v>
      </c>
      <c r="B13701" t="s">
        <v>84</v>
      </c>
      <c r="C13701">
        <v>240</v>
      </c>
      <c r="D13701" t="s">
        <v>79</v>
      </c>
      <c r="E13701">
        <v>1.21E-4</v>
      </c>
      <c r="F13701" t="s">
        <v>74</v>
      </c>
      <c r="G13701">
        <v>0.12121999999999999</v>
      </c>
      <c r="H13701" t="s">
        <v>75</v>
      </c>
      <c r="I13701">
        <v>121.21599999999999</v>
      </c>
      <c r="J13701" t="s">
        <v>76</v>
      </c>
      <c r="K13701" t="s">
        <v>77</v>
      </c>
    </row>
    <row r="13702" spans="1:12" x14ac:dyDescent="0.3">
      <c r="A13702" t="s">
        <v>497</v>
      </c>
      <c r="B13702" t="s">
        <v>84</v>
      </c>
      <c r="C13702">
        <v>240</v>
      </c>
      <c r="D13702" t="s">
        <v>94</v>
      </c>
      <c r="E13702">
        <v>7.9261999999999999E-2</v>
      </c>
      <c r="F13702" t="s">
        <v>74</v>
      </c>
      <c r="G13702">
        <v>79.262420000000006</v>
      </c>
      <c r="H13702" t="s">
        <v>75</v>
      </c>
      <c r="I13702">
        <v>79262.415999999997</v>
      </c>
      <c r="J13702" t="s">
        <v>76</v>
      </c>
      <c r="K13702" t="s">
        <v>77</v>
      </c>
    </row>
    <row r="13703" spans="1:12" x14ac:dyDescent="0.3">
      <c r="A13703" t="s">
        <v>497</v>
      </c>
      <c r="B13703" t="s">
        <v>84</v>
      </c>
      <c r="C13703">
        <v>240</v>
      </c>
      <c r="D13703" t="s">
        <v>80</v>
      </c>
      <c r="E13703">
        <v>8.0098000000000003E-2</v>
      </c>
      <c r="F13703" t="s">
        <v>74</v>
      </c>
      <c r="G13703">
        <v>80.097819999999999</v>
      </c>
      <c r="H13703" t="s">
        <v>75</v>
      </c>
      <c r="I13703">
        <v>80097.817999999999</v>
      </c>
      <c r="J13703" t="s">
        <v>76</v>
      </c>
      <c r="K13703" t="s">
        <v>77</v>
      </c>
    </row>
    <row r="13704" spans="1:12" x14ac:dyDescent="0.3">
      <c r="A13704" t="s">
        <v>497</v>
      </c>
      <c r="B13704" t="s">
        <v>84</v>
      </c>
      <c r="C13704">
        <v>240</v>
      </c>
      <c r="D13704" t="s">
        <v>81</v>
      </c>
      <c r="E13704">
        <v>8.022E-2</v>
      </c>
      <c r="F13704" t="s">
        <v>74</v>
      </c>
      <c r="G13704">
        <v>80.219790000000003</v>
      </c>
      <c r="H13704" t="s">
        <v>75</v>
      </c>
      <c r="I13704">
        <v>80219.793000000005</v>
      </c>
      <c r="J13704" t="s">
        <v>76</v>
      </c>
      <c r="K13704" t="s">
        <v>82</v>
      </c>
      <c r="L13704">
        <v>12.4657514</v>
      </c>
    </row>
    <row r="13705" spans="1:12" x14ac:dyDescent="0.3">
      <c r="A13705" t="s">
        <v>498</v>
      </c>
      <c r="B13705" t="s">
        <v>72</v>
      </c>
      <c r="C13705">
        <v>1</v>
      </c>
      <c r="D13705" t="s">
        <v>73</v>
      </c>
      <c r="E13705">
        <v>6.2000000000000003E-5</v>
      </c>
      <c r="F13705" t="s">
        <v>74</v>
      </c>
      <c r="G13705">
        <v>6.2199999999999998E-2</v>
      </c>
      <c r="H13705" t="s">
        <v>75</v>
      </c>
      <c r="I13705">
        <v>62.2</v>
      </c>
      <c r="J13705" t="s">
        <v>76</v>
      </c>
      <c r="K13705" t="s">
        <v>77</v>
      </c>
    </row>
    <row r="13706" spans="1:12" x14ac:dyDescent="0.3">
      <c r="A13706" t="s">
        <v>498</v>
      </c>
      <c r="B13706" t="s">
        <v>72</v>
      </c>
      <c r="C13706">
        <v>1</v>
      </c>
      <c r="D13706" t="s">
        <v>78</v>
      </c>
      <c r="E13706">
        <v>1.0529999999999999E-3</v>
      </c>
      <c r="F13706" t="s">
        <v>74</v>
      </c>
      <c r="G13706">
        <v>1.0532999999999999</v>
      </c>
      <c r="H13706" t="s">
        <v>75</v>
      </c>
      <c r="I13706">
        <v>1053.3</v>
      </c>
      <c r="J13706" t="s">
        <v>76</v>
      </c>
      <c r="K13706" t="s">
        <v>77</v>
      </c>
    </row>
    <row r="13707" spans="1:12" x14ac:dyDescent="0.3">
      <c r="A13707" t="s">
        <v>498</v>
      </c>
      <c r="B13707" t="s">
        <v>72</v>
      </c>
      <c r="C13707">
        <v>2</v>
      </c>
      <c r="D13707" t="s">
        <v>86</v>
      </c>
      <c r="E13707">
        <v>5.7832000000000001E-2</v>
      </c>
      <c r="F13707" t="s">
        <v>74</v>
      </c>
      <c r="G13707">
        <v>57.832099999999997</v>
      </c>
      <c r="H13707" t="s">
        <v>75</v>
      </c>
      <c r="I13707">
        <v>57832.099000000002</v>
      </c>
      <c r="J13707" t="s">
        <v>76</v>
      </c>
      <c r="K13707" t="s">
        <v>82</v>
      </c>
      <c r="L13707">
        <v>17.291435199999999</v>
      </c>
    </row>
    <row r="13708" spans="1:12" x14ac:dyDescent="0.3">
      <c r="A13708" t="s">
        <v>498</v>
      </c>
      <c r="B13708" t="s">
        <v>83</v>
      </c>
      <c r="C13708">
        <v>999</v>
      </c>
      <c r="D13708" t="s">
        <v>86</v>
      </c>
      <c r="E13708">
        <v>1.9779999999999999E-2</v>
      </c>
      <c r="F13708" t="s">
        <v>74</v>
      </c>
      <c r="G13708">
        <v>19.77966</v>
      </c>
      <c r="H13708" t="s">
        <v>75</v>
      </c>
      <c r="I13708">
        <v>19779.664000000001</v>
      </c>
      <c r="J13708" t="s">
        <v>76</v>
      </c>
      <c r="K13708" t="s">
        <v>82</v>
      </c>
      <c r="L13708">
        <v>50.5569773</v>
      </c>
    </row>
    <row r="13709" spans="1:12" x14ac:dyDescent="0.3">
      <c r="A13709" t="s">
        <v>498</v>
      </c>
      <c r="B13709" t="s">
        <v>85</v>
      </c>
      <c r="C13709">
        <v>1001</v>
      </c>
      <c r="D13709" t="s">
        <v>86</v>
      </c>
      <c r="E13709">
        <v>1.9779000000000001E-2</v>
      </c>
      <c r="F13709" t="s">
        <v>74</v>
      </c>
      <c r="G13709">
        <v>19.779409999999999</v>
      </c>
      <c r="H13709" t="s">
        <v>75</v>
      </c>
      <c r="I13709">
        <v>19779.404999999999</v>
      </c>
      <c r="J13709" t="s">
        <v>76</v>
      </c>
      <c r="K13709" t="s">
        <v>82</v>
      </c>
      <c r="L13709">
        <v>50.557637100000001</v>
      </c>
    </row>
    <row r="13710" spans="1:12" x14ac:dyDescent="0.3">
      <c r="A13710" t="s">
        <v>115</v>
      </c>
    </row>
    <row r="13711" spans="1:12" x14ac:dyDescent="0.3">
      <c r="A13711" t="s">
        <v>127</v>
      </c>
    </row>
    <row r="13712" spans="1:12" x14ac:dyDescent="0.3">
      <c r="A13712" t="s">
        <v>87</v>
      </c>
    </row>
    <row r="13713" spans="1:12" x14ac:dyDescent="0.3">
      <c r="A13713" t="s">
        <v>551</v>
      </c>
    </row>
    <row r="13714" spans="1:12" x14ac:dyDescent="0.3">
      <c r="A13714" t="s">
        <v>496</v>
      </c>
      <c r="B13714" t="s">
        <v>72</v>
      </c>
      <c r="C13714">
        <v>1</v>
      </c>
      <c r="D13714" t="s">
        <v>81</v>
      </c>
      <c r="E13714">
        <v>0.48736099999999999</v>
      </c>
      <c r="F13714" t="s">
        <v>74</v>
      </c>
      <c r="G13714">
        <v>487.36101000000002</v>
      </c>
      <c r="H13714" t="s">
        <v>75</v>
      </c>
      <c r="I13714">
        <v>487361.01400000002</v>
      </c>
      <c r="J13714" t="s">
        <v>76</v>
      </c>
      <c r="K13714" t="s">
        <v>82</v>
      </c>
      <c r="L13714">
        <v>2.0518670000000001</v>
      </c>
    </row>
    <row r="13715" spans="1:12" x14ac:dyDescent="0.3">
      <c r="A13715" t="s">
        <v>496</v>
      </c>
      <c r="B13715" t="s">
        <v>83</v>
      </c>
      <c r="C13715">
        <v>591</v>
      </c>
      <c r="D13715" t="s">
        <v>81</v>
      </c>
      <c r="E13715">
        <v>1.4217E-2</v>
      </c>
      <c r="F13715" t="s">
        <v>74</v>
      </c>
      <c r="G13715">
        <v>14.21688</v>
      </c>
      <c r="H13715" t="s">
        <v>75</v>
      </c>
      <c r="I13715">
        <v>14216.878000000001</v>
      </c>
      <c r="J13715" t="s">
        <v>76</v>
      </c>
      <c r="K13715" t="s">
        <v>82</v>
      </c>
      <c r="L13715">
        <v>70.338930500000004</v>
      </c>
    </row>
    <row r="13716" spans="1:12" x14ac:dyDescent="0.3">
      <c r="A13716" t="s">
        <v>496</v>
      </c>
      <c r="B13716" t="s">
        <v>84</v>
      </c>
      <c r="C13716">
        <v>592</v>
      </c>
      <c r="D13716" t="s">
        <v>81</v>
      </c>
      <c r="E13716">
        <v>1.5016E-2</v>
      </c>
      <c r="F13716" t="s">
        <v>74</v>
      </c>
      <c r="G13716">
        <v>15.0161</v>
      </c>
      <c r="H13716" t="s">
        <v>75</v>
      </c>
      <c r="I13716">
        <v>15016.098</v>
      </c>
      <c r="J13716" t="s">
        <v>76</v>
      </c>
      <c r="K13716" t="s">
        <v>82</v>
      </c>
      <c r="L13716">
        <v>66.595195500000003</v>
      </c>
    </row>
    <row r="13717" spans="1:12" x14ac:dyDescent="0.3">
      <c r="A13717" t="s">
        <v>497</v>
      </c>
      <c r="B13717" t="s">
        <v>72</v>
      </c>
      <c r="C13717">
        <v>1</v>
      </c>
      <c r="D13717" t="s">
        <v>81</v>
      </c>
      <c r="E13717">
        <v>0.17671300000000001</v>
      </c>
      <c r="F13717" t="s">
        <v>74</v>
      </c>
      <c r="G13717">
        <v>176.71350000000001</v>
      </c>
      <c r="H13717" t="s">
        <v>75</v>
      </c>
      <c r="I13717">
        <v>176713.49600000001</v>
      </c>
      <c r="J13717" t="s">
        <v>76</v>
      </c>
      <c r="K13717" t="s">
        <v>82</v>
      </c>
      <c r="L13717">
        <v>5.6588773000000003</v>
      </c>
    </row>
    <row r="13718" spans="1:12" x14ac:dyDescent="0.3">
      <c r="A13718" t="s">
        <v>497</v>
      </c>
      <c r="B13718" t="s">
        <v>83</v>
      </c>
      <c r="C13718">
        <v>408</v>
      </c>
      <c r="D13718" t="s">
        <v>81</v>
      </c>
      <c r="E13718">
        <v>2.1257000000000002E-2</v>
      </c>
      <c r="F13718" t="s">
        <v>74</v>
      </c>
      <c r="G13718">
        <v>21.25723</v>
      </c>
      <c r="H13718" t="s">
        <v>75</v>
      </c>
      <c r="I13718">
        <v>21257.227999999999</v>
      </c>
      <c r="J13718" t="s">
        <v>76</v>
      </c>
      <c r="K13718" t="s">
        <v>82</v>
      </c>
      <c r="L13718">
        <v>47.042823300000002</v>
      </c>
    </row>
    <row r="13719" spans="1:12" x14ac:dyDescent="0.3">
      <c r="A13719" t="s">
        <v>497</v>
      </c>
      <c r="B13719" t="s">
        <v>84</v>
      </c>
      <c r="C13719">
        <v>409</v>
      </c>
      <c r="D13719" t="s">
        <v>81</v>
      </c>
      <c r="E13719">
        <v>2.1637E-2</v>
      </c>
      <c r="F13719" t="s">
        <v>74</v>
      </c>
      <c r="G13719">
        <v>21.637319999999999</v>
      </c>
      <c r="H13719" t="s">
        <v>75</v>
      </c>
      <c r="I13719">
        <v>21637.316999999999</v>
      </c>
      <c r="J13719" t="s">
        <v>76</v>
      </c>
      <c r="K13719" t="s">
        <v>82</v>
      </c>
      <c r="L13719">
        <v>46.216450299999998</v>
      </c>
    </row>
    <row r="13720" spans="1:12" x14ac:dyDescent="0.3">
      <c r="A13720" t="s">
        <v>498</v>
      </c>
      <c r="B13720" t="s">
        <v>72</v>
      </c>
      <c r="C13720">
        <v>2</v>
      </c>
      <c r="D13720" t="s">
        <v>86</v>
      </c>
      <c r="E13720">
        <v>0.243702</v>
      </c>
      <c r="F13720" t="s">
        <v>74</v>
      </c>
      <c r="G13720">
        <v>243.70195000000001</v>
      </c>
      <c r="H13720" t="s">
        <v>75</v>
      </c>
      <c r="I13720">
        <v>243701.95</v>
      </c>
      <c r="J13720" t="s">
        <v>76</v>
      </c>
      <c r="K13720" t="s">
        <v>82</v>
      </c>
      <c r="L13720">
        <v>4.1033730000000004</v>
      </c>
    </row>
    <row r="13721" spans="1:12" x14ac:dyDescent="0.3">
      <c r="A13721" t="s">
        <v>498</v>
      </c>
      <c r="B13721" t="s">
        <v>83</v>
      </c>
      <c r="C13721">
        <v>999</v>
      </c>
      <c r="D13721" t="s">
        <v>86</v>
      </c>
      <c r="E13721">
        <v>8.7080000000000005E-3</v>
      </c>
      <c r="F13721" t="s">
        <v>74</v>
      </c>
      <c r="G13721">
        <v>8.7080000000000002</v>
      </c>
      <c r="H13721" t="s">
        <v>75</v>
      </c>
      <c r="I13721">
        <v>8707.9959999999992</v>
      </c>
      <c r="J13721" t="s">
        <v>76</v>
      </c>
      <c r="K13721" t="s">
        <v>82</v>
      </c>
      <c r="L13721">
        <v>114.8369795</v>
      </c>
    </row>
    <row r="13722" spans="1:12" x14ac:dyDescent="0.3">
      <c r="A13722" t="s">
        <v>498</v>
      </c>
      <c r="B13722" t="s">
        <v>85</v>
      </c>
      <c r="C13722">
        <v>1001</v>
      </c>
      <c r="D13722" t="s">
        <v>86</v>
      </c>
      <c r="E13722">
        <v>8.8859999999999998E-3</v>
      </c>
      <c r="F13722" t="s">
        <v>74</v>
      </c>
      <c r="G13722">
        <v>8.8862400000000008</v>
      </c>
      <c r="H13722" t="s">
        <v>75</v>
      </c>
      <c r="I13722">
        <v>8886.2440000000006</v>
      </c>
      <c r="J13722" t="s">
        <v>76</v>
      </c>
      <c r="K13722" t="s">
        <v>82</v>
      </c>
      <c r="L13722">
        <v>112.5334854</v>
      </c>
    </row>
    <row r="13724" spans="1:12" x14ac:dyDescent="0.3">
      <c r="A13724" t="s">
        <v>552</v>
      </c>
    </row>
    <row r="13725" spans="1:12" x14ac:dyDescent="0.3">
      <c r="A13725" t="s">
        <v>496</v>
      </c>
      <c r="B13725" t="s">
        <v>72</v>
      </c>
      <c r="C13725">
        <v>1</v>
      </c>
      <c r="D13725" t="s">
        <v>81</v>
      </c>
      <c r="E13725">
        <v>3.5744999999999999E-2</v>
      </c>
      <c r="F13725" t="s">
        <v>74</v>
      </c>
      <c r="G13725">
        <v>35.7453</v>
      </c>
      <c r="H13725" t="s">
        <v>75</v>
      </c>
      <c r="I13725">
        <v>35745.300000000003</v>
      </c>
      <c r="J13725" t="s">
        <v>76</v>
      </c>
      <c r="K13725" t="s">
        <v>82</v>
      </c>
      <c r="L13725">
        <v>27.975705600000001</v>
      </c>
    </row>
    <row r="13726" spans="1:12" x14ac:dyDescent="0.3">
      <c r="A13726" t="s">
        <v>496</v>
      </c>
      <c r="B13726" t="s">
        <v>83</v>
      </c>
      <c r="C13726">
        <v>760</v>
      </c>
      <c r="D13726" t="s">
        <v>81</v>
      </c>
      <c r="E13726">
        <v>2.5953E-2</v>
      </c>
      <c r="F13726" t="s">
        <v>74</v>
      </c>
      <c r="G13726">
        <v>25.952500000000001</v>
      </c>
      <c r="H13726" t="s">
        <v>75</v>
      </c>
      <c r="I13726">
        <v>25952.502</v>
      </c>
      <c r="J13726" t="s">
        <v>76</v>
      </c>
      <c r="K13726" t="s">
        <v>82</v>
      </c>
      <c r="L13726">
        <v>38.531929900000002</v>
      </c>
    </row>
    <row r="13727" spans="1:12" x14ac:dyDescent="0.3">
      <c r="A13727" t="s">
        <v>496</v>
      </c>
      <c r="B13727" t="s">
        <v>84</v>
      </c>
      <c r="C13727">
        <v>761</v>
      </c>
      <c r="D13727" t="s">
        <v>81</v>
      </c>
      <c r="E13727">
        <v>2.5964999999999998E-2</v>
      </c>
      <c r="F13727" t="s">
        <v>74</v>
      </c>
      <c r="G13727">
        <v>25.96537</v>
      </c>
      <c r="H13727" t="s">
        <v>75</v>
      </c>
      <c r="I13727">
        <v>25965.368999999999</v>
      </c>
      <c r="J13727" t="s">
        <v>76</v>
      </c>
      <c r="K13727" t="s">
        <v>82</v>
      </c>
      <c r="L13727">
        <v>38.512836800000002</v>
      </c>
    </row>
    <row r="13728" spans="1:12" x14ac:dyDescent="0.3">
      <c r="A13728" t="s">
        <v>497</v>
      </c>
      <c r="B13728" t="s">
        <v>72</v>
      </c>
      <c r="C13728">
        <v>1</v>
      </c>
      <c r="D13728" t="s">
        <v>81</v>
      </c>
      <c r="E13728">
        <v>0.11565599999999999</v>
      </c>
      <c r="F13728" t="s">
        <v>74</v>
      </c>
      <c r="G13728">
        <v>115.6563</v>
      </c>
      <c r="H13728" t="s">
        <v>75</v>
      </c>
      <c r="I13728">
        <v>115656.30100000001</v>
      </c>
      <c r="J13728" t="s">
        <v>76</v>
      </c>
      <c r="K13728" t="s">
        <v>82</v>
      </c>
      <c r="L13728">
        <v>8.6463079999999994</v>
      </c>
    </row>
    <row r="13729" spans="1:12" x14ac:dyDescent="0.3">
      <c r="A13729" t="s">
        <v>497</v>
      </c>
      <c r="B13729" t="s">
        <v>83</v>
      </c>
      <c r="C13729">
        <v>239</v>
      </c>
      <c r="D13729" t="s">
        <v>81</v>
      </c>
      <c r="E13729">
        <v>8.0072000000000004E-2</v>
      </c>
      <c r="F13729" t="s">
        <v>74</v>
      </c>
      <c r="G13729">
        <v>80.071529999999996</v>
      </c>
      <c r="H13729" t="s">
        <v>75</v>
      </c>
      <c r="I13729">
        <v>80071.532999999996</v>
      </c>
      <c r="J13729" t="s">
        <v>76</v>
      </c>
      <c r="K13729" t="s">
        <v>82</v>
      </c>
      <c r="L13729">
        <v>12.4888329</v>
      </c>
    </row>
    <row r="13730" spans="1:12" x14ac:dyDescent="0.3">
      <c r="A13730" t="s">
        <v>497</v>
      </c>
      <c r="B13730" t="s">
        <v>84</v>
      </c>
      <c r="C13730">
        <v>240</v>
      </c>
      <c r="D13730" t="s">
        <v>81</v>
      </c>
      <c r="E13730">
        <v>8.022E-2</v>
      </c>
      <c r="F13730" t="s">
        <v>74</v>
      </c>
      <c r="G13730">
        <v>80.219790000000003</v>
      </c>
      <c r="H13730" t="s">
        <v>75</v>
      </c>
      <c r="I13730">
        <v>80219.793000000005</v>
      </c>
      <c r="J13730" t="s">
        <v>76</v>
      </c>
      <c r="K13730" t="s">
        <v>82</v>
      </c>
      <c r="L13730">
        <v>12.4657514</v>
      </c>
    </row>
    <row r="13731" spans="1:12" x14ac:dyDescent="0.3">
      <c r="A13731" t="s">
        <v>498</v>
      </c>
      <c r="B13731" t="s">
        <v>72</v>
      </c>
      <c r="C13731">
        <v>2</v>
      </c>
      <c r="D13731" t="s">
        <v>86</v>
      </c>
      <c r="E13731">
        <v>5.7832000000000001E-2</v>
      </c>
      <c r="F13731" t="s">
        <v>74</v>
      </c>
      <c r="G13731">
        <v>57.832099999999997</v>
      </c>
      <c r="H13731" t="s">
        <v>75</v>
      </c>
      <c r="I13731">
        <v>57832.099000000002</v>
      </c>
      <c r="J13731" t="s">
        <v>76</v>
      </c>
      <c r="K13731" t="s">
        <v>82</v>
      </c>
      <c r="L13731">
        <v>17.291435199999999</v>
      </c>
    </row>
    <row r="13732" spans="1:12" x14ac:dyDescent="0.3">
      <c r="A13732" t="s">
        <v>498</v>
      </c>
      <c r="B13732" t="s">
        <v>83</v>
      </c>
      <c r="C13732">
        <v>999</v>
      </c>
      <c r="D13732" t="s">
        <v>86</v>
      </c>
      <c r="E13732">
        <v>1.9779999999999999E-2</v>
      </c>
      <c r="F13732" t="s">
        <v>74</v>
      </c>
      <c r="G13732">
        <v>19.77966</v>
      </c>
      <c r="H13732" t="s">
        <v>75</v>
      </c>
      <c r="I13732">
        <v>19779.664000000001</v>
      </c>
      <c r="J13732" t="s">
        <v>76</v>
      </c>
      <c r="K13732" t="s">
        <v>82</v>
      </c>
      <c r="L13732">
        <v>50.5569773</v>
      </c>
    </row>
    <row r="13733" spans="1:12" x14ac:dyDescent="0.3">
      <c r="A13733" t="s">
        <v>498</v>
      </c>
      <c r="B13733" t="s">
        <v>85</v>
      </c>
      <c r="C13733">
        <v>1001</v>
      </c>
      <c r="D13733" t="s">
        <v>86</v>
      </c>
      <c r="E13733">
        <v>1.9779000000000001E-2</v>
      </c>
      <c r="F13733" t="s">
        <v>74</v>
      </c>
      <c r="G13733">
        <v>19.779409999999999</v>
      </c>
      <c r="H13733" t="s">
        <v>75</v>
      </c>
      <c r="I13733">
        <v>19779.404999999999</v>
      </c>
      <c r="J13733" t="s">
        <v>76</v>
      </c>
      <c r="K13733" t="s">
        <v>82</v>
      </c>
      <c r="L13733">
        <v>50.557637100000001</v>
      </c>
    </row>
    <row r="13735" spans="1:12" x14ac:dyDescent="0.3">
      <c r="A13735" t="s">
        <v>66</v>
      </c>
    </row>
    <row r="13737" spans="1:12" x14ac:dyDescent="0.3">
      <c r="A13737" t="s">
        <v>576</v>
      </c>
    </row>
    <row r="13738" spans="1:12" x14ac:dyDescent="0.3">
      <c r="A13738" t="s">
        <v>68</v>
      </c>
    </row>
    <row r="13739" spans="1:12" x14ac:dyDescent="0.3">
      <c r="A13739" t="s">
        <v>69</v>
      </c>
    </row>
    <row r="13740" spans="1:12" x14ac:dyDescent="0.3">
      <c r="A13740" t="s">
        <v>68</v>
      </c>
    </row>
    <row r="13741" spans="1:12" x14ac:dyDescent="0.3">
      <c r="A13741" t="s">
        <v>69</v>
      </c>
    </row>
    <row r="13742" spans="1:12" x14ac:dyDescent="0.3">
      <c r="A13742" t="s">
        <v>70</v>
      </c>
    </row>
    <row r="13743" spans="1:12" x14ac:dyDescent="0.3">
      <c r="A13743" t="s">
        <v>115</v>
      </c>
    </row>
    <row r="13744" spans="1:12" x14ac:dyDescent="0.3">
      <c r="A13744" t="s">
        <v>116</v>
      </c>
    </row>
    <row r="13745" spans="1:1" x14ac:dyDescent="0.3">
      <c r="A13745" t="s">
        <v>117</v>
      </c>
    </row>
    <row r="13746" spans="1:1" x14ac:dyDescent="0.3">
      <c r="A13746" t="s">
        <v>118</v>
      </c>
    </row>
    <row r="13747" spans="1:1" x14ac:dyDescent="0.3">
      <c r="A13747" t="s">
        <v>119</v>
      </c>
    </row>
    <row r="13748" spans="1:1" x14ac:dyDescent="0.3">
      <c r="A13748" t="s">
        <v>120</v>
      </c>
    </row>
    <row r="13749" spans="1:1" x14ac:dyDescent="0.3">
      <c r="A13749" t="s">
        <v>121</v>
      </c>
    </row>
    <row r="13750" spans="1:1" x14ac:dyDescent="0.3">
      <c r="A13750" t="s">
        <v>122</v>
      </c>
    </row>
    <row r="13751" spans="1:1" x14ac:dyDescent="0.3">
      <c r="A13751" t="s">
        <v>123</v>
      </c>
    </row>
    <row r="13752" spans="1:1" x14ac:dyDescent="0.3">
      <c r="A13752" t="s">
        <v>124</v>
      </c>
    </row>
    <row r="13753" spans="1:1" x14ac:dyDescent="0.3">
      <c r="A13753" t="s">
        <v>125</v>
      </c>
    </row>
    <row r="13754" spans="1:1" x14ac:dyDescent="0.3">
      <c r="A13754" t="s">
        <v>126</v>
      </c>
    </row>
    <row r="13755" spans="1:1" x14ac:dyDescent="0.3">
      <c r="A13755" t="s">
        <v>127</v>
      </c>
    </row>
    <row r="13756" spans="1:1" x14ac:dyDescent="0.3">
      <c r="A13756" t="s">
        <v>206</v>
      </c>
    </row>
    <row r="13757" spans="1:1" x14ac:dyDescent="0.3">
      <c r="A13757" t="s">
        <v>115</v>
      </c>
    </row>
    <row r="13758" spans="1:1" x14ac:dyDescent="0.3">
      <c r="A13758" t="s">
        <v>266</v>
      </c>
    </row>
    <row r="13759" spans="1:1" x14ac:dyDescent="0.3">
      <c r="A13759" t="s">
        <v>267</v>
      </c>
    </row>
    <row r="13760" spans="1:1" x14ac:dyDescent="0.3">
      <c r="A13760" t="s">
        <v>118</v>
      </c>
    </row>
    <row r="13761" spans="1:12" x14ac:dyDescent="0.3">
      <c r="A13761" t="s">
        <v>119</v>
      </c>
    </row>
    <row r="13762" spans="1:12" x14ac:dyDescent="0.3">
      <c r="A13762" t="s">
        <v>268</v>
      </c>
    </row>
    <row r="13763" spans="1:12" x14ac:dyDescent="0.3">
      <c r="A13763" t="s">
        <v>269</v>
      </c>
    </row>
    <row r="13764" spans="1:12" x14ac:dyDescent="0.3">
      <c r="A13764" t="s">
        <v>122</v>
      </c>
    </row>
    <row r="13765" spans="1:12" x14ac:dyDescent="0.3">
      <c r="A13765" t="s">
        <v>270</v>
      </c>
    </row>
    <row r="13766" spans="1:12" x14ac:dyDescent="0.3">
      <c r="A13766" t="s">
        <v>271</v>
      </c>
    </row>
    <row r="13767" spans="1:12" x14ac:dyDescent="0.3">
      <c r="A13767" t="s">
        <v>125</v>
      </c>
    </row>
    <row r="13768" spans="1:12" x14ac:dyDescent="0.3">
      <c r="A13768" t="s">
        <v>126</v>
      </c>
    </row>
    <row r="13769" spans="1:12" x14ac:dyDescent="0.3">
      <c r="A13769" t="s">
        <v>127</v>
      </c>
    </row>
    <row r="13770" spans="1:12" x14ac:dyDescent="0.3">
      <c r="A13770" t="s">
        <v>206</v>
      </c>
    </row>
    <row r="13771" spans="1:12" x14ac:dyDescent="0.3">
      <c r="A13771" t="s">
        <v>554</v>
      </c>
    </row>
    <row r="13772" spans="1:12" x14ac:dyDescent="0.3">
      <c r="A13772" t="s">
        <v>496</v>
      </c>
      <c r="B13772" t="s">
        <v>72</v>
      </c>
      <c r="C13772">
        <v>1</v>
      </c>
      <c r="D13772" t="s">
        <v>79</v>
      </c>
      <c r="E13772">
        <v>0.39446399999999998</v>
      </c>
      <c r="F13772" t="s">
        <v>74</v>
      </c>
      <c r="G13772">
        <v>394.46449000000001</v>
      </c>
      <c r="H13772" t="s">
        <v>75</v>
      </c>
      <c r="I13772">
        <v>394464.49300000002</v>
      </c>
      <c r="J13772" t="s">
        <v>76</v>
      </c>
      <c r="K13772" t="s">
        <v>77</v>
      </c>
    </row>
    <row r="13773" spans="1:12" x14ac:dyDescent="0.3">
      <c r="A13773" t="s">
        <v>496</v>
      </c>
      <c r="B13773" t="s">
        <v>72</v>
      </c>
      <c r="C13773">
        <v>1</v>
      </c>
      <c r="D13773" t="s">
        <v>94</v>
      </c>
      <c r="E13773">
        <v>5.1582000000000003E-2</v>
      </c>
      <c r="F13773" t="s">
        <v>74</v>
      </c>
      <c r="G13773">
        <v>51.582099999999997</v>
      </c>
      <c r="H13773" t="s">
        <v>75</v>
      </c>
      <c r="I13773">
        <v>51582.101999999999</v>
      </c>
      <c r="J13773" t="s">
        <v>76</v>
      </c>
      <c r="K13773" t="s">
        <v>77</v>
      </c>
    </row>
    <row r="13774" spans="1:12" x14ac:dyDescent="0.3">
      <c r="A13774" t="s">
        <v>496</v>
      </c>
      <c r="B13774" t="s">
        <v>72</v>
      </c>
      <c r="C13774">
        <v>1</v>
      </c>
      <c r="D13774" t="s">
        <v>80</v>
      </c>
      <c r="E13774">
        <v>5.1582999999999997E-2</v>
      </c>
      <c r="F13774" t="s">
        <v>74</v>
      </c>
      <c r="G13774">
        <v>51.582900000000002</v>
      </c>
      <c r="H13774" t="s">
        <v>75</v>
      </c>
      <c r="I13774">
        <v>51582.898999999998</v>
      </c>
      <c r="J13774" t="s">
        <v>76</v>
      </c>
      <c r="K13774" t="s">
        <v>77</v>
      </c>
    </row>
    <row r="13775" spans="1:12" x14ac:dyDescent="0.3">
      <c r="A13775" t="s">
        <v>496</v>
      </c>
      <c r="B13775" t="s">
        <v>72</v>
      </c>
      <c r="C13775">
        <v>1</v>
      </c>
      <c r="D13775" t="s">
        <v>81</v>
      </c>
      <c r="E13775">
        <v>0.446048</v>
      </c>
      <c r="F13775" t="s">
        <v>74</v>
      </c>
      <c r="G13775">
        <v>446.04849999999999</v>
      </c>
      <c r="H13775" t="s">
        <v>75</v>
      </c>
      <c r="I13775">
        <v>446048.49800000002</v>
      </c>
      <c r="J13775" t="s">
        <v>76</v>
      </c>
      <c r="K13775" t="s">
        <v>82</v>
      </c>
      <c r="L13775">
        <v>2.2419087000000002</v>
      </c>
    </row>
    <row r="13776" spans="1:12" x14ac:dyDescent="0.3">
      <c r="A13776" t="s">
        <v>496</v>
      </c>
      <c r="B13776" t="s">
        <v>83</v>
      </c>
      <c r="C13776">
        <v>591</v>
      </c>
      <c r="D13776" t="s">
        <v>79</v>
      </c>
      <c r="E13776">
        <v>0</v>
      </c>
      <c r="F13776" t="s">
        <v>74</v>
      </c>
      <c r="G13776">
        <v>2.4000000000000001E-4</v>
      </c>
      <c r="H13776" t="s">
        <v>75</v>
      </c>
      <c r="I13776">
        <v>0.23499999999999999</v>
      </c>
      <c r="J13776" t="s">
        <v>76</v>
      </c>
      <c r="K13776" t="s">
        <v>77</v>
      </c>
    </row>
    <row r="13777" spans="1:12" x14ac:dyDescent="0.3">
      <c r="A13777" t="s">
        <v>496</v>
      </c>
      <c r="B13777" t="s">
        <v>83</v>
      </c>
      <c r="C13777">
        <v>591</v>
      </c>
      <c r="D13777" t="s">
        <v>94</v>
      </c>
      <c r="E13777">
        <v>1.746E-2</v>
      </c>
      <c r="F13777" t="s">
        <v>74</v>
      </c>
      <c r="G13777">
        <v>17.460059999999999</v>
      </c>
      <c r="H13777" t="s">
        <v>75</v>
      </c>
      <c r="I13777">
        <v>17460.060000000001</v>
      </c>
      <c r="J13777" t="s">
        <v>76</v>
      </c>
      <c r="K13777" t="s">
        <v>77</v>
      </c>
    </row>
    <row r="13778" spans="1:12" x14ac:dyDescent="0.3">
      <c r="A13778" t="s">
        <v>496</v>
      </c>
      <c r="B13778" t="s">
        <v>83</v>
      </c>
      <c r="C13778">
        <v>591</v>
      </c>
      <c r="D13778" t="s">
        <v>80</v>
      </c>
      <c r="E13778">
        <v>1.7461000000000001E-2</v>
      </c>
      <c r="F13778" t="s">
        <v>74</v>
      </c>
      <c r="G13778">
        <v>17.460840000000001</v>
      </c>
      <c r="H13778" t="s">
        <v>75</v>
      </c>
      <c r="I13778">
        <v>17460.838</v>
      </c>
      <c r="J13778" t="s">
        <v>76</v>
      </c>
      <c r="K13778" t="s">
        <v>77</v>
      </c>
    </row>
    <row r="13779" spans="1:12" x14ac:dyDescent="0.3">
      <c r="A13779" t="s">
        <v>496</v>
      </c>
      <c r="B13779" t="s">
        <v>83</v>
      </c>
      <c r="C13779">
        <v>591</v>
      </c>
      <c r="D13779" t="s">
        <v>81</v>
      </c>
      <c r="E13779">
        <v>1.7461000000000001E-2</v>
      </c>
      <c r="F13779" t="s">
        <v>74</v>
      </c>
      <c r="G13779">
        <v>17.461220000000001</v>
      </c>
      <c r="H13779" t="s">
        <v>75</v>
      </c>
      <c r="I13779">
        <v>17461.215</v>
      </c>
      <c r="J13779" t="s">
        <v>76</v>
      </c>
      <c r="K13779" t="s">
        <v>82</v>
      </c>
      <c r="L13779">
        <v>57.269782800000002</v>
      </c>
    </row>
    <row r="13780" spans="1:12" x14ac:dyDescent="0.3">
      <c r="A13780" t="s">
        <v>496</v>
      </c>
      <c r="B13780" t="s">
        <v>84</v>
      </c>
      <c r="C13780">
        <v>592</v>
      </c>
      <c r="D13780" t="s">
        <v>79</v>
      </c>
      <c r="E13780">
        <v>6.6699999999999995E-4</v>
      </c>
      <c r="F13780" t="s">
        <v>74</v>
      </c>
      <c r="G13780">
        <v>0.66656000000000004</v>
      </c>
      <c r="H13780" t="s">
        <v>75</v>
      </c>
      <c r="I13780">
        <v>666.55799999999999</v>
      </c>
      <c r="J13780" t="s">
        <v>76</v>
      </c>
      <c r="K13780" t="s">
        <v>77</v>
      </c>
    </row>
    <row r="13781" spans="1:12" x14ac:dyDescent="0.3">
      <c r="A13781" t="s">
        <v>496</v>
      </c>
      <c r="B13781" t="s">
        <v>84</v>
      </c>
      <c r="C13781">
        <v>592</v>
      </c>
      <c r="D13781" t="s">
        <v>94</v>
      </c>
      <c r="E13781">
        <v>1.7517999999999999E-2</v>
      </c>
      <c r="F13781" t="s">
        <v>74</v>
      </c>
      <c r="G13781">
        <v>17.517700000000001</v>
      </c>
      <c r="H13781" t="s">
        <v>75</v>
      </c>
      <c r="I13781">
        <v>17517.699000000001</v>
      </c>
      <c r="J13781" t="s">
        <v>76</v>
      </c>
      <c r="K13781" t="s">
        <v>77</v>
      </c>
    </row>
    <row r="13782" spans="1:12" x14ac:dyDescent="0.3">
      <c r="A13782" t="s">
        <v>496</v>
      </c>
      <c r="B13782" t="s">
        <v>84</v>
      </c>
      <c r="C13782">
        <v>592</v>
      </c>
      <c r="D13782" t="s">
        <v>80</v>
      </c>
      <c r="E13782">
        <v>1.7517999999999999E-2</v>
      </c>
      <c r="F13782" t="s">
        <v>74</v>
      </c>
      <c r="G13782">
        <v>17.51848</v>
      </c>
      <c r="H13782" t="s">
        <v>75</v>
      </c>
      <c r="I13782">
        <v>17518.474999999999</v>
      </c>
      <c r="J13782" t="s">
        <v>76</v>
      </c>
      <c r="K13782" t="s">
        <v>77</v>
      </c>
    </row>
    <row r="13783" spans="1:12" x14ac:dyDescent="0.3">
      <c r="A13783" t="s">
        <v>496</v>
      </c>
      <c r="B13783" t="s">
        <v>84</v>
      </c>
      <c r="C13783">
        <v>592</v>
      </c>
      <c r="D13783" t="s">
        <v>81</v>
      </c>
      <c r="E13783">
        <v>1.8185E-2</v>
      </c>
      <c r="F13783" t="s">
        <v>74</v>
      </c>
      <c r="G13783">
        <v>18.185179999999999</v>
      </c>
      <c r="H13783" t="s">
        <v>75</v>
      </c>
      <c r="I13783">
        <v>18185.181</v>
      </c>
      <c r="J13783" t="s">
        <v>76</v>
      </c>
      <c r="K13783" t="s">
        <v>82</v>
      </c>
      <c r="L13783">
        <v>54.989830599999998</v>
      </c>
    </row>
    <row r="13784" spans="1:12" x14ac:dyDescent="0.3">
      <c r="A13784" t="s">
        <v>497</v>
      </c>
      <c r="B13784" t="s">
        <v>72</v>
      </c>
      <c r="C13784">
        <v>1</v>
      </c>
      <c r="D13784" t="s">
        <v>79</v>
      </c>
      <c r="E13784">
        <v>0.14976999999999999</v>
      </c>
      <c r="F13784" t="s">
        <v>74</v>
      </c>
      <c r="G13784">
        <v>149.77038999999999</v>
      </c>
      <c r="H13784" t="s">
        <v>75</v>
      </c>
      <c r="I13784">
        <v>149770.394</v>
      </c>
      <c r="J13784" t="s">
        <v>76</v>
      </c>
      <c r="K13784" t="s">
        <v>77</v>
      </c>
    </row>
    <row r="13785" spans="1:12" x14ac:dyDescent="0.3">
      <c r="A13785" t="s">
        <v>497</v>
      </c>
      <c r="B13785" t="s">
        <v>72</v>
      </c>
      <c r="C13785">
        <v>1</v>
      </c>
      <c r="D13785" t="s">
        <v>94</v>
      </c>
      <c r="E13785">
        <v>1.8134999999999998E-2</v>
      </c>
      <c r="F13785" t="s">
        <v>74</v>
      </c>
      <c r="G13785">
        <v>18.135100000000001</v>
      </c>
      <c r="H13785" t="s">
        <v>75</v>
      </c>
      <c r="I13785">
        <v>18135.100999999999</v>
      </c>
      <c r="J13785" t="s">
        <v>76</v>
      </c>
      <c r="K13785" t="s">
        <v>77</v>
      </c>
    </row>
    <row r="13786" spans="1:12" x14ac:dyDescent="0.3">
      <c r="A13786" t="s">
        <v>497</v>
      </c>
      <c r="B13786" t="s">
        <v>72</v>
      </c>
      <c r="C13786">
        <v>1</v>
      </c>
      <c r="D13786" t="s">
        <v>80</v>
      </c>
      <c r="E13786">
        <v>1.8135999999999999E-2</v>
      </c>
      <c r="F13786" t="s">
        <v>74</v>
      </c>
      <c r="G13786">
        <v>18.136199999999999</v>
      </c>
      <c r="H13786" t="s">
        <v>75</v>
      </c>
      <c r="I13786">
        <v>18136.2</v>
      </c>
      <c r="J13786" t="s">
        <v>76</v>
      </c>
      <c r="K13786" t="s">
        <v>77</v>
      </c>
    </row>
    <row r="13787" spans="1:12" x14ac:dyDescent="0.3">
      <c r="A13787" t="s">
        <v>497</v>
      </c>
      <c r="B13787" t="s">
        <v>72</v>
      </c>
      <c r="C13787">
        <v>1</v>
      </c>
      <c r="D13787" t="s">
        <v>81</v>
      </c>
      <c r="E13787">
        <v>0.167907</v>
      </c>
      <c r="F13787" t="s">
        <v>74</v>
      </c>
      <c r="G13787">
        <v>167.90719000000001</v>
      </c>
      <c r="H13787" t="s">
        <v>75</v>
      </c>
      <c r="I13787">
        <v>167907.193</v>
      </c>
      <c r="J13787" t="s">
        <v>76</v>
      </c>
      <c r="K13787" t="s">
        <v>82</v>
      </c>
      <c r="L13787">
        <v>5.9556709999999997</v>
      </c>
    </row>
    <row r="13788" spans="1:12" x14ac:dyDescent="0.3">
      <c r="A13788" t="s">
        <v>497</v>
      </c>
      <c r="B13788" t="s">
        <v>83</v>
      </c>
      <c r="C13788">
        <v>408</v>
      </c>
      <c r="D13788" t="s">
        <v>79</v>
      </c>
      <c r="E13788">
        <v>9.9999999999999995E-7</v>
      </c>
      <c r="F13788" t="s">
        <v>74</v>
      </c>
      <c r="G13788">
        <v>5.8E-4</v>
      </c>
      <c r="H13788" t="s">
        <v>75</v>
      </c>
      <c r="I13788">
        <v>0.57899999999999996</v>
      </c>
      <c r="J13788" t="s">
        <v>76</v>
      </c>
      <c r="K13788" t="s">
        <v>77</v>
      </c>
    </row>
    <row r="13789" spans="1:12" x14ac:dyDescent="0.3">
      <c r="A13789" t="s">
        <v>497</v>
      </c>
      <c r="B13789" t="s">
        <v>83</v>
      </c>
      <c r="C13789">
        <v>408</v>
      </c>
      <c r="D13789" t="s">
        <v>94</v>
      </c>
      <c r="E13789">
        <v>2.5939E-2</v>
      </c>
      <c r="F13789" t="s">
        <v>74</v>
      </c>
      <c r="G13789">
        <v>25.93939</v>
      </c>
      <c r="H13789" t="s">
        <v>75</v>
      </c>
      <c r="I13789">
        <v>25939.39</v>
      </c>
      <c r="J13789" t="s">
        <v>76</v>
      </c>
      <c r="K13789" t="s">
        <v>77</v>
      </c>
    </row>
    <row r="13790" spans="1:12" x14ac:dyDescent="0.3">
      <c r="A13790" t="s">
        <v>497</v>
      </c>
      <c r="B13790" t="s">
        <v>83</v>
      </c>
      <c r="C13790">
        <v>408</v>
      </c>
      <c r="D13790" t="s">
        <v>80</v>
      </c>
      <c r="E13790">
        <v>2.5940000000000001E-2</v>
      </c>
      <c r="F13790" t="s">
        <v>74</v>
      </c>
      <c r="G13790">
        <v>25.940259999999999</v>
      </c>
      <c r="H13790" t="s">
        <v>75</v>
      </c>
      <c r="I13790">
        <v>25940.263999999999</v>
      </c>
      <c r="J13790" t="s">
        <v>76</v>
      </c>
      <c r="K13790" t="s">
        <v>77</v>
      </c>
    </row>
    <row r="13791" spans="1:12" x14ac:dyDescent="0.3">
      <c r="A13791" t="s">
        <v>497</v>
      </c>
      <c r="B13791" t="s">
        <v>83</v>
      </c>
      <c r="C13791">
        <v>408</v>
      </c>
      <c r="D13791" t="s">
        <v>81</v>
      </c>
      <c r="E13791">
        <v>2.5940999999999999E-2</v>
      </c>
      <c r="F13791" t="s">
        <v>74</v>
      </c>
      <c r="G13791">
        <v>25.941050000000001</v>
      </c>
      <c r="H13791" t="s">
        <v>75</v>
      </c>
      <c r="I13791">
        <v>25941.052</v>
      </c>
      <c r="J13791" t="s">
        <v>76</v>
      </c>
      <c r="K13791" t="s">
        <v>82</v>
      </c>
      <c r="L13791">
        <v>38.548938300000003</v>
      </c>
    </row>
    <row r="13792" spans="1:12" x14ac:dyDescent="0.3">
      <c r="A13792" t="s">
        <v>497</v>
      </c>
      <c r="B13792" t="s">
        <v>84</v>
      </c>
      <c r="C13792">
        <v>409</v>
      </c>
      <c r="D13792" t="s">
        <v>79</v>
      </c>
      <c r="E13792">
        <v>3.6699999999999998E-4</v>
      </c>
      <c r="F13792" t="s">
        <v>74</v>
      </c>
      <c r="G13792">
        <v>0.36676999999999998</v>
      </c>
      <c r="H13792" t="s">
        <v>75</v>
      </c>
      <c r="I13792">
        <v>366.76600000000002</v>
      </c>
      <c r="J13792" t="s">
        <v>76</v>
      </c>
      <c r="K13792" t="s">
        <v>77</v>
      </c>
    </row>
    <row r="13793" spans="1:12" x14ac:dyDescent="0.3">
      <c r="A13793" t="s">
        <v>497</v>
      </c>
      <c r="B13793" t="s">
        <v>84</v>
      </c>
      <c r="C13793">
        <v>409</v>
      </c>
      <c r="D13793" t="s">
        <v>94</v>
      </c>
      <c r="E13793">
        <v>2.5919999999999999E-2</v>
      </c>
      <c r="F13793" t="s">
        <v>74</v>
      </c>
      <c r="G13793">
        <v>25.920300000000001</v>
      </c>
      <c r="H13793" t="s">
        <v>75</v>
      </c>
      <c r="I13793">
        <v>25920.304</v>
      </c>
      <c r="J13793" t="s">
        <v>76</v>
      </c>
      <c r="K13793" t="s">
        <v>77</v>
      </c>
    </row>
    <row r="13794" spans="1:12" x14ac:dyDescent="0.3">
      <c r="A13794" t="s">
        <v>497</v>
      </c>
      <c r="B13794" t="s">
        <v>84</v>
      </c>
      <c r="C13794">
        <v>409</v>
      </c>
      <c r="D13794" t="s">
        <v>80</v>
      </c>
      <c r="E13794">
        <v>2.5921E-2</v>
      </c>
      <c r="F13794" t="s">
        <v>74</v>
      </c>
      <c r="G13794">
        <v>25.92118</v>
      </c>
      <c r="H13794" t="s">
        <v>75</v>
      </c>
      <c r="I13794">
        <v>25921.18</v>
      </c>
      <c r="J13794" t="s">
        <v>76</v>
      </c>
      <c r="K13794" t="s">
        <v>77</v>
      </c>
    </row>
    <row r="13795" spans="1:12" x14ac:dyDescent="0.3">
      <c r="A13795" t="s">
        <v>497</v>
      </c>
      <c r="B13795" t="s">
        <v>84</v>
      </c>
      <c r="C13795">
        <v>409</v>
      </c>
      <c r="D13795" t="s">
        <v>81</v>
      </c>
      <c r="E13795">
        <v>2.6287999999999999E-2</v>
      </c>
      <c r="F13795" t="s">
        <v>74</v>
      </c>
      <c r="G13795">
        <v>26.288160000000001</v>
      </c>
      <c r="H13795" t="s">
        <v>75</v>
      </c>
      <c r="I13795">
        <v>26288.163</v>
      </c>
      <c r="J13795" t="s">
        <v>76</v>
      </c>
      <c r="K13795" t="s">
        <v>82</v>
      </c>
      <c r="L13795">
        <v>38.0399344</v>
      </c>
    </row>
    <row r="13796" spans="1:12" x14ac:dyDescent="0.3">
      <c r="A13796" t="s">
        <v>498</v>
      </c>
      <c r="B13796" t="s">
        <v>72</v>
      </c>
      <c r="C13796">
        <v>1</v>
      </c>
      <c r="D13796" t="s">
        <v>73</v>
      </c>
      <c r="E13796">
        <v>6.3E-5</v>
      </c>
      <c r="F13796" t="s">
        <v>74</v>
      </c>
      <c r="G13796">
        <v>6.2600000000000003E-2</v>
      </c>
      <c r="H13796" t="s">
        <v>75</v>
      </c>
      <c r="I13796">
        <v>62.6</v>
      </c>
      <c r="J13796" t="s">
        <v>76</v>
      </c>
      <c r="K13796" t="s">
        <v>77</v>
      </c>
    </row>
    <row r="13797" spans="1:12" x14ac:dyDescent="0.3">
      <c r="A13797" t="s">
        <v>498</v>
      </c>
      <c r="B13797" t="s">
        <v>72</v>
      </c>
      <c r="C13797">
        <v>1</v>
      </c>
      <c r="D13797" t="s">
        <v>78</v>
      </c>
      <c r="E13797">
        <v>0.140962</v>
      </c>
      <c r="F13797" t="s">
        <v>74</v>
      </c>
      <c r="G13797">
        <v>140.96241000000001</v>
      </c>
      <c r="H13797" t="s">
        <v>75</v>
      </c>
      <c r="I13797">
        <v>140962.40700000001</v>
      </c>
      <c r="J13797" t="s">
        <v>76</v>
      </c>
      <c r="K13797" t="s">
        <v>77</v>
      </c>
    </row>
    <row r="13798" spans="1:12" x14ac:dyDescent="0.3">
      <c r="A13798" t="s">
        <v>498</v>
      </c>
      <c r="B13798" t="s">
        <v>72</v>
      </c>
      <c r="C13798">
        <v>2</v>
      </c>
      <c r="D13798" t="s">
        <v>86</v>
      </c>
      <c r="E13798">
        <v>0.223051</v>
      </c>
      <c r="F13798" t="s">
        <v>74</v>
      </c>
      <c r="G13798">
        <v>223.0514</v>
      </c>
      <c r="H13798" t="s">
        <v>75</v>
      </c>
      <c r="I13798">
        <v>223051.399</v>
      </c>
      <c r="J13798" t="s">
        <v>76</v>
      </c>
      <c r="K13798" t="s">
        <v>82</v>
      </c>
      <c r="L13798">
        <v>4.4832716000000001</v>
      </c>
    </row>
    <row r="13799" spans="1:12" x14ac:dyDescent="0.3">
      <c r="A13799" t="s">
        <v>498</v>
      </c>
      <c r="B13799" t="s">
        <v>83</v>
      </c>
      <c r="C13799">
        <v>999</v>
      </c>
      <c r="D13799" t="s">
        <v>86</v>
      </c>
      <c r="E13799">
        <v>1.0598E-2</v>
      </c>
      <c r="F13799" t="s">
        <v>74</v>
      </c>
      <c r="G13799">
        <v>10.59829</v>
      </c>
      <c r="H13799" t="s">
        <v>75</v>
      </c>
      <c r="I13799">
        <v>10598.288</v>
      </c>
      <c r="J13799" t="s">
        <v>76</v>
      </c>
      <c r="K13799" t="s">
        <v>82</v>
      </c>
      <c r="L13799">
        <v>94.354864599999999</v>
      </c>
    </row>
    <row r="13800" spans="1:12" x14ac:dyDescent="0.3">
      <c r="A13800" t="s">
        <v>498</v>
      </c>
      <c r="B13800" t="s">
        <v>85</v>
      </c>
      <c r="C13800">
        <v>1001</v>
      </c>
      <c r="D13800" t="s">
        <v>86</v>
      </c>
      <c r="E13800">
        <v>1.0762000000000001E-2</v>
      </c>
      <c r="F13800" t="s">
        <v>74</v>
      </c>
      <c r="G13800">
        <v>10.76243</v>
      </c>
      <c r="H13800" t="s">
        <v>75</v>
      </c>
      <c r="I13800">
        <v>10762.433000000001</v>
      </c>
      <c r="J13800" t="s">
        <v>76</v>
      </c>
      <c r="K13800" t="s">
        <v>82</v>
      </c>
      <c r="L13800">
        <v>92.915794700000006</v>
      </c>
    </row>
    <row r="13801" spans="1:12" x14ac:dyDescent="0.3">
      <c r="A13801" t="s">
        <v>208</v>
      </c>
    </row>
    <row r="13802" spans="1:12" x14ac:dyDescent="0.3">
      <c r="A13802" t="s">
        <v>208</v>
      </c>
    </row>
    <row r="13803" spans="1:12" x14ac:dyDescent="0.3">
      <c r="A13803" t="s">
        <v>555</v>
      </c>
    </row>
    <row r="13804" spans="1:12" x14ac:dyDescent="0.3">
      <c r="A13804" t="s">
        <v>496</v>
      </c>
      <c r="B13804" t="s">
        <v>72</v>
      </c>
      <c r="C13804">
        <v>1</v>
      </c>
      <c r="D13804" t="s">
        <v>79</v>
      </c>
      <c r="E13804">
        <v>4.7359999999999998E-3</v>
      </c>
      <c r="F13804" t="s">
        <v>74</v>
      </c>
      <c r="G13804">
        <v>4.7358000000000002</v>
      </c>
      <c r="H13804" t="s">
        <v>75</v>
      </c>
      <c r="I13804">
        <v>4735.8</v>
      </c>
      <c r="J13804" t="s">
        <v>76</v>
      </c>
      <c r="K13804" t="s">
        <v>77</v>
      </c>
    </row>
    <row r="13805" spans="1:12" x14ac:dyDescent="0.3">
      <c r="A13805" t="s">
        <v>496</v>
      </c>
      <c r="B13805" t="s">
        <v>72</v>
      </c>
      <c r="C13805">
        <v>1</v>
      </c>
      <c r="D13805" t="s">
        <v>94</v>
      </c>
      <c r="E13805">
        <v>3.0273999999999999E-2</v>
      </c>
      <c r="F13805" t="s">
        <v>74</v>
      </c>
      <c r="G13805">
        <v>30.274100000000001</v>
      </c>
      <c r="H13805" t="s">
        <v>75</v>
      </c>
      <c r="I13805">
        <v>30274.100999999999</v>
      </c>
      <c r="J13805" t="s">
        <v>76</v>
      </c>
      <c r="K13805" t="s">
        <v>77</v>
      </c>
    </row>
    <row r="13806" spans="1:12" x14ac:dyDescent="0.3">
      <c r="A13806" t="s">
        <v>496</v>
      </c>
      <c r="B13806" t="s">
        <v>72</v>
      </c>
      <c r="C13806">
        <v>1</v>
      </c>
      <c r="D13806" t="s">
        <v>80</v>
      </c>
      <c r="E13806">
        <v>3.0275E-2</v>
      </c>
      <c r="F13806" t="s">
        <v>74</v>
      </c>
      <c r="G13806">
        <v>30.274899999999999</v>
      </c>
      <c r="H13806" t="s">
        <v>75</v>
      </c>
      <c r="I13806">
        <v>30274.9</v>
      </c>
      <c r="J13806" t="s">
        <v>76</v>
      </c>
      <c r="K13806" t="s">
        <v>77</v>
      </c>
    </row>
    <row r="13807" spans="1:12" x14ac:dyDescent="0.3">
      <c r="A13807" t="s">
        <v>496</v>
      </c>
      <c r="B13807" t="s">
        <v>72</v>
      </c>
      <c r="C13807">
        <v>1</v>
      </c>
      <c r="D13807" t="s">
        <v>81</v>
      </c>
      <c r="E13807">
        <v>3.5011E-2</v>
      </c>
      <c r="F13807" t="s">
        <v>74</v>
      </c>
      <c r="G13807">
        <v>35.011299999999999</v>
      </c>
      <c r="H13807" t="s">
        <v>75</v>
      </c>
      <c r="I13807">
        <v>35011.298999999999</v>
      </c>
      <c r="J13807" t="s">
        <v>76</v>
      </c>
      <c r="K13807" t="s">
        <v>82</v>
      </c>
      <c r="L13807">
        <v>28.562207900000001</v>
      </c>
    </row>
    <row r="13808" spans="1:12" x14ac:dyDescent="0.3">
      <c r="A13808" t="s">
        <v>496</v>
      </c>
      <c r="B13808" t="s">
        <v>83</v>
      </c>
      <c r="C13808">
        <v>756</v>
      </c>
      <c r="D13808" t="s">
        <v>79</v>
      </c>
      <c r="E13808">
        <v>9.9999999999999995E-7</v>
      </c>
      <c r="F13808" t="s">
        <v>74</v>
      </c>
      <c r="G13808">
        <v>6.3000000000000003E-4</v>
      </c>
      <c r="H13808" t="s">
        <v>75</v>
      </c>
      <c r="I13808">
        <v>0.627</v>
      </c>
      <c r="J13808" t="s">
        <v>76</v>
      </c>
      <c r="K13808" t="s">
        <v>77</v>
      </c>
    </row>
    <row r="13809" spans="1:12" x14ac:dyDescent="0.3">
      <c r="A13809" t="s">
        <v>496</v>
      </c>
      <c r="B13809" t="s">
        <v>83</v>
      </c>
      <c r="C13809">
        <v>756</v>
      </c>
      <c r="D13809" t="s">
        <v>94</v>
      </c>
      <c r="E13809">
        <v>2.5201999999999999E-2</v>
      </c>
      <c r="F13809" t="s">
        <v>74</v>
      </c>
      <c r="G13809">
        <v>25.202390000000001</v>
      </c>
      <c r="H13809" t="s">
        <v>75</v>
      </c>
      <c r="I13809">
        <v>25202.39</v>
      </c>
      <c r="J13809" t="s">
        <v>76</v>
      </c>
      <c r="K13809" t="s">
        <v>77</v>
      </c>
    </row>
    <row r="13810" spans="1:12" x14ac:dyDescent="0.3">
      <c r="A13810" t="s">
        <v>496</v>
      </c>
      <c r="B13810" t="s">
        <v>83</v>
      </c>
      <c r="C13810">
        <v>756</v>
      </c>
      <c r="D13810" t="s">
        <v>80</v>
      </c>
      <c r="E13810">
        <v>2.5437999999999999E-2</v>
      </c>
      <c r="F13810" t="s">
        <v>74</v>
      </c>
      <c r="G13810">
        <v>25.438009999999998</v>
      </c>
      <c r="H13810" t="s">
        <v>75</v>
      </c>
      <c r="I13810">
        <v>25438.006000000001</v>
      </c>
      <c r="J13810" t="s">
        <v>76</v>
      </c>
      <c r="K13810" t="s">
        <v>77</v>
      </c>
    </row>
    <row r="13811" spans="1:12" x14ac:dyDescent="0.3">
      <c r="A13811" t="s">
        <v>496</v>
      </c>
      <c r="B13811" t="s">
        <v>83</v>
      </c>
      <c r="C13811">
        <v>756</v>
      </c>
      <c r="D13811" t="s">
        <v>81</v>
      </c>
      <c r="E13811">
        <v>2.5439E-2</v>
      </c>
      <c r="F13811" t="s">
        <v>74</v>
      </c>
      <c r="G13811">
        <v>25.438849999999999</v>
      </c>
      <c r="H13811" t="s">
        <v>75</v>
      </c>
      <c r="I13811">
        <v>25438.850999999999</v>
      </c>
      <c r="J13811" t="s">
        <v>76</v>
      </c>
      <c r="K13811" t="s">
        <v>82</v>
      </c>
      <c r="L13811">
        <v>39.309951300000002</v>
      </c>
    </row>
    <row r="13812" spans="1:12" x14ac:dyDescent="0.3">
      <c r="A13812" t="s">
        <v>496</v>
      </c>
      <c r="B13812" t="s">
        <v>84</v>
      </c>
      <c r="C13812">
        <v>757</v>
      </c>
      <c r="D13812" t="s">
        <v>79</v>
      </c>
      <c r="E13812">
        <v>6.9999999999999999E-6</v>
      </c>
      <c r="F13812" t="s">
        <v>74</v>
      </c>
      <c r="G13812">
        <v>6.8799999999999998E-3</v>
      </c>
      <c r="H13812" t="s">
        <v>75</v>
      </c>
      <c r="I13812">
        <v>6.883</v>
      </c>
      <c r="J13812" t="s">
        <v>76</v>
      </c>
      <c r="K13812" t="s">
        <v>77</v>
      </c>
    </row>
    <row r="13813" spans="1:12" x14ac:dyDescent="0.3">
      <c r="A13813" t="s">
        <v>496</v>
      </c>
      <c r="B13813" t="s">
        <v>84</v>
      </c>
      <c r="C13813">
        <v>757</v>
      </c>
      <c r="D13813" t="s">
        <v>94</v>
      </c>
      <c r="E13813">
        <v>2.5208999999999999E-2</v>
      </c>
      <c r="F13813" t="s">
        <v>74</v>
      </c>
      <c r="G13813">
        <v>25.20909</v>
      </c>
      <c r="H13813" t="s">
        <v>75</v>
      </c>
      <c r="I13813">
        <v>25209.092000000001</v>
      </c>
      <c r="J13813" t="s">
        <v>76</v>
      </c>
      <c r="K13813" t="s">
        <v>77</v>
      </c>
    </row>
    <row r="13814" spans="1:12" x14ac:dyDescent="0.3">
      <c r="A13814" t="s">
        <v>496</v>
      </c>
      <c r="B13814" t="s">
        <v>84</v>
      </c>
      <c r="C13814">
        <v>757</v>
      </c>
      <c r="D13814" t="s">
        <v>80</v>
      </c>
      <c r="E13814">
        <v>2.5444000000000001E-2</v>
      </c>
      <c r="F13814" t="s">
        <v>74</v>
      </c>
      <c r="G13814">
        <v>25.444400000000002</v>
      </c>
      <c r="H13814" t="s">
        <v>75</v>
      </c>
      <c r="I13814">
        <v>25444.396000000001</v>
      </c>
      <c r="J13814" t="s">
        <v>76</v>
      </c>
      <c r="K13814" t="s">
        <v>77</v>
      </c>
    </row>
    <row r="13815" spans="1:12" x14ac:dyDescent="0.3">
      <c r="A13815" t="s">
        <v>496</v>
      </c>
      <c r="B13815" t="s">
        <v>84</v>
      </c>
      <c r="C13815">
        <v>757</v>
      </c>
      <c r="D13815" t="s">
        <v>81</v>
      </c>
      <c r="E13815">
        <v>2.5451000000000001E-2</v>
      </c>
      <c r="F13815" t="s">
        <v>74</v>
      </c>
      <c r="G13815">
        <v>25.451499999999999</v>
      </c>
      <c r="H13815" t="s">
        <v>75</v>
      </c>
      <c r="I13815">
        <v>25451.495999999999</v>
      </c>
      <c r="J13815" t="s">
        <v>76</v>
      </c>
      <c r="K13815" t="s">
        <v>82</v>
      </c>
      <c r="L13815">
        <v>39.290420699999999</v>
      </c>
    </row>
    <row r="13816" spans="1:12" x14ac:dyDescent="0.3">
      <c r="A13816" t="s">
        <v>497</v>
      </c>
      <c r="B13816" t="s">
        <v>72</v>
      </c>
      <c r="C13816">
        <v>1</v>
      </c>
      <c r="D13816" t="s">
        <v>79</v>
      </c>
      <c r="E13816">
        <v>1.9567999999999999E-2</v>
      </c>
      <c r="F13816" t="s">
        <v>74</v>
      </c>
      <c r="G13816">
        <v>19.5685</v>
      </c>
      <c r="H13816" t="s">
        <v>75</v>
      </c>
      <c r="I13816">
        <v>19568.499</v>
      </c>
      <c r="J13816" t="s">
        <v>76</v>
      </c>
      <c r="K13816" t="s">
        <v>77</v>
      </c>
    </row>
    <row r="13817" spans="1:12" x14ac:dyDescent="0.3">
      <c r="A13817" t="s">
        <v>497</v>
      </c>
      <c r="B13817" t="s">
        <v>72</v>
      </c>
      <c r="C13817">
        <v>1</v>
      </c>
      <c r="D13817" t="s">
        <v>94</v>
      </c>
      <c r="E13817">
        <v>9.6823000000000006E-2</v>
      </c>
      <c r="F13817" t="s">
        <v>74</v>
      </c>
      <c r="G13817">
        <v>96.822599999999994</v>
      </c>
      <c r="H13817" t="s">
        <v>75</v>
      </c>
      <c r="I13817">
        <v>96822.596999999994</v>
      </c>
      <c r="J13817" t="s">
        <v>76</v>
      </c>
      <c r="K13817" t="s">
        <v>77</v>
      </c>
    </row>
    <row r="13818" spans="1:12" x14ac:dyDescent="0.3">
      <c r="A13818" t="s">
        <v>497</v>
      </c>
      <c r="B13818" t="s">
        <v>72</v>
      </c>
      <c r="C13818">
        <v>1</v>
      </c>
      <c r="D13818" t="s">
        <v>80</v>
      </c>
      <c r="E13818">
        <v>9.6828999999999998E-2</v>
      </c>
      <c r="F13818" t="s">
        <v>74</v>
      </c>
      <c r="G13818">
        <v>96.828999999999994</v>
      </c>
      <c r="H13818" t="s">
        <v>75</v>
      </c>
      <c r="I13818">
        <v>96828.997000000003</v>
      </c>
      <c r="J13818" t="s">
        <v>76</v>
      </c>
      <c r="K13818" t="s">
        <v>77</v>
      </c>
    </row>
    <row r="13819" spans="1:12" x14ac:dyDescent="0.3">
      <c r="A13819" t="s">
        <v>497</v>
      </c>
      <c r="B13819" t="s">
        <v>72</v>
      </c>
      <c r="C13819">
        <v>1</v>
      </c>
      <c r="D13819" t="s">
        <v>81</v>
      </c>
      <c r="E13819">
        <v>0.116399</v>
      </c>
      <c r="F13819" t="s">
        <v>74</v>
      </c>
      <c r="G13819">
        <v>116.3994</v>
      </c>
      <c r="H13819" t="s">
        <v>75</v>
      </c>
      <c r="I13819">
        <v>116399.4</v>
      </c>
      <c r="J13819" t="s">
        <v>76</v>
      </c>
      <c r="K13819" t="s">
        <v>82</v>
      </c>
      <c r="L13819">
        <v>8.5911095999999993</v>
      </c>
    </row>
    <row r="13820" spans="1:12" x14ac:dyDescent="0.3">
      <c r="A13820" t="s">
        <v>497</v>
      </c>
      <c r="B13820" t="s">
        <v>83</v>
      </c>
      <c r="C13820">
        <v>243</v>
      </c>
      <c r="D13820" t="s">
        <v>79</v>
      </c>
      <c r="E13820">
        <v>1.9999999999999999E-6</v>
      </c>
      <c r="F13820" t="s">
        <v>74</v>
      </c>
      <c r="G13820">
        <v>1.8E-3</v>
      </c>
      <c r="H13820" t="s">
        <v>75</v>
      </c>
      <c r="I13820">
        <v>1.7989999999999999</v>
      </c>
      <c r="J13820" t="s">
        <v>76</v>
      </c>
      <c r="K13820" t="s">
        <v>77</v>
      </c>
    </row>
    <row r="13821" spans="1:12" x14ac:dyDescent="0.3">
      <c r="A13821" t="s">
        <v>497</v>
      </c>
      <c r="B13821" t="s">
        <v>83</v>
      </c>
      <c r="C13821">
        <v>243</v>
      </c>
      <c r="D13821" t="s">
        <v>94</v>
      </c>
      <c r="E13821">
        <v>7.3571999999999999E-2</v>
      </c>
      <c r="F13821" t="s">
        <v>74</v>
      </c>
      <c r="G13821">
        <v>73.571910000000003</v>
      </c>
      <c r="H13821" t="s">
        <v>75</v>
      </c>
      <c r="I13821">
        <v>73571.907999999996</v>
      </c>
      <c r="J13821" t="s">
        <v>76</v>
      </c>
      <c r="K13821" t="s">
        <v>77</v>
      </c>
    </row>
    <row r="13822" spans="1:12" x14ac:dyDescent="0.3">
      <c r="A13822" t="s">
        <v>497</v>
      </c>
      <c r="B13822" t="s">
        <v>83</v>
      </c>
      <c r="C13822">
        <v>243</v>
      </c>
      <c r="D13822" t="s">
        <v>80</v>
      </c>
      <c r="E13822">
        <v>7.4917999999999998E-2</v>
      </c>
      <c r="F13822" t="s">
        <v>74</v>
      </c>
      <c r="G13822">
        <v>74.917820000000006</v>
      </c>
      <c r="H13822" t="s">
        <v>75</v>
      </c>
      <c r="I13822">
        <v>74917.820999999996</v>
      </c>
      <c r="J13822" t="s">
        <v>76</v>
      </c>
      <c r="K13822" t="s">
        <v>77</v>
      </c>
    </row>
    <row r="13823" spans="1:12" x14ac:dyDescent="0.3">
      <c r="A13823" t="s">
        <v>497</v>
      </c>
      <c r="B13823" t="s">
        <v>83</v>
      </c>
      <c r="C13823">
        <v>243</v>
      </c>
      <c r="D13823" t="s">
        <v>81</v>
      </c>
      <c r="E13823">
        <v>7.4921000000000001E-2</v>
      </c>
      <c r="F13823" t="s">
        <v>74</v>
      </c>
      <c r="G13823">
        <v>74.920509999999993</v>
      </c>
      <c r="H13823" t="s">
        <v>75</v>
      </c>
      <c r="I13823">
        <v>74920.513000000006</v>
      </c>
      <c r="J13823" t="s">
        <v>76</v>
      </c>
      <c r="K13823" t="s">
        <v>82</v>
      </c>
      <c r="L13823">
        <v>13.3474793</v>
      </c>
    </row>
    <row r="13824" spans="1:12" x14ac:dyDescent="0.3">
      <c r="A13824" t="s">
        <v>497</v>
      </c>
      <c r="B13824" t="s">
        <v>84</v>
      </c>
      <c r="C13824">
        <v>244</v>
      </c>
      <c r="D13824" t="s">
        <v>79</v>
      </c>
      <c r="E13824">
        <v>8.2000000000000001E-5</v>
      </c>
      <c r="F13824" t="s">
        <v>74</v>
      </c>
      <c r="G13824">
        <v>8.1989999999999993E-2</v>
      </c>
      <c r="H13824" t="s">
        <v>75</v>
      </c>
      <c r="I13824">
        <v>81.991</v>
      </c>
      <c r="J13824" t="s">
        <v>76</v>
      </c>
      <c r="K13824" t="s">
        <v>77</v>
      </c>
    </row>
    <row r="13825" spans="1:12" x14ac:dyDescent="0.3">
      <c r="A13825" t="s">
        <v>497</v>
      </c>
      <c r="B13825" t="s">
        <v>84</v>
      </c>
      <c r="C13825">
        <v>244</v>
      </c>
      <c r="D13825" t="s">
        <v>94</v>
      </c>
      <c r="E13825">
        <v>7.3666999999999996E-2</v>
      </c>
      <c r="F13825" t="s">
        <v>74</v>
      </c>
      <c r="G13825">
        <v>73.667209999999997</v>
      </c>
      <c r="H13825" t="s">
        <v>75</v>
      </c>
      <c r="I13825">
        <v>73667.206000000006</v>
      </c>
      <c r="J13825" t="s">
        <v>76</v>
      </c>
      <c r="K13825" t="s">
        <v>77</v>
      </c>
    </row>
    <row r="13826" spans="1:12" x14ac:dyDescent="0.3">
      <c r="A13826" t="s">
        <v>497</v>
      </c>
      <c r="B13826" t="s">
        <v>84</v>
      </c>
      <c r="C13826">
        <v>244</v>
      </c>
      <c r="D13826" t="s">
        <v>80</v>
      </c>
      <c r="E13826">
        <v>7.5008000000000005E-2</v>
      </c>
      <c r="F13826" t="s">
        <v>74</v>
      </c>
      <c r="G13826">
        <v>75.007620000000003</v>
      </c>
      <c r="H13826" t="s">
        <v>75</v>
      </c>
      <c r="I13826">
        <v>75007.618000000002</v>
      </c>
      <c r="J13826" t="s">
        <v>76</v>
      </c>
      <c r="K13826" t="s">
        <v>77</v>
      </c>
    </row>
    <row r="13827" spans="1:12" x14ac:dyDescent="0.3">
      <c r="A13827" t="s">
        <v>497</v>
      </c>
      <c r="B13827" t="s">
        <v>84</v>
      </c>
      <c r="C13827">
        <v>244</v>
      </c>
      <c r="D13827" t="s">
        <v>81</v>
      </c>
      <c r="E13827">
        <v>7.5091000000000005E-2</v>
      </c>
      <c r="F13827" t="s">
        <v>74</v>
      </c>
      <c r="G13827">
        <v>75.090509999999995</v>
      </c>
      <c r="H13827" t="s">
        <v>75</v>
      </c>
      <c r="I13827">
        <v>75090.509999999995</v>
      </c>
      <c r="J13827" t="s">
        <v>76</v>
      </c>
      <c r="K13827" t="s">
        <v>82</v>
      </c>
      <c r="L13827">
        <v>13.317262100000001</v>
      </c>
    </row>
    <row r="13828" spans="1:12" x14ac:dyDescent="0.3">
      <c r="A13828" t="s">
        <v>498</v>
      </c>
      <c r="B13828" t="s">
        <v>72</v>
      </c>
      <c r="C13828">
        <v>1</v>
      </c>
      <c r="D13828" t="s">
        <v>73</v>
      </c>
      <c r="E13828">
        <v>6.3E-5</v>
      </c>
      <c r="F13828" t="s">
        <v>74</v>
      </c>
      <c r="G13828">
        <v>6.2600000000000003E-2</v>
      </c>
      <c r="H13828" t="s">
        <v>75</v>
      </c>
      <c r="I13828">
        <v>62.6</v>
      </c>
      <c r="J13828" t="s">
        <v>76</v>
      </c>
      <c r="K13828" t="s">
        <v>77</v>
      </c>
    </row>
    <row r="13829" spans="1:12" x14ac:dyDescent="0.3">
      <c r="A13829" t="s">
        <v>498</v>
      </c>
      <c r="B13829" t="s">
        <v>72</v>
      </c>
      <c r="C13829">
        <v>1</v>
      </c>
      <c r="D13829" t="s">
        <v>78</v>
      </c>
      <c r="E13829">
        <v>1.0950000000000001E-3</v>
      </c>
      <c r="F13829" t="s">
        <v>74</v>
      </c>
      <c r="G13829">
        <v>1.0947</v>
      </c>
      <c r="H13829" t="s">
        <v>75</v>
      </c>
      <c r="I13829">
        <v>1094.7</v>
      </c>
      <c r="J13829" t="s">
        <v>76</v>
      </c>
      <c r="K13829" t="s">
        <v>77</v>
      </c>
    </row>
    <row r="13830" spans="1:12" x14ac:dyDescent="0.3">
      <c r="A13830" t="s">
        <v>498</v>
      </c>
      <c r="B13830" t="s">
        <v>72</v>
      </c>
      <c r="C13830">
        <v>2</v>
      </c>
      <c r="D13830" t="s">
        <v>86</v>
      </c>
      <c r="E13830">
        <v>5.8202999999999998E-2</v>
      </c>
      <c r="F13830" t="s">
        <v>74</v>
      </c>
      <c r="G13830">
        <v>58.20335</v>
      </c>
      <c r="H13830" t="s">
        <v>75</v>
      </c>
      <c r="I13830">
        <v>58203.351000000002</v>
      </c>
      <c r="J13830" t="s">
        <v>76</v>
      </c>
      <c r="K13830" t="s">
        <v>82</v>
      </c>
      <c r="L13830">
        <v>17.181141400000001</v>
      </c>
    </row>
    <row r="13831" spans="1:12" x14ac:dyDescent="0.3">
      <c r="A13831" t="s">
        <v>498</v>
      </c>
      <c r="B13831" t="s">
        <v>83</v>
      </c>
      <c r="C13831">
        <v>999</v>
      </c>
      <c r="D13831" t="s">
        <v>86</v>
      </c>
      <c r="E13831">
        <v>1.9264E-2</v>
      </c>
      <c r="F13831" t="s">
        <v>74</v>
      </c>
      <c r="G13831">
        <v>19.26436</v>
      </c>
      <c r="H13831" t="s">
        <v>75</v>
      </c>
      <c r="I13831">
        <v>19264.359</v>
      </c>
      <c r="J13831" t="s">
        <v>76</v>
      </c>
      <c r="K13831" t="s">
        <v>82</v>
      </c>
      <c r="L13831">
        <v>51.909332599999999</v>
      </c>
    </row>
    <row r="13832" spans="1:12" x14ac:dyDescent="0.3">
      <c r="A13832" t="s">
        <v>498</v>
      </c>
      <c r="B13832" t="s">
        <v>85</v>
      </c>
      <c r="C13832">
        <v>1001</v>
      </c>
      <c r="D13832" t="s">
        <v>86</v>
      </c>
      <c r="E13832">
        <v>1.9262000000000001E-2</v>
      </c>
      <c r="F13832" t="s">
        <v>74</v>
      </c>
      <c r="G13832">
        <v>19.2624</v>
      </c>
      <c r="H13832" t="s">
        <v>75</v>
      </c>
      <c r="I13832">
        <v>19262.396000000001</v>
      </c>
      <c r="J13832" t="s">
        <v>76</v>
      </c>
      <c r="K13832" t="s">
        <v>82</v>
      </c>
      <c r="L13832">
        <v>51.914622199999997</v>
      </c>
    </row>
    <row r="13833" spans="1:12" x14ac:dyDescent="0.3">
      <c r="A13833" t="s">
        <v>115</v>
      </c>
    </row>
    <row r="13834" spans="1:12" x14ac:dyDescent="0.3">
      <c r="A13834" t="s">
        <v>127</v>
      </c>
    </row>
    <row r="13835" spans="1:12" x14ac:dyDescent="0.3">
      <c r="A13835" t="s">
        <v>87</v>
      </c>
    </row>
    <row r="13836" spans="1:12" x14ac:dyDescent="0.3">
      <c r="A13836" t="s">
        <v>556</v>
      </c>
    </row>
    <row r="13837" spans="1:12" x14ac:dyDescent="0.3">
      <c r="A13837" t="s">
        <v>496</v>
      </c>
      <c r="B13837" t="s">
        <v>72</v>
      </c>
      <c r="C13837">
        <v>1</v>
      </c>
      <c r="D13837" t="s">
        <v>81</v>
      </c>
      <c r="E13837">
        <v>0.446048</v>
      </c>
      <c r="F13837" t="s">
        <v>74</v>
      </c>
      <c r="G13837">
        <v>446.04849999999999</v>
      </c>
      <c r="H13837" t="s">
        <v>75</v>
      </c>
      <c r="I13837">
        <v>446048.49800000002</v>
      </c>
      <c r="J13837" t="s">
        <v>76</v>
      </c>
      <c r="K13837" t="s">
        <v>82</v>
      </c>
      <c r="L13837">
        <v>2.2419087000000002</v>
      </c>
    </row>
    <row r="13838" spans="1:12" x14ac:dyDescent="0.3">
      <c r="A13838" t="s">
        <v>496</v>
      </c>
      <c r="B13838" t="s">
        <v>83</v>
      </c>
      <c r="C13838">
        <v>591</v>
      </c>
      <c r="D13838" t="s">
        <v>81</v>
      </c>
      <c r="E13838">
        <v>1.7461000000000001E-2</v>
      </c>
      <c r="F13838" t="s">
        <v>74</v>
      </c>
      <c r="G13838">
        <v>17.461220000000001</v>
      </c>
      <c r="H13838" t="s">
        <v>75</v>
      </c>
      <c r="I13838">
        <v>17461.215</v>
      </c>
      <c r="J13838" t="s">
        <v>76</v>
      </c>
      <c r="K13838" t="s">
        <v>82</v>
      </c>
      <c r="L13838">
        <v>57.269782800000002</v>
      </c>
    </row>
    <row r="13839" spans="1:12" x14ac:dyDescent="0.3">
      <c r="A13839" t="s">
        <v>496</v>
      </c>
      <c r="B13839" t="s">
        <v>84</v>
      </c>
      <c r="C13839">
        <v>592</v>
      </c>
      <c r="D13839" t="s">
        <v>81</v>
      </c>
      <c r="E13839">
        <v>1.8185E-2</v>
      </c>
      <c r="F13839" t="s">
        <v>74</v>
      </c>
      <c r="G13839">
        <v>18.185179999999999</v>
      </c>
      <c r="H13839" t="s">
        <v>75</v>
      </c>
      <c r="I13839">
        <v>18185.181</v>
      </c>
      <c r="J13839" t="s">
        <v>76</v>
      </c>
      <c r="K13839" t="s">
        <v>82</v>
      </c>
      <c r="L13839">
        <v>54.989830599999998</v>
      </c>
    </row>
    <row r="13840" spans="1:12" x14ac:dyDescent="0.3">
      <c r="A13840" t="s">
        <v>497</v>
      </c>
      <c r="B13840" t="s">
        <v>72</v>
      </c>
      <c r="C13840">
        <v>1</v>
      </c>
      <c r="D13840" t="s">
        <v>81</v>
      </c>
      <c r="E13840">
        <v>0.167907</v>
      </c>
      <c r="F13840" t="s">
        <v>74</v>
      </c>
      <c r="G13840">
        <v>167.90719000000001</v>
      </c>
      <c r="H13840" t="s">
        <v>75</v>
      </c>
      <c r="I13840">
        <v>167907.193</v>
      </c>
      <c r="J13840" t="s">
        <v>76</v>
      </c>
      <c r="K13840" t="s">
        <v>82</v>
      </c>
      <c r="L13840">
        <v>5.9556709999999997</v>
      </c>
    </row>
    <row r="13841" spans="1:12" x14ac:dyDescent="0.3">
      <c r="A13841" t="s">
        <v>497</v>
      </c>
      <c r="B13841" t="s">
        <v>83</v>
      </c>
      <c r="C13841">
        <v>408</v>
      </c>
      <c r="D13841" t="s">
        <v>81</v>
      </c>
      <c r="E13841">
        <v>2.5940999999999999E-2</v>
      </c>
      <c r="F13841" t="s">
        <v>74</v>
      </c>
      <c r="G13841">
        <v>25.941050000000001</v>
      </c>
      <c r="H13841" t="s">
        <v>75</v>
      </c>
      <c r="I13841">
        <v>25941.052</v>
      </c>
      <c r="J13841" t="s">
        <v>76</v>
      </c>
      <c r="K13841" t="s">
        <v>82</v>
      </c>
      <c r="L13841">
        <v>38.548938300000003</v>
      </c>
    </row>
    <row r="13842" spans="1:12" x14ac:dyDescent="0.3">
      <c r="A13842" t="s">
        <v>497</v>
      </c>
      <c r="B13842" t="s">
        <v>84</v>
      </c>
      <c r="C13842">
        <v>409</v>
      </c>
      <c r="D13842" t="s">
        <v>81</v>
      </c>
      <c r="E13842">
        <v>2.6287999999999999E-2</v>
      </c>
      <c r="F13842" t="s">
        <v>74</v>
      </c>
      <c r="G13842">
        <v>26.288160000000001</v>
      </c>
      <c r="H13842" t="s">
        <v>75</v>
      </c>
      <c r="I13842">
        <v>26288.163</v>
      </c>
      <c r="J13842" t="s">
        <v>76</v>
      </c>
      <c r="K13842" t="s">
        <v>82</v>
      </c>
      <c r="L13842">
        <v>38.0399344</v>
      </c>
    </row>
    <row r="13843" spans="1:12" x14ac:dyDescent="0.3">
      <c r="A13843" t="s">
        <v>498</v>
      </c>
      <c r="B13843" t="s">
        <v>72</v>
      </c>
      <c r="C13843">
        <v>2</v>
      </c>
      <c r="D13843" t="s">
        <v>86</v>
      </c>
      <c r="E13843">
        <v>0.223051</v>
      </c>
      <c r="F13843" t="s">
        <v>74</v>
      </c>
      <c r="G13843">
        <v>223.0514</v>
      </c>
      <c r="H13843" t="s">
        <v>75</v>
      </c>
      <c r="I13843">
        <v>223051.399</v>
      </c>
      <c r="J13843" t="s">
        <v>76</v>
      </c>
      <c r="K13843" t="s">
        <v>82</v>
      </c>
      <c r="L13843">
        <v>4.4832716000000001</v>
      </c>
    </row>
    <row r="13844" spans="1:12" x14ac:dyDescent="0.3">
      <c r="A13844" t="s">
        <v>498</v>
      </c>
      <c r="B13844" t="s">
        <v>83</v>
      </c>
      <c r="C13844">
        <v>999</v>
      </c>
      <c r="D13844" t="s">
        <v>86</v>
      </c>
      <c r="E13844">
        <v>1.0598E-2</v>
      </c>
      <c r="F13844" t="s">
        <v>74</v>
      </c>
      <c r="G13844">
        <v>10.59829</v>
      </c>
      <c r="H13844" t="s">
        <v>75</v>
      </c>
      <c r="I13844">
        <v>10598.288</v>
      </c>
      <c r="J13844" t="s">
        <v>76</v>
      </c>
      <c r="K13844" t="s">
        <v>82</v>
      </c>
      <c r="L13844">
        <v>94.354864599999999</v>
      </c>
    </row>
    <row r="13845" spans="1:12" x14ac:dyDescent="0.3">
      <c r="A13845" t="s">
        <v>498</v>
      </c>
      <c r="B13845" t="s">
        <v>85</v>
      </c>
      <c r="C13845">
        <v>1001</v>
      </c>
      <c r="D13845" t="s">
        <v>86</v>
      </c>
      <c r="E13845">
        <v>1.0762000000000001E-2</v>
      </c>
      <c r="F13845" t="s">
        <v>74</v>
      </c>
      <c r="G13845">
        <v>10.76243</v>
      </c>
      <c r="H13845" t="s">
        <v>75</v>
      </c>
      <c r="I13845">
        <v>10762.433000000001</v>
      </c>
      <c r="J13845" t="s">
        <v>76</v>
      </c>
      <c r="K13845" t="s">
        <v>82</v>
      </c>
      <c r="L13845">
        <v>92.915794700000006</v>
      </c>
    </row>
    <row r="13847" spans="1:12" x14ac:dyDescent="0.3">
      <c r="A13847" t="s">
        <v>557</v>
      </c>
    </row>
    <row r="13848" spans="1:12" x14ac:dyDescent="0.3">
      <c r="A13848" t="s">
        <v>496</v>
      </c>
      <c r="B13848" t="s">
        <v>72</v>
      </c>
      <c r="C13848">
        <v>1</v>
      </c>
      <c r="D13848" t="s">
        <v>81</v>
      </c>
      <c r="E13848">
        <v>3.5011E-2</v>
      </c>
      <c r="F13848" t="s">
        <v>74</v>
      </c>
      <c r="G13848">
        <v>35.011299999999999</v>
      </c>
      <c r="H13848" t="s">
        <v>75</v>
      </c>
      <c r="I13848">
        <v>35011.298999999999</v>
      </c>
      <c r="J13848" t="s">
        <v>76</v>
      </c>
      <c r="K13848" t="s">
        <v>82</v>
      </c>
      <c r="L13848">
        <v>28.562207900000001</v>
      </c>
    </row>
    <row r="13849" spans="1:12" x14ac:dyDescent="0.3">
      <c r="A13849" t="s">
        <v>496</v>
      </c>
      <c r="B13849" t="s">
        <v>83</v>
      </c>
      <c r="C13849">
        <v>756</v>
      </c>
      <c r="D13849" t="s">
        <v>81</v>
      </c>
      <c r="E13849">
        <v>2.5439E-2</v>
      </c>
      <c r="F13849" t="s">
        <v>74</v>
      </c>
      <c r="G13849">
        <v>25.438849999999999</v>
      </c>
      <c r="H13849" t="s">
        <v>75</v>
      </c>
      <c r="I13849">
        <v>25438.850999999999</v>
      </c>
      <c r="J13849" t="s">
        <v>76</v>
      </c>
      <c r="K13849" t="s">
        <v>82</v>
      </c>
      <c r="L13849">
        <v>39.309951300000002</v>
      </c>
    </row>
    <row r="13850" spans="1:12" x14ac:dyDescent="0.3">
      <c r="A13850" t="s">
        <v>496</v>
      </c>
      <c r="B13850" t="s">
        <v>84</v>
      </c>
      <c r="C13850">
        <v>757</v>
      </c>
      <c r="D13850" t="s">
        <v>81</v>
      </c>
      <c r="E13850">
        <v>2.5451000000000001E-2</v>
      </c>
      <c r="F13850" t="s">
        <v>74</v>
      </c>
      <c r="G13850">
        <v>25.451499999999999</v>
      </c>
      <c r="H13850" t="s">
        <v>75</v>
      </c>
      <c r="I13850">
        <v>25451.495999999999</v>
      </c>
      <c r="J13850" t="s">
        <v>76</v>
      </c>
      <c r="K13850" t="s">
        <v>82</v>
      </c>
      <c r="L13850">
        <v>39.290420699999999</v>
      </c>
    </row>
    <row r="13851" spans="1:12" x14ac:dyDescent="0.3">
      <c r="A13851" t="s">
        <v>497</v>
      </c>
      <c r="B13851" t="s">
        <v>72</v>
      </c>
      <c r="C13851">
        <v>1</v>
      </c>
      <c r="D13851" t="s">
        <v>81</v>
      </c>
      <c r="E13851">
        <v>0.116399</v>
      </c>
      <c r="F13851" t="s">
        <v>74</v>
      </c>
      <c r="G13851">
        <v>116.3994</v>
      </c>
      <c r="H13851" t="s">
        <v>75</v>
      </c>
      <c r="I13851">
        <v>116399.4</v>
      </c>
      <c r="J13851" t="s">
        <v>76</v>
      </c>
      <c r="K13851" t="s">
        <v>82</v>
      </c>
      <c r="L13851">
        <v>8.5911095999999993</v>
      </c>
    </row>
    <row r="13852" spans="1:12" x14ac:dyDescent="0.3">
      <c r="A13852" t="s">
        <v>497</v>
      </c>
      <c r="B13852" t="s">
        <v>83</v>
      </c>
      <c r="C13852">
        <v>243</v>
      </c>
      <c r="D13852" t="s">
        <v>81</v>
      </c>
      <c r="E13852">
        <v>7.4921000000000001E-2</v>
      </c>
      <c r="F13852" t="s">
        <v>74</v>
      </c>
      <c r="G13852">
        <v>74.920509999999993</v>
      </c>
      <c r="H13852" t="s">
        <v>75</v>
      </c>
      <c r="I13852">
        <v>74920.513000000006</v>
      </c>
      <c r="J13852" t="s">
        <v>76</v>
      </c>
      <c r="K13852" t="s">
        <v>82</v>
      </c>
      <c r="L13852">
        <v>13.3474793</v>
      </c>
    </row>
    <row r="13853" spans="1:12" x14ac:dyDescent="0.3">
      <c r="A13853" t="s">
        <v>497</v>
      </c>
      <c r="B13853" t="s">
        <v>84</v>
      </c>
      <c r="C13853">
        <v>244</v>
      </c>
      <c r="D13853" t="s">
        <v>81</v>
      </c>
      <c r="E13853">
        <v>7.5091000000000005E-2</v>
      </c>
      <c r="F13853" t="s">
        <v>74</v>
      </c>
      <c r="G13853">
        <v>75.090509999999995</v>
      </c>
      <c r="H13853" t="s">
        <v>75</v>
      </c>
      <c r="I13853">
        <v>75090.509999999995</v>
      </c>
      <c r="J13853" t="s">
        <v>76</v>
      </c>
      <c r="K13853" t="s">
        <v>82</v>
      </c>
      <c r="L13853">
        <v>13.317262100000001</v>
      </c>
    </row>
    <row r="13854" spans="1:12" x14ac:dyDescent="0.3">
      <c r="A13854" t="s">
        <v>498</v>
      </c>
      <c r="B13854" t="s">
        <v>72</v>
      </c>
      <c r="C13854">
        <v>2</v>
      </c>
      <c r="D13854" t="s">
        <v>86</v>
      </c>
      <c r="E13854">
        <v>5.8202999999999998E-2</v>
      </c>
      <c r="F13854" t="s">
        <v>74</v>
      </c>
      <c r="G13854">
        <v>58.20335</v>
      </c>
      <c r="H13854" t="s">
        <v>75</v>
      </c>
      <c r="I13854">
        <v>58203.351000000002</v>
      </c>
      <c r="J13854" t="s">
        <v>76</v>
      </c>
      <c r="K13854" t="s">
        <v>82</v>
      </c>
      <c r="L13854">
        <v>17.181141400000001</v>
      </c>
    </row>
    <row r="13855" spans="1:12" x14ac:dyDescent="0.3">
      <c r="A13855" t="s">
        <v>498</v>
      </c>
      <c r="B13855" t="s">
        <v>83</v>
      </c>
      <c r="C13855">
        <v>999</v>
      </c>
      <c r="D13855" t="s">
        <v>86</v>
      </c>
      <c r="E13855">
        <v>1.9264E-2</v>
      </c>
      <c r="F13855" t="s">
        <v>74</v>
      </c>
      <c r="G13855">
        <v>19.26436</v>
      </c>
      <c r="H13855" t="s">
        <v>75</v>
      </c>
      <c r="I13855">
        <v>19264.359</v>
      </c>
      <c r="J13855" t="s">
        <v>76</v>
      </c>
      <c r="K13855" t="s">
        <v>82</v>
      </c>
      <c r="L13855">
        <v>51.909332599999999</v>
      </c>
    </row>
    <row r="13856" spans="1:12" x14ac:dyDescent="0.3">
      <c r="A13856" t="s">
        <v>498</v>
      </c>
      <c r="B13856" t="s">
        <v>85</v>
      </c>
      <c r="C13856">
        <v>1001</v>
      </c>
      <c r="D13856" t="s">
        <v>86</v>
      </c>
      <c r="E13856">
        <v>1.9262000000000001E-2</v>
      </c>
      <c r="F13856" t="s">
        <v>74</v>
      </c>
      <c r="G13856">
        <v>19.2624</v>
      </c>
      <c r="H13856" t="s">
        <v>75</v>
      </c>
      <c r="I13856">
        <v>19262.396000000001</v>
      </c>
      <c r="J13856" t="s">
        <v>76</v>
      </c>
      <c r="K13856" t="s">
        <v>82</v>
      </c>
      <c r="L13856">
        <v>51.914622199999997</v>
      </c>
    </row>
    <row r="13858" spans="1:1" x14ac:dyDescent="0.3">
      <c r="A13858" t="s">
        <v>66</v>
      </c>
    </row>
    <row r="13860" spans="1:1" x14ac:dyDescent="0.3">
      <c r="A13860" t="s">
        <v>577</v>
      </c>
    </row>
    <row r="13861" spans="1:1" x14ac:dyDescent="0.3">
      <c r="A13861" t="s">
        <v>68</v>
      </c>
    </row>
    <row r="13862" spans="1:1" x14ac:dyDescent="0.3">
      <c r="A13862" t="s">
        <v>69</v>
      </c>
    </row>
    <row r="13863" spans="1:1" x14ac:dyDescent="0.3">
      <c r="A13863" t="s">
        <v>68</v>
      </c>
    </row>
    <row r="13864" spans="1:1" x14ac:dyDescent="0.3">
      <c r="A13864" t="s">
        <v>69</v>
      </c>
    </row>
    <row r="13865" spans="1:1" x14ac:dyDescent="0.3">
      <c r="A13865" t="s">
        <v>70</v>
      </c>
    </row>
    <row r="13866" spans="1:1" x14ac:dyDescent="0.3">
      <c r="A13866" t="s">
        <v>115</v>
      </c>
    </row>
    <row r="13867" spans="1:1" x14ac:dyDescent="0.3">
      <c r="A13867" t="s">
        <v>116</v>
      </c>
    </row>
    <row r="13868" spans="1:1" x14ac:dyDescent="0.3">
      <c r="A13868" t="s">
        <v>117</v>
      </c>
    </row>
    <row r="13869" spans="1:1" x14ac:dyDescent="0.3">
      <c r="A13869" t="s">
        <v>118</v>
      </c>
    </row>
    <row r="13870" spans="1:1" x14ac:dyDescent="0.3">
      <c r="A13870" t="s">
        <v>119</v>
      </c>
    </row>
    <row r="13871" spans="1:1" x14ac:dyDescent="0.3">
      <c r="A13871" t="s">
        <v>120</v>
      </c>
    </row>
    <row r="13872" spans="1:1" x14ac:dyDescent="0.3">
      <c r="A13872" t="s">
        <v>121</v>
      </c>
    </row>
    <row r="13873" spans="1:1" x14ac:dyDescent="0.3">
      <c r="A13873" t="s">
        <v>122</v>
      </c>
    </row>
    <row r="13874" spans="1:1" x14ac:dyDescent="0.3">
      <c r="A13874" t="s">
        <v>123</v>
      </c>
    </row>
    <row r="13875" spans="1:1" x14ac:dyDescent="0.3">
      <c r="A13875" t="s">
        <v>124</v>
      </c>
    </row>
    <row r="13876" spans="1:1" x14ac:dyDescent="0.3">
      <c r="A13876" t="s">
        <v>125</v>
      </c>
    </row>
    <row r="13877" spans="1:1" x14ac:dyDescent="0.3">
      <c r="A13877" t="s">
        <v>126</v>
      </c>
    </row>
    <row r="13878" spans="1:1" x14ac:dyDescent="0.3">
      <c r="A13878" t="s">
        <v>127</v>
      </c>
    </row>
    <row r="13879" spans="1:1" x14ac:dyDescent="0.3">
      <c r="A13879" t="s">
        <v>213</v>
      </c>
    </row>
    <row r="13880" spans="1:1" x14ac:dyDescent="0.3">
      <c r="A13880" t="s">
        <v>115</v>
      </c>
    </row>
    <row r="13881" spans="1:1" x14ac:dyDescent="0.3">
      <c r="A13881" t="s">
        <v>266</v>
      </c>
    </row>
    <row r="13882" spans="1:1" x14ac:dyDescent="0.3">
      <c r="A13882" t="s">
        <v>267</v>
      </c>
    </row>
    <row r="13883" spans="1:1" x14ac:dyDescent="0.3">
      <c r="A13883" t="s">
        <v>118</v>
      </c>
    </row>
    <row r="13884" spans="1:1" x14ac:dyDescent="0.3">
      <c r="A13884" t="s">
        <v>119</v>
      </c>
    </row>
    <row r="13885" spans="1:1" x14ac:dyDescent="0.3">
      <c r="A13885" t="s">
        <v>268</v>
      </c>
    </row>
    <row r="13886" spans="1:1" x14ac:dyDescent="0.3">
      <c r="A13886" t="s">
        <v>269</v>
      </c>
    </row>
    <row r="13887" spans="1:1" x14ac:dyDescent="0.3">
      <c r="A13887" t="s">
        <v>122</v>
      </c>
    </row>
    <row r="13888" spans="1:1" x14ac:dyDescent="0.3">
      <c r="A13888" t="s">
        <v>270</v>
      </c>
    </row>
    <row r="13889" spans="1:12" x14ac:dyDescent="0.3">
      <c r="A13889" t="s">
        <v>271</v>
      </c>
    </row>
    <row r="13890" spans="1:12" x14ac:dyDescent="0.3">
      <c r="A13890" t="s">
        <v>125</v>
      </c>
    </row>
    <row r="13891" spans="1:12" x14ac:dyDescent="0.3">
      <c r="A13891" t="s">
        <v>126</v>
      </c>
    </row>
    <row r="13892" spans="1:12" x14ac:dyDescent="0.3">
      <c r="A13892" t="s">
        <v>127</v>
      </c>
    </row>
    <row r="13893" spans="1:12" x14ac:dyDescent="0.3">
      <c r="A13893" t="s">
        <v>213</v>
      </c>
    </row>
    <row r="13894" spans="1:12" x14ac:dyDescent="0.3">
      <c r="A13894" t="s">
        <v>559</v>
      </c>
    </row>
    <row r="13895" spans="1:12" x14ac:dyDescent="0.3">
      <c r="A13895" t="s">
        <v>496</v>
      </c>
      <c r="B13895" t="s">
        <v>72</v>
      </c>
      <c r="C13895">
        <v>1</v>
      </c>
      <c r="D13895" t="s">
        <v>79</v>
      </c>
      <c r="E13895">
        <v>0.39105800000000002</v>
      </c>
      <c r="F13895" t="s">
        <v>74</v>
      </c>
      <c r="G13895">
        <v>391.05799999999999</v>
      </c>
      <c r="H13895" t="s">
        <v>75</v>
      </c>
      <c r="I13895">
        <v>391057.99800000002</v>
      </c>
      <c r="J13895" t="s">
        <v>76</v>
      </c>
      <c r="K13895" t="s">
        <v>77</v>
      </c>
    </row>
    <row r="13896" spans="1:12" x14ac:dyDescent="0.3">
      <c r="A13896" t="s">
        <v>496</v>
      </c>
      <c r="B13896" t="s">
        <v>72</v>
      </c>
      <c r="C13896">
        <v>1</v>
      </c>
      <c r="D13896" t="s">
        <v>94</v>
      </c>
      <c r="E13896">
        <v>5.2329999999999998E-3</v>
      </c>
      <c r="F13896" t="s">
        <v>74</v>
      </c>
      <c r="G13896">
        <v>5.2332999999999998</v>
      </c>
      <c r="H13896" t="s">
        <v>75</v>
      </c>
      <c r="I13896">
        <v>5233.3</v>
      </c>
      <c r="J13896" t="s">
        <v>76</v>
      </c>
      <c r="K13896" t="s">
        <v>77</v>
      </c>
    </row>
    <row r="13897" spans="1:12" x14ac:dyDescent="0.3">
      <c r="A13897" t="s">
        <v>496</v>
      </c>
      <c r="B13897" t="s">
        <v>72</v>
      </c>
      <c r="C13897">
        <v>1</v>
      </c>
      <c r="D13897" t="s">
        <v>80</v>
      </c>
      <c r="E13897">
        <v>5.2339999999999999E-3</v>
      </c>
      <c r="F13897" t="s">
        <v>74</v>
      </c>
      <c r="G13897">
        <v>5.2344999999999997</v>
      </c>
      <c r="H13897" t="s">
        <v>75</v>
      </c>
      <c r="I13897">
        <v>5234.5</v>
      </c>
      <c r="J13897" t="s">
        <v>76</v>
      </c>
      <c r="K13897" t="s">
        <v>77</v>
      </c>
    </row>
    <row r="13898" spans="1:12" x14ac:dyDescent="0.3">
      <c r="A13898" t="s">
        <v>496</v>
      </c>
      <c r="B13898" t="s">
        <v>72</v>
      </c>
      <c r="C13898">
        <v>1</v>
      </c>
      <c r="D13898" t="s">
        <v>81</v>
      </c>
      <c r="E13898">
        <v>0.39629300000000001</v>
      </c>
      <c r="F13898" t="s">
        <v>74</v>
      </c>
      <c r="G13898">
        <v>396.29318999999998</v>
      </c>
      <c r="H13898" t="s">
        <v>75</v>
      </c>
      <c r="I13898">
        <v>396293.19300000003</v>
      </c>
      <c r="J13898" t="s">
        <v>76</v>
      </c>
      <c r="K13898" t="s">
        <v>82</v>
      </c>
      <c r="L13898">
        <v>2.5233842000000002</v>
      </c>
    </row>
    <row r="13899" spans="1:12" x14ac:dyDescent="0.3">
      <c r="A13899" t="s">
        <v>496</v>
      </c>
      <c r="B13899" t="s">
        <v>83</v>
      </c>
      <c r="C13899">
        <v>941</v>
      </c>
      <c r="D13899" t="s">
        <v>79</v>
      </c>
      <c r="E13899">
        <v>0</v>
      </c>
      <c r="F13899" t="s">
        <v>74</v>
      </c>
      <c r="G13899">
        <v>2.3000000000000001E-4</v>
      </c>
      <c r="H13899" t="s">
        <v>75</v>
      </c>
      <c r="I13899">
        <v>0.23</v>
      </c>
      <c r="J13899" t="s">
        <v>76</v>
      </c>
      <c r="K13899" t="s">
        <v>77</v>
      </c>
    </row>
    <row r="13900" spans="1:12" x14ac:dyDescent="0.3">
      <c r="A13900" t="s">
        <v>496</v>
      </c>
      <c r="B13900" t="s">
        <v>83</v>
      </c>
      <c r="C13900">
        <v>941</v>
      </c>
      <c r="D13900" t="s">
        <v>94</v>
      </c>
      <c r="E13900">
        <v>8.5999999999999998E-4</v>
      </c>
      <c r="F13900" t="s">
        <v>74</v>
      </c>
      <c r="G13900">
        <v>0.85963999999999996</v>
      </c>
      <c r="H13900" t="s">
        <v>75</v>
      </c>
      <c r="I13900">
        <v>859.63599999999997</v>
      </c>
      <c r="J13900" t="s">
        <v>76</v>
      </c>
      <c r="K13900" t="s">
        <v>77</v>
      </c>
    </row>
    <row r="13901" spans="1:12" x14ac:dyDescent="0.3">
      <c r="A13901" t="s">
        <v>496</v>
      </c>
      <c r="B13901" t="s">
        <v>83</v>
      </c>
      <c r="C13901">
        <v>941</v>
      </c>
      <c r="D13901" t="s">
        <v>80</v>
      </c>
      <c r="E13901">
        <v>8.5999999999999998E-4</v>
      </c>
      <c r="F13901" t="s">
        <v>74</v>
      </c>
      <c r="G13901">
        <v>0.86036999999999997</v>
      </c>
      <c r="H13901" t="s">
        <v>75</v>
      </c>
      <c r="I13901">
        <v>860.36900000000003</v>
      </c>
      <c r="J13901" t="s">
        <v>76</v>
      </c>
      <c r="K13901" t="s">
        <v>77</v>
      </c>
    </row>
    <row r="13902" spans="1:12" x14ac:dyDescent="0.3">
      <c r="A13902" t="s">
        <v>496</v>
      </c>
      <c r="B13902" t="s">
        <v>83</v>
      </c>
      <c r="C13902">
        <v>941</v>
      </c>
      <c r="D13902" t="s">
        <v>81</v>
      </c>
      <c r="E13902">
        <v>8.61E-4</v>
      </c>
      <c r="F13902" t="s">
        <v>74</v>
      </c>
      <c r="G13902">
        <v>0.86075999999999997</v>
      </c>
      <c r="H13902" t="s">
        <v>75</v>
      </c>
      <c r="I13902">
        <v>860.76</v>
      </c>
      <c r="J13902" t="s">
        <v>76</v>
      </c>
      <c r="K13902" t="s">
        <v>82</v>
      </c>
      <c r="L13902">
        <v>1161.7635278</v>
      </c>
    </row>
    <row r="13903" spans="1:12" x14ac:dyDescent="0.3">
      <c r="A13903" t="s">
        <v>496</v>
      </c>
      <c r="B13903" t="s">
        <v>84</v>
      </c>
      <c r="C13903">
        <v>942</v>
      </c>
      <c r="D13903" t="s">
        <v>79</v>
      </c>
      <c r="E13903">
        <v>4.15E-4</v>
      </c>
      <c r="F13903" t="s">
        <v>74</v>
      </c>
      <c r="G13903">
        <v>0.41536000000000001</v>
      </c>
      <c r="H13903" t="s">
        <v>75</v>
      </c>
      <c r="I13903">
        <v>415.36500000000001</v>
      </c>
      <c r="J13903" t="s">
        <v>76</v>
      </c>
      <c r="K13903" t="s">
        <v>77</v>
      </c>
    </row>
    <row r="13904" spans="1:12" x14ac:dyDescent="0.3">
      <c r="A13904" t="s">
        <v>496</v>
      </c>
      <c r="B13904" t="s">
        <v>84</v>
      </c>
      <c r="C13904">
        <v>942</v>
      </c>
      <c r="D13904" t="s">
        <v>94</v>
      </c>
      <c r="E13904">
        <v>8.6399999999999997E-4</v>
      </c>
      <c r="F13904" t="s">
        <v>74</v>
      </c>
      <c r="G13904">
        <v>0.86428000000000005</v>
      </c>
      <c r="H13904" t="s">
        <v>75</v>
      </c>
      <c r="I13904">
        <v>864.279</v>
      </c>
      <c r="J13904" t="s">
        <v>76</v>
      </c>
      <c r="K13904" t="s">
        <v>77</v>
      </c>
    </row>
    <row r="13905" spans="1:12" x14ac:dyDescent="0.3">
      <c r="A13905" t="s">
        <v>496</v>
      </c>
      <c r="B13905" t="s">
        <v>84</v>
      </c>
      <c r="C13905">
        <v>942</v>
      </c>
      <c r="D13905" t="s">
        <v>80</v>
      </c>
      <c r="E13905">
        <v>8.6499999999999999E-4</v>
      </c>
      <c r="F13905" t="s">
        <v>74</v>
      </c>
      <c r="G13905">
        <v>0.86500999999999995</v>
      </c>
      <c r="H13905" t="s">
        <v>75</v>
      </c>
      <c r="I13905">
        <v>865.01300000000003</v>
      </c>
      <c r="J13905" t="s">
        <v>76</v>
      </c>
      <c r="K13905" t="s">
        <v>77</v>
      </c>
    </row>
    <row r="13906" spans="1:12" x14ac:dyDescent="0.3">
      <c r="A13906" t="s">
        <v>496</v>
      </c>
      <c r="B13906" t="s">
        <v>84</v>
      </c>
      <c r="C13906">
        <v>942</v>
      </c>
      <c r="D13906" t="s">
        <v>81</v>
      </c>
      <c r="E13906">
        <v>1.281E-3</v>
      </c>
      <c r="F13906" t="s">
        <v>74</v>
      </c>
      <c r="G13906">
        <v>1.28054</v>
      </c>
      <c r="H13906" t="s">
        <v>75</v>
      </c>
      <c r="I13906">
        <v>1280.54</v>
      </c>
      <c r="J13906" t="s">
        <v>76</v>
      </c>
      <c r="K13906" t="s">
        <v>82</v>
      </c>
      <c r="L13906">
        <v>780.92047960000002</v>
      </c>
    </row>
    <row r="13907" spans="1:12" x14ac:dyDescent="0.3">
      <c r="A13907" t="s">
        <v>497</v>
      </c>
      <c r="B13907" t="s">
        <v>72</v>
      </c>
      <c r="C13907">
        <v>1</v>
      </c>
      <c r="D13907" t="s">
        <v>79</v>
      </c>
      <c r="E13907">
        <v>0.14704200000000001</v>
      </c>
      <c r="F13907" t="s">
        <v>74</v>
      </c>
      <c r="G13907">
        <v>147.04249999999999</v>
      </c>
      <c r="H13907" t="s">
        <v>75</v>
      </c>
      <c r="I13907">
        <v>147042.49799999999</v>
      </c>
      <c r="J13907" t="s">
        <v>76</v>
      </c>
      <c r="K13907" t="s">
        <v>77</v>
      </c>
    </row>
    <row r="13908" spans="1:12" x14ac:dyDescent="0.3">
      <c r="A13908" t="s">
        <v>497</v>
      </c>
      <c r="B13908" t="s">
        <v>72</v>
      </c>
      <c r="C13908">
        <v>1</v>
      </c>
      <c r="D13908" t="s">
        <v>94</v>
      </c>
      <c r="E13908">
        <v>1.8100999999999999E-2</v>
      </c>
      <c r="F13908" t="s">
        <v>74</v>
      </c>
      <c r="G13908">
        <v>18.100999999999999</v>
      </c>
      <c r="H13908" t="s">
        <v>75</v>
      </c>
      <c r="I13908">
        <v>18100.999</v>
      </c>
      <c r="J13908" t="s">
        <v>76</v>
      </c>
      <c r="K13908" t="s">
        <v>77</v>
      </c>
    </row>
    <row r="13909" spans="1:12" x14ac:dyDescent="0.3">
      <c r="A13909" t="s">
        <v>497</v>
      </c>
      <c r="B13909" t="s">
        <v>72</v>
      </c>
      <c r="C13909">
        <v>1</v>
      </c>
      <c r="D13909" t="s">
        <v>80</v>
      </c>
      <c r="E13909">
        <v>1.8102E-2</v>
      </c>
      <c r="F13909" t="s">
        <v>74</v>
      </c>
      <c r="G13909">
        <v>18.1021</v>
      </c>
      <c r="H13909" t="s">
        <v>75</v>
      </c>
      <c r="I13909">
        <v>18102.099999999999</v>
      </c>
      <c r="J13909" t="s">
        <v>76</v>
      </c>
      <c r="K13909" t="s">
        <v>77</v>
      </c>
    </row>
    <row r="13910" spans="1:12" x14ac:dyDescent="0.3">
      <c r="A13910" t="s">
        <v>497</v>
      </c>
      <c r="B13910" t="s">
        <v>72</v>
      </c>
      <c r="C13910">
        <v>1</v>
      </c>
      <c r="D13910" t="s">
        <v>81</v>
      </c>
      <c r="E13910">
        <v>0.16514499999999999</v>
      </c>
      <c r="F13910" t="s">
        <v>74</v>
      </c>
      <c r="G13910">
        <v>165.14519999999999</v>
      </c>
      <c r="H13910" t="s">
        <v>75</v>
      </c>
      <c r="I13910">
        <v>165145.20300000001</v>
      </c>
      <c r="J13910" t="s">
        <v>76</v>
      </c>
      <c r="K13910" t="s">
        <v>82</v>
      </c>
      <c r="L13910">
        <v>6.0552773000000002</v>
      </c>
    </row>
    <row r="13911" spans="1:12" x14ac:dyDescent="0.3">
      <c r="A13911" t="s">
        <v>497</v>
      </c>
      <c r="B13911" t="s">
        <v>83</v>
      </c>
      <c r="C13911">
        <v>58</v>
      </c>
      <c r="D13911" t="s">
        <v>79</v>
      </c>
      <c r="E13911">
        <v>0</v>
      </c>
      <c r="F13911" t="s">
        <v>74</v>
      </c>
      <c r="G13911">
        <v>3.6000000000000002E-4</v>
      </c>
      <c r="H13911" t="s">
        <v>75</v>
      </c>
      <c r="I13911">
        <v>0.36199999999999999</v>
      </c>
      <c r="J13911" t="s">
        <v>76</v>
      </c>
      <c r="K13911" t="s">
        <v>77</v>
      </c>
    </row>
    <row r="13912" spans="1:12" x14ac:dyDescent="0.3">
      <c r="A13912" t="s">
        <v>497</v>
      </c>
      <c r="B13912" t="s">
        <v>83</v>
      </c>
      <c r="C13912">
        <v>58</v>
      </c>
      <c r="D13912" t="s">
        <v>94</v>
      </c>
      <c r="E13912">
        <v>1.8284000000000002E-2</v>
      </c>
      <c r="F13912" t="s">
        <v>74</v>
      </c>
      <c r="G13912">
        <v>18.283609999999999</v>
      </c>
      <c r="H13912" t="s">
        <v>75</v>
      </c>
      <c r="I13912">
        <v>18283.614000000001</v>
      </c>
      <c r="J13912" t="s">
        <v>76</v>
      </c>
      <c r="K13912" t="s">
        <v>77</v>
      </c>
    </row>
    <row r="13913" spans="1:12" x14ac:dyDescent="0.3">
      <c r="A13913" t="s">
        <v>497</v>
      </c>
      <c r="B13913" t="s">
        <v>83</v>
      </c>
      <c r="C13913">
        <v>58</v>
      </c>
      <c r="D13913" t="s">
        <v>80</v>
      </c>
      <c r="E13913">
        <v>1.8284999999999999E-2</v>
      </c>
      <c r="F13913" t="s">
        <v>74</v>
      </c>
      <c r="G13913">
        <v>18.284690000000001</v>
      </c>
      <c r="H13913" t="s">
        <v>75</v>
      </c>
      <c r="I13913">
        <v>18284.695</v>
      </c>
      <c r="J13913" t="s">
        <v>76</v>
      </c>
      <c r="K13913" t="s">
        <v>77</v>
      </c>
    </row>
    <row r="13914" spans="1:12" x14ac:dyDescent="0.3">
      <c r="A13914" t="s">
        <v>497</v>
      </c>
      <c r="B13914" t="s">
        <v>83</v>
      </c>
      <c r="C13914">
        <v>58</v>
      </c>
      <c r="D13914" t="s">
        <v>81</v>
      </c>
      <c r="E13914">
        <v>1.8284999999999999E-2</v>
      </c>
      <c r="F13914" t="s">
        <v>74</v>
      </c>
      <c r="G13914">
        <v>18.28528</v>
      </c>
      <c r="H13914" t="s">
        <v>75</v>
      </c>
      <c r="I13914">
        <v>18285.278999999999</v>
      </c>
      <c r="J13914" t="s">
        <v>76</v>
      </c>
      <c r="K13914" t="s">
        <v>82</v>
      </c>
      <c r="L13914">
        <v>54.688803</v>
      </c>
    </row>
    <row r="13915" spans="1:12" x14ac:dyDescent="0.3">
      <c r="A13915" t="s">
        <v>497</v>
      </c>
      <c r="B13915" t="s">
        <v>84</v>
      </c>
      <c r="C13915">
        <v>59</v>
      </c>
      <c r="D13915" t="s">
        <v>79</v>
      </c>
      <c r="E13915">
        <v>2.493E-3</v>
      </c>
      <c r="F13915" t="s">
        <v>74</v>
      </c>
      <c r="G13915">
        <v>2.4925999999999999</v>
      </c>
      <c r="H13915" t="s">
        <v>75</v>
      </c>
      <c r="I13915">
        <v>2492.6019999999999</v>
      </c>
      <c r="J13915" t="s">
        <v>76</v>
      </c>
      <c r="K13915" t="s">
        <v>77</v>
      </c>
    </row>
    <row r="13916" spans="1:12" x14ac:dyDescent="0.3">
      <c r="A13916" t="s">
        <v>497</v>
      </c>
      <c r="B13916" t="s">
        <v>84</v>
      </c>
      <c r="C13916">
        <v>59</v>
      </c>
      <c r="D13916" t="s">
        <v>94</v>
      </c>
      <c r="E13916">
        <v>1.8280999999999999E-2</v>
      </c>
      <c r="F13916" t="s">
        <v>74</v>
      </c>
      <c r="G13916">
        <v>18.280519999999999</v>
      </c>
      <c r="H13916" t="s">
        <v>75</v>
      </c>
      <c r="I13916">
        <v>18280.518</v>
      </c>
      <c r="J13916" t="s">
        <v>76</v>
      </c>
      <c r="K13916" t="s">
        <v>77</v>
      </c>
    </row>
    <row r="13917" spans="1:12" x14ac:dyDescent="0.3">
      <c r="A13917" t="s">
        <v>497</v>
      </c>
      <c r="B13917" t="s">
        <v>84</v>
      </c>
      <c r="C13917">
        <v>59</v>
      </c>
      <c r="D13917" t="s">
        <v>80</v>
      </c>
      <c r="E13917">
        <v>1.8282E-2</v>
      </c>
      <c r="F13917" t="s">
        <v>74</v>
      </c>
      <c r="G13917">
        <v>18.281600000000001</v>
      </c>
      <c r="H13917" t="s">
        <v>75</v>
      </c>
      <c r="I13917">
        <v>18281.600999999999</v>
      </c>
      <c r="J13917" t="s">
        <v>76</v>
      </c>
      <c r="K13917" t="s">
        <v>77</v>
      </c>
    </row>
    <row r="13918" spans="1:12" x14ac:dyDescent="0.3">
      <c r="A13918" t="s">
        <v>497</v>
      </c>
      <c r="B13918" t="s">
        <v>84</v>
      </c>
      <c r="C13918">
        <v>59</v>
      </c>
      <c r="D13918" t="s">
        <v>81</v>
      </c>
      <c r="E13918">
        <v>2.0774000000000001E-2</v>
      </c>
      <c r="F13918" t="s">
        <v>74</v>
      </c>
      <c r="G13918">
        <v>20.774429999999999</v>
      </c>
      <c r="H13918" t="s">
        <v>75</v>
      </c>
      <c r="I13918">
        <v>20774.429</v>
      </c>
      <c r="J13918" t="s">
        <v>76</v>
      </c>
      <c r="K13918" t="s">
        <v>82</v>
      </c>
      <c r="L13918">
        <v>48.1361001</v>
      </c>
    </row>
    <row r="13919" spans="1:12" x14ac:dyDescent="0.3">
      <c r="A13919" t="s">
        <v>498</v>
      </c>
      <c r="B13919" t="s">
        <v>72</v>
      </c>
      <c r="C13919">
        <v>1</v>
      </c>
      <c r="D13919" t="s">
        <v>73</v>
      </c>
      <c r="E13919">
        <v>6.7000000000000002E-5</v>
      </c>
      <c r="F13919" t="s">
        <v>74</v>
      </c>
      <c r="G13919">
        <v>6.7400000000000002E-2</v>
      </c>
      <c r="H13919" t="s">
        <v>75</v>
      </c>
      <c r="I13919">
        <v>67.400000000000006</v>
      </c>
      <c r="J13919" t="s">
        <v>76</v>
      </c>
      <c r="K13919" t="s">
        <v>77</v>
      </c>
    </row>
    <row r="13920" spans="1:12" x14ac:dyDescent="0.3">
      <c r="A13920" t="s">
        <v>498</v>
      </c>
      <c r="B13920" t="s">
        <v>72</v>
      </c>
      <c r="C13920">
        <v>1</v>
      </c>
      <c r="D13920" t="s">
        <v>78</v>
      </c>
      <c r="E13920">
        <v>0.12723400000000001</v>
      </c>
      <c r="F13920" t="s">
        <v>74</v>
      </c>
      <c r="G13920">
        <v>127.2338</v>
      </c>
      <c r="H13920" t="s">
        <v>75</v>
      </c>
      <c r="I13920">
        <v>127233.803</v>
      </c>
      <c r="J13920" t="s">
        <v>76</v>
      </c>
      <c r="K13920" t="s">
        <v>77</v>
      </c>
    </row>
    <row r="13921" spans="1:12" x14ac:dyDescent="0.3">
      <c r="A13921" t="s">
        <v>498</v>
      </c>
      <c r="B13921" t="s">
        <v>72</v>
      </c>
      <c r="C13921">
        <v>2</v>
      </c>
      <c r="D13921" t="s">
        <v>86</v>
      </c>
      <c r="E13921">
        <v>0.19817499999999999</v>
      </c>
      <c r="F13921" t="s">
        <v>74</v>
      </c>
      <c r="G13921">
        <v>198.17495</v>
      </c>
      <c r="H13921" t="s">
        <v>75</v>
      </c>
      <c r="I13921">
        <v>198174.95300000001</v>
      </c>
      <c r="J13921" t="s">
        <v>76</v>
      </c>
      <c r="K13921" t="s">
        <v>82</v>
      </c>
      <c r="L13921">
        <v>5.0460463000000004</v>
      </c>
    </row>
    <row r="13922" spans="1:12" x14ac:dyDescent="0.3">
      <c r="A13922" t="s">
        <v>498</v>
      </c>
      <c r="B13922" t="s">
        <v>83</v>
      </c>
      <c r="C13922">
        <v>999</v>
      </c>
      <c r="D13922" t="s">
        <v>86</v>
      </c>
      <c r="E13922">
        <v>1.047E-3</v>
      </c>
      <c r="F13922" t="s">
        <v>74</v>
      </c>
      <c r="G13922">
        <v>1.04722</v>
      </c>
      <c r="H13922" t="s">
        <v>75</v>
      </c>
      <c r="I13922">
        <v>1047.2190000000001</v>
      </c>
      <c r="J13922" t="s">
        <v>76</v>
      </c>
      <c r="K13922" t="s">
        <v>82</v>
      </c>
      <c r="L13922">
        <v>954.91042330000005</v>
      </c>
    </row>
    <row r="13923" spans="1:12" x14ac:dyDescent="0.3">
      <c r="A13923" t="s">
        <v>498</v>
      </c>
      <c r="B13923" t="s">
        <v>85</v>
      </c>
      <c r="C13923">
        <v>1001</v>
      </c>
      <c r="D13923" t="s">
        <v>86</v>
      </c>
      <c r="E13923">
        <v>1.2279999999999999E-3</v>
      </c>
      <c r="F13923" t="s">
        <v>74</v>
      </c>
      <c r="G13923">
        <v>1.2278899999999999</v>
      </c>
      <c r="H13923" t="s">
        <v>75</v>
      </c>
      <c r="I13923">
        <v>1227.886</v>
      </c>
      <c r="J13923" t="s">
        <v>76</v>
      </c>
      <c r="K13923" t="s">
        <v>82</v>
      </c>
      <c r="L13923">
        <v>814.40813470000001</v>
      </c>
    </row>
    <row r="13924" spans="1:12" x14ac:dyDescent="0.3">
      <c r="A13924" t="s">
        <v>215</v>
      </c>
    </row>
    <row r="13925" spans="1:12" x14ac:dyDescent="0.3">
      <c r="A13925" t="s">
        <v>215</v>
      </c>
    </row>
    <row r="13926" spans="1:12" x14ac:dyDescent="0.3">
      <c r="A13926" t="s">
        <v>560</v>
      </c>
    </row>
    <row r="13927" spans="1:12" x14ac:dyDescent="0.3">
      <c r="A13927" t="s">
        <v>496</v>
      </c>
      <c r="B13927" t="s">
        <v>72</v>
      </c>
      <c r="C13927">
        <v>1</v>
      </c>
      <c r="D13927" t="s">
        <v>79</v>
      </c>
      <c r="E13927">
        <v>6.9290000000000003E-3</v>
      </c>
      <c r="F13927" t="s">
        <v>74</v>
      </c>
      <c r="G13927">
        <v>6.9294000000000002</v>
      </c>
      <c r="H13927" t="s">
        <v>75</v>
      </c>
      <c r="I13927">
        <v>6929.4</v>
      </c>
      <c r="J13927" t="s">
        <v>76</v>
      </c>
      <c r="K13927" t="s">
        <v>77</v>
      </c>
    </row>
    <row r="13928" spans="1:12" x14ac:dyDescent="0.3">
      <c r="A13928" t="s">
        <v>496</v>
      </c>
      <c r="B13928" t="s">
        <v>72</v>
      </c>
      <c r="C13928">
        <v>1</v>
      </c>
      <c r="D13928" t="s">
        <v>94</v>
      </c>
      <c r="E13928">
        <v>5.7159999999999997E-3</v>
      </c>
      <c r="F13928" t="s">
        <v>74</v>
      </c>
      <c r="G13928">
        <v>5.7160000000000002</v>
      </c>
      <c r="H13928" t="s">
        <v>75</v>
      </c>
      <c r="I13928">
        <v>5716</v>
      </c>
      <c r="J13928" t="s">
        <v>76</v>
      </c>
      <c r="K13928" t="s">
        <v>77</v>
      </c>
    </row>
    <row r="13929" spans="1:12" x14ac:dyDescent="0.3">
      <c r="A13929" t="s">
        <v>496</v>
      </c>
      <c r="B13929" t="s">
        <v>72</v>
      </c>
      <c r="C13929">
        <v>1</v>
      </c>
      <c r="D13929" t="s">
        <v>80</v>
      </c>
      <c r="E13929">
        <v>5.718E-3</v>
      </c>
      <c r="F13929" t="s">
        <v>74</v>
      </c>
      <c r="G13929">
        <v>5.7176</v>
      </c>
      <c r="H13929" t="s">
        <v>75</v>
      </c>
      <c r="I13929">
        <v>5717.6</v>
      </c>
      <c r="J13929" t="s">
        <v>76</v>
      </c>
      <c r="K13929" t="s">
        <v>77</v>
      </c>
    </row>
    <row r="13930" spans="1:12" x14ac:dyDescent="0.3">
      <c r="A13930" t="s">
        <v>496</v>
      </c>
      <c r="B13930" t="s">
        <v>72</v>
      </c>
      <c r="C13930">
        <v>1</v>
      </c>
      <c r="D13930" t="s">
        <v>81</v>
      </c>
      <c r="E13930">
        <v>1.2647E-2</v>
      </c>
      <c r="F13930" t="s">
        <v>74</v>
      </c>
      <c r="G13930">
        <v>12.6472</v>
      </c>
      <c r="H13930" t="s">
        <v>75</v>
      </c>
      <c r="I13930">
        <v>12647.2</v>
      </c>
      <c r="J13930" t="s">
        <v>76</v>
      </c>
      <c r="K13930" t="s">
        <v>82</v>
      </c>
      <c r="L13930">
        <v>79.068882500000001</v>
      </c>
    </row>
    <row r="13931" spans="1:12" x14ac:dyDescent="0.3">
      <c r="A13931" t="s">
        <v>496</v>
      </c>
      <c r="B13931" t="s">
        <v>83</v>
      </c>
      <c r="C13931">
        <v>932</v>
      </c>
      <c r="D13931" t="s">
        <v>79</v>
      </c>
      <c r="E13931">
        <v>9.9999999999999995E-7</v>
      </c>
      <c r="F13931" t="s">
        <v>74</v>
      </c>
      <c r="G13931">
        <v>7.3999999999999999E-4</v>
      </c>
      <c r="H13931" t="s">
        <v>75</v>
      </c>
      <c r="I13931">
        <v>0.74199999999999999</v>
      </c>
      <c r="J13931" t="s">
        <v>76</v>
      </c>
      <c r="K13931" t="s">
        <v>77</v>
      </c>
    </row>
    <row r="13932" spans="1:12" x14ac:dyDescent="0.3">
      <c r="A13932" t="s">
        <v>496</v>
      </c>
      <c r="B13932" t="s">
        <v>83</v>
      </c>
      <c r="C13932">
        <v>932</v>
      </c>
      <c r="D13932" t="s">
        <v>94</v>
      </c>
      <c r="E13932">
        <v>2.0409999999999998E-3</v>
      </c>
      <c r="F13932" t="s">
        <v>74</v>
      </c>
      <c r="G13932">
        <v>2.04114</v>
      </c>
      <c r="H13932" t="s">
        <v>75</v>
      </c>
      <c r="I13932">
        <v>2041.135</v>
      </c>
      <c r="J13932" t="s">
        <v>76</v>
      </c>
      <c r="K13932" t="s">
        <v>77</v>
      </c>
    </row>
    <row r="13933" spans="1:12" x14ac:dyDescent="0.3">
      <c r="A13933" t="s">
        <v>496</v>
      </c>
      <c r="B13933" t="s">
        <v>83</v>
      </c>
      <c r="C13933">
        <v>932</v>
      </c>
      <c r="D13933" t="s">
        <v>80</v>
      </c>
      <c r="E13933">
        <v>2.3219999999999998E-3</v>
      </c>
      <c r="F13933" t="s">
        <v>74</v>
      </c>
      <c r="G13933">
        <v>2.32192</v>
      </c>
      <c r="H13933" t="s">
        <v>75</v>
      </c>
      <c r="I13933">
        <v>2321.9169999999999</v>
      </c>
      <c r="J13933" t="s">
        <v>76</v>
      </c>
      <c r="K13933" t="s">
        <v>77</v>
      </c>
    </row>
    <row r="13934" spans="1:12" x14ac:dyDescent="0.3">
      <c r="A13934" t="s">
        <v>496</v>
      </c>
      <c r="B13934" t="s">
        <v>83</v>
      </c>
      <c r="C13934">
        <v>932</v>
      </c>
      <c r="D13934" t="s">
        <v>81</v>
      </c>
      <c r="E13934">
        <v>2.323E-3</v>
      </c>
      <c r="F13934" t="s">
        <v>74</v>
      </c>
      <c r="G13934">
        <v>2.3229899999999999</v>
      </c>
      <c r="H13934" t="s">
        <v>75</v>
      </c>
      <c r="I13934">
        <v>2322.9879999999998</v>
      </c>
      <c r="J13934" t="s">
        <v>76</v>
      </c>
      <c r="K13934" t="s">
        <v>82</v>
      </c>
      <c r="L13934">
        <v>430.48001840000001</v>
      </c>
    </row>
    <row r="13935" spans="1:12" x14ac:dyDescent="0.3">
      <c r="A13935" t="s">
        <v>496</v>
      </c>
      <c r="B13935" t="s">
        <v>84</v>
      </c>
      <c r="C13935">
        <v>933</v>
      </c>
      <c r="D13935" t="s">
        <v>79</v>
      </c>
      <c r="E13935">
        <v>7.9999999999999996E-6</v>
      </c>
      <c r="F13935" t="s">
        <v>74</v>
      </c>
      <c r="G13935">
        <v>8.1700000000000002E-3</v>
      </c>
      <c r="H13935" t="s">
        <v>75</v>
      </c>
      <c r="I13935">
        <v>8.1679999999999993</v>
      </c>
      <c r="J13935" t="s">
        <v>76</v>
      </c>
      <c r="K13935" t="s">
        <v>77</v>
      </c>
    </row>
    <row r="13936" spans="1:12" x14ac:dyDescent="0.3">
      <c r="A13936" t="s">
        <v>496</v>
      </c>
      <c r="B13936" t="s">
        <v>84</v>
      </c>
      <c r="C13936">
        <v>933</v>
      </c>
      <c r="D13936" t="s">
        <v>94</v>
      </c>
      <c r="E13936">
        <v>2.0449999999999999E-3</v>
      </c>
      <c r="F13936" t="s">
        <v>74</v>
      </c>
      <c r="G13936">
        <v>2.0450699999999999</v>
      </c>
      <c r="H13936" t="s">
        <v>75</v>
      </c>
      <c r="I13936">
        <v>2045.0740000000001</v>
      </c>
      <c r="J13936" t="s">
        <v>76</v>
      </c>
      <c r="K13936" t="s">
        <v>77</v>
      </c>
    </row>
    <row r="13937" spans="1:12" x14ac:dyDescent="0.3">
      <c r="A13937" t="s">
        <v>496</v>
      </c>
      <c r="B13937" t="s">
        <v>84</v>
      </c>
      <c r="C13937">
        <v>933</v>
      </c>
      <c r="D13937" t="s">
        <v>80</v>
      </c>
      <c r="E13937">
        <v>2.3259999999999999E-3</v>
      </c>
      <c r="F13937" t="s">
        <v>74</v>
      </c>
      <c r="G13937">
        <v>2.3255599999999998</v>
      </c>
      <c r="H13937" t="s">
        <v>75</v>
      </c>
      <c r="I13937">
        <v>2325.5569999999998</v>
      </c>
      <c r="J13937" t="s">
        <v>76</v>
      </c>
      <c r="K13937" t="s">
        <v>77</v>
      </c>
    </row>
    <row r="13938" spans="1:12" x14ac:dyDescent="0.3">
      <c r="A13938" t="s">
        <v>496</v>
      </c>
      <c r="B13938" t="s">
        <v>84</v>
      </c>
      <c r="C13938">
        <v>933</v>
      </c>
      <c r="D13938" t="s">
        <v>81</v>
      </c>
      <c r="E13938">
        <v>2.3340000000000001E-3</v>
      </c>
      <c r="F13938" t="s">
        <v>74</v>
      </c>
      <c r="G13938">
        <v>2.33405</v>
      </c>
      <c r="H13938" t="s">
        <v>75</v>
      </c>
      <c r="I13938">
        <v>2334.0529999999999</v>
      </c>
      <c r="J13938" t="s">
        <v>76</v>
      </c>
      <c r="K13938" t="s">
        <v>82</v>
      </c>
      <c r="L13938">
        <v>428.43919510000001</v>
      </c>
    </row>
    <row r="13939" spans="1:12" x14ac:dyDescent="0.3">
      <c r="A13939" t="s">
        <v>497</v>
      </c>
      <c r="B13939" t="s">
        <v>72</v>
      </c>
      <c r="C13939">
        <v>1</v>
      </c>
      <c r="D13939" t="s">
        <v>79</v>
      </c>
      <c r="E13939">
        <v>8.2900000000000005E-3</v>
      </c>
      <c r="F13939" t="s">
        <v>74</v>
      </c>
      <c r="G13939">
        <v>8.2902000000000005</v>
      </c>
      <c r="H13939" t="s">
        <v>75</v>
      </c>
      <c r="I13939">
        <v>8290.2000000000007</v>
      </c>
      <c r="J13939" t="s">
        <v>76</v>
      </c>
      <c r="K13939" t="s">
        <v>77</v>
      </c>
    </row>
    <row r="13940" spans="1:12" x14ac:dyDescent="0.3">
      <c r="A13940" t="s">
        <v>497</v>
      </c>
      <c r="B13940" t="s">
        <v>72</v>
      </c>
      <c r="C13940">
        <v>1</v>
      </c>
      <c r="D13940" t="s">
        <v>94</v>
      </c>
      <c r="E13940">
        <v>4.0766999999999998E-2</v>
      </c>
      <c r="F13940" t="s">
        <v>74</v>
      </c>
      <c r="G13940">
        <v>40.767400000000002</v>
      </c>
      <c r="H13940" t="s">
        <v>75</v>
      </c>
      <c r="I13940">
        <v>40767.400999999998</v>
      </c>
      <c r="J13940" t="s">
        <v>76</v>
      </c>
      <c r="K13940" t="s">
        <v>77</v>
      </c>
    </row>
    <row r="13941" spans="1:12" x14ac:dyDescent="0.3">
      <c r="A13941" t="s">
        <v>497</v>
      </c>
      <c r="B13941" t="s">
        <v>72</v>
      </c>
      <c r="C13941">
        <v>1</v>
      </c>
      <c r="D13941" t="s">
        <v>80</v>
      </c>
      <c r="E13941">
        <v>4.0767999999999999E-2</v>
      </c>
      <c r="F13941" t="s">
        <v>74</v>
      </c>
      <c r="G13941">
        <v>40.768099999999997</v>
      </c>
      <c r="H13941" t="s">
        <v>75</v>
      </c>
      <c r="I13941">
        <v>40768.101999999999</v>
      </c>
      <c r="J13941" t="s">
        <v>76</v>
      </c>
      <c r="K13941" t="s">
        <v>77</v>
      </c>
    </row>
    <row r="13942" spans="1:12" x14ac:dyDescent="0.3">
      <c r="A13942" t="s">
        <v>497</v>
      </c>
      <c r="B13942" t="s">
        <v>72</v>
      </c>
      <c r="C13942">
        <v>1</v>
      </c>
      <c r="D13942" t="s">
        <v>81</v>
      </c>
      <c r="E13942">
        <v>4.9058999999999998E-2</v>
      </c>
      <c r="F13942" t="s">
        <v>74</v>
      </c>
      <c r="G13942">
        <v>49.058500000000002</v>
      </c>
      <c r="H13942" t="s">
        <v>75</v>
      </c>
      <c r="I13942">
        <v>49058.500999999997</v>
      </c>
      <c r="J13942" t="s">
        <v>76</v>
      </c>
      <c r="K13942" t="s">
        <v>82</v>
      </c>
      <c r="L13942">
        <v>20.383827199999999</v>
      </c>
    </row>
    <row r="13943" spans="1:12" x14ac:dyDescent="0.3">
      <c r="A13943" t="s">
        <v>497</v>
      </c>
      <c r="B13943" t="s">
        <v>83</v>
      </c>
      <c r="C13943">
        <v>67</v>
      </c>
      <c r="D13943" t="s">
        <v>79</v>
      </c>
      <c r="E13943">
        <v>0</v>
      </c>
      <c r="F13943" t="s">
        <v>74</v>
      </c>
      <c r="G13943">
        <v>3.5E-4</v>
      </c>
      <c r="H13943" t="s">
        <v>75</v>
      </c>
      <c r="I13943">
        <v>0.35399999999999998</v>
      </c>
      <c r="J13943" t="s">
        <v>76</v>
      </c>
      <c r="K13943" t="s">
        <v>77</v>
      </c>
    </row>
    <row r="13944" spans="1:12" x14ac:dyDescent="0.3">
      <c r="A13944" t="s">
        <v>497</v>
      </c>
      <c r="B13944" t="s">
        <v>83</v>
      </c>
      <c r="C13944">
        <v>67</v>
      </c>
      <c r="D13944" t="s">
        <v>94</v>
      </c>
      <c r="E13944">
        <v>3.1768999999999999E-2</v>
      </c>
      <c r="F13944" t="s">
        <v>74</v>
      </c>
      <c r="G13944">
        <v>31.76876</v>
      </c>
      <c r="H13944" t="s">
        <v>75</v>
      </c>
      <c r="I13944">
        <v>31768.762999999999</v>
      </c>
      <c r="J13944" t="s">
        <v>76</v>
      </c>
      <c r="K13944" t="s">
        <v>77</v>
      </c>
    </row>
    <row r="13945" spans="1:12" x14ac:dyDescent="0.3">
      <c r="A13945" t="s">
        <v>497</v>
      </c>
      <c r="B13945" t="s">
        <v>83</v>
      </c>
      <c r="C13945">
        <v>67</v>
      </c>
      <c r="D13945" t="s">
        <v>80</v>
      </c>
      <c r="E13945">
        <v>3.2043000000000002E-2</v>
      </c>
      <c r="F13945" t="s">
        <v>74</v>
      </c>
      <c r="G13945">
        <v>32.04307</v>
      </c>
      <c r="H13945" t="s">
        <v>75</v>
      </c>
      <c r="I13945">
        <v>32043.073</v>
      </c>
      <c r="J13945" t="s">
        <v>76</v>
      </c>
      <c r="K13945" t="s">
        <v>77</v>
      </c>
    </row>
    <row r="13946" spans="1:12" x14ac:dyDescent="0.3">
      <c r="A13946" t="s">
        <v>497</v>
      </c>
      <c r="B13946" t="s">
        <v>83</v>
      </c>
      <c r="C13946">
        <v>67</v>
      </c>
      <c r="D13946" t="s">
        <v>81</v>
      </c>
      <c r="E13946">
        <v>3.2044000000000003E-2</v>
      </c>
      <c r="F13946" t="s">
        <v>74</v>
      </c>
      <c r="G13946">
        <v>32.04372</v>
      </c>
      <c r="H13946" t="s">
        <v>75</v>
      </c>
      <c r="I13946">
        <v>32043.723999999998</v>
      </c>
      <c r="J13946" t="s">
        <v>76</v>
      </c>
      <c r="K13946" t="s">
        <v>82</v>
      </c>
      <c r="L13946">
        <v>31.207359100000001</v>
      </c>
    </row>
    <row r="13947" spans="1:12" x14ac:dyDescent="0.3">
      <c r="A13947" t="s">
        <v>497</v>
      </c>
      <c r="B13947" t="s">
        <v>84</v>
      </c>
      <c r="C13947">
        <v>68</v>
      </c>
      <c r="D13947" t="s">
        <v>79</v>
      </c>
      <c r="E13947">
        <v>1.22E-4</v>
      </c>
      <c r="F13947" t="s">
        <v>74</v>
      </c>
      <c r="G13947">
        <v>0.12225999999999999</v>
      </c>
      <c r="H13947" t="s">
        <v>75</v>
      </c>
      <c r="I13947">
        <v>122.26300000000001</v>
      </c>
      <c r="J13947" t="s">
        <v>76</v>
      </c>
      <c r="K13947" t="s">
        <v>77</v>
      </c>
    </row>
    <row r="13948" spans="1:12" x14ac:dyDescent="0.3">
      <c r="A13948" t="s">
        <v>497</v>
      </c>
      <c r="B13948" t="s">
        <v>84</v>
      </c>
      <c r="C13948">
        <v>68</v>
      </c>
      <c r="D13948" t="s">
        <v>94</v>
      </c>
      <c r="E13948">
        <v>3.1900999999999999E-2</v>
      </c>
      <c r="F13948" t="s">
        <v>74</v>
      </c>
      <c r="G13948">
        <v>31.9011</v>
      </c>
      <c r="H13948" t="s">
        <v>75</v>
      </c>
      <c r="I13948">
        <v>31901.1</v>
      </c>
      <c r="J13948" t="s">
        <v>76</v>
      </c>
      <c r="K13948" t="s">
        <v>77</v>
      </c>
    </row>
    <row r="13949" spans="1:12" x14ac:dyDescent="0.3">
      <c r="A13949" t="s">
        <v>497</v>
      </c>
      <c r="B13949" t="s">
        <v>84</v>
      </c>
      <c r="C13949">
        <v>68</v>
      </c>
      <c r="D13949" t="s">
        <v>80</v>
      </c>
      <c r="E13949">
        <v>3.2170999999999998E-2</v>
      </c>
      <c r="F13949" t="s">
        <v>74</v>
      </c>
      <c r="G13949">
        <v>32.171379999999999</v>
      </c>
      <c r="H13949" t="s">
        <v>75</v>
      </c>
      <c r="I13949">
        <v>32171.379000000001</v>
      </c>
      <c r="J13949" t="s">
        <v>76</v>
      </c>
      <c r="K13949" t="s">
        <v>77</v>
      </c>
    </row>
    <row r="13950" spans="1:12" x14ac:dyDescent="0.3">
      <c r="A13950" t="s">
        <v>497</v>
      </c>
      <c r="B13950" t="s">
        <v>84</v>
      </c>
      <c r="C13950">
        <v>68</v>
      </c>
      <c r="D13950" t="s">
        <v>81</v>
      </c>
      <c r="E13950">
        <v>3.2294000000000003E-2</v>
      </c>
      <c r="F13950" t="s">
        <v>74</v>
      </c>
      <c r="G13950">
        <v>32.293939999999999</v>
      </c>
      <c r="H13950" t="s">
        <v>75</v>
      </c>
      <c r="I13950">
        <v>32293.944</v>
      </c>
      <c r="J13950" t="s">
        <v>76</v>
      </c>
      <c r="K13950" t="s">
        <v>82</v>
      </c>
      <c r="L13950">
        <v>30.965558300000001</v>
      </c>
    </row>
    <row r="13951" spans="1:12" x14ac:dyDescent="0.3">
      <c r="A13951" t="s">
        <v>498</v>
      </c>
      <c r="B13951" t="s">
        <v>72</v>
      </c>
      <c r="C13951">
        <v>1</v>
      </c>
      <c r="D13951" t="s">
        <v>73</v>
      </c>
      <c r="E13951">
        <v>6.7000000000000002E-5</v>
      </c>
      <c r="F13951" t="s">
        <v>74</v>
      </c>
      <c r="G13951">
        <v>6.7400000000000002E-2</v>
      </c>
      <c r="H13951" t="s">
        <v>75</v>
      </c>
      <c r="I13951">
        <v>67.400000000000006</v>
      </c>
      <c r="J13951" t="s">
        <v>76</v>
      </c>
      <c r="K13951" t="s">
        <v>77</v>
      </c>
    </row>
    <row r="13952" spans="1:12" x14ac:dyDescent="0.3">
      <c r="A13952" t="s">
        <v>498</v>
      </c>
      <c r="B13952" t="s">
        <v>72</v>
      </c>
      <c r="C13952">
        <v>1</v>
      </c>
      <c r="D13952" t="s">
        <v>78</v>
      </c>
      <c r="E13952">
        <v>5.31E-4</v>
      </c>
      <c r="F13952" t="s">
        <v>74</v>
      </c>
      <c r="G13952">
        <v>0.53120000000000001</v>
      </c>
      <c r="H13952" t="s">
        <v>75</v>
      </c>
      <c r="I13952">
        <v>531.20000000000005</v>
      </c>
      <c r="J13952" t="s">
        <v>76</v>
      </c>
      <c r="K13952" t="s">
        <v>77</v>
      </c>
    </row>
    <row r="13953" spans="1:12" x14ac:dyDescent="0.3">
      <c r="A13953" t="s">
        <v>498</v>
      </c>
      <c r="B13953" t="s">
        <v>72</v>
      </c>
      <c r="C13953">
        <v>2</v>
      </c>
      <c r="D13953" t="s">
        <v>86</v>
      </c>
      <c r="E13953">
        <v>2.4532999999999999E-2</v>
      </c>
      <c r="F13953" t="s">
        <v>74</v>
      </c>
      <c r="G13953">
        <v>24.53295</v>
      </c>
      <c r="H13953" t="s">
        <v>75</v>
      </c>
      <c r="I13953">
        <v>24532.95</v>
      </c>
      <c r="J13953" t="s">
        <v>76</v>
      </c>
      <c r="K13953" t="s">
        <v>82</v>
      </c>
      <c r="L13953">
        <v>40.761507199999997</v>
      </c>
    </row>
    <row r="13954" spans="1:12" x14ac:dyDescent="0.3">
      <c r="A13954" t="s">
        <v>498</v>
      </c>
      <c r="B13954" t="s">
        <v>83</v>
      </c>
      <c r="C13954">
        <v>999</v>
      </c>
      <c r="D13954" t="s">
        <v>86</v>
      </c>
      <c r="E13954">
        <v>2.1909999999999998E-3</v>
      </c>
      <c r="F13954" t="s">
        <v>74</v>
      </c>
      <c r="G13954">
        <v>2.1905100000000002</v>
      </c>
      <c r="H13954" t="s">
        <v>75</v>
      </c>
      <c r="I13954">
        <v>2190.5070000000001</v>
      </c>
      <c r="J13954" t="s">
        <v>76</v>
      </c>
      <c r="K13954" t="s">
        <v>82</v>
      </c>
      <c r="L13954">
        <v>456.51534900000001</v>
      </c>
    </row>
    <row r="13955" spans="1:12" x14ac:dyDescent="0.3">
      <c r="A13955" t="s">
        <v>498</v>
      </c>
      <c r="B13955" t="s">
        <v>85</v>
      </c>
      <c r="C13955">
        <v>1001</v>
      </c>
      <c r="D13955" t="s">
        <v>86</v>
      </c>
      <c r="E13955">
        <v>2.2000000000000001E-3</v>
      </c>
      <c r="F13955" t="s">
        <v>74</v>
      </c>
      <c r="G13955">
        <v>2.19991</v>
      </c>
      <c r="H13955" t="s">
        <v>75</v>
      </c>
      <c r="I13955">
        <v>2199.91</v>
      </c>
      <c r="J13955" t="s">
        <v>76</v>
      </c>
      <c r="K13955" t="s">
        <v>82</v>
      </c>
      <c r="L13955">
        <v>454.5640702</v>
      </c>
    </row>
    <row r="13956" spans="1:12" x14ac:dyDescent="0.3">
      <c r="A13956" t="s">
        <v>115</v>
      </c>
    </row>
    <row r="13957" spans="1:12" x14ac:dyDescent="0.3">
      <c r="A13957" t="s">
        <v>127</v>
      </c>
    </row>
    <row r="13958" spans="1:12" x14ac:dyDescent="0.3">
      <c r="A13958" t="s">
        <v>87</v>
      </c>
    </row>
    <row r="13959" spans="1:12" x14ac:dyDescent="0.3">
      <c r="A13959" t="s">
        <v>561</v>
      </c>
    </row>
    <row r="13960" spans="1:12" x14ac:dyDescent="0.3">
      <c r="A13960" t="s">
        <v>496</v>
      </c>
      <c r="B13960" t="s">
        <v>72</v>
      </c>
      <c r="C13960">
        <v>1</v>
      </c>
      <c r="D13960" t="s">
        <v>81</v>
      </c>
      <c r="E13960">
        <v>0.39629300000000001</v>
      </c>
      <c r="F13960" t="s">
        <v>74</v>
      </c>
      <c r="G13960">
        <v>396.29318999999998</v>
      </c>
      <c r="H13960" t="s">
        <v>75</v>
      </c>
      <c r="I13960">
        <v>396293.19300000003</v>
      </c>
      <c r="J13960" t="s">
        <v>76</v>
      </c>
      <c r="K13960" t="s">
        <v>82</v>
      </c>
      <c r="L13960">
        <v>2.5233842000000002</v>
      </c>
    </row>
    <row r="13961" spans="1:12" x14ac:dyDescent="0.3">
      <c r="A13961" t="s">
        <v>496</v>
      </c>
      <c r="B13961" t="s">
        <v>83</v>
      </c>
      <c r="C13961">
        <v>941</v>
      </c>
      <c r="D13961" t="s">
        <v>81</v>
      </c>
      <c r="E13961">
        <v>8.61E-4</v>
      </c>
      <c r="F13961" t="s">
        <v>74</v>
      </c>
      <c r="G13961">
        <v>0.86075999999999997</v>
      </c>
      <c r="H13961" t="s">
        <v>75</v>
      </c>
      <c r="I13961">
        <v>860.76</v>
      </c>
      <c r="J13961" t="s">
        <v>76</v>
      </c>
      <c r="K13961" t="s">
        <v>82</v>
      </c>
      <c r="L13961">
        <v>1161.7635278</v>
      </c>
    </row>
    <row r="13962" spans="1:12" x14ac:dyDescent="0.3">
      <c r="A13962" t="s">
        <v>496</v>
      </c>
      <c r="B13962" t="s">
        <v>84</v>
      </c>
      <c r="C13962">
        <v>942</v>
      </c>
      <c r="D13962" t="s">
        <v>81</v>
      </c>
      <c r="E13962">
        <v>1.281E-3</v>
      </c>
      <c r="F13962" t="s">
        <v>74</v>
      </c>
      <c r="G13962">
        <v>1.28054</v>
      </c>
      <c r="H13962" t="s">
        <v>75</v>
      </c>
      <c r="I13962">
        <v>1280.54</v>
      </c>
      <c r="J13962" t="s">
        <v>76</v>
      </c>
      <c r="K13962" t="s">
        <v>82</v>
      </c>
      <c r="L13962">
        <v>780.92047960000002</v>
      </c>
    </row>
    <row r="13963" spans="1:12" x14ac:dyDescent="0.3">
      <c r="A13963" t="s">
        <v>497</v>
      </c>
      <c r="B13963" t="s">
        <v>72</v>
      </c>
      <c r="C13963">
        <v>1</v>
      </c>
      <c r="D13963" t="s">
        <v>81</v>
      </c>
      <c r="E13963">
        <v>0.16514499999999999</v>
      </c>
      <c r="F13963" t="s">
        <v>74</v>
      </c>
      <c r="G13963">
        <v>165.14519999999999</v>
      </c>
      <c r="H13963" t="s">
        <v>75</v>
      </c>
      <c r="I13963">
        <v>165145.20300000001</v>
      </c>
      <c r="J13963" t="s">
        <v>76</v>
      </c>
      <c r="K13963" t="s">
        <v>82</v>
      </c>
      <c r="L13963">
        <v>6.0552773000000002</v>
      </c>
    </row>
    <row r="13964" spans="1:12" x14ac:dyDescent="0.3">
      <c r="A13964" t="s">
        <v>497</v>
      </c>
      <c r="B13964" t="s">
        <v>83</v>
      </c>
      <c r="C13964">
        <v>58</v>
      </c>
      <c r="D13964" t="s">
        <v>81</v>
      </c>
      <c r="E13964">
        <v>1.8284999999999999E-2</v>
      </c>
      <c r="F13964" t="s">
        <v>74</v>
      </c>
      <c r="G13964">
        <v>18.28528</v>
      </c>
      <c r="H13964" t="s">
        <v>75</v>
      </c>
      <c r="I13964">
        <v>18285.278999999999</v>
      </c>
      <c r="J13964" t="s">
        <v>76</v>
      </c>
      <c r="K13964" t="s">
        <v>82</v>
      </c>
      <c r="L13964">
        <v>54.688803</v>
      </c>
    </row>
    <row r="13965" spans="1:12" x14ac:dyDescent="0.3">
      <c r="A13965" t="s">
        <v>497</v>
      </c>
      <c r="B13965" t="s">
        <v>84</v>
      </c>
      <c r="C13965">
        <v>59</v>
      </c>
      <c r="D13965" t="s">
        <v>81</v>
      </c>
      <c r="E13965">
        <v>2.0774000000000001E-2</v>
      </c>
      <c r="F13965" t="s">
        <v>74</v>
      </c>
      <c r="G13965">
        <v>20.774429999999999</v>
      </c>
      <c r="H13965" t="s">
        <v>75</v>
      </c>
      <c r="I13965">
        <v>20774.429</v>
      </c>
      <c r="J13965" t="s">
        <v>76</v>
      </c>
      <c r="K13965" t="s">
        <v>82</v>
      </c>
      <c r="L13965">
        <v>48.1361001</v>
      </c>
    </row>
    <row r="13966" spans="1:12" x14ac:dyDescent="0.3">
      <c r="A13966" t="s">
        <v>498</v>
      </c>
      <c r="B13966" t="s">
        <v>72</v>
      </c>
      <c r="C13966">
        <v>2</v>
      </c>
      <c r="D13966" t="s">
        <v>86</v>
      </c>
      <c r="E13966">
        <v>0.19817499999999999</v>
      </c>
      <c r="F13966" t="s">
        <v>74</v>
      </c>
      <c r="G13966">
        <v>198.17495</v>
      </c>
      <c r="H13966" t="s">
        <v>75</v>
      </c>
      <c r="I13966">
        <v>198174.95300000001</v>
      </c>
      <c r="J13966" t="s">
        <v>76</v>
      </c>
      <c r="K13966" t="s">
        <v>82</v>
      </c>
      <c r="L13966">
        <v>5.0460463000000004</v>
      </c>
    </row>
    <row r="13967" spans="1:12" x14ac:dyDescent="0.3">
      <c r="A13967" t="s">
        <v>498</v>
      </c>
      <c r="B13967" t="s">
        <v>83</v>
      </c>
      <c r="C13967">
        <v>999</v>
      </c>
      <c r="D13967" t="s">
        <v>86</v>
      </c>
      <c r="E13967">
        <v>1.047E-3</v>
      </c>
      <c r="F13967" t="s">
        <v>74</v>
      </c>
      <c r="G13967">
        <v>1.04722</v>
      </c>
      <c r="H13967" t="s">
        <v>75</v>
      </c>
      <c r="I13967">
        <v>1047.2190000000001</v>
      </c>
      <c r="J13967" t="s">
        <v>76</v>
      </c>
      <c r="K13967" t="s">
        <v>82</v>
      </c>
      <c r="L13967">
        <v>954.91042330000005</v>
      </c>
    </row>
    <row r="13968" spans="1:12" x14ac:dyDescent="0.3">
      <c r="A13968" t="s">
        <v>498</v>
      </c>
      <c r="B13968" t="s">
        <v>85</v>
      </c>
      <c r="C13968">
        <v>1001</v>
      </c>
      <c r="D13968" t="s">
        <v>86</v>
      </c>
      <c r="E13968">
        <v>1.2279999999999999E-3</v>
      </c>
      <c r="F13968" t="s">
        <v>74</v>
      </c>
      <c r="G13968">
        <v>1.2278899999999999</v>
      </c>
      <c r="H13968" t="s">
        <v>75</v>
      </c>
      <c r="I13968">
        <v>1227.886</v>
      </c>
      <c r="J13968" t="s">
        <v>76</v>
      </c>
      <c r="K13968" t="s">
        <v>82</v>
      </c>
      <c r="L13968">
        <v>814.40813470000001</v>
      </c>
    </row>
    <row r="13970" spans="1:12" x14ac:dyDescent="0.3">
      <c r="A13970" t="s">
        <v>562</v>
      </c>
    </row>
    <row r="13971" spans="1:12" x14ac:dyDescent="0.3">
      <c r="A13971" t="s">
        <v>496</v>
      </c>
      <c r="B13971" t="s">
        <v>72</v>
      </c>
      <c r="C13971">
        <v>1</v>
      </c>
      <c r="D13971" t="s">
        <v>81</v>
      </c>
      <c r="E13971">
        <v>1.2647E-2</v>
      </c>
      <c r="F13971" t="s">
        <v>74</v>
      </c>
      <c r="G13971">
        <v>12.6472</v>
      </c>
      <c r="H13971" t="s">
        <v>75</v>
      </c>
      <c r="I13971">
        <v>12647.2</v>
      </c>
      <c r="J13971" t="s">
        <v>76</v>
      </c>
      <c r="K13971" t="s">
        <v>82</v>
      </c>
      <c r="L13971">
        <v>79.068882500000001</v>
      </c>
    </row>
    <row r="13972" spans="1:12" x14ac:dyDescent="0.3">
      <c r="A13972" t="s">
        <v>496</v>
      </c>
      <c r="B13972" t="s">
        <v>83</v>
      </c>
      <c r="C13972">
        <v>932</v>
      </c>
      <c r="D13972" t="s">
        <v>81</v>
      </c>
      <c r="E13972">
        <v>2.323E-3</v>
      </c>
      <c r="F13972" t="s">
        <v>74</v>
      </c>
      <c r="G13972">
        <v>2.3229899999999999</v>
      </c>
      <c r="H13972" t="s">
        <v>75</v>
      </c>
      <c r="I13972">
        <v>2322.9879999999998</v>
      </c>
      <c r="J13972" t="s">
        <v>76</v>
      </c>
      <c r="K13972" t="s">
        <v>82</v>
      </c>
      <c r="L13972">
        <v>430.48001840000001</v>
      </c>
    </row>
    <row r="13973" spans="1:12" x14ac:dyDescent="0.3">
      <c r="A13973" t="s">
        <v>496</v>
      </c>
      <c r="B13973" t="s">
        <v>84</v>
      </c>
      <c r="C13973">
        <v>933</v>
      </c>
      <c r="D13973" t="s">
        <v>81</v>
      </c>
      <c r="E13973">
        <v>2.3340000000000001E-3</v>
      </c>
      <c r="F13973" t="s">
        <v>74</v>
      </c>
      <c r="G13973">
        <v>2.33405</v>
      </c>
      <c r="H13973" t="s">
        <v>75</v>
      </c>
      <c r="I13973">
        <v>2334.0529999999999</v>
      </c>
      <c r="J13973" t="s">
        <v>76</v>
      </c>
      <c r="K13973" t="s">
        <v>82</v>
      </c>
      <c r="L13973">
        <v>428.43919510000001</v>
      </c>
    </row>
    <row r="13974" spans="1:12" x14ac:dyDescent="0.3">
      <c r="A13974" t="s">
        <v>497</v>
      </c>
      <c r="B13974" t="s">
        <v>72</v>
      </c>
      <c r="C13974">
        <v>1</v>
      </c>
      <c r="D13974" t="s">
        <v>81</v>
      </c>
      <c r="E13974">
        <v>4.9058999999999998E-2</v>
      </c>
      <c r="F13974" t="s">
        <v>74</v>
      </c>
      <c r="G13974">
        <v>49.058500000000002</v>
      </c>
      <c r="H13974" t="s">
        <v>75</v>
      </c>
      <c r="I13974">
        <v>49058.500999999997</v>
      </c>
      <c r="J13974" t="s">
        <v>76</v>
      </c>
      <c r="K13974" t="s">
        <v>82</v>
      </c>
      <c r="L13974">
        <v>20.383827199999999</v>
      </c>
    </row>
    <row r="13975" spans="1:12" x14ac:dyDescent="0.3">
      <c r="A13975" t="s">
        <v>497</v>
      </c>
      <c r="B13975" t="s">
        <v>83</v>
      </c>
      <c r="C13975">
        <v>67</v>
      </c>
      <c r="D13975" t="s">
        <v>81</v>
      </c>
      <c r="E13975">
        <v>3.2044000000000003E-2</v>
      </c>
      <c r="F13975" t="s">
        <v>74</v>
      </c>
      <c r="G13975">
        <v>32.04372</v>
      </c>
      <c r="H13975" t="s">
        <v>75</v>
      </c>
      <c r="I13975">
        <v>32043.723999999998</v>
      </c>
      <c r="J13975" t="s">
        <v>76</v>
      </c>
      <c r="K13975" t="s">
        <v>82</v>
      </c>
      <c r="L13975">
        <v>31.207359100000001</v>
      </c>
    </row>
    <row r="13976" spans="1:12" x14ac:dyDescent="0.3">
      <c r="A13976" t="s">
        <v>497</v>
      </c>
      <c r="B13976" t="s">
        <v>84</v>
      </c>
      <c r="C13976">
        <v>68</v>
      </c>
      <c r="D13976" t="s">
        <v>81</v>
      </c>
      <c r="E13976">
        <v>3.2294000000000003E-2</v>
      </c>
      <c r="F13976" t="s">
        <v>74</v>
      </c>
      <c r="G13976">
        <v>32.293939999999999</v>
      </c>
      <c r="H13976" t="s">
        <v>75</v>
      </c>
      <c r="I13976">
        <v>32293.944</v>
      </c>
      <c r="J13976" t="s">
        <v>76</v>
      </c>
      <c r="K13976" t="s">
        <v>82</v>
      </c>
      <c r="L13976">
        <v>30.965558300000001</v>
      </c>
    </row>
    <row r="13977" spans="1:12" x14ac:dyDescent="0.3">
      <c r="A13977" t="s">
        <v>498</v>
      </c>
      <c r="B13977" t="s">
        <v>72</v>
      </c>
      <c r="C13977">
        <v>2</v>
      </c>
      <c r="D13977" t="s">
        <v>86</v>
      </c>
      <c r="E13977">
        <v>2.4532999999999999E-2</v>
      </c>
      <c r="F13977" t="s">
        <v>74</v>
      </c>
      <c r="G13977">
        <v>24.53295</v>
      </c>
      <c r="H13977" t="s">
        <v>75</v>
      </c>
      <c r="I13977">
        <v>24532.95</v>
      </c>
      <c r="J13977" t="s">
        <v>76</v>
      </c>
      <c r="K13977" t="s">
        <v>82</v>
      </c>
      <c r="L13977">
        <v>40.761507199999997</v>
      </c>
    </row>
    <row r="13978" spans="1:12" x14ac:dyDescent="0.3">
      <c r="A13978" t="s">
        <v>498</v>
      </c>
      <c r="B13978" t="s">
        <v>83</v>
      </c>
      <c r="C13978">
        <v>999</v>
      </c>
      <c r="D13978" t="s">
        <v>86</v>
      </c>
      <c r="E13978">
        <v>2.1909999999999998E-3</v>
      </c>
      <c r="F13978" t="s">
        <v>74</v>
      </c>
      <c r="G13978">
        <v>2.1905100000000002</v>
      </c>
      <c r="H13978" t="s">
        <v>75</v>
      </c>
      <c r="I13978">
        <v>2190.5070000000001</v>
      </c>
      <c r="J13978" t="s">
        <v>76</v>
      </c>
      <c r="K13978" t="s">
        <v>82</v>
      </c>
      <c r="L13978">
        <v>456.51534900000001</v>
      </c>
    </row>
    <row r="13979" spans="1:12" x14ac:dyDescent="0.3">
      <c r="A13979" t="s">
        <v>498</v>
      </c>
      <c r="B13979" t="s">
        <v>85</v>
      </c>
      <c r="C13979">
        <v>1001</v>
      </c>
      <c r="D13979" t="s">
        <v>86</v>
      </c>
      <c r="E13979">
        <v>2.2000000000000001E-3</v>
      </c>
      <c r="F13979" t="s">
        <v>74</v>
      </c>
      <c r="G13979">
        <v>2.19991</v>
      </c>
      <c r="H13979" t="s">
        <v>75</v>
      </c>
      <c r="I13979">
        <v>2199.91</v>
      </c>
      <c r="J13979" t="s">
        <v>76</v>
      </c>
      <c r="K13979" t="s">
        <v>82</v>
      </c>
      <c r="L13979">
        <v>454.5640702</v>
      </c>
    </row>
    <row r="13981" spans="1:12" x14ac:dyDescent="0.3">
      <c r="A13981" t="s">
        <v>64</v>
      </c>
    </row>
    <row r="13982" spans="1:12" x14ac:dyDescent="0.3">
      <c r="A13982" t="s">
        <v>578</v>
      </c>
    </row>
    <row r="13984" spans="1:12" x14ac:dyDescent="0.3">
      <c r="A13984" t="s">
        <v>579</v>
      </c>
    </row>
    <row r="13985" spans="1:1" x14ac:dyDescent="0.3">
      <c r="A13985" t="s">
        <v>68</v>
      </c>
    </row>
    <row r="13986" spans="1:1" x14ac:dyDescent="0.3">
      <c r="A13986" t="s">
        <v>69</v>
      </c>
    </row>
    <row r="13987" spans="1:1" x14ac:dyDescent="0.3">
      <c r="A13987" t="s">
        <v>68</v>
      </c>
    </row>
    <row r="13988" spans="1:1" x14ac:dyDescent="0.3">
      <c r="A13988" t="s">
        <v>69</v>
      </c>
    </row>
    <row r="13989" spans="1:1" x14ac:dyDescent="0.3">
      <c r="A13989" t="s">
        <v>70</v>
      </c>
    </row>
    <row r="13990" spans="1:1" x14ac:dyDescent="0.3">
      <c r="A13990" t="s">
        <v>115</v>
      </c>
    </row>
    <row r="13991" spans="1:1" x14ac:dyDescent="0.3">
      <c r="A13991" t="s">
        <v>116</v>
      </c>
    </row>
    <row r="13992" spans="1:1" x14ac:dyDescent="0.3">
      <c r="A13992" t="s">
        <v>117</v>
      </c>
    </row>
    <row r="13993" spans="1:1" x14ac:dyDescent="0.3">
      <c r="A13993" t="s">
        <v>118</v>
      </c>
    </row>
    <row r="13994" spans="1:1" x14ac:dyDescent="0.3">
      <c r="A13994" t="s">
        <v>119</v>
      </c>
    </row>
    <row r="13995" spans="1:1" x14ac:dyDescent="0.3">
      <c r="A13995" t="s">
        <v>120</v>
      </c>
    </row>
    <row r="13996" spans="1:1" x14ac:dyDescent="0.3">
      <c r="A13996" t="s">
        <v>121</v>
      </c>
    </row>
    <row r="13997" spans="1:1" x14ac:dyDescent="0.3">
      <c r="A13997" t="s">
        <v>122</v>
      </c>
    </row>
    <row r="13998" spans="1:1" x14ac:dyDescent="0.3">
      <c r="A13998" t="s">
        <v>123</v>
      </c>
    </row>
    <row r="13999" spans="1:1" x14ac:dyDescent="0.3">
      <c r="A13999" t="s">
        <v>124</v>
      </c>
    </row>
    <row r="14000" spans="1:1" x14ac:dyDescent="0.3">
      <c r="A14000" t="s">
        <v>125</v>
      </c>
    </row>
    <row r="14001" spans="1:1" x14ac:dyDescent="0.3">
      <c r="A14001" t="s">
        <v>126</v>
      </c>
    </row>
    <row r="14002" spans="1:1" x14ac:dyDescent="0.3">
      <c r="A14002" t="s">
        <v>127</v>
      </c>
    </row>
    <row r="14003" spans="1:1" x14ac:dyDescent="0.3">
      <c r="A14003" t="s">
        <v>128</v>
      </c>
    </row>
    <row r="14004" spans="1:1" x14ac:dyDescent="0.3">
      <c r="A14004" t="s">
        <v>115</v>
      </c>
    </row>
    <row r="14005" spans="1:1" x14ac:dyDescent="0.3">
      <c r="A14005" t="s">
        <v>266</v>
      </c>
    </row>
    <row r="14006" spans="1:1" x14ac:dyDescent="0.3">
      <c r="A14006" t="s">
        <v>267</v>
      </c>
    </row>
    <row r="14007" spans="1:1" x14ac:dyDescent="0.3">
      <c r="A14007" t="s">
        <v>118</v>
      </c>
    </row>
    <row r="14008" spans="1:1" x14ac:dyDescent="0.3">
      <c r="A14008" t="s">
        <v>119</v>
      </c>
    </row>
    <row r="14009" spans="1:1" x14ac:dyDescent="0.3">
      <c r="A14009" t="s">
        <v>268</v>
      </c>
    </row>
    <row r="14010" spans="1:1" x14ac:dyDescent="0.3">
      <c r="A14010" t="s">
        <v>269</v>
      </c>
    </row>
    <row r="14011" spans="1:1" x14ac:dyDescent="0.3">
      <c r="A14011" t="s">
        <v>122</v>
      </c>
    </row>
    <row r="14012" spans="1:1" x14ac:dyDescent="0.3">
      <c r="A14012" t="s">
        <v>270</v>
      </c>
    </row>
    <row r="14013" spans="1:1" x14ac:dyDescent="0.3">
      <c r="A14013" t="s">
        <v>271</v>
      </c>
    </row>
    <row r="14014" spans="1:1" x14ac:dyDescent="0.3">
      <c r="A14014" t="s">
        <v>125</v>
      </c>
    </row>
    <row r="14015" spans="1:1" x14ac:dyDescent="0.3">
      <c r="A14015" t="s">
        <v>126</v>
      </c>
    </row>
    <row r="14016" spans="1:1" x14ac:dyDescent="0.3">
      <c r="A14016" t="s">
        <v>127</v>
      </c>
    </row>
    <row r="14017" spans="1:12" x14ac:dyDescent="0.3">
      <c r="A14017" t="s">
        <v>128</v>
      </c>
    </row>
    <row r="14018" spans="1:12" x14ac:dyDescent="0.3">
      <c r="A14018" t="s">
        <v>495</v>
      </c>
    </row>
    <row r="14019" spans="1:12" x14ac:dyDescent="0.3">
      <c r="A14019" t="s">
        <v>496</v>
      </c>
      <c r="B14019" t="s">
        <v>72</v>
      </c>
      <c r="C14019">
        <v>1</v>
      </c>
      <c r="D14019" t="s">
        <v>91</v>
      </c>
      <c r="E14019">
        <v>0.29678900000000003</v>
      </c>
      <c r="F14019" t="s">
        <v>74</v>
      </c>
      <c r="G14019">
        <v>296.78899000000001</v>
      </c>
      <c r="H14019" t="s">
        <v>75</v>
      </c>
      <c r="I14019">
        <v>296788.99</v>
      </c>
      <c r="J14019" t="s">
        <v>76</v>
      </c>
      <c r="K14019" t="s">
        <v>77</v>
      </c>
    </row>
    <row r="14020" spans="1:12" x14ac:dyDescent="0.3">
      <c r="A14020" t="s">
        <v>496</v>
      </c>
      <c r="B14020" t="s">
        <v>72</v>
      </c>
      <c r="C14020">
        <v>1</v>
      </c>
      <c r="D14020" t="s">
        <v>92</v>
      </c>
      <c r="E14020">
        <v>4.3969999999999999E-3</v>
      </c>
      <c r="F14020" t="s">
        <v>74</v>
      </c>
      <c r="G14020">
        <v>4.3971999999999998</v>
      </c>
      <c r="H14020" t="s">
        <v>75</v>
      </c>
      <c r="I14020">
        <v>4397.2</v>
      </c>
      <c r="J14020" t="s">
        <v>76</v>
      </c>
      <c r="K14020" t="s">
        <v>77</v>
      </c>
    </row>
    <row r="14021" spans="1:12" x14ac:dyDescent="0.3">
      <c r="A14021" t="s">
        <v>496</v>
      </c>
      <c r="B14021" t="s">
        <v>72</v>
      </c>
      <c r="C14021">
        <v>1</v>
      </c>
      <c r="D14021" t="s">
        <v>93</v>
      </c>
      <c r="E14021">
        <v>0.10734299999999999</v>
      </c>
      <c r="F14021" t="s">
        <v>74</v>
      </c>
      <c r="G14021">
        <v>107.343</v>
      </c>
      <c r="H14021" t="s">
        <v>75</v>
      </c>
      <c r="I14021">
        <v>107343.003</v>
      </c>
      <c r="J14021" t="s">
        <v>76</v>
      </c>
      <c r="K14021" t="s">
        <v>77</v>
      </c>
    </row>
    <row r="14022" spans="1:12" x14ac:dyDescent="0.3">
      <c r="A14022" t="s">
        <v>496</v>
      </c>
      <c r="B14022" t="s">
        <v>72</v>
      </c>
      <c r="C14022">
        <v>1</v>
      </c>
      <c r="D14022" t="s">
        <v>79</v>
      </c>
      <c r="E14022">
        <v>0.40853099999999998</v>
      </c>
      <c r="F14022" t="s">
        <v>74</v>
      </c>
      <c r="G14022">
        <v>408.53149000000002</v>
      </c>
      <c r="H14022" t="s">
        <v>75</v>
      </c>
      <c r="I14022">
        <v>408531.48700000002</v>
      </c>
      <c r="J14022" t="s">
        <v>76</v>
      </c>
      <c r="K14022" t="s">
        <v>77</v>
      </c>
    </row>
    <row r="14023" spans="1:12" x14ac:dyDescent="0.3">
      <c r="A14023" t="s">
        <v>496</v>
      </c>
      <c r="B14023" t="s">
        <v>72</v>
      </c>
      <c r="C14023">
        <v>1</v>
      </c>
      <c r="D14023" t="s">
        <v>94</v>
      </c>
      <c r="E14023">
        <v>1.6195000000000001E-2</v>
      </c>
      <c r="F14023" t="s">
        <v>74</v>
      </c>
      <c r="G14023">
        <v>16.195</v>
      </c>
      <c r="H14023" t="s">
        <v>75</v>
      </c>
      <c r="I14023">
        <v>16194.999</v>
      </c>
      <c r="J14023" t="s">
        <v>76</v>
      </c>
      <c r="K14023" t="s">
        <v>77</v>
      </c>
    </row>
    <row r="14024" spans="1:12" x14ac:dyDescent="0.3">
      <c r="A14024" t="s">
        <v>496</v>
      </c>
      <c r="B14024" t="s">
        <v>72</v>
      </c>
      <c r="C14024">
        <v>1</v>
      </c>
      <c r="D14024" t="s">
        <v>80</v>
      </c>
      <c r="E14024">
        <v>1.6195999999999999E-2</v>
      </c>
      <c r="F14024" t="s">
        <v>74</v>
      </c>
      <c r="G14024">
        <v>16.195699999999999</v>
      </c>
      <c r="H14024" t="s">
        <v>75</v>
      </c>
      <c r="I14024">
        <v>16195.7</v>
      </c>
      <c r="J14024" t="s">
        <v>76</v>
      </c>
      <c r="K14024" t="s">
        <v>77</v>
      </c>
    </row>
    <row r="14025" spans="1:12" x14ac:dyDescent="0.3">
      <c r="A14025" t="s">
        <v>496</v>
      </c>
      <c r="B14025" t="s">
        <v>72</v>
      </c>
      <c r="C14025">
        <v>1</v>
      </c>
      <c r="D14025" t="s">
        <v>81</v>
      </c>
      <c r="E14025">
        <v>0.42472700000000002</v>
      </c>
      <c r="F14025" t="s">
        <v>74</v>
      </c>
      <c r="G14025">
        <v>424.72741000000002</v>
      </c>
      <c r="H14025" t="s">
        <v>75</v>
      </c>
      <c r="I14025">
        <v>424727.41</v>
      </c>
      <c r="J14025" t="s">
        <v>76</v>
      </c>
      <c r="K14025" t="s">
        <v>82</v>
      </c>
      <c r="L14025">
        <v>2.3544513</v>
      </c>
    </row>
    <row r="14026" spans="1:12" x14ac:dyDescent="0.3">
      <c r="A14026" t="s">
        <v>496</v>
      </c>
      <c r="B14026" t="s">
        <v>83</v>
      </c>
      <c r="C14026">
        <v>529</v>
      </c>
      <c r="D14026" t="s">
        <v>91</v>
      </c>
      <c r="E14026">
        <v>5.71E-4</v>
      </c>
      <c r="F14026" t="s">
        <v>74</v>
      </c>
      <c r="G14026">
        <v>0.57057999999999998</v>
      </c>
      <c r="H14026" t="s">
        <v>75</v>
      </c>
      <c r="I14026">
        <v>570.58399999999995</v>
      </c>
      <c r="J14026" t="s">
        <v>76</v>
      </c>
      <c r="K14026" t="s">
        <v>77</v>
      </c>
    </row>
    <row r="14027" spans="1:12" x14ac:dyDescent="0.3">
      <c r="A14027" t="s">
        <v>496</v>
      </c>
      <c r="B14027" t="s">
        <v>83</v>
      </c>
      <c r="C14027">
        <v>529</v>
      </c>
      <c r="D14027" t="s">
        <v>92</v>
      </c>
      <c r="E14027">
        <v>8.5400000000000005E-4</v>
      </c>
      <c r="F14027" t="s">
        <v>74</v>
      </c>
      <c r="G14027">
        <v>0.85419999999999996</v>
      </c>
      <c r="H14027" t="s">
        <v>75</v>
      </c>
      <c r="I14027">
        <v>854.20399999999995</v>
      </c>
      <c r="J14027" t="s">
        <v>76</v>
      </c>
      <c r="K14027" t="s">
        <v>77</v>
      </c>
    </row>
    <row r="14028" spans="1:12" x14ac:dyDescent="0.3">
      <c r="A14028" t="s">
        <v>496</v>
      </c>
      <c r="B14028" t="s">
        <v>83</v>
      </c>
      <c r="C14028">
        <v>529</v>
      </c>
      <c r="D14028" t="s">
        <v>93</v>
      </c>
      <c r="E14028">
        <v>5.31E-4</v>
      </c>
      <c r="F14028" t="s">
        <v>74</v>
      </c>
      <c r="G14028">
        <v>0.53112000000000004</v>
      </c>
      <c r="H14028" t="s">
        <v>75</v>
      </c>
      <c r="I14028">
        <v>531.11900000000003</v>
      </c>
      <c r="J14028" t="s">
        <v>76</v>
      </c>
      <c r="K14028" t="s">
        <v>77</v>
      </c>
    </row>
    <row r="14029" spans="1:12" x14ac:dyDescent="0.3">
      <c r="A14029" t="s">
        <v>496</v>
      </c>
      <c r="B14029" t="s">
        <v>83</v>
      </c>
      <c r="C14029">
        <v>529</v>
      </c>
      <c r="D14029" t="s">
        <v>79</v>
      </c>
      <c r="E14029">
        <v>1.957E-3</v>
      </c>
      <c r="F14029" t="s">
        <v>74</v>
      </c>
      <c r="G14029">
        <v>1.9569099999999999</v>
      </c>
      <c r="H14029" t="s">
        <v>75</v>
      </c>
      <c r="I14029">
        <v>1956.91</v>
      </c>
      <c r="J14029" t="s">
        <v>76</v>
      </c>
      <c r="K14029" t="s">
        <v>77</v>
      </c>
    </row>
    <row r="14030" spans="1:12" x14ac:dyDescent="0.3">
      <c r="A14030" t="s">
        <v>496</v>
      </c>
      <c r="B14030" t="s">
        <v>83</v>
      </c>
      <c r="C14030">
        <v>529</v>
      </c>
      <c r="D14030" t="s">
        <v>94</v>
      </c>
      <c r="E14030">
        <v>4.9150000000000001E-3</v>
      </c>
      <c r="F14030" t="s">
        <v>74</v>
      </c>
      <c r="G14030">
        <v>4.9150299999999998</v>
      </c>
      <c r="H14030" t="s">
        <v>75</v>
      </c>
      <c r="I14030">
        <v>4915.0349999999999</v>
      </c>
      <c r="J14030" t="s">
        <v>76</v>
      </c>
      <c r="K14030" t="s">
        <v>77</v>
      </c>
    </row>
    <row r="14031" spans="1:12" x14ac:dyDescent="0.3">
      <c r="A14031" t="s">
        <v>496</v>
      </c>
      <c r="B14031" t="s">
        <v>83</v>
      </c>
      <c r="C14031">
        <v>529</v>
      </c>
      <c r="D14031" t="s">
        <v>80</v>
      </c>
      <c r="E14031">
        <v>5.104E-3</v>
      </c>
      <c r="F14031" t="s">
        <v>74</v>
      </c>
      <c r="G14031">
        <v>5.1036000000000001</v>
      </c>
      <c r="H14031" t="s">
        <v>75</v>
      </c>
      <c r="I14031">
        <v>5103.6009999999997</v>
      </c>
      <c r="J14031" t="s">
        <v>76</v>
      </c>
      <c r="K14031" t="s">
        <v>77</v>
      </c>
    </row>
    <row r="14032" spans="1:12" x14ac:dyDescent="0.3">
      <c r="A14032" t="s">
        <v>496</v>
      </c>
      <c r="B14032" t="s">
        <v>83</v>
      </c>
      <c r="C14032">
        <v>529</v>
      </c>
      <c r="D14032" t="s">
        <v>81</v>
      </c>
      <c r="E14032">
        <v>7.0609999999999996E-3</v>
      </c>
      <c r="F14032" t="s">
        <v>74</v>
      </c>
      <c r="G14032">
        <v>7.0606900000000001</v>
      </c>
      <c r="H14032" t="s">
        <v>75</v>
      </c>
      <c r="I14032">
        <v>7060.6880000000001</v>
      </c>
      <c r="J14032" t="s">
        <v>76</v>
      </c>
      <c r="K14032" t="s">
        <v>82</v>
      </c>
      <c r="L14032">
        <v>141.6292527</v>
      </c>
    </row>
    <row r="14033" spans="1:12" x14ac:dyDescent="0.3">
      <c r="A14033" t="s">
        <v>496</v>
      </c>
      <c r="B14033" t="s">
        <v>84</v>
      </c>
      <c r="C14033">
        <v>530</v>
      </c>
      <c r="D14033" t="s">
        <v>91</v>
      </c>
      <c r="E14033">
        <v>1.129E-3</v>
      </c>
      <c r="F14033" t="s">
        <v>74</v>
      </c>
      <c r="G14033">
        <v>1.1294900000000001</v>
      </c>
      <c r="H14033" t="s">
        <v>75</v>
      </c>
      <c r="I14033">
        <v>1129.4880000000001</v>
      </c>
      <c r="J14033" t="s">
        <v>76</v>
      </c>
      <c r="K14033" t="s">
        <v>77</v>
      </c>
    </row>
    <row r="14034" spans="1:12" x14ac:dyDescent="0.3">
      <c r="A14034" t="s">
        <v>496</v>
      </c>
      <c r="B14034" t="s">
        <v>84</v>
      </c>
      <c r="C14034">
        <v>530</v>
      </c>
      <c r="D14034" t="s">
        <v>92</v>
      </c>
      <c r="E14034">
        <v>8.61E-4</v>
      </c>
      <c r="F14034" t="s">
        <v>74</v>
      </c>
      <c r="G14034">
        <v>0.86089000000000004</v>
      </c>
      <c r="H14034" t="s">
        <v>75</v>
      </c>
      <c r="I14034">
        <v>860.88900000000001</v>
      </c>
      <c r="J14034" t="s">
        <v>76</v>
      </c>
      <c r="K14034" t="s">
        <v>77</v>
      </c>
    </row>
    <row r="14035" spans="1:12" x14ac:dyDescent="0.3">
      <c r="A14035" t="s">
        <v>496</v>
      </c>
      <c r="B14035" t="s">
        <v>84</v>
      </c>
      <c r="C14035">
        <v>530</v>
      </c>
      <c r="D14035" t="s">
        <v>93</v>
      </c>
      <c r="E14035">
        <v>7.3300000000000004E-4</v>
      </c>
      <c r="F14035" t="s">
        <v>74</v>
      </c>
      <c r="G14035">
        <v>0.73265000000000002</v>
      </c>
      <c r="H14035" t="s">
        <v>75</v>
      </c>
      <c r="I14035">
        <v>732.65099999999995</v>
      </c>
      <c r="J14035" t="s">
        <v>76</v>
      </c>
      <c r="K14035" t="s">
        <v>77</v>
      </c>
    </row>
    <row r="14036" spans="1:12" x14ac:dyDescent="0.3">
      <c r="A14036" t="s">
        <v>496</v>
      </c>
      <c r="B14036" t="s">
        <v>84</v>
      </c>
      <c r="C14036">
        <v>530</v>
      </c>
      <c r="D14036" t="s">
        <v>79</v>
      </c>
      <c r="E14036">
        <v>2.7239999999999999E-3</v>
      </c>
      <c r="F14036" t="s">
        <v>74</v>
      </c>
      <c r="G14036">
        <v>2.72403</v>
      </c>
      <c r="H14036" t="s">
        <v>75</v>
      </c>
      <c r="I14036">
        <v>2724.0329999999999</v>
      </c>
      <c r="J14036" t="s">
        <v>76</v>
      </c>
      <c r="K14036" t="s">
        <v>77</v>
      </c>
    </row>
    <row r="14037" spans="1:12" x14ac:dyDescent="0.3">
      <c r="A14037" t="s">
        <v>496</v>
      </c>
      <c r="B14037" t="s">
        <v>84</v>
      </c>
      <c r="C14037">
        <v>530</v>
      </c>
      <c r="D14037" t="s">
        <v>94</v>
      </c>
      <c r="E14037">
        <v>4.9360000000000003E-3</v>
      </c>
      <c r="F14037" t="s">
        <v>74</v>
      </c>
      <c r="G14037">
        <v>4.9363200000000003</v>
      </c>
      <c r="H14037" t="s">
        <v>75</v>
      </c>
      <c r="I14037">
        <v>4936.3180000000002</v>
      </c>
      <c r="J14037" t="s">
        <v>76</v>
      </c>
      <c r="K14037" t="s">
        <v>77</v>
      </c>
    </row>
    <row r="14038" spans="1:12" x14ac:dyDescent="0.3">
      <c r="A14038" t="s">
        <v>496</v>
      </c>
      <c r="B14038" t="s">
        <v>84</v>
      </c>
      <c r="C14038">
        <v>530</v>
      </c>
      <c r="D14038" t="s">
        <v>80</v>
      </c>
      <c r="E14038">
        <v>5.1250000000000002E-3</v>
      </c>
      <c r="F14038" t="s">
        <v>74</v>
      </c>
      <c r="G14038">
        <v>5.12453</v>
      </c>
      <c r="H14038" t="s">
        <v>75</v>
      </c>
      <c r="I14038">
        <v>5124.5290000000005</v>
      </c>
      <c r="J14038" t="s">
        <v>76</v>
      </c>
      <c r="K14038" t="s">
        <v>77</v>
      </c>
    </row>
    <row r="14039" spans="1:12" x14ac:dyDescent="0.3">
      <c r="A14039" t="s">
        <v>496</v>
      </c>
      <c r="B14039" t="s">
        <v>84</v>
      </c>
      <c r="C14039">
        <v>530</v>
      </c>
      <c r="D14039" t="s">
        <v>81</v>
      </c>
      <c r="E14039">
        <v>7.8490000000000001E-3</v>
      </c>
      <c r="F14039" t="s">
        <v>74</v>
      </c>
      <c r="G14039">
        <v>7.8487400000000003</v>
      </c>
      <c r="H14039" t="s">
        <v>75</v>
      </c>
      <c r="I14039">
        <v>7848.741</v>
      </c>
      <c r="J14039" t="s">
        <v>76</v>
      </c>
      <c r="K14039" t="s">
        <v>82</v>
      </c>
      <c r="L14039">
        <v>127.4089769</v>
      </c>
    </row>
    <row r="14040" spans="1:12" x14ac:dyDescent="0.3">
      <c r="A14040" t="s">
        <v>497</v>
      </c>
      <c r="B14040" t="s">
        <v>72</v>
      </c>
      <c r="C14040">
        <v>1</v>
      </c>
      <c r="D14040" t="s">
        <v>91</v>
      </c>
      <c r="E14040">
        <v>0.11044900000000001</v>
      </c>
      <c r="F14040" t="s">
        <v>74</v>
      </c>
      <c r="G14040">
        <v>110.44880000000001</v>
      </c>
      <c r="H14040" t="s">
        <v>75</v>
      </c>
      <c r="I14040">
        <v>110448.8</v>
      </c>
      <c r="J14040" t="s">
        <v>76</v>
      </c>
      <c r="K14040" t="s">
        <v>77</v>
      </c>
    </row>
    <row r="14041" spans="1:12" x14ac:dyDescent="0.3">
      <c r="A14041" t="s">
        <v>497</v>
      </c>
      <c r="B14041" t="s">
        <v>72</v>
      </c>
      <c r="C14041">
        <v>1</v>
      </c>
      <c r="D14041" t="s">
        <v>92</v>
      </c>
      <c r="E14041">
        <v>6.1399999999999996E-4</v>
      </c>
      <c r="F14041" t="s">
        <v>74</v>
      </c>
      <c r="G14041">
        <v>0.61439999999999995</v>
      </c>
      <c r="H14041" t="s">
        <v>75</v>
      </c>
      <c r="I14041">
        <v>614.4</v>
      </c>
      <c r="J14041" t="s">
        <v>76</v>
      </c>
      <c r="K14041" t="s">
        <v>77</v>
      </c>
    </row>
    <row r="14042" spans="1:12" x14ac:dyDescent="0.3">
      <c r="A14042" t="s">
        <v>497</v>
      </c>
      <c r="B14042" t="s">
        <v>72</v>
      </c>
      <c r="C14042">
        <v>1</v>
      </c>
      <c r="D14042" t="s">
        <v>93</v>
      </c>
      <c r="E14042">
        <v>8.4114999999999995E-2</v>
      </c>
      <c r="F14042" t="s">
        <v>74</v>
      </c>
      <c r="G14042">
        <v>84.115499999999997</v>
      </c>
      <c r="H14042" t="s">
        <v>75</v>
      </c>
      <c r="I14042">
        <v>84115.498000000007</v>
      </c>
      <c r="J14042" t="s">
        <v>76</v>
      </c>
      <c r="K14042" t="s">
        <v>77</v>
      </c>
    </row>
    <row r="14043" spans="1:12" x14ac:dyDescent="0.3">
      <c r="A14043" t="s">
        <v>497</v>
      </c>
      <c r="B14043" t="s">
        <v>72</v>
      </c>
      <c r="C14043">
        <v>1</v>
      </c>
      <c r="D14043" t="s">
        <v>79</v>
      </c>
      <c r="E14043">
        <v>0.19517999999999999</v>
      </c>
      <c r="F14043" t="s">
        <v>74</v>
      </c>
      <c r="G14043">
        <v>195.17989</v>
      </c>
      <c r="H14043" t="s">
        <v>75</v>
      </c>
      <c r="I14043">
        <v>195179.89499999999</v>
      </c>
      <c r="J14043" t="s">
        <v>76</v>
      </c>
      <c r="K14043" t="s">
        <v>77</v>
      </c>
    </row>
    <row r="14044" spans="1:12" x14ac:dyDescent="0.3">
      <c r="A14044" t="s">
        <v>497</v>
      </c>
      <c r="B14044" t="s">
        <v>72</v>
      </c>
      <c r="C14044">
        <v>1</v>
      </c>
      <c r="D14044" t="s">
        <v>94</v>
      </c>
      <c r="E14044">
        <v>9.9900000000000006E-3</v>
      </c>
      <c r="F14044" t="s">
        <v>74</v>
      </c>
      <c r="G14044">
        <v>9.9895999999999994</v>
      </c>
      <c r="H14044" t="s">
        <v>75</v>
      </c>
      <c r="I14044">
        <v>9989.6</v>
      </c>
      <c r="J14044" t="s">
        <v>76</v>
      </c>
      <c r="K14044" t="s">
        <v>77</v>
      </c>
    </row>
    <row r="14045" spans="1:12" x14ac:dyDescent="0.3">
      <c r="A14045" t="s">
        <v>497</v>
      </c>
      <c r="B14045" t="s">
        <v>72</v>
      </c>
      <c r="C14045">
        <v>1</v>
      </c>
      <c r="D14045" t="s">
        <v>80</v>
      </c>
      <c r="E14045">
        <v>9.9909999999999999E-3</v>
      </c>
      <c r="F14045" t="s">
        <v>74</v>
      </c>
      <c r="G14045">
        <v>9.9906000000000006</v>
      </c>
      <c r="H14045" t="s">
        <v>75</v>
      </c>
      <c r="I14045">
        <v>9990.6</v>
      </c>
      <c r="J14045" t="s">
        <v>76</v>
      </c>
      <c r="K14045" t="s">
        <v>77</v>
      </c>
    </row>
    <row r="14046" spans="1:12" x14ac:dyDescent="0.3">
      <c r="A14046" t="s">
        <v>497</v>
      </c>
      <c r="B14046" t="s">
        <v>72</v>
      </c>
      <c r="C14046">
        <v>1</v>
      </c>
      <c r="D14046" t="s">
        <v>81</v>
      </c>
      <c r="E14046">
        <v>0.20517099999999999</v>
      </c>
      <c r="F14046" t="s">
        <v>74</v>
      </c>
      <c r="G14046">
        <v>205.17071000000001</v>
      </c>
      <c r="H14046" t="s">
        <v>75</v>
      </c>
      <c r="I14046">
        <v>205170.70600000001</v>
      </c>
      <c r="J14046" t="s">
        <v>76</v>
      </c>
      <c r="K14046" t="s">
        <v>82</v>
      </c>
      <c r="L14046">
        <v>4.8739901999999997</v>
      </c>
    </row>
    <row r="14047" spans="1:12" x14ac:dyDescent="0.3">
      <c r="A14047" t="s">
        <v>497</v>
      </c>
      <c r="B14047" t="s">
        <v>83</v>
      </c>
      <c r="C14047">
        <v>470</v>
      </c>
      <c r="D14047" t="s">
        <v>91</v>
      </c>
      <c r="E14047">
        <v>9.0399999999999996E-4</v>
      </c>
      <c r="F14047" t="s">
        <v>74</v>
      </c>
      <c r="G14047">
        <v>0.90371999999999997</v>
      </c>
      <c r="H14047" t="s">
        <v>75</v>
      </c>
      <c r="I14047">
        <v>903.71500000000003</v>
      </c>
      <c r="J14047" t="s">
        <v>76</v>
      </c>
      <c r="K14047" t="s">
        <v>77</v>
      </c>
    </row>
    <row r="14048" spans="1:12" x14ac:dyDescent="0.3">
      <c r="A14048" t="s">
        <v>497</v>
      </c>
      <c r="B14048" t="s">
        <v>83</v>
      </c>
      <c r="C14048">
        <v>470</v>
      </c>
      <c r="D14048" t="s">
        <v>92</v>
      </c>
      <c r="E14048">
        <v>5.3499999999999999E-4</v>
      </c>
      <c r="F14048" t="s">
        <v>74</v>
      </c>
      <c r="G14048">
        <v>0.53481000000000001</v>
      </c>
      <c r="H14048" t="s">
        <v>75</v>
      </c>
      <c r="I14048">
        <v>534.81200000000001</v>
      </c>
      <c r="J14048" t="s">
        <v>76</v>
      </c>
      <c r="K14048" t="s">
        <v>77</v>
      </c>
    </row>
    <row r="14049" spans="1:12" x14ac:dyDescent="0.3">
      <c r="A14049" t="s">
        <v>497</v>
      </c>
      <c r="B14049" t="s">
        <v>83</v>
      </c>
      <c r="C14049">
        <v>470</v>
      </c>
      <c r="D14049" t="s">
        <v>93</v>
      </c>
      <c r="E14049">
        <v>5.3300000000000005E-4</v>
      </c>
      <c r="F14049" t="s">
        <v>74</v>
      </c>
      <c r="G14049">
        <v>0.53258000000000005</v>
      </c>
      <c r="H14049" t="s">
        <v>75</v>
      </c>
      <c r="I14049">
        <v>532.58000000000004</v>
      </c>
      <c r="J14049" t="s">
        <v>76</v>
      </c>
      <c r="K14049" t="s">
        <v>77</v>
      </c>
    </row>
    <row r="14050" spans="1:12" x14ac:dyDescent="0.3">
      <c r="A14050" t="s">
        <v>497</v>
      </c>
      <c r="B14050" t="s">
        <v>83</v>
      </c>
      <c r="C14050">
        <v>470</v>
      </c>
      <c r="D14050" t="s">
        <v>79</v>
      </c>
      <c r="E14050">
        <v>1.9729999999999999E-3</v>
      </c>
      <c r="F14050" t="s">
        <v>74</v>
      </c>
      <c r="G14050">
        <v>1.97268</v>
      </c>
      <c r="H14050" t="s">
        <v>75</v>
      </c>
      <c r="I14050">
        <v>1972.6849999999999</v>
      </c>
      <c r="J14050" t="s">
        <v>76</v>
      </c>
      <c r="K14050" t="s">
        <v>77</v>
      </c>
    </row>
    <row r="14051" spans="1:12" x14ac:dyDescent="0.3">
      <c r="A14051" t="s">
        <v>497</v>
      </c>
      <c r="B14051" t="s">
        <v>83</v>
      </c>
      <c r="C14051">
        <v>470</v>
      </c>
      <c r="D14051" t="s">
        <v>94</v>
      </c>
      <c r="E14051">
        <v>6.2350000000000001E-3</v>
      </c>
      <c r="F14051" t="s">
        <v>74</v>
      </c>
      <c r="G14051">
        <v>6.23543</v>
      </c>
      <c r="H14051" t="s">
        <v>75</v>
      </c>
      <c r="I14051">
        <v>6235.4350000000004</v>
      </c>
      <c r="J14051" t="s">
        <v>76</v>
      </c>
      <c r="K14051" t="s">
        <v>77</v>
      </c>
    </row>
    <row r="14052" spans="1:12" x14ac:dyDescent="0.3">
      <c r="A14052" t="s">
        <v>497</v>
      </c>
      <c r="B14052" t="s">
        <v>83</v>
      </c>
      <c r="C14052">
        <v>470</v>
      </c>
      <c r="D14052" t="s">
        <v>80</v>
      </c>
      <c r="E14052">
        <v>6.4409999999999997E-3</v>
      </c>
      <c r="F14052" t="s">
        <v>74</v>
      </c>
      <c r="G14052">
        <v>6.4412900000000004</v>
      </c>
      <c r="H14052" t="s">
        <v>75</v>
      </c>
      <c r="I14052">
        <v>6441.2889999999998</v>
      </c>
      <c r="J14052" t="s">
        <v>76</v>
      </c>
      <c r="K14052" t="s">
        <v>77</v>
      </c>
    </row>
    <row r="14053" spans="1:12" x14ac:dyDescent="0.3">
      <c r="A14053" t="s">
        <v>497</v>
      </c>
      <c r="B14053" t="s">
        <v>83</v>
      </c>
      <c r="C14053">
        <v>470</v>
      </c>
      <c r="D14053" t="s">
        <v>81</v>
      </c>
      <c r="E14053">
        <v>8.4139999999999996E-3</v>
      </c>
      <c r="F14053" t="s">
        <v>74</v>
      </c>
      <c r="G14053">
        <v>8.4143500000000007</v>
      </c>
      <c r="H14053" t="s">
        <v>75</v>
      </c>
      <c r="I14053">
        <v>8414.3529999999992</v>
      </c>
      <c r="J14053" t="s">
        <v>76</v>
      </c>
      <c r="K14053" t="s">
        <v>82</v>
      </c>
      <c r="L14053">
        <v>118.8445547</v>
      </c>
    </row>
    <row r="14054" spans="1:12" x14ac:dyDescent="0.3">
      <c r="A14054" t="s">
        <v>497</v>
      </c>
      <c r="B14054" t="s">
        <v>84</v>
      </c>
      <c r="C14054">
        <v>471</v>
      </c>
      <c r="D14054" t="s">
        <v>91</v>
      </c>
      <c r="E14054">
        <v>1.1360000000000001E-3</v>
      </c>
      <c r="F14054" t="s">
        <v>74</v>
      </c>
      <c r="G14054">
        <v>1.13629</v>
      </c>
      <c r="H14054" t="s">
        <v>75</v>
      </c>
      <c r="I14054">
        <v>1136.2950000000001</v>
      </c>
      <c r="J14054" t="s">
        <v>76</v>
      </c>
      <c r="K14054" t="s">
        <v>77</v>
      </c>
    </row>
    <row r="14055" spans="1:12" x14ac:dyDescent="0.3">
      <c r="A14055" t="s">
        <v>497</v>
      </c>
      <c r="B14055" t="s">
        <v>84</v>
      </c>
      <c r="C14055">
        <v>471</v>
      </c>
      <c r="D14055" t="s">
        <v>92</v>
      </c>
      <c r="E14055">
        <v>5.3499999999999999E-4</v>
      </c>
      <c r="F14055" t="s">
        <v>74</v>
      </c>
      <c r="G14055">
        <v>0.53498000000000001</v>
      </c>
      <c r="H14055" t="s">
        <v>75</v>
      </c>
      <c r="I14055">
        <v>534.98099999999999</v>
      </c>
      <c r="J14055" t="s">
        <v>76</v>
      </c>
      <c r="K14055" t="s">
        <v>77</v>
      </c>
    </row>
    <row r="14056" spans="1:12" x14ac:dyDescent="0.3">
      <c r="A14056" t="s">
        <v>497</v>
      </c>
      <c r="B14056" t="s">
        <v>84</v>
      </c>
      <c r="C14056">
        <v>471</v>
      </c>
      <c r="D14056" t="s">
        <v>93</v>
      </c>
      <c r="E14056">
        <v>7.1000000000000002E-4</v>
      </c>
      <c r="F14056" t="s">
        <v>74</v>
      </c>
      <c r="G14056">
        <v>0.71004</v>
      </c>
      <c r="H14056" t="s">
        <v>75</v>
      </c>
      <c r="I14056">
        <v>710.03800000000001</v>
      </c>
      <c r="J14056" t="s">
        <v>76</v>
      </c>
      <c r="K14056" t="s">
        <v>77</v>
      </c>
    </row>
    <row r="14057" spans="1:12" x14ac:dyDescent="0.3">
      <c r="A14057" t="s">
        <v>497</v>
      </c>
      <c r="B14057" t="s">
        <v>84</v>
      </c>
      <c r="C14057">
        <v>471</v>
      </c>
      <c r="D14057" t="s">
        <v>79</v>
      </c>
      <c r="E14057">
        <v>2.3830000000000001E-3</v>
      </c>
      <c r="F14057" t="s">
        <v>74</v>
      </c>
      <c r="G14057">
        <v>2.3828900000000002</v>
      </c>
      <c r="H14057" t="s">
        <v>75</v>
      </c>
      <c r="I14057">
        <v>2382.8919999999998</v>
      </c>
      <c r="J14057" t="s">
        <v>76</v>
      </c>
      <c r="K14057" t="s">
        <v>77</v>
      </c>
    </row>
    <row r="14058" spans="1:12" x14ac:dyDescent="0.3">
      <c r="A14058" t="s">
        <v>497</v>
      </c>
      <c r="B14058" t="s">
        <v>84</v>
      </c>
      <c r="C14058">
        <v>471</v>
      </c>
      <c r="D14058" t="s">
        <v>94</v>
      </c>
      <c r="E14058">
        <v>6.2430000000000003E-3</v>
      </c>
      <c r="F14058" t="s">
        <v>74</v>
      </c>
      <c r="G14058">
        <v>6.2434099999999999</v>
      </c>
      <c r="H14058" t="s">
        <v>75</v>
      </c>
      <c r="I14058">
        <v>6243.4049999999997</v>
      </c>
      <c r="J14058" t="s">
        <v>76</v>
      </c>
      <c r="K14058" t="s">
        <v>77</v>
      </c>
    </row>
    <row r="14059" spans="1:12" x14ac:dyDescent="0.3">
      <c r="A14059" t="s">
        <v>497</v>
      </c>
      <c r="B14059" t="s">
        <v>84</v>
      </c>
      <c r="C14059">
        <v>471</v>
      </c>
      <c r="D14059" t="s">
        <v>80</v>
      </c>
      <c r="E14059">
        <v>6.4489999999999999E-3</v>
      </c>
      <c r="F14059" t="s">
        <v>74</v>
      </c>
      <c r="G14059">
        <v>6.4488300000000001</v>
      </c>
      <c r="H14059" t="s">
        <v>75</v>
      </c>
      <c r="I14059">
        <v>6448.8249999999998</v>
      </c>
      <c r="J14059" t="s">
        <v>76</v>
      </c>
      <c r="K14059" t="s">
        <v>77</v>
      </c>
    </row>
    <row r="14060" spans="1:12" x14ac:dyDescent="0.3">
      <c r="A14060" t="s">
        <v>497</v>
      </c>
      <c r="B14060" t="s">
        <v>84</v>
      </c>
      <c r="C14060">
        <v>471</v>
      </c>
      <c r="D14060" t="s">
        <v>81</v>
      </c>
      <c r="E14060">
        <v>8.8319999999999996E-3</v>
      </c>
      <c r="F14060" t="s">
        <v>74</v>
      </c>
      <c r="G14060">
        <v>8.8321000000000005</v>
      </c>
      <c r="H14060" t="s">
        <v>75</v>
      </c>
      <c r="I14060">
        <v>8832.0949999999993</v>
      </c>
      <c r="J14060" t="s">
        <v>76</v>
      </c>
      <c r="K14060" t="s">
        <v>82</v>
      </c>
      <c r="L14060">
        <v>113.2234162</v>
      </c>
    </row>
    <row r="14061" spans="1:12" x14ac:dyDescent="0.3">
      <c r="A14061" t="s">
        <v>498</v>
      </c>
      <c r="B14061" t="s">
        <v>72</v>
      </c>
      <c r="C14061">
        <v>1</v>
      </c>
      <c r="D14061" t="s">
        <v>73</v>
      </c>
      <c r="E14061">
        <v>7.8999999999999996E-5</v>
      </c>
      <c r="F14061" t="s">
        <v>74</v>
      </c>
      <c r="G14061">
        <v>7.8799999999999995E-2</v>
      </c>
      <c r="H14061" t="s">
        <v>75</v>
      </c>
      <c r="I14061">
        <v>78.8</v>
      </c>
      <c r="J14061" t="s">
        <v>76</v>
      </c>
      <c r="K14061" t="s">
        <v>77</v>
      </c>
    </row>
    <row r="14062" spans="1:12" x14ac:dyDescent="0.3">
      <c r="A14062" t="s">
        <v>498</v>
      </c>
      <c r="B14062" t="s">
        <v>72</v>
      </c>
      <c r="C14062">
        <v>1</v>
      </c>
      <c r="D14062" t="s">
        <v>78</v>
      </c>
      <c r="E14062">
        <v>0.12826100000000001</v>
      </c>
      <c r="F14062" t="s">
        <v>74</v>
      </c>
      <c r="G14062">
        <v>128.26089999999999</v>
      </c>
      <c r="H14062" t="s">
        <v>75</v>
      </c>
      <c r="I14062">
        <v>128260.89599999999</v>
      </c>
      <c r="J14062" t="s">
        <v>76</v>
      </c>
      <c r="K14062" t="s">
        <v>77</v>
      </c>
    </row>
    <row r="14063" spans="1:12" x14ac:dyDescent="0.3">
      <c r="A14063" t="s">
        <v>498</v>
      </c>
      <c r="B14063" t="s">
        <v>72</v>
      </c>
      <c r="C14063">
        <v>2</v>
      </c>
      <c r="D14063" t="s">
        <v>86</v>
      </c>
      <c r="E14063">
        <v>0.212391</v>
      </c>
      <c r="F14063" t="s">
        <v>74</v>
      </c>
      <c r="G14063">
        <v>212.39089999999999</v>
      </c>
      <c r="H14063" t="s">
        <v>75</v>
      </c>
      <c r="I14063">
        <v>212390.9</v>
      </c>
      <c r="J14063" t="s">
        <v>76</v>
      </c>
      <c r="K14063" t="s">
        <v>82</v>
      </c>
      <c r="L14063">
        <v>4.7082997000000004</v>
      </c>
    </row>
    <row r="14064" spans="1:12" x14ac:dyDescent="0.3">
      <c r="A14064" t="s">
        <v>498</v>
      </c>
      <c r="B14064" t="s">
        <v>83</v>
      </c>
      <c r="C14064">
        <v>999</v>
      </c>
      <c r="D14064" t="s">
        <v>86</v>
      </c>
      <c r="E14064">
        <v>3.9690000000000003E-3</v>
      </c>
      <c r="F14064" t="s">
        <v>74</v>
      </c>
      <c r="G14064">
        <v>3.9693700000000001</v>
      </c>
      <c r="H14064" t="s">
        <v>75</v>
      </c>
      <c r="I14064">
        <v>3969.366</v>
      </c>
      <c r="J14064" t="s">
        <v>76</v>
      </c>
      <c r="K14064" t="s">
        <v>82</v>
      </c>
      <c r="L14064">
        <v>251.92943109999999</v>
      </c>
    </row>
    <row r="14065" spans="1:12" x14ac:dyDescent="0.3">
      <c r="A14065" t="s">
        <v>498</v>
      </c>
      <c r="B14065" t="s">
        <v>85</v>
      </c>
      <c r="C14065">
        <v>1001</v>
      </c>
      <c r="D14065" t="s">
        <v>86</v>
      </c>
      <c r="E14065">
        <v>4.1720000000000004E-3</v>
      </c>
      <c r="F14065" t="s">
        <v>74</v>
      </c>
      <c r="G14065">
        <v>4.1715499999999999</v>
      </c>
      <c r="H14065" t="s">
        <v>75</v>
      </c>
      <c r="I14065">
        <v>4171.5550000000003</v>
      </c>
      <c r="J14065" t="s">
        <v>76</v>
      </c>
      <c r="K14065" t="s">
        <v>82</v>
      </c>
      <c r="L14065">
        <v>239.7187701</v>
      </c>
    </row>
    <row r="14066" spans="1:12" x14ac:dyDescent="0.3">
      <c r="A14066" t="s">
        <v>115</v>
      </c>
    </row>
    <row r="14067" spans="1:12" x14ac:dyDescent="0.3">
      <c r="A14067" t="s">
        <v>127</v>
      </c>
    </row>
    <row r="14068" spans="1:12" x14ac:dyDescent="0.3">
      <c r="A14068" t="s">
        <v>87</v>
      </c>
    </row>
    <row r="14069" spans="1:12" x14ac:dyDescent="0.3">
      <c r="A14069" t="s">
        <v>499</v>
      </c>
    </row>
    <row r="14070" spans="1:12" x14ac:dyDescent="0.3">
      <c r="A14070" t="s">
        <v>496</v>
      </c>
      <c r="B14070" t="s">
        <v>72</v>
      </c>
      <c r="C14070">
        <v>1</v>
      </c>
      <c r="D14070" t="s">
        <v>81</v>
      </c>
      <c r="E14070">
        <v>0.42472700000000002</v>
      </c>
      <c r="F14070" t="s">
        <v>74</v>
      </c>
      <c r="G14070">
        <v>424.72741000000002</v>
      </c>
      <c r="H14070" t="s">
        <v>75</v>
      </c>
      <c r="I14070">
        <v>424727.41</v>
      </c>
      <c r="J14070" t="s">
        <v>76</v>
      </c>
      <c r="K14070" t="s">
        <v>82</v>
      </c>
      <c r="L14070">
        <v>2.3544513</v>
      </c>
    </row>
    <row r="14071" spans="1:12" x14ac:dyDescent="0.3">
      <c r="A14071" t="s">
        <v>496</v>
      </c>
      <c r="B14071" t="s">
        <v>83</v>
      </c>
      <c r="C14071">
        <v>529</v>
      </c>
      <c r="D14071" t="s">
        <v>81</v>
      </c>
      <c r="E14071">
        <v>7.0609999999999996E-3</v>
      </c>
      <c r="F14071" t="s">
        <v>74</v>
      </c>
      <c r="G14071">
        <v>7.0606900000000001</v>
      </c>
      <c r="H14071" t="s">
        <v>75</v>
      </c>
      <c r="I14071">
        <v>7060.6880000000001</v>
      </c>
      <c r="J14071" t="s">
        <v>76</v>
      </c>
      <c r="K14071" t="s">
        <v>82</v>
      </c>
      <c r="L14071">
        <v>141.6292527</v>
      </c>
    </row>
    <row r="14072" spans="1:12" x14ac:dyDescent="0.3">
      <c r="A14072" t="s">
        <v>496</v>
      </c>
      <c r="B14072" t="s">
        <v>84</v>
      </c>
      <c r="C14072">
        <v>530</v>
      </c>
      <c r="D14072" t="s">
        <v>81</v>
      </c>
      <c r="E14072">
        <v>7.8490000000000001E-3</v>
      </c>
      <c r="F14072" t="s">
        <v>74</v>
      </c>
      <c r="G14072">
        <v>7.8487400000000003</v>
      </c>
      <c r="H14072" t="s">
        <v>75</v>
      </c>
      <c r="I14072">
        <v>7848.741</v>
      </c>
      <c r="J14072" t="s">
        <v>76</v>
      </c>
      <c r="K14072" t="s">
        <v>82</v>
      </c>
      <c r="L14072">
        <v>127.4089769</v>
      </c>
    </row>
    <row r="14073" spans="1:12" x14ac:dyDescent="0.3">
      <c r="A14073" t="s">
        <v>497</v>
      </c>
      <c r="B14073" t="s">
        <v>72</v>
      </c>
      <c r="C14073">
        <v>1</v>
      </c>
      <c r="D14073" t="s">
        <v>81</v>
      </c>
      <c r="E14073">
        <v>0.20517099999999999</v>
      </c>
      <c r="F14073" t="s">
        <v>74</v>
      </c>
      <c r="G14073">
        <v>205.17071000000001</v>
      </c>
      <c r="H14073" t="s">
        <v>75</v>
      </c>
      <c r="I14073">
        <v>205170.70600000001</v>
      </c>
      <c r="J14073" t="s">
        <v>76</v>
      </c>
      <c r="K14073" t="s">
        <v>82</v>
      </c>
      <c r="L14073">
        <v>4.8739901999999997</v>
      </c>
    </row>
    <row r="14074" spans="1:12" x14ac:dyDescent="0.3">
      <c r="A14074" t="s">
        <v>497</v>
      </c>
      <c r="B14074" t="s">
        <v>83</v>
      </c>
      <c r="C14074">
        <v>470</v>
      </c>
      <c r="D14074" t="s">
        <v>81</v>
      </c>
      <c r="E14074">
        <v>8.4139999999999996E-3</v>
      </c>
      <c r="F14074" t="s">
        <v>74</v>
      </c>
      <c r="G14074">
        <v>8.4143500000000007</v>
      </c>
      <c r="H14074" t="s">
        <v>75</v>
      </c>
      <c r="I14074">
        <v>8414.3529999999992</v>
      </c>
      <c r="J14074" t="s">
        <v>76</v>
      </c>
      <c r="K14074" t="s">
        <v>82</v>
      </c>
      <c r="L14074">
        <v>118.8445547</v>
      </c>
    </row>
    <row r="14075" spans="1:12" x14ac:dyDescent="0.3">
      <c r="A14075" t="s">
        <v>497</v>
      </c>
      <c r="B14075" t="s">
        <v>84</v>
      </c>
      <c r="C14075">
        <v>471</v>
      </c>
      <c r="D14075" t="s">
        <v>81</v>
      </c>
      <c r="E14075">
        <v>8.8319999999999996E-3</v>
      </c>
      <c r="F14075" t="s">
        <v>74</v>
      </c>
      <c r="G14075">
        <v>8.8321000000000005</v>
      </c>
      <c r="H14075" t="s">
        <v>75</v>
      </c>
      <c r="I14075">
        <v>8832.0949999999993</v>
      </c>
      <c r="J14075" t="s">
        <v>76</v>
      </c>
      <c r="K14075" t="s">
        <v>82</v>
      </c>
      <c r="L14075">
        <v>113.2234162</v>
      </c>
    </row>
    <row r="14076" spans="1:12" x14ac:dyDescent="0.3">
      <c r="A14076" t="s">
        <v>498</v>
      </c>
      <c r="B14076" t="s">
        <v>72</v>
      </c>
      <c r="C14076">
        <v>2</v>
      </c>
      <c r="D14076" t="s">
        <v>86</v>
      </c>
      <c r="E14076">
        <v>0.212391</v>
      </c>
      <c r="F14076" t="s">
        <v>74</v>
      </c>
      <c r="G14076">
        <v>212.39089999999999</v>
      </c>
      <c r="H14076" t="s">
        <v>75</v>
      </c>
      <c r="I14076">
        <v>212390.9</v>
      </c>
      <c r="J14076" t="s">
        <v>76</v>
      </c>
      <c r="K14076" t="s">
        <v>82</v>
      </c>
      <c r="L14076">
        <v>4.7082997000000004</v>
      </c>
    </row>
    <row r="14077" spans="1:12" x14ac:dyDescent="0.3">
      <c r="A14077" t="s">
        <v>498</v>
      </c>
      <c r="B14077" t="s">
        <v>83</v>
      </c>
      <c r="C14077">
        <v>999</v>
      </c>
      <c r="D14077" t="s">
        <v>86</v>
      </c>
      <c r="E14077">
        <v>3.9690000000000003E-3</v>
      </c>
      <c r="F14077" t="s">
        <v>74</v>
      </c>
      <c r="G14077">
        <v>3.9693700000000001</v>
      </c>
      <c r="H14077" t="s">
        <v>75</v>
      </c>
      <c r="I14077">
        <v>3969.366</v>
      </c>
      <c r="J14077" t="s">
        <v>76</v>
      </c>
      <c r="K14077" t="s">
        <v>82</v>
      </c>
      <c r="L14077">
        <v>251.92943109999999</v>
      </c>
    </row>
    <row r="14078" spans="1:12" x14ac:dyDescent="0.3">
      <c r="A14078" t="s">
        <v>498</v>
      </c>
      <c r="B14078" t="s">
        <v>85</v>
      </c>
      <c r="C14078">
        <v>1001</v>
      </c>
      <c r="D14078" t="s">
        <v>86</v>
      </c>
      <c r="E14078">
        <v>4.1720000000000004E-3</v>
      </c>
      <c r="F14078" t="s">
        <v>74</v>
      </c>
      <c r="G14078">
        <v>4.1715499999999999</v>
      </c>
      <c r="H14078" t="s">
        <v>75</v>
      </c>
      <c r="I14078">
        <v>4171.5550000000003</v>
      </c>
      <c r="J14078" t="s">
        <v>76</v>
      </c>
      <c r="K14078" t="s">
        <v>82</v>
      </c>
      <c r="L14078">
        <v>239.7187701</v>
      </c>
    </row>
    <row r="14080" spans="1:12" x14ac:dyDescent="0.3">
      <c r="A14080" t="s">
        <v>66</v>
      </c>
    </row>
    <row r="14082" spans="1:1" x14ac:dyDescent="0.3">
      <c r="A14082" t="s">
        <v>580</v>
      </c>
    </row>
    <row r="14083" spans="1:1" x14ac:dyDescent="0.3">
      <c r="A14083" t="s">
        <v>68</v>
      </c>
    </row>
    <row r="14084" spans="1:1" x14ac:dyDescent="0.3">
      <c r="A14084" t="s">
        <v>69</v>
      </c>
    </row>
    <row r="14085" spans="1:1" x14ac:dyDescent="0.3">
      <c r="A14085" t="s">
        <v>68</v>
      </c>
    </row>
    <row r="14086" spans="1:1" x14ac:dyDescent="0.3">
      <c r="A14086" t="s">
        <v>69</v>
      </c>
    </row>
    <row r="14087" spans="1:1" x14ac:dyDescent="0.3">
      <c r="A14087" t="s">
        <v>70</v>
      </c>
    </row>
    <row r="14088" spans="1:1" x14ac:dyDescent="0.3">
      <c r="A14088" t="s">
        <v>115</v>
      </c>
    </row>
    <row r="14089" spans="1:1" x14ac:dyDescent="0.3">
      <c r="A14089" t="s">
        <v>116</v>
      </c>
    </row>
    <row r="14090" spans="1:1" x14ac:dyDescent="0.3">
      <c r="A14090" t="s">
        <v>117</v>
      </c>
    </row>
    <row r="14091" spans="1:1" x14ac:dyDescent="0.3">
      <c r="A14091" t="s">
        <v>118</v>
      </c>
    </row>
    <row r="14092" spans="1:1" x14ac:dyDescent="0.3">
      <c r="A14092" t="s">
        <v>119</v>
      </c>
    </row>
    <row r="14093" spans="1:1" x14ac:dyDescent="0.3">
      <c r="A14093" t="s">
        <v>120</v>
      </c>
    </row>
    <row r="14094" spans="1:1" x14ac:dyDescent="0.3">
      <c r="A14094" t="s">
        <v>121</v>
      </c>
    </row>
    <row r="14095" spans="1:1" x14ac:dyDescent="0.3">
      <c r="A14095" t="s">
        <v>122</v>
      </c>
    </row>
    <row r="14096" spans="1:1" x14ac:dyDescent="0.3">
      <c r="A14096" t="s">
        <v>123</v>
      </c>
    </row>
    <row r="14097" spans="1:1" x14ac:dyDescent="0.3">
      <c r="A14097" t="s">
        <v>124</v>
      </c>
    </row>
    <row r="14098" spans="1:1" x14ac:dyDescent="0.3">
      <c r="A14098" t="s">
        <v>125</v>
      </c>
    </row>
    <row r="14099" spans="1:1" x14ac:dyDescent="0.3">
      <c r="A14099" t="s">
        <v>126</v>
      </c>
    </row>
    <row r="14100" spans="1:1" x14ac:dyDescent="0.3">
      <c r="A14100" t="s">
        <v>127</v>
      </c>
    </row>
    <row r="14101" spans="1:1" x14ac:dyDescent="0.3">
      <c r="A14101" t="s">
        <v>132</v>
      </c>
    </row>
    <row r="14102" spans="1:1" x14ac:dyDescent="0.3">
      <c r="A14102" t="s">
        <v>115</v>
      </c>
    </row>
    <row r="14103" spans="1:1" x14ac:dyDescent="0.3">
      <c r="A14103" t="s">
        <v>266</v>
      </c>
    </row>
    <row r="14104" spans="1:1" x14ac:dyDescent="0.3">
      <c r="A14104" t="s">
        <v>267</v>
      </c>
    </row>
    <row r="14105" spans="1:1" x14ac:dyDescent="0.3">
      <c r="A14105" t="s">
        <v>118</v>
      </c>
    </row>
    <row r="14106" spans="1:1" x14ac:dyDescent="0.3">
      <c r="A14106" t="s">
        <v>119</v>
      </c>
    </row>
    <row r="14107" spans="1:1" x14ac:dyDescent="0.3">
      <c r="A14107" t="s">
        <v>268</v>
      </c>
    </row>
    <row r="14108" spans="1:1" x14ac:dyDescent="0.3">
      <c r="A14108" t="s">
        <v>269</v>
      </c>
    </row>
    <row r="14109" spans="1:1" x14ac:dyDescent="0.3">
      <c r="A14109" t="s">
        <v>122</v>
      </c>
    </row>
    <row r="14110" spans="1:1" x14ac:dyDescent="0.3">
      <c r="A14110" t="s">
        <v>270</v>
      </c>
    </row>
    <row r="14111" spans="1:1" x14ac:dyDescent="0.3">
      <c r="A14111" t="s">
        <v>271</v>
      </c>
    </row>
    <row r="14112" spans="1:1" x14ac:dyDescent="0.3">
      <c r="A14112" t="s">
        <v>125</v>
      </c>
    </row>
    <row r="14113" spans="1:12" x14ac:dyDescent="0.3">
      <c r="A14113" t="s">
        <v>126</v>
      </c>
    </row>
    <row r="14114" spans="1:12" x14ac:dyDescent="0.3">
      <c r="A14114" t="s">
        <v>127</v>
      </c>
    </row>
    <row r="14115" spans="1:12" x14ac:dyDescent="0.3">
      <c r="A14115" t="s">
        <v>132</v>
      </c>
    </row>
    <row r="14116" spans="1:12" x14ac:dyDescent="0.3">
      <c r="A14116" t="s">
        <v>501</v>
      </c>
    </row>
    <row r="14117" spans="1:12" x14ac:dyDescent="0.3">
      <c r="A14117" t="s">
        <v>496</v>
      </c>
      <c r="B14117" t="s">
        <v>72</v>
      </c>
      <c r="C14117">
        <v>1</v>
      </c>
      <c r="D14117" t="s">
        <v>79</v>
      </c>
      <c r="E14117">
        <v>0.31258599999999997</v>
      </c>
      <c r="F14117" t="s">
        <v>74</v>
      </c>
      <c r="G14117">
        <v>312.58649000000003</v>
      </c>
      <c r="H14117" t="s">
        <v>75</v>
      </c>
      <c r="I14117">
        <v>312586.48599999998</v>
      </c>
      <c r="J14117" t="s">
        <v>76</v>
      </c>
      <c r="K14117" t="s">
        <v>77</v>
      </c>
    </row>
    <row r="14118" spans="1:12" x14ac:dyDescent="0.3">
      <c r="A14118" t="s">
        <v>496</v>
      </c>
      <c r="B14118" t="s">
        <v>72</v>
      </c>
      <c r="C14118">
        <v>1</v>
      </c>
      <c r="D14118" t="s">
        <v>94</v>
      </c>
      <c r="E14118">
        <v>1.5044E-2</v>
      </c>
      <c r="F14118" t="s">
        <v>74</v>
      </c>
      <c r="G14118">
        <v>15.043900000000001</v>
      </c>
      <c r="H14118" t="s">
        <v>75</v>
      </c>
      <c r="I14118">
        <v>15043.9</v>
      </c>
      <c r="J14118" t="s">
        <v>76</v>
      </c>
      <c r="K14118" t="s">
        <v>77</v>
      </c>
    </row>
    <row r="14119" spans="1:12" x14ac:dyDescent="0.3">
      <c r="A14119" t="s">
        <v>496</v>
      </c>
      <c r="B14119" t="s">
        <v>72</v>
      </c>
      <c r="C14119">
        <v>1</v>
      </c>
      <c r="D14119" t="s">
        <v>80</v>
      </c>
      <c r="E14119">
        <v>1.5044999999999999E-2</v>
      </c>
      <c r="F14119" t="s">
        <v>74</v>
      </c>
      <c r="G14119">
        <v>15.044600000000001</v>
      </c>
      <c r="H14119" t="s">
        <v>75</v>
      </c>
      <c r="I14119">
        <v>15044.6</v>
      </c>
      <c r="J14119" t="s">
        <v>76</v>
      </c>
      <c r="K14119" t="s">
        <v>77</v>
      </c>
    </row>
    <row r="14120" spans="1:12" x14ac:dyDescent="0.3">
      <c r="A14120" t="s">
        <v>496</v>
      </c>
      <c r="B14120" t="s">
        <v>72</v>
      </c>
      <c r="C14120">
        <v>1</v>
      </c>
      <c r="D14120" t="s">
        <v>81</v>
      </c>
      <c r="E14120">
        <v>0.32763199999999998</v>
      </c>
      <c r="F14120" t="s">
        <v>74</v>
      </c>
      <c r="G14120">
        <v>327.63150000000002</v>
      </c>
      <c r="H14120" t="s">
        <v>75</v>
      </c>
      <c r="I14120">
        <v>327631.50300000003</v>
      </c>
      <c r="J14120" t="s">
        <v>76</v>
      </c>
      <c r="K14120" t="s">
        <v>82</v>
      </c>
      <c r="L14120">
        <v>3.0522095</v>
      </c>
    </row>
    <row r="14121" spans="1:12" x14ac:dyDescent="0.3">
      <c r="A14121" t="s">
        <v>496</v>
      </c>
      <c r="B14121" t="s">
        <v>83</v>
      </c>
      <c r="C14121">
        <v>585</v>
      </c>
      <c r="D14121" t="s">
        <v>79</v>
      </c>
      <c r="E14121">
        <v>5.9500000000000004E-4</v>
      </c>
      <c r="F14121" t="s">
        <v>74</v>
      </c>
      <c r="G14121">
        <v>0.59501000000000004</v>
      </c>
      <c r="H14121" t="s">
        <v>75</v>
      </c>
      <c r="I14121">
        <v>595.01499999999999</v>
      </c>
      <c r="J14121" t="s">
        <v>76</v>
      </c>
      <c r="K14121" t="s">
        <v>77</v>
      </c>
    </row>
    <row r="14122" spans="1:12" x14ac:dyDescent="0.3">
      <c r="A14122" t="s">
        <v>496</v>
      </c>
      <c r="B14122" t="s">
        <v>83</v>
      </c>
      <c r="C14122">
        <v>585</v>
      </c>
      <c r="D14122" t="s">
        <v>94</v>
      </c>
      <c r="E14122">
        <v>3.9269999999999999E-3</v>
      </c>
      <c r="F14122" t="s">
        <v>74</v>
      </c>
      <c r="G14122">
        <v>3.9267799999999999</v>
      </c>
      <c r="H14122" t="s">
        <v>75</v>
      </c>
      <c r="I14122">
        <v>3926.7829999999999</v>
      </c>
      <c r="J14122" t="s">
        <v>76</v>
      </c>
      <c r="K14122" t="s">
        <v>77</v>
      </c>
    </row>
    <row r="14123" spans="1:12" x14ac:dyDescent="0.3">
      <c r="A14123" t="s">
        <v>496</v>
      </c>
      <c r="B14123" t="s">
        <v>83</v>
      </c>
      <c r="C14123">
        <v>585</v>
      </c>
      <c r="D14123" t="s">
        <v>80</v>
      </c>
      <c r="E14123">
        <v>4.1070000000000004E-3</v>
      </c>
      <c r="F14123" t="s">
        <v>74</v>
      </c>
      <c r="G14123">
        <v>4.1067499999999999</v>
      </c>
      <c r="H14123" t="s">
        <v>75</v>
      </c>
      <c r="I14123">
        <v>4106.7489999999998</v>
      </c>
      <c r="J14123" t="s">
        <v>76</v>
      </c>
      <c r="K14123" t="s">
        <v>77</v>
      </c>
    </row>
    <row r="14124" spans="1:12" x14ac:dyDescent="0.3">
      <c r="A14124" t="s">
        <v>496</v>
      </c>
      <c r="B14124" t="s">
        <v>83</v>
      </c>
      <c r="C14124">
        <v>585</v>
      </c>
      <c r="D14124" t="s">
        <v>81</v>
      </c>
      <c r="E14124">
        <v>4.7019999999999996E-3</v>
      </c>
      <c r="F14124" t="s">
        <v>74</v>
      </c>
      <c r="G14124">
        <v>4.7019799999999998</v>
      </c>
      <c r="H14124" t="s">
        <v>75</v>
      </c>
      <c r="I14124">
        <v>4701.9840000000004</v>
      </c>
      <c r="J14124" t="s">
        <v>76</v>
      </c>
      <c r="K14124" t="s">
        <v>82</v>
      </c>
      <c r="L14124">
        <v>212.676198</v>
      </c>
    </row>
    <row r="14125" spans="1:12" x14ac:dyDescent="0.3">
      <c r="A14125" t="s">
        <v>496</v>
      </c>
      <c r="B14125" t="s">
        <v>84</v>
      </c>
      <c r="C14125">
        <v>586</v>
      </c>
      <c r="D14125" t="s">
        <v>79</v>
      </c>
      <c r="E14125">
        <v>1.127E-3</v>
      </c>
      <c r="F14125" t="s">
        <v>74</v>
      </c>
      <c r="G14125">
        <v>1.1274200000000001</v>
      </c>
      <c r="H14125" t="s">
        <v>75</v>
      </c>
      <c r="I14125">
        <v>1127.423</v>
      </c>
      <c r="J14125" t="s">
        <v>76</v>
      </c>
      <c r="K14125" t="s">
        <v>77</v>
      </c>
    </row>
    <row r="14126" spans="1:12" x14ac:dyDescent="0.3">
      <c r="A14126" t="s">
        <v>496</v>
      </c>
      <c r="B14126" t="s">
        <v>84</v>
      </c>
      <c r="C14126">
        <v>586</v>
      </c>
      <c r="D14126" t="s">
        <v>94</v>
      </c>
      <c r="E14126">
        <v>3.9459999999999999E-3</v>
      </c>
      <c r="F14126" t="s">
        <v>74</v>
      </c>
      <c r="G14126">
        <v>3.9457499999999999</v>
      </c>
      <c r="H14126" t="s">
        <v>75</v>
      </c>
      <c r="I14126">
        <v>3945.7539999999999</v>
      </c>
      <c r="J14126" t="s">
        <v>76</v>
      </c>
      <c r="K14126" t="s">
        <v>77</v>
      </c>
    </row>
    <row r="14127" spans="1:12" x14ac:dyDescent="0.3">
      <c r="A14127" t="s">
        <v>496</v>
      </c>
      <c r="B14127" t="s">
        <v>84</v>
      </c>
      <c r="C14127">
        <v>586</v>
      </c>
      <c r="D14127" t="s">
        <v>80</v>
      </c>
      <c r="E14127">
        <v>4.1250000000000002E-3</v>
      </c>
      <c r="F14127" t="s">
        <v>74</v>
      </c>
      <c r="G14127">
        <v>4.1254099999999996</v>
      </c>
      <c r="H14127" t="s">
        <v>75</v>
      </c>
      <c r="I14127">
        <v>4125.4139999999998</v>
      </c>
      <c r="J14127" t="s">
        <v>76</v>
      </c>
      <c r="K14127" t="s">
        <v>77</v>
      </c>
    </row>
    <row r="14128" spans="1:12" x14ac:dyDescent="0.3">
      <c r="A14128" t="s">
        <v>496</v>
      </c>
      <c r="B14128" t="s">
        <v>84</v>
      </c>
      <c r="C14128">
        <v>586</v>
      </c>
      <c r="D14128" t="s">
        <v>81</v>
      </c>
      <c r="E14128">
        <v>5.2529999999999999E-3</v>
      </c>
      <c r="F14128" t="s">
        <v>74</v>
      </c>
      <c r="G14128">
        <v>5.2530599999999996</v>
      </c>
      <c r="H14128" t="s">
        <v>75</v>
      </c>
      <c r="I14128">
        <v>5253.0569999999998</v>
      </c>
      <c r="J14128" t="s">
        <v>76</v>
      </c>
      <c r="K14128" t="s">
        <v>82</v>
      </c>
      <c r="L14128">
        <v>190.36534259999999</v>
      </c>
    </row>
    <row r="14129" spans="1:12" x14ac:dyDescent="0.3">
      <c r="A14129" t="s">
        <v>497</v>
      </c>
      <c r="B14129" t="s">
        <v>72</v>
      </c>
      <c r="C14129">
        <v>1</v>
      </c>
      <c r="D14129" t="s">
        <v>79</v>
      </c>
      <c r="E14129">
        <v>0.117658</v>
      </c>
      <c r="F14129" t="s">
        <v>74</v>
      </c>
      <c r="G14129">
        <v>117.65819999999999</v>
      </c>
      <c r="H14129" t="s">
        <v>75</v>
      </c>
      <c r="I14129">
        <v>117658.198</v>
      </c>
      <c r="J14129" t="s">
        <v>76</v>
      </c>
      <c r="K14129" t="s">
        <v>77</v>
      </c>
    </row>
    <row r="14130" spans="1:12" x14ac:dyDescent="0.3">
      <c r="A14130" t="s">
        <v>497</v>
      </c>
      <c r="B14130" t="s">
        <v>72</v>
      </c>
      <c r="C14130">
        <v>1</v>
      </c>
      <c r="D14130" t="s">
        <v>94</v>
      </c>
      <c r="E14130">
        <v>9.7490000000000007E-3</v>
      </c>
      <c r="F14130" t="s">
        <v>74</v>
      </c>
      <c r="G14130">
        <v>9.7492999999999999</v>
      </c>
      <c r="H14130" t="s">
        <v>75</v>
      </c>
      <c r="I14130">
        <v>9749.2999999999993</v>
      </c>
      <c r="J14130" t="s">
        <v>76</v>
      </c>
      <c r="K14130" t="s">
        <v>77</v>
      </c>
    </row>
    <row r="14131" spans="1:12" x14ac:dyDescent="0.3">
      <c r="A14131" t="s">
        <v>497</v>
      </c>
      <c r="B14131" t="s">
        <v>72</v>
      </c>
      <c r="C14131">
        <v>1</v>
      </c>
      <c r="D14131" t="s">
        <v>80</v>
      </c>
      <c r="E14131">
        <v>9.75E-3</v>
      </c>
      <c r="F14131" t="s">
        <v>74</v>
      </c>
      <c r="G14131">
        <v>9.7502999999999993</v>
      </c>
      <c r="H14131" t="s">
        <v>75</v>
      </c>
      <c r="I14131">
        <v>9750.2999999999993</v>
      </c>
      <c r="J14131" t="s">
        <v>76</v>
      </c>
      <c r="K14131" t="s">
        <v>77</v>
      </c>
    </row>
    <row r="14132" spans="1:12" x14ac:dyDescent="0.3">
      <c r="A14132" t="s">
        <v>497</v>
      </c>
      <c r="B14132" t="s">
        <v>72</v>
      </c>
      <c r="C14132">
        <v>1</v>
      </c>
      <c r="D14132" t="s">
        <v>81</v>
      </c>
      <c r="E14132">
        <v>0.12740899999999999</v>
      </c>
      <c r="F14132" t="s">
        <v>74</v>
      </c>
      <c r="G14132">
        <v>127.4091</v>
      </c>
      <c r="H14132" t="s">
        <v>75</v>
      </c>
      <c r="I14132">
        <v>127409.101</v>
      </c>
      <c r="J14132" t="s">
        <v>76</v>
      </c>
      <c r="K14132" t="s">
        <v>82</v>
      </c>
      <c r="L14132">
        <v>7.8487328999999999</v>
      </c>
    </row>
    <row r="14133" spans="1:12" x14ac:dyDescent="0.3">
      <c r="A14133" t="s">
        <v>497</v>
      </c>
      <c r="B14133" t="s">
        <v>83</v>
      </c>
      <c r="C14133">
        <v>414</v>
      </c>
      <c r="D14133" t="s">
        <v>79</v>
      </c>
      <c r="E14133">
        <v>7.7800000000000005E-4</v>
      </c>
      <c r="F14133" t="s">
        <v>74</v>
      </c>
      <c r="G14133">
        <v>0.77764999999999995</v>
      </c>
      <c r="H14133" t="s">
        <v>75</v>
      </c>
      <c r="I14133">
        <v>777.64700000000005</v>
      </c>
      <c r="J14133" t="s">
        <v>76</v>
      </c>
      <c r="K14133" t="s">
        <v>77</v>
      </c>
    </row>
    <row r="14134" spans="1:12" x14ac:dyDescent="0.3">
      <c r="A14134" t="s">
        <v>497</v>
      </c>
      <c r="B14134" t="s">
        <v>83</v>
      </c>
      <c r="C14134">
        <v>414</v>
      </c>
      <c r="D14134" t="s">
        <v>94</v>
      </c>
      <c r="E14134">
        <v>6.1980000000000004E-3</v>
      </c>
      <c r="F14134" t="s">
        <v>74</v>
      </c>
      <c r="G14134">
        <v>6.1979899999999999</v>
      </c>
      <c r="H14134" t="s">
        <v>75</v>
      </c>
      <c r="I14134">
        <v>6197.99</v>
      </c>
      <c r="J14134" t="s">
        <v>76</v>
      </c>
      <c r="K14134" t="s">
        <v>77</v>
      </c>
    </row>
    <row r="14135" spans="1:12" x14ac:dyDescent="0.3">
      <c r="A14135" t="s">
        <v>497</v>
      </c>
      <c r="B14135" t="s">
        <v>83</v>
      </c>
      <c r="C14135">
        <v>414</v>
      </c>
      <c r="D14135" t="s">
        <v>80</v>
      </c>
      <c r="E14135">
        <v>6.3660000000000001E-3</v>
      </c>
      <c r="F14135" t="s">
        <v>74</v>
      </c>
      <c r="G14135">
        <v>6.3662099999999997</v>
      </c>
      <c r="H14135" t="s">
        <v>75</v>
      </c>
      <c r="I14135">
        <v>6366.2120000000004</v>
      </c>
      <c r="J14135" t="s">
        <v>76</v>
      </c>
      <c r="K14135" t="s">
        <v>77</v>
      </c>
    </row>
    <row r="14136" spans="1:12" x14ac:dyDescent="0.3">
      <c r="A14136" t="s">
        <v>497</v>
      </c>
      <c r="B14136" t="s">
        <v>83</v>
      </c>
      <c r="C14136">
        <v>414</v>
      </c>
      <c r="D14136" t="s">
        <v>81</v>
      </c>
      <c r="E14136">
        <v>7.1440000000000002E-3</v>
      </c>
      <c r="F14136" t="s">
        <v>74</v>
      </c>
      <c r="G14136">
        <v>7.14405</v>
      </c>
      <c r="H14136" t="s">
        <v>75</v>
      </c>
      <c r="I14136">
        <v>7144.0519999999997</v>
      </c>
      <c r="J14136" t="s">
        <v>76</v>
      </c>
      <c r="K14136" t="s">
        <v>82</v>
      </c>
      <c r="L14136">
        <v>139.97658369999999</v>
      </c>
    </row>
    <row r="14137" spans="1:12" x14ac:dyDescent="0.3">
      <c r="A14137" t="s">
        <v>497</v>
      </c>
      <c r="B14137" t="s">
        <v>84</v>
      </c>
      <c r="C14137">
        <v>415</v>
      </c>
      <c r="D14137" t="s">
        <v>79</v>
      </c>
      <c r="E14137">
        <v>1.059E-3</v>
      </c>
      <c r="F14137" t="s">
        <v>74</v>
      </c>
      <c r="G14137">
        <v>1.0592900000000001</v>
      </c>
      <c r="H14137" t="s">
        <v>75</v>
      </c>
      <c r="I14137">
        <v>1059.2860000000001</v>
      </c>
      <c r="J14137" t="s">
        <v>76</v>
      </c>
      <c r="K14137" t="s">
        <v>77</v>
      </c>
    </row>
    <row r="14138" spans="1:12" x14ac:dyDescent="0.3">
      <c r="A14138" t="s">
        <v>497</v>
      </c>
      <c r="B14138" t="s">
        <v>84</v>
      </c>
      <c r="C14138">
        <v>415</v>
      </c>
      <c r="D14138" t="s">
        <v>94</v>
      </c>
      <c r="E14138">
        <v>6.2069999999999998E-3</v>
      </c>
      <c r="F14138" t="s">
        <v>74</v>
      </c>
      <c r="G14138">
        <v>6.20655</v>
      </c>
      <c r="H14138" t="s">
        <v>75</v>
      </c>
      <c r="I14138">
        <v>6206.5479999999998</v>
      </c>
      <c r="J14138" t="s">
        <v>76</v>
      </c>
      <c r="K14138" t="s">
        <v>77</v>
      </c>
    </row>
    <row r="14139" spans="1:12" x14ac:dyDescent="0.3">
      <c r="A14139" t="s">
        <v>497</v>
      </c>
      <c r="B14139" t="s">
        <v>84</v>
      </c>
      <c r="C14139">
        <v>415</v>
      </c>
      <c r="D14139" t="s">
        <v>80</v>
      </c>
      <c r="E14139">
        <v>6.3740000000000003E-3</v>
      </c>
      <c r="F14139" t="s">
        <v>74</v>
      </c>
      <c r="G14139">
        <v>6.3743699999999999</v>
      </c>
      <c r="H14139" t="s">
        <v>75</v>
      </c>
      <c r="I14139">
        <v>6374.3670000000002</v>
      </c>
      <c r="J14139" t="s">
        <v>76</v>
      </c>
      <c r="K14139" t="s">
        <v>77</v>
      </c>
    </row>
    <row r="14140" spans="1:12" x14ac:dyDescent="0.3">
      <c r="A14140" t="s">
        <v>497</v>
      </c>
      <c r="B14140" t="s">
        <v>84</v>
      </c>
      <c r="C14140">
        <v>415</v>
      </c>
      <c r="D14140" t="s">
        <v>81</v>
      </c>
      <c r="E14140">
        <v>7.4339999999999996E-3</v>
      </c>
      <c r="F14140" t="s">
        <v>74</v>
      </c>
      <c r="G14140">
        <v>7.4338499999999996</v>
      </c>
      <c r="H14140" t="s">
        <v>75</v>
      </c>
      <c r="I14140">
        <v>7433.8450000000003</v>
      </c>
      <c r="J14140" t="s">
        <v>76</v>
      </c>
      <c r="K14140" t="s">
        <v>82</v>
      </c>
      <c r="L14140">
        <v>134.51988230000001</v>
      </c>
    </row>
    <row r="14141" spans="1:12" x14ac:dyDescent="0.3">
      <c r="A14141" t="s">
        <v>498</v>
      </c>
      <c r="B14141" t="s">
        <v>72</v>
      </c>
      <c r="C14141">
        <v>1</v>
      </c>
      <c r="D14141" t="s">
        <v>73</v>
      </c>
      <c r="E14141">
        <v>7.2000000000000002E-5</v>
      </c>
      <c r="F14141" t="s">
        <v>74</v>
      </c>
      <c r="G14141">
        <v>7.1800000000000003E-2</v>
      </c>
      <c r="H14141" t="s">
        <v>75</v>
      </c>
      <c r="I14141">
        <v>71.8</v>
      </c>
      <c r="J14141" t="s">
        <v>76</v>
      </c>
      <c r="K14141" t="s">
        <v>77</v>
      </c>
    </row>
    <row r="14142" spans="1:12" x14ac:dyDescent="0.3">
      <c r="A14142" t="s">
        <v>498</v>
      </c>
      <c r="B14142" t="s">
        <v>72</v>
      </c>
      <c r="C14142">
        <v>1</v>
      </c>
      <c r="D14142" t="s">
        <v>78</v>
      </c>
      <c r="E14142">
        <v>0.12675800000000001</v>
      </c>
      <c r="F14142" t="s">
        <v>74</v>
      </c>
      <c r="G14142">
        <v>126.75761</v>
      </c>
      <c r="H14142" t="s">
        <v>75</v>
      </c>
      <c r="I14142">
        <v>126757.607</v>
      </c>
      <c r="J14142" t="s">
        <v>76</v>
      </c>
      <c r="K14142" t="s">
        <v>77</v>
      </c>
    </row>
    <row r="14143" spans="1:12" x14ac:dyDescent="0.3">
      <c r="A14143" t="s">
        <v>498</v>
      </c>
      <c r="B14143" t="s">
        <v>72</v>
      </c>
      <c r="C14143">
        <v>2</v>
      </c>
      <c r="D14143" t="s">
        <v>86</v>
      </c>
      <c r="E14143">
        <v>0.16383700000000001</v>
      </c>
      <c r="F14143" t="s">
        <v>74</v>
      </c>
      <c r="G14143">
        <v>163.83685</v>
      </c>
      <c r="H14143" t="s">
        <v>75</v>
      </c>
      <c r="I14143">
        <v>163836.85200000001</v>
      </c>
      <c r="J14143" t="s">
        <v>76</v>
      </c>
      <c r="K14143" t="s">
        <v>82</v>
      </c>
      <c r="L14143">
        <v>6.1036329</v>
      </c>
    </row>
    <row r="14144" spans="1:12" x14ac:dyDescent="0.3">
      <c r="A14144" t="s">
        <v>498</v>
      </c>
      <c r="B14144" t="s">
        <v>83</v>
      </c>
      <c r="C14144">
        <v>999</v>
      </c>
      <c r="D14144" t="s">
        <v>86</v>
      </c>
      <c r="E14144">
        <v>2.9729999999999999E-3</v>
      </c>
      <c r="F14144" t="s">
        <v>74</v>
      </c>
      <c r="G14144">
        <v>2.9727000000000001</v>
      </c>
      <c r="H14144" t="s">
        <v>75</v>
      </c>
      <c r="I14144">
        <v>2972.6970000000001</v>
      </c>
      <c r="J14144" t="s">
        <v>76</v>
      </c>
      <c r="K14144" t="s">
        <v>82</v>
      </c>
      <c r="L14144">
        <v>336.39490410000002</v>
      </c>
    </row>
    <row r="14145" spans="1:12" x14ac:dyDescent="0.3">
      <c r="A14145" t="s">
        <v>498</v>
      </c>
      <c r="B14145" t="s">
        <v>85</v>
      </c>
      <c r="C14145">
        <v>1001</v>
      </c>
      <c r="D14145" t="s">
        <v>86</v>
      </c>
      <c r="E14145">
        <v>3.0980000000000001E-3</v>
      </c>
      <c r="F14145" t="s">
        <v>74</v>
      </c>
      <c r="G14145">
        <v>3.0980699999999999</v>
      </c>
      <c r="H14145" t="s">
        <v>75</v>
      </c>
      <c r="I14145">
        <v>3098.067</v>
      </c>
      <c r="J14145" t="s">
        <v>76</v>
      </c>
      <c r="K14145" t="s">
        <v>82</v>
      </c>
      <c r="L14145">
        <v>322.7819164</v>
      </c>
    </row>
    <row r="14146" spans="1:12" x14ac:dyDescent="0.3">
      <c r="A14146" t="s">
        <v>134</v>
      </c>
    </row>
    <row r="14147" spans="1:12" x14ac:dyDescent="0.3">
      <c r="A14147" t="s">
        <v>134</v>
      </c>
    </row>
    <row r="14148" spans="1:12" x14ac:dyDescent="0.3">
      <c r="A14148" t="s">
        <v>502</v>
      </c>
    </row>
    <row r="14149" spans="1:12" x14ac:dyDescent="0.3">
      <c r="A14149" t="s">
        <v>496</v>
      </c>
      <c r="B14149" t="s">
        <v>72</v>
      </c>
      <c r="C14149">
        <v>1</v>
      </c>
      <c r="D14149" t="s">
        <v>79</v>
      </c>
      <c r="E14149">
        <v>5.7759999999999999E-3</v>
      </c>
      <c r="F14149" t="s">
        <v>74</v>
      </c>
      <c r="G14149">
        <v>5.7763999999999998</v>
      </c>
      <c r="H14149" t="s">
        <v>75</v>
      </c>
      <c r="I14149">
        <v>5776.4</v>
      </c>
      <c r="J14149" t="s">
        <v>76</v>
      </c>
      <c r="K14149" t="s">
        <v>77</v>
      </c>
    </row>
    <row r="14150" spans="1:12" x14ac:dyDescent="0.3">
      <c r="A14150" t="s">
        <v>496</v>
      </c>
      <c r="B14150" t="s">
        <v>72</v>
      </c>
      <c r="C14150">
        <v>1</v>
      </c>
      <c r="D14150" t="s">
        <v>94</v>
      </c>
      <c r="E14150">
        <v>2.9989999999999999E-3</v>
      </c>
      <c r="F14150" t="s">
        <v>74</v>
      </c>
      <c r="G14150">
        <v>2.9994999999999998</v>
      </c>
      <c r="H14150" t="s">
        <v>75</v>
      </c>
      <c r="I14150">
        <v>2999.5</v>
      </c>
      <c r="J14150" t="s">
        <v>76</v>
      </c>
      <c r="K14150" t="s">
        <v>77</v>
      </c>
    </row>
    <row r="14151" spans="1:12" x14ac:dyDescent="0.3">
      <c r="A14151" t="s">
        <v>496</v>
      </c>
      <c r="B14151" t="s">
        <v>72</v>
      </c>
      <c r="C14151">
        <v>1</v>
      </c>
      <c r="D14151" t="s">
        <v>80</v>
      </c>
      <c r="E14151">
        <v>3.2360000000000002E-3</v>
      </c>
      <c r="F14151" t="s">
        <v>74</v>
      </c>
      <c r="G14151">
        <v>3.2360000000000002</v>
      </c>
      <c r="H14151" t="s">
        <v>75</v>
      </c>
      <c r="I14151">
        <v>3236</v>
      </c>
      <c r="J14151" t="s">
        <v>76</v>
      </c>
      <c r="K14151" t="s">
        <v>77</v>
      </c>
    </row>
    <row r="14152" spans="1:12" x14ac:dyDescent="0.3">
      <c r="A14152" t="s">
        <v>496</v>
      </c>
      <c r="B14152" t="s">
        <v>72</v>
      </c>
      <c r="C14152">
        <v>1</v>
      </c>
      <c r="D14152" t="s">
        <v>81</v>
      </c>
      <c r="E14152">
        <v>9.0130000000000002E-3</v>
      </c>
      <c r="F14152" t="s">
        <v>74</v>
      </c>
      <c r="G14152">
        <v>9.0128000000000004</v>
      </c>
      <c r="H14152" t="s">
        <v>75</v>
      </c>
      <c r="I14152">
        <v>9012.7999999999993</v>
      </c>
      <c r="J14152" t="s">
        <v>76</v>
      </c>
      <c r="K14152" t="s">
        <v>82</v>
      </c>
      <c r="L14152">
        <v>110.9533144</v>
      </c>
    </row>
    <row r="14153" spans="1:12" x14ac:dyDescent="0.3">
      <c r="A14153" t="s">
        <v>496</v>
      </c>
      <c r="B14153" t="s">
        <v>83</v>
      </c>
      <c r="C14153">
        <v>654</v>
      </c>
      <c r="D14153" t="s">
        <v>79</v>
      </c>
      <c r="E14153">
        <v>1.003E-3</v>
      </c>
      <c r="F14153" t="s">
        <v>74</v>
      </c>
      <c r="G14153">
        <v>1.00284</v>
      </c>
      <c r="H14153" t="s">
        <v>75</v>
      </c>
      <c r="I14153">
        <v>1002.836</v>
      </c>
      <c r="J14153" t="s">
        <v>76</v>
      </c>
      <c r="K14153" t="s">
        <v>77</v>
      </c>
    </row>
    <row r="14154" spans="1:12" x14ac:dyDescent="0.3">
      <c r="A14154" t="s">
        <v>496</v>
      </c>
      <c r="B14154" t="s">
        <v>83</v>
      </c>
      <c r="C14154">
        <v>654</v>
      </c>
      <c r="D14154" t="s">
        <v>94</v>
      </c>
      <c r="E14154">
        <v>3.8730000000000001E-3</v>
      </c>
      <c r="F14154" t="s">
        <v>74</v>
      </c>
      <c r="G14154">
        <v>3.8733</v>
      </c>
      <c r="H14154" t="s">
        <v>75</v>
      </c>
      <c r="I14154">
        <v>3873.3009999999999</v>
      </c>
      <c r="J14154" t="s">
        <v>76</v>
      </c>
      <c r="K14154" t="s">
        <v>77</v>
      </c>
    </row>
    <row r="14155" spans="1:12" x14ac:dyDescent="0.3">
      <c r="A14155" t="s">
        <v>496</v>
      </c>
      <c r="B14155" t="s">
        <v>83</v>
      </c>
      <c r="C14155">
        <v>654</v>
      </c>
      <c r="D14155" t="s">
        <v>80</v>
      </c>
      <c r="E14155">
        <v>4.0569999999999998E-3</v>
      </c>
      <c r="F14155" t="s">
        <v>74</v>
      </c>
      <c r="G14155">
        <v>4.0566800000000001</v>
      </c>
      <c r="H14155" t="s">
        <v>75</v>
      </c>
      <c r="I14155">
        <v>4056.6779999999999</v>
      </c>
      <c r="J14155" t="s">
        <v>76</v>
      </c>
      <c r="K14155" t="s">
        <v>77</v>
      </c>
    </row>
    <row r="14156" spans="1:12" x14ac:dyDescent="0.3">
      <c r="A14156" t="s">
        <v>496</v>
      </c>
      <c r="B14156" t="s">
        <v>83</v>
      </c>
      <c r="C14156">
        <v>654</v>
      </c>
      <c r="D14156" t="s">
        <v>81</v>
      </c>
      <c r="E14156">
        <v>5.0600000000000003E-3</v>
      </c>
      <c r="F14156" t="s">
        <v>74</v>
      </c>
      <c r="G14156">
        <v>5.0597300000000001</v>
      </c>
      <c r="H14156" t="s">
        <v>75</v>
      </c>
      <c r="I14156">
        <v>5059.7349999999997</v>
      </c>
      <c r="J14156" t="s">
        <v>76</v>
      </c>
      <c r="K14156" t="s">
        <v>82</v>
      </c>
      <c r="L14156">
        <v>197.63881850000001</v>
      </c>
    </row>
    <row r="14157" spans="1:12" x14ac:dyDescent="0.3">
      <c r="A14157" t="s">
        <v>496</v>
      </c>
      <c r="B14157" t="s">
        <v>84</v>
      </c>
      <c r="C14157">
        <v>655</v>
      </c>
      <c r="D14157" t="s">
        <v>79</v>
      </c>
      <c r="E14157">
        <v>1.01E-3</v>
      </c>
      <c r="F14157" t="s">
        <v>74</v>
      </c>
      <c r="G14157">
        <v>1.0101199999999999</v>
      </c>
      <c r="H14157" t="s">
        <v>75</v>
      </c>
      <c r="I14157">
        <v>1010.124</v>
      </c>
      <c r="J14157" t="s">
        <v>76</v>
      </c>
      <c r="K14157" t="s">
        <v>77</v>
      </c>
    </row>
    <row r="14158" spans="1:12" x14ac:dyDescent="0.3">
      <c r="A14158" t="s">
        <v>496</v>
      </c>
      <c r="B14158" t="s">
        <v>84</v>
      </c>
      <c r="C14158">
        <v>655</v>
      </c>
      <c r="D14158" t="s">
        <v>94</v>
      </c>
      <c r="E14158">
        <v>3.872E-3</v>
      </c>
      <c r="F14158" t="s">
        <v>74</v>
      </c>
      <c r="G14158">
        <v>3.8719700000000001</v>
      </c>
      <c r="H14158" t="s">
        <v>75</v>
      </c>
      <c r="I14158">
        <v>3871.9670000000001</v>
      </c>
      <c r="J14158" t="s">
        <v>76</v>
      </c>
      <c r="K14158" t="s">
        <v>77</v>
      </c>
    </row>
    <row r="14159" spans="1:12" x14ac:dyDescent="0.3">
      <c r="A14159" t="s">
        <v>496</v>
      </c>
      <c r="B14159" t="s">
        <v>84</v>
      </c>
      <c r="C14159">
        <v>655</v>
      </c>
      <c r="D14159" t="s">
        <v>80</v>
      </c>
      <c r="E14159">
        <v>4.0549999999999996E-3</v>
      </c>
      <c r="F14159" t="s">
        <v>74</v>
      </c>
      <c r="G14159">
        <v>4.0554199999999998</v>
      </c>
      <c r="H14159" t="s">
        <v>75</v>
      </c>
      <c r="I14159">
        <v>4055.4250000000002</v>
      </c>
      <c r="J14159" t="s">
        <v>76</v>
      </c>
      <c r="K14159" t="s">
        <v>77</v>
      </c>
    </row>
    <row r="14160" spans="1:12" x14ac:dyDescent="0.3">
      <c r="A14160" t="s">
        <v>496</v>
      </c>
      <c r="B14160" t="s">
        <v>84</v>
      </c>
      <c r="C14160">
        <v>655</v>
      </c>
      <c r="D14160" t="s">
        <v>81</v>
      </c>
      <c r="E14160">
        <v>5.0660000000000002E-3</v>
      </c>
      <c r="F14160" t="s">
        <v>74</v>
      </c>
      <c r="G14160">
        <v>5.0657699999999997</v>
      </c>
      <c r="H14160" t="s">
        <v>75</v>
      </c>
      <c r="I14160">
        <v>5065.7700000000004</v>
      </c>
      <c r="J14160" t="s">
        <v>76</v>
      </c>
      <c r="K14160" t="s">
        <v>82</v>
      </c>
      <c r="L14160">
        <v>197.4033632</v>
      </c>
    </row>
    <row r="14161" spans="1:12" x14ac:dyDescent="0.3">
      <c r="A14161" t="s">
        <v>497</v>
      </c>
      <c r="B14161" t="s">
        <v>72</v>
      </c>
      <c r="C14161">
        <v>1</v>
      </c>
      <c r="D14161" t="s">
        <v>79</v>
      </c>
      <c r="E14161">
        <v>2.9689999999999999E-3</v>
      </c>
      <c r="F14161" t="s">
        <v>74</v>
      </c>
      <c r="G14161">
        <v>2.9691000000000001</v>
      </c>
      <c r="H14161" t="s">
        <v>75</v>
      </c>
      <c r="I14161">
        <v>2969.1</v>
      </c>
      <c r="J14161" t="s">
        <v>76</v>
      </c>
      <c r="K14161" t="s">
        <v>77</v>
      </c>
    </row>
    <row r="14162" spans="1:12" x14ac:dyDescent="0.3">
      <c r="A14162" t="s">
        <v>497</v>
      </c>
      <c r="B14162" t="s">
        <v>72</v>
      </c>
      <c r="C14162">
        <v>1</v>
      </c>
      <c r="D14162" t="s">
        <v>94</v>
      </c>
      <c r="E14162">
        <v>2.7360000000000002E-3</v>
      </c>
      <c r="F14162" t="s">
        <v>74</v>
      </c>
      <c r="G14162">
        <v>2.7362000000000002</v>
      </c>
      <c r="H14162" t="s">
        <v>75</v>
      </c>
      <c r="I14162">
        <v>2736.2</v>
      </c>
      <c r="J14162" t="s">
        <v>76</v>
      </c>
      <c r="K14162" t="s">
        <v>77</v>
      </c>
    </row>
    <row r="14163" spans="1:12" x14ac:dyDescent="0.3">
      <c r="A14163" t="s">
        <v>497</v>
      </c>
      <c r="B14163" t="s">
        <v>72</v>
      </c>
      <c r="C14163">
        <v>1</v>
      </c>
      <c r="D14163" t="s">
        <v>80</v>
      </c>
      <c r="E14163">
        <v>2.9199999999999999E-3</v>
      </c>
      <c r="F14163" t="s">
        <v>74</v>
      </c>
      <c r="G14163">
        <v>2.9201999999999999</v>
      </c>
      <c r="H14163" t="s">
        <v>75</v>
      </c>
      <c r="I14163">
        <v>2920.2</v>
      </c>
      <c r="J14163" t="s">
        <v>76</v>
      </c>
      <c r="K14163" t="s">
        <v>77</v>
      </c>
    </row>
    <row r="14164" spans="1:12" x14ac:dyDescent="0.3">
      <c r="A14164" t="s">
        <v>497</v>
      </c>
      <c r="B14164" t="s">
        <v>72</v>
      </c>
      <c r="C14164">
        <v>1</v>
      </c>
      <c r="D14164" t="s">
        <v>81</v>
      </c>
      <c r="E14164">
        <v>5.8900000000000003E-3</v>
      </c>
      <c r="F14164" t="s">
        <v>74</v>
      </c>
      <c r="G14164">
        <v>5.8897000000000004</v>
      </c>
      <c r="H14164" t="s">
        <v>75</v>
      </c>
      <c r="I14164">
        <v>5889.7</v>
      </c>
      <c r="J14164" t="s">
        <v>76</v>
      </c>
      <c r="K14164" t="s">
        <v>82</v>
      </c>
      <c r="L14164">
        <v>169.7879408</v>
      </c>
    </row>
    <row r="14165" spans="1:12" x14ac:dyDescent="0.3">
      <c r="A14165" t="s">
        <v>497</v>
      </c>
      <c r="B14165" t="s">
        <v>83</v>
      </c>
      <c r="C14165">
        <v>345</v>
      </c>
      <c r="D14165" t="s">
        <v>79</v>
      </c>
      <c r="E14165">
        <v>1.384E-3</v>
      </c>
      <c r="F14165" t="s">
        <v>74</v>
      </c>
      <c r="G14165">
        <v>1.3837600000000001</v>
      </c>
      <c r="H14165" t="s">
        <v>75</v>
      </c>
      <c r="I14165">
        <v>1383.7639999999999</v>
      </c>
      <c r="J14165" t="s">
        <v>76</v>
      </c>
      <c r="K14165" t="s">
        <v>77</v>
      </c>
    </row>
    <row r="14166" spans="1:12" x14ac:dyDescent="0.3">
      <c r="A14166" t="s">
        <v>497</v>
      </c>
      <c r="B14166" t="s">
        <v>83</v>
      </c>
      <c r="C14166">
        <v>345</v>
      </c>
      <c r="D14166" t="s">
        <v>94</v>
      </c>
      <c r="E14166">
        <v>8.0300000000000007E-3</v>
      </c>
      <c r="F14166" t="s">
        <v>74</v>
      </c>
      <c r="G14166">
        <v>8.0296800000000008</v>
      </c>
      <c r="H14166" t="s">
        <v>75</v>
      </c>
      <c r="I14166">
        <v>8029.683</v>
      </c>
      <c r="J14166" t="s">
        <v>76</v>
      </c>
      <c r="K14166" t="s">
        <v>77</v>
      </c>
    </row>
    <row r="14167" spans="1:12" x14ac:dyDescent="0.3">
      <c r="A14167" t="s">
        <v>497</v>
      </c>
      <c r="B14167" t="s">
        <v>83</v>
      </c>
      <c r="C14167">
        <v>345</v>
      </c>
      <c r="D14167" t="s">
        <v>80</v>
      </c>
      <c r="E14167">
        <v>8.2279999999999992E-3</v>
      </c>
      <c r="F14167" t="s">
        <v>74</v>
      </c>
      <c r="G14167">
        <v>8.2283600000000003</v>
      </c>
      <c r="H14167" t="s">
        <v>75</v>
      </c>
      <c r="I14167">
        <v>8228.3580000000002</v>
      </c>
      <c r="J14167" t="s">
        <v>76</v>
      </c>
      <c r="K14167" t="s">
        <v>77</v>
      </c>
    </row>
    <row r="14168" spans="1:12" x14ac:dyDescent="0.3">
      <c r="A14168" t="s">
        <v>497</v>
      </c>
      <c r="B14168" t="s">
        <v>83</v>
      </c>
      <c r="C14168">
        <v>345</v>
      </c>
      <c r="D14168" t="s">
        <v>81</v>
      </c>
      <c r="E14168">
        <v>9.613E-3</v>
      </c>
      <c r="F14168" t="s">
        <v>74</v>
      </c>
      <c r="G14168">
        <v>9.6125100000000003</v>
      </c>
      <c r="H14168" t="s">
        <v>75</v>
      </c>
      <c r="I14168">
        <v>9612.5110000000004</v>
      </c>
      <c r="J14168" t="s">
        <v>76</v>
      </c>
      <c r="K14168" t="s">
        <v>82</v>
      </c>
      <c r="L14168">
        <v>104.0310956</v>
      </c>
    </row>
    <row r="14169" spans="1:12" x14ac:dyDescent="0.3">
      <c r="A14169" t="s">
        <v>497</v>
      </c>
      <c r="B14169" t="s">
        <v>84</v>
      </c>
      <c r="C14169">
        <v>346</v>
      </c>
      <c r="D14169" t="s">
        <v>79</v>
      </c>
      <c r="E14169">
        <v>1.3879999999999999E-3</v>
      </c>
      <c r="F14169" t="s">
        <v>74</v>
      </c>
      <c r="G14169">
        <v>1.38835</v>
      </c>
      <c r="H14169" t="s">
        <v>75</v>
      </c>
      <c r="I14169">
        <v>1388.346</v>
      </c>
      <c r="J14169" t="s">
        <v>76</v>
      </c>
      <c r="K14169" t="s">
        <v>77</v>
      </c>
    </row>
    <row r="14170" spans="1:12" x14ac:dyDescent="0.3">
      <c r="A14170" t="s">
        <v>497</v>
      </c>
      <c r="B14170" t="s">
        <v>84</v>
      </c>
      <c r="C14170">
        <v>346</v>
      </c>
      <c r="D14170" t="s">
        <v>94</v>
      </c>
      <c r="E14170">
        <v>8.0140000000000003E-3</v>
      </c>
      <c r="F14170" t="s">
        <v>74</v>
      </c>
      <c r="G14170">
        <v>8.0143799999999992</v>
      </c>
      <c r="H14170" t="s">
        <v>75</v>
      </c>
      <c r="I14170">
        <v>8014.3829999999998</v>
      </c>
      <c r="J14170" t="s">
        <v>76</v>
      </c>
      <c r="K14170" t="s">
        <v>77</v>
      </c>
    </row>
    <row r="14171" spans="1:12" x14ac:dyDescent="0.3">
      <c r="A14171" t="s">
        <v>497</v>
      </c>
      <c r="B14171" t="s">
        <v>84</v>
      </c>
      <c r="C14171">
        <v>346</v>
      </c>
      <c r="D14171" t="s">
        <v>80</v>
      </c>
      <c r="E14171">
        <v>8.2129999999999998E-3</v>
      </c>
      <c r="F14171" t="s">
        <v>74</v>
      </c>
      <c r="G14171">
        <v>8.2130200000000002</v>
      </c>
      <c r="H14171" t="s">
        <v>75</v>
      </c>
      <c r="I14171">
        <v>8213.0159999999996</v>
      </c>
      <c r="J14171" t="s">
        <v>76</v>
      </c>
      <c r="K14171" t="s">
        <v>77</v>
      </c>
    </row>
    <row r="14172" spans="1:12" x14ac:dyDescent="0.3">
      <c r="A14172" t="s">
        <v>497</v>
      </c>
      <c r="B14172" t="s">
        <v>84</v>
      </c>
      <c r="C14172">
        <v>346</v>
      </c>
      <c r="D14172" t="s">
        <v>81</v>
      </c>
      <c r="E14172">
        <v>9.6019999999999994E-3</v>
      </c>
      <c r="F14172" t="s">
        <v>74</v>
      </c>
      <c r="G14172">
        <v>9.6017499999999991</v>
      </c>
      <c r="H14172" t="s">
        <v>75</v>
      </c>
      <c r="I14172">
        <v>9601.7510000000002</v>
      </c>
      <c r="J14172" t="s">
        <v>76</v>
      </c>
      <c r="K14172" t="s">
        <v>82</v>
      </c>
      <c r="L14172">
        <v>104.14767260000001</v>
      </c>
    </row>
    <row r="14173" spans="1:12" x14ac:dyDescent="0.3">
      <c r="A14173" t="s">
        <v>498</v>
      </c>
      <c r="B14173" t="s">
        <v>72</v>
      </c>
      <c r="C14173">
        <v>1</v>
      </c>
      <c r="D14173" t="s">
        <v>73</v>
      </c>
      <c r="E14173">
        <v>7.2000000000000002E-5</v>
      </c>
      <c r="F14173" t="s">
        <v>74</v>
      </c>
      <c r="G14173">
        <v>7.1800000000000003E-2</v>
      </c>
      <c r="H14173" t="s">
        <v>75</v>
      </c>
      <c r="I14173">
        <v>71.8</v>
      </c>
      <c r="J14173" t="s">
        <v>76</v>
      </c>
      <c r="K14173" t="s">
        <v>77</v>
      </c>
    </row>
    <row r="14174" spans="1:12" x14ac:dyDescent="0.3">
      <c r="A14174" t="s">
        <v>498</v>
      </c>
      <c r="B14174" t="s">
        <v>72</v>
      </c>
      <c r="C14174">
        <v>1</v>
      </c>
      <c r="D14174" t="s">
        <v>78</v>
      </c>
      <c r="E14174">
        <v>1.3200000000000001E-4</v>
      </c>
      <c r="F14174" t="s">
        <v>74</v>
      </c>
      <c r="G14174">
        <v>0.13239999999999999</v>
      </c>
      <c r="H14174" t="s">
        <v>75</v>
      </c>
      <c r="I14174">
        <v>132.4</v>
      </c>
      <c r="J14174" t="s">
        <v>76</v>
      </c>
      <c r="K14174" t="s">
        <v>77</v>
      </c>
    </row>
    <row r="14175" spans="1:12" x14ac:dyDescent="0.3">
      <c r="A14175" t="s">
        <v>498</v>
      </c>
      <c r="B14175" t="s">
        <v>72</v>
      </c>
      <c r="C14175">
        <v>2</v>
      </c>
      <c r="D14175" t="s">
        <v>86</v>
      </c>
      <c r="E14175">
        <v>4.5100000000000001E-3</v>
      </c>
      <c r="F14175" t="s">
        <v>74</v>
      </c>
      <c r="G14175">
        <v>4.5099499999999999</v>
      </c>
      <c r="H14175" t="s">
        <v>75</v>
      </c>
      <c r="I14175">
        <v>4509.95</v>
      </c>
      <c r="J14175" t="s">
        <v>76</v>
      </c>
      <c r="K14175" t="s">
        <v>82</v>
      </c>
      <c r="L14175">
        <v>221.73194549999999</v>
      </c>
    </row>
    <row r="14176" spans="1:12" x14ac:dyDescent="0.3">
      <c r="A14176" t="s">
        <v>498</v>
      </c>
      <c r="B14176" t="s">
        <v>83</v>
      </c>
      <c r="C14176">
        <v>999</v>
      </c>
      <c r="D14176" t="s">
        <v>86</v>
      </c>
      <c r="E14176">
        <v>3.323E-3</v>
      </c>
      <c r="F14176" t="s">
        <v>74</v>
      </c>
      <c r="G14176">
        <v>3.3227699999999998</v>
      </c>
      <c r="H14176" t="s">
        <v>75</v>
      </c>
      <c r="I14176">
        <v>3322.77</v>
      </c>
      <c r="J14176" t="s">
        <v>76</v>
      </c>
      <c r="K14176" t="s">
        <v>82</v>
      </c>
      <c r="L14176">
        <v>300.95369629999999</v>
      </c>
    </row>
    <row r="14177" spans="1:12" x14ac:dyDescent="0.3">
      <c r="A14177" t="s">
        <v>498</v>
      </c>
      <c r="B14177" t="s">
        <v>85</v>
      </c>
      <c r="C14177">
        <v>1001</v>
      </c>
      <c r="D14177" t="s">
        <v>86</v>
      </c>
      <c r="E14177">
        <v>3.3289999999999999E-3</v>
      </c>
      <c r="F14177" t="s">
        <v>74</v>
      </c>
      <c r="G14177">
        <v>3.3290199999999999</v>
      </c>
      <c r="H14177" t="s">
        <v>75</v>
      </c>
      <c r="I14177">
        <v>3329.0219999999999</v>
      </c>
      <c r="J14177" t="s">
        <v>76</v>
      </c>
      <c r="K14177" t="s">
        <v>82</v>
      </c>
      <c r="L14177">
        <v>300.38850580000002</v>
      </c>
    </row>
    <row r="14178" spans="1:12" x14ac:dyDescent="0.3">
      <c r="A14178" t="s">
        <v>115</v>
      </c>
    </row>
    <row r="14179" spans="1:12" x14ac:dyDescent="0.3">
      <c r="A14179" t="s">
        <v>127</v>
      </c>
    </row>
    <row r="14180" spans="1:12" x14ac:dyDescent="0.3">
      <c r="A14180" t="s">
        <v>87</v>
      </c>
    </row>
    <row r="14181" spans="1:12" x14ac:dyDescent="0.3">
      <c r="A14181" t="s">
        <v>503</v>
      </c>
    </row>
    <row r="14182" spans="1:12" x14ac:dyDescent="0.3">
      <c r="A14182" t="s">
        <v>496</v>
      </c>
      <c r="B14182" t="s">
        <v>72</v>
      </c>
      <c r="C14182">
        <v>1</v>
      </c>
      <c r="D14182" t="s">
        <v>81</v>
      </c>
      <c r="E14182">
        <v>0.32763199999999998</v>
      </c>
      <c r="F14182" t="s">
        <v>74</v>
      </c>
      <c r="G14182">
        <v>327.63150000000002</v>
      </c>
      <c r="H14182" t="s">
        <v>75</v>
      </c>
      <c r="I14182">
        <v>327631.50300000003</v>
      </c>
      <c r="J14182" t="s">
        <v>76</v>
      </c>
      <c r="K14182" t="s">
        <v>82</v>
      </c>
      <c r="L14182">
        <v>3.0522095</v>
      </c>
    </row>
    <row r="14183" spans="1:12" x14ac:dyDescent="0.3">
      <c r="A14183" t="s">
        <v>496</v>
      </c>
      <c r="B14183" t="s">
        <v>83</v>
      </c>
      <c r="C14183">
        <v>585</v>
      </c>
      <c r="D14183" t="s">
        <v>81</v>
      </c>
      <c r="E14183">
        <v>4.7019999999999996E-3</v>
      </c>
      <c r="F14183" t="s">
        <v>74</v>
      </c>
      <c r="G14183">
        <v>4.7019799999999998</v>
      </c>
      <c r="H14183" t="s">
        <v>75</v>
      </c>
      <c r="I14183">
        <v>4701.9840000000004</v>
      </c>
      <c r="J14183" t="s">
        <v>76</v>
      </c>
      <c r="K14183" t="s">
        <v>82</v>
      </c>
      <c r="L14183">
        <v>212.676198</v>
      </c>
    </row>
    <row r="14184" spans="1:12" x14ac:dyDescent="0.3">
      <c r="A14184" t="s">
        <v>496</v>
      </c>
      <c r="B14184" t="s">
        <v>84</v>
      </c>
      <c r="C14184">
        <v>586</v>
      </c>
      <c r="D14184" t="s">
        <v>81</v>
      </c>
      <c r="E14184">
        <v>5.2529999999999999E-3</v>
      </c>
      <c r="F14184" t="s">
        <v>74</v>
      </c>
      <c r="G14184">
        <v>5.2530599999999996</v>
      </c>
      <c r="H14184" t="s">
        <v>75</v>
      </c>
      <c r="I14184">
        <v>5253.0569999999998</v>
      </c>
      <c r="J14184" t="s">
        <v>76</v>
      </c>
      <c r="K14184" t="s">
        <v>82</v>
      </c>
      <c r="L14184">
        <v>190.36534259999999</v>
      </c>
    </row>
    <row r="14185" spans="1:12" x14ac:dyDescent="0.3">
      <c r="A14185" t="s">
        <v>497</v>
      </c>
      <c r="B14185" t="s">
        <v>72</v>
      </c>
      <c r="C14185">
        <v>1</v>
      </c>
      <c r="D14185" t="s">
        <v>81</v>
      </c>
      <c r="E14185">
        <v>0.12740899999999999</v>
      </c>
      <c r="F14185" t="s">
        <v>74</v>
      </c>
      <c r="G14185">
        <v>127.4091</v>
      </c>
      <c r="H14185" t="s">
        <v>75</v>
      </c>
      <c r="I14185">
        <v>127409.101</v>
      </c>
      <c r="J14185" t="s">
        <v>76</v>
      </c>
      <c r="K14185" t="s">
        <v>82</v>
      </c>
      <c r="L14185">
        <v>7.8487328999999999</v>
      </c>
    </row>
    <row r="14186" spans="1:12" x14ac:dyDescent="0.3">
      <c r="A14186" t="s">
        <v>497</v>
      </c>
      <c r="B14186" t="s">
        <v>83</v>
      </c>
      <c r="C14186">
        <v>414</v>
      </c>
      <c r="D14186" t="s">
        <v>81</v>
      </c>
      <c r="E14186">
        <v>7.1440000000000002E-3</v>
      </c>
      <c r="F14186" t="s">
        <v>74</v>
      </c>
      <c r="G14186">
        <v>7.14405</v>
      </c>
      <c r="H14186" t="s">
        <v>75</v>
      </c>
      <c r="I14186">
        <v>7144.0519999999997</v>
      </c>
      <c r="J14186" t="s">
        <v>76</v>
      </c>
      <c r="K14186" t="s">
        <v>82</v>
      </c>
      <c r="L14186">
        <v>139.97658369999999</v>
      </c>
    </row>
    <row r="14187" spans="1:12" x14ac:dyDescent="0.3">
      <c r="A14187" t="s">
        <v>497</v>
      </c>
      <c r="B14187" t="s">
        <v>84</v>
      </c>
      <c r="C14187">
        <v>415</v>
      </c>
      <c r="D14187" t="s">
        <v>81</v>
      </c>
      <c r="E14187">
        <v>7.4339999999999996E-3</v>
      </c>
      <c r="F14187" t="s">
        <v>74</v>
      </c>
      <c r="G14187">
        <v>7.4338499999999996</v>
      </c>
      <c r="H14187" t="s">
        <v>75</v>
      </c>
      <c r="I14187">
        <v>7433.8450000000003</v>
      </c>
      <c r="J14187" t="s">
        <v>76</v>
      </c>
      <c r="K14187" t="s">
        <v>82</v>
      </c>
      <c r="L14187">
        <v>134.51988230000001</v>
      </c>
    </row>
    <row r="14188" spans="1:12" x14ac:dyDescent="0.3">
      <c r="A14188" t="s">
        <v>498</v>
      </c>
      <c r="B14188" t="s">
        <v>72</v>
      </c>
      <c r="C14188">
        <v>2</v>
      </c>
      <c r="D14188" t="s">
        <v>86</v>
      </c>
      <c r="E14188">
        <v>0.16383700000000001</v>
      </c>
      <c r="F14188" t="s">
        <v>74</v>
      </c>
      <c r="G14188">
        <v>163.83685</v>
      </c>
      <c r="H14188" t="s">
        <v>75</v>
      </c>
      <c r="I14188">
        <v>163836.85200000001</v>
      </c>
      <c r="J14188" t="s">
        <v>76</v>
      </c>
      <c r="K14188" t="s">
        <v>82</v>
      </c>
      <c r="L14188">
        <v>6.1036329</v>
      </c>
    </row>
    <row r="14189" spans="1:12" x14ac:dyDescent="0.3">
      <c r="A14189" t="s">
        <v>498</v>
      </c>
      <c r="B14189" t="s">
        <v>83</v>
      </c>
      <c r="C14189">
        <v>999</v>
      </c>
      <c r="D14189" t="s">
        <v>86</v>
      </c>
      <c r="E14189">
        <v>2.9729999999999999E-3</v>
      </c>
      <c r="F14189" t="s">
        <v>74</v>
      </c>
      <c r="G14189">
        <v>2.9727000000000001</v>
      </c>
      <c r="H14189" t="s">
        <v>75</v>
      </c>
      <c r="I14189">
        <v>2972.6970000000001</v>
      </c>
      <c r="J14189" t="s">
        <v>76</v>
      </c>
      <c r="K14189" t="s">
        <v>82</v>
      </c>
      <c r="L14189">
        <v>336.39490410000002</v>
      </c>
    </row>
    <row r="14190" spans="1:12" x14ac:dyDescent="0.3">
      <c r="A14190" t="s">
        <v>498</v>
      </c>
      <c r="B14190" t="s">
        <v>85</v>
      </c>
      <c r="C14190">
        <v>1001</v>
      </c>
      <c r="D14190" t="s">
        <v>86</v>
      </c>
      <c r="E14190">
        <v>3.0980000000000001E-3</v>
      </c>
      <c r="F14190" t="s">
        <v>74</v>
      </c>
      <c r="G14190">
        <v>3.0980699999999999</v>
      </c>
      <c r="H14190" t="s">
        <v>75</v>
      </c>
      <c r="I14190">
        <v>3098.067</v>
      </c>
      <c r="J14190" t="s">
        <v>76</v>
      </c>
      <c r="K14190" t="s">
        <v>82</v>
      </c>
      <c r="L14190">
        <v>322.7819164</v>
      </c>
    </row>
    <row r="14192" spans="1:12" x14ac:dyDescent="0.3">
      <c r="A14192" t="s">
        <v>504</v>
      </c>
    </row>
    <row r="14193" spans="1:12" x14ac:dyDescent="0.3">
      <c r="A14193" t="s">
        <v>496</v>
      </c>
      <c r="B14193" t="s">
        <v>72</v>
      </c>
      <c r="C14193">
        <v>1</v>
      </c>
      <c r="D14193" t="s">
        <v>81</v>
      </c>
      <c r="E14193">
        <v>9.0130000000000002E-3</v>
      </c>
      <c r="F14193" t="s">
        <v>74</v>
      </c>
      <c r="G14193">
        <v>9.0128000000000004</v>
      </c>
      <c r="H14193" t="s">
        <v>75</v>
      </c>
      <c r="I14193">
        <v>9012.7999999999993</v>
      </c>
      <c r="J14193" t="s">
        <v>76</v>
      </c>
      <c r="K14193" t="s">
        <v>82</v>
      </c>
      <c r="L14193">
        <v>110.9533144</v>
      </c>
    </row>
    <row r="14194" spans="1:12" x14ac:dyDescent="0.3">
      <c r="A14194" t="s">
        <v>496</v>
      </c>
      <c r="B14194" t="s">
        <v>83</v>
      </c>
      <c r="C14194">
        <v>654</v>
      </c>
      <c r="D14194" t="s">
        <v>81</v>
      </c>
      <c r="E14194">
        <v>5.0600000000000003E-3</v>
      </c>
      <c r="F14194" t="s">
        <v>74</v>
      </c>
      <c r="G14194">
        <v>5.0597300000000001</v>
      </c>
      <c r="H14194" t="s">
        <v>75</v>
      </c>
      <c r="I14194">
        <v>5059.7349999999997</v>
      </c>
      <c r="J14194" t="s">
        <v>76</v>
      </c>
      <c r="K14194" t="s">
        <v>82</v>
      </c>
      <c r="L14194">
        <v>197.63881850000001</v>
      </c>
    </row>
    <row r="14195" spans="1:12" x14ac:dyDescent="0.3">
      <c r="A14195" t="s">
        <v>496</v>
      </c>
      <c r="B14195" t="s">
        <v>84</v>
      </c>
      <c r="C14195">
        <v>655</v>
      </c>
      <c r="D14195" t="s">
        <v>81</v>
      </c>
      <c r="E14195">
        <v>5.0660000000000002E-3</v>
      </c>
      <c r="F14195" t="s">
        <v>74</v>
      </c>
      <c r="G14195">
        <v>5.0657699999999997</v>
      </c>
      <c r="H14195" t="s">
        <v>75</v>
      </c>
      <c r="I14195">
        <v>5065.7700000000004</v>
      </c>
      <c r="J14195" t="s">
        <v>76</v>
      </c>
      <c r="K14195" t="s">
        <v>82</v>
      </c>
      <c r="L14195">
        <v>197.4033632</v>
      </c>
    </row>
    <row r="14196" spans="1:12" x14ac:dyDescent="0.3">
      <c r="A14196" t="s">
        <v>497</v>
      </c>
      <c r="B14196" t="s">
        <v>72</v>
      </c>
      <c r="C14196">
        <v>1</v>
      </c>
      <c r="D14196" t="s">
        <v>81</v>
      </c>
      <c r="E14196">
        <v>5.8900000000000003E-3</v>
      </c>
      <c r="F14196" t="s">
        <v>74</v>
      </c>
      <c r="G14196">
        <v>5.8897000000000004</v>
      </c>
      <c r="H14196" t="s">
        <v>75</v>
      </c>
      <c r="I14196">
        <v>5889.7</v>
      </c>
      <c r="J14196" t="s">
        <v>76</v>
      </c>
      <c r="K14196" t="s">
        <v>82</v>
      </c>
      <c r="L14196">
        <v>169.7879408</v>
      </c>
    </row>
    <row r="14197" spans="1:12" x14ac:dyDescent="0.3">
      <c r="A14197" t="s">
        <v>497</v>
      </c>
      <c r="B14197" t="s">
        <v>83</v>
      </c>
      <c r="C14197">
        <v>345</v>
      </c>
      <c r="D14197" t="s">
        <v>81</v>
      </c>
      <c r="E14197">
        <v>9.613E-3</v>
      </c>
      <c r="F14197" t="s">
        <v>74</v>
      </c>
      <c r="G14197">
        <v>9.6125100000000003</v>
      </c>
      <c r="H14197" t="s">
        <v>75</v>
      </c>
      <c r="I14197">
        <v>9612.5110000000004</v>
      </c>
      <c r="J14197" t="s">
        <v>76</v>
      </c>
      <c r="K14197" t="s">
        <v>82</v>
      </c>
      <c r="L14197">
        <v>104.0310956</v>
      </c>
    </row>
    <row r="14198" spans="1:12" x14ac:dyDescent="0.3">
      <c r="A14198" t="s">
        <v>497</v>
      </c>
      <c r="B14198" t="s">
        <v>84</v>
      </c>
      <c r="C14198">
        <v>346</v>
      </c>
      <c r="D14198" t="s">
        <v>81</v>
      </c>
      <c r="E14198">
        <v>9.6019999999999994E-3</v>
      </c>
      <c r="F14198" t="s">
        <v>74</v>
      </c>
      <c r="G14198">
        <v>9.6017499999999991</v>
      </c>
      <c r="H14198" t="s">
        <v>75</v>
      </c>
      <c r="I14198">
        <v>9601.7510000000002</v>
      </c>
      <c r="J14198" t="s">
        <v>76</v>
      </c>
      <c r="K14198" t="s">
        <v>82</v>
      </c>
      <c r="L14198">
        <v>104.14767260000001</v>
      </c>
    </row>
    <row r="14199" spans="1:12" x14ac:dyDescent="0.3">
      <c r="A14199" t="s">
        <v>498</v>
      </c>
      <c r="B14199" t="s">
        <v>72</v>
      </c>
      <c r="C14199">
        <v>2</v>
      </c>
      <c r="D14199" t="s">
        <v>86</v>
      </c>
      <c r="E14199">
        <v>4.5100000000000001E-3</v>
      </c>
      <c r="F14199" t="s">
        <v>74</v>
      </c>
      <c r="G14199">
        <v>4.5099499999999999</v>
      </c>
      <c r="H14199" t="s">
        <v>75</v>
      </c>
      <c r="I14199">
        <v>4509.95</v>
      </c>
      <c r="J14199" t="s">
        <v>76</v>
      </c>
      <c r="K14199" t="s">
        <v>82</v>
      </c>
      <c r="L14199">
        <v>221.73194549999999</v>
      </c>
    </row>
    <row r="14200" spans="1:12" x14ac:dyDescent="0.3">
      <c r="A14200" t="s">
        <v>498</v>
      </c>
      <c r="B14200" t="s">
        <v>83</v>
      </c>
      <c r="C14200">
        <v>999</v>
      </c>
      <c r="D14200" t="s">
        <v>86</v>
      </c>
      <c r="E14200">
        <v>3.323E-3</v>
      </c>
      <c r="F14200" t="s">
        <v>74</v>
      </c>
      <c r="G14200">
        <v>3.3227699999999998</v>
      </c>
      <c r="H14200" t="s">
        <v>75</v>
      </c>
      <c r="I14200">
        <v>3322.77</v>
      </c>
      <c r="J14200" t="s">
        <v>76</v>
      </c>
      <c r="K14200" t="s">
        <v>82</v>
      </c>
      <c r="L14200">
        <v>300.95369629999999</v>
      </c>
    </row>
    <row r="14201" spans="1:12" x14ac:dyDescent="0.3">
      <c r="A14201" t="s">
        <v>498</v>
      </c>
      <c r="B14201" t="s">
        <v>85</v>
      </c>
      <c r="C14201">
        <v>1001</v>
      </c>
      <c r="D14201" t="s">
        <v>86</v>
      </c>
      <c r="E14201">
        <v>3.3289999999999999E-3</v>
      </c>
      <c r="F14201" t="s">
        <v>74</v>
      </c>
      <c r="G14201">
        <v>3.3290199999999999</v>
      </c>
      <c r="H14201" t="s">
        <v>75</v>
      </c>
      <c r="I14201">
        <v>3329.0219999999999</v>
      </c>
      <c r="J14201" t="s">
        <v>76</v>
      </c>
      <c r="K14201" t="s">
        <v>82</v>
      </c>
      <c r="L14201">
        <v>300.38850580000002</v>
      </c>
    </row>
    <row r="14203" spans="1:12" x14ac:dyDescent="0.3">
      <c r="A14203" t="s">
        <v>66</v>
      </c>
    </row>
    <row r="14205" spans="1:12" x14ac:dyDescent="0.3">
      <c r="A14205" t="s">
        <v>581</v>
      </c>
    </row>
    <row r="14206" spans="1:12" x14ac:dyDescent="0.3">
      <c r="A14206" t="s">
        <v>68</v>
      </c>
    </row>
    <row r="14207" spans="1:12" x14ac:dyDescent="0.3">
      <c r="A14207" t="s">
        <v>69</v>
      </c>
    </row>
    <row r="14208" spans="1:12" x14ac:dyDescent="0.3">
      <c r="A14208" t="s">
        <v>68</v>
      </c>
    </row>
    <row r="14209" spans="1:1" x14ac:dyDescent="0.3">
      <c r="A14209" t="s">
        <v>69</v>
      </c>
    </row>
    <row r="14210" spans="1:1" x14ac:dyDescent="0.3">
      <c r="A14210" t="s">
        <v>70</v>
      </c>
    </row>
    <row r="14211" spans="1:1" x14ac:dyDescent="0.3">
      <c r="A14211" t="s">
        <v>115</v>
      </c>
    </row>
    <row r="14212" spans="1:1" x14ac:dyDescent="0.3">
      <c r="A14212" t="s">
        <v>116</v>
      </c>
    </row>
    <row r="14213" spans="1:1" x14ac:dyDescent="0.3">
      <c r="A14213" t="s">
        <v>117</v>
      </c>
    </row>
    <row r="14214" spans="1:1" x14ac:dyDescent="0.3">
      <c r="A14214" t="s">
        <v>118</v>
      </c>
    </row>
    <row r="14215" spans="1:1" x14ac:dyDescent="0.3">
      <c r="A14215" t="s">
        <v>119</v>
      </c>
    </row>
    <row r="14216" spans="1:1" x14ac:dyDescent="0.3">
      <c r="A14216" t="s">
        <v>120</v>
      </c>
    </row>
    <row r="14217" spans="1:1" x14ac:dyDescent="0.3">
      <c r="A14217" t="s">
        <v>121</v>
      </c>
    </row>
    <row r="14218" spans="1:1" x14ac:dyDescent="0.3">
      <c r="A14218" t="s">
        <v>122</v>
      </c>
    </row>
    <row r="14219" spans="1:1" x14ac:dyDescent="0.3">
      <c r="A14219" t="s">
        <v>123</v>
      </c>
    </row>
    <row r="14220" spans="1:1" x14ac:dyDescent="0.3">
      <c r="A14220" t="s">
        <v>124</v>
      </c>
    </row>
    <row r="14221" spans="1:1" x14ac:dyDescent="0.3">
      <c r="A14221" t="s">
        <v>125</v>
      </c>
    </row>
    <row r="14222" spans="1:1" x14ac:dyDescent="0.3">
      <c r="A14222" t="s">
        <v>126</v>
      </c>
    </row>
    <row r="14223" spans="1:1" x14ac:dyDescent="0.3">
      <c r="A14223" t="s">
        <v>127</v>
      </c>
    </row>
    <row r="14224" spans="1:1" x14ac:dyDescent="0.3">
      <c r="A14224" t="s">
        <v>139</v>
      </c>
    </row>
    <row r="14225" spans="1:11" x14ac:dyDescent="0.3">
      <c r="A14225" t="s">
        <v>115</v>
      </c>
    </row>
    <row r="14226" spans="1:11" x14ac:dyDescent="0.3">
      <c r="A14226" t="s">
        <v>266</v>
      </c>
    </row>
    <row r="14227" spans="1:11" x14ac:dyDescent="0.3">
      <c r="A14227" t="s">
        <v>267</v>
      </c>
    </row>
    <row r="14228" spans="1:11" x14ac:dyDescent="0.3">
      <c r="A14228" t="s">
        <v>118</v>
      </c>
    </row>
    <row r="14229" spans="1:11" x14ac:dyDescent="0.3">
      <c r="A14229" t="s">
        <v>119</v>
      </c>
    </row>
    <row r="14230" spans="1:11" x14ac:dyDescent="0.3">
      <c r="A14230" t="s">
        <v>268</v>
      </c>
    </row>
    <row r="14231" spans="1:11" x14ac:dyDescent="0.3">
      <c r="A14231" t="s">
        <v>269</v>
      </c>
    </row>
    <row r="14232" spans="1:11" x14ac:dyDescent="0.3">
      <c r="A14232" t="s">
        <v>122</v>
      </c>
    </row>
    <row r="14233" spans="1:11" x14ac:dyDescent="0.3">
      <c r="A14233" t="s">
        <v>270</v>
      </c>
    </row>
    <row r="14234" spans="1:11" x14ac:dyDescent="0.3">
      <c r="A14234" t="s">
        <v>271</v>
      </c>
    </row>
    <row r="14235" spans="1:11" x14ac:dyDescent="0.3">
      <c r="A14235" t="s">
        <v>125</v>
      </c>
    </row>
    <row r="14236" spans="1:11" x14ac:dyDescent="0.3">
      <c r="A14236" t="s">
        <v>126</v>
      </c>
    </row>
    <row r="14237" spans="1:11" x14ac:dyDescent="0.3">
      <c r="A14237" t="s">
        <v>127</v>
      </c>
    </row>
    <row r="14238" spans="1:11" x14ac:dyDescent="0.3">
      <c r="A14238" t="s">
        <v>139</v>
      </c>
    </row>
    <row r="14239" spans="1:11" x14ac:dyDescent="0.3">
      <c r="A14239" t="s">
        <v>506</v>
      </c>
    </row>
    <row r="14240" spans="1:11" x14ac:dyDescent="0.3">
      <c r="A14240" t="s">
        <v>496</v>
      </c>
      <c r="B14240" t="s">
        <v>72</v>
      </c>
      <c r="C14240">
        <v>1</v>
      </c>
      <c r="D14240" t="s">
        <v>79</v>
      </c>
      <c r="E14240">
        <v>0.40245500000000001</v>
      </c>
      <c r="F14240" t="s">
        <v>74</v>
      </c>
      <c r="G14240">
        <v>402.45499999999998</v>
      </c>
      <c r="H14240" t="s">
        <v>75</v>
      </c>
      <c r="I14240">
        <v>402455.00199999998</v>
      </c>
      <c r="J14240" t="s">
        <v>76</v>
      </c>
      <c r="K14240" t="s">
        <v>77</v>
      </c>
    </row>
    <row r="14241" spans="1:12" x14ac:dyDescent="0.3">
      <c r="A14241" t="s">
        <v>496</v>
      </c>
      <c r="B14241" t="s">
        <v>72</v>
      </c>
      <c r="C14241">
        <v>1</v>
      </c>
      <c r="D14241" t="s">
        <v>94</v>
      </c>
      <c r="E14241">
        <v>1.4201E-2</v>
      </c>
      <c r="F14241" t="s">
        <v>74</v>
      </c>
      <c r="G14241">
        <v>14.2014</v>
      </c>
      <c r="H14241" t="s">
        <v>75</v>
      </c>
      <c r="I14241">
        <v>14201.4</v>
      </c>
      <c r="J14241" t="s">
        <v>76</v>
      </c>
      <c r="K14241" t="s">
        <v>77</v>
      </c>
    </row>
    <row r="14242" spans="1:12" x14ac:dyDescent="0.3">
      <c r="A14242" t="s">
        <v>496</v>
      </c>
      <c r="B14242" t="s">
        <v>72</v>
      </c>
      <c r="C14242">
        <v>1</v>
      </c>
      <c r="D14242" t="s">
        <v>80</v>
      </c>
      <c r="E14242">
        <v>1.4203E-2</v>
      </c>
      <c r="F14242" t="s">
        <v>74</v>
      </c>
      <c r="G14242">
        <v>14.2026</v>
      </c>
      <c r="H14242" t="s">
        <v>75</v>
      </c>
      <c r="I14242">
        <v>14202.6</v>
      </c>
      <c r="J14242" t="s">
        <v>76</v>
      </c>
      <c r="K14242" t="s">
        <v>77</v>
      </c>
    </row>
    <row r="14243" spans="1:12" x14ac:dyDescent="0.3">
      <c r="A14243" t="s">
        <v>496</v>
      </c>
      <c r="B14243" t="s">
        <v>72</v>
      </c>
      <c r="C14243">
        <v>1</v>
      </c>
      <c r="D14243" t="s">
        <v>81</v>
      </c>
      <c r="E14243">
        <v>0.41665799999999997</v>
      </c>
      <c r="F14243" t="s">
        <v>74</v>
      </c>
      <c r="G14243">
        <v>416.65830999999997</v>
      </c>
      <c r="H14243" t="s">
        <v>75</v>
      </c>
      <c r="I14243">
        <v>416658.31199999998</v>
      </c>
      <c r="J14243" t="s">
        <v>76</v>
      </c>
      <c r="K14243" t="s">
        <v>82</v>
      </c>
      <c r="L14243">
        <v>2.4000480999999998</v>
      </c>
    </row>
    <row r="14244" spans="1:12" x14ac:dyDescent="0.3">
      <c r="A14244" t="s">
        <v>496</v>
      </c>
      <c r="B14244" t="s">
        <v>83</v>
      </c>
      <c r="C14244">
        <v>557</v>
      </c>
      <c r="D14244" t="s">
        <v>79</v>
      </c>
      <c r="E14244">
        <v>2.5890000000000002E-3</v>
      </c>
      <c r="F14244" t="s">
        <v>74</v>
      </c>
      <c r="G14244">
        <v>2.58866</v>
      </c>
      <c r="H14244" t="s">
        <v>75</v>
      </c>
      <c r="I14244">
        <v>2588.6640000000002</v>
      </c>
      <c r="J14244" t="s">
        <v>76</v>
      </c>
      <c r="K14244" t="s">
        <v>77</v>
      </c>
    </row>
    <row r="14245" spans="1:12" x14ac:dyDescent="0.3">
      <c r="A14245" t="s">
        <v>496</v>
      </c>
      <c r="B14245" t="s">
        <v>83</v>
      </c>
      <c r="C14245">
        <v>557</v>
      </c>
      <c r="D14245" t="s">
        <v>94</v>
      </c>
      <c r="E14245">
        <v>4.5189999999999996E-3</v>
      </c>
      <c r="F14245" t="s">
        <v>74</v>
      </c>
      <c r="G14245">
        <v>4.5189000000000004</v>
      </c>
      <c r="H14245" t="s">
        <v>75</v>
      </c>
      <c r="I14245">
        <v>4518.8999999999996</v>
      </c>
      <c r="J14245" t="s">
        <v>76</v>
      </c>
      <c r="K14245" t="s">
        <v>77</v>
      </c>
    </row>
    <row r="14246" spans="1:12" x14ac:dyDescent="0.3">
      <c r="A14246" t="s">
        <v>496</v>
      </c>
      <c r="B14246" t="s">
        <v>83</v>
      </c>
      <c r="C14246">
        <v>557</v>
      </c>
      <c r="D14246" t="s">
        <v>80</v>
      </c>
      <c r="E14246">
        <v>4.6959999999999997E-3</v>
      </c>
      <c r="F14246" t="s">
        <v>74</v>
      </c>
      <c r="G14246">
        <v>4.6962000000000002</v>
      </c>
      <c r="H14246" t="s">
        <v>75</v>
      </c>
      <c r="I14246">
        <v>4696.1989999999996</v>
      </c>
      <c r="J14246" t="s">
        <v>76</v>
      </c>
      <c r="K14246" t="s">
        <v>77</v>
      </c>
    </row>
    <row r="14247" spans="1:12" x14ac:dyDescent="0.3">
      <c r="A14247" t="s">
        <v>496</v>
      </c>
      <c r="B14247" t="s">
        <v>83</v>
      </c>
      <c r="C14247">
        <v>557</v>
      </c>
      <c r="D14247" t="s">
        <v>81</v>
      </c>
      <c r="E14247">
        <v>7.2849999999999998E-3</v>
      </c>
      <c r="F14247" t="s">
        <v>74</v>
      </c>
      <c r="G14247">
        <v>7.2851800000000004</v>
      </c>
      <c r="H14247" t="s">
        <v>75</v>
      </c>
      <c r="I14247">
        <v>7285.1769999999997</v>
      </c>
      <c r="J14247" t="s">
        <v>76</v>
      </c>
      <c r="K14247" t="s">
        <v>82</v>
      </c>
      <c r="L14247">
        <v>137.2650213</v>
      </c>
    </row>
    <row r="14248" spans="1:12" x14ac:dyDescent="0.3">
      <c r="A14248" t="s">
        <v>496</v>
      </c>
      <c r="B14248" t="s">
        <v>84</v>
      </c>
      <c r="C14248">
        <v>558</v>
      </c>
      <c r="D14248" t="s">
        <v>79</v>
      </c>
      <c r="E14248">
        <v>3.3050000000000002E-3</v>
      </c>
      <c r="F14248" t="s">
        <v>74</v>
      </c>
      <c r="G14248">
        <v>3.3052700000000002</v>
      </c>
      <c r="H14248" t="s">
        <v>75</v>
      </c>
      <c r="I14248">
        <v>3305.2710000000002</v>
      </c>
      <c r="J14248" t="s">
        <v>76</v>
      </c>
      <c r="K14248" t="s">
        <v>77</v>
      </c>
    </row>
    <row r="14249" spans="1:12" x14ac:dyDescent="0.3">
      <c r="A14249" t="s">
        <v>496</v>
      </c>
      <c r="B14249" t="s">
        <v>84</v>
      </c>
      <c r="C14249">
        <v>558</v>
      </c>
      <c r="D14249" t="s">
        <v>94</v>
      </c>
      <c r="E14249">
        <v>4.5360000000000001E-3</v>
      </c>
      <c r="F14249" t="s">
        <v>74</v>
      </c>
      <c r="G14249">
        <v>4.5362499999999999</v>
      </c>
      <c r="H14249" t="s">
        <v>75</v>
      </c>
      <c r="I14249">
        <v>4536.2510000000002</v>
      </c>
      <c r="J14249" t="s">
        <v>76</v>
      </c>
      <c r="K14249" t="s">
        <v>77</v>
      </c>
    </row>
    <row r="14250" spans="1:12" x14ac:dyDescent="0.3">
      <c r="A14250" t="s">
        <v>496</v>
      </c>
      <c r="B14250" t="s">
        <v>84</v>
      </c>
      <c r="C14250">
        <v>558</v>
      </c>
      <c r="D14250" t="s">
        <v>80</v>
      </c>
      <c r="E14250">
        <v>4.7130000000000002E-3</v>
      </c>
      <c r="F14250" t="s">
        <v>74</v>
      </c>
      <c r="G14250">
        <v>4.7132399999999999</v>
      </c>
      <c r="H14250" t="s">
        <v>75</v>
      </c>
      <c r="I14250">
        <v>4713.2349999999997</v>
      </c>
      <c r="J14250" t="s">
        <v>76</v>
      </c>
      <c r="K14250" t="s">
        <v>77</v>
      </c>
    </row>
    <row r="14251" spans="1:12" x14ac:dyDescent="0.3">
      <c r="A14251" t="s">
        <v>496</v>
      </c>
      <c r="B14251" t="s">
        <v>84</v>
      </c>
      <c r="C14251">
        <v>558</v>
      </c>
      <c r="D14251" t="s">
        <v>81</v>
      </c>
      <c r="E14251">
        <v>8.0190000000000001E-3</v>
      </c>
      <c r="F14251" t="s">
        <v>74</v>
      </c>
      <c r="G14251">
        <v>8.0188199999999998</v>
      </c>
      <c r="H14251" t="s">
        <v>75</v>
      </c>
      <c r="I14251">
        <v>8018.82</v>
      </c>
      <c r="J14251" t="s">
        <v>76</v>
      </c>
      <c r="K14251" t="s">
        <v>82</v>
      </c>
      <c r="L14251">
        <v>124.7066263</v>
      </c>
    </row>
    <row r="14252" spans="1:12" x14ac:dyDescent="0.3">
      <c r="A14252" t="s">
        <v>497</v>
      </c>
      <c r="B14252" t="s">
        <v>72</v>
      </c>
      <c r="C14252">
        <v>1</v>
      </c>
      <c r="D14252" t="s">
        <v>79</v>
      </c>
      <c r="E14252">
        <v>0.13842599999999999</v>
      </c>
      <c r="F14252" t="s">
        <v>74</v>
      </c>
      <c r="G14252">
        <v>138.42639</v>
      </c>
      <c r="H14252" t="s">
        <v>75</v>
      </c>
      <c r="I14252">
        <v>138426.39300000001</v>
      </c>
      <c r="J14252" t="s">
        <v>76</v>
      </c>
      <c r="K14252" t="s">
        <v>77</v>
      </c>
    </row>
    <row r="14253" spans="1:12" x14ac:dyDescent="0.3">
      <c r="A14253" t="s">
        <v>497</v>
      </c>
      <c r="B14253" t="s">
        <v>72</v>
      </c>
      <c r="C14253">
        <v>1</v>
      </c>
      <c r="D14253" t="s">
        <v>94</v>
      </c>
      <c r="E14253">
        <v>9.7260000000000003E-3</v>
      </c>
      <c r="F14253" t="s">
        <v>74</v>
      </c>
      <c r="G14253">
        <v>9.7256</v>
      </c>
      <c r="H14253" t="s">
        <v>75</v>
      </c>
      <c r="I14253">
        <v>9725.6</v>
      </c>
      <c r="J14253" t="s">
        <v>76</v>
      </c>
      <c r="K14253" t="s">
        <v>77</v>
      </c>
    </row>
    <row r="14254" spans="1:12" x14ac:dyDescent="0.3">
      <c r="A14254" t="s">
        <v>497</v>
      </c>
      <c r="B14254" t="s">
        <v>72</v>
      </c>
      <c r="C14254">
        <v>1</v>
      </c>
      <c r="D14254" t="s">
        <v>80</v>
      </c>
      <c r="E14254">
        <v>9.7269999999999995E-3</v>
      </c>
      <c r="F14254" t="s">
        <v>74</v>
      </c>
      <c r="G14254">
        <v>9.7266999999999992</v>
      </c>
      <c r="H14254" t="s">
        <v>75</v>
      </c>
      <c r="I14254">
        <v>9726.7000000000007</v>
      </c>
      <c r="J14254" t="s">
        <v>76</v>
      </c>
      <c r="K14254" t="s">
        <v>77</v>
      </c>
    </row>
    <row r="14255" spans="1:12" x14ac:dyDescent="0.3">
      <c r="A14255" t="s">
        <v>497</v>
      </c>
      <c r="B14255" t="s">
        <v>72</v>
      </c>
      <c r="C14255">
        <v>1</v>
      </c>
      <c r="D14255" t="s">
        <v>81</v>
      </c>
      <c r="E14255">
        <v>0.14815400000000001</v>
      </c>
      <c r="F14255" t="s">
        <v>74</v>
      </c>
      <c r="G14255">
        <v>148.15379999999999</v>
      </c>
      <c r="H14255" t="s">
        <v>75</v>
      </c>
      <c r="I14255">
        <v>148153.79699999999</v>
      </c>
      <c r="J14255" t="s">
        <v>76</v>
      </c>
      <c r="K14255" t="s">
        <v>82</v>
      </c>
      <c r="L14255">
        <v>6.7497426000000003</v>
      </c>
    </row>
    <row r="14256" spans="1:12" x14ac:dyDescent="0.3">
      <c r="A14256" t="s">
        <v>497</v>
      </c>
      <c r="B14256" t="s">
        <v>83</v>
      </c>
      <c r="C14256">
        <v>442</v>
      </c>
      <c r="D14256" t="s">
        <v>79</v>
      </c>
      <c r="E14256">
        <v>2.385E-3</v>
      </c>
      <c r="F14256" t="s">
        <v>74</v>
      </c>
      <c r="G14256">
        <v>2.38469</v>
      </c>
      <c r="H14256" t="s">
        <v>75</v>
      </c>
      <c r="I14256">
        <v>2384.6889999999999</v>
      </c>
      <c r="J14256" t="s">
        <v>76</v>
      </c>
      <c r="K14256" t="s">
        <v>77</v>
      </c>
    </row>
    <row r="14257" spans="1:12" x14ac:dyDescent="0.3">
      <c r="A14257" t="s">
        <v>497</v>
      </c>
      <c r="B14257" t="s">
        <v>83</v>
      </c>
      <c r="C14257">
        <v>442</v>
      </c>
      <c r="D14257" t="s">
        <v>94</v>
      </c>
      <c r="E14257">
        <v>7.1869999999999998E-3</v>
      </c>
      <c r="F14257" t="s">
        <v>74</v>
      </c>
      <c r="G14257">
        <v>7.1873100000000001</v>
      </c>
      <c r="H14257" t="s">
        <v>75</v>
      </c>
      <c r="I14257">
        <v>7187.3059999999996</v>
      </c>
      <c r="J14257" t="s">
        <v>76</v>
      </c>
      <c r="K14257" t="s">
        <v>77</v>
      </c>
    </row>
    <row r="14258" spans="1:12" x14ac:dyDescent="0.3">
      <c r="A14258" t="s">
        <v>497</v>
      </c>
      <c r="B14258" t="s">
        <v>83</v>
      </c>
      <c r="C14258">
        <v>442</v>
      </c>
      <c r="D14258" t="s">
        <v>80</v>
      </c>
      <c r="E14258">
        <v>7.3720000000000001E-3</v>
      </c>
      <c r="F14258" t="s">
        <v>74</v>
      </c>
      <c r="G14258">
        <v>7.3723299999999998</v>
      </c>
      <c r="H14258" t="s">
        <v>75</v>
      </c>
      <c r="I14258">
        <v>7372.326</v>
      </c>
      <c r="J14258" t="s">
        <v>76</v>
      </c>
      <c r="K14258" t="s">
        <v>77</v>
      </c>
    </row>
    <row r="14259" spans="1:12" x14ac:dyDescent="0.3">
      <c r="A14259" t="s">
        <v>497</v>
      </c>
      <c r="B14259" t="s">
        <v>83</v>
      </c>
      <c r="C14259">
        <v>442</v>
      </c>
      <c r="D14259" t="s">
        <v>81</v>
      </c>
      <c r="E14259">
        <v>9.757E-3</v>
      </c>
      <c r="F14259" t="s">
        <v>74</v>
      </c>
      <c r="G14259">
        <v>9.75732</v>
      </c>
      <c r="H14259" t="s">
        <v>75</v>
      </c>
      <c r="I14259">
        <v>9757.3169999999991</v>
      </c>
      <c r="J14259" t="s">
        <v>76</v>
      </c>
      <c r="K14259" t="s">
        <v>82</v>
      </c>
      <c r="L14259">
        <v>102.48718959999999</v>
      </c>
    </row>
    <row r="14260" spans="1:12" x14ac:dyDescent="0.3">
      <c r="A14260" t="s">
        <v>497</v>
      </c>
      <c r="B14260" t="s">
        <v>84</v>
      </c>
      <c r="C14260">
        <v>443</v>
      </c>
      <c r="D14260" t="s">
        <v>79</v>
      </c>
      <c r="E14260">
        <v>2.6919999999999999E-3</v>
      </c>
      <c r="F14260" t="s">
        <v>74</v>
      </c>
      <c r="G14260">
        <v>2.6917800000000001</v>
      </c>
      <c r="H14260" t="s">
        <v>75</v>
      </c>
      <c r="I14260">
        <v>2691.7809999999999</v>
      </c>
      <c r="J14260" t="s">
        <v>76</v>
      </c>
      <c r="K14260" t="s">
        <v>77</v>
      </c>
    </row>
    <row r="14261" spans="1:12" x14ac:dyDescent="0.3">
      <c r="A14261" t="s">
        <v>497</v>
      </c>
      <c r="B14261" t="s">
        <v>84</v>
      </c>
      <c r="C14261">
        <v>443</v>
      </c>
      <c r="D14261" t="s">
        <v>94</v>
      </c>
      <c r="E14261">
        <v>7.1929999999999997E-3</v>
      </c>
      <c r="F14261" t="s">
        <v>74</v>
      </c>
      <c r="G14261">
        <v>7.1930399999999999</v>
      </c>
      <c r="H14261" t="s">
        <v>75</v>
      </c>
      <c r="I14261">
        <v>7193.0349999999999</v>
      </c>
      <c r="J14261" t="s">
        <v>76</v>
      </c>
      <c r="K14261" t="s">
        <v>77</v>
      </c>
    </row>
    <row r="14262" spans="1:12" x14ac:dyDescent="0.3">
      <c r="A14262" t="s">
        <v>497</v>
      </c>
      <c r="B14262" t="s">
        <v>84</v>
      </c>
      <c r="C14262">
        <v>443</v>
      </c>
      <c r="D14262" t="s">
        <v>80</v>
      </c>
      <c r="E14262">
        <v>7.378E-3</v>
      </c>
      <c r="F14262" t="s">
        <v>74</v>
      </c>
      <c r="G14262">
        <v>7.3776400000000004</v>
      </c>
      <c r="H14262" t="s">
        <v>75</v>
      </c>
      <c r="I14262">
        <v>7377.6409999999996</v>
      </c>
      <c r="J14262" t="s">
        <v>76</v>
      </c>
      <c r="K14262" t="s">
        <v>77</v>
      </c>
    </row>
    <row r="14263" spans="1:12" x14ac:dyDescent="0.3">
      <c r="A14263" t="s">
        <v>497</v>
      </c>
      <c r="B14263" t="s">
        <v>84</v>
      </c>
      <c r="C14263">
        <v>443</v>
      </c>
      <c r="D14263" t="s">
        <v>81</v>
      </c>
      <c r="E14263">
        <v>1.0070000000000001E-2</v>
      </c>
      <c r="F14263" t="s">
        <v>74</v>
      </c>
      <c r="G14263">
        <v>10.06973</v>
      </c>
      <c r="H14263" t="s">
        <v>75</v>
      </c>
      <c r="I14263">
        <v>10069.725</v>
      </c>
      <c r="J14263" t="s">
        <v>76</v>
      </c>
      <c r="K14263" t="s">
        <v>82</v>
      </c>
      <c r="L14263">
        <v>99.307573199999993</v>
      </c>
    </row>
    <row r="14264" spans="1:12" x14ac:dyDescent="0.3">
      <c r="A14264" t="s">
        <v>498</v>
      </c>
      <c r="B14264" t="s">
        <v>72</v>
      </c>
      <c r="C14264">
        <v>1</v>
      </c>
      <c r="D14264" t="s">
        <v>73</v>
      </c>
      <c r="E14264">
        <v>5.5999999999999999E-5</v>
      </c>
      <c r="F14264" t="s">
        <v>74</v>
      </c>
      <c r="G14264">
        <v>5.5500000000000001E-2</v>
      </c>
      <c r="H14264" t="s">
        <v>75</v>
      </c>
      <c r="I14264">
        <v>55.5</v>
      </c>
      <c r="J14264" t="s">
        <v>76</v>
      </c>
      <c r="K14264" t="s">
        <v>77</v>
      </c>
    </row>
    <row r="14265" spans="1:12" x14ac:dyDescent="0.3">
      <c r="A14265" t="s">
        <v>498</v>
      </c>
      <c r="B14265" t="s">
        <v>72</v>
      </c>
      <c r="C14265">
        <v>1</v>
      </c>
      <c r="D14265" t="s">
        <v>78</v>
      </c>
      <c r="E14265">
        <v>0.14683599999999999</v>
      </c>
      <c r="F14265" t="s">
        <v>74</v>
      </c>
      <c r="G14265">
        <v>146.83629999999999</v>
      </c>
      <c r="H14265" t="s">
        <v>75</v>
      </c>
      <c r="I14265">
        <v>146836.296</v>
      </c>
      <c r="J14265" t="s">
        <v>76</v>
      </c>
      <c r="K14265" t="s">
        <v>77</v>
      </c>
    </row>
    <row r="14266" spans="1:12" x14ac:dyDescent="0.3">
      <c r="A14266" t="s">
        <v>498</v>
      </c>
      <c r="B14266" t="s">
        <v>72</v>
      </c>
      <c r="C14266">
        <v>2</v>
      </c>
      <c r="D14266" t="s">
        <v>86</v>
      </c>
      <c r="E14266">
        <v>0.20835000000000001</v>
      </c>
      <c r="F14266" t="s">
        <v>74</v>
      </c>
      <c r="G14266">
        <v>208.34989999999999</v>
      </c>
      <c r="H14266" t="s">
        <v>75</v>
      </c>
      <c r="I14266">
        <v>208349.89799999999</v>
      </c>
      <c r="J14266" t="s">
        <v>76</v>
      </c>
      <c r="K14266" t="s">
        <v>82</v>
      </c>
      <c r="L14266">
        <v>4.7996184</v>
      </c>
    </row>
    <row r="14267" spans="1:12" x14ac:dyDescent="0.3">
      <c r="A14267" t="s">
        <v>498</v>
      </c>
      <c r="B14267" t="s">
        <v>83</v>
      </c>
      <c r="C14267">
        <v>999</v>
      </c>
      <c r="D14267" t="s">
        <v>86</v>
      </c>
      <c r="E14267">
        <v>4.346E-3</v>
      </c>
      <c r="F14267" t="s">
        <v>74</v>
      </c>
      <c r="G14267">
        <v>4.3463099999999999</v>
      </c>
      <c r="H14267" t="s">
        <v>75</v>
      </c>
      <c r="I14267">
        <v>4346.3140000000003</v>
      </c>
      <c r="J14267" t="s">
        <v>76</v>
      </c>
      <c r="K14267" t="s">
        <v>82</v>
      </c>
      <c r="L14267">
        <v>230.0800227</v>
      </c>
    </row>
    <row r="14268" spans="1:12" x14ac:dyDescent="0.3">
      <c r="A14268" t="s">
        <v>498</v>
      </c>
      <c r="B14268" t="s">
        <v>85</v>
      </c>
      <c r="C14268">
        <v>1001</v>
      </c>
      <c r="D14268" t="s">
        <v>86</v>
      </c>
      <c r="E14268">
        <v>4.4910000000000002E-3</v>
      </c>
      <c r="F14268" t="s">
        <v>74</v>
      </c>
      <c r="G14268">
        <v>4.4912900000000002</v>
      </c>
      <c r="H14268" t="s">
        <v>75</v>
      </c>
      <c r="I14268">
        <v>4491.2889999999998</v>
      </c>
      <c r="J14268" t="s">
        <v>76</v>
      </c>
      <c r="K14268" t="s">
        <v>82</v>
      </c>
      <c r="L14268">
        <v>222.6532205</v>
      </c>
    </row>
    <row r="14269" spans="1:12" x14ac:dyDescent="0.3">
      <c r="A14269" t="s">
        <v>141</v>
      </c>
    </row>
    <row r="14270" spans="1:12" x14ac:dyDescent="0.3">
      <c r="A14270" t="s">
        <v>141</v>
      </c>
    </row>
    <row r="14271" spans="1:12" x14ac:dyDescent="0.3">
      <c r="A14271" t="s">
        <v>507</v>
      </c>
    </row>
    <row r="14272" spans="1:12" x14ac:dyDescent="0.3">
      <c r="A14272" t="s">
        <v>496</v>
      </c>
      <c r="B14272" t="s">
        <v>72</v>
      </c>
      <c r="C14272">
        <v>1</v>
      </c>
      <c r="D14272" t="s">
        <v>79</v>
      </c>
      <c r="E14272">
        <v>6.7080000000000004E-3</v>
      </c>
      <c r="F14272" t="s">
        <v>74</v>
      </c>
      <c r="G14272">
        <v>6.7083000000000004</v>
      </c>
      <c r="H14272" t="s">
        <v>75</v>
      </c>
      <c r="I14272">
        <v>6708.3</v>
      </c>
      <c r="J14272" t="s">
        <v>76</v>
      </c>
      <c r="K14272" t="s">
        <v>77</v>
      </c>
    </row>
    <row r="14273" spans="1:12" x14ac:dyDescent="0.3">
      <c r="A14273" t="s">
        <v>496</v>
      </c>
      <c r="B14273" t="s">
        <v>72</v>
      </c>
      <c r="C14273">
        <v>1</v>
      </c>
      <c r="D14273" t="s">
        <v>94</v>
      </c>
      <c r="E14273">
        <v>2.9429999999999999E-3</v>
      </c>
      <c r="F14273" t="s">
        <v>74</v>
      </c>
      <c r="G14273">
        <v>2.9432999999999998</v>
      </c>
      <c r="H14273" t="s">
        <v>75</v>
      </c>
      <c r="I14273">
        <v>2943.3</v>
      </c>
      <c r="J14273" t="s">
        <v>76</v>
      </c>
      <c r="K14273" t="s">
        <v>77</v>
      </c>
    </row>
    <row r="14274" spans="1:12" x14ac:dyDescent="0.3">
      <c r="A14274" t="s">
        <v>496</v>
      </c>
      <c r="B14274" t="s">
        <v>72</v>
      </c>
      <c r="C14274">
        <v>1</v>
      </c>
      <c r="D14274" t="s">
        <v>80</v>
      </c>
      <c r="E14274">
        <v>3.0869999999999999E-3</v>
      </c>
      <c r="F14274" t="s">
        <v>74</v>
      </c>
      <c r="G14274">
        <v>3.0868000000000002</v>
      </c>
      <c r="H14274" t="s">
        <v>75</v>
      </c>
      <c r="I14274">
        <v>3086.8</v>
      </c>
      <c r="J14274" t="s">
        <v>76</v>
      </c>
      <c r="K14274" t="s">
        <v>77</v>
      </c>
    </row>
    <row r="14275" spans="1:12" x14ac:dyDescent="0.3">
      <c r="A14275" t="s">
        <v>496</v>
      </c>
      <c r="B14275" t="s">
        <v>72</v>
      </c>
      <c r="C14275">
        <v>1</v>
      </c>
      <c r="D14275" t="s">
        <v>81</v>
      </c>
      <c r="E14275">
        <v>9.7970000000000002E-3</v>
      </c>
      <c r="F14275" t="s">
        <v>74</v>
      </c>
      <c r="G14275">
        <v>9.7970000000000006</v>
      </c>
      <c r="H14275" t="s">
        <v>75</v>
      </c>
      <c r="I14275">
        <v>9797</v>
      </c>
      <c r="J14275" t="s">
        <v>76</v>
      </c>
      <c r="K14275" t="s">
        <v>82</v>
      </c>
      <c r="L14275">
        <v>102.07205949999999</v>
      </c>
    </row>
    <row r="14276" spans="1:12" x14ac:dyDescent="0.3">
      <c r="A14276" t="s">
        <v>496</v>
      </c>
      <c r="B14276" t="s">
        <v>83</v>
      </c>
      <c r="C14276">
        <v>538</v>
      </c>
      <c r="D14276" t="s">
        <v>79</v>
      </c>
      <c r="E14276">
        <v>2.7680000000000001E-3</v>
      </c>
      <c r="F14276" t="s">
        <v>74</v>
      </c>
      <c r="G14276">
        <v>2.76844</v>
      </c>
      <c r="H14276" t="s">
        <v>75</v>
      </c>
      <c r="I14276">
        <v>2768.4409999999998</v>
      </c>
      <c r="J14276" t="s">
        <v>76</v>
      </c>
      <c r="K14276" t="s">
        <v>77</v>
      </c>
    </row>
    <row r="14277" spans="1:12" x14ac:dyDescent="0.3">
      <c r="A14277" t="s">
        <v>496</v>
      </c>
      <c r="B14277" t="s">
        <v>83</v>
      </c>
      <c r="C14277">
        <v>538</v>
      </c>
      <c r="D14277" t="s">
        <v>94</v>
      </c>
      <c r="E14277">
        <v>5.476E-3</v>
      </c>
      <c r="F14277" t="s">
        <v>74</v>
      </c>
      <c r="G14277">
        <v>5.4758500000000003</v>
      </c>
      <c r="H14277" t="s">
        <v>75</v>
      </c>
      <c r="I14277">
        <v>5475.8519999999999</v>
      </c>
      <c r="J14277" t="s">
        <v>76</v>
      </c>
      <c r="K14277" t="s">
        <v>77</v>
      </c>
    </row>
    <row r="14278" spans="1:12" x14ac:dyDescent="0.3">
      <c r="A14278" t="s">
        <v>496</v>
      </c>
      <c r="B14278" t="s">
        <v>83</v>
      </c>
      <c r="C14278">
        <v>538</v>
      </c>
      <c r="D14278" t="s">
        <v>80</v>
      </c>
      <c r="E14278">
        <v>5.6550000000000003E-3</v>
      </c>
      <c r="F14278" t="s">
        <v>74</v>
      </c>
      <c r="G14278">
        <v>5.6554500000000001</v>
      </c>
      <c r="H14278" t="s">
        <v>75</v>
      </c>
      <c r="I14278">
        <v>5655.4539999999997</v>
      </c>
      <c r="J14278" t="s">
        <v>76</v>
      </c>
      <c r="K14278" t="s">
        <v>77</v>
      </c>
    </row>
    <row r="14279" spans="1:12" x14ac:dyDescent="0.3">
      <c r="A14279" t="s">
        <v>496</v>
      </c>
      <c r="B14279" t="s">
        <v>83</v>
      </c>
      <c r="C14279">
        <v>538</v>
      </c>
      <c r="D14279" t="s">
        <v>81</v>
      </c>
      <c r="E14279">
        <v>8.4239999999999992E-3</v>
      </c>
      <c r="F14279" t="s">
        <v>74</v>
      </c>
      <c r="G14279">
        <v>8.4242000000000008</v>
      </c>
      <c r="H14279" t="s">
        <v>75</v>
      </c>
      <c r="I14279">
        <v>8424.2019999999993</v>
      </c>
      <c r="J14279" t="s">
        <v>76</v>
      </c>
      <c r="K14279" t="s">
        <v>82</v>
      </c>
      <c r="L14279">
        <v>118.7056013</v>
      </c>
    </row>
    <row r="14280" spans="1:12" x14ac:dyDescent="0.3">
      <c r="A14280" t="s">
        <v>496</v>
      </c>
      <c r="B14280" t="s">
        <v>84</v>
      </c>
      <c r="C14280">
        <v>539</v>
      </c>
      <c r="D14280" t="s">
        <v>79</v>
      </c>
      <c r="E14280">
        <v>2.7759999999999998E-3</v>
      </c>
      <c r="F14280" t="s">
        <v>74</v>
      </c>
      <c r="G14280">
        <v>2.7757499999999999</v>
      </c>
      <c r="H14280" t="s">
        <v>75</v>
      </c>
      <c r="I14280">
        <v>2775.7510000000002</v>
      </c>
      <c r="J14280" t="s">
        <v>76</v>
      </c>
      <c r="K14280" t="s">
        <v>77</v>
      </c>
    </row>
    <row r="14281" spans="1:12" x14ac:dyDescent="0.3">
      <c r="A14281" t="s">
        <v>496</v>
      </c>
      <c r="B14281" t="s">
        <v>84</v>
      </c>
      <c r="C14281">
        <v>539</v>
      </c>
      <c r="D14281" t="s">
        <v>94</v>
      </c>
      <c r="E14281">
        <v>5.4710000000000002E-3</v>
      </c>
      <c r="F14281" t="s">
        <v>74</v>
      </c>
      <c r="G14281">
        <v>5.4711499999999997</v>
      </c>
      <c r="H14281" t="s">
        <v>75</v>
      </c>
      <c r="I14281">
        <v>5471.1530000000002</v>
      </c>
      <c r="J14281" t="s">
        <v>76</v>
      </c>
      <c r="K14281" t="s">
        <v>77</v>
      </c>
    </row>
    <row r="14282" spans="1:12" x14ac:dyDescent="0.3">
      <c r="A14282" t="s">
        <v>496</v>
      </c>
      <c r="B14282" t="s">
        <v>84</v>
      </c>
      <c r="C14282">
        <v>539</v>
      </c>
      <c r="D14282" t="s">
        <v>80</v>
      </c>
      <c r="E14282">
        <v>5.6509999999999998E-3</v>
      </c>
      <c r="F14282" t="s">
        <v>74</v>
      </c>
      <c r="G14282">
        <v>5.65069</v>
      </c>
      <c r="H14282" t="s">
        <v>75</v>
      </c>
      <c r="I14282">
        <v>5650.6880000000001</v>
      </c>
      <c r="J14282" t="s">
        <v>76</v>
      </c>
      <c r="K14282" t="s">
        <v>77</v>
      </c>
    </row>
    <row r="14283" spans="1:12" x14ac:dyDescent="0.3">
      <c r="A14283" t="s">
        <v>496</v>
      </c>
      <c r="B14283" t="s">
        <v>84</v>
      </c>
      <c r="C14283">
        <v>539</v>
      </c>
      <c r="D14283" t="s">
        <v>81</v>
      </c>
      <c r="E14283">
        <v>8.4270000000000005E-3</v>
      </c>
      <c r="F14283" t="s">
        <v>74</v>
      </c>
      <c r="G14283">
        <v>8.4267500000000002</v>
      </c>
      <c r="H14283" t="s">
        <v>75</v>
      </c>
      <c r="I14283">
        <v>8426.75</v>
      </c>
      <c r="J14283" t="s">
        <v>76</v>
      </c>
      <c r="K14283" t="s">
        <v>82</v>
      </c>
      <c r="L14283">
        <v>118.6697082</v>
      </c>
    </row>
    <row r="14284" spans="1:12" x14ac:dyDescent="0.3">
      <c r="A14284" t="s">
        <v>497</v>
      </c>
      <c r="B14284" t="s">
        <v>72</v>
      </c>
      <c r="C14284">
        <v>1</v>
      </c>
      <c r="D14284" t="s">
        <v>79</v>
      </c>
      <c r="E14284">
        <v>7.0070000000000002E-3</v>
      </c>
      <c r="F14284" t="s">
        <v>74</v>
      </c>
      <c r="G14284">
        <v>7.0072000000000001</v>
      </c>
      <c r="H14284" t="s">
        <v>75</v>
      </c>
      <c r="I14284">
        <v>7007.2</v>
      </c>
      <c r="J14284" t="s">
        <v>76</v>
      </c>
      <c r="K14284" t="s">
        <v>77</v>
      </c>
    </row>
    <row r="14285" spans="1:12" x14ac:dyDescent="0.3">
      <c r="A14285" t="s">
        <v>497</v>
      </c>
      <c r="B14285" t="s">
        <v>72</v>
      </c>
      <c r="C14285">
        <v>1</v>
      </c>
      <c r="D14285" t="s">
        <v>94</v>
      </c>
      <c r="E14285">
        <v>2.3434E-2</v>
      </c>
      <c r="F14285" t="s">
        <v>74</v>
      </c>
      <c r="G14285">
        <v>23.433700000000002</v>
      </c>
      <c r="H14285" t="s">
        <v>75</v>
      </c>
      <c r="I14285">
        <v>23433.7</v>
      </c>
      <c r="J14285" t="s">
        <v>76</v>
      </c>
      <c r="K14285" t="s">
        <v>77</v>
      </c>
    </row>
    <row r="14286" spans="1:12" x14ac:dyDescent="0.3">
      <c r="A14286" t="s">
        <v>497</v>
      </c>
      <c r="B14286" t="s">
        <v>72</v>
      </c>
      <c r="C14286">
        <v>1</v>
      </c>
      <c r="D14286" t="s">
        <v>80</v>
      </c>
      <c r="E14286">
        <v>2.3609000000000002E-2</v>
      </c>
      <c r="F14286" t="s">
        <v>74</v>
      </c>
      <c r="G14286">
        <v>23.609300000000001</v>
      </c>
      <c r="H14286" t="s">
        <v>75</v>
      </c>
      <c r="I14286">
        <v>23609.298999999999</v>
      </c>
      <c r="J14286" t="s">
        <v>76</v>
      </c>
      <c r="K14286" t="s">
        <v>77</v>
      </c>
    </row>
    <row r="14287" spans="1:12" x14ac:dyDescent="0.3">
      <c r="A14287" t="s">
        <v>497</v>
      </c>
      <c r="B14287" t="s">
        <v>72</v>
      </c>
      <c r="C14287">
        <v>1</v>
      </c>
      <c r="D14287" t="s">
        <v>81</v>
      </c>
      <c r="E14287">
        <v>3.0616999999999998E-2</v>
      </c>
      <c r="F14287" t="s">
        <v>74</v>
      </c>
      <c r="G14287">
        <v>30.617000000000001</v>
      </c>
      <c r="H14287" t="s">
        <v>75</v>
      </c>
      <c r="I14287">
        <v>30617.001</v>
      </c>
      <c r="J14287" t="s">
        <v>76</v>
      </c>
      <c r="K14287" t="s">
        <v>82</v>
      </c>
      <c r="L14287">
        <v>32.6615927</v>
      </c>
    </row>
    <row r="14288" spans="1:12" x14ac:dyDescent="0.3">
      <c r="A14288" t="s">
        <v>497</v>
      </c>
      <c r="B14288" t="s">
        <v>83</v>
      </c>
      <c r="C14288">
        <v>461</v>
      </c>
      <c r="D14288" t="s">
        <v>79</v>
      </c>
      <c r="E14288">
        <v>2.9129999999999998E-3</v>
      </c>
      <c r="F14288" t="s">
        <v>74</v>
      </c>
      <c r="G14288">
        <v>2.9127299999999998</v>
      </c>
      <c r="H14288" t="s">
        <v>75</v>
      </c>
      <c r="I14288">
        <v>2912.7350000000001</v>
      </c>
      <c r="J14288" t="s">
        <v>76</v>
      </c>
      <c r="K14288" t="s">
        <v>77</v>
      </c>
    </row>
    <row r="14289" spans="1:12" x14ac:dyDescent="0.3">
      <c r="A14289" t="s">
        <v>497</v>
      </c>
      <c r="B14289" t="s">
        <v>83</v>
      </c>
      <c r="C14289">
        <v>461</v>
      </c>
      <c r="D14289" t="s">
        <v>94</v>
      </c>
      <c r="E14289">
        <v>6.6629999999999997E-3</v>
      </c>
      <c r="F14289" t="s">
        <v>74</v>
      </c>
      <c r="G14289">
        <v>6.6627299999999998</v>
      </c>
      <c r="H14289" t="s">
        <v>75</v>
      </c>
      <c r="I14289">
        <v>6662.7349999999997</v>
      </c>
      <c r="J14289" t="s">
        <v>76</v>
      </c>
      <c r="K14289" t="s">
        <v>77</v>
      </c>
    </row>
    <row r="14290" spans="1:12" x14ac:dyDescent="0.3">
      <c r="A14290" t="s">
        <v>497</v>
      </c>
      <c r="B14290" t="s">
        <v>83</v>
      </c>
      <c r="C14290">
        <v>461</v>
      </c>
      <c r="D14290" t="s">
        <v>80</v>
      </c>
      <c r="E14290">
        <v>6.8510000000000003E-3</v>
      </c>
      <c r="F14290" t="s">
        <v>74</v>
      </c>
      <c r="G14290">
        <v>6.8512000000000004</v>
      </c>
      <c r="H14290" t="s">
        <v>75</v>
      </c>
      <c r="I14290">
        <v>6851.1970000000001</v>
      </c>
      <c r="J14290" t="s">
        <v>76</v>
      </c>
      <c r="K14290" t="s">
        <v>77</v>
      </c>
    </row>
    <row r="14291" spans="1:12" x14ac:dyDescent="0.3">
      <c r="A14291" t="s">
        <v>497</v>
      </c>
      <c r="B14291" t="s">
        <v>83</v>
      </c>
      <c r="C14291">
        <v>461</v>
      </c>
      <c r="D14291" t="s">
        <v>81</v>
      </c>
      <c r="E14291">
        <v>9.7640000000000001E-3</v>
      </c>
      <c r="F14291" t="s">
        <v>74</v>
      </c>
      <c r="G14291">
        <v>9.7642500000000005</v>
      </c>
      <c r="H14291" t="s">
        <v>75</v>
      </c>
      <c r="I14291">
        <v>9764.2469999999994</v>
      </c>
      <c r="J14291" t="s">
        <v>76</v>
      </c>
      <c r="K14291" t="s">
        <v>82</v>
      </c>
      <c r="L14291">
        <v>102.4144489</v>
      </c>
    </row>
    <row r="14292" spans="1:12" x14ac:dyDescent="0.3">
      <c r="A14292" t="s">
        <v>497</v>
      </c>
      <c r="B14292" t="s">
        <v>84</v>
      </c>
      <c r="C14292">
        <v>462</v>
      </c>
      <c r="D14292" t="s">
        <v>79</v>
      </c>
      <c r="E14292">
        <v>2.9220000000000001E-3</v>
      </c>
      <c r="F14292" t="s">
        <v>74</v>
      </c>
      <c r="G14292">
        <v>2.9216000000000002</v>
      </c>
      <c r="H14292" t="s">
        <v>75</v>
      </c>
      <c r="I14292">
        <v>2921.5970000000002</v>
      </c>
      <c r="J14292" t="s">
        <v>76</v>
      </c>
      <c r="K14292" t="s">
        <v>77</v>
      </c>
    </row>
    <row r="14293" spans="1:12" x14ac:dyDescent="0.3">
      <c r="A14293" t="s">
        <v>497</v>
      </c>
      <c r="B14293" t="s">
        <v>84</v>
      </c>
      <c r="C14293">
        <v>462</v>
      </c>
      <c r="D14293" t="s">
        <v>94</v>
      </c>
      <c r="E14293">
        <v>6.6990000000000001E-3</v>
      </c>
      <c r="F14293" t="s">
        <v>74</v>
      </c>
      <c r="G14293">
        <v>6.6990400000000001</v>
      </c>
      <c r="H14293" t="s">
        <v>75</v>
      </c>
      <c r="I14293">
        <v>6699.0360000000001</v>
      </c>
      <c r="J14293" t="s">
        <v>76</v>
      </c>
      <c r="K14293" t="s">
        <v>77</v>
      </c>
    </row>
    <row r="14294" spans="1:12" x14ac:dyDescent="0.3">
      <c r="A14294" t="s">
        <v>497</v>
      </c>
      <c r="B14294" t="s">
        <v>84</v>
      </c>
      <c r="C14294">
        <v>462</v>
      </c>
      <c r="D14294" t="s">
        <v>80</v>
      </c>
      <c r="E14294">
        <v>6.8869999999999999E-3</v>
      </c>
      <c r="F14294" t="s">
        <v>74</v>
      </c>
      <c r="G14294">
        <v>6.8874700000000004</v>
      </c>
      <c r="H14294" t="s">
        <v>75</v>
      </c>
      <c r="I14294">
        <v>6887.47</v>
      </c>
      <c r="J14294" t="s">
        <v>76</v>
      </c>
      <c r="K14294" t="s">
        <v>77</v>
      </c>
    </row>
    <row r="14295" spans="1:12" x14ac:dyDescent="0.3">
      <c r="A14295" t="s">
        <v>497</v>
      </c>
      <c r="B14295" t="s">
        <v>84</v>
      </c>
      <c r="C14295">
        <v>462</v>
      </c>
      <c r="D14295" t="s">
        <v>81</v>
      </c>
      <c r="E14295">
        <v>9.809E-3</v>
      </c>
      <c r="F14295" t="s">
        <v>74</v>
      </c>
      <c r="G14295">
        <v>9.8093800000000009</v>
      </c>
      <c r="H14295" t="s">
        <v>75</v>
      </c>
      <c r="I14295">
        <v>9809.3829999999998</v>
      </c>
      <c r="J14295" t="s">
        <v>76</v>
      </c>
      <c r="K14295" t="s">
        <v>82</v>
      </c>
      <c r="L14295">
        <v>101.9432156</v>
      </c>
    </row>
    <row r="14296" spans="1:12" x14ac:dyDescent="0.3">
      <c r="A14296" t="s">
        <v>498</v>
      </c>
      <c r="B14296" t="s">
        <v>72</v>
      </c>
      <c r="C14296">
        <v>1</v>
      </c>
      <c r="D14296" t="s">
        <v>73</v>
      </c>
      <c r="E14296">
        <v>5.5999999999999999E-5</v>
      </c>
      <c r="F14296" t="s">
        <v>74</v>
      </c>
      <c r="G14296">
        <v>5.5500000000000001E-2</v>
      </c>
      <c r="H14296" t="s">
        <v>75</v>
      </c>
      <c r="I14296">
        <v>55.5</v>
      </c>
      <c r="J14296" t="s">
        <v>76</v>
      </c>
      <c r="K14296" t="s">
        <v>77</v>
      </c>
    </row>
    <row r="14297" spans="1:12" x14ac:dyDescent="0.3">
      <c r="A14297" t="s">
        <v>498</v>
      </c>
      <c r="B14297" t="s">
        <v>72</v>
      </c>
      <c r="C14297">
        <v>1</v>
      </c>
      <c r="D14297" t="s">
        <v>78</v>
      </c>
      <c r="E14297">
        <v>1.3899999999999999E-4</v>
      </c>
      <c r="F14297" t="s">
        <v>74</v>
      </c>
      <c r="G14297">
        <v>0.13950000000000001</v>
      </c>
      <c r="H14297" t="s">
        <v>75</v>
      </c>
      <c r="I14297">
        <v>139.5</v>
      </c>
      <c r="J14297" t="s">
        <v>76</v>
      </c>
      <c r="K14297" t="s">
        <v>77</v>
      </c>
    </row>
    <row r="14298" spans="1:12" x14ac:dyDescent="0.3">
      <c r="A14298" t="s">
        <v>498</v>
      </c>
      <c r="B14298" t="s">
        <v>72</v>
      </c>
      <c r="C14298">
        <v>2</v>
      </c>
      <c r="D14298" t="s">
        <v>86</v>
      </c>
      <c r="E14298">
        <v>1.5311999999999999E-2</v>
      </c>
      <c r="F14298" t="s">
        <v>74</v>
      </c>
      <c r="G14298">
        <v>15.3116</v>
      </c>
      <c r="H14298" t="s">
        <v>75</v>
      </c>
      <c r="I14298">
        <v>15311.6</v>
      </c>
      <c r="J14298" t="s">
        <v>76</v>
      </c>
      <c r="K14298" t="s">
        <v>82</v>
      </c>
      <c r="L14298">
        <v>65.309962299999995</v>
      </c>
    </row>
    <row r="14299" spans="1:12" x14ac:dyDescent="0.3">
      <c r="A14299" t="s">
        <v>498</v>
      </c>
      <c r="B14299" t="s">
        <v>83</v>
      </c>
      <c r="C14299">
        <v>999</v>
      </c>
      <c r="D14299" t="s">
        <v>86</v>
      </c>
      <c r="E14299">
        <v>4.5459999999999997E-3</v>
      </c>
      <c r="F14299" t="s">
        <v>74</v>
      </c>
      <c r="G14299">
        <v>4.5463800000000001</v>
      </c>
      <c r="H14299" t="s">
        <v>75</v>
      </c>
      <c r="I14299">
        <v>4546.3779999999997</v>
      </c>
      <c r="J14299" t="s">
        <v>76</v>
      </c>
      <c r="K14299" t="s">
        <v>82</v>
      </c>
      <c r="L14299">
        <v>219.955297</v>
      </c>
    </row>
    <row r="14300" spans="1:12" x14ac:dyDescent="0.3">
      <c r="A14300" t="s">
        <v>498</v>
      </c>
      <c r="B14300" t="s">
        <v>85</v>
      </c>
      <c r="C14300">
        <v>1001</v>
      </c>
      <c r="D14300" t="s">
        <v>86</v>
      </c>
      <c r="E14300">
        <v>4.5529999999999998E-3</v>
      </c>
      <c r="F14300" t="s">
        <v>74</v>
      </c>
      <c r="G14300">
        <v>4.5525099999999998</v>
      </c>
      <c r="H14300" t="s">
        <v>75</v>
      </c>
      <c r="I14300">
        <v>4552.5150000000003</v>
      </c>
      <c r="J14300" t="s">
        <v>76</v>
      </c>
      <c r="K14300" t="s">
        <v>82</v>
      </c>
      <c r="L14300">
        <v>219.6588098</v>
      </c>
    </row>
    <row r="14301" spans="1:12" x14ac:dyDescent="0.3">
      <c r="A14301" t="s">
        <v>115</v>
      </c>
    </row>
    <row r="14302" spans="1:12" x14ac:dyDescent="0.3">
      <c r="A14302" t="s">
        <v>127</v>
      </c>
    </row>
    <row r="14303" spans="1:12" x14ac:dyDescent="0.3">
      <c r="A14303" t="s">
        <v>87</v>
      </c>
    </row>
    <row r="14304" spans="1:12" x14ac:dyDescent="0.3">
      <c r="A14304" t="s">
        <v>508</v>
      </c>
    </row>
    <row r="14305" spans="1:12" x14ac:dyDescent="0.3">
      <c r="A14305" t="s">
        <v>496</v>
      </c>
      <c r="B14305" t="s">
        <v>72</v>
      </c>
      <c r="C14305">
        <v>1</v>
      </c>
      <c r="D14305" t="s">
        <v>81</v>
      </c>
      <c r="E14305">
        <v>0.41665799999999997</v>
      </c>
      <c r="F14305" t="s">
        <v>74</v>
      </c>
      <c r="G14305">
        <v>416.65830999999997</v>
      </c>
      <c r="H14305" t="s">
        <v>75</v>
      </c>
      <c r="I14305">
        <v>416658.31199999998</v>
      </c>
      <c r="J14305" t="s">
        <v>76</v>
      </c>
      <c r="K14305" t="s">
        <v>82</v>
      </c>
      <c r="L14305">
        <v>2.4000480999999998</v>
      </c>
    </row>
    <row r="14306" spans="1:12" x14ac:dyDescent="0.3">
      <c r="A14306" t="s">
        <v>496</v>
      </c>
      <c r="B14306" t="s">
        <v>83</v>
      </c>
      <c r="C14306">
        <v>557</v>
      </c>
      <c r="D14306" t="s">
        <v>81</v>
      </c>
      <c r="E14306">
        <v>7.2849999999999998E-3</v>
      </c>
      <c r="F14306" t="s">
        <v>74</v>
      </c>
      <c r="G14306">
        <v>7.2851800000000004</v>
      </c>
      <c r="H14306" t="s">
        <v>75</v>
      </c>
      <c r="I14306">
        <v>7285.1769999999997</v>
      </c>
      <c r="J14306" t="s">
        <v>76</v>
      </c>
      <c r="K14306" t="s">
        <v>82</v>
      </c>
      <c r="L14306">
        <v>137.2650213</v>
      </c>
    </row>
    <row r="14307" spans="1:12" x14ac:dyDescent="0.3">
      <c r="A14307" t="s">
        <v>496</v>
      </c>
      <c r="B14307" t="s">
        <v>84</v>
      </c>
      <c r="C14307">
        <v>558</v>
      </c>
      <c r="D14307" t="s">
        <v>81</v>
      </c>
      <c r="E14307">
        <v>8.0190000000000001E-3</v>
      </c>
      <c r="F14307" t="s">
        <v>74</v>
      </c>
      <c r="G14307">
        <v>8.0188199999999998</v>
      </c>
      <c r="H14307" t="s">
        <v>75</v>
      </c>
      <c r="I14307">
        <v>8018.82</v>
      </c>
      <c r="J14307" t="s">
        <v>76</v>
      </c>
      <c r="K14307" t="s">
        <v>82</v>
      </c>
      <c r="L14307">
        <v>124.7066263</v>
      </c>
    </row>
    <row r="14308" spans="1:12" x14ac:dyDescent="0.3">
      <c r="A14308" t="s">
        <v>497</v>
      </c>
      <c r="B14308" t="s">
        <v>72</v>
      </c>
      <c r="C14308">
        <v>1</v>
      </c>
      <c r="D14308" t="s">
        <v>81</v>
      </c>
      <c r="E14308">
        <v>0.14815400000000001</v>
      </c>
      <c r="F14308" t="s">
        <v>74</v>
      </c>
      <c r="G14308">
        <v>148.15379999999999</v>
      </c>
      <c r="H14308" t="s">
        <v>75</v>
      </c>
      <c r="I14308">
        <v>148153.79699999999</v>
      </c>
      <c r="J14308" t="s">
        <v>76</v>
      </c>
      <c r="K14308" t="s">
        <v>82</v>
      </c>
      <c r="L14308">
        <v>6.7497426000000003</v>
      </c>
    </row>
    <row r="14309" spans="1:12" x14ac:dyDescent="0.3">
      <c r="A14309" t="s">
        <v>497</v>
      </c>
      <c r="B14309" t="s">
        <v>83</v>
      </c>
      <c r="C14309">
        <v>442</v>
      </c>
      <c r="D14309" t="s">
        <v>81</v>
      </c>
      <c r="E14309">
        <v>9.757E-3</v>
      </c>
      <c r="F14309" t="s">
        <v>74</v>
      </c>
      <c r="G14309">
        <v>9.75732</v>
      </c>
      <c r="H14309" t="s">
        <v>75</v>
      </c>
      <c r="I14309">
        <v>9757.3169999999991</v>
      </c>
      <c r="J14309" t="s">
        <v>76</v>
      </c>
      <c r="K14309" t="s">
        <v>82</v>
      </c>
      <c r="L14309">
        <v>102.48718959999999</v>
      </c>
    </row>
    <row r="14310" spans="1:12" x14ac:dyDescent="0.3">
      <c r="A14310" t="s">
        <v>497</v>
      </c>
      <c r="B14310" t="s">
        <v>84</v>
      </c>
      <c r="C14310">
        <v>443</v>
      </c>
      <c r="D14310" t="s">
        <v>81</v>
      </c>
      <c r="E14310">
        <v>1.0070000000000001E-2</v>
      </c>
      <c r="F14310" t="s">
        <v>74</v>
      </c>
      <c r="G14310">
        <v>10.06973</v>
      </c>
      <c r="H14310" t="s">
        <v>75</v>
      </c>
      <c r="I14310">
        <v>10069.725</v>
      </c>
      <c r="J14310" t="s">
        <v>76</v>
      </c>
      <c r="K14310" t="s">
        <v>82</v>
      </c>
      <c r="L14310">
        <v>99.307573199999993</v>
      </c>
    </row>
    <row r="14311" spans="1:12" x14ac:dyDescent="0.3">
      <c r="A14311" t="s">
        <v>498</v>
      </c>
      <c r="B14311" t="s">
        <v>72</v>
      </c>
      <c r="C14311">
        <v>2</v>
      </c>
      <c r="D14311" t="s">
        <v>86</v>
      </c>
      <c r="E14311">
        <v>0.20835000000000001</v>
      </c>
      <c r="F14311" t="s">
        <v>74</v>
      </c>
      <c r="G14311">
        <v>208.34989999999999</v>
      </c>
      <c r="H14311" t="s">
        <v>75</v>
      </c>
      <c r="I14311">
        <v>208349.89799999999</v>
      </c>
      <c r="J14311" t="s">
        <v>76</v>
      </c>
      <c r="K14311" t="s">
        <v>82</v>
      </c>
      <c r="L14311">
        <v>4.7996184</v>
      </c>
    </row>
    <row r="14312" spans="1:12" x14ac:dyDescent="0.3">
      <c r="A14312" t="s">
        <v>498</v>
      </c>
      <c r="B14312" t="s">
        <v>83</v>
      </c>
      <c r="C14312">
        <v>999</v>
      </c>
      <c r="D14312" t="s">
        <v>86</v>
      </c>
      <c r="E14312">
        <v>4.346E-3</v>
      </c>
      <c r="F14312" t="s">
        <v>74</v>
      </c>
      <c r="G14312">
        <v>4.3463099999999999</v>
      </c>
      <c r="H14312" t="s">
        <v>75</v>
      </c>
      <c r="I14312">
        <v>4346.3140000000003</v>
      </c>
      <c r="J14312" t="s">
        <v>76</v>
      </c>
      <c r="K14312" t="s">
        <v>82</v>
      </c>
      <c r="L14312">
        <v>230.0800227</v>
      </c>
    </row>
    <row r="14313" spans="1:12" x14ac:dyDescent="0.3">
      <c r="A14313" t="s">
        <v>498</v>
      </c>
      <c r="B14313" t="s">
        <v>85</v>
      </c>
      <c r="C14313">
        <v>1001</v>
      </c>
      <c r="D14313" t="s">
        <v>86</v>
      </c>
      <c r="E14313">
        <v>4.4910000000000002E-3</v>
      </c>
      <c r="F14313" t="s">
        <v>74</v>
      </c>
      <c r="G14313">
        <v>4.4912900000000002</v>
      </c>
      <c r="H14313" t="s">
        <v>75</v>
      </c>
      <c r="I14313">
        <v>4491.2889999999998</v>
      </c>
      <c r="J14313" t="s">
        <v>76</v>
      </c>
      <c r="K14313" t="s">
        <v>82</v>
      </c>
      <c r="L14313">
        <v>222.6532205</v>
      </c>
    </row>
    <row r="14315" spans="1:12" x14ac:dyDescent="0.3">
      <c r="A14315" t="s">
        <v>509</v>
      </c>
    </row>
    <row r="14316" spans="1:12" x14ac:dyDescent="0.3">
      <c r="A14316" t="s">
        <v>496</v>
      </c>
      <c r="B14316" t="s">
        <v>72</v>
      </c>
      <c r="C14316">
        <v>1</v>
      </c>
      <c r="D14316" t="s">
        <v>81</v>
      </c>
      <c r="E14316">
        <v>9.7970000000000002E-3</v>
      </c>
      <c r="F14316" t="s">
        <v>74</v>
      </c>
      <c r="G14316">
        <v>9.7970000000000006</v>
      </c>
      <c r="H14316" t="s">
        <v>75</v>
      </c>
      <c r="I14316">
        <v>9797</v>
      </c>
      <c r="J14316" t="s">
        <v>76</v>
      </c>
      <c r="K14316" t="s">
        <v>82</v>
      </c>
      <c r="L14316">
        <v>102.07205949999999</v>
      </c>
    </row>
    <row r="14317" spans="1:12" x14ac:dyDescent="0.3">
      <c r="A14317" t="s">
        <v>496</v>
      </c>
      <c r="B14317" t="s">
        <v>83</v>
      </c>
      <c r="C14317">
        <v>538</v>
      </c>
      <c r="D14317" t="s">
        <v>81</v>
      </c>
      <c r="E14317">
        <v>8.4239999999999992E-3</v>
      </c>
      <c r="F14317" t="s">
        <v>74</v>
      </c>
      <c r="G14317">
        <v>8.4242000000000008</v>
      </c>
      <c r="H14317" t="s">
        <v>75</v>
      </c>
      <c r="I14317">
        <v>8424.2019999999993</v>
      </c>
      <c r="J14317" t="s">
        <v>76</v>
      </c>
      <c r="K14317" t="s">
        <v>82</v>
      </c>
      <c r="L14317">
        <v>118.7056013</v>
      </c>
    </row>
    <row r="14318" spans="1:12" x14ac:dyDescent="0.3">
      <c r="A14318" t="s">
        <v>496</v>
      </c>
      <c r="B14318" t="s">
        <v>84</v>
      </c>
      <c r="C14318">
        <v>539</v>
      </c>
      <c r="D14318" t="s">
        <v>81</v>
      </c>
      <c r="E14318">
        <v>8.4270000000000005E-3</v>
      </c>
      <c r="F14318" t="s">
        <v>74</v>
      </c>
      <c r="G14318">
        <v>8.4267500000000002</v>
      </c>
      <c r="H14318" t="s">
        <v>75</v>
      </c>
      <c r="I14318">
        <v>8426.75</v>
      </c>
      <c r="J14318" t="s">
        <v>76</v>
      </c>
      <c r="K14318" t="s">
        <v>82</v>
      </c>
      <c r="L14318">
        <v>118.6697082</v>
      </c>
    </row>
    <row r="14319" spans="1:12" x14ac:dyDescent="0.3">
      <c r="A14319" t="s">
        <v>497</v>
      </c>
      <c r="B14319" t="s">
        <v>72</v>
      </c>
      <c r="C14319">
        <v>1</v>
      </c>
      <c r="D14319" t="s">
        <v>81</v>
      </c>
      <c r="E14319">
        <v>3.0616999999999998E-2</v>
      </c>
      <c r="F14319" t="s">
        <v>74</v>
      </c>
      <c r="G14319">
        <v>30.617000000000001</v>
      </c>
      <c r="H14319" t="s">
        <v>75</v>
      </c>
      <c r="I14319">
        <v>30617.001</v>
      </c>
      <c r="J14319" t="s">
        <v>76</v>
      </c>
      <c r="K14319" t="s">
        <v>82</v>
      </c>
      <c r="L14319">
        <v>32.6615927</v>
      </c>
    </row>
    <row r="14320" spans="1:12" x14ac:dyDescent="0.3">
      <c r="A14320" t="s">
        <v>497</v>
      </c>
      <c r="B14320" t="s">
        <v>83</v>
      </c>
      <c r="C14320">
        <v>461</v>
      </c>
      <c r="D14320" t="s">
        <v>81</v>
      </c>
      <c r="E14320">
        <v>9.7640000000000001E-3</v>
      </c>
      <c r="F14320" t="s">
        <v>74</v>
      </c>
      <c r="G14320">
        <v>9.7642500000000005</v>
      </c>
      <c r="H14320" t="s">
        <v>75</v>
      </c>
      <c r="I14320">
        <v>9764.2469999999994</v>
      </c>
      <c r="J14320" t="s">
        <v>76</v>
      </c>
      <c r="K14320" t="s">
        <v>82</v>
      </c>
      <c r="L14320">
        <v>102.4144489</v>
      </c>
    </row>
    <row r="14321" spans="1:12" x14ac:dyDescent="0.3">
      <c r="A14321" t="s">
        <v>497</v>
      </c>
      <c r="B14321" t="s">
        <v>84</v>
      </c>
      <c r="C14321">
        <v>462</v>
      </c>
      <c r="D14321" t="s">
        <v>81</v>
      </c>
      <c r="E14321">
        <v>9.809E-3</v>
      </c>
      <c r="F14321" t="s">
        <v>74</v>
      </c>
      <c r="G14321">
        <v>9.8093800000000009</v>
      </c>
      <c r="H14321" t="s">
        <v>75</v>
      </c>
      <c r="I14321">
        <v>9809.3829999999998</v>
      </c>
      <c r="J14321" t="s">
        <v>76</v>
      </c>
      <c r="K14321" t="s">
        <v>82</v>
      </c>
      <c r="L14321">
        <v>101.9432156</v>
      </c>
    </row>
    <row r="14322" spans="1:12" x14ac:dyDescent="0.3">
      <c r="A14322" t="s">
        <v>498</v>
      </c>
      <c r="B14322" t="s">
        <v>72</v>
      </c>
      <c r="C14322">
        <v>2</v>
      </c>
      <c r="D14322" t="s">
        <v>86</v>
      </c>
      <c r="E14322">
        <v>1.5311999999999999E-2</v>
      </c>
      <c r="F14322" t="s">
        <v>74</v>
      </c>
      <c r="G14322">
        <v>15.3116</v>
      </c>
      <c r="H14322" t="s">
        <v>75</v>
      </c>
      <c r="I14322">
        <v>15311.6</v>
      </c>
      <c r="J14322" t="s">
        <v>76</v>
      </c>
      <c r="K14322" t="s">
        <v>82</v>
      </c>
      <c r="L14322">
        <v>65.309962299999995</v>
      </c>
    </row>
    <row r="14323" spans="1:12" x14ac:dyDescent="0.3">
      <c r="A14323" t="s">
        <v>498</v>
      </c>
      <c r="B14323" t="s">
        <v>83</v>
      </c>
      <c r="C14323">
        <v>999</v>
      </c>
      <c r="D14323" t="s">
        <v>86</v>
      </c>
      <c r="E14323">
        <v>4.5459999999999997E-3</v>
      </c>
      <c r="F14323" t="s">
        <v>74</v>
      </c>
      <c r="G14323">
        <v>4.5463800000000001</v>
      </c>
      <c r="H14323" t="s">
        <v>75</v>
      </c>
      <c r="I14323">
        <v>4546.3779999999997</v>
      </c>
      <c r="J14323" t="s">
        <v>76</v>
      </c>
      <c r="K14323" t="s">
        <v>82</v>
      </c>
      <c r="L14323">
        <v>219.955297</v>
      </c>
    </row>
    <row r="14324" spans="1:12" x14ac:dyDescent="0.3">
      <c r="A14324" t="s">
        <v>498</v>
      </c>
      <c r="B14324" t="s">
        <v>85</v>
      </c>
      <c r="C14324">
        <v>1001</v>
      </c>
      <c r="D14324" t="s">
        <v>86</v>
      </c>
      <c r="E14324">
        <v>4.5529999999999998E-3</v>
      </c>
      <c r="F14324" t="s">
        <v>74</v>
      </c>
      <c r="G14324">
        <v>4.5525099999999998</v>
      </c>
      <c r="H14324" t="s">
        <v>75</v>
      </c>
      <c r="I14324">
        <v>4552.5150000000003</v>
      </c>
      <c r="J14324" t="s">
        <v>76</v>
      </c>
      <c r="K14324" t="s">
        <v>82</v>
      </c>
      <c r="L14324">
        <v>219.6588098</v>
      </c>
    </row>
    <row r="14326" spans="1:12" x14ac:dyDescent="0.3">
      <c r="A14326" t="s">
        <v>66</v>
      </c>
    </row>
    <row r="14328" spans="1:12" x14ac:dyDescent="0.3">
      <c r="A14328" t="s">
        <v>582</v>
      </c>
    </row>
    <row r="14329" spans="1:12" x14ac:dyDescent="0.3">
      <c r="A14329" t="s">
        <v>68</v>
      </c>
    </row>
    <row r="14330" spans="1:12" x14ac:dyDescent="0.3">
      <c r="A14330" t="s">
        <v>69</v>
      </c>
    </row>
    <row r="14331" spans="1:12" x14ac:dyDescent="0.3">
      <c r="A14331" t="s">
        <v>68</v>
      </c>
    </row>
    <row r="14332" spans="1:12" x14ac:dyDescent="0.3">
      <c r="A14332" t="s">
        <v>69</v>
      </c>
    </row>
    <row r="14333" spans="1:12" x14ac:dyDescent="0.3">
      <c r="A14333" t="s">
        <v>70</v>
      </c>
    </row>
    <row r="14334" spans="1:12" x14ac:dyDescent="0.3">
      <c r="A14334" t="s">
        <v>115</v>
      </c>
    </row>
    <row r="14335" spans="1:12" x14ac:dyDescent="0.3">
      <c r="A14335" t="s">
        <v>116</v>
      </c>
    </row>
    <row r="14336" spans="1:12" x14ac:dyDescent="0.3">
      <c r="A14336" t="s">
        <v>117</v>
      </c>
    </row>
    <row r="14337" spans="1:1" x14ac:dyDescent="0.3">
      <c r="A14337" t="s">
        <v>118</v>
      </c>
    </row>
    <row r="14338" spans="1:1" x14ac:dyDescent="0.3">
      <c r="A14338" t="s">
        <v>119</v>
      </c>
    </row>
    <row r="14339" spans="1:1" x14ac:dyDescent="0.3">
      <c r="A14339" t="s">
        <v>120</v>
      </c>
    </row>
    <row r="14340" spans="1:1" x14ac:dyDescent="0.3">
      <c r="A14340" t="s">
        <v>121</v>
      </c>
    </row>
    <row r="14341" spans="1:1" x14ac:dyDescent="0.3">
      <c r="A14341" t="s">
        <v>122</v>
      </c>
    </row>
    <row r="14342" spans="1:1" x14ac:dyDescent="0.3">
      <c r="A14342" t="s">
        <v>123</v>
      </c>
    </row>
    <row r="14343" spans="1:1" x14ac:dyDescent="0.3">
      <c r="A14343" t="s">
        <v>124</v>
      </c>
    </row>
    <row r="14344" spans="1:1" x14ac:dyDescent="0.3">
      <c r="A14344" t="s">
        <v>125</v>
      </c>
    </row>
    <row r="14345" spans="1:1" x14ac:dyDescent="0.3">
      <c r="A14345" t="s">
        <v>126</v>
      </c>
    </row>
    <row r="14346" spans="1:1" x14ac:dyDescent="0.3">
      <c r="A14346" t="s">
        <v>127</v>
      </c>
    </row>
    <row r="14347" spans="1:1" x14ac:dyDescent="0.3">
      <c r="A14347" t="s">
        <v>146</v>
      </c>
    </row>
    <row r="14348" spans="1:1" x14ac:dyDescent="0.3">
      <c r="A14348" t="s">
        <v>115</v>
      </c>
    </row>
    <row r="14349" spans="1:1" x14ac:dyDescent="0.3">
      <c r="A14349" t="s">
        <v>266</v>
      </c>
    </row>
    <row r="14350" spans="1:1" x14ac:dyDescent="0.3">
      <c r="A14350" t="s">
        <v>267</v>
      </c>
    </row>
    <row r="14351" spans="1:1" x14ac:dyDescent="0.3">
      <c r="A14351" t="s">
        <v>118</v>
      </c>
    </row>
    <row r="14352" spans="1:1" x14ac:dyDescent="0.3">
      <c r="A14352" t="s">
        <v>119</v>
      </c>
    </row>
    <row r="14353" spans="1:12" x14ac:dyDescent="0.3">
      <c r="A14353" t="s">
        <v>268</v>
      </c>
    </row>
    <row r="14354" spans="1:12" x14ac:dyDescent="0.3">
      <c r="A14354" t="s">
        <v>269</v>
      </c>
    </row>
    <row r="14355" spans="1:12" x14ac:dyDescent="0.3">
      <c r="A14355" t="s">
        <v>122</v>
      </c>
    </row>
    <row r="14356" spans="1:12" x14ac:dyDescent="0.3">
      <c r="A14356" t="s">
        <v>270</v>
      </c>
    </row>
    <row r="14357" spans="1:12" x14ac:dyDescent="0.3">
      <c r="A14357" t="s">
        <v>271</v>
      </c>
    </row>
    <row r="14358" spans="1:12" x14ac:dyDescent="0.3">
      <c r="A14358" t="s">
        <v>125</v>
      </c>
    </row>
    <row r="14359" spans="1:12" x14ac:dyDescent="0.3">
      <c r="A14359" t="s">
        <v>126</v>
      </c>
    </row>
    <row r="14360" spans="1:12" x14ac:dyDescent="0.3">
      <c r="A14360" t="s">
        <v>127</v>
      </c>
    </row>
    <row r="14361" spans="1:12" x14ac:dyDescent="0.3">
      <c r="A14361" t="s">
        <v>146</v>
      </c>
    </row>
    <row r="14362" spans="1:12" x14ac:dyDescent="0.3">
      <c r="A14362" t="s">
        <v>511</v>
      </c>
    </row>
    <row r="14363" spans="1:12" x14ac:dyDescent="0.3">
      <c r="A14363" t="s">
        <v>496</v>
      </c>
      <c r="B14363" t="s">
        <v>72</v>
      </c>
      <c r="C14363">
        <v>1</v>
      </c>
      <c r="D14363" t="s">
        <v>79</v>
      </c>
      <c r="E14363">
        <v>0.31489899999999998</v>
      </c>
      <c r="F14363" t="s">
        <v>74</v>
      </c>
      <c r="G14363">
        <v>314.89920999999998</v>
      </c>
      <c r="H14363" t="s">
        <v>75</v>
      </c>
      <c r="I14363">
        <v>314899.20600000001</v>
      </c>
      <c r="J14363" t="s">
        <v>76</v>
      </c>
      <c r="K14363" t="s">
        <v>77</v>
      </c>
    </row>
    <row r="14364" spans="1:12" x14ac:dyDescent="0.3">
      <c r="A14364" t="s">
        <v>496</v>
      </c>
      <c r="B14364" t="s">
        <v>72</v>
      </c>
      <c r="C14364">
        <v>1</v>
      </c>
      <c r="D14364" t="s">
        <v>94</v>
      </c>
      <c r="E14364">
        <v>3.114E-3</v>
      </c>
      <c r="F14364" t="s">
        <v>74</v>
      </c>
      <c r="G14364">
        <v>3.1143000000000001</v>
      </c>
      <c r="H14364" t="s">
        <v>75</v>
      </c>
      <c r="I14364">
        <v>3114.3</v>
      </c>
      <c r="J14364" t="s">
        <v>76</v>
      </c>
      <c r="K14364" t="s">
        <v>77</v>
      </c>
    </row>
    <row r="14365" spans="1:12" x14ac:dyDescent="0.3">
      <c r="A14365" t="s">
        <v>496</v>
      </c>
      <c r="B14365" t="s">
        <v>72</v>
      </c>
      <c r="C14365">
        <v>1</v>
      </c>
      <c r="D14365" t="s">
        <v>80</v>
      </c>
      <c r="E14365">
        <v>3.1150000000000001E-3</v>
      </c>
      <c r="F14365" t="s">
        <v>74</v>
      </c>
      <c r="G14365">
        <v>3.1150000000000002</v>
      </c>
      <c r="H14365" t="s">
        <v>75</v>
      </c>
      <c r="I14365">
        <v>3115</v>
      </c>
      <c r="J14365" t="s">
        <v>76</v>
      </c>
      <c r="K14365" t="s">
        <v>77</v>
      </c>
    </row>
    <row r="14366" spans="1:12" x14ac:dyDescent="0.3">
      <c r="A14366" t="s">
        <v>496</v>
      </c>
      <c r="B14366" t="s">
        <v>72</v>
      </c>
      <c r="C14366">
        <v>1</v>
      </c>
      <c r="D14366" t="s">
        <v>81</v>
      </c>
      <c r="E14366">
        <v>0.31801499999999999</v>
      </c>
      <c r="F14366" t="s">
        <v>74</v>
      </c>
      <c r="G14366">
        <v>318.01459</v>
      </c>
      <c r="H14366" t="s">
        <v>75</v>
      </c>
      <c r="I14366">
        <v>318014.592</v>
      </c>
      <c r="J14366" t="s">
        <v>76</v>
      </c>
      <c r="K14366" t="s">
        <v>82</v>
      </c>
      <c r="L14366">
        <v>3.1445097999999998</v>
      </c>
    </row>
    <row r="14367" spans="1:12" x14ac:dyDescent="0.3">
      <c r="A14367" t="s">
        <v>496</v>
      </c>
      <c r="B14367" t="s">
        <v>83</v>
      </c>
      <c r="C14367">
        <v>533</v>
      </c>
      <c r="D14367" t="s">
        <v>79</v>
      </c>
      <c r="E14367">
        <v>3.826E-3</v>
      </c>
      <c r="F14367" t="s">
        <v>74</v>
      </c>
      <c r="G14367">
        <v>3.8258299999999998</v>
      </c>
      <c r="H14367" t="s">
        <v>75</v>
      </c>
      <c r="I14367">
        <v>3825.828</v>
      </c>
      <c r="J14367" t="s">
        <v>76</v>
      </c>
      <c r="K14367" t="s">
        <v>77</v>
      </c>
    </row>
    <row r="14368" spans="1:12" x14ac:dyDescent="0.3">
      <c r="A14368" t="s">
        <v>496</v>
      </c>
      <c r="B14368" t="s">
        <v>83</v>
      </c>
      <c r="C14368">
        <v>533</v>
      </c>
      <c r="D14368" t="s">
        <v>94</v>
      </c>
      <c r="E14368">
        <v>5.2170000000000003E-3</v>
      </c>
      <c r="F14368" t="s">
        <v>74</v>
      </c>
      <c r="G14368">
        <v>5.2170800000000002</v>
      </c>
      <c r="H14368" t="s">
        <v>75</v>
      </c>
      <c r="I14368">
        <v>5217.0829999999996</v>
      </c>
      <c r="J14368" t="s">
        <v>76</v>
      </c>
      <c r="K14368" t="s">
        <v>77</v>
      </c>
    </row>
    <row r="14369" spans="1:12" x14ac:dyDescent="0.3">
      <c r="A14369" t="s">
        <v>496</v>
      </c>
      <c r="B14369" t="s">
        <v>83</v>
      </c>
      <c r="C14369">
        <v>533</v>
      </c>
      <c r="D14369" t="s">
        <v>80</v>
      </c>
      <c r="E14369">
        <v>5.3889999999999997E-3</v>
      </c>
      <c r="F14369" t="s">
        <v>74</v>
      </c>
      <c r="G14369">
        <v>5.3887499999999999</v>
      </c>
      <c r="H14369" t="s">
        <v>75</v>
      </c>
      <c r="I14369">
        <v>5388.7520000000004</v>
      </c>
      <c r="J14369" t="s">
        <v>76</v>
      </c>
      <c r="K14369" t="s">
        <v>77</v>
      </c>
    </row>
    <row r="14370" spans="1:12" x14ac:dyDescent="0.3">
      <c r="A14370" t="s">
        <v>496</v>
      </c>
      <c r="B14370" t="s">
        <v>83</v>
      </c>
      <c r="C14370">
        <v>533</v>
      </c>
      <c r="D14370" t="s">
        <v>81</v>
      </c>
      <c r="E14370">
        <v>9.2149999999999992E-3</v>
      </c>
      <c r="F14370" t="s">
        <v>74</v>
      </c>
      <c r="G14370">
        <v>9.2148400000000006</v>
      </c>
      <c r="H14370" t="s">
        <v>75</v>
      </c>
      <c r="I14370">
        <v>9214.8379999999997</v>
      </c>
      <c r="J14370" t="s">
        <v>76</v>
      </c>
      <c r="K14370" t="s">
        <v>82</v>
      </c>
      <c r="L14370">
        <v>108.5206293</v>
      </c>
    </row>
    <row r="14371" spans="1:12" x14ac:dyDescent="0.3">
      <c r="A14371" t="s">
        <v>496</v>
      </c>
      <c r="B14371" t="s">
        <v>84</v>
      </c>
      <c r="C14371">
        <v>534</v>
      </c>
      <c r="D14371" t="s">
        <v>79</v>
      </c>
      <c r="E14371">
        <v>4.4079999999999996E-3</v>
      </c>
      <c r="F14371" t="s">
        <v>74</v>
      </c>
      <c r="G14371">
        <v>4.4083600000000001</v>
      </c>
      <c r="H14371" t="s">
        <v>75</v>
      </c>
      <c r="I14371">
        <v>4408.3620000000001</v>
      </c>
      <c r="J14371" t="s">
        <v>76</v>
      </c>
      <c r="K14371" t="s">
        <v>77</v>
      </c>
    </row>
    <row r="14372" spans="1:12" x14ac:dyDescent="0.3">
      <c r="A14372" t="s">
        <v>496</v>
      </c>
      <c r="B14372" t="s">
        <v>84</v>
      </c>
      <c r="C14372">
        <v>534</v>
      </c>
      <c r="D14372" t="s">
        <v>94</v>
      </c>
      <c r="E14372">
        <v>5.2129999999999998E-3</v>
      </c>
      <c r="F14372" t="s">
        <v>74</v>
      </c>
      <c r="G14372">
        <v>5.2131499999999997</v>
      </c>
      <c r="H14372" t="s">
        <v>75</v>
      </c>
      <c r="I14372">
        <v>5213.1450000000004</v>
      </c>
      <c r="J14372" t="s">
        <v>76</v>
      </c>
      <c r="K14372" t="s">
        <v>77</v>
      </c>
    </row>
    <row r="14373" spans="1:12" x14ac:dyDescent="0.3">
      <c r="A14373" t="s">
        <v>496</v>
      </c>
      <c r="B14373" t="s">
        <v>84</v>
      </c>
      <c r="C14373">
        <v>534</v>
      </c>
      <c r="D14373" t="s">
        <v>80</v>
      </c>
      <c r="E14373">
        <v>5.3839999999999999E-3</v>
      </c>
      <c r="F14373" t="s">
        <v>74</v>
      </c>
      <c r="G14373">
        <v>5.3844900000000004</v>
      </c>
      <c r="H14373" t="s">
        <v>75</v>
      </c>
      <c r="I14373">
        <v>5384.4949999999999</v>
      </c>
      <c r="J14373" t="s">
        <v>76</v>
      </c>
      <c r="K14373" t="s">
        <v>77</v>
      </c>
    </row>
    <row r="14374" spans="1:12" x14ac:dyDescent="0.3">
      <c r="A14374" t="s">
        <v>496</v>
      </c>
      <c r="B14374" t="s">
        <v>84</v>
      </c>
      <c r="C14374">
        <v>534</v>
      </c>
      <c r="D14374" t="s">
        <v>81</v>
      </c>
      <c r="E14374">
        <v>9.7929999999999996E-3</v>
      </c>
      <c r="F14374" t="s">
        <v>74</v>
      </c>
      <c r="G14374">
        <v>9.7931100000000004</v>
      </c>
      <c r="H14374" t="s">
        <v>75</v>
      </c>
      <c r="I14374">
        <v>9793.1119999999992</v>
      </c>
      <c r="J14374" t="s">
        <v>76</v>
      </c>
      <c r="K14374" t="s">
        <v>82</v>
      </c>
      <c r="L14374">
        <v>102.112588</v>
      </c>
    </row>
    <row r="14375" spans="1:12" x14ac:dyDescent="0.3">
      <c r="A14375" t="s">
        <v>497</v>
      </c>
      <c r="B14375" t="s">
        <v>72</v>
      </c>
      <c r="C14375">
        <v>1</v>
      </c>
      <c r="D14375" t="s">
        <v>79</v>
      </c>
      <c r="E14375">
        <v>0.111079</v>
      </c>
      <c r="F14375" t="s">
        <v>74</v>
      </c>
      <c r="G14375">
        <v>111.0792</v>
      </c>
      <c r="H14375" t="s">
        <v>75</v>
      </c>
      <c r="I14375">
        <v>111079.201</v>
      </c>
      <c r="J14375" t="s">
        <v>76</v>
      </c>
      <c r="K14375" t="s">
        <v>77</v>
      </c>
    </row>
    <row r="14376" spans="1:12" x14ac:dyDescent="0.3">
      <c r="A14376" t="s">
        <v>497</v>
      </c>
      <c r="B14376" t="s">
        <v>72</v>
      </c>
      <c r="C14376">
        <v>1</v>
      </c>
      <c r="D14376" t="s">
        <v>94</v>
      </c>
      <c r="E14376">
        <v>9.6550000000000004E-3</v>
      </c>
      <c r="F14376" t="s">
        <v>74</v>
      </c>
      <c r="G14376">
        <v>9.6550999999999991</v>
      </c>
      <c r="H14376" t="s">
        <v>75</v>
      </c>
      <c r="I14376">
        <v>9655.1</v>
      </c>
      <c r="J14376" t="s">
        <v>76</v>
      </c>
      <c r="K14376" t="s">
        <v>77</v>
      </c>
    </row>
    <row r="14377" spans="1:12" x14ac:dyDescent="0.3">
      <c r="A14377" t="s">
        <v>497</v>
      </c>
      <c r="B14377" t="s">
        <v>72</v>
      </c>
      <c r="C14377">
        <v>1</v>
      </c>
      <c r="D14377" t="s">
        <v>80</v>
      </c>
      <c r="E14377">
        <v>9.6559999999999997E-3</v>
      </c>
      <c r="F14377" t="s">
        <v>74</v>
      </c>
      <c r="G14377">
        <v>9.6562000000000001</v>
      </c>
      <c r="H14377" t="s">
        <v>75</v>
      </c>
      <c r="I14377">
        <v>9656.2000000000007</v>
      </c>
      <c r="J14377" t="s">
        <v>76</v>
      </c>
      <c r="K14377" t="s">
        <v>77</v>
      </c>
    </row>
    <row r="14378" spans="1:12" x14ac:dyDescent="0.3">
      <c r="A14378" t="s">
        <v>497</v>
      </c>
      <c r="B14378" t="s">
        <v>72</v>
      </c>
      <c r="C14378">
        <v>1</v>
      </c>
      <c r="D14378" t="s">
        <v>81</v>
      </c>
      <c r="E14378">
        <v>0.120736</v>
      </c>
      <c r="F14378" t="s">
        <v>74</v>
      </c>
      <c r="G14378">
        <v>120.736</v>
      </c>
      <c r="H14378" t="s">
        <v>75</v>
      </c>
      <c r="I14378">
        <v>120736.003</v>
      </c>
      <c r="J14378" t="s">
        <v>76</v>
      </c>
      <c r="K14378" t="s">
        <v>82</v>
      </c>
      <c r="L14378">
        <v>8.2825336000000007</v>
      </c>
    </row>
    <row r="14379" spans="1:12" x14ac:dyDescent="0.3">
      <c r="A14379" t="s">
        <v>497</v>
      </c>
      <c r="B14379" t="s">
        <v>83</v>
      </c>
      <c r="C14379">
        <v>466</v>
      </c>
      <c r="D14379" t="s">
        <v>79</v>
      </c>
      <c r="E14379">
        <v>3.4650000000000002E-3</v>
      </c>
      <c r="F14379" t="s">
        <v>74</v>
      </c>
      <c r="G14379">
        <v>3.4650300000000001</v>
      </c>
      <c r="H14379" t="s">
        <v>75</v>
      </c>
      <c r="I14379">
        <v>3465.0250000000001</v>
      </c>
      <c r="J14379" t="s">
        <v>76</v>
      </c>
      <c r="K14379" t="s">
        <v>77</v>
      </c>
    </row>
    <row r="14380" spans="1:12" x14ac:dyDescent="0.3">
      <c r="A14380" t="s">
        <v>497</v>
      </c>
      <c r="B14380" t="s">
        <v>83</v>
      </c>
      <c r="C14380">
        <v>466</v>
      </c>
      <c r="D14380" t="s">
        <v>94</v>
      </c>
      <c r="E14380">
        <v>7.2129999999999998E-3</v>
      </c>
      <c r="F14380" t="s">
        <v>74</v>
      </c>
      <c r="G14380">
        <v>7.2134400000000003</v>
      </c>
      <c r="H14380" t="s">
        <v>75</v>
      </c>
      <c r="I14380">
        <v>7213.4409999999998</v>
      </c>
      <c r="J14380" t="s">
        <v>76</v>
      </c>
      <c r="K14380" t="s">
        <v>77</v>
      </c>
    </row>
    <row r="14381" spans="1:12" x14ac:dyDescent="0.3">
      <c r="A14381" t="s">
        <v>497</v>
      </c>
      <c r="B14381" t="s">
        <v>83</v>
      </c>
      <c r="C14381">
        <v>466</v>
      </c>
      <c r="D14381" t="s">
        <v>80</v>
      </c>
      <c r="E14381">
        <v>7.4009999999999996E-3</v>
      </c>
      <c r="F14381" t="s">
        <v>74</v>
      </c>
      <c r="G14381">
        <v>7.40137</v>
      </c>
      <c r="H14381" t="s">
        <v>75</v>
      </c>
      <c r="I14381">
        <v>7401.3710000000001</v>
      </c>
      <c r="J14381" t="s">
        <v>76</v>
      </c>
      <c r="K14381" t="s">
        <v>77</v>
      </c>
    </row>
    <row r="14382" spans="1:12" x14ac:dyDescent="0.3">
      <c r="A14382" t="s">
        <v>497</v>
      </c>
      <c r="B14382" t="s">
        <v>83</v>
      </c>
      <c r="C14382">
        <v>466</v>
      </c>
      <c r="D14382" t="s">
        <v>81</v>
      </c>
      <c r="E14382">
        <v>1.0867E-2</v>
      </c>
      <c r="F14382" t="s">
        <v>74</v>
      </c>
      <c r="G14382">
        <v>10.86665</v>
      </c>
      <c r="H14382" t="s">
        <v>75</v>
      </c>
      <c r="I14382">
        <v>10866.645</v>
      </c>
      <c r="J14382" t="s">
        <v>76</v>
      </c>
      <c r="K14382" t="s">
        <v>82</v>
      </c>
      <c r="L14382">
        <v>92.024722800000006</v>
      </c>
    </row>
    <row r="14383" spans="1:12" x14ac:dyDescent="0.3">
      <c r="A14383" t="s">
        <v>497</v>
      </c>
      <c r="B14383" t="s">
        <v>84</v>
      </c>
      <c r="C14383">
        <v>467</v>
      </c>
      <c r="D14383" t="s">
        <v>79</v>
      </c>
      <c r="E14383">
        <v>3.6949999999999999E-3</v>
      </c>
      <c r="F14383" t="s">
        <v>74</v>
      </c>
      <c r="G14383">
        <v>3.6954600000000002</v>
      </c>
      <c r="H14383" t="s">
        <v>75</v>
      </c>
      <c r="I14383">
        <v>3695.4630000000002</v>
      </c>
      <c r="J14383" t="s">
        <v>76</v>
      </c>
      <c r="K14383" t="s">
        <v>77</v>
      </c>
    </row>
    <row r="14384" spans="1:12" x14ac:dyDescent="0.3">
      <c r="A14384" t="s">
        <v>497</v>
      </c>
      <c r="B14384" t="s">
        <v>84</v>
      </c>
      <c r="C14384">
        <v>467</v>
      </c>
      <c r="D14384" t="s">
        <v>94</v>
      </c>
      <c r="E14384">
        <v>7.2189999999999997E-3</v>
      </c>
      <c r="F14384" t="s">
        <v>74</v>
      </c>
      <c r="G14384">
        <v>7.2186700000000004</v>
      </c>
      <c r="H14384" t="s">
        <v>75</v>
      </c>
      <c r="I14384">
        <v>7218.6689999999999</v>
      </c>
      <c r="J14384" t="s">
        <v>76</v>
      </c>
      <c r="K14384" t="s">
        <v>77</v>
      </c>
    </row>
    <row r="14385" spans="1:12" x14ac:dyDescent="0.3">
      <c r="A14385" t="s">
        <v>497</v>
      </c>
      <c r="B14385" t="s">
        <v>84</v>
      </c>
      <c r="C14385">
        <v>467</v>
      </c>
      <c r="D14385" t="s">
        <v>80</v>
      </c>
      <c r="E14385">
        <v>7.4060000000000003E-3</v>
      </c>
      <c r="F14385" t="s">
        <v>74</v>
      </c>
      <c r="G14385">
        <v>7.4062000000000001</v>
      </c>
      <c r="H14385" t="s">
        <v>75</v>
      </c>
      <c r="I14385">
        <v>7406.1989999999996</v>
      </c>
      <c r="J14385" t="s">
        <v>76</v>
      </c>
      <c r="K14385" t="s">
        <v>77</v>
      </c>
    </row>
    <row r="14386" spans="1:12" x14ac:dyDescent="0.3">
      <c r="A14386" t="s">
        <v>497</v>
      </c>
      <c r="B14386" t="s">
        <v>84</v>
      </c>
      <c r="C14386">
        <v>467</v>
      </c>
      <c r="D14386" t="s">
        <v>81</v>
      </c>
      <c r="E14386">
        <v>1.1102000000000001E-2</v>
      </c>
      <c r="F14386" t="s">
        <v>74</v>
      </c>
      <c r="G14386">
        <v>11.10191</v>
      </c>
      <c r="H14386" t="s">
        <v>75</v>
      </c>
      <c r="I14386">
        <v>11101.91</v>
      </c>
      <c r="J14386" t="s">
        <v>76</v>
      </c>
      <c r="K14386" t="s">
        <v>82</v>
      </c>
      <c r="L14386">
        <v>90.074594200000007</v>
      </c>
    </row>
    <row r="14387" spans="1:12" x14ac:dyDescent="0.3">
      <c r="A14387" t="s">
        <v>498</v>
      </c>
      <c r="B14387" t="s">
        <v>72</v>
      </c>
      <c r="C14387">
        <v>1</v>
      </c>
      <c r="D14387" t="s">
        <v>73</v>
      </c>
      <c r="E14387">
        <v>8.0000000000000007E-5</v>
      </c>
      <c r="F14387" t="s">
        <v>74</v>
      </c>
      <c r="G14387">
        <v>7.9799999999999996E-2</v>
      </c>
      <c r="H14387" t="s">
        <v>75</v>
      </c>
      <c r="I14387">
        <v>79.8</v>
      </c>
      <c r="J14387" t="s">
        <v>76</v>
      </c>
      <c r="K14387" t="s">
        <v>77</v>
      </c>
    </row>
    <row r="14388" spans="1:12" x14ac:dyDescent="0.3">
      <c r="A14388" t="s">
        <v>498</v>
      </c>
      <c r="B14388" t="s">
        <v>72</v>
      </c>
      <c r="C14388">
        <v>1</v>
      </c>
      <c r="D14388" t="s">
        <v>78</v>
      </c>
      <c r="E14388">
        <v>0.12684400000000001</v>
      </c>
      <c r="F14388" t="s">
        <v>74</v>
      </c>
      <c r="G14388">
        <v>126.8438</v>
      </c>
      <c r="H14388" t="s">
        <v>75</v>
      </c>
      <c r="I14388">
        <v>126843.795</v>
      </c>
      <c r="J14388" t="s">
        <v>76</v>
      </c>
      <c r="K14388" t="s">
        <v>77</v>
      </c>
    </row>
    <row r="14389" spans="1:12" x14ac:dyDescent="0.3">
      <c r="A14389" t="s">
        <v>498</v>
      </c>
      <c r="B14389" t="s">
        <v>72</v>
      </c>
      <c r="C14389">
        <v>2</v>
      </c>
      <c r="D14389" t="s">
        <v>86</v>
      </c>
      <c r="E14389">
        <v>0.15903300000000001</v>
      </c>
      <c r="F14389" t="s">
        <v>74</v>
      </c>
      <c r="G14389">
        <v>159.03290000000001</v>
      </c>
      <c r="H14389" t="s">
        <v>75</v>
      </c>
      <c r="I14389">
        <v>159032.89600000001</v>
      </c>
      <c r="J14389" t="s">
        <v>76</v>
      </c>
      <c r="K14389" t="s">
        <v>82</v>
      </c>
      <c r="L14389">
        <v>6.2880072</v>
      </c>
    </row>
    <row r="14390" spans="1:12" x14ac:dyDescent="0.3">
      <c r="A14390" t="s">
        <v>498</v>
      </c>
      <c r="B14390" t="s">
        <v>83</v>
      </c>
      <c r="C14390">
        <v>999</v>
      </c>
      <c r="D14390" t="s">
        <v>86</v>
      </c>
      <c r="E14390">
        <v>5.1149999999999998E-3</v>
      </c>
      <c r="F14390" t="s">
        <v>74</v>
      </c>
      <c r="G14390">
        <v>5.1145800000000001</v>
      </c>
      <c r="H14390" t="s">
        <v>75</v>
      </c>
      <c r="I14390">
        <v>5114.5770000000002</v>
      </c>
      <c r="J14390" t="s">
        <v>76</v>
      </c>
      <c r="K14390" t="s">
        <v>82</v>
      </c>
      <c r="L14390">
        <v>195.51957830000001</v>
      </c>
    </row>
    <row r="14391" spans="1:12" x14ac:dyDescent="0.3">
      <c r="A14391" t="s">
        <v>498</v>
      </c>
      <c r="B14391" t="s">
        <v>85</v>
      </c>
      <c r="C14391">
        <v>1001</v>
      </c>
      <c r="D14391" t="s">
        <v>86</v>
      </c>
      <c r="E14391">
        <v>5.2319999999999997E-3</v>
      </c>
      <c r="F14391" t="s">
        <v>74</v>
      </c>
      <c r="G14391">
        <v>5.23156</v>
      </c>
      <c r="H14391" t="s">
        <v>75</v>
      </c>
      <c r="I14391">
        <v>5231.5590000000002</v>
      </c>
      <c r="J14391" t="s">
        <v>76</v>
      </c>
      <c r="K14391" t="s">
        <v>82</v>
      </c>
      <c r="L14391">
        <v>191.14762390000001</v>
      </c>
    </row>
    <row r="14392" spans="1:12" x14ac:dyDescent="0.3">
      <c r="A14392" t="s">
        <v>148</v>
      </c>
    </row>
    <row r="14393" spans="1:12" x14ac:dyDescent="0.3">
      <c r="A14393" t="s">
        <v>148</v>
      </c>
    </row>
    <row r="14394" spans="1:12" x14ac:dyDescent="0.3">
      <c r="A14394" t="s">
        <v>512</v>
      </c>
    </row>
    <row r="14395" spans="1:12" x14ac:dyDescent="0.3">
      <c r="A14395" t="s">
        <v>496</v>
      </c>
      <c r="B14395" t="s">
        <v>72</v>
      </c>
      <c r="C14395">
        <v>1</v>
      </c>
      <c r="D14395" t="s">
        <v>79</v>
      </c>
      <c r="E14395">
        <v>8.6250000000000007E-3</v>
      </c>
      <c r="F14395" t="s">
        <v>74</v>
      </c>
      <c r="G14395">
        <v>8.6255000000000006</v>
      </c>
      <c r="H14395" t="s">
        <v>75</v>
      </c>
      <c r="I14395">
        <v>8625.5</v>
      </c>
      <c r="J14395" t="s">
        <v>76</v>
      </c>
      <c r="K14395" t="s">
        <v>77</v>
      </c>
    </row>
    <row r="14396" spans="1:12" x14ac:dyDescent="0.3">
      <c r="A14396" t="s">
        <v>496</v>
      </c>
      <c r="B14396" t="s">
        <v>72</v>
      </c>
      <c r="C14396">
        <v>1</v>
      </c>
      <c r="D14396" t="s">
        <v>94</v>
      </c>
      <c r="E14396">
        <v>2.8379999999999998E-3</v>
      </c>
      <c r="F14396" t="s">
        <v>74</v>
      </c>
      <c r="G14396">
        <v>2.8374999999999999</v>
      </c>
      <c r="H14396" t="s">
        <v>75</v>
      </c>
      <c r="I14396">
        <v>2837.5</v>
      </c>
      <c r="J14396" t="s">
        <v>76</v>
      </c>
      <c r="K14396" t="s">
        <v>77</v>
      </c>
    </row>
    <row r="14397" spans="1:12" x14ac:dyDescent="0.3">
      <c r="A14397" t="s">
        <v>496</v>
      </c>
      <c r="B14397" t="s">
        <v>72</v>
      </c>
      <c r="C14397">
        <v>1</v>
      </c>
      <c r="D14397" t="s">
        <v>80</v>
      </c>
      <c r="E14397">
        <v>2.9849999999999998E-3</v>
      </c>
      <c r="F14397" t="s">
        <v>74</v>
      </c>
      <c r="G14397">
        <v>2.9845999999999999</v>
      </c>
      <c r="H14397" t="s">
        <v>75</v>
      </c>
      <c r="I14397">
        <v>2984.6</v>
      </c>
      <c r="J14397" t="s">
        <v>76</v>
      </c>
      <c r="K14397" t="s">
        <v>77</v>
      </c>
    </row>
    <row r="14398" spans="1:12" x14ac:dyDescent="0.3">
      <c r="A14398" t="s">
        <v>496</v>
      </c>
      <c r="B14398" t="s">
        <v>72</v>
      </c>
      <c r="C14398">
        <v>1</v>
      </c>
      <c r="D14398" t="s">
        <v>81</v>
      </c>
      <c r="E14398">
        <v>1.1613E-2</v>
      </c>
      <c r="F14398" t="s">
        <v>74</v>
      </c>
      <c r="G14398">
        <v>11.613</v>
      </c>
      <c r="H14398" t="s">
        <v>75</v>
      </c>
      <c r="I14398">
        <v>11613</v>
      </c>
      <c r="J14398" t="s">
        <v>76</v>
      </c>
      <c r="K14398" t="s">
        <v>82</v>
      </c>
      <c r="L14398">
        <v>86.110392200000007</v>
      </c>
    </row>
    <row r="14399" spans="1:12" x14ac:dyDescent="0.3">
      <c r="A14399" t="s">
        <v>496</v>
      </c>
      <c r="B14399" t="s">
        <v>83</v>
      </c>
      <c r="C14399">
        <v>553</v>
      </c>
      <c r="D14399" t="s">
        <v>79</v>
      </c>
      <c r="E14399">
        <v>4.3150000000000003E-3</v>
      </c>
      <c r="F14399" t="s">
        <v>74</v>
      </c>
      <c r="G14399">
        <v>4.3147799999999998</v>
      </c>
      <c r="H14399" t="s">
        <v>75</v>
      </c>
      <c r="I14399">
        <v>4314.777</v>
      </c>
      <c r="J14399" t="s">
        <v>76</v>
      </c>
      <c r="K14399" t="s">
        <v>77</v>
      </c>
    </row>
    <row r="14400" spans="1:12" x14ac:dyDescent="0.3">
      <c r="A14400" t="s">
        <v>496</v>
      </c>
      <c r="B14400" t="s">
        <v>83</v>
      </c>
      <c r="C14400">
        <v>553</v>
      </c>
      <c r="D14400" t="s">
        <v>94</v>
      </c>
      <c r="E14400">
        <v>5.4289999999999998E-3</v>
      </c>
      <c r="F14400" t="s">
        <v>74</v>
      </c>
      <c r="G14400">
        <v>5.4291799999999997</v>
      </c>
      <c r="H14400" t="s">
        <v>75</v>
      </c>
      <c r="I14400">
        <v>5429.1840000000002</v>
      </c>
      <c r="J14400" t="s">
        <v>76</v>
      </c>
      <c r="K14400" t="s">
        <v>77</v>
      </c>
    </row>
    <row r="14401" spans="1:12" x14ac:dyDescent="0.3">
      <c r="A14401" t="s">
        <v>496</v>
      </c>
      <c r="B14401" t="s">
        <v>83</v>
      </c>
      <c r="C14401">
        <v>553</v>
      </c>
      <c r="D14401" t="s">
        <v>80</v>
      </c>
      <c r="E14401">
        <v>5.6020000000000002E-3</v>
      </c>
      <c r="F14401" t="s">
        <v>74</v>
      </c>
      <c r="G14401">
        <v>5.6024399999999996</v>
      </c>
      <c r="H14401" t="s">
        <v>75</v>
      </c>
      <c r="I14401">
        <v>5602.442</v>
      </c>
      <c r="J14401" t="s">
        <v>76</v>
      </c>
      <c r="K14401" t="s">
        <v>77</v>
      </c>
    </row>
    <row r="14402" spans="1:12" x14ac:dyDescent="0.3">
      <c r="A14402" t="s">
        <v>496</v>
      </c>
      <c r="B14402" t="s">
        <v>83</v>
      </c>
      <c r="C14402">
        <v>553</v>
      </c>
      <c r="D14402" t="s">
        <v>81</v>
      </c>
      <c r="E14402">
        <v>9.9170000000000005E-3</v>
      </c>
      <c r="F14402" t="s">
        <v>74</v>
      </c>
      <c r="G14402">
        <v>9.9174799999999994</v>
      </c>
      <c r="H14402" t="s">
        <v>75</v>
      </c>
      <c r="I14402">
        <v>9917.4840000000004</v>
      </c>
      <c r="J14402" t="s">
        <v>76</v>
      </c>
      <c r="K14402" t="s">
        <v>82</v>
      </c>
      <c r="L14402">
        <v>100.8320228</v>
      </c>
    </row>
    <row r="14403" spans="1:12" x14ac:dyDescent="0.3">
      <c r="A14403" t="s">
        <v>496</v>
      </c>
      <c r="B14403" t="s">
        <v>84</v>
      </c>
      <c r="C14403">
        <v>554</v>
      </c>
      <c r="D14403" t="s">
        <v>79</v>
      </c>
      <c r="E14403">
        <v>4.3229999999999996E-3</v>
      </c>
      <c r="F14403" t="s">
        <v>74</v>
      </c>
      <c r="G14403">
        <v>4.3225600000000002</v>
      </c>
      <c r="H14403" t="s">
        <v>75</v>
      </c>
      <c r="I14403">
        <v>4322.558</v>
      </c>
      <c r="J14403" t="s">
        <v>76</v>
      </c>
      <c r="K14403" t="s">
        <v>77</v>
      </c>
    </row>
    <row r="14404" spans="1:12" x14ac:dyDescent="0.3">
      <c r="A14404" t="s">
        <v>496</v>
      </c>
      <c r="B14404" t="s">
        <v>84</v>
      </c>
      <c r="C14404">
        <v>554</v>
      </c>
      <c r="D14404" t="s">
        <v>94</v>
      </c>
      <c r="E14404">
        <v>5.4250000000000001E-3</v>
      </c>
      <c r="F14404" t="s">
        <v>74</v>
      </c>
      <c r="G14404">
        <v>5.4245099999999997</v>
      </c>
      <c r="H14404" t="s">
        <v>75</v>
      </c>
      <c r="I14404">
        <v>5424.5060000000003</v>
      </c>
      <c r="J14404" t="s">
        <v>76</v>
      </c>
      <c r="K14404" t="s">
        <v>77</v>
      </c>
    </row>
    <row r="14405" spans="1:12" x14ac:dyDescent="0.3">
      <c r="A14405" t="s">
        <v>496</v>
      </c>
      <c r="B14405" t="s">
        <v>84</v>
      </c>
      <c r="C14405">
        <v>554</v>
      </c>
      <c r="D14405" t="s">
        <v>80</v>
      </c>
      <c r="E14405">
        <v>5.5979999999999997E-3</v>
      </c>
      <c r="F14405" t="s">
        <v>74</v>
      </c>
      <c r="G14405">
        <v>5.5977199999999998</v>
      </c>
      <c r="H14405" t="s">
        <v>75</v>
      </c>
      <c r="I14405">
        <v>5597.7169999999996</v>
      </c>
      <c r="J14405" t="s">
        <v>76</v>
      </c>
      <c r="K14405" t="s">
        <v>77</v>
      </c>
    </row>
    <row r="14406" spans="1:12" x14ac:dyDescent="0.3">
      <c r="A14406" t="s">
        <v>496</v>
      </c>
      <c r="B14406" t="s">
        <v>84</v>
      </c>
      <c r="C14406">
        <v>554</v>
      </c>
      <c r="D14406" t="s">
        <v>81</v>
      </c>
      <c r="E14406">
        <v>9.9209999999999993E-3</v>
      </c>
      <c r="F14406" t="s">
        <v>74</v>
      </c>
      <c r="G14406">
        <v>9.9205400000000008</v>
      </c>
      <c r="H14406" t="s">
        <v>75</v>
      </c>
      <c r="I14406">
        <v>9920.5450000000001</v>
      </c>
      <c r="J14406" t="s">
        <v>76</v>
      </c>
      <c r="K14406" t="s">
        <v>82</v>
      </c>
      <c r="L14406">
        <v>100.800918</v>
      </c>
    </row>
    <row r="14407" spans="1:12" x14ac:dyDescent="0.3">
      <c r="A14407" t="s">
        <v>497</v>
      </c>
      <c r="B14407" t="s">
        <v>72</v>
      </c>
      <c r="C14407">
        <v>1</v>
      </c>
      <c r="D14407" t="s">
        <v>79</v>
      </c>
      <c r="E14407">
        <v>8.7790000000000003E-3</v>
      </c>
      <c r="F14407" t="s">
        <v>74</v>
      </c>
      <c r="G14407">
        <v>8.7787000000000006</v>
      </c>
      <c r="H14407" t="s">
        <v>75</v>
      </c>
      <c r="I14407">
        <v>8778.7000000000007</v>
      </c>
      <c r="J14407" t="s">
        <v>76</v>
      </c>
      <c r="K14407" t="s">
        <v>77</v>
      </c>
    </row>
    <row r="14408" spans="1:12" x14ac:dyDescent="0.3">
      <c r="A14408" t="s">
        <v>497</v>
      </c>
      <c r="B14408" t="s">
        <v>72</v>
      </c>
      <c r="C14408">
        <v>1</v>
      </c>
      <c r="D14408" t="s">
        <v>94</v>
      </c>
      <c r="E14408">
        <v>2.1412E-2</v>
      </c>
      <c r="F14408" t="s">
        <v>74</v>
      </c>
      <c r="G14408">
        <v>21.412299999999998</v>
      </c>
      <c r="H14408" t="s">
        <v>75</v>
      </c>
      <c r="I14408">
        <v>21412.3</v>
      </c>
      <c r="J14408" t="s">
        <v>76</v>
      </c>
      <c r="K14408" t="s">
        <v>77</v>
      </c>
    </row>
    <row r="14409" spans="1:12" x14ac:dyDescent="0.3">
      <c r="A14409" t="s">
        <v>497</v>
      </c>
      <c r="B14409" t="s">
        <v>72</v>
      </c>
      <c r="C14409">
        <v>1</v>
      </c>
      <c r="D14409" t="s">
        <v>80</v>
      </c>
      <c r="E14409">
        <v>2.1670999999999999E-2</v>
      </c>
      <c r="F14409" t="s">
        <v>74</v>
      </c>
      <c r="G14409">
        <v>21.671099999999999</v>
      </c>
      <c r="H14409" t="s">
        <v>75</v>
      </c>
      <c r="I14409">
        <v>21671.1</v>
      </c>
      <c r="J14409" t="s">
        <v>76</v>
      </c>
      <c r="K14409" t="s">
        <v>77</v>
      </c>
    </row>
    <row r="14410" spans="1:12" x14ac:dyDescent="0.3">
      <c r="A14410" t="s">
        <v>497</v>
      </c>
      <c r="B14410" t="s">
        <v>72</v>
      </c>
      <c r="C14410">
        <v>1</v>
      </c>
      <c r="D14410" t="s">
        <v>81</v>
      </c>
      <c r="E14410">
        <v>3.0450999999999999E-2</v>
      </c>
      <c r="F14410" t="s">
        <v>74</v>
      </c>
      <c r="G14410">
        <v>30.451000000000001</v>
      </c>
      <c r="H14410" t="s">
        <v>75</v>
      </c>
      <c r="I14410">
        <v>30451</v>
      </c>
      <c r="J14410" t="s">
        <v>76</v>
      </c>
      <c r="K14410" t="s">
        <v>82</v>
      </c>
      <c r="L14410">
        <v>32.839644300000003</v>
      </c>
    </row>
    <row r="14411" spans="1:12" x14ac:dyDescent="0.3">
      <c r="A14411" t="s">
        <v>497</v>
      </c>
      <c r="B14411" t="s">
        <v>83</v>
      </c>
      <c r="C14411">
        <v>446</v>
      </c>
      <c r="D14411" t="s">
        <v>79</v>
      </c>
      <c r="E14411">
        <v>4.2719999999999998E-3</v>
      </c>
      <c r="F14411" t="s">
        <v>74</v>
      </c>
      <c r="G14411">
        <v>4.2716399999999997</v>
      </c>
      <c r="H14411" t="s">
        <v>75</v>
      </c>
      <c r="I14411">
        <v>4271.6440000000002</v>
      </c>
      <c r="J14411" t="s">
        <v>76</v>
      </c>
      <c r="K14411" t="s">
        <v>77</v>
      </c>
    </row>
    <row r="14412" spans="1:12" x14ac:dyDescent="0.3">
      <c r="A14412" t="s">
        <v>497</v>
      </c>
      <c r="B14412" t="s">
        <v>83</v>
      </c>
      <c r="C14412">
        <v>446</v>
      </c>
      <c r="D14412" t="s">
        <v>94</v>
      </c>
      <c r="E14412">
        <v>7.7140000000000004E-3</v>
      </c>
      <c r="F14412" t="s">
        <v>74</v>
      </c>
      <c r="G14412">
        <v>7.7136100000000001</v>
      </c>
      <c r="H14412" t="s">
        <v>75</v>
      </c>
      <c r="I14412">
        <v>7713.6080000000002</v>
      </c>
      <c r="J14412" t="s">
        <v>76</v>
      </c>
      <c r="K14412" t="s">
        <v>77</v>
      </c>
    </row>
    <row r="14413" spans="1:12" x14ac:dyDescent="0.3">
      <c r="A14413" t="s">
        <v>497</v>
      </c>
      <c r="B14413" t="s">
        <v>83</v>
      </c>
      <c r="C14413">
        <v>446</v>
      </c>
      <c r="D14413" t="s">
        <v>80</v>
      </c>
      <c r="E14413">
        <v>7.9109999999999996E-3</v>
      </c>
      <c r="F14413" t="s">
        <v>74</v>
      </c>
      <c r="G14413">
        <v>7.9110300000000002</v>
      </c>
      <c r="H14413" t="s">
        <v>75</v>
      </c>
      <c r="I14413">
        <v>7911.0259999999998</v>
      </c>
      <c r="J14413" t="s">
        <v>76</v>
      </c>
      <c r="K14413" t="s">
        <v>77</v>
      </c>
    </row>
    <row r="14414" spans="1:12" x14ac:dyDescent="0.3">
      <c r="A14414" t="s">
        <v>497</v>
      </c>
      <c r="B14414" t="s">
        <v>83</v>
      </c>
      <c r="C14414">
        <v>446</v>
      </c>
      <c r="D14414" t="s">
        <v>81</v>
      </c>
      <c r="E14414">
        <v>1.2182999999999999E-2</v>
      </c>
      <c r="F14414" t="s">
        <v>74</v>
      </c>
      <c r="G14414">
        <v>12.183160000000001</v>
      </c>
      <c r="H14414" t="s">
        <v>75</v>
      </c>
      <c r="I14414">
        <v>12183.164000000001</v>
      </c>
      <c r="J14414" t="s">
        <v>76</v>
      </c>
      <c r="K14414" t="s">
        <v>82</v>
      </c>
      <c r="L14414">
        <v>82.080485999999993</v>
      </c>
    </row>
    <row r="14415" spans="1:12" x14ac:dyDescent="0.3">
      <c r="A14415" t="s">
        <v>497</v>
      </c>
      <c r="B14415" t="s">
        <v>84</v>
      </c>
      <c r="C14415">
        <v>447</v>
      </c>
      <c r="D14415" t="s">
        <v>79</v>
      </c>
      <c r="E14415">
        <v>4.2820000000000002E-3</v>
      </c>
      <c r="F14415" t="s">
        <v>74</v>
      </c>
      <c r="G14415">
        <v>4.2817299999999996</v>
      </c>
      <c r="H14415" t="s">
        <v>75</v>
      </c>
      <c r="I14415">
        <v>4281.7269999999999</v>
      </c>
      <c r="J14415" t="s">
        <v>76</v>
      </c>
      <c r="K14415" t="s">
        <v>77</v>
      </c>
    </row>
    <row r="14416" spans="1:12" x14ac:dyDescent="0.3">
      <c r="A14416" t="s">
        <v>497</v>
      </c>
      <c r="B14416" t="s">
        <v>84</v>
      </c>
      <c r="C14416">
        <v>447</v>
      </c>
      <c r="D14416" t="s">
        <v>94</v>
      </c>
      <c r="E14416">
        <v>7.744E-3</v>
      </c>
      <c r="F14416" t="s">
        <v>74</v>
      </c>
      <c r="G14416">
        <v>7.7442500000000001</v>
      </c>
      <c r="H14416" t="s">
        <v>75</v>
      </c>
      <c r="I14416">
        <v>7744.2529999999997</v>
      </c>
      <c r="J14416" t="s">
        <v>76</v>
      </c>
      <c r="K14416" t="s">
        <v>77</v>
      </c>
    </row>
    <row r="14417" spans="1:12" x14ac:dyDescent="0.3">
      <c r="A14417" t="s">
        <v>497</v>
      </c>
      <c r="B14417" t="s">
        <v>84</v>
      </c>
      <c r="C14417">
        <v>447</v>
      </c>
      <c r="D14417" t="s">
        <v>80</v>
      </c>
      <c r="E14417">
        <v>7.9419999999999994E-3</v>
      </c>
      <c r="F14417" t="s">
        <v>74</v>
      </c>
      <c r="G14417">
        <v>7.9418100000000003</v>
      </c>
      <c r="H14417" t="s">
        <v>75</v>
      </c>
      <c r="I14417">
        <v>7941.8090000000002</v>
      </c>
      <c r="J14417" t="s">
        <v>76</v>
      </c>
      <c r="K14417" t="s">
        <v>77</v>
      </c>
    </row>
    <row r="14418" spans="1:12" x14ac:dyDescent="0.3">
      <c r="A14418" t="s">
        <v>497</v>
      </c>
      <c r="B14418" t="s">
        <v>84</v>
      </c>
      <c r="C14418">
        <v>447</v>
      </c>
      <c r="D14418" t="s">
        <v>81</v>
      </c>
      <c r="E14418">
        <v>1.2224E-2</v>
      </c>
      <c r="F14418" t="s">
        <v>74</v>
      </c>
      <c r="G14418">
        <v>12.224030000000001</v>
      </c>
      <c r="H14418" t="s">
        <v>75</v>
      </c>
      <c r="I14418">
        <v>12224.032999999999</v>
      </c>
      <c r="J14418" t="s">
        <v>76</v>
      </c>
      <c r="K14418" t="s">
        <v>82</v>
      </c>
      <c r="L14418">
        <v>81.806061200000002</v>
      </c>
    </row>
    <row r="14419" spans="1:12" x14ac:dyDescent="0.3">
      <c r="A14419" t="s">
        <v>498</v>
      </c>
      <c r="B14419" t="s">
        <v>72</v>
      </c>
      <c r="C14419">
        <v>1</v>
      </c>
      <c r="D14419" t="s">
        <v>73</v>
      </c>
      <c r="E14419">
        <v>8.0000000000000007E-5</v>
      </c>
      <c r="F14419" t="s">
        <v>74</v>
      </c>
      <c r="G14419">
        <v>7.9799999999999996E-2</v>
      </c>
      <c r="H14419" t="s">
        <v>75</v>
      </c>
      <c r="I14419">
        <v>79.8</v>
      </c>
      <c r="J14419" t="s">
        <v>76</v>
      </c>
      <c r="K14419" t="s">
        <v>77</v>
      </c>
    </row>
    <row r="14420" spans="1:12" x14ac:dyDescent="0.3">
      <c r="A14420" t="s">
        <v>498</v>
      </c>
      <c r="B14420" t="s">
        <v>72</v>
      </c>
      <c r="C14420">
        <v>1</v>
      </c>
      <c r="D14420" t="s">
        <v>78</v>
      </c>
      <c r="E14420">
        <v>1.35E-4</v>
      </c>
      <c r="F14420" t="s">
        <v>74</v>
      </c>
      <c r="G14420">
        <v>0.13500000000000001</v>
      </c>
      <c r="H14420" t="s">
        <v>75</v>
      </c>
      <c r="I14420">
        <v>135</v>
      </c>
      <c r="J14420" t="s">
        <v>76</v>
      </c>
      <c r="K14420" t="s">
        <v>77</v>
      </c>
    </row>
    <row r="14421" spans="1:12" x14ac:dyDescent="0.3">
      <c r="A14421" t="s">
        <v>498</v>
      </c>
      <c r="B14421" t="s">
        <v>72</v>
      </c>
      <c r="C14421">
        <v>2</v>
      </c>
      <c r="D14421" t="s">
        <v>86</v>
      </c>
      <c r="E14421">
        <v>1.5228999999999999E-2</v>
      </c>
      <c r="F14421" t="s">
        <v>74</v>
      </c>
      <c r="G14421">
        <v>15.2293</v>
      </c>
      <c r="H14421" t="s">
        <v>75</v>
      </c>
      <c r="I14421">
        <v>15229.3</v>
      </c>
      <c r="J14421" t="s">
        <v>76</v>
      </c>
      <c r="K14421" t="s">
        <v>82</v>
      </c>
      <c r="L14421">
        <v>65.662901300000001</v>
      </c>
    </row>
    <row r="14422" spans="1:12" x14ac:dyDescent="0.3">
      <c r="A14422" t="s">
        <v>498</v>
      </c>
      <c r="B14422" t="s">
        <v>83</v>
      </c>
      <c r="C14422">
        <v>999</v>
      </c>
      <c r="D14422" t="s">
        <v>86</v>
      </c>
      <c r="E14422">
        <v>5.4949999999999999E-3</v>
      </c>
      <c r="F14422" t="s">
        <v>74</v>
      </c>
      <c r="G14422">
        <v>5.4952399999999999</v>
      </c>
      <c r="H14422" t="s">
        <v>75</v>
      </c>
      <c r="I14422">
        <v>5495.2359999999999</v>
      </c>
      <c r="J14422" t="s">
        <v>76</v>
      </c>
      <c r="K14422" t="s">
        <v>82</v>
      </c>
      <c r="L14422">
        <v>181.9758032</v>
      </c>
    </row>
    <row r="14423" spans="1:12" x14ac:dyDescent="0.3">
      <c r="A14423" t="s">
        <v>498</v>
      </c>
      <c r="B14423" t="s">
        <v>85</v>
      </c>
      <c r="C14423">
        <v>1001</v>
      </c>
      <c r="D14423" t="s">
        <v>86</v>
      </c>
      <c r="E14423">
        <v>5.5030000000000001E-3</v>
      </c>
      <c r="F14423" t="s">
        <v>74</v>
      </c>
      <c r="G14423">
        <v>5.50305</v>
      </c>
      <c r="H14423" t="s">
        <v>75</v>
      </c>
      <c r="I14423">
        <v>5503.0540000000001</v>
      </c>
      <c r="J14423" t="s">
        <v>76</v>
      </c>
      <c r="K14423" t="s">
        <v>82</v>
      </c>
      <c r="L14423">
        <v>181.71727039999999</v>
      </c>
    </row>
    <row r="14424" spans="1:12" x14ac:dyDescent="0.3">
      <c r="A14424" t="s">
        <v>115</v>
      </c>
    </row>
    <row r="14425" spans="1:12" x14ac:dyDescent="0.3">
      <c r="A14425" t="s">
        <v>127</v>
      </c>
    </row>
    <row r="14426" spans="1:12" x14ac:dyDescent="0.3">
      <c r="A14426" t="s">
        <v>87</v>
      </c>
    </row>
    <row r="14427" spans="1:12" x14ac:dyDescent="0.3">
      <c r="A14427" t="s">
        <v>513</v>
      </c>
    </row>
    <row r="14428" spans="1:12" x14ac:dyDescent="0.3">
      <c r="A14428" t="s">
        <v>496</v>
      </c>
      <c r="B14428" t="s">
        <v>72</v>
      </c>
      <c r="C14428">
        <v>1</v>
      </c>
      <c r="D14428" t="s">
        <v>81</v>
      </c>
      <c r="E14428">
        <v>0.31801499999999999</v>
      </c>
      <c r="F14428" t="s">
        <v>74</v>
      </c>
      <c r="G14428">
        <v>318.01459</v>
      </c>
      <c r="H14428" t="s">
        <v>75</v>
      </c>
      <c r="I14428">
        <v>318014.592</v>
      </c>
      <c r="J14428" t="s">
        <v>76</v>
      </c>
      <c r="K14428" t="s">
        <v>82</v>
      </c>
      <c r="L14428">
        <v>3.1445097999999998</v>
      </c>
    </row>
    <row r="14429" spans="1:12" x14ac:dyDescent="0.3">
      <c r="A14429" t="s">
        <v>496</v>
      </c>
      <c r="B14429" t="s">
        <v>83</v>
      </c>
      <c r="C14429">
        <v>533</v>
      </c>
      <c r="D14429" t="s">
        <v>81</v>
      </c>
      <c r="E14429">
        <v>9.2149999999999992E-3</v>
      </c>
      <c r="F14429" t="s">
        <v>74</v>
      </c>
      <c r="G14429">
        <v>9.2148400000000006</v>
      </c>
      <c r="H14429" t="s">
        <v>75</v>
      </c>
      <c r="I14429">
        <v>9214.8379999999997</v>
      </c>
      <c r="J14429" t="s">
        <v>76</v>
      </c>
      <c r="K14429" t="s">
        <v>82</v>
      </c>
      <c r="L14429">
        <v>108.5206293</v>
      </c>
    </row>
    <row r="14430" spans="1:12" x14ac:dyDescent="0.3">
      <c r="A14430" t="s">
        <v>496</v>
      </c>
      <c r="B14430" t="s">
        <v>84</v>
      </c>
      <c r="C14430">
        <v>534</v>
      </c>
      <c r="D14430" t="s">
        <v>81</v>
      </c>
      <c r="E14430">
        <v>9.7929999999999996E-3</v>
      </c>
      <c r="F14430" t="s">
        <v>74</v>
      </c>
      <c r="G14430">
        <v>9.7931100000000004</v>
      </c>
      <c r="H14430" t="s">
        <v>75</v>
      </c>
      <c r="I14430">
        <v>9793.1119999999992</v>
      </c>
      <c r="J14430" t="s">
        <v>76</v>
      </c>
      <c r="K14430" t="s">
        <v>82</v>
      </c>
      <c r="L14430">
        <v>102.112588</v>
      </c>
    </row>
    <row r="14431" spans="1:12" x14ac:dyDescent="0.3">
      <c r="A14431" t="s">
        <v>497</v>
      </c>
      <c r="B14431" t="s">
        <v>72</v>
      </c>
      <c r="C14431">
        <v>1</v>
      </c>
      <c r="D14431" t="s">
        <v>81</v>
      </c>
      <c r="E14431">
        <v>0.120736</v>
      </c>
      <c r="F14431" t="s">
        <v>74</v>
      </c>
      <c r="G14431">
        <v>120.736</v>
      </c>
      <c r="H14431" t="s">
        <v>75</v>
      </c>
      <c r="I14431">
        <v>120736.003</v>
      </c>
      <c r="J14431" t="s">
        <v>76</v>
      </c>
      <c r="K14431" t="s">
        <v>82</v>
      </c>
      <c r="L14431">
        <v>8.2825336000000007</v>
      </c>
    </row>
    <row r="14432" spans="1:12" x14ac:dyDescent="0.3">
      <c r="A14432" t="s">
        <v>497</v>
      </c>
      <c r="B14432" t="s">
        <v>83</v>
      </c>
      <c r="C14432">
        <v>466</v>
      </c>
      <c r="D14432" t="s">
        <v>81</v>
      </c>
      <c r="E14432">
        <v>1.0867E-2</v>
      </c>
      <c r="F14432" t="s">
        <v>74</v>
      </c>
      <c r="G14432">
        <v>10.86665</v>
      </c>
      <c r="H14432" t="s">
        <v>75</v>
      </c>
      <c r="I14432">
        <v>10866.645</v>
      </c>
      <c r="J14432" t="s">
        <v>76</v>
      </c>
      <c r="K14432" t="s">
        <v>82</v>
      </c>
      <c r="L14432">
        <v>92.024722800000006</v>
      </c>
    </row>
    <row r="14433" spans="1:12" x14ac:dyDescent="0.3">
      <c r="A14433" t="s">
        <v>497</v>
      </c>
      <c r="B14433" t="s">
        <v>84</v>
      </c>
      <c r="C14433">
        <v>467</v>
      </c>
      <c r="D14433" t="s">
        <v>81</v>
      </c>
      <c r="E14433">
        <v>1.1102000000000001E-2</v>
      </c>
      <c r="F14433" t="s">
        <v>74</v>
      </c>
      <c r="G14433">
        <v>11.10191</v>
      </c>
      <c r="H14433" t="s">
        <v>75</v>
      </c>
      <c r="I14433">
        <v>11101.91</v>
      </c>
      <c r="J14433" t="s">
        <v>76</v>
      </c>
      <c r="K14433" t="s">
        <v>82</v>
      </c>
      <c r="L14433">
        <v>90.074594200000007</v>
      </c>
    </row>
    <row r="14434" spans="1:12" x14ac:dyDescent="0.3">
      <c r="A14434" t="s">
        <v>498</v>
      </c>
      <c r="B14434" t="s">
        <v>72</v>
      </c>
      <c r="C14434">
        <v>2</v>
      </c>
      <c r="D14434" t="s">
        <v>86</v>
      </c>
      <c r="E14434">
        <v>0.15903300000000001</v>
      </c>
      <c r="F14434" t="s">
        <v>74</v>
      </c>
      <c r="G14434">
        <v>159.03290000000001</v>
      </c>
      <c r="H14434" t="s">
        <v>75</v>
      </c>
      <c r="I14434">
        <v>159032.89600000001</v>
      </c>
      <c r="J14434" t="s">
        <v>76</v>
      </c>
      <c r="K14434" t="s">
        <v>82</v>
      </c>
      <c r="L14434">
        <v>6.2880072</v>
      </c>
    </row>
    <row r="14435" spans="1:12" x14ac:dyDescent="0.3">
      <c r="A14435" t="s">
        <v>498</v>
      </c>
      <c r="B14435" t="s">
        <v>83</v>
      </c>
      <c r="C14435">
        <v>999</v>
      </c>
      <c r="D14435" t="s">
        <v>86</v>
      </c>
      <c r="E14435">
        <v>5.1149999999999998E-3</v>
      </c>
      <c r="F14435" t="s">
        <v>74</v>
      </c>
      <c r="G14435">
        <v>5.1145800000000001</v>
      </c>
      <c r="H14435" t="s">
        <v>75</v>
      </c>
      <c r="I14435">
        <v>5114.5770000000002</v>
      </c>
      <c r="J14435" t="s">
        <v>76</v>
      </c>
      <c r="K14435" t="s">
        <v>82</v>
      </c>
      <c r="L14435">
        <v>195.51957830000001</v>
      </c>
    </row>
    <row r="14436" spans="1:12" x14ac:dyDescent="0.3">
      <c r="A14436" t="s">
        <v>498</v>
      </c>
      <c r="B14436" t="s">
        <v>85</v>
      </c>
      <c r="C14436">
        <v>1001</v>
      </c>
      <c r="D14436" t="s">
        <v>86</v>
      </c>
      <c r="E14436">
        <v>5.2319999999999997E-3</v>
      </c>
      <c r="F14436" t="s">
        <v>74</v>
      </c>
      <c r="G14436">
        <v>5.23156</v>
      </c>
      <c r="H14436" t="s">
        <v>75</v>
      </c>
      <c r="I14436">
        <v>5231.5590000000002</v>
      </c>
      <c r="J14436" t="s">
        <v>76</v>
      </c>
      <c r="K14436" t="s">
        <v>82</v>
      </c>
      <c r="L14436">
        <v>191.14762390000001</v>
      </c>
    </row>
    <row r="14438" spans="1:12" x14ac:dyDescent="0.3">
      <c r="A14438" t="s">
        <v>514</v>
      </c>
    </row>
    <row r="14439" spans="1:12" x14ac:dyDescent="0.3">
      <c r="A14439" t="s">
        <v>496</v>
      </c>
      <c r="B14439" t="s">
        <v>72</v>
      </c>
      <c r="C14439">
        <v>1</v>
      </c>
      <c r="D14439" t="s">
        <v>81</v>
      </c>
      <c r="E14439">
        <v>1.1613E-2</v>
      </c>
      <c r="F14439" t="s">
        <v>74</v>
      </c>
      <c r="G14439">
        <v>11.613</v>
      </c>
      <c r="H14439" t="s">
        <v>75</v>
      </c>
      <c r="I14439">
        <v>11613</v>
      </c>
      <c r="J14439" t="s">
        <v>76</v>
      </c>
      <c r="K14439" t="s">
        <v>82</v>
      </c>
      <c r="L14439">
        <v>86.110392200000007</v>
      </c>
    </row>
    <row r="14440" spans="1:12" x14ac:dyDescent="0.3">
      <c r="A14440" t="s">
        <v>496</v>
      </c>
      <c r="B14440" t="s">
        <v>83</v>
      </c>
      <c r="C14440">
        <v>553</v>
      </c>
      <c r="D14440" t="s">
        <v>81</v>
      </c>
      <c r="E14440">
        <v>9.9170000000000005E-3</v>
      </c>
      <c r="F14440" t="s">
        <v>74</v>
      </c>
      <c r="G14440">
        <v>9.9174799999999994</v>
      </c>
      <c r="H14440" t="s">
        <v>75</v>
      </c>
      <c r="I14440">
        <v>9917.4840000000004</v>
      </c>
      <c r="J14440" t="s">
        <v>76</v>
      </c>
      <c r="K14440" t="s">
        <v>82</v>
      </c>
      <c r="L14440">
        <v>100.8320228</v>
      </c>
    </row>
    <row r="14441" spans="1:12" x14ac:dyDescent="0.3">
      <c r="A14441" t="s">
        <v>496</v>
      </c>
      <c r="B14441" t="s">
        <v>84</v>
      </c>
      <c r="C14441">
        <v>554</v>
      </c>
      <c r="D14441" t="s">
        <v>81</v>
      </c>
      <c r="E14441">
        <v>9.9209999999999993E-3</v>
      </c>
      <c r="F14441" t="s">
        <v>74</v>
      </c>
      <c r="G14441">
        <v>9.9205400000000008</v>
      </c>
      <c r="H14441" t="s">
        <v>75</v>
      </c>
      <c r="I14441">
        <v>9920.5450000000001</v>
      </c>
      <c r="J14441" t="s">
        <v>76</v>
      </c>
      <c r="K14441" t="s">
        <v>82</v>
      </c>
      <c r="L14441">
        <v>100.800918</v>
      </c>
    </row>
    <row r="14442" spans="1:12" x14ac:dyDescent="0.3">
      <c r="A14442" t="s">
        <v>497</v>
      </c>
      <c r="B14442" t="s">
        <v>72</v>
      </c>
      <c r="C14442">
        <v>1</v>
      </c>
      <c r="D14442" t="s">
        <v>81</v>
      </c>
      <c r="E14442">
        <v>3.0450999999999999E-2</v>
      </c>
      <c r="F14442" t="s">
        <v>74</v>
      </c>
      <c r="G14442">
        <v>30.451000000000001</v>
      </c>
      <c r="H14442" t="s">
        <v>75</v>
      </c>
      <c r="I14442">
        <v>30451</v>
      </c>
      <c r="J14442" t="s">
        <v>76</v>
      </c>
      <c r="K14442" t="s">
        <v>82</v>
      </c>
      <c r="L14442">
        <v>32.839644300000003</v>
      </c>
    </row>
    <row r="14443" spans="1:12" x14ac:dyDescent="0.3">
      <c r="A14443" t="s">
        <v>497</v>
      </c>
      <c r="B14443" t="s">
        <v>83</v>
      </c>
      <c r="C14443">
        <v>446</v>
      </c>
      <c r="D14443" t="s">
        <v>81</v>
      </c>
      <c r="E14443">
        <v>1.2182999999999999E-2</v>
      </c>
      <c r="F14443" t="s">
        <v>74</v>
      </c>
      <c r="G14443">
        <v>12.183160000000001</v>
      </c>
      <c r="H14443" t="s">
        <v>75</v>
      </c>
      <c r="I14443">
        <v>12183.164000000001</v>
      </c>
      <c r="J14443" t="s">
        <v>76</v>
      </c>
      <c r="K14443" t="s">
        <v>82</v>
      </c>
      <c r="L14443">
        <v>82.080485999999993</v>
      </c>
    </row>
    <row r="14444" spans="1:12" x14ac:dyDescent="0.3">
      <c r="A14444" t="s">
        <v>497</v>
      </c>
      <c r="B14444" t="s">
        <v>84</v>
      </c>
      <c r="C14444">
        <v>447</v>
      </c>
      <c r="D14444" t="s">
        <v>81</v>
      </c>
      <c r="E14444">
        <v>1.2224E-2</v>
      </c>
      <c r="F14444" t="s">
        <v>74</v>
      </c>
      <c r="G14444">
        <v>12.224030000000001</v>
      </c>
      <c r="H14444" t="s">
        <v>75</v>
      </c>
      <c r="I14444">
        <v>12224.032999999999</v>
      </c>
      <c r="J14444" t="s">
        <v>76</v>
      </c>
      <c r="K14444" t="s">
        <v>82</v>
      </c>
      <c r="L14444">
        <v>81.806061200000002</v>
      </c>
    </row>
    <row r="14445" spans="1:12" x14ac:dyDescent="0.3">
      <c r="A14445" t="s">
        <v>498</v>
      </c>
      <c r="B14445" t="s">
        <v>72</v>
      </c>
      <c r="C14445">
        <v>2</v>
      </c>
      <c r="D14445" t="s">
        <v>86</v>
      </c>
      <c r="E14445">
        <v>1.5228999999999999E-2</v>
      </c>
      <c r="F14445" t="s">
        <v>74</v>
      </c>
      <c r="G14445">
        <v>15.2293</v>
      </c>
      <c r="H14445" t="s">
        <v>75</v>
      </c>
      <c r="I14445">
        <v>15229.3</v>
      </c>
      <c r="J14445" t="s">
        <v>76</v>
      </c>
      <c r="K14445" t="s">
        <v>82</v>
      </c>
      <c r="L14445">
        <v>65.662901300000001</v>
      </c>
    </row>
    <row r="14446" spans="1:12" x14ac:dyDescent="0.3">
      <c r="A14446" t="s">
        <v>498</v>
      </c>
      <c r="B14446" t="s">
        <v>83</v>
      </c>
      <c r="C14446">
        <v>999</v>
      </c>
      <c r="D14446" t="s">
        <v>86</v>
      </c>
      <c r="E14446">
        <v>5.4949999999999999E-3</v>
      </c>
      <c r="F14446" t="s">
        <v>74</v>
      </c>
      <c r="G14446">
        <v>5.4952399999999999</v>
      </c>
      <c r="H14446" t="s">
        <v>75</v>
      </c>
      <c r="I14446">
        <v>5495.2359999999999</v>
      </c>
      <c r="J14446" t="s">
        <v>76</v>
      </c>
      <c r="K14446" t="s">
        <v>82</v>
      </c>
      <c r="L14446">
        <v>181.9758032</v>
      </c>
    </row>
    <row r="14447" spans="1:12" x14ac:dyDescent="0.3">
      <c r="A14447" t="s">
        <v>498</v>
      </c>
      <c r="B14447" t="s">
        <v>85</v>
      </c>
      <c r="C14447">
        <v>1001</v>
      </c>
      <c r="D14447" t="s">
        <v>86</v>
      </c>
      <c r="E14447">
        <v>5.5030000000000001E-3</v>
      </c>
      <c r="F14447" t="s">
        <v>74</v>
      </c>
      <c r="G14447">
        <v>5.50305</v>
      </c>
      <c r="H14447" t="s">
        <v>75</v>
      </c>
      <c r="I14447">
        <v>5503.0540000000001</v>
      </c>
      <c r="J14447" t="s">
        <v>76</v>
      </c>
      <c r="K14447" t="s">
        <v>82</v>
      </c>
      <c r="L14447">
        <v>181.71727039999999</v>
      </c>
    </row>
    <row r="14449" spans="1:1" x14ac:dyDescent="0.3">
      <c r="A14449" t="s">
        <v>66</v>
      </c>
    </row>
    <row r="14451" spans="1:1" x14ac:dyDescent="0.3">
      <c r="A14451" t="s">
        <v>583</v>
      </c>
    </row>
    <row r="14452" spans="1:1" x14ac:dyDescent="0.3">
      <c r="A14452" t="s">
        <v>68</v>
      </c>
    </row>
    <row r="14453" spans="1:1" x14ac:dyDescent="0.3">
      <c r="A14453" t="s">
        <v>69</v>
      </c>
    </row>
    <row r="14454" spans="1:1" x14ac:dyDescent="0.3">
      <c r="A14454" t="s">
        <v>68</v>
      </c>
    </row>
    <row r="14455" spans="1:1" x14ac:dyDescent="0.3">
      <c r="A14455" t="s">
        <v>69</v>
      </c>
    </row>
    <row r="14456" spans="1:1" x14ac:dyDescent="0.3">
      <c r="A14456" t="s">
        <v>70</v>
      </c>
    </row>
    <row r="14457" spans="1:1" x14ac:dyDescent="0.3">
      <c r="A14457" t="s">
        <v>115</v>
      </c>
    </row>
    <row r="14458" spans="1:1" x14ac:dyDescent="0.3">
      <c r="A14458" t="s">
        <v>116</v>
      </c>
    </row>
    <row r="14459" spans="1:1" x14ac:dyDescent="0.3">
      <c r="A14459" t="s">
        <v>117</v>
      </c>
    </row>
    <row r="14460" spans="1:1" x14ac:dyDescent="0.3">
      <c r="A14460" t="s">
        <v>118</v>
      </c>
    </row>
    <row r="14461" spans="1:1" x14ac:dyDescent="0.3">
      <c r="A14461" t="s">
        <v>119</v>
      </c>
    </row>
    <row r="14462" spans="1:1" x14ac:dyDescent="0.3">
      <c r="A14462" t="s">
        <v>120</v>
      </c>
    </row>
    <row r="14463" spans="1:1" x14ac:dyDescent="0.3">
      <c r="A14463" t="s">
        <v>121</v>
      </c>
    </row>
    <row r="14464" spans="1:1" x14ac:dyDescent="0.3">
      <c r="A14464" t="s">
        <v>122</v>
      </c>
    </row>
    <row r="14465" spans="1:1" x14ac:dyDescent="0.3">
      <c r="A14465" t="s">
        <v>123</v>
      </c>
    </row>
    <row r="14466" spans="1:1" x14ac:dyDescent="0.3">
      <c r="A14466" t="s">
        <v>124</v>
      </c>
    </row>
    <row r="14467" spans="1:1" x14ac:dyDescent="0.3">
      <c r="A14467" t="s">
        <v>125</v>
      </c>
    </row>
    <row r="14468" spans="1:1" x14ac:dyDescent="0.3">
      <c r="A14468" t="s">
        <v>126</v>
      </c>
    </row>
    <row r="14469" spans="1:1" x14ac:dyDescent="0.3">
      <c r="A14469" t="s">
        <v>127</v>
      </c>
    </row>
    <row r="14470" spans="1:1" x14ac:dyDescent="0.3">
      <c r="A14470" t="s">
        <v>153</v>
      </c>
    </row>
    <row r="14471" spans="1:1" x14ac:dyDescent="0.3">
      <c r="A14471" t="s">
        <v>115</v>
      </c>
    </row>
    <row r="14472" spans="1:1" x14ac:dyDescent="0.3">
      <c r="A14472" t="s">
        <v>266</v>
      </c>
    </row>
    <row r="14473" spans="1:1" x14ac:dyDescent="0.3">
      <c r="A14473" t="s">
        <v>267</v>
      </c>
    </row>
    <row r="14474" spans="1:1" x14ac:dyDescent="0.3">
      <c r="A14474" t="s">
        <v>118</v>
      </c>
    </row>
    <row r="14475" spans="1:1" x14ac:dyDescent="0.3">
      <c r="A14475" t="s">
        <v>119</v>
      </c>
    </row>
    <row r="14476" spans="1:1" x14ac:dyDescent="0.3">
      <c r="A14476" t="s">
        <v>268</v>
      </c>
    </row>
    <row r="14477" spans="1:1" x14ac:dyDescent="0.3">
      <c r="A14477" t="s">
        <v>269</v>
      </c>
    </row>
    <row r="14478" spans="1:1" x14ac:dyDescent="0.3">
      <c r="A14478" t="s">
        <v>122</v>
      </c>
    </row>
    <row r="14479" spans="1:1" x14ac:dyDescent="0.3">
      <c r="A14479" t="s">
        <v>270</v>
      </c>
    </row>
    <row r="14480" spans="1:1" x14ac:dyDescent="0.3">
      <c r="A14480" t="s">
        <v>271</v>
      </c>
    </row>
    <row r="14481" spans="1:12" x14ac:dyDescent="0.3">
      <c r="A14481" t="s">
        <v>125</v>
      </c>
    </row>
    <row r="14482" spans="1:12" x14ac:dyDescent="0.3">
      <c r="A14482" t="s">
        <v>126</v>
      </c>
    </row>
    <row r="14483" spans="1:12" x14ac:dyDescent="0.3">
      <c r="A14483" t="s">
        <v>127</v>
      </c>
    </row>
    <row r="14484" spans="1:12" x14ac:dyDescent="0.3">
      <c r="A14484" t="s">
        <v>153</v>
      </c>
    </row>
    <row r="14485" spans="1:12" x14ac:dyDescent="0.3">
      <c r="A14485" t="s">
        <v>516</v>
      </c>
    </row>
    <row r="14486" spans="1:12" x14ac:dyDescent="0.3">
      <c r="A14486" t="s">
        <v>496</v>
      </c>
      <c r="B14486" t="s">
        <v>72</v>
      </c>
      <c r="C14486">
        <v>1</v>
      </c>
      <c r="D14486" t="s">
        <v>79</v>
      </c>
      <c r="E14486">
        <v>0.44312800000000002</v>
      </c>
      <c r="F14486" t="s">
        <v>74</v>
      </c>
      <c r="G14486">
        <v>443.12799000000001</v>
      </c>
      <c r="H14486" t="s">
        <v>75</v>
      </c>
      <c r="I14486">
        <v>443127.99</v>
      </c>
      <c r="J14486" t="s">
        <v>76</v>
      </c>
      <c r="K14486" t="s">
        <v>77</v>
      </c>
    </row>
    <row r="14487" spans="1:12" x14ac:dyDescent="0.3">
      <c r="A14487" t="s">
        <v>496</v>
      </c>
      <c r="B14487" t="s">
        <v>72</v>
      </c>
      <c r="C14487">
        <v>1</v>
      </c>
      <c r="D14487" t="s">
        <v>94</v>
      </c>
      <c r="E14487">
        <v>5.0472000000000003E-2</v>
      </c>
      <c r="F14487" t="s">
        <v>74</v>
      </c>
      <c r="G14487">
        <v>50.471899999999998</v>
      </c>
      <c r="H14487" t="s">
        <v>75</v>
      </c>
      <c r="I14487">
        <v>50471.898000000001</v>
      </c>
      <c r="J14487" t="s">
        <v>76</v>
      </c>
      <c r="K14487" t="s">
        <v>77</v>
      </c>
    </row>
    <row r="14488" spans="1:12" x14ac:dyDescent="0.3">
      <c r="A14488" t="s">
        <v>496</v>
      </c>
      <c r="B14488" t="s">
        <v>72</v>
      </c>
      <c r="C14488">
        <v>1</v>
      </c>
      <c r="D14488" t="s">
        <v>80</v>
      </c>
      <c r="E14488">
        <v>5.0472999999999997E-2</v>
      </c>
      <c r="F14488" t="s">
        <v>74</v>
      </c>
      <c r="G14488">
        <v>50.473199999999999</v>
      </c>
      <c r="H14488" t="s">
        <v>75</v>
      </c>
      <c r="I14488">
        <v>50473.197999999997</v>
      </c>
      <c r="J14488" t="s">
        <v>76</v>
      </c>
      <c r="K14488" t="s">
        <v>77</v>
      </c>
    </row>
    <row r="14489" spans="1:12" x14ac:dyDescent="0.3">
      <c r="A14489" t="s">
        <v>496</v>
      </c>
      <c r="B14489" t="s">
        <v>72</v>
      </c>
      <c r="C14489">
        <v>1</v>
      </c>
      <c r="D14489" t="s">
        <v>81</v>
      </c>
      <c r="E14489">
        <v>0.49360199999999999</v>
      </c>
      <c r="F14489" t="s">
        <v>74</v>
      </c>
      <c r="G14489">
        <v>493.60210000000001</v>
      </c>
      <c r="H14489" t="s">
        <v>75</v>
      </c>
      <c r="I14489">
        <v>493602.09700000001</v>
      </c>
      <c r="J14489" t="s">
        <v>76</v>
      </c>
      <c r="K14489" t="s">
        <v>82</v>
      </c>
      <c r="L14489">
        <v>2.0259233000000001</v>
      </c>
    </row>
    <row r="14490" spans="1:12" x14ac:dyDescent="0.3">
      <c r="A14490" t="s">
        <v>496</v>
      </c>
      <c r="B14490" t="s">
        <v>83</v>
      </c>
      <c r="C14490">
        <v>620</v>
      </c>
      <c r="D14490" t="s">
        <v>79</v>
      </c>
      <c r="E14490">
        <v>6.4400000000000004E-4</v>
      </c>
      <c r="F14490" t="s">
        <v>74</v>
      </c>
      <c r="G14490">
        <v>0.64444999999999997</v>
      </c>
      <c r="H14490" t="s">
        <v>75</v>
      </c>
      <c r="I14490">
        <v>644.45100000000002</v>
      </c>
      <c r="J14490" t="s">
        <v>76</v>
      </c>
      <c r="K14490" t="s">
        <v>77</v>
      </c>
    </row>
    <row r="14491" spans="1:12" x14ac:dyDescent="0.3">
      <c r="A14491" t="s">
        <v>496</v>
      </c>
      <c r="B14491" t="s">
        <v>83</v>
      </c>
      <c r="C14491">
        <v>620</v>
      </c>
      <c r="D14491" t="s">
        <v>94</v>
      </c>
      <c r="E14491">
        <v>1.5199000000000001E-2</v>
      </c>
      <c r="F14491" t="s">
        <v>74</v>
      </c>
      <c r="G14491">
        <v>15.19909</v>
      </c>
      <c r="H14491" t="s">
        <v>75</v>
      </c>
      <c r="I14491">
        <v>15199.093999999999</v>
      </c>
      <c r="J14491" t="s">
        <v>76</v>
      </c>
      <c r="K14491" t="s">
        <v>77</v>
      </c>
    </row>
    <row r="14492" spans="1:12" x14ac:dyDescent="0.3">
      <c r="A14492" t="s">
        <v>496</v>
      </c>
      <c r="B14492" t="s">
        <v>83</v>
      </c>
      <c r="C14492">
        <v>620</v>
      </c>
      <c r="D14492" t="s">
        <v>80</v>
      </c>
      <c r="E14492">
        <v>1.52E-2</v>
      </c>
      <c r="F14492" t="s">
        <v>74</v>
      </c>
      <c r="G14492">
        <v>15.19998</v>
      </c>
      <c r="H14492" t="s">
        <v>75</v>
      </c>
      <c r="I14492">
        <v>15199.975</v>
      </c>
      <c r="J14492" t="s">
        <v>76</v>
      </c>
      <c r="K14492" t="s">
        <v>77</v>
      </c>
    </row>
    <row r="14493" spans="1:12" x14ac:dyDescent="0.3">
      <c r="A14493" t="s">
        <v>496</v>
      </c>
      <c r="B14493" t="s">
        <v>83</v>
      </c>
      <c r="C14493">
        <v>620</v>
      </c>
      <c r="D14493" t="s">
        <v>81</v>
      </c>
      <c r="E14493">
        <v>1.5845000000000001E-2</v>
      </c>
      <c r="F14493" t="s">
        <v>74</v>
      </c>
      <c r="G14493">
        <v>15.84484</v>
      </c>
      <c r="H14493" t="s">
        <v>75</v>
      </c>
      <c r="I14493">
        <v>15844.839</v>
      </c>
      <c r="J14493" t="s">
        <v>76</v>
      </c>
      <c r="K14493" t="s">
        <v>82</v>
      </c>
      <c r="L14493">
        <v>63.112033500000003</v>
      </c>
    </row>
    <row r="14494" spans="1:12" x14ac:dyDescent="0.3">
      <c r="A14494" t="s">
        <v>496</v>
      </c>
      <c r="B14494" t="s">
        <v>84</v>
      </c>
      <c r="C14494">
        <v>621</v>
      </c>
      <c r="D14494" t="s">
        <v>79</v>
      </c>
      <c r="E14494">
        <v>1.3569999999999999E-3</v>
      </c>
      <c r="F14494" t="s">
        <v>74</v>
      </c>
      <c r="G14494">
        <v>1.3569899999999999</v>
      </c>
      <c r="H14494" t="s">
        <v>75</v>
      </c>
      <c r="I14494">
        <v>1356.9849999999999</v>
      </c>
      <c r="J14494" t="s">
        <v>76</v>
      </c>
      <c r="K14494" t="s">
        <v>77</v>
      </c>
    </row>
    <row r="14495" spans="1:12" x14ac:dyDescent="0.3">
      <c r="A14495" t="s">
        <v>496</v>
      </c>
      <c r="B14495" t="s">
        <v>84</v>
      </c>
      <c r="C14495">
        <v>621</v>
      </c>
      <c r="D14495" t="s">
        <v>94</v>
      </c>
      <c r="E14495">
        <v>1.5256E-2</v>
      </c>
      <c r="F14495" t="s">
        <v>74</v>
      </c>
      <c r="G14495">
        <v>15.255890000000001</v>
      </c>
      <c r="H14495" t="s">
        <v>75</v>
      </c>
      <c r="I14495">
        <v>15255.893</v>
      </c>
      <c r="J14495" t="s">
        <v>76</v>
      </c>
      <c r="K14495" t="s">
        <v>77</v>
      </c>
    </row>
    <row r="14496" spans="1:12" x14ac:dyDescent="0.3">
      <c r="A14496" t="s">
        <v>496</v>
      </c>
      <c r="B14496" t="s">
        <v>84</v>
      </c>
      <c r="C14496">
        <v>621</v>
      </c>
      <c r="D14496" t="s">
        <v>80</v>
      </c>
      <c r="E14496">
        <v>1.5257E-2</v>
      </c>
      <c r="F14496" t="s">
        <v>74</v>
      </c>
      <c r="G14496">
        <v>15.256779999999999</v>
      </c>
      <c r="H14496" t="s">
        <v>75</v>
      </c>
      <c r="I14496">
        <v>15256.777</v>
      </c>
      <c r="J14496" t="s">
        <v>76</v>
      </c>
      <c r="K14496" t="s">
        <v>77</v>
      </c>
    </row>
    <row r="14497" spans="1:12" x14ac:dyDescent="0.3">
      <c r="A14497" t="s">
        <v>496</v>
      </c>
      <c r="B14497" t="s">
        <v>84</v>
      </c>
      <c r="C14497">
        <v>621</v>
      </c>
      <c r="D14497" t="s">
        <v>81</v>
      </c>
      <c r="E14497">
        <v>1.6614E-2</v>
      </c>
      <c r="F14497" t="s">
        <v>74</v>
      </c>
      <c r="G14497">
        <v>16.614170000000001</v>
      </c>
      <c r="H14497" t="s">
        <v>75</v>
      </c>
      <c r="I14497">
        <v>16614.169000000002</v>
      </c>
      <c r="J14497" t="s">
        <v>76</v>
      </c>
      <c r="K14497" t="s">
        <v>82</v>
      </c>
      <c r="L14497">
        <v>60.189588299999997</v>
      </c>
    </row>
    <row r="14498" spans="1:12" x14ac:dyDescent="0.3">
      <c r="A14498" t="s">
        <v>497</v>
      </c>
      <c r="B14498" t="s">
        <v>72</v>
      </c>
      <c r="C14498">
        <v>1</v>
      </c>
      <c r="D14498" t="s">
        <v>79</v>
      </c>
      <c r="E14498">
        <v>0.172261</v>
      </c>
      <c r="F14498" t="s">
        <v>74</v>
      </c>
      <c r="G14498">
        <v>172.26089999999999</v>
      </c>
      <c r="H14498" t="s">
        <v>75</v>
      </c>
      <c r="I14498">
        <v>172260.89499999999</v>
      </c>
      <c r="J14498" t="s">
        <v>76</v>
      </c>
      <c r="K14498" t="s">
        <v>77</v>
      </c>
    </row>
    <row r="14499" spans="1:12" x14ac:dyDescent="0.3">
      <c r="A14499" t="s">
        <v>497</v>
      </c>
      <c r="B14499" t="s">
        <v>72</v>
      </c>
      <c r="C14499">
        <v>1</v>
      </c>
      <c r="D14499" t="s">
        <v>94</v>
      </c>
      <c r="E14499">
        <v>1.9924000000000001E-2</v>
      </c>
      <c r="F14499" t="s">
        <v>74</v>
      </c>
      <c r="G14499">
        <v>19.924099999999999</v>
      </c>
      <c r="H14499" t="s">
        <v>75</v>
      </c>
      <c r="I14499">
        <v>19924.099999999999</v>
      </c>
      <c r="J14499" t="s">
        <v>76</v>
      </c>
      <c r="K14499" t="s">
        <v>77</v>
      </c>
    </row>
    <row r="14500" spans="1:12" x14ac:dyDescent="0.3">
      <c r="A14500" t="s">
        <v>497</v>
      </c>
      <c r="B14500" t="s">
        <v>72</v>
      </c>
      <c r="C14500">
        <v>1</v>
      </c>
      <c r="D14500" t="s">
        <v>80</v>
      </c>
      <c r="E14500">
        <v>1.9924999999999998E-2</v>
      </c>
      <c r="F14500" t="s">
        <v>74</v>
      </c>
      <c r="G14500">
        <v>19.9251</v>
      </c>
      <c r="H14500" t="s">
        <v>75</v>
      </c>
      <c r="I14500">
        <v>19925.100999999999</v>
      </c>
      <c r="J14500" t="s">
        <v>76</v>
      </c>
      <c r="K14500" t="s">
        <v>77</v>
      </c>
    </row>
    <row r="14501" spans="1:12" x14ac:dyDescent="0.3">
      <c r="A14501" t="s">
        <v>497</v>
      </c>
      <c r="B14501" t="s">
        <v>72</v>
      </c>
      <c r="C14501">
        <v>1</v>
      </c>
      <c r="D14501" t="s">
        <v>81</v>
      </c>
      <c r="E14501">
        <v>0.192187</v>
      </c>
      <c r="F14501" t="s">
        <v>74</v>
      </c>
      <c r="G14501">
        <v>192.18700000000001</v>
      </c>
      <c r="H14501" t="s">
        <v>75</v>
      </c>
      <c r="I14501">
        <v>192186.99600000001</v>
      </c>
      <c r="J14501" t="s">
        <v>76</v>
      </c>
      <c r="K14501" t="s">
        <v>82</v>
      </c>
      <c r="L14501">
        <v>5.2032657000000002</v>
      </c>
    </row>
    <row r="14502" spans="1:12" x14ac:dyDescent="0.3">
      <c r="A14502" t="s">
        <v>497</v>
      </c>
      <c r="B14502" t="s">
        <v>83</v>
      </c>
      <c r="C14502">
        <v>379</v>
      </c>
      <c r="D14502" t="s">
        <v>79</v>
      </c>
      <c r="E14502">
        <v>6.4300000000000002E-4</v>
      </c>
      <c r="F14502" t="s">
        <v>74</v>
      </c>
      <c r="G14502">
        <v>0.64266999999999996</v>
      </c>
      <c r="H14502" t="s">
        <v>75</v>
      </c>
      <c r="I14502">
        <v>642.66999999999996</v>
      </c>
      <c r="J14502" t="s">
        <v>76</v>
      </c>
      <c r="K14502" t="s">
        <v>77</v>
      </c>
    </row>
    <row r="14503" spans="1:12" x14ac:dyDescent="0.3">
      <c r="A14503" t="s">
        <v>497</v>
      </c>
      <c r="B14503" t="s">
        <v>83</v>
      </c>
      <c r="C14503">
        <v>379</v>
      </c>
      <c r="D14503" t="s">
        <v>94</v>
      </c>
      <c r="E14503">
        <v>2.5991E-2</v>
      </c>
      <c r="F14503" t="s">
        <v>74</v>
      </c>
      <c r="G14503">
        <v>25.990849999999998</v>
      </c>
      <c r="H14503" t="s">
        <v>75</v>
      </c>
      <c r="I14503">
        <v>25990.850999999999</v>
      </c>
      <c r="J14503" t="s">
        <v>76</v>
      </c>
      <c r="K14503" t="s">
        <v>77</v>
      </c>
    </row>
    <row r="14504" spans="1:12" x14ac:dyDescent="0.3">
      <c r="A14504" t="s">
        <v>497</v>
      </c>
      <c r="B14504" t="s">
        <v>83</v>
      </c>
      <c r="C14504">
        <v>379</v>
      </c>
      <c r="D14504" t="s">
        <v>80</v>
      </c>
      <c r="E14504">
        <v>2.5992000000000001E-2</v>
      </c>
      <c r="F14504" t="s">
        <v>74</v>
      </c>
      <c r="G14504">
        <v>25.991620000000001</v>
      </c>
      <c r="H14504" t="s">
        <v>75</v>
      </c>
      <c r="I14504">
        <v>25991.620999999999</v>
      </c>
      <c r="J14504" t="s">
        <v>76</v>
      </c>
      <c r="K14504" t="s">
        <v>77</v>
      </c>
    </row>
    <row r="14505" spans="1:12" x14ac:dyDescent="0.3">
      <c r="A14505" t="s">
        <v>497</v>
      </c>
      <c r="B14505" t="s">
        <v>83</v>
      </c>
      <c r="C14505">
        <v>379</v>
      </c>
      <c r="D14505" t="s">
        <v>81</v>
      </c>
      <c r="E14505">
        <v>2.6634999999999999E-2</v>
      </c>
      <c r="F14505" t="s">
        <v>74</v>
      </c>
      <c r="G14505">
        <v>26.634640000000001</v>
      </c>
      <c r="H14505" t="s">
        <v>75</v>
      </c>
      <c r="I14505">
        <v>26634.638999999999</v>
      </c>
      <c r="J14505" t="s">
        <v>76</v>
      </c>
      <c r="K14505" t="s">
        <v>82</v>
      </c>
      <c r="L14505">
        <v>37.545093000000001</v>
      </c>
    </row>
    <row r="14506" spans="1:12" x14ac:dyDescent="0.3">
      <c r="A14506" t="s">
        <v>497</v>
      </c>
      <c r="B14506" t="s">
        <v>84</v>
      </c>
      <c r="C14506">
        <v>380</v>
      </c>
      <c r="D14506" t="s">
        <v>79</v>
      </c>
      <c r="E14506">
        <v>1.0939999999999999E-3</v>
      </c>
      <c r="F14506" t="s">
        <v>74</v>
      </c>
      <c r="G14506">
        <v>1.0943000000000001</v>
      </c>
      <c r="H14506" t="s">
        <v>75</v>
      </c>
      <c r="I14506">
        <v>1094.297</v>
      </c>
      <c r="J14506" t="s">
        <v>76</v>
      </c>
      <c r="K14506" t="s">
        <v>77</v>
      </c>
    </row>
    <row r="14507" spans="1:12" x14ac:dyDescent="0.3">
      <c r="A14507" t="s">
        <v>497</v>
      </c>
      <c r="B14507" t="s">
        <v>84</v>
      </c>
      <c r="C14507">
        <v>380</v>
      </c>
      <c r="D14507" t="s">
        <v>94</v>
      </c>
      <c r="E14507">
        <v>2.5975000000000002E-2</v>
      </c>
      <c r="F14507" t="s">
        <v>74</v>
      </c>
      <c r="G14507">
        <v>25.974879999999999</v>
      </c>
      <c r="H14507" t="s">
        <v>75</v>
      </c>
      <c r="I14507">
        <v>25974.881000000001</v>
      </c>
      <c r="J14507" t="s">
        <v>76</v>
      </c>
      <c r="K14507" t="s">
        <v>77</v>
      </c>
    </row>
    <row r="14508" spans="1:12" x14ac:dyDescent="0.3">
      <c r="A14508" t="s">
        <v>497</v>
      </c>
      <c r="B14508" t="s">
        <v>84</v>
      </c>
      <c r="C14508">
        <v>380</v>
      </c>
      <c r="D14508" t="s">
        <v>80</v>
      </c>
      <c r="E14508">
        <v>2.5975999999999999E-2</v>
      </c>
      <c r="F14508" t="s">
        <v>74</v>
      </c>
      <c r="G14508">
        <v>25.975650000000002</v>
      </c>
      <c r="H14508" t="s">
        <v>75</v>
      </c>
      <c r="I14508">
        <v>25975.653999999999</v>
      </c>
      <c r="J14508" t="s">
        <v>76</v>
      </c>
      <c r="K14508" t="s">
        <v>77</v>
      </c>
    </row>
    <row r="14509" spans="1:12" x14ac:dyDescent="0.3">
      <c r="A14509" t="s">
        <v>497</v>
      </c>
      <c r="B14509" t="s">
        <v>84</v>
      </c>
      <c r="C14509">
        <v>380</v>
      </c>
      <c r="D14509" t="s">
        <v>81</v>
      </c>
      <c r="E14509">
        <v>2.707E-2</v>
      </c>
      <c r="F14509" t="s">
        <v>74</v>
      </c>
      <c r="G14509">
        <v>27.0703</v>
      </c>
      <c r="H14509" t="s">
        <v>75</v>
      </c>
      <c r="I14509">
        <v>27070.300999999999</v>
      </c>
      <c r="J14509" t="s">
        <v>76</v>
      </c>
      <c r="K14509" t="s">
        <v>82</v>
      </c>
      <c r="L14509">
        <v>36.940852</v>
      </c>
    </row>
    <row r="14510" spans="1:12" x14ac:dyDescent="0.3">
      <c r="A14510" t="s">
        <v>498</v>
      </c>
      <c r="B14510" t="s">
        <v>72</v>
      </c>
      <c r="C14510">
        <v>1</v>
      </c>
      <c r="D14510" t="s">
        <v>73</v>
      </c>
      <c r="E14510">
        <v>8.1000000000000004E-5</v>
      </c>
      <c r="F14510" t="s">
        <v>74</v>
      </c>
      <c r="G14510">
        <v>8.0500000000000002E-2</v>
      </c>
      <c r="H14510" t="s">
        <v>75</v>
      </c>
      <c r="I14510">
        <v>80.5</v>
      </c>
      <c r="J14510" t="s">
        <v>76</v>
      </c>
      <c r="K14510" t="s">
        <v>77</v>
      </c>
    </row>
    <row r="14511" spans="1:12" x14ac:dyDescent="0.3">
      <c r="A14511" t="s">
        <v>498</v>
      </c>
      <c r="B14511" t="s">
        <v>72</v>
      </c>
      <c r="C14511">
        <v>1</v>
      </c>
      <c r="D14511" t="s">
        <v>78</v>
      </c>
      <c r="E14511">
        <v>0.12879099999999999</v>
      </c>
      <c r="F14511" t="s">
        <v>74</v>
      </c>
      <c r="G14511">
        <v>128.79089999999999</v>
      </c>
      <c r="H14511" t="s">
        <v>75</v>
      </c>
      <c r="I14511">
        <v>128790.9</v>
      </c>
      <c r="J14511" t="s">
        <v>76</v>
      </c>
      <c r="K14511" t="s">
        <v>77</v>
      </c>
    </row>
    <row r="14512" spans="1:12" x14ac:dyDescent="0.3">
      <c r="A14512" t="s">
        <v>498</v>
      </c>
      <c r="B14512" t="s">
        <v>72</v>
      </c>
      <c r="C14512">
        <v>2</v>
      </c>
      <c r="D14512" t="s">
        <v>86</v>
      </c>
      <c r="E14512">
        <v>0.24682899999999999</v>
      </c>
      <c r="F14512" t="s">
        <v>74</v>
      </c>
      <c r="G14512">
        <v>246.8289</v>
      </c>
      <c r="H14512" t="s">
        <v>75</v>
      </c>
      <c r="I14512">
        <v>246828.899</v>
      </c>
      <c r="J14512" t="s">
        <v>76</v>
      </c>
      <c r="K14512" t="s">
        <v>82</v>
      </c>
      <c r="L14512">
        <v>4.0513895</v>
      </c>
    </row>
    <row r="14513" spans="1:12" x14ac:dyDescent="0.3">
      <c r="A14513" t="s">
        <v>498</v>
      </c>
      <c r="B14513" t="s">
        <v>83</v>
      </c>
      <c r="C14513">
        <v>999</v>
      </c>
      <c r="D14513" t="s">
        <v>86</v>
      </c>
      <c r="E14513">
        <v>1.0123E-2</v>
      </c>
      <c r="F14513" t="s">
        <v>74</v>
      </c>
      <c r="G14513">
        <v>10.122920000000001</v>
      </c>
      <c r="H14513" t="s">
        <v>75</v>
      </c>
      <c r="I14513">
        <v>10122.918</v>
      </c>
      <c r="J14513" t="s">
        <v>76</v>
      </c>
      <c r="K14513" t="s">
        <v>82</v>
      </c>
      <c r="L14513">
        <v>98.785747400000005</v>
      </c>
    </row>
    <row r="14514" spans="1:12" x14ac:dyDescent="0.3">
      <c r="A14514" t="s">
        <v>498</v>
      </c>
      <c r="B14514" t="s">
        <v>85</v>
      </c>
      <c r="C14514">
        <v>1001</v>
      </c>
      <c r="D14514" t="s">
        <v>86</v>
      </c>
      <c r="E14514">
        <v>1.0314E-2</v>
      </c>
      <c r="F14514" t="s">
        <v>74</v>
      </c>
      <c r="G14514">
        <v>10.314019999999999</v>
      </c>
      <c r="H14514" t="s">
        <v>75</v>
      </c>
      <c r="I14514">
        <v>10314.016</v>
      </c>
      <c r="J14514" t="s">
        <v>76</v>
      </c>
      <c r="K14514" t="s">
        <v>82</v>
      </c>
      <c r="L14514">
        <v>96.955440999999993</v>
      </c>
    </row>
    <row r="14515" spans="1:12" x14ac:dyDescent="0.3">
      <c r="A14515" t="s">
        <v>155</v>
      </c>
    </row>
    <row r="14516" spans="1:12" x14ac:dyDescent="0.3">
      <c r="A14516" t="s">
        <v>155</v>
      </c>
    </row>
    <row r="14517" spans="1:12" x14ac:dyDescent="0.3">
      <c r="A14517" t="s">
        <v>517</v>
      </c>
    </row>
    <row r="14518" spans="1:12" x14ac:dyDescent="0.3">
      <c r="A14518" t="s">
        <v>496</v>
      </c>
      <c r="B14518" t="s">
        <v>72</v>
      </c>
      <c r="C14518">
        <v>1</v>
      </c>
      <c r="D14518" t="s">
        <v>79</v>
      </c>
      <c r="E14518">
        <v>4.9449999999999997E-3</v>
      </c>
      <c r="F14518" t="s">
        <v>74</v>
      </c>
      <c r="G14518">
        <v>4.9450000000000003</v>
      </c>
      <c r="H14518" t="s">
        <v>75</v>
      </c>
      <c r="I14518">
        <v>4945</v>
      </c>
      <c r="J14518" t="s">
        <v>76</v>
      </c>
      <c r="K14518" t="s">
        <v>77</v>
      </c>
    </row>
    <row r="14519" spans="1:12" x14ac:dyDescent="0.3">
      <c r="A14519" t="s">
        <v>496</v>
      </c>
      <c r="B14519" t="s">
        <v>72</v>
      </c>
      <c r="C14519">
        <v>1</v>
      </c>
      <c r="D14519" t="s">
        <v>94</v>
      </c>
      <c r="E14519">
        <v>3.1161999999999999E-2</v>
      </c>
      <c r="F14519" t="s">
        <v>74</v>
      </c>
      <c r="G14519">
        <v>31.162099999999999</v>
      </c>
      <c r="H14519" t="s">
        <v>75</v>
      </c>
      <c r="I14519">
        <v>31162.1</v>
      </c>
      <c r="J14519" t="s">
        <v>76</v>
      </c>
      <c r="K14519" t="s">
        <v>77</v>
      </c>
    </row>
    <row r="14520" spans="1:12" x14ac:dyDescent="0.3">
      <c r="A14520" t="s">
        <v>496</v>
      </c>
      <c r="B14520" t="s">
        <v>72</v>
      </c>
      <c r="C14520">
        <v>1</v>
      </c>
      <c r="D14520" t="s">
        <v>80</v>
      </c>
      <c r="E14520">
        <v>3.1163E-2</v>
      </c>
      <c r="F14520" t="s">
        <v>74</v>
      </c>
      <c r="G14520">
        <v>31.163399999999999</v>
      </c>
      <c r="H14520" t="s">
        <v>75</v>
      </c>
      <c r="I14520">
        <v>31163.4</v>
      </c>
      <c r="J14520" t="s">
        <v>76</v>
      </c>
      <c r="K14520" t="s">
        <v>77</v>
      </c>
    </row>
    <row r="14521" spans="1:12" x14ac:dyDescent="0.3">
      <c r="A14521" t="s">
        <v>496</v>
      </c>
      <c r="B14521" t="s">
        <v>72</v>
      </c>
      <c r="C14521">
        <v>1</v>
      </c>
      <c r="D14521" t="s">
        <v>81</v>
      </c>
      <c r="E14521">
        <v>3.6109000000000002E-2</v>
      </c>
      <c r="F14521" t="s">
        <v>74</v>
      </c>
      <c r="G14521">
        <v>36.109000000000002</v>
      </c>
      <c r="H14521" t="s">
        <v>75</v>
      </c>
      <c r="I14521">
        <v>36109</v>
      </c>
      <c r="J14521" t="s">
        <v>76</v>
      </c>
      <c r="K14521" t="s">
        <v>82</v>
      </c>
      <c r="L14521">
        <v>27.693926399999999</v>
      </c>
    </row>
    <row r="14522" spans="1:12" x14ac:dyDescent="0.3">
      <c r="A14522" t="s">
        <v>496</v>
      </c>
      <c r="B14522" t="s">
        <v>83</v>
      </c>
      <c r="C14522">
        <v>753</v>
      </c>
      <c r="D14522" t="s">
        <v>79</v>
      </c>
      <c r="E14522">
        <v>7.1599999999999995E-4</v>
      </c>
      <c r="F14522" t="s">
        <v>74</v>
      </c>
      <c r="G14522">
        <v>0.71597999999999995</v>
      </c>
      <c r="H14522" t="s">
        <v>75</v>
      </c>
      <c r="I14522">
        <v>715.98099999999999</v>
      </c>
      <c r="J14522" t="s">
        <v>76</v>
      </c>
      <c r="K14522" t="s">
        <v>77</v>
      </c>
    </row>
    <row r="14523" spans="1:12" x14ac:dyDescent="0.3">
      <c r="A14523" t="s">
        <v>496</v>
      </c>
      <c r="B14523" t="s">
        <v>83</v>
      </c>
      <c r="C14523">
        <v>753</v>
      </c>
      <c r="D14523" t="s">
        <v>94</v>
      </c>
      <c r="E14523">
        <v>2.5259E-2</v>
      </c>
      <c r="F14523" t="s">
        <v>74</v>
      </c>
      <c r="G14523">
        <v>25.25938</v>
      </c>
      <c r="H14523" t="s">
        <v>75</v>
      </c>
      <c r="I14523">
        <v>25259.383000000002</v>
      </c>
      <c r="J14523" t="s">
        <v>76</v>
      </c>
      <c r="K14523" t="s">
        <v>77</v>
      </c>
    </row>
    <row r="14524" spans="1:12" x14ac:dyDescent="0.3">
      <c r="A14524" t="s">
        <v>496</v>
      </c>
      <c r="B14524" t="s">
        <v>83</v>
      </c>
      <c r="C14524">
        <v>753</v>
      </c>
      <c r="D14524" t="s">
        <v>80</v>
      </c>
      <c r="E14524">
        <v>2.5492999999999998E-2</v>
      </c>
      <c r="F14524" t="s">
        <v>74</v>
      </c>
      <c r="G14524">
        <v>25.492830000000001</v>
      </c>
      <c r="H14524" t="s">
        <v>75</v>
      </c>
      <c r="I14524">
        <v>25492.833999999999</v>
      </c>
      <c r="J14524" t="s">
        <v>76</v>
      </c>
      <c r="K14524" t="s">
        <v>77</v>
      </c>
    </row>
    <row r="14525" spans="1:12" x14ac:dyDescent="0.3">
      <c r="A14525" t="s">
        <v>496</v>
      </c>
      <c r="B14525" t="s">
        <v>83</v>
      </c>
      <c r="C14525">
        <v>753</v>
      </c>
      <c r="D14525" t="s">
        <v>81</v>
      </c>
      <c r="E14525">
        <v>2.6209E-2</v>
      </c>
      <c r="F14525" t="s">
        <v>74</v>
      </c>
      <c r="G14525">
        <v>26.209389999999999</v>
      </c>
      <c r="H14525" t="s">
        <v>75</v>
      </c>
      <c r="I14525">
        <v>26209.386999999999</v>
      </c>
      <c r="J14525" t="s">
        <v>76</v>
      </c>
      <c r="K14525" t="s">
        <v>82</v>
      </c>
      <c r="L14525">
        <v>38.154269399999997</v>
      </c>
    </row>
    <row r="14526" spans="1:12" x14ac:dyDescent="0.3">
      <c r="A14526" t="s">
        <v>496</v>
      </c>
      <c r="B14526" t="s">
        <v>84</v>
      </c>
      <c r="C14526">
        <v>754</v>
      </c>
      <c r="D14526" t="s">
        <v>79</v>
      </c>
      <c r="E14526">
        <v>7.2199999999999999E-4</v>
      </c>
      <c r="F14526" t="s">
        <v>74</v>
      </c>
      <c r="G14526">
        <v>0.72158999999999995</v>
      </c>
      <c r="H14526" t="s">
        <v>75</v>
      </c>
      <c r="I14526">
        <v>721.59</v>
      </c>
      <c r="J14526" t="s">
        <v>76</v>
      </c>
      <c r="K14526" t="s">
        <v>77</v>
      </c>
    </row>
    <row r="14527" spans="1:12" x14ac:dyDescent="0.3">
      <c r="A14527" t="s">
        <v>496</v>
      </c>
      <c r="B14527" t="s">
        <v>84</v>
      </c>
      <c r="C14527">
        <v>754</v>
      </c>
      <c r="D14527" t="s">
        <v>94</v>
      </c>
      <c r="E14527">
        <v>2.5267000000000001E-2</v>
      </c>
      <c r="F14527" t="s">
        <v>74</v>
      </c>
      <c r="G14527">
        <v>25.267209999999999</v>
      </c>
      <c r="H14527" t="s">
        <v>75</v>
      </c>
      <c r="I14527">
        <v>25267.214</v>
      </c>
      <c r="J14527" t="s">
        <v>76</v>
      </c>
      <c r="K14527" t="s">
        <v>77</v>
      </c>
    </row>
    <row r="14528" spans="1:12" x14ac:dyDescent="0.3">
      <c r="A14528" t="s">
        <v>496</v>
      </c>
      <c r="B14528" t="s">
        <v>84</v>
      </c>
      <c r="C14528">
        <v>754</v>
      </c>
      <c r="D14528" t="s">
        <v>80</v>
      </c>
      <c r="E14528">
        <v>2.5499999999999998E-2</v>
      </c>
      <c r="F14528" t="s">
        <v>74</v>
      </c>
      <c r="G14528">
        <v>25.500360000000001</v>
      </c>
      <c r="H14528" t="s">
        <v>75</v>
      </c>
      <c r="I14528">
        <v>25500.356</v>
      </c>
      <c r="J14528" t="s">
        <v>76</v>
      </c>
      <c r="K14528" t="s">
        <v>77</v>
      </c>
    </row>
    <row r="14529" spans="1:12" x14ac:dyDescent="0.3">
      <c r="A14529" t="s">
        <v>496</v>
      </c>
      <c r="B14529" t="s">
        <v>84</v>
      </c>
      <c r="C14529">
        <v>754</v>
      </c>
      <c r="D14529" t="s">
        <v>81</v>
      </c>
      <c r="E14529">
        <v>2.6223E-2</v>
      </c>
      <c r="F14529" t="s">
        <v>74</v>
      </c>
      <c r="G14529">
        <v>26.222519999999999</v>
      </c>
      <c r="H14529" t="s">
        <v>75</v>
      </c>
      <c r="I14529">
        <v>26222.517</v>
      </c>
      <c r="J14529" t="s">
        <v>76</v>
      </c>
      <c r="K14529" t="s">
        <v>82</v>
      </c>
      <c r="L14529">
        <v>38.135164000000003</v>
      </c>
    </row>
    <row r="14530" spans="1:12" x14ac:dyDescent="0.3">
      <c r="A14530" t="s">
        <v>497</v>
      </c>
      <c r="B14530" t="s">
        <v>72</v>
      </c>
      <c r="C14530">
        <v>1</v>
      </c>
      <c r="D14530" t="s">
        <v>79</v>
      </c>
      <c r="E14530">
        <v>1.8811999999999999E-2</v>
      </c>
      <c r="F14530" t="s">
        <v>74</v>
      </c>
      <c r="G14530">
        <v>18.811599999999999</v>
      </c>
      <c r="H14530" t="s">
        <v>75</v>
      </c>
      <c r="I14530">
        <v>18811.599999999999</v>
      </c>
      <c r="J14530" t="s">
        <v>76</v>
      </c>
      <c r="K14530" t="s">
        <v>77</v>
      </c>
    </row>
    <row r="14531" spans="1:12" x14ac:dyDescent="0.3">
      <c r="A14531" t="s">
        <v>497</v>
      </c>
      <c r="B14531" t="s">
        <v>72</v>
      </c>
      <c r="C14531">
        <v>1</v>
      </c>
      <c r="D14531" t="s">
        <v>94</v>
      </c>
      <c r="E14531">
        <v>9.5476000000000005E-2</v>
      </c>
      <c r="F14531" t="s">
        <v>74</v>
      </c>
      <c r="G14531">
        <v>95.476100000000002</v>
      </c>
      <c r="H14531" t="s">
        <v>75</v>
      </c>
      <c r="I14531">
        <v>95476.097999999998</v>
      </c>
      <c r="J14531" t="s">
        <v>76</v>
      </c>
      <c r="K14531" t="s">
        <v>77</v>
      </c>
    </row>
    <row r="14532" spans="1:12" x14ac:dyDescent="0.3">
      <c r="A14532" t="s">
        <v>497</v>
      </c>
      <c r="B14532" t="s">
        <v>72</v>
      </c>
      <c r="C14532">
        <v>1</v>
      </c>
      <c r="D14532" t="s">
        <v>80</v>
      </c>
      <c r="E14532">
        <v>9.5477000000000006E-2</v>
      </c>
      <c r="F14532" t="s">
        <v>74</v>
      </c>
      <c r="G14532">
        <v>95.4773</v>
      </c>
      <c r="H14532" t="s">
        <v>75</v>
      </c>
      <c r="I14532">
        <v>95477.297999999995</v>
      </c>
      <c r="J14532" t="s">
        <v>76</v>
      </c>
      <c r="K14532" t="s">
        <v>77</v>
      </c>
    </row>
    <row r="14533" spans="1:12" x14ac:dyDescent="0.3">
      <c r="A14533" t="s">
        <v>497</v>
      </c>
      <c r="B14533" t="s">
        <v>72</v>
      </c>
      <c r="C14533">
        <v>1</v>
      </c>
      <c r="D14533" t="s">
        <v>81</v>
      </c>
      <c r="E14533">
        <v>0.114291</v>
      </c>
      <c r="F14533" t="s">
        <v>74</v>
      </c>
      <c r="G14533">
        <v>114.29130000000001</v>
      </c>
      <c r="H14533" t="s">
        <v>75</v>
      </c>
      <c r="I14533">
        <v>114291.303</v>
      </c>
      <c r="J14533" t="s">
        <v>76</v>
      </c>
      <c r="K14533" t="s">
        <v>82</v>
      </c>
      <c r="L14533">
        <v>8.7495721</v>
      </c>
    </row>
    <row r="14534" spans="1:12" x14ac:dyDescent="0.3">
      <c r="A14534" t="s">
        <v>497</v>
      </c>
      <c r="B14534" t="s">
        <v>83</v>
      </c>
      <c r="C14534">
        <v>246</v>
      </c>
      <c r="D14534" t="s">
        <v>79</v>
      </c>
      <c r="E14534">
        <v>1.542E-3</v>
      </c>
      <c r="F14534" t="s">
        <v>74</v>
      </c>
      <c r="G14534">
        <v>1.5419099999999999</v>
      </c>
      <c r="H14534" t="s">
        <v>75</v>
      </c>
      <c r="I14534">
        <v>1541.912</v>
      </c>
      <c r="J14534" t="s">
        <v>76</v>
      </c>
      <c r="K14534" t="s">
        <v>77</v>
      </c>
    </row>
    <row r="14535" spans="1:12" x14ac:dyDescent="0.3">
      <c r="A14535" t="s">
        <v>497</v>
      </c>
      <c r="B14535" t="s">
        <v>83</v>
      </c>
      <c r="C14535">
        <v>246</v>
      </c>
      <c r="D14535" t="s">
        <v>94</v>
      </c>
      <c r="E14535">
        <v>7.6670000000000002E-2</v>
      </c>
      <c r="F14535" t="s">
        <v>74</v>
      </c>
      <c r="G14535">
        <v>76.670460000000006</v>
      </c>
      <c r="H14535" t="s">
        <v>75</v>
      </c>
      <c r="I14535">
        <v>76670.460999999996</v>
      </c>
      <c r="J14535" t="s">
        <v>76</v>
      </c>
      <c r="K14535" t="s">
        <v>77</v>
      </c>
    </row>
    <row r="14536" spans="1:12" x14ac:dyDescent="0.3">
      <c r="A14536" t="s">
        <v>497</v>
      </c>
      <c r="B14536" t="s">
        <v>83</v>
      </c>
      <c r="C14536">
        <v>246</v>
      </c>
      <c r="D14536" t="s">
        <v>80</v>
      </c>
      <c r="E14536">
        <v>7.7522999999999995E-2</v>
      </c>
      <c r="F14536" t="s">
        <v>74</v>
      </c>
      <c r="G14536">
        <v>77.523430000000005</v>
      </c>
      <c r="H14536" t="s">
        <v>75</v>
      </c>
      <c r="I14536">
        <v>77523.425000000003</v>
      </c>
      <c r="J14536" t="s">
        <v>76</v>
      </c>
      <c r="K14536" t="s">
        <v>77</v>
      </c>
    </row>
    <row r="14537" spans="1:12" x14ac:dyDescent="0.3">
      <c r="A14537" t="s">
        <v>497</v>
      </c>
      <c r="B14537" t="s">
        <v>83</v>
      </c>
      <c r="C14537">
        <v>246</v>
      </c>
      <c r="D14537" t="s">
        <v>81</v>
      </c>
      <c r="E14537">
        <v>7.9066999999999998E-2</v>
      </c>
      <c r="F14537" t="s">
        <v>74</v>
      </c>
      <c r="G14537">
        <v>79.067009999999996</v>
      </c>
      <c r="H14537" t="s">
        <v>75</v>
      </c>
      <c r="I14537">
        <v>79067.005000000005</v>
      </c>
      <c r="J14537" t="s">
        <v>76</v>
      </c>
      <c r="K14537" t="s">
        <v>82</v>
      </c>
      <c r="L14537">
        <v>12.647500600000001</v>
      </c>
    </row>
    <row r="14538" spans="1:12" x14ac:dyDescent="0.3">
      <c r="A14538" t="s">
        <v>497</v>
      </c>
      <c r="B14538" t="s">
        <v>84</v>
      </c>
      <c r="C14538">
        <v>247</v>
      </c>
      <c r="D14538" t="s">
        <v>79</v>
      </c>
      <c r="E14538">
        <v>1.6119999999999999E-3</v>
      </c>
      <c r="F14538" t="s">
        <v>74</v>
      </c>
      <c r="G14538">
        <v>1.6118300000000001</v>
      </c>
      <c r="H14538" t="s">
        <v>75</v>
      </c>
      <c r="I14538">
        <v>1611.83</v>
      </c>
      <c r="J14538" t="s">
        <v>76</v>
      </c>
      <c r="K14538" t="s">
        <v>77</v>
      </c>
    </row>
    <row r="14539" spans="1:12" x14ac:dyDescent="0.3">
      <c r="A14539" t="s">
        <v>497</v>
      </c>
      <c r="B14539" t="s">
        <v>84</v>
      </c>
      <c r="C14539">
        <v>247</v>
      </c>
      <c r="D14539" t="s">
        <v>94</v>
      </c>
      <c r="E14539">
        <v>7.6746999999999996E-2</v>
      </c>
      <c r="F14539" t="s">
        <v>74</v>
      </c>
      <c r="G14539">
        <v>76.746600000000001</v>
      </c>
      <c r="H14539" t="s">
        <v>75</v>
      </c>
      <c r="I14539">
        <v>76746.604999999996</v>
      </c>
      <c r="J14539" t="s">
        <v>76</v>
      </c>
      <c r="K14539" t="s">
        <v>77</v>
      </c>
    </row>
    <row r="14540" spans="1:12" x14ac:dyDescent="0.3">
      <c r="A14540" t="s">
        <v>497</v>
      </c>
      <c r="B14540" t="s">
        <v>84</v>
      </c>
      <c r="C14540">
        <v>247</v>
      </c>
      <c r="D14540" t="s">
        <v>80</v>
      </c>
      <c r="E14540">
        <v>7.7595999999999998E-2</v>
      </c>
      <c r="F14540" t="s">
        <v>74</v>
      </c>
      <c r="G14540">
        <v>77.596109999999996</v>
      </c>
      <c r="H14540" t="s">
        <v>75</v>
      </c>
      <c r="I14540">
        <v>77596.107999999993</v>
      </c>
      <c r="J14540" t="s">
        <v>76</v>
      </c>
      <c r="K14540" t="s">
        <v>77</v>
      </c>
    </row>
    <row r="14541" spans="1:12" x14ac:dyDescent="0.3">
      <c r="A14541" t="s">
        <v>497</v>
      </c>
      <c r="B14541" t="s">
        <v>84</v>
      </c>
      <c r="C14541">
        <v>247</v>
      </c>
      <c r="D14541" t="s">
        <v>81</v>
      </c>
      <c r="E14541">
        <v>7.9210000000000003E-2</v>
      </c>
      <c r="F14541" t="s">
        <v>74</v>
      </c>
      <c r="G14541">
        <v>79.209620000000001</v>
      </c>
      <c r="H14541" t="s">
        <v>75</v>
      </c>
      <c r="I14541">
        <v>79209.616999999998</v>
      </c>
      <c r="J14541" t="s">
        <v>76</v>
      </c>
      <c r="K14541" t="s">
        <v>82</v>
      </c>
      <c r="L14541">
        <v>12.6247296</v>
      </c>
    </row>
    <row r="14542" spans="1:12" x14ac:dyDescent="0.3">
      <c r="A14542" t="s">
        <v>498</v>
      </c>
      <c r="B14542" t="s">
        <v>72</v>
      </c>
      <c r="C14542">
        <v>1</v>
      </c>
      <c r="D14542" t="s">
        <v>73</v>
      </c>
      <c r="E14542">
        <v>8.1000000000000004E-5</v>
      </c>
      <c r="F14542" t="s">
        <v>74</v>
      </c>
      <c r="G14542">
        <v>8.0500000000000002E-2</v>
      </c>
      <c r="H14542" t="s">
        <v>75</v>
      </c>
      <c r="I14542">
        <v>80.5</v>
      </c>
      <c r="J14542" t="s">
        <v>76</v>
      </c>
      <c r="K14542" t="s">
        <v>77</v>
      </c>
    </row>
    <row r="14543" spans="1:12" x14ac:dyDescent="0.3">
      <c r="A14543" t="s">
        <v>498</v>
      </c>
      <c r="B14543" t="s">
        <v>72</v>
      </c>
      <c r="C14543">
        <v>1</v>
      </c>
      <c r="D14543" t="s">
        <v>78</v>
      </c>
      <c r="E14543">
        <v>1.057E-3</v>
      </c>
      <c r="F14543" t="s">
        <v>74</v>
      </c>
      <c r="G14543">
        <v>1.0569</v>
      </c>
      <c r="H14543" t="s">
        <v>75</v>
      </c>
      <c r="I14543">
        <v>1056.9000000000001</v>
      </c>
      <c r="J14543" t="s">
        <v>76</v>
      </c>
      <c r="K14543" t="s">
        <v>77</v>
      </c>
    </row>
    <row r="14544" spans="1:12" x14ac:dyDescent="0.3">
      <c r="A14544" t="s">
        <v>498</v>
      </c>
      <c r="B14544" t="s">
        <v>72</v>
      </c>
      <c r="C14544">
        <v>2</v>
      </c>
      <c r="D14544" t="s">
        <v>86</v>
      </c>
      <c r="E14544">
        <v>5.7148999999999998E-2</v>
      </c>
      <c r="F14544" t="s">
        <v>74</v>
      </c>
      <c r="G14544">
        <v>57.1492</v>
      </c>
      <c r="H14544" t="s">
        <v>75</v>
      </c>
      <c r="I14544">
        <v>57149.201999999997</v>
      </c>
      <c r="J14544" t="s">
        <v>76</v>
      </c>
      <c r="K14544" t="s">
        <v>82</v>
      </c>
      <c r="L14544">
        <v>17.498057200000002</v>
      </c>
    </row>
    <row r="14545" spans="1:12" x14ac:dyDescent="0.3">
      <c r="A14545" t="s">
        <v>498</v>
      </c>
      <c r="B14545" t="s">
        <v>83</v>
      </c>
      <c r="C14545">
        <v>999</v>
      </c>
      <c r="D14545" t="s">
        <v>86</v>
      </c>
      <c r="E14545">
        <v>1.9789000000000001E-2</v>
      </c>
      <c r="F14545" t="s">
        <v>74</v>
      </c>
      <c r="G14545">
        <v>19.788640000000001</v>
      </c>
      <c r="H14545" t="s">
        <v>75</v>
      </c>
      <c r="I14545">
        <v>19788.645</v>
      </c>
      <c r="J14545" t="s">
        <v>76</v>
      </c>
      <c r="K14545" t="s">
        <v>82</v>
      </c>
      <c r="L14545">
        <v>50.534031800000001</v>
      </c>
    </row>
    <row r="14546" spans="1:12" x14ac:dyDescent="0.3">
      <c r="A14546" t="s">
        <v>498</v>
      </c>
      <c r="B14546" t="s">
        <v>85</v>
      </c>
      <c r="C14546">
        <v>1001</v>
      </c>
      <c r="D14546" t="s">
        <v>86</v>
      </c>
      <c r="E14546">
        <v>1.9792000000000001E-2</v>
      </c>
      <c r="F14546" t="s">
        <v>74</v>
      </c>
      <c r="G14546">
        <v>19.792079999999999</v>
      </c>
      <c r="H14546" t="s">
        <v>75</v>
      </c>
      <c r="I14546">
        <v>19792.080000000002</v>
      </c>
      <c r="J14546" t="s">
        <v>76</v>
      </c>
      <c r="K14546" t="s">
        <v>82</v>
      </c>
      <c r="L14546">
        <v>50.525259599999998</v>
      </c>
    </row>
    <row r="14547" spans="1:12" x14ac:dyDescent="0.3">
      <c r="A14547" t="s">
        <v>115</v>
      </c>
    </row>
    <row r="14548" spans="1:12" x14ac:dyDescent="0.3">
      <c r="A14548" t="s">
        <v>127</v>
      </c>
    </row>
    <row r="14549" spans="1:12" x14ac:dyDescent="0.3">
      <c r="A14549" t="s">
        <v>87</v>
      </c>
    </row>
    <row r="14550" spans="1:12" x14ac:dyDescent="0.3">
      <c r="A14550" t="s">
        <v>518</v>
      </c>
    </row>
    <row r="14551" spans="1:12" x14ac:dyDescent="0.3">
      <c r="A14551" t="s">
        <v>496</v>
      </c>
      <c r="B14551" t="s">
        <v>72</v>
      </c>
      <c r="C14551">
        <v>1</v>
      </c>
      <c r="D14551" t="s">
        <v>81</v>
      </c>
      <c r="E14551">
        <v>0.49360199999999999</v>
      </c>
      <c r="F14551" t="s">
        <v>74</v>
      </c>
      <c r="G14551">
        <v>493.60210000000001</v>
      </c>
      <c r="H14551" t="s">
        <v>75</v>
      </c>
      <c r="I14551">
        <v>493602.09700000001</v>
      </c>
      <c r="J14551" t="s">
        <v>76</v>
      </c>
      <c r="K14551" t="s">
        <v>82</v>
      </c>
      <c r="L14551">
        <v>2.0259233000000001</v>
      </c>
    </row>
    <row r="14552" spans="1:12" x14ac:dyDescent="0.3">
      <c r="A14552" t="s">
        <v>496</v>
      </c>
      <c r="B14552" t="s">
        <v>83</v>
      </c>
      <c r="C14552">
        <v>620</v>
      </c>
      <c r="D14552" t="s">
        <v>81</v>
      </c>
      <c r="E14552">
        <v>1.5845000000000001E-2</v>
      </c>
      <c r="F14552" t="s">
        <v>74</v>
      </c>
      <c r="G14552">
        <v>15.84484</v>
      </c>
      <c r="H14552" t="s">
        <v>75</v>
      </c>
      <c r="I14552">
        <v>15844.839</v>
      </c>
      <c r="J14552" t="s">
        <v>76</v>
      </c>
      <c r="K14552" t="s">
        <v>82</v>
      </c>
      <c r="L14552">
        <v>63.112033500000003</v>
      </c>
    </row>
    <row r="14553" spans="1:12" x14ac:dyDescent="0.3">
      <c r="A14553" t="s">
        <v>496</v>
      </c>
      <c r="B14553" t="s">
        <v>84</v>
      </c>
      <c r="C14553">
        <v>621</v>
      </c>
      <c r="D14553" t="s">
        <v>81</v>
      </c>
      <c r="E14553">
        <v>1.6614E-2</v>
      </c>
      <c r="F14553" t="s">
        <v>74</v>
      </c>
      <c r="G14553">
        <v>16.614170000000001</v>
      </c>
      <c r="H14553" t="s">
        <v>75</v>
      </c>
      <c r="I14553">
        <v>16614.169000000002</v>
      </c>
      <c r="J14553" t="s">
        <v>76</v>
      </c>
      <c r="K14553" t="s">
        <v>82</v>
      </c>
      <c r="L14553">
        <v>60.189588299999997</v>
      </c>
    </row>
    <row r="14554" spans="1:12" x14ac:dyDescent="0.3">
      <c r="A14554" t="s">
        <v>497</v>
      </c>
      <c r="B14554" t="s">
        <v>72</v>
      </c>
      <c r="C14554">
        <v>1</v>
      </c>
      <c r="D14554" t="s">
        <v>81</v>
      </c>
      <c r="E14554">
        <v>0.192187</v>
      </c>
      <c r="F14554" t="s">
        <v>74</v>
      </c>
      <c r="G14554">
        <v>192.18700000000001</v>
      </c>
      <c r="H14554" t="s">
        <v>75</v>
      </c>
      <c r="I14554">
        <v>192186.99600000001</v>
      </c>
      <c r="J14554" t="s">
        <v>76</v>
      </c>
      <c r="K14554" t="s">
        <v>82</v>
      </c>
      <c r="L14554">
        <v>5.2032657000000002</v>
      </c>
    </row>
    <row r="14555" spans="1:12" x14ac:dyDescent="0.3">
      <c r="A14555" t="s">
        <v>497</v>
      </c>
      <c r="B14555" t="s">
        <v>83</v>
      </c>
      <c r="C14555">
        <v>379</v>
      </c>
      <c r="D14555" t="s">
        <v>81</v>
      </c>
      <c r="E14555">
        <v>2.6634999999999999E-2</v>
      </c>
      <c r="F14555" t="s">
        <v>74</v>
      </c>
      <c r="G14555">
        <v>26.634640000000001</v>
      </c>
      <c r="H14555" t="s">
        <v>75</v>
      </c>
      <c r="I14555">
        <v>26634.638999999999</v>
      </c>
      <c r="J14555" t="s">
        <v>76</v>
      </c>
      <c r="K14555" t="s">
        <v>82</v>
      </c>
      <c r="L14555">
        <v>37.545093000000001</v>
      </c>
    </row>
    <row r="14556" spans="1:12" x14ac:dyDescent="0.3">
      <c r="A14556" t="s">
        <v>497</v>
      </c>
      <c r="B14556" t="s">
        <v>84</v>
      </c>
      <c r="C14556">
        <v>380</v>
      </c>
      <c r="D14556" t="s">
        <v>81</v>
      </c>
      <c r="E14556">
        <v>2.707E-2</v>
      </c>
      <c r="F14556" t="s">
        <v>74</v>
      </c>
      <c r="G14556">
        <v>27.0703</v>
      </c>
      <c r="H14556" t="s">
        <v>75</v>
      </c>
      <c r="I14556">
        <v>27070.300999999999</v>
      </c>
      <c r="J14556" t="s">
        <v>76</v>
      </c>
      <c r="K14556" t="s">
        <v>82</v>
      </c>
      <c r="L14556">
        <v>36.940852</v>
      </c>
    </row>
    <row r="14557" spans="1:12" x14ac:dyDescent="0.3">
      <c r="A14557" t="s">
        <v>498</v>
      </c>
      <c r="B14557" t="s">
        <v>72</v>
      </c>
      <c r="C14557">
        <v>2</v>
      </c>
      <c r="D14557" t="s">
        <v>86</v>
      </c>
      <c r="E14557">
        <v>0.24682899999999999</v>
      </c>
      <c r="F14557" t="s">
        <v>74</v>
      </c>
      <c r="G14557">
        <v>246.8289</v>
      </c>
      <c r="H14557" t="s">
        <v>75</v>
      </c>
      <c r="I14557">
        <v>246828.899</v>
      </c>
      <c r="J14557" t="s">
        <v>76</v>
      </c>
      <c r="K14557" t="s">
        <v>82</v>
      </c>
      <c r="L14557">
        <v>4.0513895</v>
      </c>
    </row>
    <row r="14558" spans="1:12" x14ac:dyDescent="0.3">
      <c r="A14558" t="s">
        <v>498</v>
      </c>
      <c r="B14558" t="s">
        <v>83</v>
      </c>
      <c r="C14558">
        <v>999</v>
      </c>
      <c r="D14558" t="s">
        <v>86</v>
      </c>
      <c r="E14558">
        <v>1.0123E-2</v>
      </c>
      <c r="F14558" t="s">
        <v>74</v>
      </c>
      <c r="G14558">
        <v>10.122920000000001</v>
      </c>
      <c r="H14558" t="s">
        <v>75</v>
      </c>
      <c r="I14558">
        <v>10122.918</v>
      </c>
      <c r="J14558" t="s">
        <v>76</v>
      </c>
      <c r="K14558" t="s">
        <v>82</v>
      </c>
      <c r="L14558">
        <v>98.785747400000005</v>
      </c>
    </row>
    <row r="14559" spans="1:12" x14ac:dyDescent="0.3">
      <c r="A14559" t="s">
        <v>498</v>
      </c>
      <c r="B14559" t="s">
        <v>85</v>
      </c>
      <c r="C14559">
        <v>1001</v>
      </c>
      <c r="D14559" t="s">
        <v>86</v>
      </c>
      <c r="E14559">
        <v>1.0314E-2</v>
      </c>
      <c r="F14559" t="s">
        <v>74</v>
      </c>
      <c r="G14559">
        <v>10.314019999999999</v>
      </c>
      <c r="H14559" t="s">
        <v>75</v>
      </c>
      <c r="I14559">
        <v>10314.016</v>
      </c>
      <c r="J14559" t="s">
        <v>76</v>
      </c>
      <c r="K14559" t="s">
        <v>82</v>
      </c>
      <c r="L14559">
        <v>96.955440999999993</v>
      </c>
    </row>
    <row r="14561" spans="1:12" x14ac:dyDescent="0.3">
      <c r="A14561" t="s">
        <v>519</v>
      </c>
    </row>
    <row r="14562" spans="1:12" x14ac:dyDescent="0.3">
      <c r="A14562" t="s">
        <v>496</v>
      </c>
      <c r="B14562" t="s">
        <v>72</v>
      </c>
      <c r="C14562">
        <v>1</v>
      </c>
      <c r="D14562" t="s">
        <v>81</v>
      </c>
      <c r="E14562">
        <v>3.6109000000000002E-2</v>
      </c>
      <c r="F14562" t="s">
        <v>74</v>
      </c>
      <c r="G14562">
        <v>36.109000000000002</v>
      </c>
      <c r="H14562" t="s">
        <v>75</v>
      </c>
      <c r="I14562">
        <v>36109</v>
      </c>
      <c r="J14562" t="s">
        <v>76</v>
      </c>
      <c r="K14562" t="s">
        <v>82</v>
      </c>
      <c r="L14562">
        <v>27.693926399999999</v>
      </c>
    </row>
    <row r="14563" spans="1:12" x14ac:dyDescent="0.3">
      <c r="A14563" t="s">
        <v>496</v>
      </c>
      <c r="B14563" t="s">
        <v>83</v>
      </c>
      <c r="C14563">
        <v>753</v>
      </c>
      <c r="D14563" t="s">
        <v>81</v>
      </c>
      <c r="E14563">
        <v>2.6209E-2</v>
      </c>
      <c r="F14563" t="s">
        <v>74</v>
      </c>
      <c r="G14563">
        <v>26.209389999999999</v>
      </c>
      <c r="H14563" t="s">
        <v>75</v>
      </c>
      <c r="I14563">
        <v>26209.386999999999</v>
      </c>
      <c r="J14563" t="s">
        <v>76</v>
      </c>
      <c r="K14563" t="s">
        <v>82</v>
      </c>
      <c r="L14563">
        <v>38.154269399999997</v>
      </c>
    </row>
    <row r="14564" spans="1:12" x14ac:dyDescent="0.3">
      <c r="A14564" t="s">
        <v>496</v>
      </c>
      <c r="B14564" t="s">
        <v>84</v>
      </c>
      <c r="C14564">
        <v>754</v>
      </c>
      <c r="D14564" t="s">
        <v>81</v>
      </c>
      <c r="E14564">
        <v>2.6223E-2</v>
      </c>
      <c r="F14564" t="s">
        <v>74</v>
      </c>
      <c r="G14564">
        <v>26.222519999999999</v>
      </c>
      <c r="H14564" t="s">
        <v>75</v>
      </c>
      <c r="I14564">
        <v>26222.517</v>
      </c>
      <c r="J14564" t="s">
        <v>76</v>
      </c>
      <c r="K14564" t="s">
        <v>82</v>
      </c>
      <c r="L14564">
        <v>38.135164000000003</v>
      </c>
    </row>
    <row r="14565" spans="1:12" x14ac:dyDescent="0.3">
      <c r="A14565" t="s">
        <v>497</v>
      </c>
      <c r="B14565" t="s">
        <v>72</v>
      </c>
      <c r="C14565">
        <v>1</v>
      </c>
      <c r="D14565" t="s">
        <v>81</v>
      </c>
      <c r="E14565">
        <v>0.114291</v>
      </c>
      <c r="F14565" t="s">
        <v>74</v>
      </c>
      <c r="G14565">
        <v>114.29130000000001</v>
      </c>
      <c r="H14565" t="s">
        <v>75</v>
      </c>
      <c r="I14565">
        <v>114291.303</v>
      </c>
      <c r="J14565" t="s">
        <v>76</v>
      </c>
      <c r="K14565" t="s">
        <v>82</v>
      </c>
      <c r="L14565">
        <v>8.7495721</v>
      </c>
    </row>
    <row r="14566" spans="1:12" x14ac:dyDescent="0.3">
      <c r="A14566" t="s">
        <v>497</v>
      </c>
      <c r="B14566" t="s">
        <v>83</v>
      </c>
      <c r="C14566">
        <v>246</v>
      </c>
      <c r="D14566" t="s">
        <v>81</v>
      </c>
      <c r="E14566">
        <v>7.9066999999999998E-2</v>
      </c>
      <c r="F14566" t="s">
        <v>74</v>
      </c>
      <c r="G14566">
        <v>79.067009999999996</v>
      </c>
      <c r="H14566" t="s">
        <v>75</v>
      </c>
      <c r="I14566">
        <v>79067.005000000005</v>
      </c>
      <c r="J14566" t="s">
        <v>76</v>
      </c>
      <c r="K14566" t="s">
        <v>82</v>
      </c>
      <c r="L14566">
        <v>12.647500600000001</v>
      </c>
    </row>
    <row r="14567" spans="1:12" x14ac:dyDescent="0.3">
      <c r="A14567" t="s">
        <v>497</v>
      </c>
      <c r="B14567" t="s">
        <v>84</v>
      </c>
      <c r="C14567">
        <v>247</v>
      </c>
      <c r="D14567" t="s">
        <v>81</v>
      </c>
      <c r="E14567">
        <v>7.9210000000000003E-2</v>
      </c>
      <c r="F14567" t="s">
        <v>74</v>
      </c>
      <c r="G14567">
        <v>79.209620000000001</v>
      </c>
      <c r="H14567" t="s">
        <v>75</v>
      </c>
      <c r="I14567">
        <v>79209.616999999998</v>
      </c>
      <c r="J14567" t="s">
        <v>76</v>
      </c>
      <c r="K14567" t="s">
        <v>82</v>
      </c>
      <c r="L14567">
        <v>12.6247296</v>
      </c>
    </row>
    <row r="14568" spans="1:12" x14ac:dyDescent="0.3">
      <c r="A14568" t="s">
        <v>498</v>
      </c>
      <c r="B14568" t="s">
        <v>72</v>
      </c>
      <c r="C14568">
        <v>2</v>
      </c>
      <c r="D14568" t="s">
        <v>86</v>
      </c>
      <c r="E14568">
        <v>5.7148999999999998E-2</v>
      </c>
      <c r="F14568" t="s">
        <v>74</v>
      </c>
      <c r="G14568">
        <v>57.1492</v>
      </c>
      <c r="H14568" t="s">
        <v>75</v>
      </c>
      <c r="I14568">
        <v>57149.201999999997</v>
      </c>
      <c r="J14568" t="s">
        <v>76</v>
      </c>
      <c r="K14568" t="s">
        <v>82</v>
      </c>
      <c r="L14568">
        <v>17.498057200000002</v>
      </c>
    </row>
    <row r="14569" spans="1:12" x14ac:dyDescent="0.3">
      <c r="A14569" t="s">
        <v>498</v>
      </c>
      <c r="B14569" t="s">
        <v>83</v>
      </c>
      <c r="C14569">
        <v>999</v>
      </c>
      <c r="D14569" t="s">
        <v>86</v>
      </c>
      <c r="E14569">
        <v>1.9789000000000001E-2</v>
      </c>
      <c r="F14569" t="s">
        <v>74</v>
      </c>
      <c r="G14569">
        <v>19.788640000000001</v>
      </c>
      <c r="H14569" t="s">
        <v>75</v>
      </c>
      <c r="I14569">
        <v>19788.645</v>
      </c>
      <c r="J14569" t="s">
        <v>76</v>
      </c>
      <c r="K14569" t="s">
        <v>82</v>
      </c>
      <c r="L14569">
        <v>50.534031800000001</v>
      </c>
    </row>
    <row r="14570" spans="1:12" x14ac:dyDescent="0.3">
      <c r="A14570" t="s">
        <v>498</v>
      </c>
      <c r="B14570" t="s">
        <v>85</v>
      </c>
      <c r="C14570">
        <v>1001</v>
      </c>
      <c r="D14570" t="s">
        <v>86</v>
      </c>
      <c r="E14570">
        <v>1.9792000000000001E-2</v>
      </c>
      <c r="F14570" t="s">
        <v>74</v>
      </c>
      <c r="G14570">
        <v>19.792079999999999</v>
      </c>
      <c r="H14570" t="s">
        <v>75</v>
      </c>
      <c r="I14570">
        <v>19792.080000000002</v>
      </c>
      <c r="J14570" t="s">
        <v>76</v>
      </c>
      <c r="K14570" t="s">
        <v>82</v>
      </c>
      <c r="L14570">
        <v>50.525259599999998</v>
      </c>
    </row>
    <row r="14572" spans="1:12" x14ac:dyDescent="0.3">
      <c r="A14572" t="s">
        <v>66</v>
      </c>
    </row>
    <row r="14574" spans="1:12" x14ac:dyDescent="0.3">
      <c r="A14574" t="s">
        <v>584</v>
      </c>
    </row>
    <row r="14575" spans="1:12" x14ac:dyDescent="0.3">
      <c r="A14575" t="s">
        <v>68</v>
      </c>
    </row>
    <row r="14576" spans="1:12" x14ac:dyDescent="0.3">
      <c r="A14576" t="s">
        <v>69</v>
      </c>
    </row>
    <row r="14577" spans="1:1" x14ac:dyDescent="0.3">
      <c r="A14577" t="s">
        <v>68</v>
      </c>
    </row>
    <row r="14578" spans="1:1" x14ac:dyDescent="0.3">
      <c r="A14578" t="s">
        <v>69</v>
      </c>
    </row>
    <row r="14579" spans="1:1" x14ac:dyDescent="0.3">
      <c r="A14579" t="s">
        <v>70</v>
      </c>
    </row>
    <row r="14580" spans="1:1" x14ac:dyDescent="0.3">
      <c r="A14580" t="s">
        <v>115</v>
      </c>
    </row>
    <row r="14581" spans="1:1" x14ac:dyDescent="0.3">
      <c r="A14581" t="s">
        <v>116</v>
      </c>
    </row>
    <row r="14582" spans="1:1" x14ac:dyDescent="0.3">
      <c r="A14582" t="s">
        <v>117</v>
      </c>
    </row>
    <row r="14583" spans="1:1" x14ac:dyDescent="0.3">
      <c r="A14583" t="s">
        <v>118</v>
      </c>
    </row>
    <row r="14584" spans="1:1" x14ac:dyDescent="0.3">
      <c r="A14584" t="s">
        <v>119</v>
      </c>
    </row>
    <row r="14585" spans="1:1" x14ac:dyDescent="0.3">
      <c r="A14585" t="s">
        <v>120</v>
      </c>
    </row>
    <row r="14586" spans="1:1" x14ac:dyDescent="0.3">
      <c r="A14586" t="s">
        <v>121</v>
      </c>
    </row>
    <row r="14587" spans="1:1" x14ac:dyDescent="0.3">
      <c r="A14587" t="s">
        <v>122</v>
      </c>
    </row>
    <row r="14588" spans="1:1" x14ac:dyDescent="0.3">
      <c r="A14588" t="s">
        <v>123</v>
      </c>
    </row>
    <row r="14589" spans="1:1" x14ac:dyDescent="0.3">
      <c r="A14589" t="s">
        <v>124</v>
      </c>
    </row>
    <row r="14590" spans="1:1" x14ac:dyDescent="0.3">
      <c r="A14590" t="s">
        <v>125</v>
      </c>
    </row>
    <row r="14591" spans="1:1" x14ac:dyDescent="0.3">
      <c r="A14591" t="s">
        <v>126</v>
      </c>
    </row>
    <row r="14592" spans="1:1" x14ac:dyDescent="0.3">
      <c r="A14592" t="s">
        <v>127</v>
      </c>
    </row>
    <row r="14593" spans="1:1" x14ac:dyDescent="0.3">
      <c r="A14593" t="s">
        <v>160</v>
      </c>
    </row>
    <row r="14594" spans="1:1" x14ac:dyDescent="0.3">
      <c r="A14594" t="s">
        <v>115</v>
      </c>
    </row>
    <row r="14595" spans="1:1" x14ac:dyDescent="0.3">
      <c r="A14595" t="s">
        <v>266</v>
      </c>
    </row>
    <row r="14596" spans="1:1" x14ac:dyDescent="0.3">
      <c r="A14596" t="s">
        <v>267</v>
      </c>
    </row>
    <row r="14597" spans="1:1" x14ac:dyDescent="0.3">
      <c r="A14597" t="s">
        <v>118</v>
      </c>
    </row>
    <row r="14598" spans="1:1" x14ac:dyDescent="0.3">
      <c r="A14598" t="s">
        <v>119</v>
      </c>
    </row>
    <row r="14599" spans="1:1" x14ac:dyDescent="0.3">
      <c r="A14599" t="s">
        <v>268</v>
      </c>
    </row>
    <row r="14600" spans="1:1" x14ac:dyDescent="0.3">
      <c r="A14600" t="s">
        <v>269</v>
      </c>
    </row>
    <row r="14601" spans="1:1" x14ac:dyDescent="0.3">
      <c r="A14601" t="s">
        <v>122</v>
      </c>
    </row>
    <row r="14602" spans="1:1" x14ac:dyDescent="0.3">
      <c r="A14602" t="s">
        <v>270</v>
      </c>
    </row>
    <row r="14603" spans="1:1" x14ac:dyDescent="0.3">
      <c r="A14603" t="s">
        <v>271</v>
      </c>
    </row>
    <row r="14604" spans="1:1" x14ac:dyDescent="0.3">
      <c r="A14604" t="s">
        <v>125</v>
      </c>
    </row>
    <row r="14605" spans="1:1" x14ac:dyDescent="0.3">
      <c r="A14605" t="s">
        <v>126</v>
      </c>
    </row>
    <row r="14606" spans="1:1" x14ac:dyDescent="0.3">
      <c r="A14606" t="s">
        <v>127</v>
      </c>
    </row>
    <row r="14607" spans="1:1" x14ac:dyDescent="0.3">
      <c r="A14607" t="s">
        <v>160</v>
      </c>
    </row>
    <row r="14608" spans="1:1" x14ac:dyDescent="0.3">
      <c r="A14608" t="s">
        <v>521</v>
      </c>
    </row>
    <row r="14609" spans="1:12" x14ac:dyDescent="0.3">
      <c r="A14609" t="s">
        <v>496</v>
      </c>
      <c r="B14609" t="s">
        <v>72</v>
      </c>
      <c r="C14609">
        <v>1</v>
      </c>
      <c r="D14609" t="s">
        <v>79</v>
      </c>
      <c r="E14609">
        <v>0.30241200000000001</v>
      </c>
      <c r="F14609" t="s">
        <v>74</v>
      </c>
      <c r="G14609">
        <v>302.41171000000003</v>
      </c>
      <c r="H14609" t="s">
        <v>75</v>
      </c>
      <c r="I14609">
        <v>302411.70500000002</v>
      </c>
      <c r="J14609" t="s">
        <v>76</v>
      </c>
      <c r="K14609" t="s">
        <v>77</v>
      </c>
    </row>
    <row r="14610" spans="1:12" x14ac:dyDescent="0.3">
      <c r="A14610" t="s">
        <v>496</v>
      </c>
      <c r="B14610" t="s">
        <v>72</v>
      </c>
      <c r="C14610">
        <v>1</v>
      </c>
      <c r="D14610" t="s">
        <v>94</v>
      </c>
      <c r="E14610">
        <v>0.21027699999999999</v>
      </c>
      <c r="F14610" t="s">
        <v>74</v>
      </c>
      <c r="G14610">
        <v>210.27739</v>
      </c>
      <c r="H14610" t="s">
        <v>75</v>
      </c>
      <c r="I14610">
        <v>210277.39300000001</v>
      </c>
      <c r="J14610" t="s">
        <v>76</v>
      </c>
      <c r="K14610" t="s">
        <v>77</v>
      </c>
    </row>
    <row r="14611" spans="1:12" x14ac:dyDescent="0.3">
      <c r="A14611" t="s">
        <v>496</v>
      </c>
      <c r="B14611" t="s">
        <v>72</v>
      </c>
      <c r="C14611">
        <v>1</v>
      </c>
      <c r="D14611" t="s">
        <v>80</v>
      </c>
      <c r="E14611">
        <v>0.21027899999999999</v>
      </c>
      <c r="F14611" t="s">
        <v>74</v>
      </c>
      <c r="G14611">
        <v>210.27860000000001</v>
      </c>
      <c r="H14611" t="s">
        <v>75</v>
      </c>
      <c r="I14611">
        <v>210278.6</v>
      </c>
      <c r="J14611" t="s">
        <v>76</v>
      </c>
      <c r="K14611" t="s">
        <v>77</v>
      </c>
    </row>
    <row r="14612" spans="1:12" x14ac:dyDescent="0.3">
      <c r="A14612" t="s">
        <v>496</v>
      </c>
      <c r="B14612" t="s">
        <v>72</v>
      </c>
      <c r="C14612">
        <v>1</v>
      </c>
      <c r="D14612" t="s">
        <v>81</v>
      </c>
      <c r="E14612">
        <v>0.51269100000000001</v>
      </c>
      <c r="F14612" t="s">
        <v>74</v>
      </c>
      <c r="G14612">
        <v>512.69090000000006</v>
      </c>
      <c r="H14612" t="s">
        <v>75</v>
      </c>
      <c r="I14612">
        <v>512690.902</v>
      </c>
      <c r="J14612" t="s">
        <v>76</v>
      </c>
      <c r="K14612" t="s">
        <v>82</v>
      </c>
      <c r="L14612">
        <v>1.950493</v>
      </c>
    </row>
    <row r="14613" spans="1:12" x14ac:dyDescent="0.3">
      <c r="A14613" t="s">
        <v>496</v>
      </c>
      <c r="B14613" t="s">
        <v>83</v>
      </c>
      <c r="C14613">
        <v>642</v>
      </c>
      <c r="D14613" t="s">
        <v>79</v>
      </c>
      <c r="E14613">
        <v>6.2399999999999999E-4</v>
      </c>
      <c r="F14613" t="s">
        <v>74</v>
      </c>
      <c r="G14613">
        <v>0.62443000000000004</v>
      </c>
      <c r="H14613" t="s">
        <v>75</v>
      </c>
      <c r="I14613">
        <v>624.42899999999997</v>
      </c>
      <c r="J14613" t="s">
        <v>76</v>
      </c>
      <c r="K14613" t="s">
        <v>77</v>
      </c>
    </row>
    <row r="14614" spans="1:12" x14ac:dyDescent="0.3">
      <c r="A14614" t="s">
        <v>496</v>
      </c>
      <c r="B14614" t="s">
        <v>83</v>
      </c>
      <c r="C14614">
        <v>642</v>
      </c>
      <c r="D14614" t="s">
        <v>94</v>
      </c>
      <c r="E14614">
        <v>1.6027E-2</v>
      </c>
      <c r="F14614" t="s">
        <v>74</v>
      </c>
      <c r="G14614">
        <v>16.02713</v>
      </c>
      <c r="H14614" t="s">
        <v>75</v>
      </c>
      <c r="I14614">
        <v>16027.127</v>
      </c>
      <c r="J14614" t="s">
        <v>76</v>
      </c>
      <c r="K14614" t="s">
        <v>77</v>
      </c>
    </row>
    <row r="14615" spans="1:12" x14ac:dyDescent="0.3">
      <c r="A14615" t="s">
        <v>496</v>
      </c>
      <c r="B14615" t="s">
        <v>83</v>
      </c>
      <c r="C14615">
        <v>642</v>
      </c>
      <c r="D14615" t="s">
        <v>80</v>
      </c>
      <c r="E14615">
        <v>1.6028000000000001E-2</v>
      </c>
      <c r="F14615" t="s">
        <v>74</v>
      </c>
      <c r="G14615">
        <v>16.027909999999999</v>
      </c>
      <c r="H14615" t="s">
        <v>75</v>
      </c>
      <c r="I14615">
        <v>16027.911</v>
      </c>
      <c r="J14615" t="s">
        <v>76</v>
      </c>
      <c r="K14615" t="s">
        <v>77</v>
      </c>
    </row>
    <row r="14616" spans="1:12" x14ac:dyDescent="0.3">
      <c r="A14616" t="s">
        <v>496</v>
      </c>
      <c r="B14616" t="s">
        <v>83</v>
      </c>
      <c r="C14616">
        <v>642</v>
      </c>
      <c r="D14616" t="s">
        <v>81</v>
      </c>
      <c r="E14616">
        <v>1.6653000000000001E-2</v>
      </c>
      <c r="F14616" t="s">
        <v>74</v>
      </c>
      <c r="G14616">
        <v>16.652650000000001</v>
      </c>
      <c r="H14616" t="s">
        <v>75</v>
      </c>
      <c r="I14616">
        <v>16652.649000000001</v>
      </c>
      <c r="J14616" t="s">
        <v>76</v>
      </c>
      <c r="K14616" t="s">
        <v>82</v>
      </c>
      <c r="L14616">
        <v>60.050504500000002</v>
      </c>
    </row>
    <row r="14617" spans="1:12" x14ac:dyDescent="0.3">
      <c r="A14617" t="s">
        <v>496</v>
      </c>
      <c r="B14617" t="s">
        <v>84</v>
      </c>
      <c r="C14617">
        <v>643</v>
      </c>
      <c r="D14617" t="s">
        <v>79</v>
      </c>
      <c r="E14617">
        <v>1.0939999999999999E-3</v>
      </c>
      <c r="F14617" t="s">
        <v>74</v>
      </c>
      <c r="G14617">
        <v>1.0937699999999999</v>
      </c>
      <c r="H14617" t="s">
        <v>75</v>
      </c>
      <c r="I14617">
        <v>1093.77</v>
      </c>
      <c r="J14617" t="s">
        <v>76</v>
      </c>
      <c r="K14617" t="s">
        <v>77</v>
      </c>
    </row>
    <row r="14618" spans="1:12" x14ac:dyDescent="0.3">
      <c r="A14618" t="s">
        <v>496</v>
      </c>
      <c r="B14618" t="s">
        <v>84</v>
      </c>
      <c r="C14618">
        <v>643</v>
      </c>
      <c r="D14618" t="s">
        <v>94</v>
      </c>
      <c r="E14618">
        <v>1.6329E-2</v>
      </c>
      <c r="F14618" t="s">
        <v>74</v>
      </c>
      <c r="G14618">
        <v>16.329229999999999</v>
      </c>
      <c r="H14618" t="s">
        <v>75</v>
      </c>
      <c r="I14618">
        <v>16329.227999999999</v>
      </c>
      <c r="J14618" t="s">
        <v>76</v>
      </c>
      <c r="K14618" t="s">
        <v>77</v>
      </c>
    </row>
    <row r="14619" spans="1:12" x14ac:dyDescent="0.3">
      <c r="A14619" t="s">
        <v>496</v>
      </c>
      <c r="B14619" t="s">
        <v>84</v>
      </c>
      <c r="C14619">
        <v>643</v>
      </c>
      <c r="D14619" t="s">
        <v>80</v>
      </c>
      <c r="E14619">
        <v>1.6330000000000001E-2</v>
      </c>
      <c r="F14619" t="s">
        <v>74</v>
      </c>
      <c r="G14619">
        <v>16.330010000000001</v>
      </c>
      <c r="H14619" t="s">
        <v>75</v>
      </c>
      <c r="I14619">
        <v>16330.009</v>
      </c>
      <c r="J14619" t="s">
        <v>76</v>
      </c>
      <c r="K14619" t="s">
        <v>77</v>
      </c>
    </row>
    <row r="14620" spans="1:12" x14ac:dyDescent="0.3">
      <c r="A14620" t="s">
        <v>496</v>
      </c>
      <c r="B14620" t="s">
        <v>84</v>
      </c>
      <c r="C14620">
        <v>643</v>
      </c>
      <c r="D14620" t="s">
        <v>81</v>
      </c>
      <c r="E14620">
        <v>1.7423999999999999E-2</v>
      </c>
      <c r="F14620" t="s">
        <v>74</v>
      </c>
      <c r="G14620">
        <v>17.42409</v>
      </c>
      <c r="H14620" t="s">
        <v>75</v>
      </c>
      <c r="I14620">
        <v>17424.088</v>
      </c>
      <c r="J14620" t="s">
        <v>76</v>
      </c>
      <c r="K14620" t="s">
        <v>82</v>
      </c>
      <c r="L14620">
        <v>57.391812799999997</v>
      </c>
    </row>
    <row r="14621" spans="1:12" x14ac:dyDescent="0.3">
      <c r="A14621" t="s">
        <v>497</v>
      </c>
      <c r="B14621" t="s">
        <v>72</v>
      </c>
      <c r="C14621">
        <v>1</v>
      </c>
      <c r="D14621" t="s">
        <v>79</v>
      </c>
      <c r="E14621">
        <v>0.13078100000000001</v>
      </c>
      <c r="F14621" t="s">
        <v>74</v>
      </c>
      <c r="G14621">
        <v>130.78110000000001</v>
      </c>
      <c r="H14621" t="s">
        <v>75</v>
      </c>
      <c r="I14621">
        <v>130781.099</v>
      </c>
      <c r="J14621" t="s">
        <v>76</v>
      </c>
      <c r="K14621" t="s">
        <v>77</v>
      </c>
    </row>
    <row r="14622" spans="1:12" x14ac:dyDescent="0.3">
      <c r="A14622" t="s">
        <v>497</v>
      </c>
      <c r="B14622" t="s">
        <v>72</v>
      </c>
      <c r="C14622">
        <v>1</v>
      </c>
      <c r="D14622" t="s">
        <v>94</v>
      </c>
      <c r="E14622">
        <v>0.108904</v>
      </c>
      <c r="F14622" t="s">
        <v>74</v>
      </c>
      <c r="G14622">
        <v>108.9041</v>
      </c>
      <c r="H14622" t="s">
        <v>75</v>
      </c>
      <c r="I14622">
        <v>108904.101</v>
      </c>
      <c r="J14622" t="s">
        <v>76</v>
      </c>
      <c r="K14622" t="s">
        <v>77</v>
      </c>
    </row>
    <row r="14623" spans="1:12" x14ac:dyDescent="0.3">
      <c r="A14623" t="s">
        <v>497</v>
      </c>
      <c r="B14623" t="s">
        <v>72</v>
      </c>
      <c r="C14623">
        <v>1</v>
      </c>
      <c r="D14623" t="s">
        <v>80</v>
      </c>
      <c r="E14623">
        <v>0.108907</v>
      </c>
      <c r="F14623" t="s">
        <v>74</v>
      </c>
      <c r="G14623">
        <v>108.9072</v>
      </c>
      <c r="H14623" t="s">
        <v>75</v>
      </c>
      <c r="I14623">
        <v>108907.2</v>
      </c>
      <c r="J14623" t="s">
        <v>76</v>
      </c>
      <c r="K14623" t="s">
        <v>77</v>
      </c>
    </row>
    <row r="14624" spans="1:12" x14ac:dyDescent="0.3">
      <c r="A14624" t="s">
        <v>497</v>
      </c>
      <c r="B14624" t="s">
        <v>72</v>
      </c>
      <c r="C14624">
        <v>1</v>
      </c>
      <c r="D14624" t="s">
        <v>81</v>
      </c>
      <c r="E14624">
        <v>0.23968900000000001</v>
      </c>
      <c r="F14624" t="s">
        <v>74</v>
      </c>
      <c r="G14624">
        <v>239.68901</v>
      </c>
      <c r="H14624" t="s">
        <v>75</v>
      </c>
      <c r="I14624">
        <v>239689.00700000001</v>
      </c>
      <c r="J14624" t="s">
        <v>76</v>
      </c>
      <c r="K14624" t="s">
        <v>82</v>
      </c>
      <c r="L14624">
        <v>4.1720727999999996</v>
      </c>
    </row>
    <row r="14625" spans="1:12" x14ac:dyDescent="0.3">
      <c r="A14625" t="s">
        <v>497</v>
      </c>
      <c r="B14625" t="s">
        <v>83</v>
      </c>
      <c r="C14625">
        <v>357</v>
      </c>
      <c r="D14625" t="s">
        <v>79</v>
      </c>
      <c r="E14625">
        <v>6.0800000000000003E-4</v>
      </c>
      <c r="F14625" t="s">
        <v>74</v>
      </c>
      <c r="G14625">
        <v>0.60758999999999996</v>
      </c>
      <c r="H14625" t="s">
        <v>75</v>
      </c>
      <c r="I14625">
        <v>607.59</v>
      </c>
      <c r="J14625" t="s">
        <v>76</v>
      </c>
      <c r="K14625" t="s">
        <v>77</v>
      </c>
    </row>
    <row r="14626" spans="1:12" x14ac:dyDescent="0.3">
      <c r="A14626" t="s">
        <v>497</v>
      </c>
      <c r="B14626" t="s">
        <v>83</v>
      </c>
      <c r="C14626">
        <v>357</v>
      </c>
      <c r="D14626" t="s">
        <v>94</v>
      </c>
      <c r="E14626">
        <v>3.0099000000000001E-2</v>
      </c>
      <c r="F14626" t="s">
        <v>74</v>
      </c>
      <c r="G14626">
        <v>30.099489999999999</v>
      </c>
      <c r="H14626" t="s">
        <v>75</v>
      </c>
      <c r="I14626">
        <v>30099.494999999999</v>
      </c>
      <c r="J14626" t="s">
        <v>76</v>
      </c>
      <c r="K14626" t="s">
        <v>77</v>
      </c>
    </row>
    <row r="14627" spans="1:12" x14ac:dyDescent="0.3">
      <c r="A14627" t="s">
        <v>497</v>
      </c>
      <c r="B14627" t="s">
        <v>83</v>
      </c>
      <c r="C14627">
        <v>357</v>
      </c>
      <c r="D14627" t="s">
        <v>80</v>
      </c>
      <c r="E14627">
        <v>3.0100999999999999E-2</v>
      </c>
      <c r="F14627" t="s">
        <v>74</v>
      </c>
      <c r="G14627">
        <v>30.100539999999999</v>
      </c>
      <c r="H14627" t="s">
        <v>75</v>
      </c>
      <c r="I14627">
        <v>30100.544999999998</v>
      </c>
      <c r="J14627" t="s">
        <v>76</v>
      </c>
      <c r="K14627" t="s">
        <v>77</v>
      </c>
    </row>
    <row r="14628" spans="1:12" x14ac:dyDescent="0.3">
      <c r="A14628" t="s">
        <v>497</v>
      </c>
      <c r="B14628" t="s">
        <v>83</v>
      </c>
      <c r="C14628">
        <v>357</v>
      </c>
      <c r="D14628" t="s">
        <v>81</v>
      </c>
      <c r="E14628">
        <v>3.0707999999999999E-2</v>
      </c>
      <c r="F14628" t="s">
        <v>74</v>
      </c>
      <c r="G14628">
        <v>30.708379999999998</v>
      </c>
      <c r="H14628" t="s">
        <v>75</v>
      </c>
      <c r="I14628">
        <v>30708.382000000001</v>
      </c>
      <c r="J14628" t="s">
        <v>76</v>
      </c>
      <c r="K14628" t="s">
        <v>82</v>
      </c>
      <c r="L14628">
        <v>32.564398400000002</v>
      </c>
    </row>
    <row r="14629" spans="1:12" x14ac:dyDescent="0.3">
      <c r="A14629" t="s">
        <v>497</v>
      </c>
      <c r="B14629" t="s">
        <v>84</v>
      </c>
      <c r="C14629">
        <v>358</v>
      </c>
      <c r="D14629" t="s">
        <v>79</v>
      </c>
      <c r="E14629">
        <v>9.7099999999999997E-4</v>
      </c>
      <c r="F14629" t="s">
        <v>74</v>
      </c>
      <c r="G14629">
        <v>0.97119999999999995</v>
      </c>
      <c r="H14629" t="s">
        <v>75</v>
      </c>
      <c r="I14629">
        <v>971.20299999999997</v>
      </c>
      <c r="J14629" t="s">
        <v>76</v>
      </c>
      <c r="K14629" t="s">
        <v>77</v>
      </c>
    </row>
    <row r="14630" spans="1:12" x14ac:dyDescent="0.3">
      <c r="A14630" t="s">
        <v>497</v>
      </c>
      <c r="B14630" t="s">
        <v>84</v>
      </c>
      <c r="C14630">
        <v>358</v>
      </c>
      <c r="D14630" t="s">
        <v>94</v>
      </c>
      <c r="E14630">
        <v>3.032E-2</v>
      </c>
      <c r="F14630" t="s">
        <v>74</v>
      </c>
      <c r="G14630">
        <v>30.31962</v>
      </c>
      <c r="H14630" t="s">
        <v>75</v>
      </c>
      <c r="I14630">
        <v>30319.618999999999</v>
      </c>
      <c r="J14630" t="s">
        <v>76</v>
      </c>
      <c r="K14630" t="s">
        <v>77</v>
      </c>
    </row>
    <row r="14631" spans="1:12" x14ac:dyDescent="0.3">
      <c r="A14631" t="s">
        <v>497</v>
      </c>
      <c r="B14631" t="s">
        <v>84</v>
      </c>
      <c r="C14631">
        <v>358</v>
      </c>
      <c r="D14631" t="s">
        <v>80</v>
      </c>
      <c r="E14631">
        <v>3.0321000000000001E-2</v>
      </c>
      <c r="F14631" t="s">
        <v>74</v>
      </c>
      <c r="G14631">
        <v>30.32067</v>
      </c>
      <c r="H14631" t="s">
        <v>75</v>
      </c>
      <c r="I14631">
        <v>30320.673999999999</v>
      </c>
      <c r="J14631" t="s">
        <v>76</v>
      </c>
      <c r="K14631" t="s">
        <v>77</v>
      </c>
    </row>
    <row r="14632" spans="1:12" x14ac:dyDescent="0.3">
      <c r="A14632" t="s">
        <v>497</v>
      </c>
      <c r="B14632" t="s">
        <v>84</v>
      </c>
      <c r="C14632">
        <v>358</v>
      </c>
      <c r="D14632" t="s">
        <v>81</v>
      </c>
      <c r="E14632">
        <v>3.1292E-2</v>
      </c>
      <c r="F14632" t="s">
        <v>74</v>
      </c>
      <c r="G14632">
        <v>31.29213</v>
      </c>
      <c r="H14632" t="s">
        <v>75</v>
      </c>
      <c r="I14632">
        <v>31292.129000000001</v>
      </c>
      <c r="J14632" t="s">
        <v>76</v>
      </c>
      <c r="K14632" t="s">
        <v>82</v>
      </c>
      <c r="L14632">
        <v>31.956917499999999</v>
      </c>
    </row>
    <row r="14633" spans="1:12" x14ac:dyDescent="0.3">
      <c r="A14633" t="s">
        <v>498</v>
      </c>
      <c r="B14633" t="s">
        <v>72</v>
      </c>
      <c r="C14633">
        <v>1</v>
      </c>
      <c r="D14633" t="s">
        <v>73</v>
      </c>
      <c r="E14633">
        <v>5.8E-5</v>
      </c>
      <c r="F14633" t="s">
        <v>74</v>
      </c>
      <c r="G14633">
        <v>5.8099999999999999E-2</v>
      </c>
      <c r="H14633" t="s">
        <v>75</v>
      </c>
      <c r="I14633">
        <v>58.1</v>
      </c>
      <c r="J14633" t="s">
        <v>76</v>
      </c>
      <c r="K14633" t="s">
        <v>77</v>
      </c>
    </row>
    <row r="14634" spans="1:12" x14ac:dyDescent="0.3">
      <c r="A14634" t="s">
        <v>498</v>
      </c>
      <c r="B14634" t="s">
        <v>72</v>
      </c>
      <c r="C14634">
        <v>1</v>
      </c>
      <c r="D14634" t="s">
        <v>78</v>
      </c>
      <c r="E14634">
        <v>0.141042</v>
      </c>
      <c r="F14634" t="s">
        <v>74</v>
      </c>
      <c r="G14634">
        <v>141.04150000000001</v>
      </c>
      <c r="H14634" t="s">
        <v>75</v>
      </c>
      <c r="I14634">
        <v>141041.50200000001</v>
      </c>
      <c r="J14634" t="s">
        <v>76</v>
      </c>
      <c r="K14634" t="s">
        <v>77</v>
      </c>
    </row>
    <row r="14635" spans="1:12" x14ac:dyDescent="0.3">
      <c r="A14635" t="s">
        <v>498</v>
      </c>
      <c r="B14635" t="s">
        <v>72</v>
      </c>
      <c r="C14635">
        <v>2</v>
      </c>
      <c r="D14635" t="s">
        <v>86</v>
      </c>
      <c r="E14635">
        <v>0.25636500000000001</v>
      </c>
      <c r="F14635" t="s">
        <v>74</v>
      </c>
      <c r="G14635">
        <v>256.36529999999999</v>
      </c>
      <c r="H14635" t="s">
        <v>75</v>
      </c>
      <c r="I14635">
        <v>256365.299</v>
      </c>
      <c r="J14635" t="s">
        <v>76</v>
      </c>
      <c r="K14635" t="s">
        <v>82</v>
      </c>
      <c r="L14635">
        <v>3.9006839000000002</v>
      </c>
    </row>
    <row r="14636" spans="1:12" x14ac:dyDescent="0.3">
      <c r="A14636" t="s">
        <v>498</v>
      </c>
      <c r="B14636" t="s">
        <v>83</v>
      </c>
      <c r="C14636">
        <v>999</v>
      </c>
      <c r="D14636" t="s">
        <v>86</v>
      </c>
      <c r="E14636">
        <v>1.0977000000000001E-2</v>
      </c>
      <c r="F14636" t="s">
        <v>74</v>
      </c>
      <c r="G14636">
        <v>10.97673</v>
      </c>
      <c r="H14636" t="s">
        <v>75</v>
      </c>
      <c r="I14636">
        <v>10976.726000000001</v>
      </c>
      <c r="J14636" t="s">
        <v>76</v>
      </c>
      <c r="K14636" t="s">
        <v>82</v>
      </c>
      <c r="L14636">
        <v>91.101849900000005</v>
      </c>
    </row>
    <row r="14637" spans="1:12" x14ac:dyDescent="0.3">
      <c r="A14637" t="s">
        <v>498</v>
      </c>
      <c r="B14637" t="s">
        <v>85</v>
      </c>
      <c r="C14637">
        <v>1001</v>
      </c>
      <c r="D14637" t="s">
        <v>86</v>
      </c>
      <c r="E14637">
        <v>1.1212E-2</v>
      </c>
      <c r="F14637" t="s">
        <v>74</v>
      </c>
      <c r="G14637">
        <v>11.21237</v>
      </c>
      <c r="H14637" t="s">
        <v>75</v>
      </c>
      <c r="I14637">
        <v>11212.366</v>
      </c>
      <c r="J14637" t="s">
        <v>76</v>
      </c>
      <c r="K14637" t="s">
        <v>82</v>
      </c>
      <c r="L14637">
        <v>89.187241299999997</v>
      </c>
    </row>
    <row r="14638" spans="1:12" x14ac:dyDescent="0.3">
      <c r="A14638" t="s">
        <v>162</v>
      </c>
    </row>
    <row r="14639" spans="1:12" x14ac:dyDescent="0.3">
      <c r="A14639" t="s">
        <v>162</v>
      </c>
    </row>
    <row r="14640" spans="1:12" x14ac:dyDescent="0.3">
      <c r="A14640" t="s">
        <v>522</v>
      </c>
    </row>
    <row r="14641" spans="1:12" x14ac:dyDescent="0.3">
      <c r="A14641" t="s">
        <v>496</v>
      </c>
      <c r="B14641" t="s">
        <v>72</v>
      </c>
      <c r="C14641">
        <v>1</v>
      </c>
      <c r="D14641" t="s">
        <v>79</v>
      </c>
      <c r="E14641">
        <v>4.1000000000000003E-3</v>
      </c>
      <c r="F14641" t="s">
        <v>74</v>
      </c>
      <c r="G14641">
        <v>4.1001000000000003</v>
      </c>
      <c r="H14641" t="s">
        <v>75</v>
      </c>
      <c r="I14641">
        <v>4100.1000000000004</v>
      </c>
      <c r="J14641" t="s">
        <v>76</v>
      </c>
      <c r="K14641" t="s">
        <v>77</v>
      </c>
    </row>
    <row r="14642" spans="1:12" x14ac:dyDescent="0.3">
      <c r="A14642" t="s">
        <v>496</v>
      </c>
      <c r="B14642" t="s">
        <v>72</v>
      </c>
      <c r="C14642">
        <v>1</v>
      </c>
      <c r="D14642" t="s">
        <v>94</v>
      </c>
      <c r="E14642">
        <v>2.9068E-2</v>
      </c>
      <c r="F14642" t="s">
        <v>74</v>
      </c>
      <c r="G14642">
        <v>29.067900000000002</v>
      </c>
      <c r="H14642" t="s">
        <v>75</v>
      </c>
      <c r="I14642">
        <v>29067.9</v>
      </c>
      <c r="J14642" t="s">
        <v>76</v>
      </c>
      <c r="K14642" t="s">
        <v>77</v>
      </c>
    </row>
    <row r="14643" spans="1:12" x14ac:dyDescent="0.3">
      <c r="A14643" t="s">
        <v>496</v>
      </c>
      <c r="B14643" t="s">
        <v>72</v>
      </c>
      <c r="C14643">
        <v>1</v>
      </c>
      <c r="D14643" t="s">
        <v>80</v>
      </c>
      <c r="E14643">
        <v>2.9069999999999999E-2</v>
      </c>
      <c r="F14643" t="s">
        <v>74</v>
      </c>
      <c r="G14643">
        <v>29.069700000000001</v>
      </c>
      <c r="H14643" t="s">
        <v>75</v>
      </c>
      <c r="I14643">
        <v>29069.699000000001</v>
      </c>
      <c r="J14643" t="s">
        <v>76</v>
      </c>
      <c r="K14643" t="s">
        <v>77</v>
      </c>
    </row>
    <row r="14644" spans="1:12" x14ac:dyDescent="0.3">
      <c r="A14644" t="s">
        <v>496</v>
      </c>
      <c r="B14644" t="s">
        <v>72</v>
      </c>
      <c r="C14644">
        <v>1</v>
      </c>
      <c r="D14644" t="s">
        <v>81</v>
      </c>
      <c r="E14644">
        <v>3.3169999999999998E-2</v>
      </c>
      <c r="F14644" t="s">
        <v>74</v>
      </c>
      <c r="G14644">
        <v>33.169899999999998</v>
      </c>
      <c r="H14644" t="s">
        <v>75</v>
      </c>
      <c r="I14644">
        <v>33169.898999999998</v>
      </c>
      <c r="J14644" t="s">
        <v>76</v>
      </c>
      <c r="K14644" t="s">
        <v>82</v>
      </c>
      <c r="L14644">
        <v>30.1478155</v>
      </c>
    </row>
    <row r="14645" spans="1:12" x14ac:dyDescent="0.3">
      <c r="A14645" t="s">
        <v>496</v>
      </c>
      <c r="B14645" t="s">
        <v>83</v>
      </c>
      <c r="C14645">
        <v>761</v>
      </c>
      <c r="D14645" t="s">
        <v>79</v>
      </c>
      <c r="E14645">
        <v>6.87E-4</v>
      </c>
      <c r="F14645" t="s">
        <v>74</v>
      </c>
      <c r="G14645">
        <v>0.68672999999999995</v>
      </c>
      <c r="H14645" t="s">
        <v>75</v>
      </c>
      <c r="I14645">
        <v>686.73400000000004</v>
      </c>
      <c r="J14645" t="s">
        <v>76</v>
      </c>
      <c r="K14645" t="s">
        <v>77</v>
      </c>
    </row>
    <row r="14646" spans="1:12" x14ac:dyDescent="0.3">
      <c r="A14646" t="s">
        <v>496</v>
      </c>
      <c r="B14646" t="s">
        <v>83</v>
      </c>
      <c r="C14646">
        <v>761</v>
      </c>
      <c r="D14646" t="s">
        <v>94</v>
      </c>
      <c r="E14646">
        <v>2.6074E-2</v>
      </c>
      <c r="F14646" t="s">
        <v>74</v>
      </c>
      <c r="G14646">
        <v>26.07366</v>
      </c>
      <c r="H14646" t="s">
        <v>75</v>
      </c>
      <c r="I14646">
        <v>26073.655999999999</v>
      </c>
      <c r="J14646" t="s">
        <v>76</v>
      </c>
      <c r="K14646" t="s">
        <v>77</v>
      </c>
    </row>
    <row r="14647" spans="1:12" x14ac:dyDescent="0.3">
      <c r="A14647" t="s">
        <v>496</v>
      </c>
      <c r="B14647" t="s">
        <v>83</v>
      </c>
      <c r="C14647">
        <v>761</v>
      </c>
      <c r="D14647" t="s">
        <v>80</v>
      </c>
      <c r="E14647">
        <v>2.6301999999999999E-2</v>
      </c>
      <c r="F14647" t="s">
        <v>74</v>
      </c>
      <c r="G14647">
        <v>26.30247</v>
      </c>
      <c r="H14647" t="s">
        <v>75</v>
      </c>
      <c r="I14647">
        <v>26302.465</v>
      </c>
      <c r="J14647" t="s">
        <v>76</v>
      </c>
      <c r="K14647" t="s">
        <v>77</v>
      </c>
    </row>
    <row r="14648" spans="1:12" x14ac:dyDescent="0.3">
      <c r="A14648" t="s">
        <v>496</v>
      </c>
      <c r="B14648" t="s">
        <v>83</v>
      </c>
      <c r="C14648">
        <v>761</v>
      </c>
      <c r="D14648" t="s">
        <v>81</v>
      </c>
      <c r="E14648">
        <v>2.699E-2</v>
      </c>
      <c r="F14648" t="s">
        <v>74</v>
      </c>
      <c r="G14648">
        <v>26.989719999999998</v>
      </c>
      <c r="H14648" t="s">
        <v>75</v>
      </c>
      <c r="I14648">
        <v>26989.718000000001</v>
      </c>
      <c r="J14648" t="s">
        <v>76</v>
      </c>
      <c r="K14648" t="s">
        <v>82</v>
      </c>
      <c r="L14648">
        <v>37.051147299999997</v>
      </c>
    </row>
    <row r="14649" spans="1:12" x14ac:dyDescent="0.3">
      <c r="A14649" t="s">
        <v>496</v>
      </c>
      <c r="B14649" t="s">
        <v>84</v>
      </c>
      <c r="C14649">
        <v>762</v>
      </c>
      <c r="D14649" t="s">
        <v>79</v>
      </c>
      <c r="E14649">
        <v>6.9099999999999999E-4</v>
      </c>
      <c r="F14649" t="s">
        <v>74</v>
      </c>
      <c r="G14649">
        <v>0.69120999999999999</v>
      </c>
      <c r="H14649" t="s">
        <v>75</v>
      </c>
      <c r="I14649">
        <v>691.21299999999997</v>
      </c>
      <c r="J14649" t="s">
        <v>76</v>
      </c>
      <c r="K14649" t="s">
        <v>77</v>
      </c>
    </row>
    <row r="14650" spans="1:12" x14ac:dyDescent="0.3">
      <c r="A14650" t="s">
        <v>496</v>
      </c>
      <c r="B14650" t="s">
        <v>84</v>
      </c>
      <c r="C14650">
        <v>762</v>
      </c>
      <c r="D14650" t="s">
        <v>94</v>
      </c>
      <c r="E14650">
        <v>2.6078E-2</v>
      </c>
      <c r="F14650" t="s">
        <v>74</v>
      </c>
      <c r="G14650">
        <v>26.077590000000001</v>
      </c>
      <c r="H14650" t="s">
        <v>75</v>
      </c>
      <c r="I14650">
        <v>26077.585999999999</v>
      </c>
      <c r="J14650" t="s">
        <v>76</v>
      </c>
      <c r="K14650" t="s">
        <v>77</v>
      </c>
    </row>
    <row r="14651" spans="1:12" x14ac:dyDescent="0.3">
      <c r="A14651" t="s">
        <v>496</v>
      </c>
      <c r="B14651" t="s">
        <v>84</v>
      </c>
      <c r="C14651">
        <v>762</v>
      </c>
      <c r="D14651" t="s">
        <v>80</v>
      </c>
      <c r="E14651">
        <v>2.6306E-2</v>
      </c>
      <c r="F14651" t="s">
        <v>74</v>
      </c>
      <c r="G14651">
        <v>26.306100000000001</v>
      </c>
      <c r="H14651" t="s">
        <v>75</v>
      </c>
      <c r="I14651">
        <v>26306.1</v>
      </c>
      <c r="J14651" t="s">
        <v>76</v>
      </c>
      <c r="K14651" t="s">
        <v>77</v>
      </c>
    </row>
    <row r="14652" spans="1:12" x14ac:dyDescent="0.3">
      <c r="A14652" t="s">
        <v>496</v>
      </c>
      <c r="B14652" t="s">
        <v>84</v>
      </c>
      <c r="C14652">
        <v>762</v>
      </c>
      <c r="D14652" t="s">
        <v>81</v>
      </c>
      <c r="E14652">
        <v>2.6998000000000001E-2</v>
      </c>
      <c r="F14652" t="s">
        <v>74</v>
      </c>
      <c r="G14652">
        <v>26.99783</v>
      </c>
      <c r="H14652" t="s">
        <v>75</v>
      </c>
      <c r="I14652">
        <v>26997.829000000002</v>
      </c>
      <c r="J14652" t="s">
        <v>76</v>
      </c>
      <c r="K14652" t="s">
        <v>82</v>
      </c>
      <c r="L14652">
        <v>37.0400153</v>
      </c>
    </row>
    <row r="14653" spans="1:12" x14ac:dyDescent="0.3">
      <c r="A14653" t="s">
        <v>497</v>
      </c>
      <c r="B14653" t="s">
        <v>72</v>
      </c>
      <c r="C14653">
        <v>1</v>
      </c>
      <c r="D14653" t="s">
        <v>79</v>
      </c>
      <c r="E14653">
        <v>2.7824999999999999E-2</v>
      </c>
      <c r="F14653" t="s">
        <v>74</v>
      </c>
      <c r="G14653">
        <v>27.825399999999998</v>
      </c>
      <c r="H14653" t="s">
        <v>75</v>
      </c>
      <c r="I14653">
        <v>27825.4</v>
      </c>
      <c r="J14653" t="s">
        <v>76</v>
      </c>
      <c r="K14653" t="s">
        <v>77</v>
      </c>
    </row>
    <row r="14654" spans="1:12" x14ac:dyDescent="0.3">
      <c r="A14654" t="s">
        <v>497</v>
      </c>
      <c r="B14654" t="s">
        <v>72</v>
      </c>
      <c r="C14654">
        <v>1</v>
      </c>
      <c r="D14654" t="s">
        <v>94</v>
      </c>
      <c r="E14654">
        <v>8.6431999999999995E-2</v>
      </c>
      <c r="F14654" t="s">
        <v>74</v>
      </c>
      <c r="G14654">
        <v>86.432100000000005</v>
      </c>
      <c r="H14654" t="s">
        <v>75</v>
      </c>
      <c r="I14654">
        <v>86432.099000000002</v>
      </c>
      <c r="J14654" t="s">
        <v>76</v>
      </c>
      <c r="K14654" t="s">
        <v>77</v>
      </c>
    </row>
    <row r="14655" spans="1:12" x14ac:dyDescent="0.3">
      <c r="A14655" t="s">
        <v>497</v>
      </c>
      <c r="B14655" t="s">
        <v>72</v>
      </c>
      <c r="C14655">
        <v>1</v>
      </c>
      <c r="D14655" t="s">
        <v>80</v>
      </c>
      <c r="E14655">
        <v>8.6434999999999998E-2</v>
      </c>
      <c r="F14655" t="s">
        <v>74</v>
      </c>
      <c r="G14655">
        <v>86.435299999999998</v>
      </c>
      <c r="H14655" t="s">
        <v>75</v>
      </c>
      <c r="I14655">
        <v>86435.303</v>
      </c>
      <c r="J14655" t="s">
        <v>76</v>
      </c>
      <c r="K14655" t="s">
        <v>77</v>
      </c>
    </row>
    <row r="14656" spans="1:12" x14ac:dyDescent="0.3">
      <c r="A14656" t="s">
        <v>497</v>
      </c>
      <c r="B14656" t="s">
        <v>72</v>
      </c>
      <c r="C14656">
        <v>1</v>
      </c>
      <c r="D14656" t="s">
        <v>81</v>
      </c>
      <c r="E14656">
        <v>0.114261</v>
      </c>
      <c r="F14656" t="s">
        <v>74</v>
      </c>
      <c r="G14656">
        <v>114.26130000000001</v>
      </c>
      <c r="H14656" t="s">
        <v>75</v>
      </c>
      <c r="I14656">
        <v>114261.299</v>
      </c>
      <c r="J14656" t="s">
        <v>76</v>
      </c>
      <c r="K14656" t="s">
        <v>82</v>
      </c>
      <c r="L14656">
        <v>8.7518697000000003</v>
      </c>
    </row>
    <row r="14657" spans="1:12" x14ac:dyDescent="0.3">
      <c r="A14657" t="s">
        <v>497</v>
      </c>
      <c r="B14657" t="s">
        <v>83</v>
      </c>
      <c r="C14657">
        <v>238</v>
      </c>
      <c r="D14657" t="s">
        <v>79</v>
      </c>
      <c r="E14657">
        <v>2.2390000000000001E-3</v>
      </c>
      <c r="F14657" t="s">
        <v>74</v>
      </c>
      <c r="G14657">
        <v>2.2390400000000001</v>
      </c>
      <c r="H14657" t="s">
        <v>75</v>
      </c>
      <c r="I14657">
        <v>2239.0360000000001</v>
      </c>
      <c r="J14657" t="s">
        <v>76</v>
      </c>
      <c r="K14657" t="s">
        <v>77</v>
      </c>
    </row>
    <row r="14658" spans="1:12" x14ac:dyDescent="0.3">
      <c r="A14658" t="s">
        <v>497</v>
      </c>
      <c r="B14658" t="s">
        <v>83</v>
      </c>
      <c r="C14658">
        <v>238</v>
      </c>
      <c r="D14658" t="s">
        <v>94</v>
      </c>
      <c r="E14658">
        <v>8.2008999999999999E-2</v>
      </c>
      <c r="F14658" t="s">
        <v>74</v>
      </c>
      <c r="G14658">
        <v>82.009249999999994</v>
      </c>
      <c r="H14658" t="s">
        <v>75</v>
      </c>
      <c r="I14658">
        <v>82009.251000000004</v>
      </c>
      <c r="J14658" t="s">
        <v>76</v>
      </c>
      <c r="K14658" t="s">
        <v>77</v>
      </c>
    </row>
    <row r="14659" spans="1:12" x14ac:dyDescent="0.3">
      <c r="A14659" t="s">
        <v>497</v>
      </c>
      <c r="B14659" t="s">
        <v>83</v>
      </c>
      <c r="C14659">
        <v>238</v>
      </c>
      <c r="D14659" t="s">
        <v>80</v>
      </c>
      <c r="E14659">
        <v>8.2832000000000003E-2</v>
      </c>
      <c r="F14659" t="s">
        <v>74</v>
      </c>
      <c r="G14659">
        <v>82.832170000000005</v>
      </c>
      <c r="H14659" t="s">
        <v>75</v>
      </c>
      <c r="I14659">
        <v>82832.168000000005</v>
      </c>
      <c r="J14659" t="s">
        <v>76</v>
      </c>
      <c r="K14659" t="s">
        <v>77</v>
      </c>
    </row>
    <row r="14660" spans="1:12" x14ac:dyDescent="0.3">
      <c r="A14660" t="s">
        <v>497</v>
      </c>
      <c r="B14660" t="s">
        <v>83</v>
      </c>
      <c r="C14660">
        <v>238</v>
      </c>
      <c r="D14660" t="s">
        <v>81</v>
      </c>
      <c r="E14660">
        <v>8.5073999999999997E-2</v>
      </c>
      <c r="F14660" t="s">
        <v>74</v>
      </c>
      <c r="G14660">
        <v>85.073800000000006</v>
      </c>
      <c r="H14660" t="s">
        <v>75</v>
      </c>
      <c r="I14660">
        <v>85073.8</v>
      </c>
      <c r="J14660" t="s">
        <v>76</v>
      </c>
      <c r="K14660" t="s">
        <v>82</v>
      </c>
      <c r="L14660">
        <v>11.7545003</v>
      </c>
    </row>
    <row r="14661" spans="1:12" x14ac:dyDescent="0.3">
      <c r="A14661" t="s">
        <v>497</v>
      </c>
      <c r="B14661" t="s">
        <v>84</v>
      </c>
      <c r="C14661">
        <v>239</v>
      </c>
      <c r="D14661" t="s">
        <v>79</v>
      </c>
      <c r="E14661">
        <v>2.346E-3</v>
      </c>
      <c r="F14661" t="s">
        <v>74</v>
      </c>
      <c r="G14661">
        <v>2.3460899999999998</v>
      </c>
      <c r="H14661" t="s">
        <v>75</v>
      </c>
      <c r="I14661">
        <v>2346.0920000000001</v>
      </c>
      <c r="J14661" t="s">
        <v>76</v>
      </c>
      <c r="K14661" t="s">
        <v>77</v>
      </c>
    </row>
    <row r="14662" spans="1:12" x14ac:dyDescent="0.3">
      <c r="A14662" t="s">
        <v>497</v>
      </c>
      <c r="B14662" t="s">
        <v>84</v>
      </c>
      <c r="C14662">
        <v>239</v>
      </c>
      <c r="D14662" t="s">
        <v>94</v>
      </c>
      <c r="E14662">
        <v>8.2028000000000004E-2</v>
      </c>
      <c r="F14662" t="s">
        <v>74</v>
      </c>
      <c r="G14662">
        <v>82.027760000000001</v>
      </c>
      <c r="H14662" t="s">
        <v>75</v>
      </c>
      <c r="I14662">
        <v>82027.763000000006</v>
      </c>
      <c r="J14662" t="s">
        <v>76</v>
      </c>
      <c r="K14662" t="s">
        <v>77</v>
      </c>
    </row>
    <row r="14663" spans="1:12" x14ac:dyDescent="0.3">
      <c r="A14663" t="s">
        <v>497</v>
      </c>
      <c r="B14663" t="s">
        <v>84</v>
      </c>
      <c r="C14663">
        <v>239</v>
      </c>
      <c r="D14663" t="s">
        <v>80</v>
      </c>
      <c r="E14663">
        <v>8.2847000000000004E-2</v>
      </c>
      <c r="F14663" t="s">
        <v>74</v>
      </c>
      <c r="G14663">
        <v>82.847239999999999</v>
      </c>
      <c r="H14663" t="s">
        <v>75</v>
      </c>
      <c r="I14663">
        <v>82847.244000000006</v>
      </c>
      <c r="J14663" t="s">
        <v>76</v>
      </c>
      <c r="K14663" t="s">
        <v>77</v>
      </c>
    </row>
    <row r="14664" spans="1:12" x14ac:dyDescent="0.3">
      <c r="A14664" t="s">
        <v>497</v>
      </c>
      <c r="B14664" t="s">
        <v>84</v>
      </c>
      <c r="C14664">
        <v>239</v>
      </c>
      <c r="D14664" t="s">
        <v>81</v>
      </c>
      <c r="E14664">
        <v>8.5195999999999994E-2</v>
      </c>
      <c r="F14664" t="s">
        <v>74</v>
      </c>
      <c r="G14664">
        <v>85.195920000000001</v>
      </c>
      <c r="H14664" t="s">
        <v>75</v>
      </c>
      <c r="I14664">
        <v>85195.923999999999</v>
      </c>
      <c r="J14664" t="s">
        <v>76</v>
      </c>
      <c r="K14664" t="s">
        <v>82</v>
      </c>
      <c r="L14664">
        <v>11.7376507</v>
      </c>
    </row>
    <row r="14665" spans="1:12" x14ac:dyDescent="0.3">
      <c r="A14665" t="s">
        <v>498</v>
      </c>
      <c r="B14665" t="s">
        <v>72</v>
      </c>
      <c r="C14665">
        <v>1</v>
      </c>
      <c r="D14665" t="s">
        <v>73</v>
      </c>
      <c r="E14665">
        <v>5.8E-5</v>
      </c>
      <c r="F14665" t="s">
        <v>74</v>
      </c>
      <c r="G14665">
        <v>5.8099999999999999E-2</v>
      </c>
      <c r="H14665" t="s">
        <v>75</v>
      </c>
      <c r="I14665">
        <v>58.1</v>
      </c>
      <c r="J14665" t="s">
        <v>76</v>
      </c>
      <c r="K14665" t="s">
        <v>77</v>
      </c>
    </row>
    <row r="14666" spans="1:12" x14ac:dyDescent="0.3">
      <c r="A14666" t="s">
        <v>498</v>
      </c>
      <c r="B14666" t="s">
        <v>72</v>
      </c>
      <c r="C14666">
        <v>1</v>
      </c>
      <c r="D14666" t="s">
        <v>78</v>
      </c>
      <c r="E14666">
        <v>1.0009999999999999E-3</v>
      </c>
      <c r="F14666" t="s">
        <v>74</v>
      </c>
      <c r="G14666">
        <v>1.0006999999999999</v>
      </c>
      <c r="H14666" t="s">
        <v>75</v>
      </c>
      <c r="I14666">
        <v>1000.7</v>
      </c>
      <c r="J14666" t="s">
        <v>76</v>
      </c>
      <c r="K14666" t="s">
        <v>77</v>
      </c>
    </row>
    <row r="14667" spans="1:12" x14ac:dyDescent="0.3">
      <c r="A14667" t="s">
        <v>498</v>
      </c>
      <c r="B14667" t="s">
        <v>72</v>
      </c>
      <c r="C14667">
        <v>2</v>
      </c>
      <c r="D14667" t="s">
        <v>86</v>
      </c>
      <c r="E14667">
        <v>5.7133999999999997E-2</v>
      </c>
      <c r="F14667" t="s">
        <v>74</v>
      </c>
      <c r="G14667">
        <v>57.133949999999999</v>
      </c>
      <c r="H14667" t="s">
        <v>75</v>
      </c>
      <c r="I14667">
        <v>57133.95</v>
      </c>
      <c r="J14667" t="s">
        <v>76</v>
      </c>
      <c r="K14667" t="s">
        <v>82</v>
      </c>
      <c r="L14667">
        <v>17.502728099999999</v>
      </c>
    </row>
    <row r="14668" spans="1:12" x14ac:dyDescent="0.3">
      <c r="A14668" t="s">
        <v>498</v>
      </c>
      <c r="B14668" t="s">
        <v>83</v>
      </c>
      <c r="C14668">
        <v>999</v>
      </c>
      <c r="D14668" t="s">
        <v>86</v>
      </c>
      <c r="E14668">
        <v>2.0594000000000001E-2</v>
      </c>
      <c r="F14668" t="s">
        <v>74</v>
      </c>
      <c r="G14668">
        <v>20.593820000000001</v>
      </c>
      <c r="H14668" t="s">
        <v>75</v>
      </c>
      <c r="I14668">
        <v>20593.825000000001</v>
      </c>
      <c r="J14668" t="s">
        <v>76</v>
      </c>
      <c r="K14668" t="s">
        <v>82</v>
      </c>
      <c r="L14668">
        <v>48.558245999999997</v>
      </c>
    </row>
    <row r="14669" spans="1:12" x14ac:dyDescent="0.3">
      <c r="A14669" t="s">
        <v>498</v>
      </c>
      <c r="B14669" t="s">
        <v>85</v>
      </c>
      <c r="C14669">
        <v>1001</v>
      </c>
      <c r="D14669" t="s">
        <v>86</v>
      </c>
      <c r="E14669">
        <v>2.0587999999999999E-2</v>
      </c>
      <c r="F14669" t="s">
        <v>74</v>
      </c>
      <c r="G14669">
        <v>20.587980000000002</v>
      </c>
      <c r="H14669" t="s">
        <v>75</v>
      </c>
      <c r="I14669">
        <v>20587.975999999999</v>
      </c>
      <c r="J14669" t="s">
        <v>76</v>
      </c>
      <c r="K14669" t="s">
        <v>82</v>
      </c>
      <c r="L14669">
        <v>48.572039400000001</v>
      </c>
    </row>
    <row r="14670" spans="1:12" x14ac:dyDescent="0.3">
      <c r="A14670" t="s">
        <v>115</v>
      </c>
    </row>
    <row r="14671" spans="1:12" x14ac:dyDescent="0.3">
      <c r="A14671" t="s">
        <v>127</v>
      </c>
    </row>
    <row r="14672" spans="1:12" x14ac:dyDescent="0.3">
      <c r="A14672" t="s">
        <v>87</v>
      </c>
    </row>
    <row r="14673" spans="1:12" x14ac:dyDescent="0.3">
      <c r="A14673" t="s">
        <v>523</v>
      </c>
    </row>
    <row r="14674" spans="1:12" x14ac:dyDescent="0.3">
      <c r="A14674" t="s">
        <v>496</v>
      </c>
      <c r="B14674" t="s">
        <v>72</v>
      </c>
      <c r="C14674">
        <v>1</v>
      </c>
      <c r="D14674" t="s">
        <v>81</v>
      </c>
      <c r="E14674">
        <v>0.51269100000000001</v>
      </c>
      <c r="F14674" t="s">
        <v>74</v>
      </c>
      <c r="G14674">
        <v>512.69090000000006</v>
      </c>
      <c r="H14674" t="s">
        <v>75</v>
      </c>
      <c r="I14674">
        <v>512690.902</v>
      </c>
      <c r="J14674" t="s">
        <v>76</v>
      </c>
      <c r="K14674" t="s">
        <v>82</v>
      </c>
      <c r="L14674">
        <v>1.950493</v>
      </c>
    </row>
    <row r="14675" spans="1:12" x14ac:dyDescent="0.3">
      <c r="A14675" t="s">
        <v>496</v>
      </c>
      <c r="B14675" t="s">
        <v>83</v>
      </c>
      <c r="C14675">
        <v>642</v>
      </c>
      <c r="D14675" t="s">
        <v>81</v>
      </c>
      <c r="E14675">
        <v>1.6653000000000001E-2</v>
      </c>
      <c r="F14675" t="s">
        <v>74</v>
      </c>
      <c r="G14675">
        <v>16.652650000000001</v>
      </c>
      <c r="H14675" t="s">
        <v>75</v>
      </c>
      <c r="I14675">
        <v>16652.649000000001</v>
      </c>
      <c r="J14675" t="s">
        <v>76</v>
      </c>
      <c r="K14675" t="s">
        <v>82</v>
      </c>
      <c r="L14675">
        <v>60.050504500000002</v>
      </c>
    </row>
    <row r="14676" spans="1:12" x14ac:dyDescent="0.3">
      <c r="A14676" t="s">
        <v>496</v>
      </c>
      <c r="B14676" t="s">
        <v>84</v>
      </c>
      <c r="C14676">
        <v>643</v>
      </c>
      <c r="D14676" t="s">
        <v>81</v>
      </c>
      <c r="E14676">
        <v>1.7423999999999999E-2</v>
      </c>
      <c r="F14676" t="s">
        <v>74</v>
      </c>
      <c r="G14676">
        <v>17.42409</v>
      </c>
      <c r="H14676" t="s">
        <v>75</v>
      </c>
      <c r="I14676">
        <v>17424.088</v>
      </c>
      <c r="J14676" t="s">
        <v>76</v>
      </c>
      <c r="K14676" t="s">
        <v>82</v>
      </c>
      <c r="L14676">
        <v>57.391812799999997</v>
      </c>
    </row>
    <row r="14677" spans="1:12" x14ac:dyDescent="0.3">
      <c r="A14677" t="s">
        <v>497</v>
      </c>
      <c r="B14677" t="s">
        <v>72</v>
      </c>
      <c r="C14677">
        <v>1</v>
      </c>
      <c r="D14677" t="s">
        <v>81</v>
      </c>
      <c r="E14677">
        <v>0.23968900000000001</v>
      </c>
      <c r="F14677" t="s">
        <v>74</v>
      </c>
      <c r="G14677">
        <v>239.68901</v>
      </c>
      <c r="H14677" t="s">
        <v>75</v>
      </c>
      <c r="I14677">
        <v>239689.00700000001</v>
      </c>
      <c r="J14677" t="s">
        <v>76</v>
      </c>
      <c r="K14677" t="s">
        <v>82</v>
      </c>
      <c r="L14677">
        <v>4.1720727999999996</v>
      </c>
    </row>
    <row r="14678" spans="1:12" x14ac:dyDescent="0.3">
      <c r="A14678" t="s">
        <v>497</v>
      </c>
      <c r="B14678" t="s">
        <v>83</v>
      </c>
      <c r="C14678">
        <v>357</v>
      </c>
      <c r="D14678" t="s">
        <v>81</v>
      </c>
      <c r="E14678">
        <v>3.0707999999999999E-2</v>
      </c>
      <c r="F14678" t="s">
        <v>74</v>
      </c>
      <c r="G14678">
        <v>30.708379999999998</v>
      </c>
      <c r="H14678" t="s">
        <v>75</v>
      </c>
      <c r="I14678">
        <v>30708.382000000001</v>
      </c>
      <c r="J14678" t="s">
        <v>76</v>
      </c>
      <c r="K14678" t="s">
        <v>82</v>
      </c>
      <c r="L14678">
        <v>32.564398400000002</v>
      </c>
    </row>
    <row r="14679" spans="1:12" x14ac:dyDescent="0.3">
      <c r="A14679" t="s">
        <v>497</v>
      </c>
      <c r="B14679" t="s">
        <v>84</v>
      </c>
      <c r="C14679">
        <v>358</v>
      </c>
      <c r="D14679" t="s">
        <v>81</v>
      </c>
      <c r="E14679">
        <v>3.1292E-2</v>
      </c>
      <c r="F14679" t="s">
        <v>74</v>
      </c>
      <c r="G14679">
        <v>31.29213</v>
      </c>
      <c r="H14679" t="s">
        <v>75</v>
      </c>
      <c r="I14679">
        <v>31292.129000000001</v>
      </c>
      <c r="J14679" t="s">
        <v>76</v>
      </c>
      <c r="K14679" t="s">
        <v>82</v>
      </c>
      <c r="L14679">
        <v>31.956917499999999</v>
      </c>
    </row>
    <row r="14680" spans="1:12" x14ac:dyDescent="0.3">
      <c r="A14680" t="s">
        <v>498</v>
      </c>
      <c r="B14680" t="s">
        <v>72</v>
      </c>
      <c r="C14680">
        <v>2</v>
      </c>
      <c r="D14680" t="s">
        <v>86</v>
      </c>
      <c r="E14680">
        <v>0.25636500000000001</v>
      </c>
      <c r="F14680" t="s">
        <v>74</v>
      </c>
      <c r="G14680">
        <v>256.36529999999999</v>
      </c>
      <c r="H14680" t="s">
        <v>75</v>
      </c>
      <c r="I14680">
        <v>256365.299</v>
      </c>
      <c r="J14680" t="s">
        <v>76</v>
      </c>
      <c r="K14680" t="s">
        <v>82</v>
      </c>
      <c r="L14680">
        <v>3.9006839000000002</v>
      </c>
    </row>
    <row r="14681" spans="1:12" x14ac:dyDescent="0.3">
      <c r="A14681" t="s">
        <v>498</v>
      </c>
      <c r="B14681" t="s">
        <v>83</v>
      </c>
      <c r="C14681">
        <v>999</v>
      </c>
      <c r="D14681" t="s">
        <v>86</v>
      </c>
      <c r="E14681">
        <v>1.0977000000000001E-2</v>
      </c>
      <c r="F14681" t="s">
        <v>74</v>
      </c>
      <c r="G14681">
        <v>10.97673</v>
      </c>
      <c r="H14681" t="s">
        <v>75</v>
      </c>
      <c r="I14681">
        <v>10976.726000000001</v>
      </c>
      <c r="J14681" t="s">
        <v>76</v>
      </c>
      <c r="K14681" t="s">
        <v>82</v>
      </c>
      <c r="L14681">
        <v>91.101849900000005</v>
      </c>
    </row>
    <row r="14682" spans="1:12" x14ac:dyDescent="0.3">
      <c r="A14682" t="s">
        <v>498</v>
      </c>
      <c r="B14682" t="s">
        <v>85</v>
      </c>
      <c r="C14682">
        <v>1001</v>
      </c>
      <c r="D14682" t="s">
        <v>86</v>
      </c>
      <c r="E14682">
        <v>1.1212E-2</v>
      </c>
      <c r="F14682" t="s">
        <v>74</v>
      </c>
      <c r="G14682">
        <v>11.21237</v>
      </c>
      <c r="H14682" t="s">
        <v>75</v>
      </c>
      <c r="I14682">
        <v>11212.366</v>
      </c>
      <c r="J14682" t="s">
        <v>76</v>
      </c>
      <c r="K14682" t="s">
        <v>82</v>
      </c>
      <c r="L14682">
        <v>89.187241299999997</v>
      </c>
    </row>
    <row r="14684" spans="1:12" x14ac:dyDescent="0.3">
      <c r="A14684" t="s">
        <v>524</v>
      </c>
    </row>
    <row r="14685" spans="1:12" x14ac:dyDescent="0.3">
      <c r="A14685" t="s">
        <v>496</v>
      </c>
      <c r="B14685" t="s">
        <v>72</v>
      </c>
      <c r="C14685">
        <v>1</v>
      </c>
      <c r="D14685" t="s">
        <v>81</v>
      </c>
      <c r="E14685">
        <v>3.3169999999999998E-2</v>
      </c>
      <c r="F14685" t="s">
        <v>74</v>
      </c>
      <c r="G14685">
        <v>33.169899999999998</v>
      </c>
      <c r="H14685" t="s">
        <v>75</v>
      </c>
      <c r="I14685">
        <v>33169.898999999998</v>
      </c>
      <c r="J14685" t="s">
        <v>76</v>
      </c>
      <c r="K14685" t="s">
        <v>82</v>
      </c>
      <c r="L14685">
        <v>30.1478155</v>
      </c>
    </row>
    <row r="14686" spans="1:12" x14ac:dyDescent="0.3">
      <c r="A14686" t="s">
        <v>496</v>
      </c>
      <c r="B14686" t="s">
        <v>83</v>
      </c>
      <c r="C14686">
        <v>761</v>
      </c>
      <c r="D14686" t="s">
        <v>81</v>
      </c>
      <c r="E14686">
        <v>2.699E-2</v>
      </c>
      <c r="F14686" t="s">
        <v>74</v>
      </c>
      <c r="G14686">
        <v>26.989719999999998</v>
      </c>
      <c r="H14686" t="s">
        <v>75</v>
      </c>
      <c r="I14686">
        <v>26989.718000000001</v>
      </c>
      <c r="J14686" t="s">
        <v>76</v>
      </c>
      <c r="K14686" t="s">
        <v>82</v>
      </c>
      <c r="L14686">
        <v>37.051147299999997</v>
      </c>
    </row>
    <row r="14687" spans="1:12" x14ac:dyDescent="0.3">
      <c r="A14687" t="s">
        <v>496</v>
      </c>
      <c r="B14687" t="s">
        <v>84</v>
      </c>
      <c r="C14687">
        <v>762</v>
      </c>
      <c r="D14687" t="s">
        <v>81</v>
      </c>
      <c r="E14687">
        <v>2.6998000000000001E-2</v>
      </c>
      <c r="F14687" t="s">
        <v>74</v>
      </c>
      <c r="G14687">
        <v>26.99783</v>
      </c>
      <c r="H14687" t="s">
        <v>75</v>
      </c>
      <c r="I14687">
        <v>26997.829000000002</v>
      </c>
      <c r="J14687" t="s">
        <v>76</v>
      </c>
      <c r="K14687" t="s">
        <v>82</v>
      </c>
      <c r="L14687">
        <v>37.0400153</v>
      </c>
    </row>
    <row r="14688" spans="1:12" x14ac:dyDescent="0.3">
      <c r="A14688" t="s">
        <v>497</v>
      </c>
      <c r="B14688" t="s">
        <v>72</v>
      </c>
      <c r="C14688">
        <v>1</v>
      </c>
      <c r="D14688" t="s">
        <v>81</v>
      </c>
      <c r="E14688">
        <v>0.114261</v>
      </c>
      <c r="F14688" t="s">
        <v>74</v>
      </c>
      <c r="G14688">
        <v>114.26130000000001</v>
      </c>
      <c r="H14688" t="s">
        <v>75</v>
      </c>
      <c r="I14688">
        <v>114261.299</v>
      </c>
      <c r="J14688" t="s">
        <v>76</v>
      </c>
      <c r="K14688" t="s">
        <v>82</v>
      </c>
      <c r="L14688">
        <v>8.7518697000000003</v>
      </c>
    </row>
    <row r="14689" spans="1:12" x14ac:dyDescent="0.3">
      <c r="A14689" t="s">
        <v>497</v>
      </c>
      <c r="B14689" t="s">
        <v>83</v>
      </c>
      <c r="C14689">
        <v>238</v>
      </c>
      <c r="D14689" t="s">
        <v>81</v>
      </c>
      <c r="E14689">
        <v>8.5073999999999997E-2</v>
      </c>
      <c r="F14689" t="s">
        <v>74</v>
      </c>
      <c r="G14689">
        <v>85.073800000000006</v>
      </c>
      <c r="H14689" t="s">
        <v>75</v>
      </c>
      <c r="I14689">
        <v>85073.8</v>
      </c>
      <c r="J14689" t="s">
        <v>76</v>
      </c>
      <c r="K14689" t="s">
        <v>82</v>
      </c>
      <c r="L14689">
        <v>11.7545003</v>
      </c>
    </row>
    <row r="14690" spans="1:12" x14ac:dyDescent="0.3">
      <c r="A14690" t="s">
        <v>497</v>
      </c>
      <c r="B14690" t="s">
        <v>84</v>
      </c>
      <c r="C14690">
        <v>239</v>
      </c>
      <c r="D14690" t="s">
        <v>81</v>
      </c>
      <c r="E14690">
        <v>8.5195999999999994E-2</v>
      </c>
      <c r="F14690" t="s">
        <v>74</v>
      </c>
      <c r="G14690">
        <v>85.195920000000001</v>
      </c>
      <c r="H14690" t="s">
        <v>75</v>
      </c>
      <c r="I14690">
        <v>85195.923999999999</v>
      </c>
      <c r="J14690" t="s">
        <v>76</v>
      </c>
      <c r="K14690" t="s">
        <v>82</v>
      </c>
      <c r="L14690">
        <v>11.7376507</v>
      </c>
    </row>
    <row r="14691" spans="1:12" x14ac:dyDescent="0.3">
      <c r="A14691" t="s">
        <v>498</v>
      </c>
      <c r="B14691" t="s">
        <v>72</v>
      </c>
      <c r="C14691">
        <v>2</v>
      </c>
      <c r="D14691" t="s">
        <v>86</v>
      </c>
      <c r="E14691">
        <v>5.7133999999999997E-2</v>
      </c>
      <c r="F14691" t="s">
        <v>74</v>
      </c>
      <c r="G14691">
        <v>57.133949999999999</v>
      </c>
      <c r="H14691" t="s">
        <v>75</v>
      </c>
      <c r="I14691">
        <v>57133.95</v>
      </c>
      <c r="J14691" t="s">
        <v>76</v>
      </c>
      <c r="K14691" t="s">
        <v>82</v>
      </c>
      <c r="L14691">
        <v>17.502728099999999</v>
      </c>
    </row>
    <row r="14692" spans="1:12" x14ac:dyDescent="0.3">
      <c r="A14692" t="s">
        <v>498</v>
      </c>
      <c r="B14692" t="s">
        <v>83</v>
      </c>
      <c r="C14692">
        <v>999</v>
      </c>
      <c r="D14692" t="s">
        <v>86</v>
      </c>
      <c r="E14692">
        <v>2.0594000000000001E-2</v>
      </c>
      <c r="F14692" t="s">
        <v>74</v>
      </c>
      <c r="G14692">
        <v>20.593820000000001</v>
      </c>
      <c r="H14692" t="s">
        <v>75</v>
      </c>
      <c r="I14692">
        <v>20593.825000000001</v>
      </c>
      <c r="J14692" t="s">
        <v>76</v>
      </c>
      <c r="K14692" t="s">
        <v>82</v>
      </c>
      <c r="L14692">
        <v>48.558245999999997</v>
      </c>
    </row>
    <row r="14693" spans="1:12" x14ac:dyDescent="0.3">
      <c r="A14693" t="s">
        <v>498</v>
      </c>
      <c r="B14693" t="s">
        <v>85</v>
      </c>
      <c r="C14693">
        <v>1001</v>
      </c>
      <c r="D14693" t="s">
        <v>86</v>
      </c>
      <c r="E14693">
        <v>2.0587999999999999E-2</v>
      </c>
      <c r="F14693" t="s">
        <v>74</v>
      </c>
      <c r="G14693">
        <v>20.587980000000002</v>
      </c>
      <c r="H14693" t="s">
        <v>75</v>
      </c>
      <c r="I14693">
        <v>20587.975999999999</v>
      </c>
      <c r="J14693" t="s">
        <v>76</v>
      </c>
      <c r="K14693" t="s">
        <v>82</v>
      </c>
      <c r="L14693">
        <v>48.572039400000001</v>
      </c>
    </row>
    <row r="14695" spans="1:12" x14ac:dyDescent="0.3">
      <c r="A14695" t="s">
        <v>66</v>
      </c>
    </row>
    <row r="14697" spans="1:12" x14ac:dyDescent="0.3">
      <c r="A14697" t="s">
        <v>585</v>
      </c>
    </row>
    <row r="14698" spans="1:12" x14ac:dyDescent="0.3">
      <c r="A14698" t="s">
        <v>68</v>
      </c>
    </row>
    <row r="14699" spans="1:12" x14ac:dyDescent="0.3">
      <c r="A14699" t="s">
        <v>69</v>
      </c>
    </row>
    <row r="14700" spans="1:12" x14ac:dyDescent="0.3">
      <c r="A14700" t="s">
        <v>68</v>
      </c>
    </row>
    <row r="14701" spans="1:12" x14ac:dyDescent="0.3">
      <c r="A14701" t="s">
        <v>69</v>
      </c>
    </row>
    <row r="14702" spans="1:12" x14ac:dyDescent="0.3">
      <c r="A14702" t="s">
        <v>70</v>
      </c>
    </row>
    <row r="14703" spans="1:12" x14ac:dyDescent="0.3">
      <c r="A14703" t="s">
        <v>115</v>
      </c>
    </row>
    <row r="14704" spans="1:12" x14ac:dyDescent="0.3">
      <c r="A14704" t="s">
        <v>116</v>
      </c>
    </row>
    <row r="14705" spans="1:1" x14ac:dyDescent="0.3">
      <c r="A14705" t="s">
        <v>117</v>
      </c>
    </row>
    <row r="14706" spans="1:1" x14ac:dyDescent="0.3">
      <c r="A14706" t="s">
        <v>118</v>
      </c>
    </row>
    <row r="14707" spans="1:1" x14ac:dyDescent="0.3">
      <c r="A14707" t="s">
        <v>119</v>
      </c>
    </row>
    <row r="14708" spans="1:1" x14ac:dyDescent="0.3">
      <c r="A14708" t="s">
        <v>120</v>
      </c>
    </row>
    <row r="14709" spans="1:1" x14ac:dyDescent="0.3">
      <c r="A14709" t="s">
        <v>121</v>
      </c>
    </row>
    <row r="14710" spans="1:1" x14ac:dyDescent="0.3">
      <c r="A14710" t="s">
        <v>122</v>
      </c>
    </row>
    <row r="14711" spans="1:1" x14ac:dyDescent="0.3">
      <c r="A14711" t="s">
        <v>123</v>
      </c>
    </row>
    <row r="14712" spans="1:1" x14ac:dyDescent="0.3">
      <c r="A14712" t="s">
        <v>124</v>
      </c>
    </row>
    <row r="14713" spans="1:1" x14ac:dyDescent="0.3">
      <c r="A14713" t="s">
        <v>125</v>
      </c>
    </row>
    <row r="14714" spans="1:1" x14ac:dyDescent="0.3">
      <c r="A14714" t="s">
        <v>126</v>
      </c>
    </row>
    <row r="14715" spans="1:1" x14ac:dyDescent="0.3">
      <c r="A14715" t="s">
        <v>127</v>
      </c>
    </row>
    <row r="14716" spans="1:1" x14ac:dyDescent="0.3">
      <c r="A14716" t="s">
        <v>167</v>
      </c>
    </row>
    <row r="14717" spans="1:1" x14ac:dyDescent="0.3">
      <c r="A14717" t="s">
        <v>115</v>
      </c>
    </row>
    <row r="14718" spans="1:1" x14ac:dyDescent="0.3">
      <c r="A14718" t="s">
        <v>266</v>
      </c>
    </row>
    <row r="14719" spans="1:1" x14ac:dyDescent="0.3">
      <c r="A14719" t="s">
        <v>267</v>
      </c>
    </row>
    <row r="14720" spans="1:1" x14ac:dyDescent="0.3">
      <c r="A14720" t="s">
        <v>118</v>
      </c>
    </row>
    <row r="14721" spans="1:12" x14ac:dyDescent="0.3">
      <c r="A14721" t="s">
        <v>119</v>
      </c>
    </row>
    <row r="14722" spans="1:12" x14ac:dyDescent="0.3">
      <c r="A14722" t="s">
        <v>268</v>
      </c>
    </row>
    <row r="14723" spans="1:12" x14ac:dyDescent="0.3">
      <c r="A14723" t="s">
        <v>269</v>
      </c>
    </row>
    <row r="14724" spans="1:12" x14ac:dyDescent="0.3">
      <c r="A14724" t="s">
        <v>122</v>
      </c>
    </row>
    <row r="14725" spans="1:12" x14ac:dyDescent="0.3">
      <c r="A14725" t="s">
        <v>270</v>
      </c>
    </row>
    <row r="14726" spans="1:12" x14ac:dyDescent="0.3">
      <c r="A14726" t="s">
        <v>271</v>
      </c>
    </row>
    <row r="14727" spans="1:12" x14ac:dyDescent="0.3">
      <c r="A14727" t="s">
        <v>125</v>
      </c>
    </row>
    <row r="14728" spans="1:12" x14ac:dyDescent="0.3">
      <c r="A14728" t="s">
        <v>126</v>
      </c>
    </row>
    <row r="14729" spans="1:12" x14ac:dyDescent="0.3">
      <c r="A14729" t="s">
        <v>127</v>
      </c>
    </row>
    <row r="14730" spans="1:12" x14ac:dyDescent="0.3">
      <c r="A14730" t="s">
        <v>167</v>
      </c>
    </row>
    <row r="14731" spans="1:12" x14ac:dyDescent="0.3">
      <c r="A14731" t="s">
        <v>526</v>
      </c>
    </row>
    <row r="14732" spans="1:12" x14ac:dyDescent="0.3">
      <c r="A14732" t="s">
        <v>496</v>
      </c>
      <c r="B14732" t="s">
        <v>72</v>
      </c>
      <c r="C14732">
        <v>1</v>
      </c>
      <c r="D14732" t="s">
        <v>79</v>
      </c>
      <c r="E14732">
        <v>0.30423099999999997</v>
      </c>
      <c r="F14732" t="s">
        <v>74</v>
      </c>
      <c r="G14732">
        <v>304.23099000000002</v>
      </c>
      <c r="H14732" t="s">
        <v>75</v>
      </c>
      <c r="I14732">
        <v>304230.98800000001</v>
      </c>
      <c r="J14732" t="s">
        <v>76</v>
      </c>
      <c r="K14732" t="s">
        <v>77</v>
      </c>
    </row>
    <row r="14733" spans="1:12" x14ac:dyDescent="0.3">
      <c r="A14733" t="s">
        <v>496</v>
      </c>
      <c r="B14733" t="s">
        <v>72</v>
      </c>
      <c r="C14733">
        <v>1</v>
      </c>
      <c r="D14733" t="s">
        <v>94</v>
      </c>
      <c r="E14733">
        <v>0.15762399999999999</v>
      </c>
      <c r="F14733" t="s">
        <v>74</v>
      </c>
      <c r="G14733">
        <v>157.62360000000001</v>
      </c>
      <c r="H14733" t="s">
        <v>75</v>
      </c>
      <c r="I14733">
        <v>157623.60399999999</v>
      </c>
      <c r="J14733" t="s">
        <v>76</v>
      </c>
      <c r="K14733" t="s">
        <v>77</v>
      </c>
    </row>
    <row r="14734" spans="1:12" x14ac:dyDescent="0.3">
      <c r="A14734" t="s">
        <v>496</v>
      </c>
      <c r="B14734" t="s">
        <v>72</v>
      </c>
      <c r="C14734">
        <v>1</v>
      </c>
      <c r="D14734" t="s">
        <v>80</v>
      </c>
      <c r="E14734">
        <v>0.15762499999999999</v>
      </c>
      <c r="F14734" t="s">
        <v>74</v>
      </c>
      <c r="G14734">
        <v>157.62470999999999</v>
      </c>
      <c r="H14734" t="s">
        <v>75</v>
      </c>
      <c r="I14734">
        <v>157624.70699999999</v>
      </c>
      <c r="J14734" t="s">
        <v>76</v>
      </c>
      <c r="K14734" t="s">
        <v>77</v>
      </c>
    </row>
    <row r="14735" spans="1:12" x14ac:dyDescent="0.3">
      <c r="A14735" t="s">
        <v>496</v>
      </c>
      <c r="B14735" t="s">
        <v>72</v>
      </c>
      <c r="C14735">
        <v>1</v>
      </c>
      <c r="D14735" t="s">
        <v>81</v>
      </c>
      <c r="E14735">
        <v>0.46185599999999999</v>
      </c>
      <c r="F14735" t="s">
        <v>74</v>
      </c>
      <c r="G14735">
        <v>461.85619000000003</v>
      </c>
      <c r="H14735" t="s">
        <v>75</v>
      </c>
      <c r="I14735">
        <v>461856.18599999999</v>
      </c>
      <c r="J14735" t="s">
        <v>76</v>
      </c>
      <c r="K14735" t="s">
        <v>82</v>
      </c>
      <c r="L14735">
        <v>2.1651761999999999</v>
      </c>
    </row>
    <row r="14736" spans="1:12" x14ac:dyDescent="0.3">
      <c r="A14736" t="s">
        <v>496</v>
      </c>
      <c r="B14736" t="s">
        <v>83</v>
      </c>
      <c r="C14736">
        <v>912</v>
      </c>
      <c r="D14736" t="s">
        <v>79</v>
      </c>
      <c r="E14736">
        <v>5.6599999999999999E-4</v>
      </c>
      <c r="F14736" t="s">
        <v>74</v>
      </c>
      <c r="G14736">
        <v>0.56610000000000005</v>
      </c>
      <c r="H14736" t="s">
        <v>75</v>
      </c>
      <c r="I14736">
        <v>566.09799999999996</v>
      </c>
      <c r="J14736" t="s">
        <v>76</v>
      </c>
      <c r="K14736" t="s">
        <v>77</v>
      </c>
    </row>
    <row r="14737" spans="1:12" x14ac:dyDescent="0.3">
      <c r="A14737" t="s">
        <v>496</v>
      </c>
      <c r="B14737" t="s">
        <v>83</v>
      </c>
      <c r="C14737">
        <v>912</v>
      </c>
      <c r="D14737" t="s">
        <v>94</v>
      </c>
      <c r="E14737">
        <v>1.044E-3</v>
      </c>
      <c r="F14737" t="s">
        <v>74</v>
      </c>
      <c r="G14737">
        <v>1.0439700000000001</v>
      </c>
      <c r="H14737" t="s">
        <v>75</v>
      </c>
      <c r="I14737">
        <v>1043.971</v>
      </c>
      <c r="J14737" t="s">
        <v>76</v>
      </c>
      <c r="K14737" t="s">
        <v>77</v>
      </c>
    </row>
    <row r="14738" spans="1:12" x14ac:dyDescent="0.3">
      <c r="A14738" t="s">
        <v>496</v>
      </c>
      <c r="B14738" t="s">
        <v>83</v>
      </c>
      <c r="C14738">
        <v>912</v>
      </c>
      <c r="D14738" t="s">
        <v>80</v>
      </c>
      <c r="E14738">
        <v>1.0449999999999999E-3</v>
      </c>
      <c r="F14738" t="s">
        <v>74</v>
      </c>
      <c r="G14738">
        <v>1.0447299999999999</v>
      </c>
      <c r="H14738" t="s">
        <v>75</v>
      </c>
      <c r="I14738">
        <v>1044.7270000000001</v>
      </c>
      <c r="J14738" t="s">
        <v>76</v>
      </c>
      <c r="K14738" t="s">
        <v>77</v>
      </c>
    </row>
    <row r="14739" spans="1:12" x14ac:dyDescent="0.3">
      <c r="A14739" t="s">
        <v>496</v>
      </c>
      <c r="B14739" t="s">
        <v>83</v>
      </c>
      <c r="C14739">
        <v>912</v>
      </c>
      <c r="D14739" t="s">
        <v>81</v>
      </c>
      <c r="E14739">
        <v>1.611E-3</v>
      </c>
      <c r="F14739" t="s">
        <v>74</v>
      </c>
      <c r="G14739">
        <v>1.6112200000000001</v>
      </c>
      <c r="H14739" t="s">
        <v>75</v>
      </c>
      <c r="I14739">
        <v>1611.2180000000001</v>
      </c>
      <c r="J14739" t="s">
        <v>76</v>
      </c>
      <c r="K14739" t="s">
        <v>82</v>
      </c>
      <c r="L14739">
        <v>620.64843299999995</v>
      </c>
    </row>
    <row r="14740" spans="1:12" x14ac:dyDescent="0.3">
      <c r="A14740" t="s">
        <v>496</v>
      </c>
      <c r="B14740" t="s">
        <v>84</v>
      </c>
      <c r="C14740">
        <v>913</v>
      </c>
      <c r="D14740" t="s">
        <v>79</v>
      </c>
      <c r="E14740">
        <v>8.9899999999999995E-4</v>
      </c>
      <c r="F14740" t="s">
        <v>74</v>
      </c>
      <c r="G14740">
        <v>0.89870000000000005</v>
      </c>
      <c r="H14740" t="s">
        <v>75</v>
      </c>
      <c r="I14740">
        <v>898.7</v>
      </c>
      <c r="J14740" t="s">
        <v>76</v>
      </c>
      <c r="K14740" t="s">
        <v>77</v>
      </c>
    </row>
    <row r="14741" spans="1:12" x14ac:dyDescent="0.3">
      <c r="A14741" t="s">
        <v>496</v>
      </c>
      <c r="B14741" t="s">
        <v>84</v>
      </c>
      <c r="C14741">
        <v>913</v>
      </c>
      <c r="D14741" t="s">
        <v>94</v>
      </c>
      <c r="E14741">
        <v>1.2149999999999999E-3</v>
      </c>
      <c r="F14741" t="s">
        <v>74</v>
      </c>
      <c r="G14741">
        <v>1.2154700000000001</v>
      </c>
      <c r="H14741" t="s">
        <v>75</v>
      </c>
      <c r="I14741">
        <v>1215.472</v>
      </c>
      <c r="J14741" t="s">
        <v>76</v>
      </c>
      <c r="K14741" t="s">
        <v>77</v>
      </c>
    </row>
    <row r="14742" spans="1:12" x14ac:dyDescent="0.3">
      <c r="A14742" t="s">
        <v>496</v>
      </c>
      <c r="B14742" t="s">
        <v>84</v>
      </c>
      <c r="C14742">
        <v>913</v>
      </c>
      <c r="D14742" t="s">
        <v>80</v>
      </c>
      <c r="E14742">
        <v>1.2160000000000001E-3</v>
      </c>
      <c r="F14742" t="s">
        <v>74</v>
      </c>
      <c r="G14742">
        <v>1.2162299999999999</v>
      </c>
      <c r="H14742" t="s">
        <v>75</v>
      </c>
      <c r="I14742">
        <v>1216.2270000000001</v>
      </c>
      <c r="J14742" t="s">
        <v>76</v>
      </c>
      <c r="K14742" t="s">
        <v>77</v>
      </c>
    </row>
    <row r="14743" spans="1:12" x14ac:dyDescent="0.3">
      <c r="A14743" t="s">
        <v>496</v>
      </c>
      <c r="B14743" t="s">
        <v>84</v>
      </c>
      <c r="C14743">
        <v>913</v>
      </c>
      <c r="D14743" t="s">
        <v>81</v>
      </c>
      <c r="E14743">
        <v>2.1150000000000001E-3</v>
      </c>
      <c r="F14743" t="s">
        <v>74</v>
      </c>
      <c r="G14743">
        <v>2.1153200000000001</v>
      </c>
      <c r="H14743" t="s">
        <v>75</v>
      </c>
      <c r="I14743">
        <v>2115.3200000000002</v>
      </c>
      <c r="J14743" t="s">
        <v>76</v>
      </c>
      <c r="K14743" t="s">
        <v>82</v>
      </c>
      <c r="L14743">
        <v>472.74173969999998</v>
      </c>
    </row>
    <row r="14744" spans="1:12" x14ac:dyDescent="0.3">
      <c r="A14744" t="s">
        <v>497</v>
      </c>
      <c r="B14744" t="s">
        <v>72</v>
      </c>
      <c r="C14744">
        <v>1</v>
      </c>
      <c r="D14744" t="s">
        <v>79</v>
      </c>
      <c r="E14744">
        <v>0.128497</v>
      </c>
      <c r="F14744" t="s">
        <v>74</v>
      </c>
      <c r="G14744">
        <v>128.49719999999999</v>
      </c>
      <c r="H14744" t="s">
        <v>75</v>
      </c>
      <c r="I14744">
        <v>128497.198</v>
      </c>
      <c r="J14744" t="s">
        <v>76</v>
      </c>
      <c r="K14744" t="s">
        <v>77</v>
      </c>
    </row>
    <row r="14745" spans="1:12" x14ac:dyDescent="0.3">
      <c r="A14745" t="s">
        <v>497</v>
      </c>
      <c r="B14745" t="s">
        <v>72</v>
      </c>
      <c r="C14745">
        <v>1</v>
      </c>
      <c r="D14745" t="s">
        <v>94</v>
      </c>
      <c r="E14745">
        <v>0.10947</v>
      </c>
      <c r="F14745" t="s">
        <v>74</v>
      </c>
      <c r="G14745">
        <v>109.4701</v>
      </c>
      <c r="H14745" t="s">
        <v>75</v>
      </c>
      <c r="I14745">
        <v>109470.099</v>
      </c>
      <c r="J14745" t="s">
        <v>76</v>
      </c>
      <c r="K14745" t="s">
        <v>77</v>
      </c>
    </row>
    <row r="14746" spans="1:12" x14ac:dyDescent="0.3">
      <c r="A14746" t="s">
        <v>497</v>
      </c>
      <c r="B14746" t="s">
        <v>72</v>
      </c>
      <c r="C14746">
        <v>1</v>
      </c>
      <c r="D14746" t="s">
        <v>80</v>
      </c>
      <c r="E14746">
        <v>0.109471</v>
      </c>
      <c r="F14746" t="s">
        <v>74</v>
      </c>
      <c r="G14746">
        <v>109.47150000000001</v>
      </c>
      <c r="H14746" t="s">
        <v>75</v>
      </c>
      <c r="I14746">
        <v>109471.5</v>
      </c>
      <c r="J14746" t="s">
        <v>76</v>
      </c>
      <c r="K14746" t="s">
        <v>77</v>
      </c>
    </row>
    <row r="14747" spans="1:12" x14ac:dyDescent="0.3">
      <c r="A14747" t="s">
        <v>497</v>
      </c>
      <c r="B14747" t="s">
        <v>72</v>
      </c>
      <c r="C14747">
        <v>1</v>
      </c>
      <c r="D14747" t="s">
        <v>81</v>
      </c>
      <c r="E14747">
        <v>0.23796999999999999</v>
      </c>
      <c r="F14747" t="s">
        <v>74</v>
      </c>
      <c r="G14747">
        <v>237.96950000000001</v>
      </c>
      <c r="H14747" t="s">
        <v>75</v>
      </c>
      <c r="I14747">
        <v>237969.503</v>
      </c>
      <c r="J14747" t="s">
        <v>76</v>
      </c>
      <c r="K14747" t="s">
        <v>82</v>
      </c>
      <c r="L14747">
        <v>4.2022190999999998</v>
      </c>
    </row>
    <row r="14748" spans="1:12" x14ac:dyDescent="0.3">
      <c r="A14748" t="s">
        <v>497</v>
      </c>
      <c r="B14748" t="s">
        <v>83</v>
      </c>
      <c r="C14748">
        <v>87</v>
      </c>
      <c r="D14748" t="s">
        <v>79</v>
      </c>
      <c r="E14748">
        <v>7.5100000000000004E-4</v>
      </c>
      <c r="F14748" t="s">
        <v>74</v>
      </c>
      <c r="G14748">
        <v>0.75060000000000004</v>
      </c>
      <c r="H14748" t="s">
        <v>75</v>
      </c>
      <c r="I14748">
        <v>750.601</v>
      </c>
      <c r="J14748" t="s">
        <v>76</v>
      </c>
      <c r="K14748" t="s">
        <v>77</v>
      </c>
    </row>
    <row r="14749" spans="1:12" x14ac:dyDescent="0.3">
      <c r="A14749" t="s">
        <v>497</v>
      </c>
      <c r="B14749" t="s">
        <v>83</v>
      </c>
      <c r="C14749">
        <v>87</v>
      </c>
      <c r="D14749" t="s">
        <v>94</v>
      </c>
      <c r="E14749">
        <v>1.8849000000000001E-2</v>
      </c>
      <c r="F14749" t="s">
        <v>74</v>
      </c>
      <c r="G14749">
        <v>18.848500000000001</v>
      </c>
      <c r="H14749" t="s">
        <v>75</v>
      </c>
      <c r="I14749">
        <v>18848.504000000001</v>
      </c>
      <c r="J14749" t="s">
        <v>76</v>
      </c>
      <c r="K14749" t="s">
        <v>77</v>
      </c>
    </row>
    <row r="14750" spans="1:12" x14ac:dyDescent="0.3">
      <c r="A14750" t="s">
        <v>497</v>
      </c>
      <c r="B14750" t="s">
        <v>83</v>
      </c>
      <c r="C14750">
        <v>87</v>
      </c>
      <c r="D14750" t="s">
        <v>80</v>
      </c>
      <c r="E14750">
        <v>1.8849999999999999E-2</v>
      </c>
      <c r="F14750" t="s">
        <v>74</v>
      </c>
      <c r="G14750">
        <v>18.849630000000001</v>
      </c>
      <c r="H14750" t="s">
        <v>75</v>
      </c>
      <c r="I14750">
        <v>18849.633000000002</v>
      </c>
      <c r="J14750" t="s">
        <v>76</v>
      </c>
      <c r="K14750" t="s">
        <v>77</v>
      </c>
    </row>
    <row r="14751" spans="1:12" x14ac:dyDescent="0.3">
      <c r="A14751" t="s">
        <v>497</v>
      </c>
      <c r="B14751" t="s">
        <v>83</v>
      </c>
      <c r="C14751">
        <v>87</v>
      </c>
      <c r="D14751" t="s">
        <v>81</v>
      </c>
      <c r="E14751">
        <v>1.9601E-2</v>
      </c>
      <c r="F14751" t="s">
        <v>74</v>
      </c>
      <c r="G14751">
        <v>19.600719999999999</v>
      </c>
      <c r="H14751" t="s">
        <v>75</v>
      </c>
      <c r="I14751">
        <v>19600.722000000002</v>
      </c>
      <c r="J14751" t="s">
        <v>76</v>
      </c>
      <c r="K14751" t="s">
        <v>82</v>
      </c>
      <c r="L14751">
        <v>51.018529800000003</v>
      </c>
    </row>
    <row r="14752" spans="1:12" x14ac:dyDescent="0.3">
      <c r="A14752" t="s">
        <v>497</v>
      </c>
      <c r="B14752" t="s">
        <v>84</v>
      </c>
      <c r="C14752">
        <v>88</v>
      </c>
      <c r="D14752" t="s">
        <v>79</v>
      </c>
      <c r="E14752">
        <v>2.202E-3</v>
      </c>
      <c r="F14752" t="s">
        <v>74</v>
      </c>
      <c r="G14752">
        <v>2.2022699999999999</v>
      </c>
      <c r="H14752" t="s">
        <v>75</v>
      </c>
      <c r="I14752">
        <v>2202.2660000000001</v>
      </c>
      <c r="J14752" t="s">
        <v>76</v>
      </c>
      <c r="K14752" t="s">
        <v>77</v>
      </c>
    </row>
    <row r="14753" spans="1:12" x14ac:dyDescent="0.3">
      <c r="A14753" t="s">
        <v>497</v>
      </c>
      <c r="B14753" t="s">
        <v>84</v>
      </c>
      <c r="C14753">
        <v>88</v>
      </c>
      <c r="D14753" t="s">
        <v>94</v>
      </c>
      <c r="E14753">
        <v>1.9878E-2</v>
      </c>
      <c r="F14753" t="s">
        <v>74</v>
      </c>
      <c r="G14753">
        <v>19.87829</v>
      </c>
      <c r="H14753" t="s">
        <v>75</v>
      </c>
      <c r="I14753">
        <v>19878.294000000002</v>
      </c>
      <c r="J14753" t="s">
        <v>76</v>
      </c>
      <c r="K14753" t="s">
        <v>77</v>
      </c>
    </row>
    <row r="14754" spans="1:12" x14ac:dyDescent="0.3">
      <c r="A14754" t="s">
        <v>497</v>
      </c>
      <c r="B14754" t="s">
        <v>84</v>
      </c>
      <c r="C14754">
        <v>88</v>
      </c>
      <c r="D14754" t="s">
        <v>80</v>
      </c>
      <c r="E14754">
        <v>1.9879000000000001E-2</v>
      </c>
      <c r="F14754" t="s">
        <v>74</v>
      </c>
      <c r="G14754">
        <v>19.879429999999999</v>
      </c>
      <c r="H14754" t="s">
        <v>75</v>
      </c>
      <c r="I14754">
        <v>19879.428</v>
      </c>
      <c r="J14754" t="s">
        <v>76</v>
      </c>
      <c r="K14754" t="s">
        <v>77</v>
      </c>
    </row>
    <row r="14755" spans="1:12" x14ac:dyDescent="0.3">
      <c r="A14755" t="s">
        <v>497</v>
      </c>
      <c r="B14755" t="s">
        <v>84</v>
      </c>
      <c r="C14755">
        <v>88</v>
      </c>
      <c r="D14755" t="s">
        <v>81</v>
      </c>
      <c r="E14755">
        <v>2.2082000000000001E-2</v>
      </c>
      <c r="F14755" t="s">
        <v>74</v>
      </c>
      <c r="G14755">
        <v>22.082180000000001</v>
      </c>
      <c r="H14755" t="s">
        <v>75</v>
      </c>
      <c r="I14755">
        <v>22082.182000000001</v>
      </c>
      <c r="J14755" t="s">
        <v>76</v>
      </c>
      <c r="K14755" t="s">
        <v>82</v>
      </c>
      <c r="L14755">
        <v>45.285378799999997</v>
      </c>
    </row>
    <row r="14756" spans="1:12" x14ac:dyDescent="0.3">
      <c r="A14756" t="s">
        <v>498</v>
      </c>
      <c r="B14756" t="s">
        <v>72</v>
      </c>
      <c r="C14756">
        <v>1</v>
      </c>
      <c r="D14756" t="s">
        <v>73</v>
      </c>
      <c r="E14756">
        <v>5.5999999999999999E-5</v>
      </c>
      <c r="F14756" t="s">
        <v>74</v>
      </c>
      <c r="G14756">
        <v>5.5599999999999997E-2</v>
      </c>
      <c r="H14756" t="s">
        <v>75</v>
      </c>
      <c r="I14756">
        <v>55.6</v>
      </c>
      <c r="J14756" t="s">
        <v>76</v>
      </c>
      <c r="K14756" t="s">
        <v>77</v>
      </c>
    </row>
    <row r="14757" spans="1:12" x14ac:dyDescent="0.3">
      <c r="A14757" t="s">
        <v>498</v>
      </c>
      <c r="B14757" t="s">
        <v>72</v>
      </c>
      <c r="C14757">
        <v>1</v>
      </c>
      <c r="D14757" t="s">
        <v>78</v>
      </c>
      <c r="E14757">
        <v>0.133213</v>
      </c>
      <c r="F14757" t="s">
        <v>74</v>
      </c>
      <c r="G14757">
        <v>133.21270000000001</v>
      </c>
      <c r="H14757" t="s">
        <v>75</v>
      </c>
      <c r="I14757">
        <v>133212.70000000001</v>
      </c>
      <c r="J14757" t="s">
        <v>76</v>
      </c>
      <c r="K14757" t="s">
        <v>77</v>
      </c>
    </row>
    <row r="14758" spans="1:12" x14ac:dyDescent="0.3">
      <c r="A14758" t="s">
        <v>498</v>
      </c>
      <c r="B14758" t="s">
        <v>72</v>
      </c>
      <c r="C14758">
        <v>2</v>
      </c>
      <c r="D14758" t="s">
        <v>86</v>
      </c>
      <c r="E14758">
        <v>0.23095599999999999</v>
      </c>
      <c r="F14758" t="s">
        <v>74</v>
      </c>
      <c r="G14758">
        <v>230.9563</v>
      </c>
      <c r="H14758" t="s">
        <v>75</v>
      </c>
      <c r="I14758">
        <v>230956.30100000001</v>
      </c>
      <c r="J14758" t="s">
        <v>76</v>
      </c>
      <c r="K14758" t="s">
        <v>82</v>
      </c>
      <c r="L14758">
        <v>4.3298234000000004</v>
      </c>
    </row>
    <row r="14759" spans="1:12" x14ac:dyDescent="0.3">
      <c r="A14759" t="s">
        <v>498</v>
      </c>
      <c r="B14759" t="s">
        <v>83</v>
      </c>
      <c r="C14759">
        <v>999</v>
      </c>
      <c r="D14759" t="s">
        <v>86</v>
      </c>
      <c r="E14759">
        <v>1.694E-3</v>
      </c>
      <c r="F14759" t="s">
        <v>74</v>
      </c>
      <c r="G14759">
        <v>1.6941299999999999</v>
      </c>
      <c r="H14759" t="s">
        <v>75</v>
      </c>
      <c r="I14759">
        <v>1694.1289999999999</v>
      </c>
      <c r="J14759" t="s">
        <v>76</v>
      </c>
      <c r="K14759" t="s">
        <v>82</v>
      </c>
      <c r="L14759">
        <v>590.27372639999999</v>
      </c>
    </row>
    <row r="14760" spans="1:12" x14ac:dyDescent="0.3">
      <c r="A14760" t="s">
        <v>498</v>
      </c>
      <c r="B14760" t="s">
        <v>85</v>
      </c>
      <c r="C14760">
        <v>1001</v>
      </c>
      <c r="D14760" t="s">
        <v>86</v>
      </c>
      <c r="E14760">
        <v>1.9469999999999999E-3</v>
      </c>
      <c r="F14760" t="s">
        <v>74</v>
      </c>
      <c r="G14760">
        <v>1.9473800000000001</v>
      </c>
      <c r="H14760" t="s">
        <v>75</v>
      </c>
      <c r="I14760">
        <v>1947.3779999999999</v>
      </c>
      <c r="J14760" t="s">
        <v>76</v>
      </c>
      <c r="K14760" t="s">
        <v>82</v>
      </c>
      <c r="L14760">
        <v>513.51090780000004</v>
      </c>
    </row>
    <row r="14761" spans="1:12" x14ac:dyDescent="0.3">
      <c r="A14761" t="s">
        <v>169</v>
      </c>
    </row>
    <row r="14762" spans="1:12" x14ac:dyDescent="0.3">
      <c r="A14762" t="s">
        <v>169</v>
      </c>
    </row>
    <row r="14763" spans="1:12" x14ac:dyDescent="0.3">
      <c r="A14763" t="s">
        <v>527</v>
      </c>
    </row>
    <row r="14764" spans="1:12" x14ac:dyDescent="0.3">
      <c r="A14764" t="s">
        <v>496</v>
      </c>
      <c r="B14764" t="s">
        <v>72</v>
      </c>
      <c r="C14764">
        <v>1</v>
      </c>
      <c r="D14764" t="s">
        <v>79</v>
      </c>
      <c r="E14764">
        <v>6.2509999999999996E-3</v>
      </c>
      <c r="F14764" t="s">
        <v>74</v>
      </c>
      <c r="G14764">
        <v>6.2507000000000001</v>
      </c>
      <c r="H14764" t="s">
        <v>75</v>
      </c>
      <c r="I14764">
        <v>6250.7</v>
      </c>
      <c r="J14764" t="s">
        <v>76</v>
      </c>
      <c r="K14764" t="s">
        <v>77</v>
      </c>
    </row>
    <row r="14765" spans="1:12" x14ac:dyDescent="0.3">
      <c r="A14765" t="s">
        <v>496</v>
      </c>
      <c r="B14765" t="s">
        <v>72</v>
      </c>
      <c r="C14765">
        <v>1</v>
      </c>
      <c r="D14765" t="s">
        <v>94</v>
      </c>
      <c r="E14765">
        <v>4.6340000000000001E-3</v>
      </c>
      <c r="F14765" t="s">
        <v>74</v>
      </c>
      <c r="G14765">
        <v>4.6342999999999996</v>
      </c>
      <c r="H14765" t="s">
        <v>75</v>
      </c>
      <c r="I14765">
        <v>4634.3</v>
      </c>
      <c r="J14765" t="s">
        <v>76</v>
      </c>
      <c r="K14765" t="s">
        <v>77</v>
      </c>
    </row>
    <row r="14766" spans="1:12" x14ac:dyDescent="0.3">
      <c r="A14766" t="s">
        <v>496</v>
      </c>
      <c r="B14766" t="s">
        <v>72</v>
      </c>
      <c r="C14766">
        <v>1</v>
      </c>
      <c r="D14766" t="s">
        <v>80</v>
      </c>
      <c r="E14766">
        <v>4.6360000000000004E-3</v>
      </c>
      <c r="F14766" t="s">
        <v>74</v>
      </c>
      <c r="G14766">
        <v>4.6361999999999997</v>
      </c>
      <c r="H14766" t="s">
        <v>75</v>
      </c>
      <c r="I14766">
        <v>4636.2</v>
      </c>
      <c r="J14766" t="s">
        <v>76</v>
      </c>
      <c r="K14766" t="s">
        <v>77</v>
      </c>
    </row>
    <row r="14767" spans="1:12" x14ac:dyDescent="0.3">
      <c r="A14767" t="s">
        <v>496</v>
      </c>
      <c r="B14767" t="s">
        <v>72</v>
      </c>
      <c r="C14767">
        <v>1</v>
      </c>
      <c r="D14767" t="s">
        <v>81</v>
      </c>
      <c r="E14767">
        <v>1.0887000000000001E-2</v>
      </c>
      <c r="F14767" t="s">
        <v>74</v>
      </c>
      <c r="G14767">
        <v>10.8871</v>
      </c>
      <c r="H14767" t="s">
        <v>75</v>
      </c>
      <c r="I14767">
        <v>10887.1</v>
      </c>
      <c r="J14767" t="s">
        <v>76</v>
      </c>
      <c r="K14767" t="s">
        <v>82</v>
      </c>
      <c r="L14767">
        <v>91.851821599999994</v>
      </c>
    </row>
    <row r="14768" spans="1:12" x14ac:dyDescent="0.3">
      <c r="A14768" t="s">
        <v>496</v>
      </c>
      <c r="B14768" t="s">
        <v>83</v>
      </c>
      <c r="C14768">
        <v>875</v>
      </c>
      <c r="D14768" t="s">
        <v>79</v>
      </c>
      <c r="E14768">
        <v>8.7200000000000005E-4</v>
      </c>
      <c r="F14768" t="s">
        <v>74</v>
      </c>
      <c r="G14768">
        <v>0.87160000000000004</v>
      </c>
      <c r="H14768" t="s">
        <v>75</v>
      </c>
      <c r="I14768">
        <v>871.596</v>
      </c>
      <c r="J14768" t="s">
        <v>76</v>
      </c>
      <c r="K14768" t="s">
        <v>77</v>
      </c>
    </row>
    <row r="14769" spans="1:12" x14ac:dyDescent="0.3">
      <c r="A14769" t="s">
        <v>496</v>
      </c>
      <c r="B14769" t="s">
        <v>83</v>
      </c>
      <c r="C14769">
        <v>875</v>
      </c>
      <c r="D14769" t="s">
        <v>94</v>
      </c>
      <c r="E14769">
        <v>2.1090000000000002E-3</v>
      </c>
      <c r="F14769" t="s">
        <v>74</v>
      </c>
      <c r="G14769">
        <v>2.109</v>
      </c>
      <c r="H14769" t="s">
        <v>75</v>
      </c>
      <c r="I14769">
        <v>2109.0039999999999</v>
      </c>
      <c r="J14769" t="s">
        <v>76</v>
      </c>
      <c r="K14769" t="s">
        <v>77</v>
      </c>
    </row>
    <row r="14770" spans="1:12" x14ac:dyDescent="0.3">
      <c r="A14770" t="s">
        <v>496</v>
      </c>
      <c r="B14770" t="s">
        <v>83</v>
      </c>
      <c r="C14770">
        <v>875</v>
      </c>
      <c r="D14770" t="s">
        <v>80</v>
      </c>
      <c r="E14770">
        <v>2.398E-3</v>
      </c>
      <c r="F14770" t="s">
        <v>74</v>
      </c>
      <c r="G14770">
        <v>2.3978999999999999</v>
      </c>
      <c r="H14770" t="s">
        <v>75</v>
      </c>
      <c r="I14770">
        <v>2397.8989999999999</v>
      </c>
      <c r="J14770" t="s">
        <v>76</v>
      </c>
      <c r="K14770" t="s">
        <v>77</v>
      </c>
    </row>
    <row r="14771" spans="1:12" x14ac:dyDescent="0.3">
      <c r="A14771" t="s">
        <v>496</v>
      </c>
      <c r="B14771" t="s">
        <v>83</v>
      </c>
      <c r="C14771">
        <v>875</v>
      </c>
      <c r="D14771" t="s">
        <v>81</v>
      </c>
      <c r="E14771">
        <v>3.2699999999999999E-3</v>
      </c>
      <c r="F14771" t="s">
        <v>74</v>
      </c>
      <c r="G14771">
        <v>3.2704800000000001</v>
      </c>
      <c r="H14771" t="s">
        <v>75</v>
      </c>
      <c r="I14771">
        <v>3270.4769999999999</v>
      </c>
      <c r="J14771" t="s">
        <v>76</v>
      </c>
      <c r="K14771" t="s">
        <v>82</v>
      </c>
      <c r="L14771">
        <v>305.76579290000001</v>
      </c>
    </row>
    <row r="14772" spans="1:12" x14ac:dyDescent="0.3">
      <c r="A14772" t="s">
        <v>496</v>
      </c>
      <c r="B14772" t="s">
        <v>84</v>
      </c>
      <c r="C14772">
        <v>876</v>
      </c>
      <c r="D14772" t="s">
        <v>79</v>
      </c>
      <c r="E14772">
        <v>8.7799999999999998E-4</v>
      </c>
      <c r="F14772" t="s">
        <v>74</v>
      </c>
      <c r="G14772">
        <v>0.87773999999999996</v>
      </c>
      <c r="H14772" t="s">
        <v>75</v>
      </c>
      <c r="I14772">
        <v>877.73599999999999</v>
      </c>
      <c r="J14772" t="s">
        <v>76</v>
      </c>
      <c r="K14772" t="s">
        <v>77</v>
      </c>
    </row>
    <row r="14773" spans="1:12" x14ac:dyDescent="0.3">
      <c r="A14773" t="s">
        <v>496</v>
      </c>
      <c r="B14773" t="s">
        <v>84</v>
      </c>
      <c r="C14773">
        <v>876</v>
      </c>
      <c r="D14773" t="s">
        <v>94</v>
      </c>
      <c r="E14773">
        <v>2.1120000000000002E-3</v>
      </c>
      <c r="F14773" t="s">
        <v>74</v>
      </c>
      <c r="G14773">
        <v>2.1118899999999998</v>
      </c>
      <c r="H14773" t="s">
        <v>75</v>
      </c>
      <c r="I14773">
        <v>2111.8870000000002</v>
      </c>
      <c r="J14773" t="s">
        <v>76</v>
      </c>
      <c r="K14773" t="s">
        <v>77</v>
      </c>
    </row>
    <row r="14774" spans="1:12" x14ac:dyDescent="0.3">
      <c r="A14774" t="s">
        <v>496</v>
      </c>
      <c r="B14774" t="s">
        <v>84</v>
      </c>
      <c r="C14774">
        <v>876</v>
      </c>
      <c r="D14774" t="s">
        <v>80</v>
      </c>
      <c r="E14774">
        <v>2.3999999999999998E-3</v>
      </c>
      <c r="F14774" t="s">
        <v>74</v>
      </c>
      <c r="G14774">
        <v>2.4004500000000002</v>
      </c>
      <c r="H14774" t="s">
        <v>75</v>
      </c>
      <c r="I14774">
        <v>2400.4549999999999</v>
      </c>
      <c r="J14774" t="s">
        <v>76</v>
      </c>
      <c r="K14774" t="s">
        <v>77</v>
      </c>
    </row>
    <row r="14775" spans="1:12" x14ac:dyDescent="0.3">
      <c r="A14775" t="s">
        <v>496</v>
      </c>
      <c r="B14775" t="s">
        <v>84</v>
      </c>
      <c r="C14775">
        <v>876</v>
      </c>
      <c r="D14775" t="s">
        <v>81</v>
      </c>
      <c r="E14775">
        <v>3.2789999999999998E-3</v>
      </c>
      <c r="F14775" t="s">
        <v>74</v>
      </c>
      <c r="G14775">
        <v>3.2791700000000001</v>
      </c>
      <c r="H14775" t="s">
        <v>75</v>
      </c>
      <c r="I14775">
        <v>3279.172</v>
      </c>
      <c r="J14775" t="s">
        <v>76</v>
      </c>
      <c r="K14775" t="s">
        <v>82</v>
      </c>
      <c r="L14775">
        <v>304.95504529999999</v>
      </c>
    </row>
    <row r="14776" spans="1:12" x14ac:dyDescent="0.3">
      <c r="A14776" t="s">
        <v>497</v>
      </c>
      <c r="B14776" t="s">
        <v>72</v>
      </c>
      <c r="C14776">
        <v>1</v>
      </c>
      <c r="D14776" t="s">
        <v>79</v>
      </c>
      <c r="E14776">
        <v>8.7430000000000008E-3</v>
      </c>
      <c r="F14776" t="s">
        <v>74</v>
      </c>
      <c r="G14776">
        <v>8.7432999999999996</v>
      </c>
      <c r="H14776" t="s">
        <v>75</v>
      </c>
      <c r="I14776">
        <v>8743.2999999999993</v>
      </c>
      <c r="J14776" t="s">
        <v>76</v>
      </c>
      <c r="K14776" t="s">
        <v>77</v>
      </c>
    </row>
    <row r="14777" spans="1:12" x14ac:dyDescent="0.3">
      <c r="A14777" t="s">
        <v>497</v>
      </c>
      <c r="B14777" t="s">
        <v>72</v>
      </c>
      <c r="C14777">
        <v>1</v>
      </c>
      <c r="D14777" t="s">
        <v>94</v>
      </c>
      <c r="E14777">
        <v>4.4450000000000003E-2</v>
      </c>
      <c r="F14777" t="s">
        <v>74</v>
      </c>
      <c r="G14777">
        <v>44.450499999999998</v>
      </c>
      <c r="H14777" t="s">
        <v>75</v>
      </c>
      <c r="I14777">
        <v>44450.499000000003</v>
      </c>
      <c r="J14777" t="s">
        <v>76</v>
      </c>
      <c r="K14777" t="s">
        <v>77</v>
      </c>
    </row>
    <row r="14778" spans="1:12" x14ac:dyDescent="0.3">
      <c r="A14778" t="s">
        <v>497</v>
      </c>
      <c r="B14778" t="s">
        <v>72</v>
      </c>
      <c r="C14778">
        <v>1</v>
      </c>
      <c r="D14778" t="s">
        <v>80</v>
      </c>
      <c r="E14778">
        <v>4.4451999999999998E-2</v>
      </c>
      <c r="F14778" t="s">
        <v>74</v>
      </c>
      <c r="G14778">
        <v>44.451500000000003</v>
      </c>
      <c r="H14778" t="s">
        <v>75</v>
      </c>
      <c r="I14778">
        <v>44451.500999999997</v>
      </c>
      <c r="J14778" t="s">
        <v>76</v>
      </c>
      <c r="K14778" t="s">
        <v>77</v>
      </c>
    </row>
    <row r="14779" spans="1:12" x14ac:dyDescent="0.3">
      <c r="A14779" t="s">
        <v>497</v>
      </c>
      <c r="B14779" t="s">
        <v>72</v>
      </c>
      <c r="C14779">
        <v>1</v>
      </c>
      <c r="D14779" t="s">
        <v>81</v>
      </c>
      <c r="E14779">
        <v>5.3194999999999999E-2</v>
      </c>
      <c r="F14779" t="s">
        <v>74</v>
      </c>
      <c r="G14779">
        <v>53.195099999999996</v>
      </c>
      <c r="H14779" t="s">
        <v>75</v>
      </c>
      <c r="I14779">
        <v>53195.1</v>
      </c>
      <c r="J14779" t="s">
        <v>76</v>
      </c>
      <c r="K14779" t="s">
        <v>82</v>
      </c>
      <c r="L14779">
        <v>18.798723800000001</v>
      </c>
    </row>
    <row r="14780" spans="1:12" x14ac:dyDescent="0.3">
      <c r="A14780" t="s">
        <v>497</v>
      </c>
      <c r="B14780" t="s">
        <v>83</v>
      </c>
      <c r="C14780">
        <v>124</v>
      </c>
      <c r="D14780" t="s">
        <v>79</v>
      </c>
      <c r="E14780">
        <v>7.54E-4</v>
      </c>
      <c r="F14780" t="s">
        <v>74</v>
      </c>
      <c r="G14780">
        <v>0.75378000000000001</v>
      </c>
      <c r="H14780" t="s">
        <v>75</v>
      </c>
      <c r="I14780">
        <v>753.77800000000002</v>
      </c>
      <c r="J14780" t="s">
        <v>76</v>
      </c>
      <c r="K14780" t="s">
        <v>77</v>
      </c>
    </row>
    <row r="14781" spans="1:12" x14ac:dyDescent="0.3">
      <c r="A14781" t="s">
        <v>497</v>
      </c>
      <c r="B14781" t="s">
        <v>83</v>
      </c>
      <c r="C14781">
        <v>124</v>
      </c>
      <c r="D14781" t="s">
        <v>94</v>
      </c>
      <c r="E14781">
        <v>2.1763000000000001E-2</v>
      </c>
      <c r="F14781" t="s">
        <v>74</v>
      </c>
      <c r="G14781">
        <v>21.76266</v>
      </c>
      <c r="H14781" t="s">
        <v>75</v>
      </c>
      <c r="I14781">
        <v>21762.655999999999</v>
      </c>
      <c r="J14781" t="s">
        <v>76</v>
      </c>
      <c r="K14781" t="s">
        <v>77</v>
      </c>
    </row>
    <row r="14782" spans="1:12" x14ac:dyDescent="0.3">
      <c r="A14782" t="s">
        <v>497</v>
      </c>
      <c r="B14782" t="s">
        <v>83</v>
      </c>
      <c r="C14782">
        <v>124</v>
      </c>
      <c r="D14782" t="s">
        <v>80</v>
      </c>
      <c r="E14782">
        <v>2.2057E-2</v>
      </c>
      <c r="F14782" t="s">
        <v>74</v>
      </c>
      <c r="G14782">
        <v>22.057009999999998</v>
      </c>
      <c r="H14782" t="s">
        <v>75</v>
      </c>
      <c r="I14782">
        <v>22057.013999999999</v>
      </c>
      <c r="J14782" t="s">
        <v>76</v>
      </c>
      <c r="K14782" t="s">
        <v>77</v>
      </c>
    </row>
    <row r="14783" spans="1:12" x14ac:dyDescent="0.3">
      <c r="A14783" t="s">
        <v>497</v>
      </c>
      <c r="B14783" t="s">
        <v>83</v>
      </c>
      <c r="C14783">
        <v>124</v>
      </c>
      <c r="D14783" t="s">
        <v>81</v>
      </c>
      <c r="E14783">
        <v>2.2811000000000001E-2</v>
      </c>
      <c r="F14783" t="s">
        <v>74</v>
      </c>
      <c r="G14783">
        <v>22.81146</v>
      </c>
      <c r="H14783" t="s">
        <v>75</v>
      </c>
      <c r="I14783">
        <v>22811.465</v>
      </c>
      <c r="J14783" t="s">
        <v>76</v>
      </c>
      <c r="K14783" t="s">
        <v>82</v>
      </c>
      <c r="L14783">
        <v>43.8376059</v>
      </c>
    </row>
    <row r="14784" spans="1:12" x14ac:dyDescent="0.3">
      <c r="A14784" t="s">
        <v>497</v>
      </c>
      <c r="B14784" t="s">
        <v>84</v>
      </c>
      <c r="C14784">
        <v>125</v>
      </c>
      <c r="D14784" t="s">
        <v>79</v>
      </c>
      <c r="E14784">
        <v>8.1800000000000004E-4</v>
      </c>
      <c r="F14784" t="s">
        <v>74</v>
      </c>
      <c r="G14784">
        <v>0.81769000000000003</v>
      </c>
      <c r="H14784" t="s">
        <v>75</v>
      </c>
      <c r="I14784">
        <v>817.69399999999996</v>
      </c>
      <c r="J14784" t="s">
        <v>76</v>
      </c>
      <c r="K14784" t="s">
        <v>77</v>
      </c>
    </row>
    <row r="14785" spans="1:12" x14ac:dyDescent="0.3">
      <c r="A14785" t="s">
        <v>497</v>
      </c>
      <c r="B14785" t="s">
        <v>84</v>
      </c>
      <c r="C14785">
        <v>125</v>
      </c>
      <c r="D14785" t="s">
        <v>94</v>
      </c>
      <c r="E14785">
        <v>2.1944000000000002E-2</v>
      </c>
      <c r="F14785" t="s">
        <v>74</v>
      </c>
      <c r="G14785">
        <v>21.94416</v>
      </c>
      <c r="H14785" t="s">
        <v>75</v>
      </c>
      <c r="I14785">
        <v>21944.159</v>
      </c>
      <c r="J14785" t="s">
        <v>76</v>
      </c>
      <c r="K14785" t="s">
        <v>77</v>
      </c>
    </row>
    <row r="14786" spans="1:12" x14ac:dyDescent="0.3">
      <c r="A14786" t="s">
        <v>497</v>
      </c>
      <c r="B14786" t="s">
        <v>84</v>
      </c>
      <c r="C14786">
        <v>125</v>
      </c>
      <c r="D14786" t="s">
        <v>80</v>
      </c>
      <c r="E14786">
        <v>2.2235999999999999E-2</v>
      </c>
      <c r="F14786" t="s">
        <v>74</v>
      </c>
      <c r="G14786">
        <v>22.236170000000001</v>
      </c>
      <c r="H14786" t="s">
        <v>75</v>
      </c>
      <c r="I14786">
        <v>22236.171999999999</v>
      </c>
      <c r="J14786" t="s">
        <v>76</v>
      </c>
      <c r="K14786" t="s">
        <v>77</v>
      </c>
    </row>
    <row r="14787" spans="1:12" x14ac:dyDescent="0.3">
      <c r="A14787" t="s">
        <v>497</v>
      </c>
      <c r="B14787" t="s">
        <v>84</v>
      </c>
      <c r="C14787">
        <v>125</v>
      </c>
      <c r="D14787" t="s">
        <v>81</v>
      </c>
      <c r="E14787">
        <v>2.3054999999999999E-2</v>
      </c>
      <c r="F14787" t="s">
        <v>74</v>
      </c>
      <c r="G14787">
        <v>23.05453</v>
      </c>
      <c r="H14787" t="s">
        <v>75</v>
      </c>
      <c r="I14787">
        <v>23054.535</v>
      </c>
      <c r="J14787" t="s">
        <v>76</v>
      </c>
      <c r="K14787" t="s">
        <v>82</v>
      </c>
      <c r="L14787">
        <v>43.375414200000002</v>
      </c>
    </row>
    <row r="14788" spans="1:12" x14ac:dyDescent="0.3">
      <c r="A14788" t="s">
        <v>498</v>
      </c>
      <c r="B14788" t="s">
        <v>72</v>
      </c>
      <c r="C14788">
        <v>1</v>
      </c>
      <c r="D14788" t="s">
        <v>73</v>
      </c>
      <c r="E14788">
        <v>5.5999999999999999E-5</v>
      </c>
      <c r="F14788" t="s">
        <v>74</v>
      </c>
      <c r="G14788">
        <v>5.5599999999999997E-2</v>
      </c>
      <c r="H14788" t="s">
        <v>75</v>
      </c>
      <c r="I14788">
        <v>55.6</v>
      </c>
      <c r="J14788" t="s">
        <v>76</v>
      </c>
      <c r="K14788" t="s">
        <v>77</v>
      </c>
    </row>
    <row r="14789" spans="1:12" x14ac:dyDescent="0.3">
      <c r="A14789" t="s">
        <v>498</v>
      </c>
      <c r="B14789" t="s">
        <v>72</v>
      </c>
      <c r="C14789">
        <v>1</v>
      </c>
      <c r="D14789" t="s">
        <v>78</v>
      </c>
      <c r="E14789">
        <v>5.2899999999999996E-4</v>
      </c>
      <c r="F14789" t="s">
        <v>74</v>
      </c>
      <c r="G14789">
        <v>0.52869999999999995</v>
      </c>
      <c r="H14789" t="s">
        <v>75</v>
      </c>
      <c r="I14789">
        <v>528.70000000000005</v>
      </c>
      <c r="J14789" t="s">
        <v>76</v>
      </c>
      <c r="K14789" t="s">
        <v>77</v>
      </c>
    </row>
    <row r="14790" spans="1:12" x14ac:dyDescent="0.3">
      <c r="A14790" t="s">
        <v>498</v>
      </c>
      <c r="B14790" t="s">
        <v>72</v>
      </c>
      <c r="C14790">
        <v>2</v>
      </c>
      <c r="D14790" t="s">
        <v>86</v>
      </c>
      <c r="E14790">
        <v>2.6602000000000001E-2</v>
      </c>
      <c r="F14790" t="s">
        <v>74</v>
      </c>
      <c r="G14790">
        <v>26.601600000000001</v>
      </c>
      <c r="H14790" t="s">
        <v>75</v>
      </c>
      <c r="I14790">
        <v>26601.599999999999</v>
      </c>
      <c r="J14790" t="s">
        <v>76</v>
      </c>
      <c r="K14790" t="s">
        <v>82</v>
      </c>
      <c r="L14790">
        <v>37.591724499999998</v>
      </c>
    </row>
    <row r="14791" spans="1:12" x14ac:dyDescent="0.3">
      <c r="A14791" t="s">
        <v>498</v>
      </c>
      <c r="B14791" t="s">
        <v>83</v>
      </c>
      <c r="C14791">
        <v>999</v>
      </c>
      <c r="D14791" t="s">
        <v>86</v>
      </c>
      <c r="E14791">
        <v>2.8890000000000001E-3</v>
      </c>
      <c r="F14791" t="s">
        <v>74</v>
      </c>
      <c r="G14791">
        <v>2.8888600000000002</v>
      </c>
      <c r="H14791" t="s">
        <v>75</v>
      </c>
      <c r="I14791">
        <v>2888.8629999999998</v>
      </c>
      <c r="J14791" t="s">
        <v>76</v>
      </c>
      <c r="K14791" t="s">
        <v>82</v>
      </c>
      <c r="L14791">
        <v>346.1570016</v>
      </c>
    </row>
    <row r="14792" spans="1:12" x14ac:dyDescent="0.3">
      <c r="A14792" t="s">
        <v>498</v>
      </c>
      <c r="B14792" t="s">
        <v>85</v>
      </c>
      <c r="C14792">
        <v>1001</v>
      </c>
      <c r="D14792" t="s">
        <v>86</v>
      </c>
      <c r="E14792">
        <v>2.8960000000000001E-3</v>
      </c>
      <c r="F14792" t="s">
        <v>74</v>
      </c>
      <c r="G14792">
        <v>2.8960400000000002</v>
      </c>
      <c r="H14792" t="s">
        <v>75</v>
      </c>
      <c r="I14792">
        <v>2896.0349999999999</v>
      </c>
      <c r="J14792" t="s">
        <v>76</v>
      </c>
      <c r="K14792" t="s">
        <v>82</v>
      </c>
      <c r="L14792">
        <v>345.29963850000001</v>
      </c>
    </row>
    <row r="14793" spans="1:12" x14ac:dyDescent="0.3">
      <c r="A14793" t="s">
        <v>115</v>
      </c>
    </row>
    <row r="14794" spans="1:12" x14ac:dyDescent="0.3">
      <c r="A14794" t="s">
        <v>127</v>
      </c>
    </row>
    <row r="14795" spans="1:12" x14ac:dyDescent="0.3">
      <c r="A14795" t="s">
        <v>87</v>
      </c>
    </row>
    <row r="14796" spans="1:12" x14ac:dyDescent="0.3">
      <c r="A14796" t="s">
        <v>528</v>
      </c>
    </row>
    <row r="14797" spans="1:12" x14ac:dyDescent="0.3">
      <c r="A14797" t="s">
        <v>496</v>
      </c>
      <c r="B14797" t="s">
        <v>72</v>
      </c>
      <c r="C14797">
        <v>1</v>
      </c>
      <c r="D14797" t="s">
        <v>81</v>
      </c>
      <c r="E14797">
        <v>0.46185599999999999</v>
      </c>
      <c r="F14797" t="s">
        <v>74</v>
      </c>
      <c r="G14797">
        <v>461.85619000000003</v>
      </c>
      <c r="H14797" t="s">
        <v>75</v>
      </c>
      <c r="I14797">
        <v>461856.18599999999</v>
      </c>
      <c r="J14797" t="s">
        <v>76</v>
      </c>
      <c r="K14797" t="s">
        <v>82</v>
      </c>
      <c r="L14797">
        <v>2.1651761999999999</v>
      </c>
    </row>
    <row r="14798" spans="1:12" x14ac:dyDescent="0.3">
      <c r="A14798" t="s">
        <v>496</v>
      </c>
      <c r="B14798" t="s">
        <v>83</v>
      </c>
      <c r="C14798">
        <v>912</v>
      </c>
      <c r="D14798" t="s">
        <v>81</v>
      </c>
      <c r="E14798">
        <v>1.611E-3</v>
      </c>
      <c r="F14798" t="s">
        <v>74</v>
      </c>
      <c r="G14798">
        <v>1.6112200000000001</v>
      </c>
      <c r="H14798" t="s">
        <v>75</v>
      </c>
      <c r="I14798">
        <v>1611.2180000000001</v>
      </c>
      <c r="J14798" t="s">
        <v>76</v>
      </c>
      <c r="K14798" t="s">
        <v>82</v>
      </c>
      <c r="L14798">
        <v>620.64843299999995</v>
      </c>
    </row>
    <row r="14799" spans="1:12" x14ac:dyDescent="0.3">
      <c r="A14799" t="s">
        <v>496</v>
      </c>
      <c r="B14799" t="s">
        <v>84</v>
      </c>
      <c r="C14799">
        <v>913</v>
      </c>
      <c r="D14799" t="s">
        <v>81</v>
      </c>
      <c r="E14799">
        <v>2.1150000000000001E-3</v>
      </c>
      <c r="F14799" t="s">
        <v>74</v>
      </c>
      <c r="G14799">
        <v>2.1153200000000001</v>
      </c>
      <c r="H14799" t="s">
        <v>75</v>
      </c>
      <c r="I14799">
        <v>2115.3200000000002</v>
      </c>
      <c r="J14799" t="s">
        <v>76</v>
      </c>
      <c r="K14799" t="s">
        <v>82</v>
      </c>
      <c r="L14799">
        <v>472.74173969999998</v>
      </c>
    </row>
    <row r="14800" spans="1:12" x14ac:dyDescent="0.3">
      <c r="A14800" t="s">
        <v>497</v>
      </c>
      <c r="B14800" t="s">
        <v>72</v>
      </c>
      <c r="C14800">
        <v>1</v>
      </c>
      <c r="D14800" t="s">
        <v>81</v>
      </c>
      <c r="E14800">
        <v>0.23796999999999999</v>
      </c>
      <c r="F14800" t="s">
        <v>74</v>
      </c>
      <c r="G14800">
        <v>237.96950000000001</v>
      </c>
      <c r="H14800" t="s">
        <v>75</v>
      </c>
      <c r="I14800">
        <v>237969.503</v>
      </c>
      <c r="J14800" t="s">
        <v>76</v>
      </c>
      <c r="K14800" t="s">
        <v>82</v>
      </c>
      <c r="L14800">
        <v>4.2022190999999998</v>
      </c>
    </row>
    <row r="14801" spans="1:12" x14ac:dyDescent="0.3">
      <c r="A14801" t="s">
        <v>497</v>
      </c>
      <c r="B14801" t="s">
        <v>83</v>
      </c>
      <c r="C14801">
        <v>87</v>
      </c>
      <c r="D14801" t="s">
        <v>81</v>
      </c>
      <c r="E14801">
        <v>1.9601E-2</v>
      </c>
      <c r="F14801" t="s">
        <v>74</v>
      </c>
      <c r="G14801">
        <v>19.600719999999999</v>
      </c>
      <c r="H14801" t="s">
        <v>75</v>
      </c>
      <c r="I14801">
        <v>19600.722000000002</v>
      </c>
      <c r="J14801" t="s">
        <v>76</v>
      </c>
      <c r="K14801" t="s">
        <v>82</v>
      </c>
      <c r="L14801">
        <v>51.018529800000003</v>
      </c>
    </row>
    <row r="14802" spans="1:12" x14ac:dyDescent="0.3">
      <c r="A14802" t="s">
        <v>497</v>
      </c>
      <c r="B14802" t="s">
        <v>84</v>
      </c>
      <c r="C14802">
        <v>88</v>
      </c>
      <c r="D14802" t="s">
        <v>81</v>
      </c>
      <c r="E14802">
        <v>2.2082000000000001E-2</v>
      </c>
      <c r="F14802" t="s">
        <v>74</v>
      </c>
      <c r="G14802">
        <v>22.082180000000001</v>
      </c>
      <c r="H14802" t="s">
        <v>75</v>
      </c>
      <c r="I14802">
        <v>22082.182000000001</v>
      </c>
      <c r="J14802" t="s">
        <v>76</v>
      </c>
      <c r="K14802" t="s">
        <v>82</v>
      </c>
      <c r="L14802">
        <v>45.285378799999997</v>
      </c>
    </row>
    <row r="14803" spans="1:12" x14ac:dyDescent="0.3">
      <c r="A14803" t="s">
        <v>498</v>
      </c>
      <c r="B14803" t="s">
        <v>72</v>
      </c>
      <c r="C14803">
        <v>2</v>
      </c>
      <c r="D14803" t="s">
        <v>86</v>
      </c>
      <c r="E14803">
        <v>0.23095599999999999</v>
      </c>
      <c r="F14803" t="s">
        <v>74</v>
      </c>
      <c r="G14803">
        <v>230.9563</v>
      </c>
      <c r="H14803" t="s">
        <v>75</v>
      </c>
      <c r="I14803">
        <v>230956.30100000001</v>
      </c>
      <c r="J14803" t="s">
        <v>76</v>
      </c>
      <c r="K14803" t="s">
        <v>82</v>
      </c>
      <c r="L14803">
        <v>4.3298234000000004</v>
      </c>
    </row>
    <row r="14804" spans="1:12" x14ac:dyDescent="0.3">
      <c r="A14804" t="s">
        <v>498</v>
      </c>
      <c r="B14804" t="s">
        <v>83</v>
      </c>
      <c r="C14804">
        <v>999</v>
      </c>
      <c r="D14804" t="s">
        <v>86</v>
      </c>
      <c r="E14804">
        <v>1.694E-3</v>
      </c>
      <c r="F14804" t="s">
        <v>74</v>
      </c>
      <c r="G14804">
        <v>1.6941299999999999</v>
      </c>
      <c r="H14804" t="s">
        <v>75</v>
      </c>
      <c r="I14804">
        <v>1694.1289999999999</v>
      </c>
      <c r="J14804" t="s">
        <v>76</v>
      </c>
      <c r="K14804" t="s">
        <v>82</v>
      </c>
      <c r="L14804">
        <v>590.27372639999999</v>
      </c>
    </row>
    <row r="14805" spans="1:12" x14ac:dyDescent="0.3">
      <c r="A14805" t="s">
        <v>498</v>
      </c>
      <c r="B14805" t="s">
        <v>85</v>
      </c>
      <c r="C14805">
        <v>1001</v>
      </c>
      <c r="D14805" t="s">
        <v>86</v>
      </c>
      <c r="E14805">
        <v>1.9469999999999999E-3</v>
      </c>
      <c r="F14805" t="s">
        <v>74</v>
      </c>
      <c r="G14805">
        <v>1.9473800000000001</v>
      </c>
      <c r="H14805" t="s">
        <v>75</v>
      </c>
      <c r="I14805">
        <v>1947.3779999999999</v>
      </c>
      <c r="J14805" t="s">
        <v>76</v>
      </c>
      <c r="K14805" t="s">
        <v>82</v>
      </c>
      <c r="L14805">
        <v>513.51090780000004</v>
      </c>
    </row>
    <row r="14807" spans="1:12" x14ac:dyDescent="0.3">
      <c r="A14807" t="s">
        <v>529</v>
      </c>
    </row>
    <row r="14808" spans="1:12" x14ac:dyDescent="0.3">
      <c r="A14808" t="s">
        <v>496</v>
      </c>
      <c r="B14808" t="s">
        <v>72</v>
      </c>
      <c r="C14808">
        <v>1</v>
      </c>
      <c r="D14808" t="s">
        <v>81</v>
      </c>
      <c r="E14808">
        <v>1.0887000000000001E-2</v>
      </c>
      <c r="F14808" t="s">
        <v>74</v>
      </c>
      <c r="G14808">
        <v>10.8871</v>
      </c>
      <c r="H14808" t="s">
        <v>75</v>
      </c>
      <c r="I14808">
        <v>10887.1</v>
      </c>
      <c r="J14808" t="s">
        <v>76</v>
      </c>
      <c r="K14808" t="s">
        <v>82</v>
      </c>
      <c r="L14808">
        <v>91.851821599999994</v>
      </c>
    </row>
    <row r="14809" spans="1:12" x14ac:dyDescent="0.3">
      <c r="A14809" t="s">
        <v>496</v>
      </c>
      <c r="B14809" t="s">
        <v>83</v>
      </c>
      <c r="C14809">
        <v>875</v>
      </c>
      <c r="D14809" t="s">
        <v>81</v>
      </c>
      <c r="E14809">
        <v>3.2699999999999999E-3</v>
      </c>
      <c r="F14809" t="s">
        <v>74</v>
      </c>
      <c r="G14809">
        <v>3.2704800000000001</v>
      </c>
      <c r="H14809" t="s">
        <v>75</v>
      </c>
      <c r="I14809">
        <v>3270.4769999999999</v>
      </c>
      <c r="J14809" t="s">
        <v>76</v>
      </c>
      <c r="K14809" t="s">
        <v>82</v>
      </c>
      <c r="L14809">
        <v>305.76579290000001</v>
      </c>
    </row>
    <row r="14810" spans="1:12" x14ac:dyDescent="0.3">
      <c r="A14810" t="s">
        <v>496</v>
      </c>
      <c r="B14810" t="s">
        <v>84</v>
      </c>
      <c r="C14810">
        <v>876</v>
      </c>
      <c r="D14810" t="s">
        <v>81</v>
      </c>
      <c r="E14810">
        <v>3.2789999999999998E-3</v>
      </c>
      <c r="F14810" t="s">
        <v>74</v>
      </c>
      <c r="G14810">
        <v>3.2791700000000001</v>
      </c>
      <c r="H14810" t="s">
        <v>75</v>
      </c>
      <c r="I14810">
        <v>3279.172</v>
      </c>
      <c r="J14810" t="s">
        <v>76</v>
      </c>
      <c r="K14810" t="s">
        <v>82</v>
      </c>
      <c r="L14810">
        <v>304.95504529999999</v>
      </c>
    </row>
    <row r="14811" spans="1:12" x14ac:dyDescent="0.3">
      <c r="A14811" t="s">
        <v>497</v>
      </c>
      <c r="B14811" t="s">
        <v>72</v>
      </c>
      <c r="C14811">
        <v>1</v>
      </c>
      <c r="D14811" t="s">
        <v>81</v>
      </c>
      <c r="E14811">
        <v>5.3194999999999999E-2</v>
      </c>
      <c r="F14811" t="s">
        <v>74</v>
      </c>
      <c r="G14811">
        <v>53.195099999999996</v>
      </c>
      <c r="H14811" t="s">
        <v>75</v>
      </c>
      <c r="I14811">
        <v>53195.1</v>
      </c>
      <c r="J14811" t="s">
        <v>76</v>
      </c>
      <c r="K14811" t="s">
        <v>82</v>
      </c>
      <c r="L14811">
        <v>18.798723800000001</v>
      </c>
    </row>
    <row r="14812" spans="1:12" x14ac:dyDescent="0.3">
      <c r="A14812" t="s">
        <v>497</v>
      </c>
      <c r="B14812" t="s">
        <v>83</v>
      </c>
      <c r="C14812">
        <v>124</v>
      </c>
      <c r="D14812" t="s">
        <v>81</v>
      </c>
      <c r="E14812">
        <v>2.2811000000000001E-2</v>
      </c>
      <c r="F14812" t="s">
        <v>74</v>
      </c>
      <c r="G14812">
        <v>22.81146</v>
      </c>
      <c r="H14812" t="s">
        <v>75</v>
      </c>
      <c r="I14812">
        <v>22811.465</v>
      </c>
      <c r="J14812" t="s">
        <v>76</v>
      </c>
      <c r="K14812" t="s">
        <v>82</v>
      </c>
      <c r="L14812">
        <v>43.8376059</v>
      </c>
    </row>
    <row r="14813" spans="1:12" x14ac:dyDescent="0.3">
      <c r="A14813" t="s">
        <v>497</v>
      </c>
      <c r="B14813" t="s">
        <v>84</v>
      </c>
      <c r="C14813">
        <v>125</v>
      </c>
      <c r="D14813" t="s">
        <v>81</v>
      </c>
      <c r="E14813">
        <v>2.3054999999999999E-2</v>
      </c>
      <c r="F14813" t="s">
        <v>74</v>
      </c>
      <c r="G14813">
        <v>23.05453</v>
      </c>
      <c r="H14813" t="s">
        <v>75</v>
      </c>
      <c r="I14813">
        <v>23054.535</v>
      </c>
      <c r="J14813" t="s">
        <v>76</v>
      </c>
      <c r="K14813" t="s">
        <v>82</v>
      </c>
      <c r="L14813">
        <v>43.375414200000002</v>
      </c>
    </row>
    <row r="14814" spans="1:12" x14ac:dyDescent="0.3">
      <c r="A14814" t="s">
        <v>498</v>
      </c>
      <c r="B14814" t="s">
        <v>72</v>
      </c>
      <c r="C14814">
        <v>2</v>
      </c>
      <c r="D14814" t="s">
        <v>86</v>
      </c>
      <c r="E14814">
        <v>2.6602000000000001E-2</v>
      </c>
      <c r="F14814" t="s">
        <v>74</v>
      </c>
      <c r="G14814">
        <v>26.601600000000001</v>
      </c>
      <c r="H14814" t="s">
        <v>75</v>
      </c>
      <c r="I14814">
        <v>26601.599999999999</v>
      </c>
      <c r="J14814" t="s">
        <v>76</v>
      </c>
      <c r="K14814" t="s">
        <v>82</v>
      </c>
      <c r="L14814">
        <v>37.591724499999998</v>
      </c>
    </row>
    <row r="14815" spans="1:12" x14ac:dyDescent="0.3">
      <c r="A14815" t="s">
        <v>498</v>
      </c>
      <c r="B14815" t="s">
        <v>83</v>
      </c>
      <c r="C14815">
        <v>999</v>
      </c>
      <c r="D14815" t="s">
        <v>86</v>
      </c>
      <c r="E14815">
        <v>2.8890000000000001E-3</v>
      </c>
      <c r="F14815" t="s">
        <v>74</v>
      </c>
      <c r="G14815">
        <v>2.8888600000000002</v>
      </c>
      <c r="H14815" t="s">
        <v>75</v>
      </c>
      <c r="I14815">
        <v>2888.8629999999998</v>
      </c>
      <c r="J14815" t="s">
        <v>76</v>
      </c>
      <c r="K14815" t="s">
        <v>82</v>
      </c>
      <c r="L14815">
        <v>346.1570016</v>
      </c>
    </row>
    <row r="14816" spans="1:12" x14ac:dyDescent="0.3">
      <c r="A14816" t="s">
        <v>498</v>
      </c>
      <c r="B14816" t="s">
        <v>85</v>
      </c>
      <c r="C14816">
        <v>1001</v>
      </c>
      <c r="D14816" t="s">
        <v>86</v>
      </c>
      <c r="E14816">
        <v>2.8960000000000001E-3</v>
      </c>
      <c r="F14816" t="s">
        <v>74</v>
      </c>
      <c r="G14816">
        <v>2.8960400000000002</v>
      </c>
      <c r="H14816" t="s">
        <v>75</v>
      </c>
      <c r="I14816">
        <v>2896.0349999999999</v>
      </c>
      <c r="J14816" t="s">
        <v>76</v>
      </c>
      <c r="K14816" t="s">
        <v>82</v>
      </c>
      <c r="L14816">
        <v>345.29963850000001</v>
      </c>
    </row>
    <row r="14818" spans="1:1" x14ac:dyDescent="0.3">
      <c r="A14818" t="s">
        <v>66</v>
      </c>
    </row>
    <row r="14820" spans="1:1" x14ac:dyDescent="0.3">
      <c r="A14820" t="s">
        <v>586</v>
      </c>
    </row>
    <row r="14821" spans="1:1" x14ac:dyDescent="0.3">
      <c r="A14821" t="s">
        <v>68</v>
      </c>
    </row>
    <row r="14822" spans="1:1" x14ac:dyDescent="0.3">
      <c r="A14822" t="s">
        <v>69</v>
      </c>
    </row>
    <row r="14823" spans="1:1" x14ac:dyDescent="0.3">
      <c r="A14823" t="s">
        <v>68</v>
      </c>
    </row>
    <row r="14824" spans="1:1" x14ac:dyDescent="0.3">
      <c r="A14824" t="s">
        <v>69</v>
      </c>
    </row>
    <row r="14825" spans="1:1" x14ac:dyDescent="0.3">
      <c r="A14825" t="s">
        <v>70</v>
      </c>
    </row>
    <row r="14826" spans="1:1" x14ac:dyDescent="0.3">
      <c r="A14826" t="s">
        <v>115</v>
      </c>
    </row>
    <row r="14827" spans="1:1" x14ac:dyDescent="0.3">
      <c r="A14827" t="s">
        <v>116</v>
      </c>
    </row>
    <row r="14828" spans="1:1" x14ac:dyDescent="0.3">
      <c r="A14828" t="s">
        <v>117</v>
      </c>
    </row>
    <row r="14829" spans="1:1" x14ac:dyDescent="0.3">
      <c r="A14829" t="s">
        <v>118</v>
      </c>
    </row>
    <row r="14830" spans="1:1" x14ac:dyDescent="0.3">
      <c r="A14830" t="s">
        <v>119</v>
      </c>
    </row>
    <row r="14831" spans="1:1" x14ac:dyDescent="0.3">
      <c r="A14831" t="s">
        <v>120</v>
      </c>
    </row>
    <row r="14832" spans="1:1" x14ac:dyDescent="0.3">
      <c r="A14832" t="s">
        <v>121</v>
      </c>
    </row>
    <row r="14833" spans="1:1" x14ac:dyDescent="0.3">
      <c r="A14833" t="s">
        <v>122</v>
      </c>
    </row>
    <row r="14834" spans="1:1" x14ac:dyDescent="0.3">
      <c r="A14834" t="s">
        <v>123</v>
      </c>
    </row>
    <row r="14835" spans="1:1" x14ac:dyDescent="0.3">
      <c r="A14835" t="s">
        <v>124</v>
      </c>
    </row>
    <row r="14836" spans="1:1" x14ac:dyDescent="0.3">
      <c r="A14836" t="s">
        <v>125</v>
      </c>
    </row>
    <row r="14837" spans="1:1" x14ac:dyDescent="0.3">
      <c r="A14837" t="s">
        <v>126</v>
      </c>
    </row>
    <row r="14838" spans="1:1" x14ac:dyDescent="0.3">
      <c r="A14838" t="s">
        <v>127</v>
      </c>
    </row>
    <row r="14839" spans="1:1" x14ac:dyDescent="0.3">
      <c r="A14839" t="s">
        <v>174</v>
      </c>
    </row>
    <row r="14840" spans="1:1" x14ac:dyDescent="0.3">
      <c r="A14840" t="s">
        <v>115</v>
      </c>
    </row>
    <row r="14841" spans="1:1" x14ac:dyDescent="0.3">
      <c r="A14841" t="s">
        <v>266</v>
      </c>
    </row>
    <row r="14842" spans="1:1" x14ac:dyDescent="0.3">
      <c r="A14842" t="s">
        <v>267</v>
      </c>
    </row>
    <row r="14843" spans="1:1" x14ac:dyDescent="0.3">
      <c r="A14843" t="s">
        <v>118</v>
      </c>
    </row>
    <row r="14844" spans="1:1" x14ac:dyDescent="0.3">
      <c r="A14844" t="s">
        <v>119</v>
      </c>
    </row>
    <row r="14845" spans="1:1" x14ac:dyDescent="0.3">
      <c r="A14845" t="s">
        <v>268</v>
      </c>
    </row>
    <row r="14846" spans="1:1" x14ac:dyDescent="0.3">
      <c r="A14846" t="s">
        <v>269</v>
      </c>
    </row>
    <row r="14847" spans="1:1" x14ac:dyDescent="0.3">
      <c r="A14847" t="s">
        <v>122</v>
      </c>
    </row>
    <row r="14848" spans="1:1" x14ac:dyDescent="0.3">
      <c r="A14848" t="s">
        <v>270</v>
      </c>
    </row>
    <row r="14849" spans="1:12" x14ac:dyDescent="0.3">
      <c r="A14849" t="s">
        <v>271</v>
      </c>
    </row>
    <row r="14850" spans="1:12" x14ac:dyDescent="0.3">
      <c r="A14850" t="s">
        <v>125</v>
      </c>
    </row>
    <row r="14851" spans="1:12" x14ac:dyDescent="0.3">
      <c r="A14851" t="s">
        <v>126</v>
      </c>
    </row>
    <row r="14852" spans="1:12" x14ac:dyDescent="0.3">
      <c r="A14852" t="s">
        <v>127</v>
      </c>
    </row>
    <row r="14853" spans="1:12" x14ac:dyDescent="0.3">
      <c r="A14853" t="s">
        <v>174</v>
      </c>
    </row>
    <row r="14854" spans="1:12" x14ac:dyDescent="0.3">
      <c r="A14854" t="s">
        <v>531</v>
      </c>
    </row>
    <row r="14855" spans="1:12" x14ac:dyDescent="0.3">
      <c r="A14855" t="s">
        <v>496</v>
      </c>
      <c r="B14855" t="s">
        <v>72</v>
      </c>
      <c r="C14855">
        <v>1</v>
      </c>
      <c r="D14855" t="s">
        <v>91</v>
      </c>
      <c r="E14855">
        <v>0.34012300000000001</v>
      </c>
      <c r="F14855" t="s">
        <v>74</v>
      </c>
      <c r="G14855">
        <v>340.12308999999999</v>
      </c>
      <c r="H14855" t="s">
        <v>75</v>
      </c>
      <c r="I14855">
        <v>340123.087</v>
      </c>
      <c r="J14855" t="s">
        <v>76</v>
      </c>
      <c r="K14855" t="s">
        <v>77</v>
      </c>
    </row>
    <row r="14856" spans="1:12" x14ac:dyDescent="0.3">
      <c r="A14856" t="s">
        <v>496</v>
      </c>
      <c r="B14856" t="s">
        <v>72</v>
      </c>
      <c r="C14856">
        <v>1</v>
      </c>
      <c r="D14856" t="s">
        <v>92</v>
      </c>
      <c r="E14856">
        <v>5.548E-3</v>
      </c>
      <c r="F14856" t="s">
        <v>74</v>
      </c>
      <c r="G14856">
        <v>5.5477999999999996</v>
      </c>
      <c r="H14856" t="s">
        <v>75</v>
      </c>
      <c r="I14856">
        <v>5547.8</v>
      </c>
      <c r="J14856" t="s">
        <v>76</v>
      </c>
      <c r="K14856" t="s">
        <v>77</v>
      </c>
    </row>
    <row r="14857" spans="1:12" x14ac:dyDescent="0.3">
      <c r="A14857" t="s">
        <v>496</v>
      </c>
      <c r="B14857" t="s">
        <v>72</v>
      </c>
      <c r="C14857">
        <v>1</v>
      </c>
      <c r="D14857" t="s">
        <v>93</v>
      </c>
      <c r="E14857">
        <v>5.0179999999999999E-3</v>
      </c>
      <c r="F14857" t="s">
        <v>74</v>
      </c>
      <c r="G14857">
        <v>5.0175999999999998</v>
      </c>
      <c r="H14857" t="s">
        <v>75</v>
      </c>
      <c r="I14857">
        <v>5017.6000000000004</v>
      </c>
      <c r="J14857" t="s">
        <v>76</v>
      </c>
      <c r="K14857" t="s">
        <v>77</v>
      </c>
    </row>
    <row r="14858" spans="1:12" x14ac:dyDescent="0.3">
      <c r="A14858" t="s">
        <v>496</v>
      </c>
      <c r="B14858" t="s">
        <v>72</v>
      </c>
      <c r="C14858">
        <v>1</v>
      </c>
      <c r="D14858" t="s">
        <v>79</v>
      </c>
      <c r="E14858">
        <v>0.35069</v>
      </c>
      <c r="F14858" t="s">
        <v>74</v>
      </c>
      <c r="G14858">
        <v>350.69009999999997</v>
      </c>
      <c r="H14858" t="s">
        <v>75</v>
      </c>
      <c r="I14858">
        <v>350690.09700000001</v>
      </c>
      <c r="J14858" t="s">
        <v>76</v>
      </c>
      <c r="K14858" t="s">
        <v>77</v>
      </c>
    </row>
    <row r="14859" spans="1:12" x14ac:dyDescent="0.3">
      <c r="A14859" t="s">
        <v>496</v>
      </c>
      <c r="B14859" t="s">
        <v>72</v>
      </c>
      <c r="C14859">
        <v>1</v>
      </c>
      <c r="D14859" t="s">
        <v>94</v>
      </c>
      <c r="E14859">
        <v>3.5839999999999999E-3</v>
      </c>
      <c r="F14859" t="s">
        <v>74</v>
      </c>
      <c r="G14859">
        <v>3.5844</v>
      </c>
      <c r="H14859" t="s">
        <v>75</v>
      </c>
      <c r="I14859">
        <v>3584.4</v>
      </c>
      <c r="J14859" t="s">
        <v>76</v>
      </c>
      <c r="K14859" t="s">
        <v>77</v>
      </c>
    </row>
    <row r="14860" spans="1:12" x14ac:dyDescent="0.3">
      <c r="A14860" t="s">
        <v>496</v>
      </c>
      <c r="B14860" t="s">
        <v>72</v>
      </c>
      <c r="C14860">
        <v>1</v>
      </c>
      <c r="D14860" t="s">
        <v>80</v>
      </c>
      <c r="E14860">
        <v>3.5850000000000001E-3</v>
      </c>
      <c r="F14860" t="s">
        <v>74</v>
      </c>
      <c r="G14860">
        <v>3.5851999999999999</v>
      </c>
      <c r="H14860" t="s">
        <v>75</v>
      </c>
      <c r="I14860">
        <v>3585.2</v>
      </c>
      <c r="J14860" t="s">
        <v>76</v>
      </c>
      <c r="K14860" t="s">
        <v>77</v>
      </c>
    </row>
    <row r="14861" spans="1:12" x14ac:dyDescent="0.3">
      <c r="A14861" t="s">
        <v>496</v>
      </c>
      <c r="B14861" t="s">
        <v>72</v>
      </c>
      <c r="C14861">
        <v>1</v>
      </c>
      <c r="D14861" t="s">
        <v>81</v>
      </c>
      <c r="E14861">
        <v>0.35427599999999998</v>
      </c>
      <c r="F14861" t="s">
        <v>74</v>
      </c>
      <c r="G14861">
        <v>354.27569999999997</v>
      </c>
      <c r="H14861" t="s">
        <v>75</v>
      </c>
      <c r="I14861">
        <v>354275.70299999998</v>
      </c>
      <c r="J14861" t="s">
        <v>76</v>
      </c>
      <c r="K14861" t="s">
        <v>82</v>
      </c>
      <c r="L14861">
        <v>2.8226604000000002</v>
      </c>
    </row>
    <row r="14862" spans="1:12" x14ac:dyDescent="0.3">
      <c r="A14862" t="s">
        <v>496</v>
      </c>
      <c r="B14862" t="s">
        <v>83</v>
      </c>
      <c r="C14862">
        <v>531</v>
      </c>
      <c r="D14862" t="s">
        <v>91</v>
      </c>
      <c r="E14862">
        <v>5.8100000000000003E-4</v>
      </c>
      <c r="F14862" t="s">
        <v>74</v>
      </c>
      <c r="G14862">
        <v>0.58072000000000001</v>
      </c>
      <c r="H14862" t="s">
        <v>75</v>
      </c>
      <c r="I14862">
        <v>580.71500000000003</v>
      </c>
      <c r="J14862" t="s">
        <v>76</v>
      </c>
      <c r="K14862" t="s">
        <v>77</v>
      </c>
    </row>
    <row r="14863" spans="1:12" x14ac:dyDescent="0.3">
      <c r="A14863" t="s">
        <v>496</v>
      </c>
      <c r="B14863" t="s">
        <v>83</v>
      </c>
      <c r="C14863">
        <v>531</v>
      </c>
      <c r="D14863" t="s">
        <v>92</v>
      </c>
      <c r="E14863">
        <v>8.7000000000000001E-4</v>
      </c>
      <c r="F14863" t="s">
        <v>74</v>
      </c>
      <c r="G14863">
        <v>0.86970999999999998</v>
      </c>
      <c r="H14863" t="s">
        <v>75</v>
      </c>
      <c r="I14863">
        <v>869.70600000000002</v>
      </c>
      <c r="J14863" t="s">
        <v>76</v>
      </c>
      <c r="K14863" t="s">
        <v>77</v>
      </c>
    </row>
    <row r="14864" spans="1:12" x14ac:dyDescent="0.3">
      <c r="A14864" t="s">
        <v>496</v>
      </c>
      <c r="B14864" t="s">
        <v>83</v>
      </c>
      <c r="C14864">
        <v>531</v>
      </c>
      <c r="D14864" t="s">
        <v>93</v>
      </c>
      <c r="E14864">
        <v>5.3200000000000003E-4</v>
      </c>
      <c r="F14864" t="s">
        <v>74</v>
      </c>
      <c r="G14864">
        <v>0.53159000000000001</v>
      </c>
      <c r="H14864" t="s">
        <v>75</v>
      </c>
      <c r="I14864">
        <v>531.59400000000005</v>
      </c>
      <c r="J14864" t="s">
        <v>76</v>
      </c>
      <c r="K14864" t="s">
        <v>77</v>
      </c>
    </row>
    <row r="14865" spans="1:12" x14ac:dyDescent="0.3">
      <c r="A14865" t="s">
        <v>496</v>
      </c>
      <c r="B14865" t="s">
        <v>83</v>
      </c>
      <c r="C14865">
        <v>531</v>
      </c>
      <c r="D14865" t="s">
        <v>79</v>
      </c>
      <c r="E14865">
        <v>1.983E-3</v>
      </c>
      <c r="F14865" t="s">
        <v>74</v>
      </c>
      <c r="G14865">
        <v>1.98305</v>
      </c>
      <c r="H14865" t="s">
        <v>75</v>
      </c>
      <c r="I14865">
        <v>1983.0530000000001</v>
      </c>
      <c r="J14865" t="s">
        <v>76</v>
      </c>
      <c r="K14865" t="s">
        <v>77</v>
      </c>
    </row>
    <row r="14866" spans="1:12" x14ac:dyDescent="0.3">
      <c r="A14866" t="s">
        <v>496</v>
      </c>
      <c r="B14866" t="s">
        <v>83</v>
      </c>
      <c r="C14866">
        <v>531</v>
      </c>
      <c r="D14866" t="s">
        <v>94</v>
      </c>
      <c r="E14866">
        <v>4.8840000000000003E-3</v>
      </c>
      <c r="F14866" t="s">
        <v>74</v>
      </c>
      <c r="G14866">
        <v>4.8844000000000003</v>
      </c>
      <c r="H14866" t="s">
        <v>75</v>
      </c>
      <c r="I14866">
        <v>4884.3990000000003</v>
      </c>
      <c r="J14866" t="s">
        <v>76</v>
      </c>
      <c r="K14866" t="s">
        <v>77</v>
      </c>
    </row>
    <row r="14867" spans="1:12" x14ac:dyDescent="0.3">
      <c r="A14867" t="s">
        <v>496</v>
      </c>
      <c r="B14867" t="s">
        <v>83</v>
      </c>
      <c r="C14867">
        <v>531</v>
      </c>
      <c r="D14867" t="s">
        <v>80</v>
      </c>
      <c r="E14867">
        <v>5.0689999999999997E-3</v>
      </c>
      <c r="F14867" t="s">
        <v>74</v>
      </c>
      <c r="G14867">
        <v>5.0686</v>
      </c>
      <c r="H14867" t="s">
        <v>75</v>
      </c>
      <c r="I14867">
        <v>5068.598</v>
      </c>
      <c r="J14867" t="s">
        <v>76</v>
      </c>
      <c r="K14867" t="s">
        <v>77</v>
      </c>
    </row>
    <row r="14868" spans="1:12" x14ac:dyDescent="0.3">
      <c r="A14868" t="s">
        <v>496</v>
      </c>
      <c r="B14868" t="s">
        <v>83</v>
      </c>
      <c r="C14868">
        <v>531</v>
      </c>
      <c r="D14868" t="s">
        <v>81</v>
      </c>
      <c r="E14868">
        <v>7.0520000000000001E-3</v>
      </c>
      <c r="F14868" t="s">
        <v>74</v>
      </c>
      <c r="G14868">
        <v>7.0518900000000002</v>
      </c>
      <c r="H14868" t="s">
        <v>75</v>
      </c>
      <c r="I14868">
        <v>7051.8869999999997</v>
      </c>
      <c r="J14868" t="s">
        <v>76</v>
      </c>
      <c r="K14868" t="s">
        <v>82</v>
      </c>
      <c r="L14868">
        <v>141.80601060000001</v>
      </c>
    </row>
    <row r="14869" spans="1:12" x14ac:dyDescent="0.3">
      <c r="A14869" t="s">
        <v>496</v>
      </c>
      <c r="B14869" t="s">
        <v>84</v>
      </c>
      <c r="C14869">
        <v>532</v>
      </c>
      <c r="D14869" t="s">
        <v>91</v>
      </c>
      <c r="E14869">
        <v>1.219E-3</v>
      </c>
      <c r="F14869" t="s">
        <v>74</v>
      </c>
      <c r="G14869">
        <v>1.21895</v>
      </c>
      <c r="H14869" t="s">
        <v>75</v>
      </c>
      <c r="I14869">
        <v>1218.953</v>
      </c>
      <c r="J14869" t="s">
        <v>76</v>
      </c>
      <c r="K14869" t="s">
        <v>77</v>
      </c>
    </row>
    <row r="14870" spans="1:12" x14ac:dyDescent="0.3">
      <c r="A14870" t="s">
        <v>496</v>
      </c>
      <c r="B14870" t="s">
        <v>84</v>
      </c>
      <c r="C14870">
        <v>532</v>
      </c>
      <c r="D14870" t="s">
        <v>92</v>
      </c>
      <c r="E14870">
        <v>8.7799999999999998E-4</v>
      </c>
      <c r="F14870" t="s">
        <v>74</v>
      </c>
      <c r="G14870">
        <v>0.87849999999999995</v>
      </c>
      <c r="H14870" t="s">
        <v>75</v>
      </c>
      <c r="I14870">
        <v>878.5</v>
      </c>
      <c r="J14870" t="s">
        <v>76</v>
      </c>
      <c r="K14870" t="s">
        <v>77</v>
      </c>
    </row>
    <row r="14871" spans="1:12" x14ac:dyDescent="0.3">
      <c r="A14871" t="s">
        <v>496</v>
      </c>
      <c r="B14871" t="s">
        <v>84</v>
      </c>
      <c r="C14871">
        <v>532</v>
      </c>
      <c r="D14871" t="s">
        <v>93</v>
      </c>
      <c r="E14871">
        <v>5.4000000000000001E-4</v>
      </c>
      <c r="F14871" t="s">
        <v>74</v>
      </c>
      <c r="G14871">
        <v>0.54003000000000001</v>
      </c>
      <c r="H14871" t="s">
        <v>75</v>
      </c>
      <c r="I14871">
        <v>540.02599999999995</v>
      </c>
      <c r="J14871" t="s">
        <v>76</v>
      </c>
      <c r="K14871" t="s">
        <v>77</v>
      </c>
    </row>
    <row r="14872" spans="1:12" x14ac:dyDescent="0.3">
      <c r="A14872" t="s">
        <v>496</v>
      </c>
      <c r="B14872" t="s">
        <v>84</v>
      </c>
      <c r="C14872">
        <v>532</v>
      </c>
      <c r="D14872" t="s">
        <v>79</v>
      </c>
      <c r="E14872">
        <v>2.6389999999999999E-3</v>
      </c>
      <c r="F14872" t="s">
        <v>74</v>
      </c>
      <c r="G14872">
        <v>2.6385200000000002</v>
      </c>
      <c r="H14872" t="s">
        <v>75</v>
      </c>
      <c r="I14872">
        <v>2638.518</v>
      </c>
      <c r="J14872" t="s">
        <v>76</v>
      </c>
      <c r="K14872" t="s">
        <v>77</v>
      </c>
    </row>
    <row r="14873" spans="1:12" x14ac:dyDescent="0.3">
      <c r="A14873" t="s">
        <v>496</v>
      </c>
      <c r="B14873" t="s">
        <v>84</v>
      </c>
      <c r="C14873">
        <v>532</v>
      </c>
      <c r="D14873" t="s">
        <v>94</v>
      </c>
      <c r="E14873">
        <v>4.8820000000000001E-3</v>
      </c>
      <c r="F14873" t="s">
        <v>74</v>
      </c>
      <c r="G14873">
        <v>4.8819600000000003</v>
      </c>
      <c r="H14873" t="s">
        <v>75</v>
      </c>
      <c r="I14873">
        <v>4881.9560000000001</v>
      </c>
      <c r="J14873" t="s">
        <v>76</v>
      </c>
      <c r="K14873" t="s">
        <v>77</v>
      </c>
    </row>
    <row r="14874" spans="1:12" x14ac:dyDescent="0.3">
      <c r="A14874" t="s">
        <v>496</v>
      </c>
      <c r="B14874" t="s">
        <v>84</v>
      </c>
      <c r="C14874">
        <v>532</v>
      </c>
      <c r="D14874" t="s">
        <v>80</v>
      </c>
      <c r="E14874">
        <v>5.0660000000000002E-3</v>
      </c>
      <c r="F14874" t="s">
        <v>74</v>
      </c>
      <c r="G14874">
        <v>5.0658099999999999</v>
      </c>
      <c r="H14874" t="s">
        <v>75</v>
      </c>
      <c r="I14874">
        <v>5065.8100000000004</v>
      </c>
      <c r="J14874" t="s">
        <v>76</v>
      </c>
      <c r="K14874" t="s">
        <v>77</v>
      </c>
    </row>
    <row r="14875" spans="1:12" x14ac:dyDescent="0.3">
      <c r="A14875" t="s">
        <v>496</v>
      </c>
      <c r="B14875" t="s">
        <v>84</v>
      </c>
      <c r="C14875">
        <v>532</v>
      </c>
      <c r="D14875" t="s">
        <v>81</v>
      </c>
      <c r="E14875">
        <v>7.705E-3</v>
      </c>
      <c r="F14875" t="s">
        <v>74</v>
      </c>
      <c r="G14875">
        <v>7.7045599999999999</v>
      </c>
      <c r="H14875" t="s">
        <v>75</v>
      </c>
      <c r="I14875">
        <v>7704.5619999999999</v>
      </c>
      <c r="J14875" t="s">
        <v>76</v>
      </c>
      <c r="K14875" t="s">
        <v>82</v>
      </c>
      <c r="L14875">
        <v>129.7932347</v>
      </c>
    </row>
    <row r="14876" spans="1:12" x14ac:dyDescent="0.3">
      <c r="A14876" t="s">
        <v>497</v>
      </c>
      <c r="B14876" t="s">
        <v>72</v>
      </c>
      <c r="C14876">
        <v>1</v>
      </c>
      <c r="D14876" t="s">
        <v>91</v>
      </c>
      <c r="E14876">
        <v>0.118117</v>
      </c>
      <c r="F14876" t="s">
        <v>74</v>
      </c>
      <c r="G14876">
        <v>118.1169</v>
      </c>
      <c r="H14876" t="s">
        <v>75</v>
      </c>
      <c r="I14876">
        <v>118116.9</v>
      </c>
      <c r="J14876" t="s">
        <v>76</v>
      </c>
      <c r="K14876" t="s">
        <v>77</v>
      </c>
    </row>
    <row r="14877" spans="1:12" x14ac:dyDescent="0.3">
      <c r="A14877" t="s">
        <v>497</v>
      </c>
      <c r="B14877" t="s">
        <v>72</v>
      </c>
      <c r="C14877">
        <v>1</v>
      </c>
      <c r="D14877" t="s">
        <v>92</v>
      </c>
      <c r="E14877">
        <v>6.0999999999999997E-4</v>
      </c>
      <c r="F14877" t="s">
        <v>74</v>
      </c>
      <c r="G14877">
        <v>0.60960000000000003</v>
      </c>
      <c r="H14877" t="s">
        <v>75</v>
      </c>
      <c r="I14877">
        <v>609.6</v>
      </c>
      <c r="J14877" t="s">
        <v>76</v>
      </c>
      <c r="K14877" t="s">
        <v>77</v>
      </c>
    </row>
    <row r="14878" spans="1:12" x14ac:dyDescent="0.3">
      <c r="A14878" t="s">
        <v>497</v>
      </c>
      <c r="B14878" t="s">
        <v>72</v>
      </c>
      <c r="C14878">
        <v>1</v>
      </c>
      <c r="D14878" t="s">
        <v>93</v>
      </c>
      <c r="E14878">
        <v>4.6299999999999998E-4</v>
      </c>
      <c r="F14878" t="s">
        <v>74</v>
      </c>
      <c r="G14878">
        <v>0.46339999999999998</v>
      </c>
      <c r="H14878" t="s">
        <v>75</v>
      </c>
      <c r="I14878">
        <v>463.4</v>
      </c>
      <c r="J14878" t="s">
        <v>76</v>
      </c>
      <c r="K14878" t="s">
        <v>77</v>
      </c>
    </row>
    <row r="14879" spans="1:12" x14ac:dyDescent="0.3">
      <c r="A14879" t="s">
        <v>497</v>
      </c>
      <c r="B14879" t="s">
        <v>72</v>
      </c>
      <c r="C14879">
        <v>1</v>
      </c>
      <c r="D14879" t="s">
        <v>79</v>
      </c>
      <c r="E14879">
        <v>0.11919100000000001</v>
      </c>
      <c r="F14879" t="s">
        <v>74</v>
      </c>
      <c r="G14879">
        <v>119.1915</v>
      </c>
      <c r="H14879" t="s">
        <v>75</v>
      </c>
      <c r="I14879">
        <v>119191.49800000001</v>
      </c>
      <c r="J14879" t="s">
        <v>76</v>
      </c>
      <c r="K14879" t="s">
        <v>77</v>
      </c>
    </row>
    <row r="14880" spans="1:12" x14ac:dyDescent="0.3">
      <c r="A14880" t="s">
        <v>497</v>
      </c>
      <c r="B14880" t="s">
        <v>72</v>
      </c>
      <c r="C14880">
        <v>1</v>
      </c>
      <c r="D14880" t="s">
        <v>94</v>
      </c>
      <c r="E14880">
        <v>9.9430000000000004E-3</v>
      </c>
      <c r="F14880" t="s">
        <v>74</v>
      </c>
      <c r="G14880">
        <v>9.9434000000000005</v>
      </c>
      <c r="H14880" t="s">
        <v>75</v>
      </c>
      <c r="I14880">
        <v>9943.4</v>
      </c>
      <c r="J14880" t="s">
        <v>76</v>
      </c>
      <c r="K14880" t="s">
        <v>77</v>
      </c>
    </row>
    <row r="14881" spans="1:12" x14ac:dyDescent="0.3">
      <c r="A14881" t="s">
        <v>497</v>
      </c>
      <c r="B14881" t="s">
        <v>72</v>
      </c>
      <c r="C14881">
        <v>1</v>
      </c>
      <c r="D14881" t="s">
        <v>80</v>
      </c>
      <c r="E14881">
        <v>9.9439999999999997E-3</v>
      </c>
      <c r="F14881" t="s">
        <v>74</v>
      </c>
      <c r="G14881">
        <v>9.9442000000000004</v>
      </c>
      <c r="H14881" t="s">
        <v>75</v>
      </c>
      <c r="I14881">
        <v>9944.2000000000007</v>
      </c>
      <c r="J14881" t="s">
        <v>76</v>
      </c>
      <c r="K14881" t="s">
        <v>77</v>
      </c>
    </row>
    <row r="14882" spans="1:12" x14ac:dyDescent="0.3">
      <c r="A14882" t="s">
        <v>497</v>
      </c>
      <c r="B14882" t="s">
        <v>72</v>
      </c>
      <c r="C14882">
        <v>1</v>
      </c>
      <c r="D14882" t="s">
        <v>81</v>
      </c>
      <c r="E14882">
        <v>0.129136</v>
      </c>
      <c r="F14882" t="s">
        <v>74</v>
      </c>
      <c r="G14882">
        <v>129.13579999999999</v>
      </c>
      <c r="H14882" t="s">
        <v>75</v>
      </c>
      <c r="I14882">
        <v>129135.802</v>
      </c>
      <c r="J14882" t="s">
        <v>76</v>
      </c>
      <c r="K14882" t="s">
        <v>82</v>
      </c>
      <c r="L14882">
        <v>7.7437858999999998</v>
      </c>
    </row>
    <row r="14883" spans="1:12" x14ac:dyDescent="0.3">
      <c r="A14883" t="s">
        <v>497</v>
      </c>
      <c r="B14883" t="s">
        <v>83</v>
      </c>
      <c r="C14883">
        <v>468</v>
      </c>
      <c r="D14883" t="s">
        <v>91</v>
      </c>
      <c r="E14883">
        <v>9.0799999999999995E-4</v>
      </c>
      <c r="F14883" t="s">
        <v>74</v>
      </c>
      <c r="G14883">
        <v>0.90790999999999999</v>
      </c>
      <c r="H14883" t="s">
        <v>75</v>
      </c>
      <c r="I14883">
        <v>907.90700000000004</v>
      </c>
      <c r="J14883" t="s">
        <v>76</v>
      </c>
      <c r="K14883" t="s">
        <v>77</v>
      </c>
    </row>
    <row r="14884" spans="1:12" x14ac:dyDescent="0.3">
      <c r="A14884" t="s">
        <v>497</v>
      </c>
      <c r="B14884" t="s">
        <v>83</v>
      </c>
      <c r="C14884">
        <v>468</v>
      </c>
      <c r="D14884" t="s">
        <v>92</v>
      </c>
      <c r="E14884">
        <v>5.5699999999999999E-4</v>
      </c>
      <c r="F14884" t="s">
        <v>74</v>
      </c>
      <c r="G14884">
        <v>0.55745999999999996</v>
      </c>
      <c r="H14884" t="s">
        <v>75</v>
      </c>
      <c r="I14884">
        <v>557.45799999999997</v>
      </c>
      <c r="J14884" t="s">
        <v>76</v>
      </c>
      <c r="K14884" t="s">
        <v>77</v>
      </c>
    </row>
    <row r="14885" spans="1:12" x14ac:dyDescent="0.3">
      <c r="A14885" t="s">
        <v>497</v>
      </c>
      <c r="B14885" t="s">
        <v>83</v>
      </c>
      <c r="C14885">
        <v>468</v>
      </c>
      <c r="D14885" t="s">
        <v>93</v>
      </c>
      <c r="E14885">
        <v>5.5500000000000005E-4</v>
      </c>
      <c r="F14885" t="s">
        <v>74</v>
      </c>
      <c r="G14885">
        <v>0.55520000000000003</v>
      </c>
      <c r="H14885" t="s">
        <v>75</v>
      </c>
      <c r="I14885">
        <v>555.20399999999995</v>
      </c>
      <c r="J14885" t="s">
        <v>76</v>
      </c>
      <c r="K14885" t="s">
        <v>77</v>
      </c>
    </row>
    <row r="14886" spans="1:12" x14ac:dyDescent="0.3">
      <c r="A14886" t="s">
        <v>497</v>
      </c>
      <c r="B14886" t="s">
        <v>83</v>
      </c>
      <c r="C14886">
        <v>468</v>
      </c>
      <c r="D14886" t="s">
        <v>79</v>
      </c>
      <c r="E14886">
        <v>2.0219999999999999E-3</v>
      </c>
      <c r="F14886" t="s">
        <v>74</v>
      </c>
      <c r="G14886">
        <v>2.02216</v>
      </c>
      <c r="H14886" t="s">
        <v>75</v>
      </c>
      <c r="I14886">
        <v>2022.1579999999999</v>
      </c>
      <c r="J14886" t="s">
        <v>76</v>
      </c>
      <c r="K14886" t="s">
        <v>77</v>
      </c>
    </row>
    <row r="14887" spans="1:12" x14ac:dyDescent="0.3">
      <c r="A14887" t="s">
        <v>497</v>
      </c>
      <c r="B14887" t="s">
        <v>83</v>
      </c>
      <c r="C14887">
        <v>468</v>
      </c>
      <c r="D14887" t="s">
        <v>94</v>
      </c>
      <c r="E14887">
        <v>6.2729999999999999E-3</v>
      </c>
      <c r="F14887" t="s">
        <v>74</v>
      </c>
      <c r="G14887">
        <v>6.2730499999999996</v>
      </c>
      <c r="H14887" t="s">
        <v>75</v>
      </c>
      <c r="I14887">
        <v>6273.0460000000003</v>
      </c>
      <c r="J14887" t="s">
        <v>76</v>
      </c>
      <c r="K14887" t="s">
        <v>77</v>
      </c>
    </row>
    <row r="14888" spans="1:12" x14ac:dyDescent="0.3">
      <c r="A14888" t="s">
        <v>497</v>
      </c>
      <c r="B14888" t="s">
        <v>83</v>
      </c>
      <c r="C14888">
        <v>468</v>
      </c>
      <c r="D14888" t="s">
        <v>80</v>
      </c>
      <c r="E14888">
        <v>6.476E-3</v>
      </c>
      <c r="F14888" t="s">
        <v>74</v>
      </c>
      <c r="G14888">
        <v>6.4760600000000004</v>
      </c>
      <c r="H14888" t="s">
        <v>75</v>
      </c>
      <c r="I14888">
        <v>6476.0590000000002</v>
      </c>
      <c r="J14888" t="s">
        <v>76</v>
      </c>
      <c r="K14888" t="s">
        <v>77</v>
      </c>
    </row>
    <row r="14889" spans="1:12" x14ac:dyDescent="0.3">
      <c r="A14889" t="s">
        <v>497</v>
      </c>
      <c r="B14889" t="s">
        <v>83</v>
      </c>
      <c r="C14889">
        <v>468</v>
      </c>
      <c r="D14889" t="s">
        <v>81</v>
      </c>
      <c r="E14889">
        <v>8.4989999999999996E-3</v>
      </c>
      <c r="F14889" t="s">
        <v>74</v>
      </c>
      <c r="G14889">
        <v>8.4985199999999992</v>
      </c>
      <c r="H14889" t="s">
        <v>75</v>
      </c>
      <c r="I14889">
        <v>8498.518</v>
      </c>
      <c r="J14889" t="s">
        <v>76</v>
      </c>
      <c r="K14889" t="s">
        <v>82</v>
      </c>
      <c r="L14889">
        <v>117.6675762</v>
      </c>
    </row>
    <row r="14890" spans="1:12" x14ac:dyDescent="0.3">
      <c r="A14890" t="s">
        <v>497</v>
      </c>
      <c r="B14890" t="s">
        <v>84</v>
      </c>
      <c r="C14890">
        <v>469</v>
      </c>
      <c r="D14890" t="s">
        <v>91</v>
      </c>
      <c r="E14890">
        <v>1.158E-3</v>
      </c>
      <c r="F14890" t="s">
        <v>74</v>
      </c>
      <c r="G14890">
        <v>1.1578200000000001</v>
      </c>
      <c r="H14890" t="s">
        <v>75</v>
      </c>
      <c r="I14890">
        <v>1157.82</v>
      </c>
      <c r="J14890" t="s">
        <v>76</v>
      </c>
      <c r="K14890" t="s">
        <v>77</v>
      </c>
    </row>
    <row r="14891" spans="1:12" x14ac:dyDescent="0.3">
      <c r="A14891" t="s">
        <v>497</v>
      </c>
      <c r="B14891" t="s">
        <v>84</v>
      </c>
      <c r="C14891">
        <v>469</v>
      </c>
      <c r="D14891" t="s">
        <v>92</v>
      </c>
      <c r="E14891">
        <v>5.5800000000000001E-4</v>
      </c>
      <c r="F14891" t="s">
        <v>74</v>
      </c>
      <c r="G14891">
        <v>0.55757000000000001</v>
      </c>
      <c r="H14891" t="s">
        <v>75</v>
      </c>
      <c r="I14891">
        <v>557.56899999999996</v>
      </c>
      <c r="J14891" t="s">
        <v>76</v>
      </c>
      <c r="K14891" t="s">
        <v>77</v>
      </c>
    </row>
    <row r="14892" spans="1:12" x14ac:dyDescent="0.3">
      <c r="A14892" t="s">
        <v>497</v>
      </c>
      <c r="B14892" t="s">
        <v>84</v>
      </c>
      <c r="C14892">
        <v>469</v>
      </c>
      <c r="D14892" t="s">
        <v>93</v>
      </c>
      <c r="E14892">
        <v>5.5500000000000005E-4</v>
      </c>
      <c r="F14892" t="s">
        <v>74</v>
      </c>
      <c r="G14892">
        <v>0.55501</v>
      </c>
      <c r="H14892" t="s">
        <v>75</v>
      </c>
      <c r="I14892">
        <v>555.00800000000004</v>
      </c>
      <c r="J14892" t="s">
        <v>76</v>
      </c>
      <c r="K14892" t="s">
        <v>77</v>
      </c>
    </row>
    <row r="14893" spans="1:12" x14ac:dyDescent="0.3">
      <c r="A14893" t="s">
        <v>497</v>
      </c>
      <c r="B14893" t="s">
        <v>84</v>
      </c>
      <c r="C14893">
        <v>469</v>
      </c>
      <c r="D14893" t="s">
        <v>79</v>
      </c>
      <c r="E14893">
        <v>2.2720000000000001E-3</v>
      </c>
      <c r="F14893" t="s">
        <v>74</v>
      </c>
      <c r="G14893">
        <v>2.2719900000000002</v>
      </c>
      <c r="H14893" t="s">
        <v>75</v>
      </c>
      <c r="I14893">
        <v>2271.9859999999999</v>
      </c>
      <c r="J14893" t="s">
        <v>76</v>
      </c>
      <c r="K14893" t="s">
        <v>77</v>
      </c>
    </row>
    <row r="14894" spans="1:12" x14ac:dyDescent="0.3">
      <c r="A14894" t="s">
        <v>497</v>
      </c>
      <c r="B14894" t="s">
        <v>84</v>
      </c>
      <c r="C14894">
        <v>469</v>
      </c>
      <c r="D14894" t="s">
        <v>94</v>
      </c>
      <c r="E14894">
        <v>6.2810000000000001E-3</v>
      </c>
      <c r="F14894" t="s">
        <v>74</v>
      </c>
      <c r="G14894">
        <v>6.2808700000000002</v>
      </c>
      <c r="H14894" t="s">
        <v>75</v>
      </c>
      <c r="I14894">
        <v>6280.8720000000003</v>
      </c>
      <c r="J14894" t="s">
        <v>76</v>
      </c>
      <c r="K14894" t="s">
        <v>77</v>
      </c>
    </row>
    <row r="14895" spans="1:12" x14ac:dyDescent="0.3">
      <c r="A14895" t="s">
        <v>497</v>
      </c>
      <c r="B14895" t="s">
        <v>84</v>
      </c>
      <c r="C14895">
        <v>469</v>
      </c>
      <c r="D14895" t="s">
        <v>80</v>
      </c>
      <c r="E14895">
        <v>6.483E-3</v>
      </c>
      <c r="F14895" t="s">
        <v>74</v>
      </c>
      <c r="G14895">
        <v>6.4834500000000004</v>
      </c>
      <c r="H14895" t="s">
        <v>75</v>
      </c>
      <c r="I14895">
        <v>6483.4539999999997</v>
      </c>
      <c r="J14895" t="s">
        <v>76</v>
      </c>
      <c r="K14895" t="s">
        <v>77</v>
      </c>
    </row>
    <row r="14896" spans="1:12" x14ac:dyDescent="0.3">
      <c r="A14896" t="s">
        <v>497</v>
      </c>
      <c r="B14896" t="s">
        <v>84</v>
      </c>
      <c r="C14896">
        <v>469</v>
      </c>
      <c r="D14896" t="s">
        <v>81</v>
      </c>
      <c r="E14896">
        <v>8.7559999999999999E-3</v>
      </c>
      <c r="F14896" t="s">
        <v>74</v>
      </c>
      <c r="G14896">
        <v>8.7557399999999994</v>
      </c>
      <c r="H14896" t="s">
        <v>75</v>
      </c>
      <c r="I14896">
        <v>8755.7430000000004</v>
      </c>
      <c r="J14896" t="s">
        <v>76</v>
      </c>
      <c r="K14896" t="s">
        <v>82</v>
      </c>
      <c r="L14896">
        <v>114.2107546</v>
      </c>
    </row>
    <row r="14897" spans="1:12" x14ac:dyDescent="0.3">
      <c r="A14897" t="s">
        <v>498</v>
      </c>
      <c r="B14897" t="s">
        <v>72</v>
      </c>
      <c r="C14897">
        <v>1</v>
      </c>
      <c r="D14897" t="s">
        <v>73</v>
      </c>
      <c r="E14897">
        <v>7.8999999999999996E-5</v>
      </c>
      <c r="F14897" t="s">
        <v>74</v>
      </c>
      <c r="G14897">
        <v>7.9399999999999998E-2</v>
      </c>
      <c r="H14897" t="s">
        <v>75</v>
      </c>
      <c r="I14897">
        <v>79.400000000000006</v>
      </c>
      <c r="J14897" t="s">
        <v>76</v>
      </c>
      <c r="K14897" t="s">
        <v>77</v>
      </c>
    </row>
    <row r="14898" spans="1:12" x14ac:dyDescent="0.3">
      <c r="A14898" t="s">
        <v>498</v>
      </c>
      <c r="B14898" t="s">
        <v>72</v>
      </c>
      <c r="C14898">
        <v>1</v>
      </c>
      <c r="D14898" t="s">
        <v>78</v>
      </c>
      <c r="E14898">
        <v>0.140149</v>
      </c>
      <c r="F14898" t="s">
        <v>74</v>
      </c>
      <c r="G14898">
        <v>140.149</v>
      </c>
      <c r="H14898" t="s">
        <v>75</v>
      </c>
      <c r="I14898">
        <v>140148.997</v>
      </c>
      <c r="J14898" t="s">
        <v>76</v>
      </c>
      <c r="K14898" t="s">
        <v>77</v>
      </c>
    </row>
    <row r="14899" spans="1:12" x14ac:dyDescent="0.3">
      <c r="A14899" t="s">
        <v>498</v>
      </c>
      <c r="B14899" t="s">
        <v>72</v>
      </c>
      <c r="C14899">
        <v>2</v>
      </c>
      <c r="D14899" t="s">
        <v>86</v>
      </c>
      <c r="E14899">
        <v>0.17716399999999999</v>
      </c>
      <c r="F14899" t="s">
        <v>74</v>
      </c>
      <c r="G14899">
        <v>177.16435000000001</v>
      </c>
      <c r="H14899" t="s">
        <v>75</v>
      </c>
      <c r="I14899">
        <v>177164.34599999999</v>
      </c>
      <c r="J14899" t="s">
        <v>76</v>
      </c>
      <c r="K14899" t="s">
        <v>82</v>
      </c>
      <c r="L14899">
        <v>5.6444766</v>
      </c>
    </row>
    <row r="14900" spans="1:12" x14ac:dyDescent="0.3">
      <c r="A14900" t="s">
        <v>498</v>
      </c>
      <c r="B14900" t="s">
        <v>83</v>
      </c>
      <c r="C14900">
        <v>999</v>
      </c>
      <c r="D14900" t="s">
        <v>86</v>
      </c>
      <c r="E14900">
        <v>3.9899999999999996E-3</v>
      </c>
      <c r="F14900" t="s">
        <v>74</v>
      </c>
      <c r="G14900">
        <v>3.9895100000000001</v>
      </c>
      <c r="H14900" t="s">
        <v>75</v>
      </c>
      <c r="I14900">
        <v>3989.5149999999999</v>
      </c>
      <c r="J14900" t="s">
        <v>76</v>
      </c>
      <c r="K14900" t="s">
        <v>82</v>
      </c>
      <c r="L14900">
        <v>250.65704199999999</v>
      </c>
    </row>
    <row r="14901" spans="1:12" x14ac:dyDescent="0.3">
      <c r="A14901" t="s">
        <v>498</v>
      </c>
      <c r="B14901" t="s">
        <v>85</v>
      </c>
      <c r="C14901">
        <v>1001</v>
      </c>
      <c r="D14901" t="s">
        <v>86</v>
      </c>
      <c r="E14901">
        <v>4.1159999999999999E-3</v>
      </c>
      <c r="F14901" t="s">
        <v>74</v>
      </c>
      <c r="G14901">
        <v>4.1156800000000002</v>
      </c>
      <c r="H14901" t="s">
        <v>75</v>
      </c>
      <c r="I14901">
        <v>4115.6809999999996</v>
      </c>
      <c r="J14901" t="s">
        <v>76</v>
      </c>
      <c r="K14901" t="s">
        <v>82</v>
      </c>
      <c r="L14901">
        <v>242.97317949999999</v>
      </c>
    </row>
    <row r="14902" spans="1:12" x14ac:dyDescent="0.3">
      <c r="A14902" t="s">
        <v>115</v>
      </c>
    </row>
    <row r="14903" spans="1:12" x14ac:dyDescent="0.3">
      <c r="A14903" t="s">
        <v>127</v>
      </c>
    </row>
    <row r="14904" spans="1:12" x14ac:dyDescent="0.3">
      <c r="A14904" t="s">
        <v>87</v>
      </c>
    </row>
    <row r="14905" spans="1:12" x14ac:dyDescent="0.3">
      <c r="A14905" t="s">
        <v>532</v>
      </c>
    </row>
    <row r="14906" spans="1:12" x14ac:dyDescent="0.3">
      <c r="A14906" t="s">
        <v>496</v>
      </c>
      <c r="B14906" t="s">
        <v>72</v>
      </c>
      <c r="C14906">
        <v>1</v>
      </c>
      <c r="D14906" t="s">
        <v>81</v>
      </c>
      <c r="E14906">
        <v>0.35427599999999998</v>
      </c>
      <c r="F14906" t="s">
        <v>74</v>
      </c>
      <c r="G14906">
        <v>354.27569999999997</v>
      </c>
      <c r="H14906" t="s">
        <v>75</v>
      </c>
      <c r="I14906">
        <v>354275.70299999998</v>
      </c>
      <c r="J14906" t="s">
        <v>76</v>
      </c>
      <c r="K14906" t="s">
        <v>82</v>
      </c>
      <c r="L14906">
        <v>2.8226604000000002</v>
      </c>
    </row>
    <row r="14907" spans="1:12" x14ac:dyDescent="0.3">
      <c r="A14907" t="s">
        <v>496</v>
      </c>
      <c r="B14907" t="s">
        <v>83</v>
      </c>
      <c r="C14907">
        <v>531</v>
      </c>
      <c r="D14907" t="s">
        <v>81</v>
      </c>
      <c r="E14907">
        <v>7.0520000000000001E-3</v>
      </c>
      <c r="F14907" t="s">
        <v>74</v>
      </c>
      <c r="G14907">
        <v>7.0518900000000002</v>
      </c>
      <c r="H14907" t="s">
        <v>75</v>
      </c>
      <c r="I14907">
        <v>7051.8869999999997</v>
      </c>
      <c r="J14907" t="s">
        <v>76</v>
      </c>
      <c r="K14907" t="s">
        <v>82</v>
      </c>
      <c r="L14907">
        <v>141.80601060000001</v>
      </c>
    </row>
    <row r="14908" spans="1:12" x14ac:dyDescent="0.3">
      <c r="A14908" t="s">
        <v>496</v>
      </c>
      <c r="B14908" t="s">
        <v>84</v>
      </c>
      <c r="C14908">
        <v>532</v>
      </c>
      <c r="D14908" t="s">
        <v>81</v>
      </c>
      <c r="E14908">
        <v>7.705E-3</v>
      </c>
      <c r="F14908" t="s">
        <v>74</v>
      </c>
      <c r="G14908">
        <v>7.7045599999999999</v>
      </c>
      <c r="H14908" t="s">
        <v>75</v>
      </c>
      <c r="I14908">
        <v>7704.5619999999999</v>
      </c>
      <c r="J14908" t="s">
        <v>76</v>
      </c>
      <c r="K14908" t="s">
        <v>82</v>
      </c>
      <c r="L14908">
        <v>129.7932347</v>
      </c>
    </row>
    <row r="14909" spans="1:12" x14ac:dyDescent="0.3">
      <c r="A14909" t="s">
        <v>497</v>
      </c>
      <c r="B14909" t="s">
        <v>72</v>
      </c>
      <c r="C14909">
        <v>1</v>
      </c>
      <c r="D14909" t="s">
        <v>81</v>
      </c>
      <c r="E14909">
        <v>0.129136</v>
      </c>
      <c r="F14909" t="s">
        <v>74</v>
      </c>
      <c r="G14909">
        <v>129.13579999999999</v>
      </c>
      <c r="H14909" t="s">
        <v>75</v>
      </c>
      <c r="I14909">
        <v>129135.802</v>
      </c>
      <c r="J14909" t="s">
        <v>76</v>
      </c>
      <c r="K14909" t="s">
        <v>82</v>
      </c>
      <c r="L14909">
        <v>7.7437858999999998</v>
      </c>
    </row>
    <row r="14910" spans="1:12" x14ac:dyDescent="0.3">
      <c r="A14910" t="s">
        <v>497</v>
      </c>
      <c r="B14910" t="s">
        <v>83</v>
      </c>
      <c r="C14910">
        <v>468</v>
      </c>
      <c r="D14910" t="s">
        <v>81</v>
      </c>
      <c r="E14910">
        <v>8.4989999999999996E-3</v>
      </c>
      <c r="F14910" t="s">
        <v>74</v>
      </c>
      <c r="G14910">
        <v>8.4985199999999992</v>
      </c>
      <c r="H14910" t="s">
        <v>75</v>
      </c>
      <c r="I14910">
        <v>8498.518</v>
      </c>
      <c r="J14910" t="s">
        <v>76</v>
      </c>
      <c r="K14910" t="s">
        <v>82</v>
      </c>
      <c r="L14910">
        <v>117.6675762</v>
      </c>
    </row>
    <row r="14911" spans="1:12" x14ac:dyDescent="0.3">
      <c r="A14911" t="s">
        <v>497</v>
      </c>
      <c r="B14911" t="s">
        <v>84</v>
      </c>
      <c r="C14911">
        <v>469</v>
      </c>
      <c r="D14911" t="s">
        <v>81</v>
      </c>
      <c r="E14911">
        <v>8.7559999999999999E-3</v>
      </c>
      <c r="F14911" t="s">
        <v>74</v>
      </c>
      <c r="G14911">
        <v>8.7557399999999994</v>
      </c>
      <c r="H14911" t="s">
        <v>75</v>
      </c>
      <c r="I14911">
        <v>8755.7430000000004</v>
      </c>
      <c r="J14911" t="s">
        <v>76</v>
      </c>
      <c r="K14911" t="s">
        <v>82</v>
      </c>
      <c r="L14911">
        <v>114.2107546</v>
      </c>
    </row>
    <row r="14912" spans="1:12" x14ac:dyDescent="0.3">
      <c r="A14912" t="s">
        <v>498</v>
      </c>
      <c r="B14912" t="s">
        <v>72</v>
      </c>
      <c r="C14912">
        <v>2</v>
      </c>
      <c r="D14912" t="s">
        <v>86</v>
      </c>
      <c r="E14912">
        <v>0.17716399999999999</v>
      </c>
      <c r="F14912" t="s">
        <v>74</v>
      </c>
      <c r="G14912">
        <v>177.16435000000001</v>
      </c>
      <c r="H14912" t="s">
        <v>75</v>
      </c>
      <c r="I14912">
        <v>177164.34599999999</v>
      </c>
      <c r="J14912" t="s">
        <v>76</v>
      </c>
      <c r="K14912" t="s">
        <v>82</v>
      </c>
      <c r="L14912">
        <v>5.6444766</v>
      </c>
    </row>
    <row r="14913" spans="1:12" x14ac:dyDescent="0.3">
      <c r="A14913" t="s">
        <v>498</v>
      </c>
      <c r="B14913" t="s">
        <v>83</v>
      </c>
      <c r="C14913">
        <v>999</v>
      </c>
      <c r="D14913" t="s">
        <v>86</v>
      </c>
      <c r="E14913">
        <v>3.9899999999999996E-3</v>
      </c>
      <c r="F14913" t="s">
        <v>74</v>
      </c>
      <c r="G14913">
        <v>3.9895100000000001</v>
      </c>
      <c r="H14913" t="s">
        <v>75</v>
      </c>
      <c r="I14913">
        <v>3989.5149999999999</v>
      </c>
      <c r="J14913" t="s">
        <v>76</v>
      </c>
      <c r="K14913" t="s">
        <v>82</v>
      </c>
      <c r="L14913">
        <v>250.65704199999999</v>
      </c>
    </row>
    <row r="14914" spans="1:12" x14ac:dyDescent="0.3">
      <c r="A14914" t="s">
        <v>498</v>
      </c>
      <c r="B14914" t="s">
        <v>85</v>
      </c>
      <c r="C14914">
        <v>1001</v>
      </c>
      <c r="D14914" t="s">
        <v>86</v>
      </c>
      <c r="E14914">
        <v>4.1159999999999999E-3</v>
      </c>
      <c r="F14914" t="s">
        <v>74</v>
      </c>
      <c r="G14914">
        <v>4.1156800000000002</v>
      </c>
      <c r="H14914" t="s">
        <v>75</v>
      </c>
      <c r="I14914">
        <v>4115.6809999999996</v>
      </c>
      <c r="J14914" t="s">
        <v>76</v>
      </c>
      <c r="K14914" t="s">
        <v>82</v>
      </c>
      <c r="L14914">
        <v>242.97317949999999</v>
      </c>
    </row>
    <row r="14916" spans="1:12" x14ac:dyDescent="0.3">
      <c r="A14916" t="s">
        <v>66</v>
      </c>
    </row>
    <row r="14918" spans="1:12" x14ac:dyDescent="0.3">
      <c r="A14918" t="s">
        <v>587</v>
      </c>
    </row>
    <row r="14919" spans="1:12" x14ac:dyDescent="0.3">
      <c r="A14919" t="s">
        <v>68</v>
      </c>
    </row>
    <row r="14920" spans="1:12" x14ac:dyDescent="0.3">
      <c r="A14920" t="s">
        <v>69</v>
      </c>
    </row>
    <row r="14921" spans="1:12" x14ac:dyDescent="0.3">
      <c r="A14921" t="s">
        <v>68</v>
      </c>
    </row>
    <row r="14922" spans="1:12" x14ac:dyDescent="0.3">
      <c r="A14922" t="s">
        <v>69</v>
      </c>
    </row>
    <row r="14923" spans="1:12" x14ac:dyDescent="0.3">
      <c r="A14923" t="s">
        <v>70</v>
      </c>
    </row>
    <row r="14924" spans="1:12" x14ac:dyDescent="0.3">
      <c r="A14924" t="s">
        <v>115</v>
      </c>
    </row>
    <row r="14925" spans="1:12" x14ac:dyDescent="0.3">
      <c r="A14925" t="s">
        <v>116</v>
      </c>
    </row>
    <row r="14926" spans="1:12" x14ac:dyDescent="0.3">
      <c r="A14926" t="s">
        <v>117</v>
      </c>
    </row>
    <row r="14927" spans="1:12" x14ac:dyDescent="0.3">
      <c r="A14927" t="s">
        <v>118</v>
      </c>
    </row>
    <row r="14928" spans="1:12" x14ac:dyDescent="0.3">
      <c r="A14928" t="s">
        <v>119</v>
      </c>
    </row>
    <row r="14929" spans="1:1" x14ac:dyDescent="0.3">
      <c r="A14929" t="s">
        <v>120</v>
      </c>
    </row>
    <row r="14930" spans="1:1" x14ac:dyDescent="0.3">
      <c r="A14930" t="s">
        <v>121</v>
      </c>
    </row>
    <row r="14931" spans="1:1" x14ac:dyDescent="0.3">
      <c r="A14931" t="s">
        <v>122</v>
      </c>
    </row>
    <row r="14932" spans="1:1" x14ac:dyDescent="0.3">
      <c r="A14932" t="s">
        <v>123</v>
      </c>
    </row>
    <row r="14933" spans="1:1" x14ac:dyDescent="0.3">
      <c r="A14933" t="s">
        <v>124</v>
      </c>
    </row>
    <row r="14934" spans="1:1" x14ac:dyDescent="0.3">
      <c r="A14934" t="s">
        <v>125</v>
      </c>
    </row>
    <row r="14935" spans="1:1" x14ac:dyDescent="0.3">
      <c r="A14935" t="s">
        <v>126</v>
      </c>
    </row>
    <row r="14936" spans="1:1" x14ac:dyDescent="0.3">
      <c r="A14936" t="s">
        <v>127</v>
      </c>
    </row>
    <row r="14937" spans="1:1" x14ac:dyDescent="0.3">
      <c r="A14937" t="s">
        <v>178</v>
      </c>
    </row>
    <row r="14938" spans="1:1" x14ac:dyDescent="0.3">
      <c r="A14938" t="s">
        <v>115</v>
      </c>
    </row>
    <row r="14939" spans="1:1" x14ac:dyDescent="0.3">
      <c r="A14939" t="s">
        <v>266</v>
      </c>
    </row>
    <row r="14940" spans="1:1" x14ac:dyDescent="0.3">
      <c r="A14940" t="s">
        <v>267</v>
      </c>
    </row>
    <row r="14941" spans="1:1" x14ac:dyDescent="0.3">
      <c r="A14941" t="s">
        <v>118</v>
      </c>
    </row>
    <row r="14942" spans="1:1" x14ac:dyDescent="0.3">
      <c r="A14942" t="s">
        <v>119</v>
      </c>
    </row>
    <row r="14943" spans="1:1" x14ac:dyDescent="0.3">
      <c r="A14943" t="s">
        <v>268</v>
      </c>
    </row>
    <row r="14944" spans="1:1" x14ac:dyDescent="0.3">
      <c r="A14944" t="s">
        <v>269</v>
      </c>
    </row>
    <row r="14945" spans="1:12" x14ac:dyDescent="0.3">
      <c r="A14945" t="s">
        <v>122</v>
      </c>
    </row>
    <row r="14946" spans="1:12" x14ac:dyDescent="0.3">
      <c r="A14946" t="s">
        <v>270</v>
      </c>
    </row>
    <row r="14947" spans="1:12" x14ac:dyDescent="0.3">
      <c r="A14947" t="s">
        <v>271</v>
      </c>
    </row>
    <row r="14948" spans="1:12" x14ac:dyDescent="0.3">
      <c r="A14948" t="s">
        <v>125</v>
      </c>
    </row>
    <row r="14949" spans="1:12" x14ac:dyDescent="0.3">
      <c r="A14949" t="s">
        <v>126</v>
      </c>
    </row>
    <row r="14950" spans="1:12" x14ac:dyDescent="0.3">
      <c r="A14950" t="s">
        <v>127</v>
      </c>
    </row>
    <row r="14951" spans="1:12" x14ac:dyDescent="0.3">
      <c r="A14951" t="s">
        <v>178</v>
      </c>
    </row>
    <row r="14952" spans="1:12" x14ac:dyDescent="0.3">
      <c r="A14952" t="s">
        <v>534</v>
      </c>
    </row>
    <row r="14953" spans="1:12" x14ac:dyDescent="0.3">
      <c r="A14953" t="s">
        <v>496</v>
      </c>
      <c r="B14953" t="s">
        <v>72</v>
      </c>
      <c r="C14953">
        <v>1</v>
      </c>
      <c r="D14953" t="s">
        <v>79</v>
      </c>
      <c r="E14953">
        <v>0.31424000000000002</v>
      </c>
      <c r="F14953" t="s">
        <v>74</v>
      </c>
      <c r="G14953">
        <v>314.24009999999998</v>
      </c>
      <c r="H14953" t="s">
        <v>75</v>
      </c>
      <c r="I14953">
        <v>314240.098</v>
      </c>
      <c r="J14953" t="s">
        <v>76</v>
      </c>
      <c r="K14953" t="s">
        <v>77</v>
      </c>
    </row>
    <row r="14954" spans="1:12" x14ac:dyDescent="0.3">
      <c r="A14954" t="s">
        <v>496</v>
      </c>
      <c r="B14954" t="s">
        <v>72</v>
      </c>
      <c r="C14954">
        <v>1</v>
      </c>
      <c r="D14954" t="s">
        <v>94</v>
      </c>
      <c r="E14954">
        <v>1.9963999999999999E-2</v>
      </c>
      <c r="F14954" t="s">
        <v>74</v>
      </c>
      <c r="G14954">
        <v>19.963999999999999</v>
      </c>
      <c r="H14954" t="s">
        <v>75</v>
      </c>
      <c r="I14954">
        <v>19964</v>
      </c>
      <c r="J14954" t="s">
        <v>76</v>
      </c>
      <c r="K14954" t="s">
        <v>77</v>
      </c>
    </row>
    <row r="14955" spans="1:12" x14ac:dyDescent="0.3">
      <c r="A14955" t="s">
        <v>496</v>
      </c>
      <c r="B14955" t="s">
        <v>72</v>
      </c>
      <c r="C14955">
        <v>1</v>
      </c>
      <c r="D14955" t="s">
        <v>80</v>
      </c>
      <c r="E14955">
        <v>1.9965E-2</v>
      </c>
      <c r="F14955" t="s">
        <v>74</v>
      </c>
      <c r="G14955">
        <v>19.9649</v>
      </c>
      <c r="H14955" t="s">
        <v>75</v>
      </c>
      <c r="I14955">
        <v>19964.900000000001</v>
      </c>
      <c r="J14955" t="s">
        <v>76</v>
      </c>
      <c r="K14955" t="s">
        <v>77</v>
      </c>
    </row>
    <row r="14956" spans="1:12" x14ac:dyDescent="0.3">
      <c r="A14956" t="s">
        <v>496</v>
      </c>
      <c r="B14956" t="s">
        <v>72</v>
      </c>
      <c r="C14956">
        <v>1</v>
      </c>
      <c r="D14956" t="s">
        <v>81</v>
      </c>
      <c r="E14956">
        <v>0.33420499999999997</v>
      </c>
      <c r="F14956" t="s">
        <v>74</v>
      </c>
      <c r="G14956">
        <v>334.20539000000002</v>
      </c>
      <c r="H14956" t="s">
        <v>75</v>
      </c>
      <c r="I14956">
        <v>334205.38900000002</v>
      </c>
      <c r="J14956" t="s">
        <v>76</v>
      </c>
      <c r="K14956" t="s">
        <v>82</v>
      </c>
      <c r="L14956">
        <v>2.9921720000000001</v>
      </c>
    </row>
    <row r="14957" spans="1:12" x14ac:dyDescent="0.3">
      <c r="A14957" t="s">
        <v>496</v>
      </c>
      <c r="B14957" t="s">
        <v>83</v>
      </c>
      <c r="C14957">
        <v>567</v>
      </c>
      <c r="D14957" t="s">
        <v>79</v>
      </c>
      <c r="E14957">
        <v>5.8299999999999997E-4</v>
      </c>
      <c r="F14957" t="s">
        <v>74</v>
      </c>
      <c r="G14957">
        <v>0.58257999999999999</v>
      </c>
      <c r="H14957" t="s">
        <v>75</v>
      </c>
      <c r="I14957">
        <v>582.58100000000002</v>
      </c>
      <c r="J14957" t="s">
        <v>76</v>
      </c>
      <c r="K14957" t="s">
        <v>77</v>
      </c>
    </row>
    <row r="14958" spans="1:12" x14ac:dyDescent="0.3">
      <c r="A14958" t="s">
        <v>496</v>
      </c>
      <c r="B14958" t="s">
        <v>83</v>
      </c>
      <c r="C14958">
        <v>567</v>
      </c>
      <c r="D14958" t="s">
        <v>94</v>
      </c>
      <c r="E14958">
        <v>4.0260000000000001E-3</v>
      </c>
      <c r="F14958" t="s">
        <v>74</v>
      </c>
      <c r="G14958">
        <v>4.02555</v>
      </c>
      <c r="H14958" t="s">
        <v>75</v>
      </c>
      <c r="I14958">
        <v>4025.5529999999999</v>
      </c>
      <c r="J14958" t="s">
        <v>76</v>
      </c>
      <c r="K14958" t="s">
        <v>77</v>
      </c>
    </row>
    <row r="14959" spans="1:12" x14ac:dyDescent="0.3">
      <c r="A14959" t="s">
        <v>496</v>
      </c>
      <c r="B14959" t="s">
        <v>83</v>
      </c>
      <c r="C14959">
        <v>567</v>
      </c>
      <c r="D14959" t="s">
        <v>80</v>
      </c>
      <c r="E14959">
        <v>4.1960000000000001E-3</v>
      </c>
      <c r="F14959" t="s">
        <v>74</v>
      </c>
      <c r="G14959">
        <v>4.1962200000000003</v>
      </c>
      <c r="H14959" t="s">
        <v>75</v>
      </c>
      <c r="I14959">
        <v>4196.2150000000001</v>
      </c>
      <c r="J14959" t="s">
        <v>76</v>
      </c>
      <c r="K14959" t="s">
        <v>77</v>
      </c>
    </row>
    <row r="14960" spans="1:12" x14ac:dyDescent="0.3">
      <c r="A14960" t="s">
        <v>496</v>
      </c>
      <c r="B14960" t="s">
        <v>83</v>
      </c>
      <c r="C14960">
        <v>567</v>
      </c>
      <c r="D14960" t="s">
        <v>81</v>
      </c>
      <c r="E14960">
        <v>4.7790000000000003E-3</v>
      </c>
      <c r="F14960" t="s">
        <v>74</v>
      </c>
      <c r="G14960">
        <v>4.7790299999999997</v>
      </c>
      <c r="H14960" t="s">
        <v>75</v>
      </c>
      <c r="I14960">
        <v>4779.027</v>
      </c>
      <c r="J14960" t="s">
        <v>76</v>
      </c>
      <c r="K14960" t="s">
        <v>82</v>
      </c>
      <c r="L14960">
        <v>209.24760359999999</v>
      </c>
    </row>
    <row r="14961" spans="1:12" x14ac:dyDescent="0.3">
      <c r="A14961" t="s">
        <v>496</v>
      </c>
      <c r="B14961" t="s">
        <v>84</v>
      </c>
      <c r="C14961">
        <v>568</v>
      </c>
      <c r="D14961" t="s">
        <v>79</v>
      </c>
      <c r="E14961">
        <v>1.1349999999999999E-3</v>
      </c>
      <c r="F14961" t="s">
        <v>74</v>
      </c>
      <c r="G14961">
        <v>1.13479</v>
      </c>
      <c r="H14961" t="s">
        <v>75</v>
      </c>
      <c r="I14961">
        <v>1134.7950000000001</v>
      </c>
      <c r="J14961" t="s">
        <v>76</v>
      </c>
      <c r="K14961" t="s">
        <v>77</v>
      </c>
    </row>
    <row r="14962" spans="1:12" x14ac:dyDescent="0.3">
      <c r="A14962" t="s">
        <v>496</v>
      </c>
      <c r="B14962" t="s">
        <v>84</v>
      </c>
      <c r="C14962">
        <v>568</v>
      </c>
      <c r="D14962" t="s">
        <v>94</v>
      </c>
      <c r="E14962">
        <v>4.0540000000000003E-3</v>
      </c>
      <c r="F14962" t="s">
        <v>74</v>
      </c>
      <c r="G14962">
        <v>4.0536099999999999</v>
      </c>
      <c r="H14962" t="s">
        <v>75</v>
      </c>
      <c r="I14962">
        <v>4053.614</v>
      </c>
      <c r="J14962" t="s">
        <v>76</v>
      </c>
      <c r="K14962" t="s">
        <v>77</v>
      </c>
    </row>
    <row r="14963" spans="1:12" x14ac:dyDescent="0.3">
      <c r="A14963" t="s">
        <v>496</v>
      </c>
      <c r="B14963" t="s">
        <v>84</v>
      </c>
      <c r="C14963">
        <v>568</v>
      </c>
      <c r="D14963" t="s">
        <v>80</v>
      </c>
      <c r="E14963">
        <v>4.2240000000000003E-3</v>
      </c>
      <c r="F14963" t="s">
        <v>74</v>
      </c>
      <c r="G14963">
        <v>4.2239800000000001</v>
      </c>
      <c r="H14963" t="s">
        <v>75</v>
      </c>
      <c r="I14963">
        <v>4223.9769999999999</v>
      </c>
      <c r="J14963" t="s">
        <v>76</v>
      </c>
      <c r="K14963" t="s">
        <v>77</v>
      </c>
    </row>
    <row r="14964" spans="1:12" x14ac:dyDescent="0.3">
      <c r="A14964" t="s">
        <v>496</v>
      </c>
      <c r="B14964" t="s">
        <v>84</v>
      </c>
      <c r="C14964">
        <v>568</v>
      </c>
      <c r="D14964" t="s">
        <v>81</v>
      </c>
      <c r="E14964">
        <v>5.359E-3</v>
      </c>
      <c r="F14964" t="s">
        <v>74</v>
      </c>
      <c r="G14964">
        <v>5.359</v>
      </c>
      <c r="H14964" t="s">
        <v>75</v>
      </c>
      <c r="I14964">
        <v>5359.0050000000001</v>
      </c>
      <c r="J14964" t="s">
        <v>76</v>
      </c>
      <c r="K14964" t="s">
        <v>82</v>
      </c>
      <c r="L14964">
        <v>186.60182130000001</v>
      </c>
    </row>
    <row r="14965" spans="1:12" x14ac:dyDescent="0.3">
      <c r="A14965" t="s">
        <v>497</v>
      </c>
      <c r="B14965" t="s">
        <v>72</v>
      </c>
      <c r="C14965">
        <v>1</v>
      </c>
      <c r="D14965" t="s">
        <v>79</v>
      </c>
      <c r="E14965">
        <v>0.11901299999999999</v>
      </c>
      <c r="F14965" t="s">
        <v>74</v>
      </c>
      <c r="G14965">
        <v>119.01309999999999</v>
      </c>
      <c r="H14965" t="s">
        <v>75</v>
      </c>
      <c r="I14965">
        <v>119013.101</v>
      </c>
      <c r="J14965" t="s">
        <v>76</v>
      </c>
      <c r="K14965" t="s">
        <v>77</v>
      </c>
    </row>
    <row r="14966" spans="1:12" x14ac:dyDescent="0.3">
      <c r="A14966" t="s">
        <v>497</v>
      </c>
      <c r="B14966" t="s">
        <v>72</v>
      </c>
      <c r="C14966">
        <v>1</v>
      </c>
      <c r="D14966" t="s">
        <v>94</v>
      </c>
      <c r="E14966">
        <v>9.8980000000000005E-3</v>
      </c>
      <c r="F14966" t="s">
        <v>74</v>
      </c>
      <c r="G14966">
        <v>9.8978999999999999</v>
      </c>
      <c r="H14966" t="s">
        <v>75</v>
      </c>
      <c r="I14966">
        <v>9897.9</v>
      </c>
      <c r="J14966" t="s">
        <v>76</v>
      </c>
      <c r="K14966" t="s">
        <v>77</v>
      </c>
    </row>
    <row r="14967" spans="1:12" x14ac:dyDescent="0.3">
      <c r="A14967" t="s">
        <v>497</v>
      </c>
      <c r="B14967" t="s">
        <v>72</v>
      </c>
      <c r="C14967">
        <v>1</v>
      </c>
      <c r="D14967" t="s">
        <v>80</v>
      </c>
      <c r="E14967">
        <v>9.8989999999999998E-3</v>
      </c>
      <c r="F14967" t="s">
        <v>74</v>
      </c>
      <c r="G14967">
        <v>9.8988999999999994</v>
      </c>
      <c r="H14967" t="s">
        <v>75</v>
      </c>
      <c r="I14967">
        <v>9898.9</v>
      </c>
      <c r="J14967" t="s">
        <v>76</v>
      </c>
      <c r="K14967" t="s">
        <v>77</v>
      </c>
    </row>
    <row r="14968" spans="1:12" x14ac:dyDescent="0.3">
      <c r="A14968" t="s">
        <v>497</v>
      </c>
      <c r="B14968" t="s">
        <v>72</v>
      </c>
      <c r="C14968">
        <v>1</v>
      </c>
      <c r="D14968" t="s">
        <v>81</v>
      </c>
      <c r="E14968">
        <v>0.128913</v>
      </c>
      <c r="F14968" t="s">
        <v>74</v>
      </c>
      <c r="G14968">
        <v>128.9127</v>
      </c>
      <c r="H14968" t="s">
        <v>75</v>
      </c>
      <c r="I14968">
        <v>128912.702</v>
      </c>
      <c r="J14968" t="s">
        <v>76</v>
      </c>
      <c r="K14968" t="s">
        <v>82</v>
      </c>
      <c r="L14968">
        <v>7.7571874999999997</v>
      </c>
    </row>
    <row r="14969" spans="1:12" x14ac:dyDescent="0.3">
      <c r="A14969" t="s">
        <v>497</v>
      </c>
      <c r="B14969" t="s">
        <v>83</v>
      </c>
      <c r="C14969">
        <v>432</v>
      </c>
      <c r="D14969" t="s">
        <v>79</v>
      </c>
      <c r="E14969">
        <v>6.8199999999999999E-4</v>
      </c>
      <c r="F14969" t="s">
        <v>74</v>
      </c>
      <c r="G14969">
        <v>0.68210999999999999</v>
      </c>
      <c r="H14969" t="s">
        <v>75</v>
      </c>
      <c r="I14969">
        <v>682.11199999999997</v>
      </c>
      <c r="J14969" t="s">
        <v>76</v>
      </c>
      <c r="K14969" t="s">
        <v>77</v>
      </c>
    </row>
    <row r="14970" spans="1:12" x14ac:dyDescent="0.3">
      <c r="A14970" t="s">
        <v>497</v>
      </c>
      <c r="B14970" t="s">
        <v>83</v>
      </c>
      <c r="C14970">
        <v>432</v>
      </c>
      <c r="D14970" t="s">
        <v>94</v>
      </c>
      <c r="E14970">
        <v>5.8989999999999997E-3</v>
      </c>
      <c r="F14970" t="s">
        <v>74</v>
      </c>
      <c r="G14970">
        <v>5.8987499999999997</v>
      </c>
      <c r="H14970" t="s">
        <v>75</v>
      </c>
      <c r="I14970">
        <v>5898.7520000000004</v>
      </c>
      <c r="J14970" t="s">
        <v>76</v>
      </c>
      <c r="K14970" t="s">
        <v>77</v>
      </c>
    </row>
    <row r="14971" spans="1:12" x14ac:dyDescent="0.3">
      <c r="A14971" t="s">
        <v>497</v>
      </c>
      <c r="B14971" t="s">
        <v>83</v>
      </c>
      <c r="C14971">
        <v>432</v>
      </c>
      <c r="D14971" t="s">
        <v>80</v>
      </c>
      <c r="E14971">
        <v>6.0660000000000002E-3</v>
      </c>
      <c r="F14971" t="s">
        <v>74</v>
      </c>
      <c r="G14971">
        <v>6.0656800000000004</v>
      </c>
      <c r="H14971" t="s">
        <v>75</v>
      </c>
      <c r="I14971">
        <v>6065.68</v>
      </c>
      <c r="J14971" t="s">
        <v>76</v>
      </c>
      <c r="K14971" t="s">
        <v>77</v>
      </c>
    </row>
    <row r="14972" spans="1:12" x14ac:dyDescent="0.3">
      <c r="A14972" t="s">
        <v>497</v>
      </c>
      <c r="B14972" t="s">
        <v>83</v>
      </c>
      <c r="C14972">
        <v>432</v>
      </c>
      <c r="D14972" t="s">
        <v>81</v>
      </c>
      <c r="E14972">
        <v>6.7479999999999997E-3</v>
      </c>
      <c r="F14972" t="s">
        <v>74</v>
      </c>
      <c r="G14972">
        <v>6.7479899999999997</v>
      </c>
      <c r="H14972" t="s">
        <v>75</v>
      </c>
      <c r="I14972">
        <v>6747.9920000000002</v>
      </c>
      <c r="J14972" t="s">
        <v>76</v>
      </c>
      <c r="K14972" t="s">
        <v>82</v>
      </c>
      <c r="L14972">
        <v>148.1922337</v>
      </c>
    </row>
    <row r="14973" spans="1:12" x14ac:dyDescent="0.3">
      <c r="A14973" t="s">
        <v>497</v>
      </c>
      <c r="B14973" t="s">
        <v>84</v>
      </c>
      <c r="C14973">
        <v>433</v>
      </c>
      <c r="D14973" t="s">
        <v>79</v>
      </c>
      <c r="E14973">
        <v>9.5500000000000001E-4</v>
      </c>
      <c r="F14973" t="s">
        <v>74</v>
      </c>
      <c r="G14973">
        <v>0.95538999999999996</v>
      </c>
      <c r="H14973" t="s">
        <v>75</v>
      </c>
      <c r="I14973">
        <v>955.39300000000003</v>
      </c>
      <c r="J14973" t="s">
        <v>76</v>
      </c>
      <c r="K14973" t="s">
        <v>77</v>
      </c>
    </row>
    <row r="14974" spans="1:12" x14ac:dyDescent="0.3">
      <c r="A14974" t="s">
        <v>497</v>
      </c>
      <c r="B14974" t="s">
        <v>84</v>
      </c>
      <c r="C14974">
        <v>433</v>
      </c>
      <c r="D14974" t="s">
        <v>94</v>
      </c>
      <c r="E14974">
        <v>5.9080000000000001E-3</v>
      </c>
      <c r="F14974" t="s">
        <v>74</v>
      </c>
      <c r="G14974">
        <v>5.9079899999999999</v>
      </c>
      <c r="H14974" t="s">
        <v>75</v>
      </c>
      <c r="I14974">
        <v>5907.9880000000003</v>
      </c>
      <c r="J14974" t="s">
        <v>76</v>
      </c>
      <c r="K14974" t="s">
        <v>77</v>
      </c>
    </row>
    <row r="14975" spans="1:12" x14ac:dyDescent="0.3">
      <c r="A14975" t="s">
        <v>497</v>
      </c>
      <c r="B14975" t="s">
        <v>84</v>
      </c>
      <c r="C14975">
        <v>433</v>
      </c>
      <c r="D14975" t="s">
        <v>80</v>
      </c>
      <c r="E14975">
        <v>6.0749999999999997E-3</v>
      </c>
      <c r="F14975" t="s">
        <v>74</v>
      </c>
      <c r="G14975">
        <v>6.0745300000000002</v>
      </c>
      <c r="H14975" t="s">
        <v>75</v>
      </c>
      <c r="I14975">
        <v>6074.5330000000004</v>
      </c>
      <c r="J14975" t="s">
        <v>76</v>
      </c>
      <c r="K14975" t="s">
        <v>77</v>
      </c>
    </row>
    <row r="14976" spans="1:12" x14ac:dyDescent="0.3">
      <c r="A14976" t="s">
        <v>497</v>
      </c>
      <c r="B14976" t="s">
        <v>84</v>
      </c>
      <c r="C14976">
        <v>433</v>
      </c>
      <c r="D14976" t="s">
        <v>81</v>
      </c>
      <c r="E14976">
        <v>7.0299999999999998E-3</v>
      </c>
      <c r="F14976" t="s">
        <v>74</v>
      </c>
      <c r="G14976">
        <v>7.0301299999999998</v>
      </c>
      <c r="H14976" t="s">
        <v>75</v>
      </c>
      <c r="I14976">
        <v>7030.1289999999999</v>
      </c>
      <c r="J14976" t="s">
        <v>76</v>
      </c>
      <c r="K14976" t="s">
        <v>82</v>
      </c>
      <c r="L14976">
        <v>142.24489729999999</v>
      </c>
    </row>
    <row r="14977" spans="1:12" x14ac:dyDescent="0.3">
      <c r="A14977" t="s">
        <v>498</v>
      </c>
      <c r="B14977" t="s">
        <v>72</v>
      </c>
      <c r="C14977">
        <v>1</v>
      </c>
      <c r="D14977" t="s">
        <v>73</v>
      </c>
      <c r="E14977">
        <v>8.1000000000000004E-5</v>
      </c>
      <c r="F14977" t="s">
        <v>74</v>
      </c>
      <c r="G14977">
        <v>8.1100000000000005E-2</v>
      </c>
      <c r="H14977" t="s">
        <v>75</v>
      </c>
      <c r="I14977">
        <v>81.099999999999994</v>
      </c>
      <c r="J14977" t="s">
        <v>76</v>
      </c>
      <c r="K14977" t="s">
        <v>77</v>
      </c>
    </row>
    <row r="14978" spans="1:12" x14ac:dyDescent="0.3">
      <c r="A14978" t="s">
        <v>498</v>
      </c>
      <c r="B14978" t="s">
        <v>72</v>
      </c>
      <c r="C14978">
        <v>1</v>
      </c>
      <c r="D14978" t="s">
        <v>78</v>
      </c>
      <c r="E14978">
        <v>0.13339200000000001</v>
      </c>
      <c r="F14978" t="s">
        <v>74</v>
      </c>
      <c r="G14978">
        <v>133.3921</v>
      </c>
      <c r="H14978" t="s">
        <v>75</v>
      </c>
      <c r="I14978">
        <v>133392.09599999999</v>
      </c>
      <c r="J14978" t="s">
        <v>76</v>
      </c>
      <c r="K14978" t="s">
        <v>77</v>
      </c>
    </row>
    <row r="14979" spans="1:12" x14ac:dyDescent="0.3">
      <c r="A14979" t="s">
        <v>498</v>
      </c>
      <c r="B14979" t="s">
        <v>72</v>
      </c>
      <c r="C14979">
        <v>2</v>
      </c>
      <c r="D14979" t="s">
        <v>86</v>
      </c>
      <c r="E14979">
        <v>0.16712399999999999</v>
      </c>
      <c r="F14979" t="s">
        <v>74</v>
      </c>
      <c r="G14979">
        <v>167.12356</v>
      </c>
      <c r="H14979" t="s">
        <v>75</v>
      </c>
      <c r="I14979">
        <v>167123.55600000001</v>
      </c>
      <c r="J14979" t="s">
        <v>76</v>
      </c>
      <c r="K14979" t="s">
        <v>82</v>
      </c>
      <c r="L14979">
        <v>5.9835969000000002</v>
      </c>
    </row>
    <row r="14980" spans="1:12" x14ac:dyDescent="0.3">
      <c r="A14980" t="s">
        <v>498</v>
      </c>
      <c r="B14980" t="s">
        <v>83</v>
      </c>
      <c r="C14980">
        <v>999</v>
      </c>
      <c r="D14980" t="s">
        <v>86</v>
      </c>
      <c r="E14980">
        <v>2.934E-3</v>
      </c>
      <c r="F14980" t="s">
        <v>74</v>
      </c>
      <c r="G14980">
        <v>2.93425</v>
      </c>
      <c r="H14980" t="s">
        <v>75</v>
      </c>
      <c r="I14980">
        <v>2934.2539999999999</v>
      </c>
      <c r="J14980" t="s">
        <v>76</v>
      </c>
      <c r="K14980" t="s">
        <v>82</v>
      </c>
      <c r="L14980">
        <v>340.80207380000002</v>
      </c>
    </row>
    <row r="14981" spans="1:12" x14ac:dyDescent="0.3">
      <c r="A14981" t="s">
        <v>498</v>
      </c>
      <c r="B14981" t="s">
        <v>85</v>
      </c>
      <c r="C14981">
        <v>1001</v>
      </c>
      <c r="D14981" t="s">
        <v>86</v>
      </c>
      <c r="E14981">
        <v>3.0609999999999999E-3</v>
      </c>
      <c r="F14981" t="s">
        <v>74</v>
      </c>
      <c r="G14981">
        <v>3.0610200000000001</v>
      </c>
      <c r="H14981" t="s">
        <v>75</v>
      </c>
      <c r="I14981">
        <v>3061.02</v>
      </c>
      <c r="J14981" t="s">
        <v>76</v>
      </c>
      <c r="K14981" t="s">
        <v>82</v>
      </c>
      <c r="L14981">
        <v>326.68844569999999</v>
      </c>
    </row>
    <row r="14982" spans="1:12" x14ac:dyDescent="0.3">
      <c r="A14982" t="s">
        <v>180</v>
      </c>
    </row>
    <row r="14983" spans="1:12" x14ac:dyDescent="0.3">
      <c r="A14983" t="s">
        <v>180</v>
      </c>
    </row>
    <row r="14984" spans="1:12" x14ac:dyDescent="0.3">
      <c r="A14984" t="s">
        <v>535</v>
      </c>
    </row>
    <row r="14985" spans="1:12" x14ac:dyDescent="0.3">
      <c r="A14985" t="s">
        <v>496</v>
      </c>
      <c r="B14985" t="s">
        <v>72</v>
      </c>
      <c r="C14985">
        <v>1</v>
      </c>
      <c r="D14985" t="s">
        <v>79</v>
      </c>
      <c r="E14985">
        <v>5.202E-3</v>
      </c>
      <c r="F14985" t="s">
        <v>74</v>
      </c>
      <c r="G14985">
        <v>5.202</v>
      </c>
      <c r="H14985" t="s">
        <v>75</v>
      </c>
      <c r="I14985">
        <v>5202</v>
      </c>
      <c r="J14985" t="s">
        <v>76</v>
      </c>
      <c r="K14985" t="s">
        <v>77</v>
      </c>
    </row>
    <row r="14986" spans="1:12" x14ac:dyDescent="0.3">
      <c r="A14986" t="s">
        <v>496</v>
      </c>
      <c r="B14986" t="s">
        <v>72</v>
      </c>
      <c r="C14986">
        <v>1</v>
      </c>
      <c r="D14986" t="s">
        <v>94</v>
      </c>
      <c r="E14986">
        <v>1.4903E-2</v>
      </c>
      <c r="F14986" t="s">
        <v>74</v>
      </c>
      <c r="G14986">
        <v>14.902699999999999</v>
      </c>
      <c r="H14986" t="s">
        <v>75</v>
      </c>
      <c r="I14986">
        <v>14902.7</v>
      </c>
      <c r="J14986" t="s">
        <v>76</v>
      </c>
      <c r="K14986" t="s">
        <v>77</v>
      </c>
    </row>
    <row r="14987" spans="1:12" x14ac:dyDescent="0.3">
      <c r="A14987" t="s">
        <v>496</v>
      </c>
      <c r="B14987" t="s">
        <v>72</v>
      </c>
      <c r="C14987">
        <v>1</v>
      </c>
      <c r="D14987" t="s">
        <v>80</v>
      </c>
      <c r="E14987">
        <v>1.5044999999999999E-2</v>
      </c>
      <c r="F14987" t="s">
        <v>74</v>
      </c>
      <c r="G14987">
        <v>15.044499999999999</v>
      </c>
      <c r="H14987" t="s">
        <v>75</v>
      </c>
      <c r="I14987">
        <v>15044.5</v>
      </c>
      <c r="J14987" t="s">
        <v>76</v>
      </c>
      <c r="K14987" t="s">
        <v>77</v>
      </c>
    </row>
    <row r="14988" spans="1:12" x14ac:dyDescent="0.3">
      <c r="A14988" t="s">
        <v>496</v>
      </c>
      <c r="B14988" t="s">
        <v>72</v>
      </c>
      <c r="C14988">
        <v>1</v>
      </c>
      <c r="D14988" t="s">
        <v>81</v>
      </c>
      <c r="E14988">
        <v>2.0247000000000001E-2</v>
      </c>
      <c r="F14988" t="s">
        <v>74</v>
      </c>
      <c r="G14988">
        <v>20.247</v>
      </c>
      <c r="H14988" t="s">
        <v>75</v>
      </c>
      <c r="I14988">
        <v>20246.999</v>
      </c>
      <c r="J14988" t="s">
        <v>76</v>
      </c>
      <c r="K14988" t="s">
        <v>82</v>
      </c>
      <c r="L14988">
        <v>49.390034700000001</v>
      </c>
    </row>
    <row r="14989" spans="1:12" x14ac:dyDescent="0.3">
      <c r="A14989" t="s">
        <v>496</v>
      </c>
      <c r="B14989" t="s">
        <v>83</v>
      </c>
      <c r="C14989">
        <v>623</v>
      </c>
      <c r="D14989" t="s">
        <v>79</v>
      </c>
      <c r="E14989">
        <v>9.859999999999999E-4</v>
      </c>
      <c r="F14989" t="s">
        <v>74</v>
      </c>
      <c r="G14989">
        <v>0.98626000000000003</v>
      </c>
      <c r="H14989" t="s">
        <v>75</v>
      </c>
      <c r="I14989">
        <v>986.26400000000001</v>
      </c>
      <c r="J14989" t="s">
        <v>76</v>
      </c>
      <c r="K14989" t="s">
        <v>77</v>
      </c>
    </row>
    <row r="14990" spans="1:12" x14ac:dyDescent="0.3">
      <c r="A14990" t="s">
        <v>496</v>
      </c>
      <c r="B14990" t="s">
        <v>83</v>
      </c>
      <c r="C14990">
        <v>623</v>
      </c>
      <c r="D14990" t="s">
        <v>94</v>
      </c>
      <c r="E14990">
        <v>4.0629999999999998E-3</v>
      </c>
      <c r="F14990" t="s">
        <v>74</v>
      </c>
      <c r="G14990">
        <v>4.0633400000000002</v>
      </c>
      <c r="H14990" t="s">
        <v>75</v>
      </c>
      <c r="I14990">
        <v>4063.337</v>
      </c>
      <c r="J14990" t="s">
        <v>76</v>
      </c>
      <c r="K14990" t="s">
        <v>77</v>
      </c>
    </row>
    <row r="14991" spans="1:12" x14ac:dyDescent="0.3">
      <c r="A14991" t="s">
        <v>496</v>
      </c>
      <c r="B14991" t="s">
        <v>83</v>
      </c>
      <c r="C14991">
        <v>623</v>
      </c>
      <c r="D14991" t="s">
        <v>80</v>
      </c>
      <c r="E14991">
        <v>4.241E-3</v>
      </c>
      <c r="F14991" t="s">
        <v>74</v>
      </c>
      <c r="G14991">
        <v>4.2413499999999997</v>
      </c>
      <c r="H14991" t="s">
        <v>75</v>
      </c>
      <c r="I14991">
        <v>4241.3549999999996</v>
      </c>
      <c r="J14991" t="s">
        <v>76</v>
      </c>
      <c r="K14991" t="s">
        <v>77</v>
      </c>
    </row>
    <row r="14992" spans="1:12" x14ac:dyDescent="0.3">
      <c r="A14992" t="s">
        <v>496</v>
      </c>
      <c r="B14992" t="s">
        <v>83</v>
      </c>
      <c r="C14992">
        <v>623</v>
      </c>
      <c r="D14992" t="s">
        <v>81</v>
      </c>
      <c r="E14992">
        <v>5.228E-3</v>
      </c>
      <c r="F14992" t="s">
        <v>74</v>
      </c>
      <c r="G14992">
        <v>5.2278500000000001</v>
      </c>
      <c r="H14992" t="s">
        <v>75</v>
      </c>
      <c r="I14992">
        <v>5227.8469999999998</v>
      </c>
      <c r="J14992" t="s">
        <v>76</v>
      </c>
      <c r="K14992" t="s">
        <v>82</v>
      </c>
      <c r="L14992">
        <v>191.28334559999999</v>
      </c>
    </row>
    <row r="14993" spans="1:12" x14ac:dyDescent="0.3">
      <c r="A14993" t="s">
        <v>496</v>
      </c>
      <c r="B14993" t="s">
        <v>84</v>
      </c>
      <c r="C14993">
        <v>624</v>
      </c>
      <c r="D14993" t="s">
        <v>79</v>
      </c>
      <c r="E14993">
        <v>9.9299999999999996E-4</v>
      </c>
      <c r="F14993" t="s">
        <v>74</v>
      </c>
      <c r="G14993">
        <v>0.99302000000000001</v>
      </c>
      <c r="H14993" t="s">
        <v>75</v>
      </c>
      <c r="I14993">
        <v>993.02</v>
      </c>
      <c r="J14993" t="s">
        <v>76</v>
      </c>
      <c r="K14993" t="s">
        <v>77</v>
      </c>
    </row>
    <row r="14994" spans="1:12" x14ac:dyDescent="0.3">
      <c r="A14994" t="s">
        <v>496</v>
      </c>
      <c r="B14994" t="s">
        <v>84</v>
      </c>
      <c r="C14994">
        <v>624</v>
      </c>
      <c r="D14994" t="s">
        <v>94</v>
      </c>
      <c r="E14994">
        <v>4.0810000000000004E-3</v>
      </c>
      <c r="F14994" t="s">
        <v>74</v>
      </c>
      <c r="G14994">
        <v>4.0807099999999998</v>
      </c>
      <c r="H14994" t="s">
        <v>75</v>
      </c>
      <c r="I14994">
        <v>4080.7080000000001</v>
      </c>
      <c r="J14994" t="s">
        <v>76</v>
      </c>
      <c r="K14994" t="s">
        <v>77</v>
      </c>
    </row>
    <row r="14995" spans="1:12" x14ac:dyDescent="0.3">
      <c r="A14995" t="s">
        <v>496</v>
      </c>
      <c r="B14995" t="s">
        <v>84</v>
      </c>
      <c r="C14995">
        <v>624</v>
      </c>
      <c r="D14995" t="s">
        <v>80</v>
      </c>
      <c r="E14995">
        <v>4.2589999999999998E-3</v>
      </c>
      <c r="F14995" t="s">
        <v>74</v>
      </c>
      <c r="G14995">
        <v>4.2586700000000004</v>
      </c>
      <c r="H14995" t="s">
        <v>75</v>
      </c>
      <c r="I14995">
        <v>4258.6679999999997</v>
      </c>
      <c r="J14995" t="s">
        <v>76</v>
      </c>
      <c r="K14995" t="s">
        <v>77</v>
      </c>
    </row>
    <row r="14996" spans="1:12" x14ac:dyDescent="0.3">
      <c r="A14996" t="s">
        <v>496</v>
      </c>
      <c r="B14996" t="s">
        <v>84</v>
      </c>
      <c r="C14996">
        <v>624</v>
      </c>
      <c r="D14996" t="s">
        <v>81</v>
      </c>
      <c r="E14996">
        <v>5.2519999999999997E-3</v>
      </c>
      <c r="F14996" t="s">
        <v>74</v>
      </c>
      <c r="G14996">
        <v>5.2519200000000001</v>
      </c>
      <c r="H14996" t="s">
        <v>75</v>
      </c>
      <c r="I14996">
        <v>5251.9160000000002</v>
      </c>
      <c r="J14996" t="s">
        <v>76</v>
      </c>
      <c r="K14996" t="s">
        <v>82</v>
      </c>
      <c r="L14996">
        <v>190.4067087</v>
      </c>
    </row>
    <row r="14997" spans="1:12" x14ac:dyDescent="0.3">
      <c r="A14997" t="s">
        <v>497</v>
      </c>
      <c r="B14997" t="s">
        <v>72</v>
      </c>
      <c r="C14997">
        <v>1</v>
      </c>
      <c r="D14997" t="s">
        <v>79</v>
      </c>
      <c r="E14997">
        <v>2.8010000000000001E-3</v>
      </c>
      <c r="F14997" t="s">
        <v>74</v>
      </c>
      <c r="G14997">
        <v>2.8014000000000001</v>
      </c>
      <c r="H14997" t="s">
        <v>75</v>
      </c>
      <c r="I14997">
        <v>2801.4</v>
      </c>
      <c r="J14997" t="s">
        <v>76</v>
      </c>
      <c r="K14997" t="s">
        <v>77</v>
      </c>
    </row>
    <row r="14998" spans="1:12" x14ac:dyDescent="0.3">
      <c r="A14998" t="s">
        <v>497</v>
      </c>
      <c r="B14998" t="s">
        <v>72</v>
      </c>
      <c r="C14998">
        <v>1</v>
      </c>
      <c r="D14998" t="s">
        <v>94</v>
      </c>
      <c r="E14998">
        <v>3.4429999999999999E-3</v>
      </c>
      <c r="F14998" t="s">
        <v>74</v>
      </c>
      <c r="G14998">
        <v>3.4434</v>
      </c>
      <c r="H14998" t="s">
        <v>75</v>
      </c>
      <c r="I14998">
        <v>3443.4</v>
      </c>
      <c r="J14998" t="s">
        <v>76</v>
      </c>
      <c r="K14998" t="s">
        <v>77</v>
      </c>
    </row>
    <row r="14999" spans="1:12" x14ac:dyDescent="0.3">
      <c r="A14999" t="s">
        <v>497</v>
      </c>
      <c r="B14999" t="s">
        <v>72</v>
      </c>
      <c r="C14999">
        <v>1</v>
      </c>
      <c r="D14999" t="s">
        <v>80</v>
      </c>
      <c r="E14999">
        <v>3.5850000000000001E-3</v>
      </c>
      <c r="F14999" t="s">
        <v>74</v>
      </c>
      <c r="G14999">
        <v>3.5851999999999999</v>
      </c>
      <c r="H14999" t="s">
        <v>75</v>
      </c>
      <c r="I14999">
        <v>3585.2</v>
      </c>
      <c r="J14999" t="s">
        <v>76</v>
      </c>
      <c r="K14999" t="s">
        <v>77</v>
      </c>
    </row>
    <row r="15000" spans="1:12" x14ac:dyDescent="0.3">
      <c r="A15000" t="s">
        <v>497</v>
      </c>
      <c r="B15000" t="s">
        <v>72</v>
      </c>
      <c r="C15000">
        <v>1</v>
      </c>
      <c r="D15000" t="s">
        <v>81</v>
      </c>
      <c r="E15000">
        <v>6.3870000000000003E-3</v>
      </c>
      <c r="F15000" t="s">
        <v>74</v>
      </c>
      <c r="G15000">
        <v>6.3872999999999998</v>
      </c>
      <c r="H15000" t="s">
        <v>75</v>
      </c>
      <c r="I15000">
        <v>6387.3</v>
      </c>
      <c r="J15000" t="s">
        <v>76</v>
      </c>
      <c r="K15000" t="s">
        <v>82</v>
      </c>
      <c r="L15000">
        <v>156.56067859999999</v>
      </c>
    </row>
    <row r="15001" spans="1:12" x14ac:dyDescent="0.3">
      <c r="A15001" t="s">
        <v>497</v>
      </c>
      <c r="B15001" t="s">
        <v>83</v>
      </c>
      <c r="C15001">
        <v>376</v>
      </c>
      <c r="D15001" t="s">
        <v>79</v>
      </c>
      <c r="E15001">
        <v>1.2849999999999999E-3</v>
      </c>
      <c r="F15001" t="s">
        <v>74</v>
      </c>
      <c r="G15001">
        <v>1.28529</v>
      </c>
      <c r="H15001" t="s">
        <v>75</v>
      </c>
      <c r="I15001">
        <v>1285.287</v>
      </c>
      <c r="J15001" t="s">
        <v>76</v>
      </c>
      <c r="K15001" t="s">
        <v>77</v>
      </c>
    </row>
    <row r="15002" spans="1:12" x14ac:dyDescent="0.3">
      <c r="A15002" t="s">
        <v>497</v>
      </c>
      <c r="B15002" t="s">
        <v>83</v>
      </c>
      <c r="C15002">
        <v>376</v>
      </c>
      <c r="D15002" t="s">
        <v>94</v>
      </c>
      <c r="E15002">
        <v>7.2020000000000001E-3</v>
      </c>
      <c r="F15002" t="s">
        <v>74</v>
      </c>
      <c r="G15002">
        <v>7.20181</v>
      </c>
      <c r="H15002" t="s">
        <v>75</v>
      </c>
      <c r="I15002">
        <v>7201.8119999999999</v>
      </c>
      <c r="J15002" t="s">
        <v>76</v>
      </c>
      <c r="K15002" t="s">
        <v>77</v>
      </c>
    </row>
    <row r="15003" spans="1:12" x14ac:dyDescent="0.3">
      <c r="A15003" t="s">
        <v>497</v>
      </c>
      <c r="B15003" t="s">
        <v>83</v>
      </c>
      <c r="C15003">
        <v>376</v>
      </c>
      <c r="D15003" t="s">
        <v>80</v>
      </c>
      <c r="E15003">
        <v>7.3920000000000001E-3</v>
      </c>
      <c r="F15003" t="s">
        <v>74</v>
      </c>
      <c r="G15003">
        <v>7.3915100000000002</v>
      </c>
      <c r="H15003" t="s">
        <v>75</v>
      </c>
      <c r="I15003">
        <v>7391.51</v>
      </c>
      <c r="J15003" t="s">
        <v>76</v>
      </c>
      <c r="K15003" t="s">
        <v>77</v>
      </c>
    </row>
    <row r="15004" spans="1:12" x14ac:dyDescent="0.3">
      <c r="A15004" t="s">
        <v>497</v>
      </c>
      <c r="B15004" t="s">
        <v>83</v>
      </c>
      <c r="C15004">
        <v>376</v>
      </c>
      <c r="D15004" t="s">
        <v>81</v>
      </c>
      <c r="E15004">
        <v>8.6770000000000007E-3</v>
      </c>
      <c r="F15004" t="s">
        <v>74</v>
      </c>
      <c r="G15004">
        <v>8.6771799999999999</v>
      </c>
      <c r="H15004" t="s">
        <v>75</v>
      </c>
      <c r="I15004">
        <v>8677.1849999999995</v>
      </c>
      <c r="J15004" t="s">
        <v>76</v>
      </c>
      <c r="K15004" t="s">
        <v>82</v>
      </c>
      <c r="L15004">
        <v>115.2447537</v>
      </c>
    </row>
    <row r="15005" spans="1:12" x14ac:dyDescent="0.3">
      <c r="A15005" t="s">
        <v>497</v>
      </c>
      <c r="B15005" t="s">
        <v>84</v>
      </c>
      <c r="C15005">
        <v>377</v>
      </c>
      <c r="D15005" t="s">
        <v>79</v>
      </c>
      <c r="E15005">
        <v>1.289E-3</v>
      </c>
      <c r="F15005" t="s">
        <v>74</v>
      </c>
      <c r="G15005">
        <v>1.28931</v>
      </c>
      <c r="H15005" t="s">
        <v>75</v>
      </c>
      <c r="I15005">
        <v>1289.309</v>
      </c>
      <c r="J15005" t="s">
        <v>76</v>
      </c>
      <c r="K15005" t="s">
        <v>77</v>
      </c>
    </row>
    <row r="15006" spans="1:12" x14ac:dyDescent="0.3">
      <c r="A15006" t="s">
        <v>497</v>
      </c>
      <c r="B15006" t="s">
        <v>84</v>
      </c>
      <c r="C15006">
        <v>377</v>
      </c>
      <c r="D15006" t="s">
        <v>94</v>
      </c>
      <c r="E15006">
        <v>7.1919999999999996E-3</v>
      </c>
      <c r="F15006" t="s">
        <v>74</v>
      </c>
      <c r="G15006">
        <v>7.19184</v>
      </c>
      <c r="H15006" t="s">
        <v>75</v>
      </c>
      <c r="I15006">
        <v>7191.8429999999998</v>
      </c>
      <c r="J15006" t="s">
        <v>76</v>
      </c>
      <c r="K15006" t="s">
        <v>77</v>
      </c>
    </row>
    <row r="15007" spans="1:12" x14ac:dyDescent="0.3">
      <c r="A15007" t="s">
        <v>497</v>
      </c>
      <c r="B15007" t="s">
        <v>84</v>
      </c>
      <c r="C15007">
        <v>377</v>
      </c>
      <c r="D15007" t="s">
        <v>80</v>
      </c>
      <c r="E15007">
        <v>7.3810000000000004E-3</v>
      </c>
      <c r="F15007" t="s">
        <v>74</v>
      </c>
      <c r="G15007">
        <v>7.3814099999999998</v>
      </c>
      <c r="H15007" t="s">
        <v>75</v>
      </c>
      <c r="I15007">
        <v>7381.4129999999996</v>
      </c>
      <c r="J15007" t="s">
        <v>76</v>
      </c>
      <c r="K15007" t="s">
        <v>77</v>
      </c>
    </row>
    <row r="15008" spans="1:12" x14ac:dyDescent="0.3">
      <c r="A15008" t="s">
        <v>497</v>
      </c>
      <c r="B15008" t="s">
        <v>84</v>
      </c>
      <c r="C15008">
        <v>377</v>
      </c>
      <c r="D15008" t="s">
        <v>81</v>
      </c>
      <c r="E15008">
        <v>8.6709999999999999E-3</v>
      </c>
      <c r="F15008" t="s">
        <v>74</v>
      </c>
      <c r="G15008">
        <v>8.6711100000000005</v>
      </c>
      <c r="H15008" t="s">
        <v>75</v>
      </c>
      <c r="I15008">
        <v>8671.11</v>
      </c>
      <c r="J15008" t="s">
        <v>76</v>
      </c>
      <c r="K15008" t="s">
        <v>82</v>
      </c>
      <c r="L15008">
        <v>115.32548300000001</v>
      </c>
    </row>
    <row r="15009" spans="1:12" x14ac:dyDescent="0.3">
      <c r="A15009" t="s">
        <v>498</v>
      </c>
      <c r="B15009" t="s">
        <v>72</v>
      </c>
      <c r="C15009">
        <v>1</v>
      </c>
      <c r="D15009" t="s">
        <v>73</v>
      </c>
      <c r="E15009">
        <v>8.1000000000000004E-5</v>
      </c>
      <c r="F15009" t="s">
        <v>74</v>
      </c>
      <c r="G15009">
        <v>8.1100000000000005E-2</v>
      </c>
      <c r="H15009" t="s">
        <v>75</v>
      </c>
      <c r="I15009">
        <v>81.099999999999994</v>
      </c>
      <c r="J15009" t="s">
        <v>76</v>
      </c>
      <c r="K15009" t="s">
        <v>77</v>
      </c>
    </row>
    <row r="15010" spans="1:12" x14ac:dyDescent="0.3">
      <c r="A15010" t="s">
        <v>498</v>
      </c>
      <c r="B15010" t="s">
        <v>72</v>
      </c>
      <c r="C15010">
        <v>1</v>
      </c>
      <c r="D15010" t="s">
        <v>78</v>
      </c>
      <c r="E15010">
        <v>1.3899999999999999E-4</v>
      </c>
      <c r="F15010" t="s">
        <v>74</v>
      </c>
      <c r="G15010">
        <v>0.13850000000000001</v>
      </c>
      <c r="H15010" t="s">
        <v>75</v>
      </c>
      <c r="I15010">
        <v>138.5</v>
      </c>
      <c r="J15010" t="s">
        <v>76</v>
      </c>
      <c r="K15010" t="s">
        <v>77</v>
      </c>
    </row>
    <row r="15011" spans="1:12" x14ac:dyDescent="0.3">
      <c r="A15011" t="s">
        <v>498</v>
      </c>
      <c r="B15011" t="s">
        <v>72</v>
      </c>
      <c r="C15011">
        <v>2</v>
      </c>
      <c r="D15011" t="s">
        <v>86</v>
      </c>
      <c r="E15011">
        <v>1.0127000000000001E-2</v>
      </c>
      <c r="F15011" t="s">
        <v>74</v>
      </c>
      <c r="G15011">
        <v>10.1274</v>
      </c>
      <c r="H15011" t="s">
        <v>75</v>
      </c>
      <c r="I15011">
        <v>10127.4</v>
      </c>
      <c r="J15011" t="s">
        <v>76</v>
      </c>
      <c r="K15011" t="s">
        <v>82</v>
      </c>
      <c r="L15011">
        <v>98.742026100000004</v>
      </c>
    </row>
    <row r="15012" spans="1:12" x14ac:dyDescent="0.3">
      <c r="A15012" t="s">
        <v>498</v>
      </c>
      <c r="B15012" t="s">
        <v>83</v>
      </c>
      <c r="C15012">
        <v>999</v>
      </c>
      <c r="D15012" t="s">
        <v>86</v>
      </c>
      <c r="E15012">
        <v>3.2820000000000002E-3</v>
      </c>
      <c r="F15012" t="s">
        <v>74</v>
      </c>
      <c r="G15012">
        <v>3.2817099999999999</v>
      </c>
      <c r="H15012" t="s">
        <v>75</v>
      </c>
      <c r="I15012">
        <v>3281.712</v>
      </c>
      <c r="J15012" t="s">
        <v>76</v>
      </c>
      <c r="K15012" t="s">
        <v>82</v>
      </c>
      <c r="L15012">
        <v>304.71896199999998</v>
      </c>
    </row>
    <row r="15013" spans="1:12" x14ac:dyDescent="0.3">
      <c r="A15013" t="s">
        <v>498</v>
      </c>
      <c r="B15013" t="s">
        <v>85</v>
      </c>
      <c r="C15013">
        <v>1001</v>
      </c>
      <c r="D15013" t="s">
        <v>86</v>
      </c>
      <c r="E15013">
        <v>3.2859999999999999E-3</v>
      </c>
      <c r="F15013" t="s">
        <v>74</v>
      </c>
      <c r="G15013">
        <v>3.28559</v>
      </c>
      <c r="H15013" t="s">
        <v>75</v>
      </c>
      <c r="I15013">
        <v>3285.5889999999999</v>
      </c>
      <c r="J15013" t="s">
        <v>76</v>
      </c>
      <c r="K15013" t="s">
        <v>82</v>
      </c>
      <c r="L15013">
        <v>304.3594721</v>
      </c>
    </row>
    <row r="15014" spans="1:12" x14ac:dyDescent="0.3">
      <c r="A15014" t="s">
        <v>115</v>
      </c>
    </row>
    <row r="15015" spans="1:12" x14ac:dyDescent="0.3">
      <c r="A15015" t="s">
        <v>127</v>
      </c>
    </row>
    <row r="15016" spans="1:12" x14ac:dyDescent="0.3">
      <c r="A15016" t="s">
        <v>87</v>
      </c>
    </row>
    <row r="15017" spans="1:12" x14ac:dyDescent="0.3">
      <c r="A15017" t="s">
        <v>536</v>
      </c>
    </row>
    <row r="15018" spans="1:12" x14ac:dyDescent="0.3">
      <c r="A15018" t="s">
        <v>496</v>
      </c>
      <c r="B15018" t="s">
        <v>72</v>
      </c>
      <c r="C15018">
        <v>1</v>
      </c>
      <c r="D15018" t="s">
        <v>81</v>
      </c>
      <c r="E15018">
        <v>0.33420499999999997</v>
      </c>
      <c r="F15018" t="s">
        <v>74</v>
      </c>
      <c r="G15018">
        <v>334.20539000000002</v>
      </c>
      <c r="H15018" t="s">
        <v>75</v>
      </c>
      <c r="I15018">
        <v>334205.38900000002</v>
      </c>
      <c r="J15018" t="s">
        <v>76</v>
      </c>
      <c r="K15018" t="s">
        <v>82</v>
      </c>
      <c r="L15018">
        <v>2.9921720000000001</v>
      </c>
    </row>
    <row r="15019" spans="1:12" x14ac:dyDescent="0.3">
      <c r="A15019" t="s">
        <v>496</v>
      </c>
      <c r="B15019" t="s">
        <v>83</v>
      </c>
      <c r="C15019">
        <v>567</v>
      </c>
      <c r="D15019" t="s">
        <v>81</v>
      </c>
      <c r="E15019">
        <v>4.7790000000000003E-3</v>
      </c>
      <c r="F15019" t="s">
        <v>74</v>
      </c>
      <c r="G15019">
        <v>4.7790299999999997</v>
      </c>
      <c r="H15019" t="s">
        <v>75</v>
      </c>
      <c r="I15019">
        <v>4779.027</v>
      </c>
      <c r="J15019" t="s">
        <v>76</v>
      </c>
      <c r="K15019" t="s">
        <v>82</v>
      </c>
      <c r="L15019">
        <v>209.24760359999999</v>
      </c>
    </row>
    <row r="15020" spans="1:12" x14ac:dyDescent="0.3">
      <c r="A15020" t="s">
        <v>496</v>
      </c>
      <c r="B15020" t="s">
        <v>84</v>
      </c>
      <c r="C15020">
        <v>568</v>
      </c>
      <c r="D15020" t="s">
        <v>81</v>
      </c>
      <c r="E15020">
        <v>5.359E-3</v>
      </c>
      <c r="F15020" t="s">
        <v>74</v>
      </c>
      <c r="G15020">
        <v>5.359</v>
      </c>
      <c r="H15020" t="s">
        <v>75</v>
      </c>
      <c r="I15020">
        <v>5359.0050000000001</v>
      </c>
      <c r="J15020" t="s">
        <v>76</v>
      </c>
      <c r="K15020" t="s">
        <v>82</v>
      </c>
      <c r="L15020">
        <v>186.60182130000001</v>
      </c>
    </row>
    <row r="15021" spans="1:12" x14ac:dyDescent="0.3">
      <c r="A15021" t="s">
        <v>497</v>
      </c>
      <c r="B15021" t="s">
        <v>72</v>
      </c>
      <c r="C15021">
        <v>1</v>
      </c>
      <c r="D15021" t="s">
        <v>81</v>
      </c>
      <c r="E15021">
        <v>0.128913</v>
      </c>
      <c r="F15021" t="s">
        <v>74</v>
      </c>
      <c r="G15021">
        <v>128.9127</v>
      </c>
      <c r="H15021" t="s">
        <v>75</v>
      </c>
      <c r="I15021">
        <v>128912.702</v>
      </c>
      <c r="J15021" t="s">
        <v>76</v>
      </c>
      <c r="K15021" t="s">
        <v>82</v>
      </c>
      <c r="L15021">
        <v>7.7571874999999997</v>
      </c>
    </row>
    <row r="15022" spans="1:12" x14ac:dyDescent="0.3">
      <c r="A15022" t="s">
        <v>497</v>
      </c>
      <c r="B15022" t="s">
        <v>83</v>
      </c>
      <c r="C15022">
        <v>432</v>
      </c>
      <c r="D15022" t="s">
        <v>81</v>
      </c>
      <c r="E15022">
        <v>6.7479999999999997E-3</v>
      </c>
      <c r="F15022" t="s">
        <v>74</v>
      </c>
      <c r="G15022">
        <v>6.7479899999999997</v>
      </c>
      <c r="H15022" t="s">
        <v>75</v>
      </c>
      <c r="I15022">
        <v>6747.9920000000002</v>
      </c>
      <c r="J15022" t="s">
        <v>76</v>
      </c>
      <c r="K15022" t="s">
        <v>82</v>
      </c>
      <c r="L15022">
        <v>148.1922337</v>
      </c>
    </row>
    <row r="15023" spans="1:12" x14ac:dyDescent="0.3">
      <c r="A15023" t="s">
        <v>497</v>
      </c>
      <c r="B15023" t="s">
        <v>84</v>
      </c>
      <c r="C15023">
        <v>433</v>
      </c>
      <c r="D15023" t="s">
        <v>81</v>
      </c>
      <c r="E15023">
        <v>7.0299999999999998E-3</v>
      </c>
      <c r="F15023" t="s">
        <v>74</v>
      </c>
      <c r="G15023">
        <v>7.0301299999999998</v>
      </c>
      <c r="H15023" t="s">
        <v>75</v>
      </c>
      <c r="I15023">
        <v>7030.1289999999999</v>
      </c>
      <c r="J15023" t="s">
        <v>76</v>
      </c>
      <c r="K15023" t="s">
        <v>82</v>
      </c>
      <c r="L15023">
        <v>142.24489729999999</v>
      </c>
    </row>
    <row r="15024" spans="1:12" x14ac:dyDescent="0.3">
      <c r="A15024" t="s">
        <v>498</v>
      </c>
      <c r="B15024" t="s">
        <v>72</v>
      </c>
      <c r="C15024">
        <v>2</v>
      </c>
      <c r="D15024" t="s">
        <v>86</v>
      </c>
      <c r="E15024">
        <v>0.16712399999999999</v>
      </c>
      <c r="F15024" t="s">
        <v>74</v>
      </c>
      <c r="G15024">
        <v>167.12356</v>
      </c>
      <c r="H15024" t="s">
        <v>75</v>
      </c>
      <c r="I15024">
        <v>167123.55600000001</v>
      </c>
      <c r="J15024" t="s">
        <v>76</v>
      </c>
      <c r="K15024" t="s">
        <v>82</v>
      </c>
      <c r="L15024">
        <v>5.9835969000000002</v>
      </c>
    </row>
    <row r="15025" spans="1:12" x14ac:dyDescent="0.3">
      <c r="A15025" t="s">
        <v>498</v>
      </c>
      <c r="B15025" t="s">
        <v>83</v>
      </c>
      <c r="C15025">
        <v>999</v>
      </c>
      <c r="D15025" t="s">
        <v>86</v>
      </c>
      <c r="E15025">
        <v>2.934E-3</v>
      </c>
      <c r="F15025" t="s">
        <v>74</v>
      </c>
      <c r="G15025">
        <v>2.93425</v>
      </c>
      <c r="H15025" t="s">
        <v>75</v>
      </c>
      <c r="I15025">
        <v>2934.2539999999999</v>
      </c>
      <c r="J15025" t="s">
        <v>76</v>
      </c>
      <c r="K15025" t="s">
        <v>82</v>
      </c>
      <c r="L15025">
        <v>340.80207380000002</v>
      </c>
    </row>
    <row r="15026" spans="1:12" x14ac:dyDescent="0.3">
      <c r="A15026" t="s">
        <v>498</v>
      </c>
      <c r="B15026" t="s">
        <v>85</v>
      </c>
      <c r="C15026">
        <v>1001</v>
      </c>
      <c r="D15026" t="s">
        <v>86</v>
      </c>
      <c r="E15026">
        <v>3.0609999999999999E-3</v>
      </c>
      <c r="F15026" t="s">
        <v>74</v>
      </c>
      <c r="G15026">
        <v>3.0610200000000001</v>
      </c>
      <c r="H15026" t="s">
        <v>75</v>
      </c>
      <c r="I15026">
        <v>3061.02</v>
      </c>
      <c r="J15026" t="s">
        <v>76</v>
      </c>
      <c r="K15026" t="s">
        <v>82</v>
      </c>
      <c r="L15026">
        <v>326.68844569999999</v>
      </c>
    </row>
    <row r="15028" spans="1:12" x14ac:dyDescent="0.3">
      <c r="A15028" t="s">
        <v>537</v>
      </c>
    </row>
    <row r="15029" spans="1:12" x14ac:dyDescent="0.3">
      <c r="A15029" t="s">
        <v>496</v>
      </c>
      <c r="B15029" t="s">
        <v>72</v>
      </c>
      <c r="C15029">
        <v>1</v>
      </c>
      <c r="D15029" t="s">
        <v>81</v>
      </c>
      <c r="E15029">
        <v>2.0247000000000001E-2</v>
      </c>
      <c r="F15029" t="s">
        <v>74</v>
      </c>
      <c r="G15029">
        <v>20.247</v>
      </c>
      <c r="H15029" t="s">
        <v>75</v>
      </c>
      <c r="I15029">
        <v>20246.999</v>
      </c>
      <c r="J15029" t="s">
        <v>76</v>
      </c>
      <c r="K15029" t="s">
        <v>82</v>
      </c>
      <c r="L15029">
        <v>49.390034700000001</v>
      </c>
    </row>
    <row r="15030" spans="1:12" x14ac:dyDescent="0.3">
      <c r="A15030" t="s">
        <v>496</v>
      </c>
      <c r="B15030" t="s">
        <v>83</v>
      </c>
      <c r="C15030">
        <v>623</v>
      </c>
      <c r="D15030" t="s">
        <v>81</v>
      </c>
      <c r="E15030">
        <v>5.228E-3</v>
      </c>
      <c r="F15030" t="s">
        <v>74</v>
      </c>
      <c r="G15030">
        <v>5.2278500000000001</v>
      </c>
      <c r="H15030" t="s">
        <v>75</v>
      </c>
      <c r="I15030">
        <v>5227.8469999999998</v>
      </c>
      <c r="J15030" t="s">
        <v>76</v>
      </c>
      <c r="K15030" t="s">
        <v>82</v>
      </c>
      <c r="L15030">
        <v>191.28334559999999</v>
      </c>
    </row>
    <row r="15031" spans="1:12" x14ac:dyDescent="0.3">
      <c r="A15031" t="s">
        <v>496</v>
      </c>
      <c r="B15031" t="s">
        <v>84</v>
      </c>
      <c r="C15031">
        <v>624</v>
      </c>
      <c r="D15031" t="s">
        <v>81</v>
      </c>
      <c r="E15031">
        <v>5.2519999999999997E-3</v>
      </c>
      <c r="F15031" t="s">
        <v>74</v>
      </c>
      <c r="G15031">
        <v>5.2519200000000001</v>
      </c>
      <c r="H15031" t="s">
        <v>75</v>
      </c>
      <c r="I15031">
        <v>5251.9160000000002</v>
      </c>
      <c r="J15031" t="s">
        <v>76</v>
      </c>
      <c r="K15031" t="s">
        <v>82</v>
      </c>
      <c r="L15031">
        <v>190.4067087</v>
      </c>
    </row>
    <row r="15032" spans="1:12" x14ac:dyDescent="0.3">
      <c r="A15032" t="s">
        <v>497</v>
      </c>
      <c r="B15032" t="s">
        <v>72</v>
      </c>
      <c r="C15032">
        <v>1</v>
      </c>
      <c r="D15032" t="s">
        <v>81</v>
      </c>
      <c r="E15032">
        <v>6.3870000000000003E-3</v>
      </c>
      <c r="F15032" t="s">
        <v>74</v>
      </c>
      <c r="G15032">
        <v>6.3872999999999998</v>
      </c>
      <c r="H15032" t="s">
        <v>75</v>
      </c>
      <c r="I15032">
        <v>6387.3</v>
      </c>
      <c r="J15032" t="s">
        <v>76</v>
      </c>
      <c r="K15032" t="s">
        <v>82</v>
      </c>
      <c r="L15032">
        <v>156.56067859999999</v>
      </c>
    </row>
    <row r="15033" spans="1:12" x14ac:dyDescent="0.3">
      <c r="A15033" t="s">
        <v>497</v>
      </c>
      <c r="B15033" t="s">
        <v>83</v>
      </c>
      <c r="C15033">
        <v>376</v>
      </c>
      <c r="D15033" t="s">
        <v>81</v>
      </c>
      <c r="E15033">
        <v>8.6770000000000007E-3</v>
      </c>
      <c r="F15033" t="s">
        <v>74</v>
      </c>
      <c r="G15033">
        <v>8.6771799999999999</v>
      </c>
      <c r="H15033" t="s">
        <v>75</v>
      </c>
      <c r="I15033">
        <v>8677.1849999999995</v>
      </c>
      <c r="J15033" t="s">
        <v>76</v>
      </c>
      <c r="K15033" t="s">
        <v>82</v>
      </c>
      <c r="L15033">
        <v>115.2447537</v>
      </c>
    </row>
    <row r="15034" spans="1:12" x14ac:dyDescent="0.3">
      <c r="A15034" t="s">
        <v>497</v>
      </c>
      <c r="B15034" t="s">
        <v>84</v>
      </c>
      <c r="C15034">
        <v>377</v>
      </c>
      <c r="D15034" t="s">
        <v>81</v>
      </c>
      <c r="E15034">
        <v>8.6709999999999999E-3</v>
      </c>
      <c r="F15034" t="s">
        <v>74</v>
      </c>
      <c r="G15034">
        <v>8.6711100000000005</v>
      </c>
      <c r="H15034" t="s">
        <v>75</v>
      </c>
      <c r="I15034">
        <v>8671.11</v>
      </c>
      <c r="J15034" t="s">
        <v>76</v>
      </c>
      <c r="K15034" t="s">
        <v>82</v>
      </c>
      <c r="L15034">
        <v>115.32548300000001</v>
      </c>
    </row>
    <row r="15035" spans="1:12" x14ac:dyDescent="0.3">
      <c r="A15035" t="s">
        <v>498</v>
      </c>
      <c r="B15035" t="s">
        <v>72</v>
      </c>
      <c r="C15035">
        <v>2</v>
      </c>
      <c r="D15035" t="s">
        <v>86</v>
      </c>
      <c r="E15035">
        <v>1.0127000000000001E-2</v>
      </c>
      <c r="F15035" t="s">
        <v>74</v>
      </c>
      <c r="G15035">
        <v>10.1274</v>
      </c>
      <c r="H15035" t="s">
        <v>75</v>
      </c>
      <c r="I15035">
        <v>10127.4</v>
      </c>
      <c r="J15035" t="s">
        <v>76</v>
      </c>
      <c r="K15035" t="s">
        <v>82</v>
      </c>
      <c r="L15035">
        <v>98.742026100000004</v>
      </c>
    </row>
    <row r="15036" spans="1:12" x14ac:dyDescent="0.3">
      <c r="A15036" t="s">
        <v>498</v>
      </c>
      <c r="B15036" t="s">
        <v>83</v>
      </c>
      <c r="C15036">
        <v>999</v>
      </c>
      <c r="D15036" t="s">
        <v>86</v>
      </c>
      <c r="E15036">
        <v>3.2820000000000002E-3</v>
      </c>
      <c r="F15036" t="s">
        <v>74</v>
      </c>
      <c r="G15036">
        <v>3.2817099999999999</v>
      </c>
      <c r="H15036" t="s">
        <v>75</v>
      </c>
      <c r="I15036">
        <v>3281.712</v>
      </c>
      <c r="J15036" t="s">
        <v>76</v>
      </c>
      <c r="K15036" t="s">
        <v>82</v>
      </c>
      <c r="L15036">
        <v>304.71896199999998</v>
      </c>
    </row>
    <row r="15037" spans="1:12" x14ac:dyDescent="0.3">
      <c r="A15037" t="s">
        <v>498</v>
      </c>
      <c r="B15037" t="s">
        <v>85</v>
      </c>
      <c r="C15037">
        <v>1001</v>
      </c>
      <c r="D15037" t="s">
        <v>86</v>
      </c>
      <c r="E15037">
        <v>3.2859999999999999E-3</v>
      </c>
      <c r="F15037" t="s">
        <v>74</v>
      </c>
      <c r="G15037">
        <v>3.28559</v>
      </c>
      <c r="H15037" t="s">
        <v>75</v>
      </c>
      <c r="I15037">
        <v>3285.5889999999999</v>
      </c>
      <c r="J15037" t="s">
        <v>76</v>
      </c>
      <c r="K15037" t="s">
        <v>82</v>
      </c>
      <c r="L15037">
        <v>304.3594721</v>
      </c>
    </row>
    <row r="15039" spans="1:12" x14ac:dyDescent="0.3">
      <c r="A15039" t="s">
        <v>66</v>
      </c>
    </row>
    <row r="15041" spans="1:1" x14ac:dyDescent="0.3">
      <c r="A15041" t="s">
        <v>588</v>
      </c>
    </row>
    <row r="15042" spans="1:1" x14ac:dyDescent="0.3">
      <c r="A15042" t="s">
        <v>68</v>
      </c>
    </row>
    <row r="15043" spans="1:1" x14ac:dyDescent="0.3">
      <c r="A15043" t="s">
        <v>69</v>
      </c>
    </row>
    <row r="15044" spans="1:1" x14ac:dyDescent="0.3">
      <c r="A15044" t="s">
        <v>68</v>
      </c>
    </row>
    <row r="15045" spans="1:1" x14ac:dyDescent="0.3">
      <c r="A15045" t="s">
        <v>69</v>
      </c>
    </row>
    <row r="15046" spans="1:1" x14ac:dyDescent="0.3">
      <c r="A15046" t="s">
        <v>70</v>
      </c>
    </row>
    <row r="15047" spans="1:1" x14ac:dyDescent="0.3">
      <c r="A15047" t="s">
        <v>115</v>
      </c>
    </row>
    <row r="15048" spans="1:1" x14ac:dyDescent="0.3">
      <c r="A15048" t="s">
        <v>116</v>
      </c>
    </row>
    <row r="15049" spans="1:1" x14ac:dyDescent="0.3">
      <c r="A15049" t="s">
        <v>117</v>
      </c>
    </row>
    <row r="15050" spans="1:1" x14ac:dyDescent="0.3">
      <c r="A15050" t="s">
        <v>118</v>
      </c>
    </row>
    <row r="15051" spans="1:1" x14ac:dyDescent="0.3">
      <c r="A15051" t="s">
        <v>119</v>
      </c>
    </row>
    <row r="15052" spans="1:1" x14ac:dyDescent="0.3">
      <c r="A15052" t="s">
        <v>120</v>
      </c>
    </row>
    <row r="15053" spans="1:1" x14ac:dyDescent="0.3">
      <c r="A15053" t="s">
        <v>121</v>
      </c>
    </row>
    <row r="15054" spans="1:1" x14ac:dyDescent="0.3">
      <c r="A15054" t="s">
        <v>122</v>
      </c>
    </row>
    <row r="15055" spans="1:1" x14ac:dyDescent="0.3">
      <c r="A15055" t="s">
        <v>123</v>
      </c>
    </row>
    <row r="15056" spans="1:1" x14ac:dyDescent="0.3">
      <c r="A15056" t="s">
        <v>124</v>
      </c>
    </row>
    <row r="15057" spans="1:1" x14ac:dyDescent="0.3">
      <c r="A15057" t="s">
        <v>125</v>
      </c>
    </row>
    <row r="15058" spans="1:1" x14ac:dyDescent="0.3">
      <c r="A15058" t="s">
        <v>126</v>
      </c>
    </row>
    <row r="15059" spans="1:1" x14ac:dyDescent="0.3">
      <c r="A15059" t="s">
        <v>127</v>
      </c>
    </row>
    <row r="15060" spans="1:1" x14ac:dyDescent="0.3">
      <c r="A15060" t="s">
        <v>185</v>
      </c>
    </row>
    <row r="15061" spans="1:1" x14ac:dyDescent="0.3">
      <c r="A15061" t="s">
        <v>115</v>
      </c>
    </row>
    <row r="15062" spans="1:1" x14ac:dyDescent="0.3">
      <c r="A15062" t="s">
        <v>266</v>
      </c>
    </row>
    <row r="15063" spans="1:1" x14ac:dyDescent="0.3">
      <c r="A15063" t="s">
        <v>267</v>
      </c>
    </row>
    <row r="15064" spans="1:1" x14ac:dyDescent="0.3">
      <c r="A15064" t="s">
        <v>118</v>
      </c>
    </row>
    <row r="15065" spans="1:1" x14ac:dyDescent="0.3">
      <c r="A15065" t="s">
        <v>119</v>
      </c>
    </row>
    <row r="15066" spans="1:1" x14ac:dyDescent="0.3">
      <c r="A15066" t="s">
        <v>268</v>
      </c>
    </row>
    <row r="15067" spans="1:1" x14ac:dyDescent="0.3">
      <c r="A15067" t="s">
        <v>269</v>
      </c>
    </row>
    <row r="15068" spans="1:1" x14ac:dyDescent="0.3">
      <c r="A15068" t="s">
        <v>122</v>
      </c>
    </row>
    <row r="15069" spans="1:1" x14ac:dyDescent="0.3">
      <c r="A15069" t="s">
        <v>270</v>
      </c>
    </row>
    <row r="15070" spans="1:1" x14ac:dyDescent="0.3">
      <c r="A15070" t="s">
        <v>271</v>
      </c>
    </row>
    <row r="15071" spans="1:1" x14ac:dyDescent="0.3">
      <c r="A15071" t="s">
        <v>125</v>
      </c>
    </row>
    <row r="15072" spans="1:1" x14ac:dyDescent="0.3">
      <c r="A15072" t="s">
        <v>126</v>
      </c>
    </row>
    <row r="15073" spans="1:12" x14ac:dyDescent="0.3">
      <c r="A15073" t="s">
        <v>127</v>
      </c>
    </row>
    <row r="15074" spans="1:12" x14ac:dyDescent="0.3">
      <c r="A15074" t="s">
        <v>185</v>
      </c>
    </row>
    <row r="15075" spans="1:12" x14ac:dyDescent="0.3">
      <c r="A15075" t="s">
        <v>539</v>
      </c>
    </row>
    <row r="15076" spans="1:12" x14ac:dyDescent="0.3">
      <c r="A15076" t="s">
        <v>496</v>
      </c>
      <c r="B15076" t="s">
        <v>72</v>
      </c>
      <c r="C15076">
        <v>1</v>
      </c>
      <c r="D15076" t="s">
        <v>79</v>
      </c>
      <c r="E15076">
        <v>0.39322099999999999</v>
      </c>
      <c r="F15076" t="s">
        <v>74</v>
      </c>
      <c r="G15076">
        <v>393.22129000000001</v>
      </c>
      <c r="H15076" t="s">
        <v>75</v>
      </c>
      <c r="I15076">
        <v>393221.28899999999</v>
      </c>
      <c r="J15076" t="s">
        <v>76</v>
      </c>
      <c r="K15076" t="s">
        <v>77</v>
      </c>
    </row>
    <row r="15077" spans="1:12" x14ac:dyDescent="0.3">
      <c r="A15077" t="s">
        <v>496</v>
      </c>
      <c r="B15077" t="s">
        <v>72</v>
      </c>
      <c r="C15077">
        <v>1</v>
      </c>
      <c r="D15077" t="s">
        <v>94</v>
      </c>
      <c r="E15077">
        <v>1.4586999999999999E-2</v>
      </c>
      <c r="F15077" t="s">
        <v>74</v>
      </c>
      <c r="G15077">
        <v>14.5869</v>
      </c>
      <c r="H15077" t="s">
        <v>75</v>
      </c>
      <c r="I15077">
        <v>14586.9</v>
      </c>
      <c r="J15077" t="s">
        <v>76</v>
      </c>
      <c r="K15077" t="s">
        <v>77</v>
      </c>
    </row>
    <row r="15078" spans="1:12" x14ac:dyDescent="0.3">
      <c r="A15078" t="s">
        <v>496</v>
      </c>
      <c r="B15078" t="s">
        <v>72</v>
      </c>
      <c r="C15078">
        <v>1</v>
      </c>
      <c r="D15078" t="s">
        <v>80</v>
      </c>
      <c r="E15078">
        <v>1.4588E-2</v>
      </c>
      <c r="F15078" t="s">
        <v>74</v>
      </c>
      <c r="G15078">
        <v>14.5875</v>
      </c>
      <c r="H15078" t="s">
        <v>75</v>
      </c>
      <c r="I15078">
        <v>14587.5</v>
      </c>
      <c r="J15078" t="s">
        <v>76</v>
      </c>
      <c r="K15078" t="s">
        <v>77</v>
      </c>
    </row>
    <row r="15079" spans="1:12" x14ac:dyDescent="0.3">
      <c r="A15079" t="s">
        <v>496</v>
      </c>
      <c r="B15079" t="s">
        <v>72</v>
      </c>
      <c r="C15079">
        <v>1</v>
      </c>
      <c r="D15079" t="s">
        <v>81</v>
      </c>
      <c r="E15079">
        <v>0.40780899999999998</v>
      </c>
      <c r="F15079" t="s">
        <v>74</v>
      </c>
      <c r="G15079">
        <v>407.80928999999998</v>
      </c>
      <c r="H15079" t="s">
        <v>75</v>
      </c>
      <c r="I15079">
        <v>407809.28700000001</v>
      </c>
      <c r="J15079" t="s">
        <v>76</v>
      </c>
      <c r="K15079" t="s">
        <v>82</v>
      </c>
      <c r="L15079">
        <v>2.4521266000000002</v>
      </c>
    </row>
    <row r="15080" spans="1:12" x14ac:dyDescent="0.3">
      <c r="A15080" t="s">
        <v>496</v>
      </c>
      <c r="B15080" t="s">
        <v>83</v>
      </c>
      <c r="C15080">
        <v>569</v>
      </c>
      <c r="D15080" t="s">
        <v>79</v>
      </c>
      <c r="E15080">
        <v>2.575E-3</v>
      </c>
      <c r="F15080" t="s">
        <v>74</v>
      </c>
      <c r="G15080">
        <v>2.5747499999999999</v>
      </c>
      <c r="H15080" t="s">
        <v>75</v>
      </c>
      <c r="I15080">
        <v>2574.7550000000001</v>
      </c>
      <c r="J15080" t="s">
        <v>76</v>
      </c>
      <c r="K15080" t="s">
        <v>77</v>
      </c>
    </row>
    <row r="15081" spans="1:12" x14ac:dyDescent="0.3">
      <c r="A15081" t="s">
        <v>496</v>
      </c>
      <c r="B15081" t="s">
        <v>83</v>
      </c>
      <c r="C15081">
        <v>569</v>
      </c>
      <c r="D15081" t="s">
        <v>94</v>
      </c>
      <c r="E15081">
        <v>4.3660000000000001E-3</v>
      </c>
      <c r="F15081" t="s">
        <v>74</v>
      </c>
      <c r="G15081">
        <v>4.3658200000000003</v>
      </c>
      <c r="H15081" t="s">
        <v>75</v>
      </c>
      <c r="I15081">
        <v>4365.8209999999999</v>
      </c>
      <c r="J15081" t="s">
        <v>76</v>
      </c>
      <c r="K15081" t="s">
        <v>77</v>
      </c>
    </row>
    <row r="15082" spans="1:12" x14ac:dyDescent="0.3">
      <c r="A15082" t="s">
        <v>496</v>
      </c>
      <c r="B15082" t="s">
        <v>83</v>
      </c>
      <c r="C15082">
        <v>569</v>
      </c>
      <c r="D15082" t="s">
        <v>80</v>
      </c>
      <c r="E15082">
        <v>4.5409999999999999E-3</v>
      </c>
      <c r="F15082" t="s">
        <v>74</v>
      </c>
      <c r="G15082">
        <v>4.5414300000000001</v>
      </c>
      <c r="H15082" t="s">
        <v>75</v>
      </c>
      <c r="I15082">
        <v>4541.4350000000004</v>
      </c>
      <c r="J15082" t="s">
        <v>76</v>
      </c>
      <c r="K15082" t="s">
        <v>77</v>
      </c>
    </row>
    <row r="15083" spans="1:12" x14ac:dyDescent="0.3">
      <c r="A15083" t="s">
        <v>496</v>
      </c>
      <c r="B15083" t="s">
        <v>83</v>
      </c>
      <c r="C15083">
        <v>569</v>
      </c>
      <c r="D15083" t="s">
        <v>81</v>
      </c>
      <c r="E15083">
        <v>7.1170000000000001E-3</v>
      </c>
      <c r="F15083" t="s">
        <v>74</v>
      </c>
      <c r="G15083">
        <v>7.1165399999999996</v>
      </c>
      <c r="H15083" t="s">
        <v>75</v>
      </c>
      <c r="I15083">
        <v>7116.5360000000001</v>
      </c>
      <c r="J15083" t="s">
        <v>76</v>
      </c>
      <c r="K15083" t="s">
        <v>82</v>
      </c>
      <c r="L15083">
        <v>140.51779310000001</v>
      </c>
    </row>
    <row r="15084" spans="1:12" x14ac:dyDescent="0.3">
      <c r="A15084" t="s">
        <v>496</v>
      </c>
      <c r="B15084" t="s">
        <v>84</v>
      </c>
      <c r="C15084">
        <v>570</v>
      </c>
      <c r="D15084" t="s">
        <v>79</v>
      </c>
      <c r="E15084">
        <v>3.2599999999999999E-3</v>
      </c>
      <c r="F15084" t="s">
        <v>74</v>
      </c>
      <c r="G15084">
        <v>3.2601</v>
      </c>
      <c r="H15084" t="s">
        <v>75</v>
      </c>
      <c r="I15084">
        <v>3260.1</v>
      </c>
      <c r="J15084" t="s">
        <v>76</v>
      </c>
      <c r="K15084" t="s">
        <v>77</v>
      </c>
    </row>
    <row r="15085" spans="1:12" x14ac:dyDescent="0.3">
      <c r="A15085" t="s">
        <v>496</v>
      </c>
      <c r="B15085" t="s">
        <v>84</v>
      </c>
      <c r="C15085">
        <v>570</v>
      </c>
      <c r="D15085" t="s">
        <v>94</v>
      </c>
      <c r="E15085">
        <v>4.3839999999999999E-3</v>
      </c>
      <c r="F15085" t="s">
        <v>74</v>
      </c>
      <c r="G15085">
        <v>4.38375</v>
      </c>
      <c r="H15085" t="s">
        <v>75</v>
      </c>
      <c r="I15085">
        <v>4383.7529999999997</v>
      </c>
      <c r="J15085" t="s">
        <v>76</v>
      </c>
      <c r="K15085" t="s">
        <v>77</v>
      </c>
    </row>
    <row r="15086" spans="1:12" x14ac:dyDescent="0.3">
      <c r="A15086" t="s">
        <v>496</v>
      </c>
      <c r="B15086" t="s">
        <v>84</v>
      </c>
      <c r="C15086">
        <v>570</v>
      </c>
      <c r="D15086" t="s">
        <v>80</v>
      </c>
      <c r="E15086">
        <v>4.5589999999999997E-3</v>
      </c>
      <c r="F15086" t="s">
        <v>74</v>
      </c>
      <c r="G15086">
        <v>4.5590599999999997</v>
      </c>
      <c r="H15086" t="s">
        <v>75</v>
      </c>
      <c r="I15086">
        <v>4559.0600000000004</v>
      </c>
      <c r="J15086" t="s">
        <v>76</v>
      </c>
      <c r="K15086" t="s">
        <v>77</v>
      </c>
    </row>
    <row r="15087" spans="1:12" x14ac:dyDescent="0.3">
      <c r="A15087" t="s">
        <v>496</v>
      </c>
      <c r="B15087" t="s">
        <v>84</v>
      </c>
      <c r="C15087">
        <v>570</v>
      </c>
      <c r="D15087" t="s">
        <v>81</v>
      </c>
      <c r="E15087">
        <v>7.8200000000000006E-3</v>
      </c>
      <c r="F15087" t="s">
        <v>74</v>
      </c>
      <c r="G15087">
        <v>7.8195100000000002</v>
      </c>
      <c r="H15087" t="s">
        <v>75</v>
      </c>
      <c r="I15087">
        <v>7819.5050000000001</v>
      </c>
      <c r="J15087" t="s">
        <v>76</v>
      </c>
      <c r="K15087" t="s">
        <v>82</v>
      </c>
      <c r="L15087">
        <v>127.8853276</v>
      </c>
    </row>
    <row r="15088" spans="1:12" x14ac:dyDescent="0.3">
      <c r="A15088" t="s">
        <v>497</v>
      </c>
      <c r="B15088" t="s">
        <v>72</v>
      </c>
      <c r="C15088">
        <v>1</v>
      </c>
      <c r="D15088" t="s">
        <v>79</v>
      </c>
      <c r="E15088">
        <v>0.137792</v>
      </c>
      <c r="F15088" t="s">
        <v>74</v>
      </c>
      <c r="G15088">
        <v>137.7921</v>
      </c>
      <c r="H15088" t="s">
        <v>75</v>
      </c>
      <c r="I15088">
        <v>137792.09599999999</v>
      </c>
      <c r="J15088" t="s">
        <v>76</v>
      </c>
      <c r="K15088" t="s">
        <v>77</v>
      </c>
    </row>
    <row r="15089" spans="1:12" x14ac:dyDescent="0.3">
      <c r="A15089" t="s">
        <v>497</v>
      </c>
      <c r="B15089" t="s">
        <v>72</v>
      </c>
      <c r="C15089">
        <v>1</v>
      </c>
      <c r="D15089" t="s">
        <v>94</v>
      </c>
      <c r="E15089">
        <v>9.7529999999999995E-3</v>
      </c>
      <c r="F15089" t="s">
        <v>74</v>
      </c>
      <c r="G15089">
        <v>9.7525999999999993</v>
      </c>
      <c r="H15089" t="s">
        <v>75</v>
      </c>
      <c r="I15089">
        <v>9752.6</v>
      </c>
      <c r="J15089" t="s">
        <v>76</v>
      </c>
      <c r="K15089" t="s">
        <v>77</v>
      </c>
    </row>
    <row r="15090" spans="1:12" x14ac:dyDescent="0.3">
      <c r="A15090" t="s">
        <v>497</v>
      </c>
      <c r="B15090" t="s">
        <v>72</v>
      </c>
      <c r="C15090">
        <v>1</v>
      </c>
      <c r="D15090" t="s">
        <v>80</v>
      </c>
      <c r="E15090">
        <v>9.7540000000000005E-3</v>
      </c>
      <c r="F15090" t="s">
        <v>74</v>
      </c>
      <c r="G15090">
        <v>9.7538</v>
      </c>
      <c r="H15090" t="s">
        <v>75</v>
      </c>
      <c r="I15090">
        <v>9753.7999999999993</v>
      </c>
      <c r="J15090" t="s">
        <v>76</v>
      </c>
      <c r="K15090" t="s">
        <v>77</v>
      </c>
    </row>
    <row r="15091" spans="1:12" x14ac:dyDescent="0.3">
      <c r="A15091" t="s">
        <v>497</v>
      </c>
      <c r="B15091" t="s">
        <v>72</v>
      </c>
      <c r="C15091">
        <v>1</v>
      </c>
      <c r="D15091" t="s">
        <v>81</v>
      </c>
      <c r="E15091">
        <v>0.14754700000000001</v>
      </c>
      <c r="F15091" t="s">
        <v>74</v>
      </c>
      <c r="G15091">
        <v>147.54689999999999</v>
      </c>
      <c r="H15091" t="s">
        <v>75</v>
      </c>
      <c r="I15091">
        <v>147546.902</v>
      </c>
      <c r="J15091" t="s">
        <v>76</v>
      </c>
      <c r="K15091" t="s">
        <v>82</v>
      </c>
      <c r="L15091">
        <v>6.7775059000000004</v>
      </c>
    </row>
    <row r="15092" spans="1:12" x14ac:dyDescent="0.3">
      <c r="A15092" t="s">
        <v>497</v>
      </c>
      <c r="B15092" t="s">
        <v>83</v>
      </c>
      <c r="C15092">
        <v>430</v>
      </c>
      <c r="D15092" t="s">
        <v>79</v>
      </c>
      <c r="E15092">
        <v>2.333E-3</v>
      </c>
      <c r="F15092" t="s">
        <v>74</v>
      </c>
      <c r="G15092">
        <v>2.3329499999999999</v>
      </c>
      <c r="H15092" t="s">
        <v>75</v>
      </c>
      <c r="I15092">
        <v>2332.9540000000002</v>
      </c>
      <c r="J15092" t="s">
        <v>76</v>
      </c>
      <c r="K15092" t="s">
        <v>77</v>
      </c>
    </row>
    <row r="15093" spans="1:12" x14ac:dyDescent="0.3">
      <c r="A15093" t="s">
        <v>497</v>
      </c>
      <c r="B15093" t="s">
        <v>83</v>
      </c>
      <c r="C15093">
        <v>430</v>
      </c>
      <c r="D15093" t="s">
        <v>94</v>
      </c>
      <c r="E15093">
        <v>7.4689999999999999E-3</v>
      </c>
      <c r="F15093" t="s">
        <v>74</v>
      </c>
      <c r="G15093">
        <v>7.46896</v>
      </c>
      <c r="H15093" t="s">
        <v>75</v>
      </c>
      <c r="I15093">
        <v>7468.9579999999996</v>
      </c>
      <c r="J15093" t="s">
        <v>76</v>
      </c>
      <c r="K15093" t="s">
        <v>77</v>
      </c>
    </row>
    <row r="15094" spans="1:12" x14ac:dyDescent="0.3">
      <c r="A15094" t="s">
        <v>497</v>
      </c>
      <c r="B15094" t="s">
        <v>83</v>
      </c>
      <c r="C15094">
        <v>430</v>
      </c>
      <c r="D15094" t="s">
        <v>80</v>
      </c>
      <c r="E15094">
        <v>7.6540000000000002E-3</v>
      </c>
      <c r="F15094" t="s">
        <v>74</v>
      </c>
      <c r="G15094">
        <v>7.6536</v>
      </c>
      <c r="H15094" t="s">
        <v>75</v>
      </c>
      <c r="I15094">
        <v>7653.6040000000003</v>
      </c>
      <c r="J15094" t="s">
        <v>76</v>
      </c>
      <c r="K15094" t="s">
        <v>77</v>
      </c>
    </row>
    <row r="15095" spans="1:12" x14ac:dyDescent="0.3">
      <c r="A15095" t="s">
        <v>497</v>
      </c>
      <c r="B15095" t="s">
        <v>83</v>
      </c>
      <c r="C15095">
        <v>430</v>
      </c>
      <c r="D15095" t="s">
        <v>81</v>
      </c>
      <c r="E15095">
        <v>9.9869999999999994E-3</v>
      </c>
      <c r="F15095" t="s">
        <v>74</v>
      </c>
      <c r="G15095">
        <v>9.9868900000000007</v>
      </c>
      <c r="H15095" t="s">
        <v>75</v>
      </c>
      <c r="I15095">
        <v>9986.8919999999998</v>
      </c>
      <c r="J15095" t="s">
        <v>76</v>
      </c>
      <c r="K15095" t="s">
        <v>82</v>
      </c>
      <c r="L15095">
        <v>100.1312535</v>
      </c>
    </row>
    <row r="15096" spans="1:12" x14ac:dyDescent="0.3">
      <c r="A15096" t="s">
        <v>497</v>
      </c>
      <c r="B15096" t="s">
        <v>84</v>
      </c>
      <c r="C15096">
        <v>431</v>
      </c>
      <c r="D15096" t="s">
        <v>79</v>
      </c>
      <c r="E15096">
        <v>2.647E-3</v>
      </c>
      <c r="F15096" t="s">
        <v>74</v>
      </c>
      <c r="G15096">
        <v>2.64724</v>
      </c>
      <c r="H15096" t="s">
        <v>75</v>
      </c>
      <c r="I15096">
        <v>2647.2440000000001</v>
      </c>
      <c r="J15096" t="s">
        <v>76</v>
      </c>
      <c r="K15096" t="s">
        <v>77</v>
      </c>
    </row>
    <row r="15097" spans="1:12" x14ac:dyDescent="0.3">
      <c r="A15097" t="s">
        <v>497</v>
      </c>
      <c r="B15097" t="s">
        <v>84</v>
      </c>
      <c r="C15097">
        <v>431</v>
      </c>
      <c r="D15097" t="s">
        <v>94</v>
      </c>
      <c r="E15097">
        <v>7.4739999999999997E-3</v>
      </c>
      <c r="F15097" t="s">
        <v>74</v>
      </c>
      <c r="G15097">
        <v>7.4742600000000001</v>
      </c>
      <c r="H15097" t="s">
        <v>75</v>
      </c>
      <c r="I15097">
        <v>7474.2569999999996</v>
      </c>
      <c r="J15097" t="s">
        <v>76</v>
      </c>
      <c r="K15097" t="s">
        <v>77</v>
      </c>
    </row>
    <row r="15098" spans="1:12" x14ac:dyDescent="0.3">
      <c r="A15098" t="s">
        <v>497</v>
      </c>
      <c r="B15098" t="s">
        <v>84</v>
      </c>
      <c r="C15098">
        <v>431</v>
      </c>
      <c r="D15098" t="s">
        <v>80</v>
      </c>
      <c r="E15098">
        <v>7.6579999999999999E-3</v>
      </c>
      <c r="F15098" t="s">
        <v>74</v>
      </c>
      <c r="G15098">
        <v>7.65848</v>
      </c>
      <c r="H15098" t="s">
        <v>75</v>
      </c>
      <c r="I15098">
        <v>7658.4759999999997</v>
      </c>
      <c r="J15098" t="s">
        <v>76</v>
      </c>
      <c r="K15098" t="s">
        <v>77</v>
      </c>
    </row>
    <row r="15099" spans="1:12" x14ac:dyDescent="0.3">
      <c r="A15099" t="s">
        <v>497</v>
      </c>
      <c r="B15099" t="s">
        <v>84</v>
      </c>
      <c r="C15099">
        <v>431</v>
      </c>
      <c r="D15099" t="s">
        <v>81</v>
      </c>
      <c r="E15099">
        <v>1.0305999999999999E-2</v>
      </c>
      <c r="F15099" t="s">
        <v>74</v>
      </c>
      <c r="G15099">
        <v>10.30606</v>
      </c>
      <c r="H15099" t="s">
        <v>75</v>
      </c>
      <c r="I15099">
        <v>10306.055</v>
      </c>
      <c r="J15099" t="s">
        <v>76</v>
      </c>
      <c r="K15099" t="s">
        <v>82</v>
      </c>
      <c r="L15099">
        <v>97.0303361</v>
      </c>
    </row>
    <row r="15100" spans="1:12" x14ac:dyDescent="0.3">
      <c r="A15100" t="s">
        <v>498</v>
      </c>
      <c r="B15100" t="s">
        <v>72</v>
      </c>
      <c r="C15100">
        <v>1</v>
      </c>
      <c r="D15100" t="s">
        <v>73</v>
      </c>
      <c r="E15100">
        <v>4.6E-5</v>
      </c>
      <c r="F15100" t="s">
        <v>74</v>
      </c>
      <c r="G15100">
        <v>4.6100000000000002E-2</v>
      </c>
      <c r="H15100" t="s">
        <v>75</v>
      </c>
      <c r="I15100">
        <v>46.1</v>
      </c>
      <c r="J15100" t="s">
        <v>76</v>
      </c>
      <c r="K15100" t="s">
        <v>77</v>
      </c>
    </row>
    <row r="15101" spans="1:12" x14ac:dyDescent="0.3">
      <c r="A15101" t="s">
        <v>498</v>
      </c>
      <c r="B15101" t="s">
        <v>72</v>
      </c>
      <c r="C15101">
        <v>1</v>
      </c>
      <c r="D15101" t="s">
        <v>78</v>
      </c>
      <c r="E15101">
        <v>0.12651000000000001</v>
      </c>
      <c r="F15101" t="s">
        <v>74</v>
      </c>
      <c r="G15101">
        <v>126.5104</v>
      </c>
      <c r="H15101" t="s">
        <v>75</v>
      </c>
      <c r="I15101">
        <v>126510.397</v>
      </c>
      <c r="J15101" t="s">
        <v>76</v>
      </c>
      <c r="K15101" t="s">
        <v>77</v>
      </c>
    </row>
    <row r="15102" spans="1:12" x14ac:dyDescent="0.3">
      <c r="A15102" t="s">
        <v>498</v>
      </c>
      <c r="B15102" t="s">
        <v>72</v>
      </c>
      <c r="C15102">
        <v>2</v>
      </c>
      <c r="D15102" t="s">
        <v>86</v>
      </c>
      <c r="E15102">
        <v>0.20393</v>
      </c>
      <c r="F15102" t="s">
        <v>74</v>
      </c>
      <c r="G15102">
        <v>203.9299</v>
      </c>
      <c r="H15102" t="s">
        <v>75</v>
      </c>
      <c r="I15102">
        <v>203929.90100000001</v>
      </c>
      <c r="J15102" t="s">
        <v>76</v>
      </c>
      <c r="K15102" t="s">
        <v>82</v>
      </c>
      <c r="L15102">
        <v>4.9036457999999996</v>
      </c>
    </row>
    <row r="15103" spans="1:12" x14ac:dyDescent="0.3">
      <c r="A15103" t="s">
        <v>498</v>
      </c>
      <c r="B15103" t="s">
        <v>83</v>
      </c>
      <c r="C15103">
        <v>999</v>
      </c>
      <c r="D15103" t="s">
        <v>86</v>
      </c>
      <c r="E15103">
        <v>4.3249999999999999E-3</v>
      </c>
      <c r="F15103" t="s">
        <v>74</v>
      </c>
      <c r="G15103">
        <v>4.32538</v>
      </c>
      <c r="H15103" t="s">
        <v>75</v>
      </c>
      <c r="I15103">
        <v>4325.3779999999997</v>
      </c>
      <c r="J15103" t="s">
        <v>76</v>
      </c>
      <c r="K15103" t="s">
        <v>82</v>
      </c>
      <c r="L15103">
        <v>231.193645</v>
      </c>
    </row>
    <row r="15104" spans="1:12" x14ac:dyDescent="0.3">
      <c r="A15104" t="s">
        <v>498</v>
      </c>
      <c r="B15104" t="s">
        <v>85</v>
      </c>
      <c r="C15104">
        <v>1001</v>
      </c>
      <c r="D15104" t="s">
        <v>86</v>
      </c>
      <c r="E15104">
        <v>4.47E-3</v>
      </c>
      <c r="F15104" t="s">
        <v>74</v>
      </c>
      <c r="G15104">
        <v>4.4696100000000003</v>
      </c>
      <c r="H15104" t="s">
        <v>75</v>
      </c>
      <c r="I15104">
        <v>4469.607</v>
      </c>
      <c r="J15104" t="s">
        <v>76</v>
      </c>
      <c r="K15104" t="s">
        <v>82</v>
      </c>
      <c r="L15104">
        <v>223.7333338</v>
      </c>
    </row>
    <row r="15105" spans="1:12" x14ac:dyDescent="0.3">
      <c r="A15105" t="s">
        <v>187</v>
      </c>
    </row>
    <row r="15106" spans="1:12" x14ac:dyDescent="0.3">
      <c r="A15106" t="s">
        <v>187</v>
      </c>
    </row>
    <row r="15107" spans="1:12" x14ac:dyDescent="0.3">
      <c r="A15107" t="s">
        <v>540</v>
      </c>
    </row>
    <row r="15108" spans="1:12" x14ac:dyDescent="0.3">
      <c r="A15108" t="s">
        <v>496</v>
      </c>
      <c r="B15108" t="s">
        <v>72</v>
      </c>
      <c r="C15108">
        <v>1</v>
      </c>
      <c r="D15108" t="s">
        <v>79</v>
      </c>
      <c r="E15108">
        <v>7.2199999999999999E-3</v>
      </c>
      <c r="F15108" t="s">
        <v>74</v>
      </c>
      <c r="G15108">
        <v>7.2198000000000002</v>
      </c>
      <c r="H15108" t="s">
        <v>75</v>
      </c>
      <c r="I15108">
        <v>7219.8</v>
      </c>
      <c r="J15108" t="s">
        <v>76</v>
      </c>
      <c r="K15108" t="s">
        <v>77</v>
      </c>
    </row>
    <row r="15109" spans="1:12" x14ac:dyDescent="0.3">
      <c r="A15109" t="s">
        <v>496</v>
      </c>
      <c r="B15109" t="s">
        <v>72</v>
      </c>
      <c r="C15109">
        <v>1</v>
      </c>
      <c r="D15109" t="s">
        <v>94</v>
      </c>
      <c r="E15109">
        <v>1.7642000000000001E-2</v>
      </c>
      <c r="F15109" t="s">
        <v>74</v>
      </c>
      <c r="G15109">
        <v>17.642299999999999</v>
      </c>
      <c r="H15109" t="s">
        <v>75</v>
      </c>
      <c r="I15109">
        <v>17642.300999999999</v>
      </c>
      <c r="J15109" t="s">
        <v>76</v>
      </c>
      <c r="K15109" t="s">
        <v>77</v>
      </c>
    </row>
    <row r="15110" spans="1:12" x14ac:dyDescent="0.3">
      <c r="A15110" t="s">
        <v>496</v>
      </c>
      <c r="B15110" t="s">
        <v>72</v>
      </c>
      <c r="C15110">
        <v>1</v>
      </c>
      <c r="D15110" t="s">
        <v>80</v>
      </c>
      <c r="E15110">
        <v>1.78E-2</v>
      </c>
      <c r="F15110" t="s">
        <v>74</v>
      </c>
      <c r="G15110">
        <v>17.799700000000001</v>
      </c>
      <c r="H15110" t="s">
        <v>75</v>
      </c>
      <c r="I15110">
        <v>17799.7</v>
      </c>
      <c r="J15110" t="s">
        <v>76</v>
      </c>
      <c r="K15110" t="s">
        <v>77</v>
      </c>
    </row>
    <row r="15111" spans="1:12" x14ac:dyDescent="0.3">
      <c r="A15111" t="s">
        <v>496</v>
      </c>
      <c r="B15111" t="s">
        <v>72</v>
      </c>
      <c r="C15111">
        <v>1</v>
      </c>
      <c r="D15111" t="s">
        <v>81</v>
      </c>
      <c r="E15111">
        <v>2.5020000000000001E-2</v>
      </c>
      <c r="F15111" t="s">
        <v>74</v>
      </c>
      <c r="G15111">
        <v>25.02</v>
      </c>
      <c r="H15111" t="s">
        <v>75</v>
      </c>
      <c r="I15111">
        <v>25020</v>
      </c>
      <c r="J15111" t="s">
        <v>76</v>
      </c>
      <c r="K15111" t="s">
        <v>82</v>
      </c>
      <c r="L15111">
        <v>39.968026199999997</v>
      </c>
    </row>
    <row r="15112" spans="1:12" x14ac:dyDescent="0.3">
      <c r="A15112" t="s">
        <v>496</v>
      </c>
      <c r="B15112" t="s">
        <v>83</v>
      </c>
      <c r="C15112">
        <v>567</v>
      </c>
      <c r="D15112" t="s">
        <v>79</v>
      </c>
      <c r="E15112">
        <v>2.7469999999999999E-3</v>
      </c>
      <c r="F15112" t="s">
        <v>74</v>
      </c>
      <c r="G15112">
        <v>2.7465700000000002</v>
      </c>
      <c r="H15112" t="s">
        <v>75</v>
      </c>
      <c r="I15112">
        <v>2746.5729999999999</v>
      </c>
      <c r="J15112" t="s">
        <v>76</v>
      </c>
      <c r="K15112" t="s">
        <v>77</v>
      </c>
    </row>
    <row r="15113" spans="1:12" x14ac:dyDescent="0.3">
      <c r="A15113" t="s">
        <v>496</v>
      </c>
      <c r="B15113" t="s">
        <v>83</v>
      </c>
      <c r="C15113">
        <v>567</v>
      </c>
      <c r="D15113" t="s">
        <v>94</v>
      </c>
      <c r="E15113">
        <v>5.0460000000000001E-3</v>
      </c>
      <c r="F15113" t="s">
        <v>74</v>
      </c>
      <c r="G15113">
        <v>5.0464000000000002</v>
      </c>
      <c r="H15113" t="s">
        <v>75</v>
      </c>
      <c r="I15113">
        <v>5046.4040000000005</v>
      </c>
      <c r="J15113" t="s">
        <v>76</v>
      </c>
      <c r="K15113" t="s">
        <v>77</v>
      </c>
    </row>
    <row r="15114" spans="1:12" x14ac:dyDescent="0.3">
      <c r="A15114" t="s">
        <v>496</v>
      </c>
      <c r="B15114" t="s">
        <v>83</v>
      </c>
      <c r="C15114">
        <v>567</v>
      </c>
      <c r="D15114" t="s">
        <v>80</v>
      </c>
      <c r="E15114">
        <v>5.2290000000000001E-3</v>
      </c>
      <c r="F15114" t="s">
        <v>74</v>
      </c>
      <c r="G15114">
        <v>5.2290299999999998</v>
      </c>
      <c r="H15114" t="s">
        <v>75</v>
      </c>
      <c r="I15114">
        <v>5229.0290000000005</v>
      </c>
      <c r="J15114" t="s">
        <v>76</v>
      </c>
      <c r="K15114" t="s">
        <v>77</v>
      </c>
    </row>
    <row r="15115" spans="1:12" x14ac:dyDescent="0.3">
      <c r="A15115" t="s">
        <v>496</v>
      </c>
      <c r="B15115" t="s">
        <v>83</v>
      </c>
      <c r="C15115">
        <v>567</v>
      </c>
      <c r="D15115" t="s">
        <v>81</v>
      </c>
      <c r="E15115">
        <v>7.9760000000000005E-3</v>
      </c>
      <c r="F15115" t="s">
        <v>74</v>
      </c>
      <c r="G15115">
        <v>7.9759399999999996</v>
      </c>
      <c r="H15115" t="s">
        <v>75</v>
      </c>
      <c r="I15115">
        <v>7975.942</v>
      </c>
      <c r="J15115" t="s">
        <v>76</v>
      </c>
      <c r="K15115" t="s">
        <v>82</v>
      </c>
      <c r="L15115">
        <v>125.377033</v>
      </c>
    </row>
    <row r="15116" spans="1:12" x14ac:dyDescent="0.3">
      <c r="A15116" t="s">
        <v>496</v>
      </c>
      <c r="B15116" t="s">
        <v>84</v>
      </c>
      <c r="C15116">
        <v>568</v>
      </c>
      <c r="D15116" t="s">
        <v>79</v>
      </c>
      <c r="E15116">
        <v>2.7539999999999999E-3</v>
      </c>
      <c r="F15116" t="s">
        <v>74</v>
      </c>
      <c r="G15116">
        <v>2.7544499999999998</v>
      </c>
      <c r="H15116" t="s">
        <v>75</v>
      </c>
      <c r="I15116">
        <v>2754.4479999999999</v>
      </c>
      <c r="J15116" t="s">
        <v>76</v>
      </c>
      <c r="K15116" t="s">
        <v>77</v>
      </c>
    </row>
    <row r="15117" spans="1:12" x14ac:dyDescent="0.3">
      <c r="A15117" t="s">
        <v>496</v>
      </c>
      <c r="B15117" t="s">
        <v>84</v>
      </c>
      <c r="C15117">
        <v>568</v>
      </c>
      <c r="D15117" t="s">
        <v>94</v>
      </c>
      <c r="E15117">
        <v>5.0689999999999997E-3</v>
      </c>
      <c r="F15117" t="s">
        <v>74</v>
      </c>
      <c r="G15117">
        <v>5.0685799999999999</v>
      </c>
      <c r="H15117" t="s">
        <v>75</v>
      </c>
      <c r="I15117">
        <v>5068.5789999999997</v>
      </c>
      <c r="J15117" t="s">
        <v>76</v>
      </c>
      <c r="K15117" t="s">
        <v>77</v>
      </c>
    </row>
    <row r="15118" spans="1:12" x14ac:dyDescent="0.3">
      <c r="A15118" t="s">
        <v>496</v>
      </c>
      <c r="B15118" t="s">
        <v>84</v>
      </c>
      <c r="C15118">
        <v>568</v>
      </c>
      <c r="D15118" t="s">
        <v>80</v>
      </c>
      <c r="E15118">
        <v>5.2509999999999996E-3</v>
      </c>
      <c r="F15118" t="s">
        <v>74</v>
      </c>
      <c r="G15118">
        <v>5.2511599999999996</v>
      </c>
      <c r="H15118" t="s">
        <v>75</v>
      </c>
      <c r="I15118">
        <v>5251.16</v>
      </c>
      <c r="J15118" t="s">
        <v>76</v>
      </c>
      <c r="K15118" t="s">
        <v>77</v>
      </c>
    </row>
    <row r="15119" spans="1:12" x14ac:dyDescent="0.3">
      <c r="A15119" t="s">
        <v>496</v>
      </c>
      <c r="B15119" t="s">
        <v>84</v>
      </c>
      <c r="C15119">
        <v>568</v>
      </c>
      <c r="D15119" t="s">
        <v>81</v>
      </c>
      <c r="E15119">
        <v>8.0059999999999992E-3</v>
      </c>
      <c r="F15119" t="s">
        <v>74</v>
      </c>
      <c r="G15119">
        <v>8.0059500000000003</v>
      </c>
      <c r="H15119" t="s">
        <v>75</v>
      </c>
      <c r="I15119">
        <v>8005.9480000000003</v>
      </c>
      <c r="J15119" t="s">
        <v>76</v>
      </c>
      <c r="K15119" t="s">
        <v>82</v>
      </c>
      <c r="L15119">
        <v>124.9071295</v>
      </c>
    </row>
    <row r="15120" spans="1:12" x14ac:dyDescent="0.3">
      <c r="A15120" t="s">
        <v>497</v>
      </c>
      <c r="B15120" t="s">
        <v>72</v>
      </c>
      <c r="C15120">
        <v>1</v>
      </c>
      <c r="D15120" t="s">
        <v>79</v>
      </c>
      <c r="E15120">
        <v>4.2310000000000004E-3</v>
      </c>
      <c r="F15120" t="s">
        <v>74</v>
      </c>
      <c r="G15120">
        <v>4.2312000000000003</v>
      </c>
      <c r="H15120" t="s">
        <v>75</v>
      </c>
      <c r="I15120">
        <v>4231.2</v>
      </c>
      <c r="J15120" t="s">
        <v>76</v>
      </c>
      <c r="K15120" t="s">
        <v>77</v>
      </c>
    </row>
    <row r="15121" spans="1:12" x14ac:dyDescent="0.3">
      <c r="A15121" t="s">
        <v>497</v>
      </c>
      <c r="B15121" t="s">
        <v>72</v>
      </c>
      <c r="C15121">
        <v>1</v>
      </c>
      <c r="D15121" t="s">
        <v>94</v>
      </c>
      <c r="E15121">
        <v>4.8209999999999998E-3</v>
      </c>
      <c r="F15121" t="s">
        <v>74</v>
      </c>
      <c r="G15121">
        <v>4.8212999999999999</v>
      </c>
      <c r="H15121" t="s">
        <v>75</v>
      </c>
      <c r="I15121">
        <v>4821.3</v>
      </c>
      <c r="J15121" t="s">
        <v>76</v>
      </c>
      <c r="K15121" t="s">
        <v>77</v>
      </c>
    </row>
    <row r="15122" spans="1:12" x14ac:dyDescent="0.3">
      <c r="A15122" t="s">
        <v>497</v>
      </c>
      <c r="B15122" t="s">
        <v>72</v>
      </c>
      <c r="C15122">
        <v>1</v>
      </c>
      <c r="D15122" t="s">
        <v>80</v>
      </c>
      <c r="E15122">
        <v>4.9630000000000004E-3</v>
      </c>
      <c r="F15122" t="s">
        <v>74</v>
      </c>
      <c r="G15122">
        <v>4.9626000000000001</v>
      </c>
      <c r="H15122" t="s">
        <v>75</v>
      </c>
      <c r="I15122">
        <v>4962.6000000000004</v>
      </c>
      <c r="J15122" t="s">
        <v>76</v>
      </c>
      <c r="K15122" t="s">
        <v>77</v>
      </c>
    </row>
    <row r="15123" spans="1:12" x14ac:dyDescent="0.3">
      <c r="A15123" t="s">
        <v>497</v>
      </c>
      <c r="B15123" t="s">
        <v>72</v>
      </c>
      <c r="C15123">
        <v>1</v>
      </c>
      <c r="D15123" t="s">
        <v>81</v>
      </c>
      <c r="E15123">
        <v>9.1940000000000008E-3</v>
      </c>
      <c r="F15123" t="s">
        <v>74</v>
      </c>
      <c r="G15123">
        <v>9.1943999999999999</v>
      </c>
      <c r="H15123" t="s">
        <v>75</v>
      </c>
      <c r="I15123">
        <v>9194.4</v>
      </c>
      <c r="J15123" t="s">
        <v>76</v>
      </c>
      <c r="K15123" t="s">
        <v>82</v>
      </c>
      <c r="L15123">
        <v>108.7618531</v>
      </c>
    </row>
    <row r="15124" spans="1:12" x14ac:dyDescent="0.3">
      <c r="A15124" t="s">
        <v>497</v>
      </c>
      <c r="B15124" t="s">
        <v>83</v>
      </c>
      <c r="C15124">
        <v>432</v>
      </c>
      <c r="D15124" t="s">
        <v>79</v>
      </c>
      <c r="E15124">
        <v>2.9129999999999998E-3</v>
      </c>
      <c r="F15124" t="s">
        <v>74</v>
      </c>
      <c r="G15124">
        <v>2.9134799999999998</v>
      </c>
      <c r="H15124" t="s">
        <v>75</v>
      </c>
      <c r="I15124">
        <v>2913.4789999999998</v>
      </c>
      <c r="J15124" t="s">
        <v>76</v>
      </c>
      <c r="K15124" t="s">
        <v>77</v>
      </c>
    </row>
    <row r="15125" spans="1:12" x14ac:dyDescent="0.3">
      <c r="A15125" t="s">
        <v>497</v>
      </c>
      <c r="B15125" t="s">
        <v>83</v>
      </c>
      <c r="C15125">
        <v>432</v>
      </c>
      <c r="D15125" t="s">
        <v>94</v>
      </c>
      <c r="E15125">
        <v>7.3179999999999999E-3</v>
      </c>
      <c r="F15125" t="s">
        <v>74</v>
      </c>
      <c r="G15125">
        <v>7.3178400000000003</v>
      </c>
      <c r="H15125" t="s">
        <v>75</v>
      </c>
      <c r="I15125">
        <v>7317.8370000000004</v>
      </c>
      <c r="J15125" t="s">
        <v>76</v>
      </c>
      <c r="K15125" t="s">
        <v>77</v>
      </c>
    </row>
    <row r="15126" spans="1:12" x14ac:dyDescent="0.3">
      <c r="A15126" t="s">
        <v>497</v>
      </c>
      <c r="B15126" t="s">
        <v>83</v>
      </c>
      <c r="C15126">
        <v>432</v>
      </c>
      <c r="D15126" t="s">
        <v>80</v>
      </c>
      <c r="E15126">
        <v>7.5170000000000002E-3</v>
      </c>
      <c r="F15126" t="s">
        <v>74</v>
      </c>
      <c r="G15126">
        <v>7.5174899999999996</v>
      </c>
      <c r="H15126" t="s">
        <v>75</v>
      </c>
      <c r="I15126">
        <v>7517.491</v>
      </c>
      <c r="J15126" t="s">
        <v>76</v>
      </c>
      <c r="K15126" t="s">
        <v>77</v>
      </c>
    </row>
    <row r="15127" spans="1:12" x14ac:dyDescent="0.3">
      <c r="A15127" t="s">
        <v>497</v>
      </c>
      <c r="B15127" t="s">
        <v>83</v>
      </c>
      <c r="C15127">
        <v>432</v>
      </c>
      <c r="D15127" t="s">
        <v>81</v>
      </c>
      <c r="E15127">
        <v>1.0432E-2</v>
      </c>
      <c r="F15127" t="s">
        <v>74</v>
      </c>
      <c r="G15127">
        <v>10.43154</v>
      </c>
      <c r="H15127" t="s">
        <v>75</v>
      </c>
      <c r="I15127">
        <v>10431.540999999999</v>
      </c>
      <c r="J15127" t="s">
        <v>76</v>
      </c>
      <c r="K15127" t="s">
        <v>82</v>
      </c>
      <c r="L15127">
        <v>95.863110500000005</v>
      </c>
    </row>
    <row r="15128" spans="1:12" x14ac:dyDescent="0.3">
      <c r="A15128" t="s">
        <v>497</v>
      </c>
      <c r="B15128" t="s">
        <v>84</v>
      </c>
      <c r="C15128">
        <v>433</v>
      </c>
      <c r="D15128" t="s">
        <v>79</v>
      </c>
      <c r="E15128">
        <v>2.9169999999999999E-3</v>
      </c>
      <c r="F15128" t="s">
        <v>74</v>
      </c>
      <c r="G15128">
        <v>2.9165199999999998</v>
      </c>
      <c r="H15128" t="s">
        <v>75</v>
      </c>
      <c r="I15128">
        <v>2916.5219999999999</v>
      </c>
      <c r="J15128" t="s">
        <v>76</v>
      </c>
      <c r="K15128" t="s">
        <v>77</v>
      </c>
    </row>
    <row r="15129" spans="1:12" x14ac:dyDescent="0.3">
      <c r="A15129" t="s">
        <v>497</v>
      </c>
      <c r="B15129" t="s">
        <v>84</v>
      </c>
      <c r="C15129">
        <v>433</v>
      </c>
      <c r="D15129" t="s">
        <v>94</v>
      </c>
      <c r="E15129">
        <v>7.3119999999999999E-3</v>
      </c>
      <c r="F15129" t="s">
        <v>74</v>
      </c>
      <c r="G15129">
        <v>7.3120700000000003</v>
      </c>
      <c r="H15129" t="s">
        <v>75</v>
      </c>
      <c r="I15129">
        <v>7312.0709999999999</v>
      </c>
      <c r="J15129" t="s">
        <v>76</v>
      </c>
      <c r="K15129" t="s">
        <v>77</v>
      </c>
    </row>
    <row r="15130" spans="1:12" x14ac:dyDescent="0.3">
      <c r="A15130" t="s">
        <v>497</v>
      </c>
      <c r="B15130" t="s">
        <v>84</v>
      </c>
      <c r="C15130">
        <v>433</v>
      </c>
      <c r="D15130" t="s">
        <v>80</v>
      </c>
      <c r="E15130">
        <v>7.5119999999999996E-3</v>
      </c>
      <c r="F15130" t="s">
        <v>74</v>
      </c>
      <c r="G15130">
        <v>7.51159</v>
      </c>
      <c r="H15130" t="s">
        <v>75</v>
      </c>
      <c r="I15130">
        <v>7511.59</v>
      </c>
      <c r="J15130" t="s">
        <v>76</v>
      </c>
      <c r="K15130" t="s">
        <v>77</v>
      </c>
    </row>
    <row r="15131" spans="1:12" x14ac:dyDescent="0.3">
      <c r="A15131" t="s">
        <v>497</v>
      </c>
      <c r="B15131" t="s">
        <v>84</v>
      </c>
      <c r="C15131">
        <v>433</v>
      </c>
      <c r="D15131" t="s">
        <v>81</v>
      </c>
      <c r="E15131">
        <v>1.0429000000000001E-2</v>
      </c>
      <c r="F15131" t="s">
        <v>74</v>
      </c>
      <c r="G15131">
        <v>10.42868</v>
      </c>
      <c r="H15131" t="s">
        <v>75</v>
      </c>
      <c r="I15131">
        <v>10428.683999999999</v>
      </c>
      <c r="J15131" t="s">
        <v>76</v>
      </c>
      <c r="K15131" t="s">
        <v>82</v>
      </c>
      <c r="L15131">
        <v>95.889374599999996</v>
      </c>
    </row>
    <row r="15132" spans="1:12" x14ac:dyDescent="0.3">
      <c r="A15132" t="s">
        <v>498</v>
      </c>
      <c r="B15132" t="s">
        <v>72</v>
      </c>
      <c r="C15132">
        <v>1</v>
      </c>
      <c r="D15132" t="s">
        <v>73</v>
      </c>
      <c r="E15132">
        <v>4.6E-5</v>
      </c>
      <c r="F15132" t="s">
        <v>74</v>
      </c>
      <c r="G15132">
        <v>4.6100000000000002E-2</v>
      </c>
      <c r="H15132" t="s">
        <v>75</v>
      </c>
      <c r="I15132">
        <v>46.1</v>
      </c>
      <c r="J15132" t="s">
        <v>76</v>
      </c>
      <c r="K15132" t="s">
        <v>77</v>
      </c>
    </row>
    <row r="15133" spans="1:12" x14ac:dyDescent="0.3">
      <c r="A15133" t="s">
        <v>498</v>
      </c>
      <c r="B15133" t="s">
        <v>72</v>
      </c>
      <c r="C15133">
        <v>1</v>
      </c>
      <c r="D15133" t="s">
        <v>78</v>
      </c>
      <c r="E15133">
        <v>1.25E-4</v>
      </c>
      <c r="F15133" t="s">
        <v>74</v>
      </c>
      <c r="G15133">
        <v>0.125</v>
      </c>
      <c r="H15133" t="s">
        <v>75</v>
      </c>
      <c r="I15133">
        <v>125</v>
      </c>
      <c r="J15133" t="s">
        <v>76</v>
      </c>
      <c r="K15133" t="s">
        <v>77</v>
      </c>
    </row>
    <row r="15134" spans="1:12" x14ac:dyDescent="0.3">
      <c r="A15134" t="s">
        <v>498</v>
      </c>
      <c r="B15134" t="s">
        <v>72</v>
      </c>
      <c r="C15134">
        <v>2</v>
      </c>
      <c r="D15134" t="s">
        <v>86</v>
      </c>
      <c r="E15134">
        <v>1.2513E-2</v>
      </c>
      <c r="F15134" t="s">
        <v>74</v>
      </c>
      <c r="G15134">
        <v>12.513299999999999</v>
      </c>
      <c r="H15134" t="s">
        <v>75</v>
      </c>
      <c r="I15134">
        <v>12513.3</v>
      </c>
      <c r="J15134" t="s">
        <v>76</v>
      </c>
      <c r="K15134" t="s">
        <v>82</v>
      </c>
      <c r="L15134">
        <v>79.914967899999994</v>
      </c>
    </row>
    <row r="15135" spans="1:12" x14ac:dyDescent="0.3">
      <c r="A15135" t="s">
        <v>498</v>
      </c>
      <c r="B15135" t="s">
        <v>83</v>
      </c>
      <c r="C15135">
        <v>999</v>
      </c>
      <c r="D15135" t="s">
        <v>86</v>
      </c>
      <c r="E15135">
        <v>4.5469999999999998E-3</v>
      </c>
      <c r="F15135" t="s">
        <v>74</v>
      </c>
      <c r="G15135">
        <v>4.54671</v>
      </c>
      <c r="H15135" t="s">
        <v>75</v>
      </c>
      <c r="I15135">
        <v>4546.7129999999997</v>
      </c>
      <c r="J15135" t="s">
        <v>76</v>
      </c>
      <c r="K15135" t="s">
        <v>82</v>
      </c>
      <c r="L15135">
        <v>219.93908719999999</v>
      </c>
    </row>
    <row r="15136" spans="1:12" x14ac:dyDescent="0.3">
      <c r="A15136" t="s">
        <v>498</v>
      </c>
      <c r="B15136" t="s">
        <v>85</v>
      </c>
      <c r="C15136">
        <v>1001</v>
      </c>
      <c r="D15136" t="s">
        <v>86</v>
      </c>
      <c r="E15136">
        <v>4.5519999999999996E-3</v>
      </c>
      <c r="F15136" t="s">
        <v>74</v>
      </c>
      <c r="G15136">
        <v>4.5523800000000003</v>
      </c>
      <c r="H15136" t="s">
        <v>75</v>
      </c>
      <c r="I15136">
        <v>4552.3789999999999</v>
      </c>
      <c r="J15136" t="s">
        <v>76</v>
      </c>
      <c r="K15136" t="s">
        <v>82</v>
      </c>
      <c r="L15136">
        <v>219.66538349999999</v>
      </c>
    </row>
    <row r="15137" spans="1:12" x14ac:dyDescent="0.3">
      <c r="A15137" t="s">
        <v>115</v>
      </c>
    </row>
    <row r="15138" spans="1:12" x14ac:dyDescent="0.3">
      <c r="A15138" t="s">
        <v>127</v>
      </c>
    </row>
    <row r="15139" spans="1:12" x14ac:dyDescent="0.3">
      <c r="A15139" t="s">
        <v>87</v>
      </c>
    </row>
    <row r="15140" spans="1:12" x14ac:dyDescent="0.3">
      <c r="A15140" t="s">
        <v>541</v>
      </c>
    </row>
    <row r="15141" spans="1:12" x14ac:dyDescent="0.3">
      <c r="A15141" t="s">
        <v>496</v>
      </c>
      <c r="B15141" t="s">
        <v>72</v>
      </c>
      <c r="C15141">
        <v>1</v>
      </c>
      <c r="D15141" t="s">
        <v>81</v>
      </c>
      <c r="E15141">
        <v>0.40780899999999998</v>
      </c>
      <c r="F15141" t="s">
        <v>74</v>
      </c>
      <c r="G15141">
        <v>407.80928999999998</v>
      </c>
      <c r="H15141" t="s">
        <v>75</v>
      </c>
      <c r="I15141">
        <v>407809.28700000001</v>
      </c>
      <c r="J15141" t="s">
        <v>76</v>
      </c>
      <c r="K15141" t="s">
        <v>82</v>
      </c>
      <c r="L15141">
        <v>2.4521266000000002</v>
      </c>
    </row>
    <row r="15142" spans="1:12" x14ac:dyDescent="0.3">
      <c r="A15142" t="s">
        <v>496</v>
      </c>
      <c r="B15142" t="s">
        <v>83</v>
      </c>
      <c r="C15142">
        <v>569</v>
      </c>
      <c r="D15142" t="s">
        <v>81</v>
      </c>
      <c r="E15142">
        <v>7.1170000000000001E-3</v>
      </c>
      <c r="F15142" t="s">
        <v>74</v>
      </c>
      <c r="G15142">
        <v>7.1165399999999996</v>
      </c>
      <c r="H15142" t="s">
        <v>75</v>
      </c>
      <c r="I15142">
        <v>7116.5360000000001</v>
      </c>
      <c r="J15142" t="s">
        <v>76</v>
      </c>
      <c r="K15142" t="s">
        <v>82</v>
      </c>
      <c r="L15142">
        <v>140.51779310000001</v>
      </c>
    </row>
    <row r="15143" spans="1:12" x14ac:dyDescent="0.3">
      <c r="A15143" t="s">
        <v>496</v>
      </c>
      <c r="B15143" t="s">
        <v>84</v>
      </c>
      <c r="C15143">
        <v>570</v>
      </c>
      <c r="D15143" t="s">
        <v>81</v>
      </c>
      <c r="E15143">
        <v>7.8200000000000006E-3</v>
      </c>
      <c r="F15143" t="s">
        <v>74</v>
      </c>
      <c r="G15143">
        <v>7.8195100000000002</v>
      </c>
      <c r="H15143" t="s">
        <v>75</v>
      </c>
      <c r="I15143">
        <v>7819.5050000000001</v>
      </c>
      <c r="J15143" t="s">
        <v>76</v>
      </c>
      <c r="K15143" t="s">
        <v>82</v>
      </c>
      <c r="L15143">
        <v>127.8853276</v>
      </c>
    </row>
    <row r="15144" spans="1:12" x14ac:dyDescent="0.3">
      <c r="A15144" t="s">
        <v>497</v>
      </c>
      <c r="B15144" t="s">
        <v>72</v>
      </c>
      <c r="C15144">
        <v>1</v>
      </c>
      <c r="D15144" t="s">
        <v>81</v>
      </c>
      <c r="E15144">
        <v>0.14754700000000001</v>
      </c>
      <c r="F15144" t="s">
        <v>74</v>
      </c>
      <c r="G15144">
        <v>147.54689999999999</v>
      </c>
      <c r="H15144" t="s">
        <v>75</v>
      </c>
      <c r="I15144">
        <v>147546.902</v>
      </c>
      <c r="J15144" t="s">
        <v>76</v>
      </c>
      <c r="K15144" t="s">
        <v>82</v>
      </c>
      <c r="L15144">
        <v>6.7775059000000004</v>
      </c>
    </row>
    <row r="15145" spans="1:12" x14ac:dyDescent="0.3">
      <c r="A15145" t="s">
        <v>497</v>
      </c>
      <c r="B15145" t="s">
        <v>83</v>
      </c>
      <c r="C15145">
        <v>430</v>
      </c>
      <c r="D15145" t="s">
        <v>81</v>
      </c>
      <c r="E15145">
        <v>9.9869999999999994E-3</v>
      </c>
      <c r="F15145" t="s">
        <v>74</v>
      </c>
      <c r="G15145">
        <v>9.9868900000000007</v>
      </c>
      <c r="H15145" t="s">
        <v>75</v>
      </c>
      <c r="I15145">
        <v>9986.8919999999998</v>
      </c>
      <c r="J15145" t="s">
        <v>76</v>
      </c>
      <c r="K15145" t="s">
        <v>82</v>
      </c>
      <c r="L15145">
        <v>100.1312535</v>
      </c>
    </row>
    <row r="15146" spans="1:12" x14ac:dyDescent="0.3">
      <c r="A15146" t="s">
        <v>497</v>
      </c>
      <c r="B15146" t="s">
        <v>84</v>
      </c>
      <c r="C15146">
        <v>431</v>
      </c>
      <c r="D15146" t="s">
        <v>81</v>
      </c>
      <c r="E15146">
        <v>1.0305999999999999E-2</v>
      </c>
      <c r="F15146" t="s">
        <v>74</v>
      </c>
      <c r="G15146">
        <v>10.30606</v>
      </c>
      <c r="H15146" t="s">
        <v>75</v>
      </c>
      <c r="I15146">
        <v>10306.055</v>
      </c>
      <c r="J15146" t="s">
        <v>76</v>
      </c>
      <c r="K15146" t="s">
        <v>82</v>
      </c>
      <c r="L15146">
        <v>97.0303361</v>
      </c>
    </row>
    <row r="15147" spans="1:12" x14ac:dyDescent="0.3">
      <c r="A15147" t="s">
        <v>498</v>
      </c>
      <c r="B15147" t="s">
        <v>72</v>
      </c>
      <c r="C15147">
        <v>2</v>
      </c>
      <c r="D15147" t="s">
        <v>86</v>
      </c>
      <c r="E15147">
        <v>0.20393</v>
      </c>
      <c r="F15147" t="s">
        <v>74</v>
      </c>
      <c r="G15147">
        <v>203.9299</v>
      </c>
      <c r="H15147" t="s">
        <v>75</v>
      </c>
      <c r="I15147">
        <v>203929.90100000001</v>
      </c>
      <c r="J15147" t="s">
        <v>76</v>
      </c>
      <c r="K15147" t="s">
        <v>82</v>
      </c>
      <c r="L15147">
        <v>4.9036457999999996</v>
      </c>
    </row>
    <row r="15148" spans="1:12" x14ac:dyDescent="0.3">
      <c r="A15148" t="s">
        <v>498</v>
      </c>
      <c r="B15148" t="s">
        <v>83</v>
      </c>
      <c r="C15148">
        <v>999</v>
      </c>
      <c r="D15148" t="s">
        <v>86</v>
      </c>
      <c r="E15148">
        <v>4.3249999999999999E-3</v>
      </c>
      <c r="F15148" t="s">
        <v>74</v>
      </c>
      <c r="G15148">
        <v>4.32538</v>
      </c>
      <c r="H15148" t="s">
        <v>75</v>
      </c>
      <c r="I15148">
        <v>4325.3779999999997</v>
      </c>
      <c r="J15148" t="s">
        <v>76</v>
      </c>
      <c r="K15148" t="s">
        <v>82</v>
      </c>
      <c r="L15148">
        <v>231.193645</v>
      </c>
    </row>
    <row r="15149" spans="1:12" x14ac:dyDescent="0.3">
      <c r="A15149" t="s">
        <v>498</v>
      </c>
      <c r="B15149" t="s">
        <v>85</v>
      </c>
      <c r="C15149">
        <v>1001</v>
      </c>
      <c r="D15149" t="s">
        <v>86</v>
      </c>
      <c r="E15149">
        <v>4.47E-3</v>
      </c>
      <c r="F15149" t="s">
        <v>74</v>
      </c>
      <c r="G15149">
        <v>4.4696100000000003</v>
      </c>
      <c r="H15149" t="s">
        <v>75</v>
      </c>
      <c r="I15149">
        <v>4469.607</v>
      </c>
      <c r="J15149" t="s">
        <v>76</v>
      </c>
      <c r="K15149" t="s">
        <v>82</v>
      </c>
      <c r="L15149">
        <v>223.7333338</v>
      </c>
    </row>
    <row r="15151" spans="1:12" x14ac:dyDescent="0.3">
      <c r="A15151" t="s">
        <v>542</v>
      </c>
    </row>
    <row r="15152" spans="1:12" x14ac:dyDescent="0.3">
      <c r="A15152" t="s">
        <v>496</v>
      </c>
      <c r="B15152" t="s">
        <v>72</v>
      </c>
      <c r="C15152">
        <v>1</v>
      </c>
      <c r="D15152" t="s">
        <v>81</v>
      </c>
      <c r="E15152">
        <v>2.5020000000000001E-2</v>
      </c>
      <c r="F15152" t="s">
        <v>74</v>
      </c>
      <c r="G15152">
        <v>25.02</v>
      </c>
      <c r="H15152" t="s">
        <v>75</v>
      </c>
      <c r="I15152">
        <v>25020</v>
      </c>
      <c r="J15152" t="s">
        <v>76</v>
      </c>
      <c r="K15152" t="s">
        <v>82</v>
      </c>
      <c r="L15152">
        <v>39.968026199999997</v>
      </c>
    </row>
    <row r="15153" spans="1:12" x14ac:dyDescent="0.3">
      <c r="A15153" t="s">
        <v>496</v>
      </c>
      <c r="B15153" t="s">
        <v>83</v>
      </c>
      <c r="C15153">
        <v>567</v>
      </c>
      <c r="D15153" t="s">
        <v>81</v>
      </c>
      <c r="E15153">
        <v>7.9760000000000005E-3</v>
      </c>
      <c r="F15153" t="s">
        <v>74</v>
      </c>
      <c r="G15153">
        <v>7.9759399999999996</v>
      </c>
      <c r="H15153" t="s">
        <v>75</v>
      </c>
      <c r="I15153">
        <v>7975.942</v>
      </c>
      <c r="J15153" t="s">
        <v>76</v>
      </c>
      <c r="K15153" t="s">
        <v>82</v>
      </c>
      <c r="L15153">
        <v>125.377033</v>
      </c>
    </row>
    <row r="15154" spans="1:12" x14ac:dyDescent="0.3">
      <c r="A15154" t="s">
        <v>496</v>
      </c>
      <c r="B15154" t="s">
        <v>84</v>
      </c>
      <c r="C15154">
        <v>568</v>
      </c>
      <c r="D15154" t="s">
        <v>81</v>
      </c>
      <c r="E15154">
        <v>8.0059999999999992E-3</v>
      </c>
      <c r="F15154" t="s">
        <v>74</v>
      </c>
      <c r="G15154">
        <v>8.0059500000000003</v>
      </c>
      <c r="H15154" t="s">
        <v>75</v>
      </c>
      <c r="I15154">
        <v>8005.9480000000003</v>
      </c>
      <c r="J15154" t="s">
        <v>76</v>
      </c>
      <c r="K15154" t="s">
        <v>82</v>
      </c>
      <c r="L15154">
        <v>124.9071295</v>
      </c>
    </row>
    <row r="15155" spans="1:12" x14ac:dyDescent="0.3">
      <c r="A15155" t="s">
        <v>497</v>
      </c>
      <c r="B15155" t="s">
        <v>72</v>
      </c>
      <c r="C15155">
        <v>1</v>
      </c>
      <c r="D15155" t="s">
        <v>81</v>
      </c>
      <c r="E15155">
        <v>9.1940000000000008E-3</v>
      </c>
      <c r="F15155" t="s">
        <v>74</v>
      </c>
      <c r="G15155">
        <v>9.1943999999999999</v>
      </c>
      <c r="H15155" t="s">
        <v>75</v>
      </c>
      <c r="I15155">
        <v>9194.4</v>
      </c>
      <c r="J15155" t="s">
        <v>76</v>
      </c>
      <c r="K15155" t="s">
        <v>82</v>
      </c>
      <c r="L15155">
        <v>108.7618531</v>
      </c>
    </row>
    <row r="15156" spans="1:12" x14ac:dyDescent="0.3">
      <c r="A15156" t="s">
        <v>497</v>
      </c>
      <c r="B15156" t="s">
        <v>83</v>
      </c>
      <c r="C15156">
        <v>432</v>
      </c>
      <c r="D15156" t="s">
        <v>81</v>
      </c>
      <c r="E15156">
        <v>1.0432E-2</v>
      </c>
      <c r="F15156" t="s">
        <v>74</v>
      </c>
      <c r="G15156">
        <v>10.43154</v>
      </c>
      <c r="H15156" t="s">
        <v>75</v>
      </c>
      <c r="I15156">
        <v>10431.540999999999</v>
      </c>
      <c r="J15156" t="s">
        <v>76</v>
      </c>
      <c r="K15156" t="s">
        <v>82</v>
      </c>
      <c r="L15156">
        <v>95.863110500000005</v>
      </c>
    </row>
    <row r="15157" spans="1:12" x14ac:dyDescent="0.3">
      <c r="A15157" t="s">
        <v>497</v>
      </c>
      <c r="B15157" t="s">
        <v>84</v>
      </c>
      <c r="C15157">
        <v>433</v>
      </c>
      <c r="D15157" t="s">
        <v>81</v>
      </c>
      <c r="E15157">
        <v>1.0429000000000001E-2</v>
      </c>
      <c r="F15157" t="s">
        <v>74</v>
      </c>
      <c r="G15157">
        <v>10.42868</v>
      </c>
      <c r="H15157" t="s">
        <v>75</v>
      </c>
      <c r="I15157">
        <v>10428.683999999999</v>
      </c>
      <c r="J15157" t="s">
        <v>76</v>
      </c>
      <c r="K15157" t="s">
        <v>82</v>
      </c>
      <c r="L15157">
        <v>95.889374599999996</v>
      </c>
    </row>
    <row r="15158" spans="1:12" x14ac:dyDescent="0.3">
      <c r="A15158" t="s">
        <v>498</v>
      </c>
      <c r="B15158" t="s">
        <v>72</v>
      </c>
      <c r="C15158">
        <v>2</v>
      </c>
      <c r="D15158" t="s">
        <v>86</v>
      </c>
      <c r="E15158">
        <v>1.2513E-2</v>
      </c>
      <c r="F15158" t="s">
        <v>74</v>
      </c>
      <c r="G15158">
        <v>12.513299999999999</v>
      </c>
      <c r="H15158" t="s">
        <v>75</v>
      </c>
      <c r="I15158">
        <v>12513.3</v>
      </c>
      <c r="J15158" t="s">
        <v>76</v>
      </c>
      <c r="K15158" t="s">
        <v>82</v>
      </c>
      <c r="L15158">
        <v>79.914967899999994</v>
      </c>
    </row>
    <row r="15159" spans="1:12" x14ac:dyDescent="0.3">
      <c r="A15159" t="s">
        <v>498</v>
      </c>
      <c r="B15159" t="s">
        <v>83</v>
      </c>
      <c r="C15159">
        <v>999</v>
      </c>
      <c r="D15159" t="s">
        <v>86</v>
      </c>
      <c r="E15159">
        <v>4.5469999999999998E-3</v>
      </c>
      <c r="F15159" t="s">
        <v>74</v>
      </c>
      <c r="G15159">
        <v>4.54671</v>
      </c>
      <c r="H15159" t="s">
        <v>75</v>
      </c>
      <c r="I15159">
        <v>4546.7129999999997</v>
      </c>
      <c r="J15159" t="s">
        <v>76</v>
      </c>
      <c r="K15159" t="s">
        <v>82</v>
      </c>
      <c r="L15159">
        <v>219.93908719999999</v>
      </c>
    </row>
    <row r="15160" spans="1:12" x14ac:dyDescent="0.3">
      <c r="A15160" t="s">
        <v>498</v>
      </c>
      <c r="B15160" t="s">
        <v>85</v>
      </c>
      <c r="C15160">
        <v>1001</v>
      </c>
      <c r="D15160" t="s">
        <v>86</v>
      </c>
      <c r="E15160">
        <v>4.5519999999999996E-3</v>
      </c>
      <c r="F15160" t="s">
        <v>74</v>
      </c>
      <c r="G15160">
        <v>4.5523800000000003</v>
      </c>
      <c r="H15160" t="s">
        <v>75</v>
      </c>
      <c r="I15160">
        <v>4552.3789999999999</v>
      </c>
      <c r="J15160" t="s">
        <v>76</v>
      </c>
      <c r="K15160" t="s">
        <v>82</v>
      </c>
      <c r="L15160">
        <v>219.66538349999999</v>
      </c>
    </row>
    <row r="15162" spans="1:12" x14ac:dyDescent="0.3">
      <c r="A15162" t="s">
        <v>66</v>
      </c>
    </row>
    <row r="15164" spans="1:12" x14ac:dyDescent="0.3">
      <c r="A15164" t="s">
        <v>589</v>
      </c>
    </row>
    <row r="15165" spans="1:12" x14ac:dyDescent="0.3">
      <c r="A15165" t="s">
        <v>68</v>
      </c>
    </row>
    <row r="15166" spans="1:12" x14ac:dyDescent="0.3">
      <c r="A15166" t="s">
        <v>69</v>
      </c>
    </row>
    <row r="15167" spans="1:12" x14ac:dyDescent="0.3">
      <c r="A15167" t="s">
        <v>68</v>
      </c>
    </row>
    <row r="15168" spans="1:12" x14ac:dyDescent="0.3">
      <c r="A15168" t="s">
        <v>69</v>
      </c>
    </row>
    <row r="15169" spans="1:1" x14ac:dyDescent="0.3">
      <c r="A15169" t="s">
        <v>70</v>
      </c>
    </row>
    <row r="15170" spans="1:1" x14ac:dyDescent="0.3">
      <c r="A15170" t="s">
        <v>115</v>
      </c>
    </row>
    <row r="15171" spans="1:1" x14ac:dyDescent="0.3">
      <c r="A15171" t="s">
        <v>116</v>
      </c>
    </row>
    <row r="15172" spans="1:1" x14ac:dyDescent="0.3">
      <c r="A15172" t="s">
        <v>117</v>
      </c>
    </row>
    <row r="15173" spans="1:1" x14ac:dyDescent="0.3">
      <c r="A15173" t="s">
        <v>118</v>
      </c>
    </row>
    <row r="15174" spans="1:1" x14ac:dyDescent="0.3">
      <c r="A15174" t="s">
        <v>119</v>
      </c>
    </row>
    <row r="15175" spans="1:1" x14ac:dyDescent="0.3">
      <c r="A15175" t="s">
        <v>120</v>
      </c>
    </row>
    <row r="15176" spans="1:1" x14ac:dyDescent="0.3">
      <c r="A15176" t="s">
        <v>121</v>
      </c>
    </row>
    <row r="15177" spans="1:1" x14ac:dyDescent="0.3">
      <c r="A15177" t="s">
        <v>122</v>
      </c>
    </row>
    <row r="15178" spans="1:1" x14ac:dyDescent="0.3">
      <c r="A15178" t="s">
        <v>123</v>
      </c>
    </row>
    <row r="15179" spans="1:1" x14ac:dyDescent="0.3">
      <c r="A15179" t="s">
        <v>124</v>
      </c>
    </row>
    <row r="15180" spans="1:1" x14ac:dyDescent="0.3">
      <c r="A15180" t="s">
        <v>125</v>
      </c>
    </row>
    <row r="15181" spans="1:1" x14ac:dyDescent="0.3">
      <c r="A15181" t="s">
        <v>126</v>
      </c>
    </row>
    <row r="15182" spans="1:1" x14ac:dyDescent="0.3">
      <c r="A15182" t="s">
        <v>127</v>
      </c>
    </row>
    <row r="15183" spans="1:1" x14ac:dyDescent="0.3">
      <c r="A15183" t="s">
        <v>192</v>
      </c>
    </row>
    <row r="15184" spans="1:1" x14ac:dyDescent="0.3">
      <c r="A15184" t="s">
        <v>115</v>
      </c>
    </row>
    <row r="15185" spans="1:11" x14ac:dyDescent="0.3">
      <c r="A15185" t="s">
        <v>266</v>
      </c>
    </row>
    <row r="15186" spans="1:11" x14ac:dyDescent="0.3">
      <c r="A15186" t="s">
        <v>267</v>
      </c>
    </row>
    <row r="15187" spans="1:11" x14ac:dyDescent="0.3">
      <c r="A15187" t="s">
        <v>118</v>
      </c>
    </row>
    <row r="15188" spans="1:11" x14ac:dyDescent="0.3">
      <c r="A15188" t="s">
        <v>119</v>
      </c>
    </row>
    <row r="15189" spans="1:11" x14ac:dyDescent="0.3">
      <c r="A15189" t="s">
        <v>268</v>
      </c>
    </row>
    <row r="15190" spans="1:11" x14ac:dyDescent="0.3">
      <c r="A15190" t="s">
        <v>269</v>
      </c>
    </row>
    <row r="15191" spans="1:11" x14ac:dyDescent="0.3">
      <c r="A15191" t="s">
        <v>122</v>
      </c>
    </row>
    <row r="15192" spans="1:11" x14ac:dyDescent="0.3">
      <c r="A15192" t="s">
        <v>270</v>
      </c>
    </row>
    <row r="15193" spans="1:11" x14ac:dyDescent="0.3">
      <c r="A15193" t="s">
        <v>271</v>
      </c>
    </row>
    <row r="15194" spans="1:11" x14ac:dyDescent="0.3">
      <c r="A15194" t="s">
        <v>125</v>
      </c>
    </row>
    <row r="15195" spans="1:11" x14ac:dyDescent="0.3">
      <c r="A15195" t="s">
        <v>126</v>
      </c>
    </row>
    <row r="15196" spans="1:11" x14ac:dyDescent="0.3">
      <c r="A15196" t="s">
        <v>127</v>
      </c>
    </row>
    <row r="15197" spans="1:11" x14ac:dyDescent="0.3">
      <c r="A15197" t="s">
        <v>192</v>
      </c>
    </row>
    <row r="15198" spans="1:11" x14ac:dyDescent="0.3">
      <c r="A15198" t="s">
        <v>544</v>
      </c>
    </row>
    <row r="15199" spans="1:11" x14ac:dyDescent="0.3">
      <c r="A15199" t="s">
        <v>496</v>
      </c>
      <c r="B15199" t="s">
        <v>72</v>
      </c>
      <c r="C15199">
        <v>1</v>
      </c>
      <c r="D15199" t="s">
        <v>79</v>
      </c>
      <c r="E15199">
        <v>0.31830799999999998</v>
      </c>
      <c r="F15199" t="s">
        <v>74</v>
      </c>
      <c r="G15199">
        <v>318.3082</v>
      </c>
      <c r="H15199" t="s">
        <v>75</v>
      </c>
      <c r="I15199">
        <v>318308.20400000003</v>
      </c>
      <c r="J15199" t="s">
        <v>76</v>
      </c>
      <c r="K15199" t="s">
        <v>77</v>
      </c>
    </row>
    <row r="15200" spans="1:11" x14ac:dyDescent="0.3">
      <c r="A15200" t="s">
        <v>496</v>
      </c>
      <c r="B15200" t="s">
        <v>72</v>
      </c>
      <c r="C15200">
        <v>1</v>
      </c>
      <c r="D15200" t="s">
        <v>94</v>
      </c>
      <c r="E15200">
        <v>1.5191E-2</v>
      </c>
      <c r="F15200" t="s">
        <v>74</v>
      </c>
      <c r="G15200">
        <v>15.1914</v>
      </c>
      <c r="H15200" t="s">
        <v>75</v>
      </c>
      <c r="I15200">
        <v>15191.4</v>
      </c>
      <c r="J15200" t="s">
        <v>76</v>
      </c>
      <c r="K15200" t="s">
        <v>77</v>
      </c>
    </row>
    <row r="15201" spans="1:12" x14ac:dyDescent="0.3">
      <c r="A15201" t="s">
        <v>496</v>
      </c>
      <c r="B15201" t="s">
        <v>72</v>
      </c>
      <c r="C15201">
        <v>1</v>
      </c>
      <c r="D15201" t="s">
        <v>80</v>
      </c>
      <c r="E15201">
        <v>1.5192000000000001E-2</v>
      </c>
      <c r="F15201" t="s">
        <v>74</v>
      </c>
      <c r="G15201">
        <v>15.192</v>
      </c>
      <c r="H15201" t="s">
        <v>75</v>
      </c>
      <c r="I15201">
        <v>15192</v>
      </c>
      <c r="J15201" t="s">
        <v>76</v>
      </c>
      <c r="K15201" t="s">
        <v>77</v>
      </c>
    </row>
    <row r="15202" spans="1:12" x14ac:dyDescent="0.3">
      <c r="A15202" t="s">
        <v>496</v>
      </c>
      <c r="B15202" t="s">
        <v>72</v>
      </c>
      <c r="C15202">
        <v>1</v>
      </c>
      <c r="D15202" t="s">
        <v>81</v>
      </c>
      <c r="E15202">
        <v>0.33350099999999999</v>
      </c>
      <c r="F15202" t="s">
        <v>74</v>
      </c>
      <c r="G15202">
        <v>333.50049999999999</v>
      </c>
      <c r="H15202" t="s">
        <v>75</v>
      </c>
      <c r="I15202">
        <v>333500.50400000002</v>
      </c>
      <c r="J15202" t="s">
        <v>76</v>
      </c>
      <c r="K15202" t="s">
        <v>82</v>
      </c>
      <c r="L15202">
        <v>2.9984961999999999</v>
      </c>
    </row>
    <row r="15203" spans="1:12" x14ac:dyDescent="0.3">
      <c r="A15203" t="s">
        <v>496</v>
      </c>
      <c r="B15203" t="s">
        <v>83</v>
      </c>
      <c r="C15203">
        <v>403</v>
      </c>
      <c r="D15203" t="s">
        <v>79</v>
      </c>
      <c r="E15203">
        <v>3.6649999999999999E-3</v>
      </c>
      <c r="F15203" t="s">
        <v>74</v>
      </c>
      <c r="G15203">
        <v>3.6651500000000001</v>
      </c>
      <c r="H15203" t="s">
        <v>75</v>
      </c>
      <c r="I15203">
        <v>3665.152</v>
      </c>
      <c r="J15203" t="s">
        <v>76</v>
      </c>
      <c r="K15203" t="s">
        <v>77</v>
      </c>
    </row>
    <row r="15204" spans="1:12" x14ac:dyDescent="0.3">
      <c r="A15204" t="s">
        <v>496</v>
      </c>
      <c r="B15204" t="s">
        <v>83</v>
      </c>
      <c r="C15204">
        <v>403</v>
      </c>
      <c r="D15204" t="s">
        <v>94</v>
      </c>
      <c r="E15204">
        <v>7.5900000000000004E-3</v>
      </c>
      <c r="F15204" t="s">
        <v>74</v>
      </c>
      <c r="G15204">
        <v>7.5902900000000004</v>
      </c>
      <c r="H15204" t="s">
        <v>75</v>
      </c>
      <c r="I15204">
        <v>7590.2929999999997</v>
      </c>
      <c r="J15204" t="s">
        <v>76</v>
      </c>
      <c r="K15204" t="s">
        <v>77</v>
      </c>
    </row>
    <row r="15205" spans="1:12" x14ac:dyDescent="0.3">
      <c r="A15205" t="s">
        <v>496</v>
      </c>
      <c r="B15205" t="s">
        <v>83</v>
      </c>
      <c r="C15205">
        <v>403</v>
      </c>
      <c r="D15205" t="s">
        <v>80</v>
      </c>
      <c r="E15205">
        <v>7.7520000000000002E-3</v>
      </c>
      <c r="F15205" t="s">
        <v>74</v>
      </c>
      <c r="G15205">
        <v>7.75169</v>
      </c>
      <c r="H15205" t="s">
        <v>75</v>
      </c>
      <c r="I15205">
        <v>7751.6859999999997</v>
      </c>
      <c r="J15205" t="s">
        <v>76</v>
      </c>
      <c r="K15205" t="s">
        <v>77</v>
      </c>
    </row>
    <row r="15206" spans="1:12" x14ac:dyDescent="0.3">
      <c r="A15206" t="s">
        <v>496</v>
      </c>
      <c r="B15206" t="s">
        <v>83</v>
      </c>
      <c r="C15206">
        <v>403</v>
      </c>
      <c r="D15206" t="s">
        <v>81</v>
      </c>
      <c r="E15206">
        <v>1.1417E-2</v>
      </c>
      <c r="F15206" t="s">
        <v>74</v>
      </c>
      <c r="G15206">
        <v>11.417070000000001</v>
      </c>
      <c r="H15206" t="s">
        <v>75</v>
      </c>
      <c r="I15206">
        <v>11417.066000000001</v>
      </c>
      <c r="J15206" t="s">
        <v>76</v>
      </c>
      <c r="K15206" t="s">
        <v>82</v>
      </c>
      <c r="L15206">
        <v>87.588177999999999</v>
      </c>
    </row>
    <row r="15207" spans="1:12" x14ac:dyDescent="0.3">
      <c r="A15207" t="s">
        <v>496</v>
      </c>
      <c r="B15207" t="s">
        <v>84</v>
      </c>
      <c r="C15207">
        <v>404</v>
      </c>
      <c r="D15207" t="s">
        <v>79</v>
      </c>
      <c r="E15207">
        <v>4.444E-3</v>
      </c>
      <c r="F15207" t="s">
        <v>74</v>
      </c>
      <c r="G15207">
        <v>4.4439700000000002</v>
      </c>
      <c r="H15207" t="s">
        <v>75</v>
      </c>
      <c r="I15207">
        <v>4443.9709999999995</v>
      </c>
      <c r="J15207" t="s">
        <v>76</v>
      </c>
      <c r="K15207" t="s">
        <v>77</v>
      </c>
    </row>
    <row r="15208" spans="1:12" x14ac:dyDescent="0.3">
      <c r="A15208" t="s">
        <v>496</v>
      </c>
      <c r="B15208" t="s">
        <v>84</v>
      </c>
      <c r="C15208">
        <v>404</v>
      </c>
      <c r="D15208" t="s">
        <v>94</v>
      </c>
      <c r="E15208">
        <v>7.6090000000000003E-3</v>
      </c>
      <c r="F15208" t="s">
        <v>74</v>
      </c>
      <c r="G15208">
        <v>7.6091100000000003</v>
      </c>
      <c r="H15208" t="s">
        <v>75</v>
      </c>
      <c r="I15208">
        <v>7609.107</v>
      </c>
      <c r="J15208" t="s">
        <v>76</v>
      </c>
      <c r="K15208" t="s">
        <v>77</v>
      </c>
    </row>
    <row r="15209" spans="1:12" x14ac:dyDescent="0.3">
      <c r="A15209" t="s">
        <v>496</v>
      </c>
      <c r="B15209" t="s">
        <v>84</v>
      </c>
      <c r="C15209">
        <v>404</v>
      </c>
      <c r="D15209" t="s">
        <v>80</v>
      </c>
      <c r="E15209">
        <v>7.77E-3</v>
      </c>
      <c r="F15209" t="s">
        <v>74</v>
      </c>
      <c r="G15209">
        <v>7.7701000000000002</v>
      </c>
      <c r="H15209" t="s">
        <v>75</v>
      </c>
      <c r="I15209">
        <v>7770.1030000000001</v>
      </c>
      <c r="J15209" t="s">
        <v>76</v>
      </c>
      <c r="K15209" t="s">
        <v>77</v>
      </c>
    </row>
    <row r="15210" spans="1:12" x14ac:dyDescent="0.3">
      <c r="A15210" t="s">
        <v>496</v>
      </c>
      <c r="B15210" t="s">
        <v>84</v>
      </c>
      <c r="C15210">
        <v>404</v>
      </c>
      <c r="D15210" t="s">
        <v>81</v>
      </c>
      <c r="E15210">
        <v>1.2213999999999999E-2</v>
      </c>
      <c r="F15210" t="s">
        <v>74</v>
      </c>
      <c r="G15210">
        <v>12.2143</v>
      </c>
      <c r="H15210" t="s">
        <v>75</v>
      </c>
      <c r="I15210">
        <v>12214.300999999999</v>
      </c>
      <c r="J15210" t="s">
        <v>76</v>
      </c>
      <c r="K15210" t="s">
        <v>82</v>
      </c>
      <c r="L15210">
        <v>81.871244899999994</v>
      </c>
    </row>
    <row r="15211" spans="1:12" x14ac:dyDescent="0.3">
      <c r="A15211" t="s">
        <v>497</v>
      </c>
      <c r="B15211" t="s">
        <v>72</v>
      </c>
      <c r="C15211">
        <v>1</v>
      </c>
      <c r="D15211" t="s">
        <v>79</v>
      </c>
      <c r="E15211">
        <v>0.11235000000000001</v>
      </c>
      <c r="F15211" t="s">
        <v>74</v>
      </c>
      <c r="G15211">
        <v>112.3497</v>
      </c>
      <c r="H15211" t="s">
        <v>75</v>
      </c>
      <c r="I15211">
        <v>112349.696</v>
      </c>
      <c r="J15211" t="s">
        <v>76</v>
      </c>
      <c r="K15211" t="s">
        <v>77</v>
      </c>
    </row>
    <row r="15212" spans="1:12" x14ac:dyDescent="0.3">
      <c r="A15212" t="s">
        <v>497</v>
      </c>
      <c r="B15212" t="s">
        <v>72</v>
      </c>
      <c r="C15212">
        <v>1</v>
      </c>
      <c r="D15212" t="s">
        <v>94</v>
      </c>
      <c r="E15212">
        <v>9.6489999999999996E-3</v>
      </c>
      <c r="F15212" t="s">
        <v>74</v>
      </c>
      <c r="G15212">
        <v>9.6491000000000007</v>
      </c>
      <c r="H15212" t="s">
        <v>75</v>
      </c>
      <c r="I15212">
        <v>9649.1</v>
      </c>
      <c r="J15212" t="s">
        <v>76</v>
      </c>
      <c r="K15212" t="s">
        <v>77</v>
      </c>
    </row>
    <row r="15213" spans="1:12" x14ac:dyDescent="0.3">
      <c r="A15213" t="s">
        <v>497</v>
      </c>
      <c r="B15213" t="s">
        <v>72</v>
      </c>
      <c r="C15213">
        <v>1</v>
      </c>
      <c r="D15213" t="s">
        <v>80</v>
      </c>
      <c r="E15213">
        <v>9.6500000000000006E-3</v>
      </c>
      <c r="F15213" t="s">
        <v>74</v>
      </c>
      <c r="G15213">
        <v>9.6501999999999999</v>
      </c>
      <c r="H15213" t="s">
        <v>75</v>
      </c>
      <c r="I15213">
        <v>9650.2000000000007</v>
      </c>
      <c r="J15213" t="s">
        <v>76</v>
      </c>
      <c r="K15213" t="s">
        <v>77</v>
      </c>
    </row>
    <row r="15214" spans="1:12" x14ac:dyDescent="0.3">
      <c r="A15214" t="s">
        <v>497</v>
      </c>
      <c r="B15214" t="s">
        <v>72</v>
      </c>
      <c r="C15214">
        <v>1</v>
      </c>
      <c r="D15214" t="s">
        <v>81</v>
      </c>
      <c r="E15214">
        <v>0.122001</v>
      </c>
      <c r="F15214" t="s">
        <v>74</v>
      </c>
      <c r="G15214">
        <v>122.00069999999999</v>
      </c>
      <c r="H15214" t="s">
        <v>75</v>
      </c>
      <c r="I15214">
        <v>122000.702</v>
      </c>
      <c r="J15214" t="s">
        <v>76</v>
      </c>
      <c r="K15214" t="s">
        <v>82</v>
      </c>
      <c r="L15214">
        <v>8.1966742000000004</v>
      </c>
    </row>
    <row r="15215" spans="1:12" x14ac:dyDescent="0.3">
      <c r="A15215" t="s">
        <v>497</v>
      </c>
      <c r="B15215" t="s">
        <v>83</v>
      </c>
      <c r="C15215">
        <v>596</v>
      </c>
      <c r="D15215" t="s">
        <v>79</v>
      </c>
      <c r="E15215">
        <v>2.7810000000000001E-3</v>
      </c>
      <c r="F15215" t="s">
        <v>74</v>
      </c>
      <c r="G15215">
        <v>2.7808700000000002</v>
      </c>
      <c r="H15215" t="s">
        <v>75</v>
      </c>
      <c r="I15215">
        <v>2780.8670000000002</v>
      </c>
      <c r="J15215" t="s">
        <v>76</v>
      </c>
      <c r="K15215" t="s">
        <v>77</v>
      </c>
    </row>
    <row r="15216" spans="1:12" x14ac:dyDescent="0.3">
      <c r="A15216" t="s">
        <v>497</v>
      </c>
      <c r="B15216" t="s">
        <v>83</v>
      </c>
      <c r="C15216">
        <v>596</v>
      </c>
      <c r="D15216" t="s">
        <v>94</v>
      </c>
      <c r="E15216">
        <v>5.0740000000000004E-3</v>
      </c>
      <c r="F15216" t="s">
        <v>74</v>
      </c>
      <c r="G15216">
        <v>5.0735299999999999</v>
      </c>
      <c r="H15216" t="s">
        <v>75</v>
      </c>
      <c r="I15216">
        <v>5073.5330000000004</v>
      </c>
      <c r="J15216" t="s">
        <v>76</v>
      </c>
      <c r="K15216" t="s">
        <v>77</v>
      </c>
    </row>
    <row r="15217" spans="1:12" x14ac:dyDescent="0.3">
      <c r="A15217" t="s">
        <v>497</v>
      </c>
      <c r="B15217" t="s">
        <v>83</v>
      </c>
      <c r="C15217">
        <v>596</v>
      </c>
      <c r="D15217" t="s">
        <v>80</v>
      </c>
      <c r="E15217">
        <v>5.2550000000000001E-3</v>
      </c>
      <c r="F15217" t="s">
        <v>74</v>
      </c>
      <c r="G15217">
        <v>5.2547600000000001</v>
      </c>
      <c r="H15217" t="s">
        <v>75</v>
      </c>
      <c r="I15217">
        <v>5254.7550000000001</v>
      </c>
      <c r="J15217" t="s">
        <v>76</v>
      </c>
      <c r="K15217" t="s">
        <v>77</v>
      </c>
    </row>
    <row r="15218" spans="1:12" x14ac:dyDescent="0.3">
      <c r="A15218" t="s">
        <v>497</v>
      </c>
      <c r="B15218" t="s">
        <v>83</v>
      </c>
      <c r="C15218">
        <v>596</v>
      </c>
      <c r="D15218" t="s">
        <v>81</v>
      </c>
      <c r="E15218">
        <v>8.0359999999999997E-3</v>
      </c>
      <c r="F15218" t="s">
        <v>74</v>
      </c>
      <c r="G15218">
        <v>8.0358699999999992</v>
      </c>
      <c r="H15218" t="s">
        <v>75</v>
      </c>
      <c r="I15218">
        <v>8035.8670000000002</v>
      </c>
      <c r="J15218" t="s">
        <v>76</v>
      </c>
      <c r="K15218" t="s">
        <v>82</v>
      </c>
      <c r="L15218">
        <v>124.4420794</v>
      </c>
    </row>
    <row r="15219" spans="1:12" x14ac:dyDescent="0.3">
      <c r="A15219" t="s">
        <v>497</v>
      </c>
      <c r="B15219" t="s">
        <v>84</v>
      </c>
      <c r="C15219">
        <v>597</v>
      </c>
      <c r="D15219" t="s">
        <v>79</v>
      </c>
      <c r="E15219">
        <v>2.9640000000000001E-3</v>
      </c>
      <c r="F15219" t="s">
        <v>74</v>
      </c>
      <c r="G15219">
        <v>2.9643999999999999</v>
      </c>
      <c r="H15219" t="s">
        <v>75</v>
      </c>
      <c r="I15219">
        <v>2964.3989999999999</v>
      </c>
      <c r="J15219" t="s">
        <v>76</v>
      </c>
      <c r="K15219" t="s">
        <v>77</v>
      </c>
    </row>
    <row r="15220" spans="1:12" x14ac:dyDescent="0.3">
      <c r="A15220" t="s">
        <v>497</v>
      </c>
      <c r="B15220" t="s">
        <v>84</v>
      </c>
      <c r="C15220">
        <v>597</v>
      </c>
      <c r="D15220" t="s">
        <v>94</v>
      </c>
      <c r="E15220">
        <v>5.0809999999999996E-3</v>
      </c>
      <c r="F15220" t="s">
        <v>74</v>
      </c>
      <c r="G15220">
        <v>5.0811999999999999</v>
      </c>
      <c r="H15220" t="s">
        <v>75</v>
      </c>
      <c r="I15220">
        <v>5081.1980000000003</v>
      </c>
      <c r="J15220" t="s">
        <v>76</v>
      </c>
      <c r="K15220" t="s">
        <v>77</v>
      </c>
    </row>
    <row r="15221" spans="1:12" x14ac:dyDescent="0.3">
      <c r="A15221" t="s">
        <v>497</v>
      </c>
      <c r="B15221" t="s">
        <v>84</v>
      </c>
      <c r="C15221">
        <v>597</v>
      </c>
      <c r="D15221" t="s">
        <v>80</v>
      </c>
      <c r="E15221">
        <v>5.2620000000000002E-3</v>
      </c>
      <c r="F15221" t="s">
        <v>74</v>
      </c>
      <c r="G15221">
        <v>5.2621200000000004</v>
      </c>
      <c r="H15221" t="s">
        <v>75</v>
      </c>
      <c r="I15221">
        <v>5262.1180000000004</v>
      </c>
      <c r="J15221" t="s">
        <v>76</v>
      </c>
      <c r="K15221" t="s">
        <v>77</v>
      </c>
    </row>
    <row r="15222" spans="1:12" x14ac:dyDescent="0.3">
      <c r="A15222" t="s">
        <v>497</v>
      </c>
      <c r="B15222" t="s">
        <v>84</v>
      </c>
      <c r="C15222">
        <v>597</v>
      </c>
      <c r="D15222" t="s">
        <v>81</v>
      </c>
      <c r="E15222">
        <v>8.2269999999999999E-3</v>
      </c>
      <c r="F15222" t="s">
        <v>74</v>
      </c>
      <c r="G15222">
        <v>8.2267600000000005</v>
      </c>
      <c r="H15222" t="s">
        <v>75</v>
      </c>
      <c r="I15222">
        <v>8226.7639999999992</v>
      </c>
      <c r="J15222" t="s">
        <v>76</v>
      </c>
      <c r="K15222" t="s">
        <v>82</v>
      </c>
      <c r="L15222">
        <v>121.5544707</v>
      </c>
    </row>
    <row r="15223" spans="1:12" x14ac:dyDescent="0.3">
      <c r="A15223" t="s">
        <v>498</v>
      </c>
      <c r="B15223" t="s">
        <v>72</v>
      </c>
      <c r="C15223">
        <v>1</v>
      </c>
      <c r="D15223" t="s">
        <v>73</v>
      </c>
      <c r="E15223">
        <v>4.6E-5</v>
      </c>
      <c r="F15223" t="s">
        <v>74</v>
      </c>
      <c r="G15223">
        <v>4.58E-2</v>
      </c>
      <c r="H15223" t="s">
        <v>75</v>
      </c>
      <c r="I15223">
        <v>45.8</v>
      </c>
      <c r="J15223" t="s">
        <v>76</v>
      </c>
      <c r="K15223" t="s">
        <v>77</v>
      </c>
    </row>
    <row r="15224" spans="1:12" x14ac:dyDescent="0.3">
      <c r="A15224" t="s">
        <v>498</v>
      </c>
      <c r="B15224" t="s">
        <v>72</v>
      </c>
      <c r="C15224">
        <v>1</v>
      </c>
      <c r="D15224" t="s">
        <v>78</v>
      </c>
      <c r="E15224">
        <v>0.13744500000000001</v>
      </c>
      <c r="F15224" t="s">
        <v>74</v>
      </c>
      <c r="G15224">
        <v>137.44460000000001</v>
      </c>
      <c r="H15224" t="s">
        <v>75</v>
      </c>
      <c r="I15224">
        <v>137444.6</v>
      </c>
      <c r="J15224" t="s">
        <v>76</v>
      </c>
      <c r="K15224" t="s">
        <v>77</v>
      </c>
    </row>
    <row r="15225" spans="1:12" x14ac:dyDescent="0.3">
      <c r="A15225" t="s">
        <v>498</v>
      </c>
      <c r="B15225" t="s">
        <v>72</v>
      </c>
      <c r="C15225">
        <v>2</v>
      </c>
      <c r="D15225" t="s">
        <v>86</v>
      </c>
      <c r="E15225">
        <v>0.16677500000000001</v>
      </c>
      <c r="F15225" t="s">
        <v>74</v>
      </c>
      <c r="G15225">
        <v>166.77475000000001</v>
      </c>
      <c r="H15225" t="s">
        <v>75</v>
      </c>
      <c r="I15225">
        <v>166774.75</v>
      </c>
      <c r="J15225" t="s">
        <v>76</v>
      </c>
      <c r="K15225" t="s">
        <v>82</v>
      </c>
      <c r="L15225">
        <v>5.9961114999999996</v>
      </c>
    </row>
    <row r="15226" spans="1:12" x14ac:dyDescent="0.3">
      <c r="A15226" t="s">
        <v>498</v>
      </c>
      <c r="B15226" t="s">
        <v>83</v>
      </c>
      <c r="C15226">
        <v>999</v>
      </c>
      <c r="D15226" t="s">
        <v>86</v>
      </c>
      <c r="E15226">
        <v>4.8219999999999999E-3</v>
      </c>
      <c r="F15226" t="s">
        <v>74</v>
      </c>
      <c r="G15226">
        <v>4.82247</v>
      </c>
      <c r="H15226" t="s">
        <v>75</v>
      </c>
      <c r="I15226">
        <v>4822.4719999999998</v>
      </c>
      <c r="J15226" t="s">
        <v>76</v>
      </c>
      <c r="K15226" t="s">
        <v>82</v>
      </c>
      <c r="L15226">
        <v>207.36251759999999</v>
      </c>
    </row>
    <row r="15227" spans="1:12" x14ac:dyDescent="0.3">
      <c r="A15227" t="s">
        <v>498</v>
      </c>
      <c r="B15227" t="s">
        <v>85</v>
      </c>
      <c r="C15227">
        <v>1001</v>
      </c>
      <c r="D15227" t="s">
        <v>86</v>
      </c>
      <c r="E15227">
        <v>4.9410000000000001E-3</v>
      </c>
      <c r="F15227" t="s">
        <v>74</v>
      </c>
      <c r="G15227">
        <v>4.94055</v>
      </c>
      <c r="H15227" t="s">
        <v>75</v>
      </c>
      <c r="I15227">
        <v>4940.5510000000004</v>
      </c>
      <c r="J15227" t="s">
        <v>76</v>
      </c>
      <c r="K15227" t="s">
        <v>82</v>
      </c>
      <c r="L15227">
        <v>202.40658339999999</v>
      </c>
    </row>
    <row r="15228" spans="1:12" x14ac:dyDescent="0.3">
      <c r="A15228" t="s">
        <v>194</v>
      </c>
    </row>
    <row r="15229" spans="1:12" x14ac:dyDescent="0.3">
      <c r="A15229" t="s">
        <v>194</v>
      </c>
    </row>
    <row r="15230" spans="1:12" x14ac:dyDescent="0.3">
      <c r="A15230" t="s">
        <v>545</v>
      </c>
    </row>
    <row r="15231" spans="1:12" x14ac:dyDescent="0.3">
      <c r="A15231" t="s">
        <v>496</v>
      </c>
      <c r="B15231" t="s">
        <v>72</v>
      </c>
      <c r="C15231">
        <v>1</v>
      </c>
      <c r="D15231" t="s">
        <v>79</v>
      </c>
      <c r="E15231">
        <v>7.6090000000000003E-3</v>
      </c>
      <c r="F15231" t="s">
        <v>74</v>
      </c>
      <c r="G15231">
        <v>7.6092000000000004</v>
      </c>
      <c r="H15231" t="s">
        <v>75</v>
      </c>
      <c r="I15231">
        <v>7609.2</v>
      </c>
      <c r="J15231" t="s">
        <v>76</v>
      </c>
      <c r="K15231" t="s">
        <v>77</v>
      </c>
    </row>
    <row r="15232" spans="1:12" x14ac:dyDescent="0.3">
      <c r="A15232" t="s">
        <v>496</v>
      </c>
      <c r="B15232" t="s">
        <v>72</v>
      </c>
      <c r="C15232">
        <v>1</v>
      </c>
      <c r="D15232" t="s">
        <v>94</v>
      </c>
      <c r="E15232">
        <v>1.8069999999999999E-2</v>
      </c>
      <c r="F15232" t="s">
        <v>74</v>
      </c>
      <c r="G15232">
        <v>18.069500000000001</v>
      </c>
      <c r="H15232" t="s">
        <v>75</v>
      </c>
      <c r="I15232">
        <v>18069.5</v>
      </c>
      <c r="J15232" t="s">
        <v>76</v>
      </c>
      <c r="K15232" t="s">
        <v>77</v>
      </c>
    </row>
    <row r="15233" spans="1:12" x14ac:dyDescent="0.3">
      <c r="A15233" t="s">
        <v>496</v>
      </c>
      <c r="B15233" t="s">
        <v>72</v>
      </c>
      <c r="C15233">
        <v>1</v>
      </c>
      <c r="D15233" t="s">
        <v>80</v>
      </c>
      <c r="E15233">
        <v>1.8246999999999999E-2</v>
      </c>
      <c r="F15233" t="s">
        <v>74</v>
      </c>
      <c r="G15233">
        <v>18.247</v>
      </c>
      <c r="H15233" t="s">
        <v>75</v>
      </c>
      <c r="I15233">
        <v>18247.001</v>
      </c>
      <c r="J15233" t="s">
        <v>76</v>
      </c>
      <c r="K15233" t="s">
        <v>77</v>
      </c>
    </row>
    <row r="15234" spans="1:12" x14ac:dyDescent="0.3">
      <c r="A15234" t="s">
        <v>496</v>
      </c>
      <c r="B15234" t="s">
        <v>72</v>
      </c>
      <c r="C15234">
        <v>1</v>
      </c>
      <c r="D15234" t="s">
        <v>81</v>
      </c>
      <c r="E15234">
        <v>2.5857000000000002E-2</v>
      </c>
      <c r="F15234" t="s">
        <v>74</v>
      </c>
      <c r="G15234">
        <v>25.857199999999999</v>
      </c>
      <c r="H15234" t="s">
        <v>75</v>
      </c>
      <c r="I15234">
        <v>25857.201000000001</v>
      </c>
      <c r="J15234" t="s">
        <v>76</v>
      </c>
      <c r="K15234" t="s">
        <v>82</v>
      </c>
      <c r="L15234">
        <v>38.673946399999998</v>
      </c>
    </row>
    <row r="15235" spans="1:12" x14ac:dyDescent="0.3">
      <c r="A15235" t="s">
        <v>496</v>
      </c>
      <c r="B15235" t="s">
        <v>83</v>
      </c>
      <c r="C15235">
        <v>470</v>
      </c>
      <c r="D15235" t="s">
        <v>79</v>
      </c>
      <c r="E15235">
        <v>4.1929999999999997E-3</v>
      </c>
      <c r="F15235" t="s">
        <v>74</v>
      </c>
      <c r="G15235">
        <v>4.1932099999999997</v>
      </c>
      <c r="H15235" t="s">
        <v>75</v>
      </c>
      <c r="I15235">
        <v>4193.2089999999998</v>
      </c>
      <c r="J15235" t="s">
        <v>76</v>
      </c>
      <c r="K15235" t="s">
        <v>77</v>
      </c>
    </row>
    <row r="15236" spans="1:12" x14ac:dyDescent="0.3">
      <c r="A15236" t="s">
        <v>496</v>
      </c>
      <c r="B15236" t="s">
        <v>83</v>
      </c>
      <c r="C15236">
        <v>470</v>
      </c>
      <c r="D15236" t="s">
        <v>94</v>
      </c>
      <c r="E15236">
        <v>6.7260000000000002E-3</v>
      </c>
      <c r="F15236" t="s">
        <v>74</v>
      </c>
      <c r="G15236">
        <v>6.7262199999999996</v>
      </c>
      <c r="H15236" t="s">
        <v>75</v>
      </c>
      <c r="I15236">
        <v>6726.2160000000003</v>
      </c>
      <c r="J15236" t="s">
        <v>76</v>
      </c>
      <c r="K15236" t="s">
        <v>77</v>
      </c>
    </row>
    <row r="15237" spans="1:12" x14ac:dyDescent="0.3">
      <c r="A15237" t="s">
        <v>496</v>
      </c>
      <c r="B15237" t="s">
        <v>83</v>
      </c>
      <c r="C15237">
        <v>470</v>
      </c>
      <c r="D15237" t="s">
        <v>80</v>
      </c>
      <c r="E15237">
        <v>6.8960000000000002E-3</v>
      </c>
      <c r="F15237" t="s">
        <v>74</v>
      </c>
      <c r="G15237">
        <v>6.8955599999999997</v>
      </c>
      <c r="H15237" t="s">
        <v>75</v>
      </c>
      <c r="I15237">
        <v>6895.5619999999999</v>
      </c>
      <c r="J15237" t="s">
        <v>76</v>
      </c>
      <c r="K15237" t="s">
        <v>77</v>
      </c>
    </row>
    <row r="15238" spans="1:12" x14ac:dyDescent="0.3">
      <c r="A15238" t="s">
        <v>496</v>
      </c>
      <c r="B15238" t="s">
        <v>83</v>
      </c>
      <c r="C15238">
        <v>470</v>
      </c>
      <c r="D15238" t="s">
        <v>81</v>
      </c>
      <c r="E15238">
        <v>1.1089E-2</v>
      </c>
      <c r="F15238" t="s">
        <v>74</v>
      </c>
      <c r="G15238">
        <v>11.089079999999999</v>
      </c>
      <c r="H15238" t="s">
        <v>75</v>
      </c>
      <c r="I15238">
        <v>11089.078</v>
      </c>
      <c r="J15238" t="s">
        <v>76</v>
      </c>
      <c r="K15238" t="s">
        <v>82</v>
      </c>
      <c r="L15238">
        <v>90.178819399999995</v>
      </c>
    </row>
    <row r="15239" spans="1:12" x14ac:dyDescent="0.3">
      <c r="A15239" t="s">
        <v>496</v>
      </c>
      <c r="B15239" t="s">
        <v>84</v>
      </c>
      <c r="C15239">
        <v>471</v>
      </c>
      <c r="D15239" t="s">
        <v>79</v>
      </c>
      <c r="E15239">
        <v>4.1999999999999997E-3</v>
      </c>
      <c r="F15239" t="s">
        <v>74</v>
      </c>
      <c r="G15239">
        <v>4.2004599999999996</v>
      </c>
      <c r="H15239" t="s">
        <v>75</v>
      </c>
      <c r="I15239">
        <v>4200.4610000000002</v>
      </c>
      <c r="J15239" t="s">
        <v>76</v>
      </c>
      <c r="K15239" t="s">
        <v>77</v>
      </c>
    </row>
    <row r="15240" spans="1:12" x14ac:dyDescent="0.3">
      <c r="A15240" t="s">
        <v>496</v>
      </c>
      <c r="B15240" t="s">
        <v>84</v>
      </c>
      <c r="C15240">
        <v>471</v>
      </c>
      <c r="D15240" t="s">
        <v>94</v>
      </c>
      <c r="E15240">
        <v>6.7499999999999999E-3</v>
      </c>
      <c r="F15240" t="s">
        <v>74</v>
      </c>
      <c r="G15240">
        <v>6.7503000000000002</v>
      </c>
      <c r="H15240" t="s">
        <v>75</v>
      </c>
      <c r="I15240">
        <v>6750.3</v>
      </c>
      <c r="J15240" t="s">
        <v>76</v>
      </c>
      <c r="K15240" t="s">
        <v>77</v>
      </c>
    </row>
    <row r="15241" spans="1:12" x14ac:dyDescent="0.3">
      <c r="A15241" t="s">
        <v>496</v>
      </c>
      <c r="B15241" t="s">
        <v>84</v>
      </c>
      <c r="C15241">
        <v>471</v>
      </c>
      <c r="D15241" t="s">
        <v>80</v>
      </c>
      <c r="E15241">
        <v>6.9199999999999999E-3</v>
      </c>
      <c r="F15241" t="s">
        <v>74</v>
      </c>
      <c r="G15241">
        <v>6.9196600000000004</v>
      </c>
      <c r="H15241" t="s">
        <v>75</v>
      </c>
      <c r="I15241">
        <v>6919.6629999999996</v>
      </c>
      <c r="J15241" t="s">
        <v>76</v>
      </c>
      <c r="K15241" t="s">
        <v>77</v>
      </c>
    </row>
    <row r="15242" spans="1:12" x14ac:dyDescent="0.3">
      <c r="A15242" t="s">
        <v>496</v>
      </c>
      <c r="B15242" t="s">
        <v>84</v>
      </c>
      <c r="C15242">
        <v>471</v>
      </c>
      <c r="D15242" t="s">
        <v>81</v>
      </c>
      <c r="E15242">
        <v>1.112E-2</v>
      </c>
      <c r="F15242" t="s">
        <v>74</v>
      </c>
      <c r="G15242">
        <v>11.120430000000001</v>
      </c>
      <c r="H15242" t="s">
        <v>75</v>
      </c>
      <c r="I15242">
        <v>11120.434999999999</v>
      </c>
      <c r="J15242" t="s">
        <v>76</v>
      </c>
      <c r="K15242" t="s">
        <v>82</v>
      </c>
      <c r="L15242">
        <v>89.924541599999998</v>
      </c>
    </row>
    <row r="15243" spans="1:12" x14ac:dyDescent="0.3">
      <c r="A15243" t="s">
        <v>497</v>
      </c>
      <c r="B15243" t="s">
        <v>72</v>
      </c>
      <c r="C15243">
        <v>1</v>
      </c>
      <c r="D15243" t="s">
        <v>79</v>
      </c>
      <c r="E15243">
        <v>5.1859999999999996E-3</v>
      </c>
      <c r="F15243" t="s">
        <v>74</v>
      </c>
      <c r="G15243">
        <v>5.1860999999999997</v>
      </c>
      <c r="H15243" t="s">
        <v>75</v>
      </c>
      <c r="I15243">
        <v>5186.1000000000004</v>
      </c>
      <c r="J15243" t="s">
        <v>76</v>
      </c>
      <c r="K15243" t="s">
        <v>77</v>
      </c>
    </row>
    <row r="15244" spans="1:12" x14ac:dyDescent="0.3">
      <c r="A15244" t="s">
        <v>497</v>
      </c>
      <c r="B15244" t="s">
        <v>72</v>
      </c>
      <c r="C15244">
        <v>1</v>
      </c>
      <c r="D15244" t="s">
        <v>94</v>
      </c>
      <c r="E15244">
        <v>4.241E-3</v>
      </c>
      <c r="F15244" t="s">
        <v>74</v>
      </c>
      <c r="G15244">
        <v>4.2409999999999997</v>
      </c>
      <c r="H15244" t="s">
        <v>75</v>
      </c>
      <c r="I15244">
        <v>4241</v>
      </c>
      <c r="J15244" t="s">
        <v>76</v>
      </c>
      <c r="K15244" t="s">
        <v>77</v>
      </c>
    </row>
    <row r="15245" spans="1:12" x14ac:dyDescent="0.3">
      <c r="A15245" t="s">
        <v>497</v>
      </c>
      <c r="B15245" t="s">
        <v>72</v>
      </c>
      <c r="C15245">
        <v>1</v>
      </c>
      <c r="D15245" t="s">
        <v>80</v>
      </c>
      <c r="E15245">
        <v>4.3860000000000001E-3</v>
      </c>
      <c r="F15245" t="s">
        <v>74</v>
      </c>
      <c r="G15245">
        <v>4.3857999999999997</v>
      </c>
      <c r="H15245" t="s">
        <v>75</v>
      </c>
      <c r="I15245">
        <v>4385.8</v>
      </c>
      <c r="J15245" t="s">
        <v>76</v>
      </c>
      <c r="K15245" t="s">
        <v>77</v>
      </c>
    </row>
    <row r="15246" spans="1:12" x14ac:dyDescent="0.3">
      <c r="A15246" t="s">
        <v>497</v>
      </c>
      <c r="B15246" t="s">
        <v>72</v>
      </c>
      <c r="C15246">
        <v>1</v>
      </c>
      <c r="D15246" t="s">
        <v>81</v>
      </c>
      <c r="E15246">
        <v>9.5720000000000006E-3</v>
      </c>
      <c r="F15246" t="s">
        <v>74</v>
      </c>
      <c r="G15246">
        <v>9.5723000000000003</v>
      </c>
      <c r="H15246" t="s">
        <v>75</v>
      </c>
      <c r="I15246">
        <v>9572.2999999999993</v>
      </c>
      <c r="J15246" t="s">
        <v>76</v>
      </c>
      <c r="K15246" t="s">
        <v>82</v>
      </c>
      <c r="L15246">
        <v>104.46809930000001</v>
      </c>
    </row>
    <row r="15247" spans="1:12" x14ac:dyDescent="0.3">
      <c r="A15247" t="s">
        <v>497</v>
      </c>
      <c r="B15247" t="s">
        <v>83</v>
      </c>
      <c r="C15247">
        <v>529</v>
      </c>
      <c r="D15247" t="s">
        <v>79</v>
      </c>
      <c r="E15247">
        <v>3.48E-3</v>
      </c>
      <c r="F15247" t="s">
        <v>74</v>
      </c>
      <c r="G15247">
        <v>3.47967</v>
      </c>
      <c r="H15247" t="s">
        <v>75</v>
      </c>
      <c r="I15247">
        <v>3479.6680000000001</v>
      </c>
      <c r="J15247" t="s">
        <v>76</v>
      </c>
      <c r="K15247" t="s">
        <v>77</v>
      </c>
    </row>
    <row r="15248" spans="1:12" x14ac:dyDescent="0.3">
      <c r="A15248" t="s">
        <v>497</v>
      </c>
      <c r="B15248" t="s">
        <v>83</v>
      </c>
      <c r="C15248">
        <v>529</v>
      </c>
      <c r="D15248" t="s">
        <v>94</v>
      </c>
      <c r="E15248">
        <v>6.1549999999999999E-3</v>
      </c>
      <c r="F15248" t="s">
        <v>74</v>
      </c>
      <c r="G15248">
        <v>6.15503</v>
      </c>
      <c r="H15248" t="s">
        <v>75</v>
      </c>
      <c r="I15248">
        <v>6155.0349999999999</v>
      </c>
      <c r="J15248" t="s">
        <v>76</v>
      </c>
      <c r="K15248" t="s">
        <v>77</v>
      </c>
    </row>
    <row r="15249" spans="1:12" x14ac:dyDescent="0.3">
      <c r="A15249" t="s">
        <v>497</v>
      </c>
      <c r="B15249" t="s">
        <v>83</v>
      </c>
      <c r="C15249">
        <v>529</v>
      </c>
      <c r="D15249" t="s">
        <v>80</v>
      </c>
      <c r="E15249">
        <v>6.3400000000000001E-3</v>
      </c>
      <c r="F15249" t="s">
        <v>74</v>
      </c>
      <c r="G15249">
        <v>6.3396400000000002</v>
      </c>
      <c r="H15249" t="s">
        <v>75</v>
      </c>
      <c r="I15249">
        <v>6339.6419999999998</v>
      </c>
      <c r="J15249" t="s">
        <v>76</v>
      </c>
      <c r="K15249" t="s">
        <v>77</v>
      </c>
    </row>
    <row r="15250" spans="1:12" x14ac:dyDescent="0.3">
      <c r="A15250" t="s">
        <v>497</v>
      </c>
      <c r="B15250" t="s">
        <v>83</v>
      </c>
      <c r="C15250">
        <v>529</v>
      </c>
      <c r="D15250" t="s">
        <v>81</v>
      </c>
      <c r="E15250">
        <v>9.8200000000000006E-3</v>
      </c>
      <c r="F15250" t="s">
        <v>74</v>
      </c>
      <c r="G15250">
        <v>9.8196399999999997</v>
      </c>
      <c r="H15250" t="s">
        <v>75</v>
      </c>
      <c r="I15250">
        <v>9819.643</v>
      </c>
      <c r="J15250" t="s">
        <v>76</v>
      </c>
      <c r="K15250" t="s">
        <v>82</v>
      </c>
      <c r="L15250">
        <v>101.83669810000001</v>
      </c>
    </row>
    <row r="15251" spans="1:12" x14ac:dyDescent="0.3">
      <c r="A15251" t="s">
        <v>497</v>
      </c>
      <c r="B15251" t="s">
        <v>84</v>
      </c>
      <c r="C15251">
        <v>530</v>
      </c>
      <c r="D15251" t="s">
        <v>79</v>
      </c>
      <c r="E15251">
        <v>3.483E-3</v>
      </c>
      <c r="F15251" t="s">
        <v>74</v>
      </c>
      <c r="G15251">
        <v>3.4828899999999998</v>
      </c>
      <c r="H15251" t="s">
        <v>75</v>
      </c>
      <c r="I15251">
        <v>3482.8879999999999</v>
      </c>
      <c r="J15251" t="s">
        <v>76</v>
      </c>
      <c r="K15251" t="s">
        <v>77</v>
      </c>
    </row>
    <row r="15252" spans="1:12" x14ac:dyDescent="0.3">
      <c r="A15252" t="s">
        <v>497</v>
      </c>
      <c r="B15252" t="s">
        <v>84</v>
      </c>
      <c r="C15252">
        <v>530</v>
      </c>
      <c r="D15252" t="s">
        <v>94</v>
      </c>
      <c r="E15252">
        <v>6.1510000000000002E-3</v>
      </c>
      <c r="F15252" t="s">
        <v>74</v>
      </c>
      <c r="G15252">
        <v>6.1514199999999999</v>
      </c>
      <c r="H15252" t="s">
        <v>75</v>
      </c>
      <c r="I15252">
        <v>6151.4229999999998</v>
      </c>
      <c r="J15252" t="s">
        <v>76</v>
      </c>
      <c r="K15252" t="s">
        <v>77</v>
      </c>
    </row>
    <row r="15253" spans="1:12" x14ac:dyDescent="0.3">
      <c r="A15253" t="s">
        <v>497</v>
      </c>
      <c r="B15253" t="s">
        <v>84</v>
      </c>
      <c r="C15253">
        <v>530</v>
      </c>
      <c r="D15253" t="s">
        <v>80</v>
      </c>
      <c r="E15253">
        <v>6.3359999999999996E-3</v>
      </c>
      <c r="F15253" t="s">
        <v>74</v>
      </c>
      <c r="G15253">
        <v>6.33596</v>
      </c>
      <c r="H15253" t="s">
        <v>75</v>
      </c>
      <c r="I15253">
        <v>6335.9560000000001</v>
      </c>
      <c r="J15253" t="s">
        <v>76</v>
      </c>
      <c r="K15253" t="s">
        <v>77</v>
      </c>
    </row>
    <row r="15254" spans="1:12" x14ac:dyDescent="0.3">
      <c r="A15254" t="s">
        <v>497</v>
      </c>
      <c r="B15254" t="s">
        <v>84</v>
      </c>
      <c r="C15254">
        <v>530</v>
      </c>
      <c r="D15254" t="s">
        <v>81</v>
      </c>
      <c r="E15254">
        <v>9.8189999999999996E-3</v>
      </c>
      <c r="F15254" t="s">
        <v>74</v>
      </c>
      <c r="G15254">
        <v>9.8191799999999994</v>
      </c>
      <c r="H15254" t="s">
        <v>75</v>
      </c>
      <c r="I15254">
        <v>9819.1769999999997</v>
      </c>
      <c r="J15254" t="s">
        <v>76</v>
      </c>
      <c r="K15254" t="s">
        <v>82</v>
      </c>
      <c r="L15254">
        <v>101.8415341</v>
      </c>
    </row>
    <row r="15255" spans="1:12" x14ac:dyDescent="0.3">
      <c r="A15255" t="s">
        <v>498</v>
      </c>
      <c r="B15255" t="s">
        <v>72</v>
      </c>
      <c r="C15255">
        <v>1</v>
      </c>
      <c r="D15255" t="s">
        <v>73</v>
      </c>
      <c r="E15255">
        <v>4.6E-5</v>
      </c>
      <c r="F15255" t="s">
        <v>74</v>
      </c>
      <c r="G15255">
        <v>4.58E-2</v>
      </c>
      <c r="H15255" t="s">
        <v>75</v>
      </c>
      <c r="I15255">
        <v>45.8</v>
      </c>
      <c r="J15255" t="s">
        <v>76</v>
      </c>
      <c r="K15255" t="s">
        <v>77</v>
      </c>
    </row>
    <row r="15256" spans="1:12" x14ac:dyDescent="0.3">
      <c r="A15256" t="s">
        <v>498</v>
      </c>
      <c r="B15256" t="s">
        <v>72</v>
      </c>
      <c r="C15256">
        <v>1</v>
      </c>
      <c r="D15256" t="s">
        <v>78</v>
      </c>
      <c r="E15256">
        <v>1.37E-4</v>
      </c>
      <c r="F15256" t="s">
        <v>74</v>
      </c>
      <c r="G15256">
        <v>0.13730000000000001</v>
      </c>
      <c r="H15256" t="s">
        <v>75</v>
      </c>
      <c r="I15256">
        <v>137.30000000000001</v>
      </c>
      <c r="J15256" t="s">
        <v>76</v>
      </c>
      <c r="K15256" t="s">
        <v>77</v>
      </c>
    </row>
    <row r="15257" spans="1:12" x14ac:dyDescent="0.3">
      <c r="A15257" t="s">
        <v>498</v>
      </c>
      <c r="B15257" t="s">
        <v>72</v>
      </c>
      <c r="C15257">
        <v>2</v>
      </c>
      <c r="D15257" t="s">
        <v>86</v>
      </c>
      <c r="E15257">
        <v>1.2931E-2</v>
      </c>
      <c r="F15257" t="s">
        <v>74</v>
      </c>
      <c r="G15257">
        <v>12.93145</v>
      </c>
      <c r="H15257" t="s">
        <v>75</v>
      </c>
      <c r="I15257">
        <v>12931.45</v>
      </c>
      <c r="J15257" t="s">
        <v>76</v>
      </c>
      <c r="K15257" t="s">
        <v>82</v>
      </c>
      <c r="L15257">
        <v>77.330846800000003</v>
      </c>
    </row>
    <row r="15258" spans="1:12" x14ac:dyDescent="0.3">
      <c r="A15258" t="s">
        <v>498</v>
      </c>
      <c r="B15258" t="s">
        <v>83</v>
      </c>
      <c r="C15258">
        <v>999</v>
      </c>
      <c r="D15258" t="s">
        <v>86</v>
      </c>
      <c r="E15258">
        <v>5.2490000000000002E-3</v>
      </c>
      <c r="F15258" t="s">
        <v>74</v>
      </c>
      <c r="G15258">
        <v>5.2490600000000001</v>
      </c>
      <c r="H15258" t="s">
        <v>75</v>
      </c>
      <c r="I15258">
        <v>5249.06</v>
      </c>
      <c r="J15258" t="s">
        <v>76</v>
      </c>
      <c r="K15258" t="s">
        <v>82</v>
      </c>
      <c r="L15258">
        <v>190.51031130000001</v>
      </c>
    </row>
    <row r="15259" spans="1:12" x14ac:dyDescent="0.3">
      <c r="A15259" t="s">
        <v>498</v>
      </c>
      <c r="B15259" t="s">
        <v>85</v>
      </c>
      <c r="C15259">
        <v>1001</v>
      </c>
      <c r="D15259" t="s">
        <v>86</v>
      </c>
      <c r="E15259">
        <v>5.254E-3</v>
      </c>
      <c r="F15259" t="s">
        <v>74</v>
      </c>
      <c r="G15259">
        <v>5.2541500000000001</v>
      </c>
      <c r="H15259" t="s">
        <v>75</v>
      </c>
      <c r="I15259">
        <v>5254.15</v>
      </c>
      <c r="J15259" t="s">
        <v>76</v>
      </c>
      <c r="K15259" t="s">
        <v>82</v>
      </c>
      <c r="L15259">
        <v>190.3257586</v>
      </c>
    </row>
    <row r="15260" spans="1:12" x14ac:dyDescent="0.3">
      <c r="A15260" t="s">
        <v>115</v>
      </c>
    </row>
    <row r="15261" spans="1:12" x14ac:dyDescent="0.3">
      <c r="A15261" t="s">
        <v>127</v>
      </c>
    </row>
    <row r="15262" spans="1:12" x14ac:dyDescent="0.3">
      <c r="A15262" t="s">
        <v>87</v>
      </c>
    </row>
    <row r="15263" spans="1:12" x14ac:dyDescent="0.3">
      <c r="A15263" t="s">
        <v>546</v>
      </c>
    </row>
    <row r="15264" spans="1:12" x14ac:dyDescent="0.3">
      <c r="A15264" t="s">
        <v>496</v>
      </c>
      <c r="B15264" t="s">
        <v>72</v>
      </c>
      <c r="C15264">
        <v>1</v>
      </c>
      <c r="D15264" t="s">
        <v>81</v>
      </c>
      <c r="E15264">
        <v>0.33350099999999999</v>
      </c>
      <c r="F15264" t="s">
        <v>74</v>
      </c>
      <c r="G15264">
        <v>333.50049999999999</v>
      </c>
      <c r="H15264" t="s">
        <v>75</v>
      </c>
      <c r="I15264">
        <v>333500.50400000002</v>
      </c>
      <c r="J15264" t="s">
        <v>76</v>
      </c>
      <c r="K15264" t="s">
        <v>82</v>
      </c>
      <c r="L15264">
        <v>2.9984961999999999</v>
      </c>
    </row>
    <row r="15265" spans="1:12" x14ac:dyDescent="0.3">
      <c r="A15265" t="s">
        <v>496</v>
      </c>
      <c r="B15265" t="s">
        <v>83</v>
      </c>
      <c r="C15265">
        <v>403</v>
      </c>
      <c r="D15265" t="s">
        <v>81</v>
      </c>
      <c r="E15265">
        <v>1.1417E-2</v>
      </c>
      <c r="F15265" t="s">
        <v>74</v>
      </c>
      <c r="G15265">
        <v>11.417070000000001</v>
      </c>
      <c r="H15265" t="s">
        <v>75</v>
      </c>
      <c r="I15265">
        <v>11417.066000000001</v>
      </c>
      <c r="J15265" t="s">
        <v>76</v>
      </c>
      <c r="K15265" t="s">
        <v>82</v>
      </c>
      <c r="L15265">
        <v>87.588177999999999</v>
      </c>
    </row>
    <row r="15266" spans="1:12" x14ac:dyDescent="0.3">
      <c r="A15266" t="s">
        <v>496</v>
      </c>
      <c r="B15266" t="s">
        <v>84</v>
      </c>
      <c r="C15266">
        <v>404</v>
      </c>
      <c r="D15266" t="s">
        <v>81</v>
      </c>
      <c r="E15266">
        <v>1.2213999999999999E-2</v>
      </c>
      <c r="F15266" t="s">
        <v>74</v>
      </c>
      <c r="G15266">
        <v>12.2143</v>
      </c>
      <c r="H15266" t="s">
        <v>75</v>
      </c>
      <c r="I15266">
        <v>12214.300999999999</v>
      </c>
      <c r="J15266" t="s">
        <v>76</v>
      </c>
      <c r="K15266" t="s">
        <v>82</v>
      </c>
      <c r="L15266">
        <v>81.871244899999994</v>
      </c>
    </row>
    <row r="15267" spans="1:12" x14ac:dyDescent="0.3">
      <c r="A15267" t="s">
        <v>497</v>
      </c>
      <c r="B15267" t="s">
        <v>72</v>
      </c>
      <c r="C15267">
        <v>1</v>
      </c>
      <c r="D15267" t="s">
        <v>81</v>
      </c>
      <c r="E15267">
        <v>0.122001</v>
      </c>
      <c r="F15267" t="s">
        <v>74</v>
      </c>
      <c r="G15267">
        <v>122.00069999999999</v>
      </c>
      <c r="H15267" t="s">
        <v>75</v>
      </c>
      <c r="I15267">
        <v>122000.702</v>
      </c>
      <c r="J15267" t="s">
        <v>76</v>
      </c>
      <c r="K15267" t="s">
        <v>82</v>
      </c>
      <c r="L15267">
        <v>8.1966742000000004</v>
      </c>
    </row>
    <row r="15268" spans="1:12" x14ac:dyDescent="0.3">
      <c r="A15268" t="s">
        <v>497</v>
      </c>
      <c r="B15268" t="s">
        <v>83</v>
      </c>
      <c r="C15268">
        <v>596</v>
      </c>
      <c r="D15268" t="s">
        <v>81</v>
      </c>
      <c r="E15268">
        <v>8.0359999999999997E-3</v>
      </c>
      <c r="F15268" t="s">
        <v>74</v>
      </c>
      <c r="G15268">
        <v>8.0358699999999992</v>
      </c>
      <c r="H15268" t="s">
        <v>75</v>
      </c>
      <c r="I15268">
        <v>8035.8670000000002</v>
      </c>
      <c r="J15268" t="s">
        <v>76</v>
      </c>
      <c r="K15268" t="s">
        <v>82</v>
      </c>
      <c r="L15268">
        <v>124.4420794</v>
      </c>
    </row>
    <row r="15269" spans="1:12" x14ac:dyDescent="0.3">
      <c r="A15269" t="s">
        <v>497</v>
      </c>
      <c r="B15269" t="s">
        <v>84</v>
      </c>
      <c r="C15269">
        <v>597</v>
      </c>
      <c r="D15269" t="s">
        <v>81</v>
      </c>
      <c r="E15269">
        <v>8.2269999999999999E-3</v>
      </c>
      <c r="F15269" t="s">
        <v>74</v>
      </c>
      <c r="G15269">
        <v>8.2267600000000005</v>
      </c>
      <c r="H15269" t="s">
        <v>75</v>
      </c>
      <c r="I15269">
        <v>8226.7639999999992</v>
      </c>
      <c r="J15269" t="s">
        <v>76</v>
      </c>
      <c r="K15269" t="s">
        <v>82</v>
      </c>
      <c r="L15269">
        <v>121.5544707</v>
      </c>
    </row>
    <row r="15270" spans="1:12" x14ac:dyDescent="0.3">
      <c r="A15270" t="s">
        <v>498</v>
      </c>
      <c r="B15270" t="s">
        <v>72</v>
      </c>
      <c r="C15270">
        <v>2</v>
      </c>
      <c r="D15270" t="s">
        <v>86</v>
      </c>
      <c r="E15270">
        <v>0.16677500000000001</v>
      </c>
      <c r="F15270" t="s">
        <v>74</v>
      </c>
      <c r="G15270">
        <v>166.77475000000001</v>
      </c>
      <c r="H15270" t="s">
        <v>75</v>
      </c>
      <c r="I15270">
        <v>166774.75</v>
      </c>
      <c r="J15270" t="s">
        <v>76</v>
      </c>
      <c r="K15270" t="s">
        <v>82</v>
      </c>
      <c r="L15270">
        <v>5.9961114999999996</v>
      </c>
    </row>
    <row r="15271" spans="1:12" x14ac:dyDescent="0.3">
      <c r="A15271" t="s">
        <v>498</v>
      </c>
      <c r="B15271" t="s">
        <v>83</v>
      </c>
      <c r="C15271">
        <v>999</v>
      </c>
      <c r="D15271" t="s">
        <v>86</v>
      </c>
      <c r="E15271">
        <v>4.8219999999999999E-3</v>
      </c>
      <c r="F15271" t="s">
        <v>74</v>
      </c>
      <c r="G15271">
        <v>4.82247</v>
      </c>
      <c r="H15271" t="s">
        <v>75</v>
      </c>
      <c r="I15271">
        <v>4822.4719999999998</v>
      </c>
      <c r="J15271" t="s">
        <v>76</v>
      </c>
      <c r="K15271" t="s">
        <v>82</v>
      </c>
      <c r="L15271">
        <v>207.36251759999999</v>
      </c>
    </row>
    <row r="15272" spans="1:12" x14ac:dyDescent="0.3">
      <c r="A15272" t="s">
        <v>498</v>
      </c>
      <c r="B15272" t="s">
        <v>85</v>
      </c>
      <c r="C15272">
        <v>1001</v>
      </c>
      <c r="D15272" t="s">
        <v>86</v>
      </c>
      <c r="E15272">
        <v>4.9410000000000001E-3</v>
      </c>
      <c r="F15272" t="s">
        <v>74</v>
      </c>
      <c r="G15272">
        <v>4.94055</v>
      </c>
      <c r="H15272" t="s">
        <v>75</v>
      </c>
      <c r="I15272">
        <v>4940.5510000000004</v>
      </c>
      <c r="J15272" t="s">
        <v>76</v>
      </c>
      <c r="K15272" t="s">
        <v>82</v>
      </c>
      <c r="L15272">
        <v>202.40658339999999</v>
      </c>
    </row>
    <row r="15274" spans="1:12" x14ac:dyDescent="0.3">
      <c r="A15274" t="s">
        <v>547</v>
      </c>
    </row>
    <row r="15275" spans="1:12" x14ac:dyDescent="0.3">
      <c r="A15275" t="s">
        <v>496</v>
      </c>
      <c r="B15275" t="s">
        <v>72</v>
      </c>
      <c r="C15275">
        <v>1</v>
      </c>
      <c r="D15275" t="s">
        <v>81</v>
      </c>
      <c r="E15275">
        <v>2.5857000000000002E-2</v>
      </c>
      <c r="F15275" t="s">
        <v>74</v>
      </c>
      <c r="G15275">
        <v>25.857199999999999</v>
      </c>
      <c r="H15275" t="s">
        <v>75</v>
      </c>
      <c r="I15275">
        <v>25857.201000000001</v>
      </c>
      <c r="J15275" t="s">
        <v>76</v>
      </c>
      <c r="K15275" t="s">
        <v>82</v>
      </c>
      <c r="L15275">
        <v>38.673946399999998</v>
      </c>
    </row>
    <row r="15276" spans="1:12" x14ac:dyDescent="0.3">
      <c r="A15276" t="s">
        <v>496</v>
      </c>
      <c r="B15276" t="s">
        <v>83</v>
      </c>
      <c r="C15276">
        <v>470</v>
      </c>
      <c r="D15276" t="s">
        <v>81</v>
      </c>
      <c r="E15276">
        <v>1.1089E-2</v>
      </c>
      <c r="F15276" t="s">
        <v>74</v>
      </c>
      <c r="G15276">
        <v>11.089079999999999</v>
      </c>
      <c r="H15276" t="s">
        <v>75</v>
      </c>
      <c r="I15276">
        <v>11089.078</v>
      </c>
      <c r="J15276" t="s">
        <v>76</v>
      </c>
      <c r="K15276" t="s">
        <v>82</v>
      </c>
      <c r="L15276">
        <v>90.178819399999995</v>
      </c>
    </row>
    <row r="15277" spans="1:12" x14ac:dyDescent="0.3">
      <c r="A15277" t="s">
        <v>496</v>
      </c>
      <c r="B15277" t="s">
        <v>84</v>
      </c>
      <c r="C15277">
        <v>471</v>
      </c>
      <c r="D15277" t="s">
        <v>81</v>
      </c>
      <c r="E15277">
        <v>1.112E-2</v>
      </c>
      <c r="F15277" t="s">
        <v>74</v>
      </c>
      <c r="G15277">
        <v>11.120430000000001</v>
      </c>
      <c r="H15277" t="s">
        <v>75</v>
      </c>
      <c r="I15277">
        <v>11120.434999999999</v>
      </c>
      <c r="J15277" t="s">
        <v>76</v>
      </c>
      <c r="K15277" t="s">
        <v>82</v>
      </c>
      <c r="L15277">
        <v>89.924541599999998</v>
      </c>
    </row>
    <row r="15278" spans="1:12" x14ac:dyDescent="0.3">
      <c r="A15278" t="s">
        <v>497</v>
      </c>
      <c r="B15278" t="s">
        <v>72</v>
      </c>
      <c r="C15278">
        <v>1</v>
      </c>
      <c r="D15278" t="s">
        <v>81</v>
      </c>
      <c r="E15278">
        <v>9.5720000000000006E-3</v>
      </c>
      <c r="F15278" t="s">
        <v>74</v>
      </c>
      <c r="G15278">
        <v>9.5723000000000003</v>
      </c>
      <c r="H15278" t="s">
        <v>75</v>
      </c>
      <c r="I15278">
        <v>9572.2999999999993</v>
      </c>
      <c r="J15278" t="s">
        <v>76</v>
      </c>
      <c r="K15278" t="s">
        <v>82</v>
      </c>
      <c r="L15278">
        <v>104.46809930000001</v>
      </c>
    </row>
    <row r="15279" spans="1:12" x14ac:dyDescent="0.3">
      <c r="A15279" t="s">
        <v>497</v>
      </c>
      <c r="B15279" t="s">
        <v>83</v>
      </c>
      <c r="C15279">
        <v>529</v>
      </c>
      <c r="D15279" t="s">
        <v>81</v>
      </c>
      <c r="E15279">
        <v>9.8200000000000006E-3</v>
      </c>
      <c r="F15279" t="s">
        <v>74</v>
      </c>
      <c r="G15279">
        <v>9.8196399999999997</v>
      </c>
      <c r="H15279" t="s">
        <v>75</v>
      </c>
      <c r="I15279">
        <v>9819.643</v>
      </c>
      <c r="J15279" t="s">
        <v>76</v>
      </c>
      <c r="K15279" t="s">
        <v>82</v>
      </c>
      <c r="L15279">
        <v>101.83669810000001</v>
      </c>
    </row>
    <row r="15280" spans="1:12" x14ac:dyDescent="0.3">
      <c r="A15280" t="s">
        <v>497</v>
      </c>
      <c r="B15280" t="s">
        <v>84</v>
      </c>
      <c r="C15280">
        <v>530</v>
      </c>
      <c r="D15280" t="s">
        <v>81</v>
      </c>
      <c r="E15280">
        <v>9.8189999999999996E-3</v>
      </c>
      <c r="F15280" t="s">
        <v>74</v>
      </c>
      <c r="G15280">
        <v>9.8191799999999994</v>
      </c>
      <c r="H15280" t="s">
        <v>75</v>
      </c>
      <c r="I15280">
        <v>9819.1769999999997</v>
      </c>
      <c r="J15280" t="s">
        <v>76</v>
      </c>
      <c r="K15280" t="s">
        <v>82</v>
      </c>
      <c r="L15280">
        <v>101.8415341</v>
      </c>
    </row>
    <row r="15281" spans="1:12" x14ac:dyDescent="0.3">
      <c r="A15281" t="s">
        <v>498</v>
      </c>
      <c r="B15281" t="s">
        <v>72</v>
      </c>
      <c r="C15281">
        <v>2</v>
      </c>
      <c r="D15281" t="s">
        <v>86</v>
      </c>
      <c r="E15281">
        <v>1.2931E-2</v>
      </c>
      <c r="F15281" t="s">
        <v>74</v>
      </c>
      <c r="G15281">
        <v>12.93145</v>
      </c>
      <c r="H15281" t="s">
        <v>75</v>
      </c>
      <c r="I15281">
        <v>12931.45</v>
      </c>
      <c r="J15281" t="s">
        <v>76</v>
      </c>
      <c r="K15281" t="s">
        <v>82</v>
      </c>
      <c r="L15281">
        <v>77.330846800000003</v>
      </c>
    </row>
    <row r="15282" spans="1:12" x14ac:dyDescent="0.3">
      <c r="A15282" t="s">
        <v>498</v>
      </c>
      <c r="B15282" t="s">
        <v>83</v>
      </c>
      <c r="C15282">
        <v>999</v>
      </c>
      <c r="D15282" t="s">
        <v>86</v>
      </c>
      <c r="E15282">
        <v>5.2490000000000002E-3</v>
      </c>
      <c r="F15282" t="s">
        <v>74</v>
      </c>
      <c r="G15282">
        <v>5.2490600000000001</v>
      </c>
      <c r="H15282" t="s">
        <v>75</v>
      </c>
      <c r="I15282">
        <v>5249.06</v>
      </c>
      <c r="J15282" t="s">
        <v>76</v>
      </c>
      <c r="K15282" t="s">
        <v>82</v>
      </c>
      <c r="L15282">
        <v>190.51031130000001</v>
      </c>
    </row>
    <row r="15283" spans="1:12" x14ac:dyDescent="0.3">
      <c r="A15283" t="s">
        <v>498</v>
      </c>
      <c r="B15283" t="s">
        <v>85</v>
      </c>
      <c r="C15283">
        <v>1001</v>
      </c>
      <c r="D15283" t="s">
        <v>86</v>
      </c>
      <c r="E15283">
        <v>5.254E-3</v>
      </c>
      <c r="F15283" t="s">
        <v>74</v>
      </c>
      <c r="G15283">
        <v>5.2541500000000001</v>
      </c>
      <c r="H15283" t="s">
        <v>75</v>
      </c>
      <c r="I15283">
        <v>5254.15</v>
      </c>
      <c r="J15283" t="s">
        <v>76</v>
      </c>
      <c r="K15283" t="s">
        <v>82</v>
      </c>
      <c r="L15283">
        <v>190.3257586</v>
      </c>
    </row>
    <row r="15285" spans="1:12" x14ac:dyDescent="0.3">
      <c r="A15285" t="s">
        <v>66</v>
      </c>
    </row>
    <row r="15287" spans="1:12" x14ac:dyDescent="0.3">
      <c r="A15287" t="s">
        <v>590</v>
      </c>
    </row>
    <row r="15288" spans="1:12" x14ac:dyDescent="0.3">
      <c r="A15288" t="s">
        <v>68</v>
      </c>
    </row>
    <row r="15289" spans="1:12" x14ac:dyDescent="0.3">
      <c r="A15289" t="s">
        <v>69</v>
      </c>
    </row>
    <row r="15290" spans="1:12" x14ac:dyDescent="0.3">
      <c r="A15290" t="s">
        <v>68</v>
      </c>
    </row>
    <row r="15291" spans="1:12" x14ac:dyDescent="0.3">
      <c r="A15291" t="s">
        <v>69</v>
      </c>
    </row>
    <row r="15292" spans="1:12" x14ac:dyDescent="0.3">
      <c r="A15292" t="s">
        <v>70</v>
      </c>
    </row>
    <row r="15293" spans="1:12" x14ac:dyDescent="0.3">
      <c r="A15293" t="s">
        <v>115</v>
      </c>
    </row>
    <row r="15294" spans="1:12" x14ac:dyDescent="0.3">
      <c r="A15294" t="s">
        <v>116</v>
      </c>
    </row>
    <row r="15295" spans="1:12" x14ac:dyDescent="0.3">
      <c r="A15295" t="s">
        <v>117</v>
      </c>
    </row>
    <row r="15296" spans="1:12" x14ac:dyDescent="0.3">
      <c r="A15296" t="s">
        <v>118</v>
      </c>
    </row>
    <row r="15297" spans="1:1" x14ac:dyDescent="0.3">
      <c r="A15297" t="s">
        <v>119</v>
      </c>
    </row>
    <row r="15298" spans="1:1" x14ac:dyDescent="0.3">
      <c r="A15298" t="s">
        <v>120</v>
      </c>
    </row>
    <row r="15299" spans="1:1" x14ac:dyDescent="0.3">
      <c r="A15299" t="s">
        <v>121</v>
      </c>
    </row>
    <row r="15300" spans="1:1" x14ac:dyDescent="0.3">
      <c r="A15300" t="s">
        <v>122</v>
      </c>
    </row>
    <row r="15301" spans="1:1" x14ac:dyDescent="0.3">
      <c r="A15301" t="s">
        <v>123</v>
      </c>
    </row>
    <row r="15302" spans="1:1" x14ac:dyDescent="0.3">
      <c r="A15302" t="s">
        <v>124</v>
      </c>
    </row>
    <row r="15303" spans="1:1" x14ac:dyDescent="0.3">
      <c r="A15303" t="s">
        <v>125</v>
      </c>
    </row>
    <row r="15304" spans="1:1" x14ac:dyDescent="0.3">
      <c r="A15304" t="s">
        <v>126</v>
      </c>
    </row>
    <row r="15305" spans="1:1" x14ac:dyDescent="0.3">
      <c r="A15305" t="s">
        <v>127</v>
      </c>
    </row>
    <row r="15306" spans="1:1" x14ac:dyDescent="0.3">
      <c r="A15306" t="s">
        <v>199</v>
      </c>
    </row>
    <row r="15307" spans="1:1" x14ac:dyDescent="0.3">
      <c r="A15307" t="s">
        <v>115</v>
      </c>
    </row>
    <row r="15308" spans="1:1" x14ac:dyDescent="0.3">
      <c r="A15308" t="s">
        <v>266</v>
      </c>
    </row>
    <row r="15309" spans="1:1" x14ac:dyDescent="0.3">
      <c r="A15309" t="s">
        <v>267</v>
      </c>
    </row>
    <row r="15310" spans="1:1" x14ac:dyDescent="0.3">
      <c r="A15310" t="s">
        <v>118</v>
      </c>
    </row>
    <row r="15311" spans="1:1" x14ac:dyDescent="0.3">
      <c r="A15311" t="s">
        <v>119</v>
      </c>
    </row>
    <row r="15312" spans="1:1" x14ac:dyDescent="0.3">
      <c r="A15312" t="s">
        <v>268</v>
      </c>
    </row>
    <row r="15313" spans="1:12" x14ac:dyDescent="0.3">
      <c r="A15313" t="s">
        <v>269</v>
      </c>
    </row>
    <row r="15314" spans="1:12" x14ac:dyDescent="0.3">
      <c r="A15314" t="s">
        <v>122</v>
      </c>
    </row>
    <row r="15315" spans="1:12" x14ac:dyDescent="0.3">
      <c r="A15315" t="s">
        <v>270</v>
      </c>
    </row>
    <row r="15316" spans="1:12" x14ac:dyDescent="0.3">
      <c r="A15316" t="s">
        <v>271</v>
      </c>
    </row>
    <row r="15317" spans="1:12" x14ac:dyDescent="0.3">
      <c r="A15317" t="s">
        <v>125</v>
      </c>
    </row>
    <row r="15318" spans="1:12" x14ac:dyDescent="0.3">
      <c r="A15318" t="s">
        <v>126</v>
      </c>
    </row>
    <row r="15319" spans="1:12" x14ac:dyDescent="0.3">
      <c r="A15319" t="s">
        <v>127</v>
      </c>
    </row>
    <row r="15320" spans="1:12" x14ac:dyDescent="0.3">
      <c r="A15320" t="s">
        <v>199</v>
      </c>
    </row>
    <row r="15321" spans="1:12" x14ac:dyDescent="0.3">
      <c r="A15321" t="s">
        <v>549</v>
      </c>
    </row>
    <row r="15322" spans="1:12" x14ac:dyDescent="0.3">
      <c r="A15322" t="s">
        <v>496</v>
      </c>
      <c r="B15322" t="s">
        <v>72</v>
      </c>
      <c r="C15322">
        <v>1</v>
      </c>
      <c r="D15322" t="s">
        <v>79</v>
      </c>
      <c r="E15322">
        <v>0.43585800000000002</v>
      </c>
      <c r="F15322" t="s">
        <v>74</v>
      </c>
      <c r="G15322">
        <v>435.85809999999998</v>
      </c>
      <c r="H15322" t="s">
        <v>75</v>
      </c>
      <c r="I15322">
        <v>435858.10100000002</v>
      </c>
      <c r="J15322" t="s">
        <v>76</v>
      </c>
      <c r="K15322" t="s">
        <v>77</v>
      </c>
    </row>
    <row r="15323" spans="1:12" x14ac:dyDescent="0.3">
      <c r="A15323" t="s">
        <v>496</v>
      </c>
      <c r="B15323" t="s">
        <v>72</v>
      </c>
      <c r="C15323">
        <v>1</v>
      </c>
      <c r="D15323" t="s">
        <v>94</v>
      </c>
      <c r="E15323">
        <v>5.1573000000000001E-2</v>
      </c>
      <c r="F15323" t="s">
        <v>74</v>
      </c>
      <c r="G15323">
        <v>51.572600000000001</v>
      </c>
      <c r="H15323" t="s">
        <v>75</v>
      </c>
      <c r="I15323">
        <v>51572.599000000002</v>
      </c>
      <c r="J15323" t="s">
        <v>76</v>
      </c>
      <c r="K15323" t="s">
        <v>77</v>
      </c>
    </row>
    <row r="15324" spans="1:12" x14ac:dyDescent="0.3">
      <c r="A15324" t="s">
        <v>496</v>
      </c>
      <c r="B15324" t="s">
        <v>72</v>
      </c>
      <c r="C15324">
        <v>1</v>
      </c>
      <c r="D15324" t="s">
        <v>80</v>
      </c>
      <c r="E15324">
        <v>5.1574000000000002E-2</v>
      </c>
      <c r="F15324" t="s">
        <v>74</v>
      </c>
      <c r="G15324">
        <v>51.573500000000003</v>
      </c>
      <c r="H15324" t="s">
        <v>75</v>
      </c>
      <c r="I15324">
        <v>51573.5</v>
      </c>
      <c r="J15324" t="s">
        <v>76</v>
      </c>
      <c r="K15324" t="s">
        <v>77</v>
      </c>
    </row>
    <row r="15325" spans="1:12" x14ac:dyDescent="0.3">
      <c r="A15325" t="s">
        <v>496</v>
      </c>
      <c r="B15325" t="s">
        <v>72</v>
      </c>
      <c r="C15325">
        <v>1</v>
      </c>
      <c r="D15325" t="s">
        <v>81</v>
      </c>
      <c r="E15325">
        <v>0.48743199999999998</v>
      </c>
      <c r="F15325" t="s">
        <v>74</v>
      </c>
      <c r="G15325">
        <v>487.4323</v>
      </c>
      <c r="H15325" t="s">
        <v>75</v>
      </c>
      <c r="I15325">
        <v>487432.30099999998</v>
      </c>
      <c r="J15325" t="s">
        <v>76</v>
      </c>
      <c r="K15325" t="s">
        <v>82</v>
      </c>
      <c r="L15325">
        <v>2.0515669999999999</v>
      </c>
    </row>
    <row r="15326" spans="1:12" x14ac:dyDescent="0.3">
      <c r="A15326" t="s">
        <v>496</v>
      </c>
      <c r="B15326" t="s">
        <v>83</v>
      </c>
      <c r="C15326">
        <v>618</v>
      </c>
      <c r="D15326" t="s">
        <v>79</v>
      </c>
      <c r="E15326">
        <v>6.2100000000000002E-4</v>
      </c>
      <c r="F15326" t="s">
        <v>74</v>
      </c>
      <c r="G15326">
        <v>0.62121999999999999</v>
      </c>
      <c r="H15326" t="s">
        <v>75</v>
      </c>
      <c r="I15326">
        <v>621.22199999999998</v>
      </c>
      <c r="J15326" t="s">
        <v>76</v>
      </c>
      <c r="K15326" t="s">
        <v>77</v>
      </c>
    </row>
    <row r="15327" spans="1:12" x14ac:dyDescent="0.3">
      <c r="A15327" t="s">
        <v>496</v>
      </c>
      <c r="B15327" t="s">
        <v>83</v>
      </c>
      <c r="C15327">
        <v>618</v>
      </c>
      <c r="D15327" t="s">
        <v>94</v>
      </c>
      <c r="E15327">
        <v>1.6383000000000002E-2</v>
      </c>
      <c r="F15327" t="s">
        <v>74</v>
      </c>
      <c r="G15327">
        <v>16.38278</v>
      </c>
      <c r="H15327" t="s">
        <v>75</v>
      </c>
      <c r="I15327">
        <v>16382.779</v>
      </c>
      <c r="J15327" t="s">
        <v>76</v>
      </c>
      <c r="K15327" t="s">
        <v>77</v>
      </c>
    </row>
    <row r="15328" spans="1:12" x14ac:dyDescent="0.3">
      <c r="A15328" t="s">
        <v>496</v>
      </c>
      <c r="B15328" t="s">
        <v>83</v>
      </c>
      <c r="C15328">
        <v>618</v>
      </c>
      <c r="D15328" t="s">
        <v>80</v>
      </c>
      <c r="E15328">
        <v>1.6383999999999999E-2</v>
      </c>
      <c r="F15328" t="s">
        <v>74</v>
      </c>
      <c r="G15328">
        <v>16.383610000000001</v>
      </c>
      <c r="H15328" t="s">
        <v>75</v>
      </c>
      <c r="I15328">
        <v>16383.609</v>
      </c>
      <c r="J15328" t="s">
        <v>76</v>
      </c>
      <c r="K15328" t="s">
        <v>77</v>
      </c>
    </row>
    <row r="15329" spans="1:12" x14ac:dyDescent="0.3">
      <c r="A15329" t="s">
        <v>496</v>
      </c>
      <c r="B15329" t="s">
        <v>83</v>
      </c>
      <c r="C15329">
        <v>618</v>
      </c>
      <c r="D15329" t="s">
        <v>81</v>
      </c>
      <c r="E15329">
        <v>1.7004999999999999E-2</v>
      </c>
      <c r="F15329" t="s">
        <v>74</v>
      </c>
      <c r="G15329">
        <v>17.00517</v>
      </c>
      <c r="H15329" t="s">
        <v>75</v>
      </c>
      <c r="I15329">
        <v>17005.166000000001</v>
      </c>
      <c r="J15329" t="s">
        <v>76</v>
      </c>
      <c r="K15329" t="s">
        <v>82</v>
      </c>
      <c r="L15329">
        <v>58.805660099999997</v>
      </c>
    </row>
    <row r="15330" spans="1:12" x14ac:dyDescent="0.3">
      <c r="A15330" t="s">
        <v>496</v>
      </c>
      <c r="B15330" t="s">
        <v>84</v>
      </c>
      <c r="C15330">
        <v>619</v>
      </c>
      <c r="D15330" t="s">
        <v>79</v>
      </c>
      <c r="E15330">
        <v>1.3240000000000001E-3</v>
      </c>
      <c r="F15330" t="s">
        <v>74</v>
      </c>
      <c r="G15330">
        <v>1.3243499999999999</v>
      </c>
      <c r="H15330" t="s">
        <v>75</v>
      </c>
      <c r="I15330">
        <v>1324.35</v>
      </c>
      <c r="J15330" t="s">
        <v>76</v>
      </c>
      <c r="K15330" t="s">
        <v>77</v>
      </c>
    </row>
    <row r="15331" spans="1:12" x14ac:dyDescent="0.3">
      <c r="A15331" t="s">
        <v>496</v>
      </c>
      <c r="B15331" t="s">
        <v>84</v>
      </c>
      <c r="C15331">
        <v>619</v>
      </c>
      <c r="D15331" t="s">
        <v>94</v>
      </c>
      <c r="E15331">
        <v>1.644E-2</v>
      </c>
      <c r="F15331" t="s">
        <v>74</v>
      </c>
      <c r="G15331">
        <v>16.439630000000001</v>
      </c>
      <c r="H15331" t="s">
        <v>75</v>
      </c>
      <c r="I15331">
        <v>16439.63</v>
      </c>
      <c r="J15331" t="s">
        <v>76</v>
      </c>
      <c r="K15331" t="s">
        <v>77</v>
      </c>
    </row>
    <row r="15332" spans="1:12" x14ac:dyDescent="0.3">
      <c r="A15332" t="s">
        <v>496</v>
      </c>
      <c r="B15332" t="s">
        <v>84</v>
      </c>
      <c r="C15332">
        <v>619</v>
      </c>
      <c r="D15332" t="s">
        <v>80</v>
      </c>
      <c r="E15332">
        <v>1.644E-2</v>
      </c>
      <c r="F15332" t="s">
        <v>74</v>
      </c>
      <c r="G15332">
        <v>16.440460000000002</v>
      </c>
      <c r="H15332" t="s">
        <v>75</v>
      </c>
      <c r="I15332">
        <v>16440.458999999999</v>
      </c>
      <c r="J15332" t="s">
        <v>76</v>
      </c>
      <c r="K15332" t="s">
        <v>77</v>
      </c>
    </row>
    <row r="15333" spans="1:12" x14ac:dyDescent="0.3">
      <c r="A15333" t="s">
        <v>496</v>
      </c>
      <c r="B15333" t="s">
        <v>84</v>
      </c>
      <c r="C15333">
        <v>619</v>
      </c>
      <c r="D15333" t="s">
        <v>81</v>
      </c>
      <c r="E15333">
        <v>1.7765E-2</v>
      </c>
      <c r="F15333" t="s">
        <v>74</v>
      </c>
      <c r="G15333">
        <v>17.765149999999998</v>
      </c>
      <c r="H15333" t="s">
        <v>75</v>
      </c>
      <c r="I15333">
        <v>17765.145</v>
      </c>
      <c r="J15333" t="s">
        <v>76</v>
      </c>
      <c r="K15333" t="s">
        <v>82</v>
      </c>
      <c r="L15333">
        <v>56.289998300000001</v>
      </c>
    </row>
    <row r="15334" spans="1:12" x14ac:dyDescent="0.3">
      <c r="A15334" t="s">
        <v>497</v>
      </c>
      <c r="B15334" t="s">
        <v>72</v>
      </c>
      <c r="C15334">
        <v>1</v>
      </c>
      <c r="D15334" t="s">
        <v>79</v>
      </c>
      <c r="E15334">
        <v>0.15884400000000001</v>
      </c>
      <c r="F15334" t="s">
        <v>74</v>
      </c>
      <c r="G15334">
        <v>158.84431000000001</v>
      </c>
      <c r="H15334" t="s">
        <v>75</v>
      </c>
      <c r="I15334">
        <v>158844.307</v>
      </c>
      <c r="J15334" t="s">
        <v>76</v>
      </c>
      <c r="K15334" t="s">
        <v>77</v>
      </c>
    </row>
    <row r="15335" spans="1:12" x14ac:dyDescent="0.3">
      <c r="A15335" t="s">
        <v>497</v>
      </c>
      <c r="B15335" t="s">
        <v>72</v>
      </c>
      <c r="C15335">
        <v>1</v>
      </c>
      <c r="D15335" t="s">
        <v>94</v>
      </c>
      <c r="E15335">
        <v>2.0556000000000001E-2</v>
      </c>
      <c r="F15335" t="s">
        <v>74</v>
      </c>
      <c r="G15335">
        <v>20.5563</v>
      </c>
      <c r="H15335" t="s">
        <v>75</v>
      </c>
      <c r="I15335">
        <v>20556.300999999999</v>
      </c>
      <c r="J15335" t="s">
        <v>76</v>
      </c>
      <c r="K15335" t="s">
        <v>77</v>
      </c>
    </row>
    <row r="15336" spans="1:12" x14ac:dyDescent="0.3">
      <c r="A15336" t="s">
        <v>497</v>
      </c>
      <c r="B15336" t="s">
        <v>72</v>
      </c>
      <c r="C15336">
        <v>1</v>
      </c>
      <c r="D15336" t="s">
        <v>80</v>
      </c>
      <c r="E15336">
        <v>2.0556999999999999E-2</v>
      </c>
      <c r="F15336" t="s">
        <v>74</v>
      </c>
      <c r="G15336">
        <v>20.557300000000001</v>
      </c>
      <c r="H15336" t="s">
        <v>75</v>
      </c>
      <c r="I15336">
        <v>20557.298999999999</v>
      </c>
      <c r="J15336" t="s">
        <v>76</v>
      </c>
      <c r="K15336" t="s">
        <v>77</v>
      </c>
    </row>
    <row r="15337" spans="1:12" x14ac:dyDescent="0.3">
      <c r="A15337" t="s">
        <v>497</v>
      </c>
      <c r="B15337" t="s">
        <v>72</v>
      </c>
      <c r="C15337">
        <v>1</v>
      </c>
      <c r="D15337" t="s">
        <v>81</v>
      </c>
      <c r="E15337">
        <v>0.17940200000000001</v>
      </c>
      <c r="F15337" t="s">
        <v>74</v>
      </c>
      <c r="G15337">
        <v>179.40209999999999</v>
      </c>
      <c r="H15337" t="s">
        <v>75</v>
      </c>
      <c r="I15337">
        <v>179402.098</v>
      </c>
      <c r="J15337" t="s">
        <v>76</v>
      </c>
      <c r="K15337" t="s">
        <v>82</v>
      </c>
      <c r="L15337">
        <v>5.5740708000000003</v>
      </c>
    </row>
    <row r="15338" spans="1:12" x14ac:dyDescent="0.3">
      <c r="A15338" t="s">
        <v>497</v>
      </c>
      <c r="B15338" t="s">
        <v>83</v>
      </c>
      <c r="C15338">
        <v>381</v>
      </c>
      <c r="D15338" t="s">
        <v>79</v>
      </c>
      <c r="E15338">
        <v>5.2499999999999997E-4</v>
      </c>
      <c r="F15338" t="s">
        <v>74</v>
      </c>
      <c r="G15338">
        <v>0.52500000000000002</v>
      </c>
      <c r="H15338" t="s">
        <v>75</v>
      </c>
      <c r="I15338">
        <v>525.00099999999998</v>
      </c>
      <c r="J15338" t="s">
        <v>76</v>
      </c>
      <c r="K15338" t="s">
        <v>77</v>
      </c>
    </row>
    <row r="15339" spans="1:12" x14ac:dyDescent="0.3">
      <c r="A15339" t="s">
        <v>497</v>
      </c>
      <c r="B15339" t="s">
        <v>83</v>
      </c>
      <c r="C15339">
        <v>381</v>
      </c>
      <c r="D15339" t="s">
        <v>94</v>
      </c>
      <c r="E15339">
        <v>2.7791E-2</v>
      </c>
      <c r="F15339" t="s">
        <v>74</v>
      </c>
      <c r="G15339">
        <v>27.790859999999999</v>
      </c>
      <c r="H15339" t="s">
        <v>75</v>
      </c>
      <c r="I15339">
        <v>27790.856</v>
      </c>
      <c r="J15339" t="s">
        <v>76</v>
      </c>
      <c r="K15339" t="s">
        <v>77</v>
      </c>
    </row>
    <row r="15340" spans="1:12" x14ac:dyDescent="0.3">
      <c r="A15340" t="s">
        <v>497</v>
      </c>
      <c r="B15340" t="s">
        <v>83</v>
      </c>
      <c r="C15340">
        <v>381</v>
      </c>
      <c r="D15340" t="s">
        <v>80</v>
      </c>
      <c r="E15340">
        <v>2.7792000000000001E-2</v>
      </c>
      <c r="F15340" t="s">
        <v>74</v>
      </c>
      <c r="G15340">
        <v>27.791589999999999</v>
      </c>
      <c r="H15340" t="s">
        <v>75</v>
      </c>
      <c r="I15340">
        <v>27791.591</v>
      </c>
      <c r="J15340" t="s">
        <v>76</v>
      </c>
      <c r="K15340" t="s">
        <v>77</v>
      </c>
    </row>
    <row r="15341" spans="1:12" x14ac:dyDescent="0.3">
      <c r="A15341" t="s">
        <v>497</v>
      </c>
      <c r="B15341" t="s">
        <v>83</v>
      </c>
      <c r="C15341">
        <v>381</v>
      </c>
      <c r="D15341" t="s">
        <v>81</v>
      </c>
      <c r="E15341">
        <v>2.8316999999999998E-2</v>
      </c>
      <c r="F15341" t="s">
        <v>74</v>
      </c>
      <c r="G15341">
        <v>28.316949999999999</v>
      </c>
      <c r="H15341" t="s">
        <v>75</v>
      </c>
      <c r="I15341">
        <v>28316.953000000001</v>
      </c>
      <c r="J15341" t="s">
        <v>76</v>
      </c>
      <c r="K15341" t="s">
        <v>82</v>
      </c>
      <c r="L15341">
        <v>35.314533599999997</v>
      </c>
    </row>
    <row r="15342" spans="1:12" x14ac:dyDescent="0.3">
      <c r="A15342" t="s">
        <v>497</v>
      </c>
      <c r="B15342" t="s">
        <v>84</v>
      </c>
      <c r="C15342">
        <v>382</v>
      </c>
      <c r="D15342" t="s">
        <v>79</v>
      </c>
      <c r="E15342">
        <v>9.3899999999999995E-4</v>
      </c>
      <c r="F15342" t="s">
        <v>74</v>
      </c>
      <c r="G15342">
        <v>0.93945000000000001</v>
      </c>
      <c r="H15342" t="s">
        <v>75</v>
      </c>
      <c r="I15342">
        <v>939.45</v>
      </c>
      <c r="J15342" t="s">
        <v>76</v>
      </c>
      <c r="K15342" t="s">
        <v>77</v>
      </c>
    </row>
    <row r="15343" spans="1:12" x14ac:dyDescent="0.3">
      <c r="A15343" t="s">
        <v>497</v>
      </c>
      <c r="B15343" t="s">
        <v>84</v>
      </c>
      <c r="C15343">
        <v>382</v>
      </c>
      <c r="D15343" t="s">
        <v>94</v>
      </c>
      <c r="E15343">
        <v>2.7772000000000002E-2</v>
      </c>
      <c r="F15343" t="s">
        <v>74</v>
      </c>
      <c r="G15343">
        <v>27.771920000000001</v>
      </c>
      <c r="H15343" t="s">
        <v>75</v>
      </c>
      <c r="I15343">
        <v>27771.917000000001</v>
      </c>
      <c r="J15343" t="s">
        <v>76</v>
      </c>
      <c r="K15343" t="s">
        <v>77</v>
      </c>
    </row>
    <row r="15344" spans="1:12" x14ac:dyDescent="0.3">
      <c r="A15344" t="s">
        <v>497</v>
      </c>
      <c r="B15344" t="s">
        <v>84</v>
      </c>
      <c r="C15344">
        <v>382</v>
      </c>
      <c r="D15344" t="s">
        <v>80</v>
      </c>
      <c r="E15344">
        <v>2.7772999999999999E-2</v>
      </c>
      <c r="F15344" t="s">
        <v>74</v>
      </c>
      <c r="G15344">
        <v>27.772649999999999</v>
      </c>
      <c r="H15344" t="s">
        <v>75</v>
      </c>
      <c r="I15344">
        <v>27772.651000000002</v>
      </c>
      <c r="J15344" t="s">
        <v>76</v>
      </c>
      <c r="K15344" t="s">
        <v>77</v>
      </c>
    </row>
    <row r="15345" spans="1:12" x14ac:dyDescent="0.3">
      <c r="A15345" t="s">
        <v>497</v>
      </c>
      <c r="B15345" t="s">
        <v>84</v>
      </c>
      <c r="C15345">
        <v>382</v>
      </c>
      <c r="D15345" t="s">
        <v>81</v>
      </c>
      <c r="E15345">
        <v>2.8712000000000001E-2</v>
      </c>
      <c r="F15345" t="s">
        <v>74</v>
      </c>
      <c r="G15345">
        <v>28.71246</v>
      </c>
      <c r="H15345" t="s">
        <v>75</v>
      </c>
      <c r="I15345">
        <v>28712.465</v>
      </c>
      <c r="J15345" t="s">
        <v>76</v>
      </c>
      <c r="K15345" t="s">
        <v>82</v>
      </c>
      <c r="L15345">
        <v>34.828079199999998</v>
      </c>
    </row>
    <row r="15346" spans="1:12" x14ac:dyDescent="0.3">
      <c r="A15346" t="s">
        <v>498</v>
      </c>
      <c r="B15346" t="s">
        <v>72</v>
      </c>
      <c r="C15346">
        <v>1</v>
      </c>
      <c r="D15346" t="s">
        <v>73</v>
      </c>
      <c r="E15346">
        <v>7.3999999999999996E-5</v>
      </c>
      <c r="F15346" t="s">
        <v>74</v>
      </c>
      <c r="G15346">
        <v>7.3800000000000004E-2</v>
      </c>
      <c r="H15346" t="s">
        <v>75</v>
      </c>
      <c r="I15346">
        <v>73.8</v>
      </c>
      <c r="J15346" t="s">
        <v>76</v>
      </c>
      <c r="K15346" t="s">
        <v>77</v>
      </c>
    </row>
    <row r="15347" spans="1:12" x14ac:dyDescent="0.3">
      <c r="A15347" t="s">
        <v>498</v>
      </c>
      <c r="B15347" t="s">
        <v>72</v>
      </c>
      <c r="C15347">
        <v>1</v>
      </c>
      <c r="D15347" t="s">
        <v>78</v>
      </c>
      <c r="E15347">
        <v>0.12704099999999999</v>
      </c>
      <c r="F15347" t="s">
        <v>74</v>
      </c>
      <c r="G15347">
        <v>127.04130000000001</v>
      </c>
      <c r="H15347" t="s">
        <v>75</v>
      </c>
      <c r="I15347">
        <v>127041.295</v>
      </c>
      <c r="J15347" t="s">
        <v>76</v>
      </c>
      <c r="K15347" t="s">
        <v>77</v>
      </c>
    </row>
    <row r="15348" spans="1:12" x14ac:dyDescent="0.3">
      <c r="A15348" t="s">
        <v>498</v>
      </c>
      <c r="B15348" t="s">
        <v>72</v>
      </c>
      <c r="C15348">
        <v>2</v>
      </c>
      <c r="D15348" t="s">
        <v>86</v>
      </c>
      <c r="E15348">
        <v>0.24373900000000001</v>
      </c>
      <c r="F15348" t="s">
        <v>74</v>
      </c>
      <c r="G15348">
        <v>243.73865000000001</v>
      </c>
      <c r="H15348" t="s">
        <v>75</v>
      </c>
      <c r="I15348">
        <v>243738.65100000001</v>
      </c>
      <c r="J15348" t="s">
        <v>76</v>
      </c>
      <c r="K15348" t="s">
        <v>82</v>
      </c>
      <c r="L15348">
        <v>4.1027551000000004</v>
      </c>
    </row>
    <row r="15349" spans="1:12" x14ac:dyDescent="0.3">
      <c r="A15349" t="s">
        <v>498</v>
      </c>
      <c r="B15349" t="s">
        <v>83</v>
      </c>
      <c r="C15349">
        <v>999</v>
      </c>
      <c r="D15349" t="s">
        <v>86</v>
      </c>
      <c r="E15349">
        <v>1.0815E-2</v>
      </c>
      <c r="F15349" t="s">
        <v>74</v>
      </c>
      <c r="G15349">
        <v>10.8155</v>
      </c>
      <c r="H15349" t="s">
        <v>75</v>
      </c>
      <c r="I15349">
        <v>10815.495999999999</v>
      </c>
      <c r="J15349" t="s">
        <v>76</v>
      </c>
      <c r="K15349" t="s">
        <v>82</v>
      </c>
      <c r="L15349">
        <v>92.459926999999993</v>
      </c>
    </row>
    <row r="15350" spans="1:12" x14ac:dyDescent="0.3">
      <c r="A15350" t="s">
        <v>498</v>
      </c>
      <c r="B15350" t="s">
        <v>85</v>
      </c>
      <c r="C15350">
        <v>1001</v>
      </c>
      <c r="D15350" t="s">
        <v>86</v>
      </c>
      <c r="E15350">
        <v>1.0992999999999999E-2</v>
      </c>
      <c r="F15350" t="s">
        <v>74</v>
      </c>
      <c r="G15350">
        <v>10.99253</v>
      </c>
      <c r="H15350" t="s">
        <v>75</v>
      </c>
      <c r="I15350">
        <v>10992.531000000001</v>
      </c>
      <c r="J15350" t="s">
        <v>76</v>
      </c>
      <c r="K15350" t="s">
        <v>82</v>
      </c>
      <c r="L15350">
        <v>90.970857699999996</v>
      </c>
    </row>
    <row r="15351" spans="1:12" x14ac:dyDescent="0.3">
      <c r="A15351" t="s">
        <v>201</v>
      </c>
    </row>
    <row r="15352" spans="1:12" x14ac:dyDescent="0.3">
      <c r="A15352" t="s">
        <v>201</v>
      </c>
    </row>
    <row r="15353" spans="1:12" x14ac:dyDescent="0.3">
      <c r="A15353" t="s">
        <v>550</v>
      </c>
    </row>
    <row r="15354" spans="1:12" x14ac:dyDescent="0.3">
      <c r="A15354" t="s">
        <v>496</v>
      </c>
      <c r="B15354" t="s">
        <v>72</v>
      </c>
      <c r="C15354">
        <v>1</v>
      </c>
      <c r="D15354" t="s">
        <v>79</v>
      </c>
      <c r="E15354">
        <v>4.9839999999999997E-3</v>
      </c>
      <c r="F15354" t="s">
        <v>74</v>
      </c>
      <c r="G15354">
        <v>4.9837999999999996</v>
      </c>
      <c r="H15354" t="s">
        <v>75</v>
      </c>
      <c r="I15354">
        <v>4983.8</v>
      </c>
      <c r="J15354" t="s">
        <v>76</v>
      </c>
      <c r="K15354" t="s">
        <v>77</v>
      </c>
    </row>
    <row r="15355" spans="1:12" x14ac:dyDescent="0.3">
      <c r="A15355" t="s">
        <v>496</v>
      </c>
      <c r="B15355" t="s">
        <v>72</v>
      </c>
      <c r="C15355">
        <v>1</v>
      </c>
      <c r="D15355" t="s">
        <v>94</v>
      </c>
      <c r="E15355">
        <v>3.4424999999999997E-2</v>
      </c>
      <c r="F15355" t="s">
        <v>74</v>
      </c>
      <c r="G15355">
        <v>34.4253</v>
      </c>
      <c r="H15355" t="s">
        <v>75</v>
      </c>
      <c r="I15355">
        <v>34425.300000000003</v>
      </c>
      <c r="J15355" t="s">
        <v>76</v>
      </c>
      <c r="K15355" t="s">
        <v>77</v>
      </c>
    </row>
    <row r="15356" spans="1:12" x14ac:dyDescent="0.3">
      <c r="A15356" t="s">
        <v>496</v>
      </c>
      <c r="B15356" t="s">
        <v>72</v>
      </c>
      <c r="C15356">
        <v>1</v>
      </c>
      <c r="D15356" t="s">
        <v>80</v>
      </c>
      <c r="E15356">
        <v>3.4431999999999997E-2</v>
      </c>
      <c r="F15356" t="s">
        <v>74</v>
      </c>
      <c r="G15356">
        <v>34.432400000000001</v>
      </c>
      <c r="H15356" t="s">
        <v>75</v>
      </c>
      <c r="I15356">
        <v>34432.400000000001</v>
      </c>
      <c r="J15356" t="s">
        <v>76</v>
      </c>
      <c r="K15356" t="s">
        <v>77</v>
      </c>
    </row>
    <row r="15357" spans="1:12" x14ac:dyDescent="0.3">
      <c r="A15357" t="s">
        <v>496</v>
      </c>
      <c r="B15357" t="s">
        <v>72</v>
      </c>
      <c r="C15357">
        <v>1</v>
      </c>
      <c r="D15357" t="s">
        <v>81</v>
      </c>
      <c r="E15357">
        <v>3.9417000000000001E-2</v>
      </c>
      <c r="F15357" t="s">
        <v>74</v>
      </c>
      <c r="G15357">
        <v>39.416800000000002</v>
      </c>
      <c r="H15357" t="s">
        <v>75</v>
      </c>
      <c r="I15357">
        <v>39416.800999999999</v>
      </c>
      <c r="J15357" t="s">
        <v>76</v>
      </c>
      <c r="K15357" t="s">
        <v>82</v>
      </c>
      <c r="L15357">
        <v>25.3698923</v>
      </c>
    </row>
    <row r="15358" spans="1:12" x14ac:dyDescent="0.3">
      <c r="A15358" t="s">
        <v>496</v>
      </c>
      <c r="B15358" t="s">
        <v>83</v>
      </c>
      <c r="C15358">
        <v>753</v>
      </c>
      <c r="D15358" t="s">
        <v>79</v>
      </c>
      <c r="E15358">
        <v>6.8300000000000001E-4</v>
      </c>
      <c r="F15358" t="s">
        <v>74</v>
      </c>
      <c r="G15358">
        <v>0.68254999999999999</v>
      </c>
      <c r="H15358" t="s">
        <v>75</v>
      </c>
      <c r="I15358">
        <v>682.548</v>
      </c>
      <c r="J15358" t="s">
        <v>76</v>
      </c>
      <c r="K15358" t="s">
        <v>77</v>
      </c>
    </row>
    <row r="15359" spans="1:12" x14ac:dyDescent="0.3">
      <c r="A15359" t="s">
        <v>496</v>
      </c>
      <c r="B15359" t="s">
        <v>83</v>
      </c>
      <c r="C15359">
        <v>753</v>
      </c>
      <c r="D15359" t="s">
        <v>94</v>
      </c>
      <c r="E15359">
        <v>2.5059000000000001E-2</v>
      </c>
      <c r="F15359" t="s">
        <v>74</v>
      </c>
      <c r="G15359">
        <v>25.058779999999999</v>
      </c>
      <c r="H15359" t="s">
        <v>75</v>
      </c>
      <c r="I15359">
        <v>25058.781999999999</v>
      </c>
      <c r="J15359" t="s">
        <v>76</v>
      </c>
      <c r="K15359" t="s">
        <v>77</v>
      </c>
    </row>
    <row r="15360" spans="1:12" x14ac:dyDescent="0.3">
      <c r="A15360" t="s">
        <v>496</v>
      </c>
      <c r="B15360" t="s">
        <v>83</v>
      </c>
      <c r="C15360">
        <v>753</v>
      </c>
      <c r="D15360" t="s">
        <v>80</v>
      </c>
      <c r="E15360">
        <v>2.5288000000000001E-2</v>
      </c>
      <c r="F15360" t="s">
        <v>74</v>
      </c>
      <c r="G15360">
        <v>25.288250000000001</v>
      </c>
      <c r="H15360" t="s">
        <v>75</v>
      </c>
      <c r="I15360">
        <v>25288.254000000001</v>
      </c>
      <c r="J15360" t="s">
        <v>76</v>
      </c>
      <c r="K15360" t="s">
        <v>77</v>
      </c>
    </row>
    <row r="15361" spans="1:12" x14ac:dyDescent="0.3">
      <c r="A15361" t="s">
        <v>496</v>
      </c>
      <c r="B15361" t="s">
        <v>83</v>
      </c>
      <c r="C15361">
        <v>753</v>
      </c>
      <c r="D15361" t="s">
        <v>81</v>
      </c>
      <c r="E15361">
        <v>2.5971000000000001E-2</v>
      </c>
      <c r="F15361" t="s">
        <v>74</v>
      </c>
      <c r="G15361">
        <v>25.97139</v>
      </c>
      <c r="H15361" t="s">
        <v>75</v>
      </c>
      <c r="I15361">
        <v>25971.385999999999</v>
      </c>
      <c r="J15361" t="s">
        <v>76</v>
      </c>
      <c r="K15361" t="s">
        <v>82</v>
      </c>
      <c r="L15361">
        <v>38.503913400000002</v>
      </c>
    </row>
    <row r="15362" spans="1:12" x14ac:dyDescent="0.3">
      <c r="A15362" t="s">
        <v>496</v>
      </c>
      <c r="B15362" t="s">
        <v>84</v>
      </c>
      <c r="C15362">
        <v>754</v>
      </c>
      <c r="D15362" t="s">
        <v>79</v>
      </c>
      <c r="E15362">
        <v>6.8800000000000003E-4</v>
      </c>
      <c r="F15362" t="s">
        <v>74</v>
      </c>
      <c r="G15362">
        <v>0.68825000000000003</v>
      </c>
      <c r="H15362" t="s">
        <v>75</v>
      </c>
      <c r="I15362">
        <v>688.25300000000004</v>
      </c>
      <c r="J15362" t="s">
        <v>76</v>
      </c>
      <c r="K15362" t="s">
        <v>77</v>
      </c>
    </row>
    <row r="15363" spans="1:12" x14ac:dyDescent="0.3">
      <c r="A15363" t="s">
        <v>496</v>
      </c>
      <c r="B15363" t="s">
        <v>84</v>
      </c>
      <c r="C15363">
        <v>754</v>
      </c>
      <c r="D15363" t="s">
        <v>94</v>
      </c>
      <c r="E15363">
        <v>2.5071E-2</v>
      </c>
      <c r="F15363" t="s">
        <v>74</v>
      </c>
      <c r="G15363">
        <v>25.071200000000001</v>
      </c>
      <c r="H15363" t="s">
        <v>75</v>
      </c>
      <c r="I15363">
        <v>25071.205000000002</v>
      </c>
      <c r="J15363" t="s">
        <v>76</v>
      </c>
      <c r="K15363" t="s">
        <v>77</v>
      </c>
    </row>
    <row r="15364" spans="1:12" x14ac:dyDescent="0.3">
      <c r="A15364" t="s">
        <v>496</v>
      </c>
      <c r="B15364" t="s">
        <v>84</v>
      </c>
      <c r="C15364">
        <v>754</v>
      </c>
      <c r="D15364" t="s">
        <v>80</v>
      </c>
      <c r="E15364">
        <v>2.53E-2</v>
      </c>
      <c r="F15364" t="s">
        <v>74</v>
      </c>
      <c r="G15364">
        <v>25.300380000000001</v>
      </c>
      <c r="H15364" t="s">
        <v>75</v>
      </c>
      <c r="I15364">
        <v>25300.38</v>
      </c>
      <c r="J15364" t="s">
        <v>76</v>
      </c>
      <c r="K15364" t="s">
        <v>77</v>
      </c>
    </row>
    <row r="15365" spans="1:12" x14ac:dyDescent="0.3">
      <c r="A15365" t="s">
        <v>496</v>
      </c>
      <c r="B15365" t="s">
        <v>84</v>
      </c>
      <c r="C15365">
        <v>754</v>
      </c>
      <c r="D15365" t="s">
        <v>81</v>
      </c>
      <c r="E15365">
        <v>2.5989000000000002E-2</v>
      </c>
      <c r="F15365" t="s">
        <v>74</v>
      </c>
      <c r="G15365">
        <v>25.98922</v>
      </c>
      <c r="H15365" t="s">
        <v>75</v>
      </c>
      <c r="I15365">
        <v>25989.216</v>
      </c>
      <c r="J15365" t="s">
        <v>76</v>
      </c>
      <c r="K15365" t="s">
        <v>82</v>
      </c>
      <c r="L15365">
        <v>38.477497399999997</v>
      </c>
    </row>
    <row r="15366" spans="1:12" x14ac:dyDescent="0.3">
      <c r="A15366" t="s">
        <v>497</v>
      </c>
      <c r="B15366" t="s">
        <v>72</v>
      </c>
      <c r="C15366">
        <v>1</v>
      </c>
      <c r="D15366" t="s">
        <v>79</v>
      </c>
      <c r="E15366">
        <v>1.8754E-2</v>
      </c>
      <c r="F15366" t="s">
        <v>74</v>
      </c>
      <c r="G15366">
        <v>18.754200000000001</v>
      </c>
      <c r="H15366" t="s">
        <v>75</v>
      </c>
      <c r="I15366">
        <v>18754.199000000001</v>
      </c>
      <c r="J15366" t="s">
        <v>76</v>
      </c>
      <c r="K15366" t="s">
        <v>77</v>
      </c>
    </row>
    <row r="15367" spans="1:12" x14ac:dyDescent="0.3">
      <c r="A15367" t="s">
        <v>497</v>
      </c>
      <c r="B15367" t="s">
        <v>72</v>
      </c>
      <c r="C15367">
        <v>1</v>
      </c>
      <c r="D15367" t="s">
        <v>94</v>
      </c>
      <c r="E15367">
        <v>8.0541000000000001E-2</v>
      </c>
      <c r="F15367" t="s">
        <v>74</v>
      </c>
      <c r="G15367">
        <v>80.5411</v>
      </c>
      <c r="H15367" t="s">
        <v>75</v>
      </c>
      <c r="I15367">
        <v>80541.096999999994</v>
      </c>
      <c r="J15367" t="s">
        <v>76</v>
      </c>
      <c r="K15367" t="s">
        <v>77</v>
      </c>
    </row>
    <row r="15368" spans="1:12" x14ac:dyDescent="0.3">
      <c r="A15368" t="s">
        <v>497</v>
      </c>
      <c r="B15368" t="s">
        <v>72</v>
      </c>
      <c r="C15368">
        <v>1</v>
      </c>
      <c r="D15368" t="s">
        <v>80</v>
      </c>
      <c r="E15368">
        <v>8.0548999999999996E-2</v>
      </c>
      <c r="F15368" t="s">
        <v>74</v>
      </c>
      <c r="G15368">
        <v>80.549199999999999</v>
      </c>
      <c r="H15368" t="s">
        <v>75</v>
      </c>
      <c r="I15368">
        <v>80549.202999999994</v>
      </c>
      <c r="J15368" t="s">
        <v>76</v>
      </c>
      <c r="K15368" t="s">
        <v>77</v>
      </c>
    </row>
    <row r="15369" spans="1:12" x14ac:dyDescent="0.3">
      <c r="A15369" t="s">
        <v>497</v>
      </c>
      <c r="B15369" t="s">
        <v>72</v>
      </c>
      <c r="C15369">
        <v>1</v>
      </c>
      <c r="D15369" t="s">
        <v>81</v>
      </c>
      <c r="E15369">
        <v>9.9306000000000005E-2</v>
      </c>
      <c r="F15369" t="s">
        <v>74</v>
      </c>
      <c r="G15369">
        <v>99.305499999999995</v>
      </c>
      <c r="H15369" t="s">
        <v>75</v>
      </c>
      <c r="I15369">
        <v>99305.502999999997</v>
      </c>
      <c r="J15369" t="s">
        <v>76</v>
      </c>
      <c r="K15369" t="s">
        <v>82</v>
      </c>
      <c r="L15369">
        <v>10.0699354</v>
      </c>
    </row>
    <row r="15370" spans="1:12" x14ac:dyDescent="0.3">
      <c r="A15370" t="s">
        <v>497</v>
      </c>
      <c r="B15370" t="s">
        <v>83</v>
      </c>
      <c r="C15370">
        <v>246</v>
      </c>
      <c r="D15370" t="s">
        <v>79</v>
      </c>
      <c r="E15370">
        <v>1.536E-3</v>
      </c>
      <c r="F15370" t="s">
        <v>74</v>
      </c>
      <c r="G15370">
        <v>1.53647</v>
      </c>
      <c r="H15370" t="s">
        <v>75</v>
      </c>
      <c r="I15370">
        <v>1536.4690000000001</v>
      </c>
      <c r="J15370" t="s">
        <v>76</v>
      </c>
      <c r="K15370" t="s">
        <v>77</v>
      </c>
    </row>
    <row r="15371" spans="1:12" x14ac:dyDescent="0.3">
      <c r="A15371" t="s">
        <v>497</v>
      </c>
      <c r="B15371" t="s">
        <v>83</v>
      </c>
      <c r="C15371">
        <v>246</v>
      </c>
      <c r="D15371" t="s">
        <v>94</v>
      </c>
      <c r="E15371">
        <v>7.5915999999999997E-2</v>
      </c>
      <c r="F15371" t="s">
        <v>74</v>
      </c>
      <c r="G15371">
        <v>75.915700000000001</v>
      </c>
      <c r="H15371" t="s">
        <v>75</v>
      </c>
      <c r="I15371">
        <v>75915.701000000001</v>
      </c>
      <c r="J15371" t="s">
        <v>76</v>
      </c>
      <c r="K15371" t="s">
        <v>77</v>
      </c>
    </row>
    <row r="15372" spans="1:12" x14ac:dyDescent="0.3">
      <c r="A15372" t="s">
        <v>497</v>
      </c>
      <c r="B15372" t="s">
        <v>83</v>
      </c>
      <c r="C15372">
        <v>246</v>
      </c>
      <c r="D15372" t="s">
        <v>80</v>
      </c>
      <c r="E15372">
        <v>7.6694999999999999E-2</v>
      </c>
      <c r="F15372" t="s">
        <v>74</v>
      </c>
      <c r="G15372">
        <v>76.694540000000003</v>
      </c>
      <c r="H15372" t="s">
        <v>75</v>
      </c>
      <c r="I15372">
        <v>76694.535000000003</v>
      </c>
      <c r="J15372" t="s">
        <v>76</v>
      </c>
      <c r="K15372" t="s">
        <v>77</v>
      </c>
    </row>
    <row r="15373" spans="1:12" x14ac:dyDescent="0.3">
      <c r="A15373" t="s">
        <v>497</v>
      </c>
      <c r="B15373" t="s">
        <v>83</v>
      </c>
      <c r="C15373">
        <v>246</v>
      </c>
      <c r="D15373" t="s">
        <v>81</v>
      </c>
      <c r="E15373">
        <v>7.8232999999999997E-2</v>
      </c>
      <c r="F15373" t="s">
        <v>74</v>
      </c>
      <c r="G15373">
        <v>78.232579999999999</v>
      </c>
      <c r="H15373" t="s">
        <v>75</v>
      </c>
      <c r="I15373">
        <v>78232.578999999998</v>
      </c>
      <c r="J15373" t="s">
        <v>76</v>
      </c>
      <c r="K15373" t="s">
        <v>82</v>
      </c>
      <c r="L15373">
        <v>12.782398499999999</v>
      </c>
    </row>
    <row r="15374" spans="1:12" x14ac:dyDescent="0.3">
      <c r="A15374" t="s">
        <v>497</v>
      </c>
      <c r="B15374" t="s">
        <v>84</v>
      </c>
      <c r="C15374">
        <v>247</v>
      </c>
      <c r="D15374" t="s">
        <v>79</v>
      </c>
      <c r="E15374">
        <v>1.606E-3</v>
      </c>
      <c r="F15374" t="s">
        <v>74</v>
      </c>
      <c r="G15374">
        <v>1.6061799999999999</v>
      </c>
      <c r="H15374" t="s">
        <v>75</v>
      </c>
      <c r="I15374">
        <v>1606.1759999999999</v>
      </c>
      <c r="J15374" t="s">
        <v>76</v>
      </c>
      <c r="K15374" t="s">
        <v>77</v>
      </c>
    </row>
    <row r="15375" spans="1:12" x14ac:dyDescent="0.3">
      <c r="A15375" t="s">
        <v>497</v>
      </c>
      <c r="B15375" t="s">
        <v>84</v>
      </c>
      <c r="C15375">
        <v>247</v>
      </c>
      <c r="D15375" t="s">
        <v>94</v>
      </c>
      <c r="E15375">
        <v>7.5934000000000001E-2</v>
      </c>
      <c r="F15375" t="s">
        <v>74</v>
      </c>
      <c r="G15375">
        <v>75.934430000000006</v>
      </c>
      <c r="H15375" t="s">
        <v>75</v>
      </c>
      <c r="I15375">
        <v>75934.429000000004</v>
      </c>
      <c r="J15375" t="s">
        <v>76</v>
      </c>
      <c r="K15375" t="s">
        <v>77</v>
      </c>
    </row>
    <row r="15376" spans="1:12" x14ac:dyDescent="0.3">
      <c r="A15376" t="s">
        <v>497</v>
      </c>
      <c r="B15376" t="s">
        <v>84</v>
      </c>
      <c r="C15376">
        <v>247</v>
      </c>
      <c r="D15376" t="s">
        <v>80</v>
      </c>
      <c r="E15376">
        <v>7.671E-2</v>
      </c>
      <c r="F15376" t="s">
        <v>74</v>
      </c>
      <c r="G15376">
        <v>76.710139999999996</v>
      </c>
      <c r="H15376" t="s">
        <v>75</v>
      </c>
      <c r="I15376">
        <v>76710.141000000003</v>
      </c>
      <c r="J15376" t="s">
        <v>76</v>
      </c>
      <c r="K15376" t="s">
        <v>77</v>
      </c>
    </row>
    <row r="15377" spans="1:12" x14ac:dyDescent="0.3">
      <c r="A15377" t="s">
        <v>497</v>
      </c>
      <c r="B15377" t="s">
        <v>84</v>
      </c>
      <c r="C15377">
        <v>247</v>
      </c>
      <c r="D15377" t="s">
        <v>81</v>
      </c>
      <c r="E15377">
        <v>7.8317999999999999E-2</v>
      </c>
      <c r="F15377" t="s">
        <v>74</v>
      </c>
      <c r="G15377">
        <v>78.317890000000006</v>
      </c>
      <c r="H15377" t="s">
        <v>75</v>
      </c>
      <c r="I15377">
        <v>78317.888999999996</v>
      </c>
      <c r="J15377" t="s">
        <v>76</v>
      </c>
      <c r="K15377" t="s">
        <v>82</v>
      </c>
      <c r="L15377">
        <v>12.7684748</v>
      </c>
    </row>
    <row r="15378" spans="1:12" x14ac:dyDescent="0.3">
      <c r="A15378" t="s">
        <v>498</v>
      </c>
      <c r="B15378" t="s">
        <v>72</v>
      </c>
      <c r="C15378">
        <v>1</v>
      </c>
      <c r="D15378" t="s">
        <v>73</v>
      </c>
      <c r="E15378">
        <v>7.3999999999999996E-5</v>
      </c>
      <c r="F15378" t="s">
        <v>74</v>
      </c>
      <c r="G15378">
        <v>7.3800000000000004E-2</v>
      </c>
      <c r="H15378" t="s">
        <v>75</v>
      </c>
      <c r="I15378">
        <v>73.8</v>
      </c>
      <c r="J15378" t="s">
        <v>76</v>
      </c>
      <c r="K15378" t="s">
        <v>77</v>
      </c>
    </row>
    <row r="15379" spans="1:12" x14ac:dyDescent="0.3">
      <c r="A15379" t="s">
        <v>498</v>
      </c>
      <c r="B15379" t="s">
        <v>72</v>
      </c>
      <c r="C15379">
        <v>1</v>
      </c>
      <c r="D15379" t="s">
        <v>78</v>
      </c>
      <c r="E15379">
        <v>1.073E-3</v>
      </c>
      <c r="F15379" t="s">
        <v>74</v>
      </c>
      <c r="G15379">
        <v>1.0733999999999999</v>
      </c>
      <c r="H15379" t="s">
        <v>75</v>
      </c>
      <c r="I15379">
        <v>1073.4000000000001</v>
      </c>
      <c r="J15379" t="s">
        <v>76</v>
      </c>
      <c r="K15379" t="s">
        <v>77</v>
      </c>
    </row>
    <row r="15380" spans="1:12" x14ac:dyDescent="0.3">
      <c r="A15380" t="s">
        <v>498</v>
      </c>
      <c r="B15380" t="s">
        <v>72</v>
      </c>
      <c r="C15380">
        <v>2</v>
      </c>
      <c r="D15380" t="s">
        <v>86</v>
      </c>
      <c r="E15380">
        <v>4.9657E-2</v>
      </c>
      <c r="F15380" t="s">
        <v>74</v>
      </c>
      <c r="G15380">
        <v>49.656750000000002</v>
      </c>
      <c r="H15380" t="s">
        <v>75</v>
      </c>
      <c r="I15380">
        <v>49656.749000000003</v>
      </c>
      <c r="J15380" t="s">
        <v>76</v>
      </c>
      <c r="K15380" t="s">
        <v>82</v>
      </c>
      <c r="L15380">
        <v>20.138249600000002</v>
      </c>
    </row>
    <row r="15381" spans="1:12" x14ac:dyDescent="0.3">
      <c r="A15381" t="s">
        <v>498</v>
      </c>
      <c r="B15381" t="s">
        <v>83</v>
      </c>
      <c r="C15381">
        <v>999</v>
      </c>
      <c r="D15381" t="s">
        <v>86</v>
      </c>
      <c r="E15381">
        <v>1.9581999999999999E-2</v>
      </c>
      <c r="F15381" t="s">
        <v>74</v>
      </c>
      <c r="G15381">
        <v>19.582039999999999</v>
      </c>
      <c r="H15381" t="s">
        <v>75</v>
      </c>
      <c r="I15381">
        <v>19582.044000000002</v>
      </c>
      <c r="J15381" t="s">
        <v>76</v>
      </c>
      <c r="K15381" t="s">
        <v>82</v>
      </c>
      <c r="L15381">
        <v>51.067192200000001</v>
      </c>
    </row>
    <row r="15382" spans="1:12" x14ac:dyDescent="0.3">
      <c r="A15382" t="s">
        <v>498</v>
      </c>
      <c r="B15382" t="s">
        <v>85</v>
      </c>
      <c r="C15382">
        <v>1001</v>
      </c>
      <c r="D15382" t="s">
        <v>86</v>
      </c>
      <c r="E15382">
        <v>1.959E-2</v>
      </c>
      <c r="F15382" t="s">
        <v>74</v>
      </c>
      <c r="G15382">
        <v>19.590019999999999</v>
      </c>
      <c r="H15382" t="s">
        <v>75</v>
      </c>
      <c r="I15382">
        <v>19590.021000000001</v>
      </c>
      <c r="J15382" t="s">
        <v>76</v>
      </c>
      <c r="K15382" t="s">
        <v>82</v>
      </c>
      <c r="L15382">
        <v>51.046396299999998</v>
      </c>
    </row>
    <row r="15383" spans="1:12" x14ac:dyDescent="0.3">
      <c r="A15383" t="s">
        <v>115</v>
      </c>
    </row>
    <row r="15384" spans="1:12" x14ac:dyDescent="0.3">
      <c r="A15384" t="s">
        <v>127</v>
      </c>
    </row>
    <row r="15385" spans="1:12" x14ac:dyDescent="0.3">
      <c r="A15385" t="s">
        <v>87</v>
      </c>
    </row>
    <row r="15386" spans="1:12" x14ac:dyDescent="0.3">
      <c r="A15386" t="s">
        <v>551</v>
      </c>
    </row>
    <row r="15387" spans="1:12" x14ac:dyDescent="0.3">
      <c r="A15387" t="s">
        <v>496</v>
      </c>
      <c r="B15387" t="s">
        <v>72</v>
      </c>
      <c r="C15387">
        <v>1</v>
      </c>
      <c r="D15387" t="s">
        <v>81</v>
      </c>
      <c r="E15387">
        <v>0.48743199999999998</v>
      </c>
      <c r="F15387" t="s">
        <v>74</v>
      </c>
      <c r="G15387">
        <v>487.4323</v>
      </c>
      <c r="H15387" t="s">
        <v>75</v>
      </c>
      <c r="I15387">
        <v>487432.30099999998</v>
      </c>
      <c r="J15387" t="s">
        <v>76</v>
      </c>
      <c r="K15387" t="s">
        <v>82</v>
      </c>
      <c r="L15387">
        <v>2.0515669999999999</v>
      </c>
    </row>
    <row r="15388" spans="1:12" x14ac:dyDescent="0.3">
      <c r="A15388" t="s">
        <v>496</v>
      </c>
      <c r="B15388" t="s">
        <v>83</v>
      </c>
      <c r="C15388">
        <v>618</v>
      </c>
      <c r="D15388" t="s">
        <v>81</v>
      </c>
      <c r="E15388">
        <v>1.7004999999999999E-2</v>
      </c>
      <c r="F15388" t="s">
        <v>74</v>
      </c>
      <c r="G15388">
        <v>17.00517</v>
      </c>
      <c r="H15388" t="s">
        <v>75</v>
      </c>
      <c r="I15388">
        <v>17005.166000000001</v>
      </c>
      <c r="J15388" t="s">
        <v>76</v>
      </c>
      <c r="K15388" t="s">
        <v>82</v>
      </c>
      <c r="L15388">
        <v>58.805660099999997</v>
      </c>
    </row>
    <row r="15389" spans="1:12" x14ac:dyDescent="0.3">
      <c r="A15389" t="s">
        <v>496</v>
      </c>
      <c r="B15389" t="s">
        <v>84</v>
      </c>
      <c r="C15389">
        <v>619</v>
      </c>
      <c r="D15389" t="s">
        <v>81</v>
      </c>
      <c r="E15389">
        <v>1.7765E-2</v>
      </c>
      <c r="F15389" t="s">
        <v>74</v>
      </c>
      <c r="G15389">
        <v>17.765149999999998</v>
      </c>
      <c r="H15389" t="s">
        <v>75</v>
      </c>
      <c r="I15389">
        <v>17765.145</v>
      </c>
      <c r="J15389" t="s">
        <v>76</v>
      </c>
      <c r="K15389" t="s">
        <v>82</v>
      </c>
      <c r="L15389">
        <v>56.289998300000001</v>
      </c>
    </row>
    <row r="15390" spans="1:12" x14ac:dyDescent="0.3">
      <c r="A15390" t="s">
        <v>497</v>
      </c>
      <c r="B15390" t="s">
        <v>72</v>
      </c>
      <c r="C15390">
        <v>1</v>
      </c>
      <c r="D15390" t="s">
        <v>81</v>
      </c>
      <c r="E15390">
        <v>0.17940200000000001</v>
      </c>
      <c r="F15390" t="s">
        <v>74</v>
      </c>
      <c r="G15390">
        <v>179.40209999999999</v>
      </c>
      <c r="H15390" t="s">
        <v>75</v>
      </c>
      <c r="I15390">
        <v>179402.098</v>
      </c>
      <c r="J15390" t="s">
        <v>76</v>
      </c>
      <c r="K15390" t="s">
        <v>82</v>
      </c>
      <c r="L15390">
        <v>5.5740708000000003</v>
      </c>
    </row>
    <row r="15391" spans="1:12" x14ac:dyDescent="0.3">
      <c r="A15391" t="s">
        <v>497</v>
      </c>
      <c r="B15391" t="s">
        <v>83</v>
      </c>
      <c r="C15391">
        <v>381</v>
      </c>
      <c r="D15391" t="s">
        <v>81</v>
      </c>
      <c r="E15391">
        <v>2.8316999999999998E-2</v>
      </c>
      <c r="F15391" t="s">
        <v>74</v>
      </c>
      <c r="G15391">
        <v>28.316949999999999</v>
      </c>
      <c r="H15391" t="s">
        <v>75</v>
      </c>
      <c r="I15391">
        <v>28316.953000000001</v>
      </c>
      <c r="J15391" t="s">
        <v>76</v>
      </c>
      <c r="K15391" t="s">
        <v>82</v>
      </c>
      <c r="L15391">
        <v>35.314533599999997</v>
      </c>
    </row>
    <row r="15392" spans="1:12" x14ac:dyDescent="0.3">
      <c r="A15392" t="s">
        <v>497</v>
      </c>
      <c r="B15392" t="s">
        <v>84</v>
      </c>
      <c r="C15392">
        <v>382</v>
      </c>
      <c r="D15392" t="s">
        <v>81</v>
      </c>
      <c r="E15392">
        <v>2.8712000000000001E-2</v>
      </c>
      <c r="F15392" t="s">
        <v>74</v>
      </c>
      <c r="G15392">
        <v>28.71246</v>
      </c>
      <c r="H15392" t="s">
        <v>75</v>
      </c>
      <c r="I15392">
        <v>28712.465</v>
      </c>
      <c r="J15392" t="s">
        <v>76</v>
      </c>
      <c r="K15392" t="s">
        <v>82</v>
      </c>
      <c r="L15392">
        <v>34.828079199999998</v>
      </c>
    </row>
    <row r="15393" spans="1:12" x14ac:dyDescent="0.3">
      <c r="A15393" t="s">
        <v>498</v>
      </c>
      <c r="B15393" t="s">
        <v>72</v>
      </c>
      <c r="C15393">
        <v>2</v>
      </c>
      <c r="D15393" t="s">
        <v>86</v>
      </c>
      <c r="E15393">
        <v>0.24373900000000001</v>
      </c>
      <c r="F15393" t="s">
        <v>74</v>
      </c>
      <c r="G15393">
        <v>243.73865000000001</v>
      </c>
      <c r="H15393" t="s">
        <v>75</v>
      </c>
      <c r="I15393">
        <v>243738.65100000001</v>
      </c>
      <c r="J15393" t="s">
        <v>76</v>
      </c>
      <c r="K15393" t="s">
        <v>82</v>
      </c>
      <c r="L15393">
        <v>4.1027551000000004</v>
      </c>
    </row>
    <row r="15394" spans="1:12" x14ac:dyDescent="0.3">
      <c r="A15394" t="s">
        <v>498</v>
      </c>
      <c r="B15394" t="s">
        <v>83</v>
      </c>
      <c r="C15394">
        <v>999</v>
      </c>
      <c r="D15394" t="s">
        <v>86</v>
      </c>
      <c r="E15394">
        <v>1.0815E-2</v>
      </c>
      <c r="F15394" t="s">
        <v>74</v>
      </c>
      <c r="G15394">
        <v>10.8155</v>
      </c>
      <c r="H15394" t="s">
        <v>75</v>
      </c>
      <c r="I15394">
        <v>10815.495999999999</v>
      </c>
      <c r="J15394" t="s">
        <v>76</v>
      </c>
      <c r="K15394" t="s">
        <v>82</v>
      </c>
      <c r="L15394">
        <v>92.459926999999993</v>
      </c>
    </row>
    <row r="15395" spans="1:12" x14ac:dyDescent="0.3">
      <c r="A15395" t="s">
        <v>498</v>
      </c>
      <c r="B15395" t="s">
        <v>85</v>
      </c>
      <c r="C15395">
        <v>1001</v>
      </c>
      <c r="D15395" t="s">
        <v>86</v>
      </c>
      <c r="E15395">
        <v>1.0992999999999999E-2</v>
      </c>
      <c r="F15395" t="s">
        <v>74</v>
      </c>
      <c r="G15395">
        <v>10.99253</v>
      </c>
      <c r="H15395" t="s">
        <v>75</v>
      </c>
      <c r="I15395">
        <v>10992.531000000001</v>
      </c>
      <c r="J15395" t="s">
        <v>76</v>
      </c>
      <c r="K15395" t="s">
        <v>82</v>
      </c>
      <c r="L15395">
        <v>90.970857699999996</v>
      </c>
    </row>
    <row r="15397" spans="1:12" x14ac:dyDescent="0.3">
      <c r="A15397" t="s">
        <v>552</v>
      </c>
    </row>
    <row r="15398" spans="1:12" x14ac:dyDescent="0.3">
      <c r="A15398" t="s">
        <v>496</v>
      </c>
      <c r="B15398" t="s">
        <v>72</v>
      </c>
      <c r="C15398">
        <v>1</v>
      </c>
      <c r="D15398" t="s">
        <v>81</v>
      </c>
      <c r="E15398">
        <v>3.9417000000000001E-2</v>
      </c>
      <c r="F15398" t="s">
        <v>74</v>
      </c>
      <c r="G15398">
        <v>39.416800000000002</v>
      </c>
      <c r="H15398" t="s">
        <v>75</v>
      </c>
      <c r="I15398">
        <v>39416.800999999999</v>
      </c>
      <c r="J15398" t="s">
        <v>76</v>
      </c>
      <c r="K15398" t="s">
        <v>82</v>
      </c>
      <c r="L15398">
        <v>25.3698923</v>
      </c>
    </row>
    <row r="15399" spans="1:12" x14ac:dyDescent="0.3">
      <c r="A15399" t="s">
        <v>496</v>
      </c>
      <c r="B15399" t="s">
        <v>83</v>
      </c>
      <c r="C15399">
        <v>753</v>
      </c>
      <c r="D15399" t="s">
        <v>81</v>
      </c>
      <c r="E15399">
        <v>2.5971000000000001E-2</v>
      </c>
      <c r="F15399" t="s">
        <v>74</v>
      </c>
      <c r="G15399">
        <v>25.97139</v>
      </c>
      <c r="H15399" t="s">
        <v>75</v>
      </c>
      <c r="I15399">
        <v>25971.385999999999</v>
      </c>
      <c r="J15399" t="s">
        <v>76</v>
      </c>
      <c r="K15399" t="s">
        <v>82</v>
      </c>
      <c r="L15399">
        <v>38.503913400000002</v>
      </c>
    </row>
    <row r="15400" spans="1:12" x14ac:dyDescent="0.3">
      <c r="A15400" t="s">
        <v>496</v>
      </c>
      <c r="B15400" t="s">
        <v>84</v>
      </c>
      <c r="C15400">
        <v>754</v>
      </c>
      <c r="D15400" t="s">
        <v>81</v>
      </c>
      <c r="E15400">
        <v>2.5989000000000002E-2</v>
      </c>
      <c r="F15400" t="s">
        <v>74</v>
      </c>
      <c r="G15400">
        <v>25.98922</v>
      </c>
      <c r="H15400" t="s">
        <v>75</v>
      </c>
      <c r="I15400">
        <v>25989.216</v>
      </c>
      <c r="J15400" t="s">
        <v>76</v>
      </c>
      <c r="K15400" t="s">
        <v>82</v>
      </c>
      <c r="L15400">
        <v>38.477497399999997</v>
      </c>
    </row>
    <row r="15401" spans="1:12" x14ac:dyDescent="0.3">
      <c r="A15401" t="s">
        <v>497</v>
      </c>
      <c r="B15401" t="s">
        <v>72</v>
      </c>
      <c r="C15401">
        <v>1</v>
      </c>
      <c r="D15401" t="s">
        <v>81</v>
      </c>
      <c r="E15401">
        <v>9.9306000000000005E-2</v>
      </c>
      <c r="F15401" t="s">
        <v>74</v>
      </c>
      <c r="G15401">
        <v>99.305499999999995</v>
      </c>
      <c r="H15401" t="s">
        <v>75</v>
      </c>
      <c r="I15401">
        <v>99305.502999999997</v>
      </c>
      <c r="J15401" t="s">
        <v>76</v>
      </c>
      <c r="K15401" t="s">
        <v>82</v>
      </c>
      <c r="L15401">
        <v>10.0699354</v>
      </c>
    </row>
    <row r="15402" spans="1:12" x14ac:dyDescent="0.3">
      <c r="A15402" t="s">
        <v>497</v>
      </c>
      <c r="B15402" t="s">
        <v>83</v>
      </c>
      <c r="C15402">
        <v>246</v>
      </c>
      <c r="D15402" t="s">
        <v>81</v>
      </c>
      <c r="E15402">
        <v>7.8232999999999997E-2</v>
      </c>
      <c r="F15402" t="s">
        <v>74</v>
      </c>
      <c r="G15402">
        <v>78.232579999999999</v>
      </c>
      <c r="H15402" t="s">
        <v>75</v>
      </c>
      <c r="I15402">
        <v>78232.578999999998</v>
      </c>
      <c r="J15402" t="s">
        <v>76</v>
      </c>
      <c r="K15402" t="s">
        <v>82</v>
      </c>
      <c r="L15402">
        <v>12.782398499999999</v>
      </c>
    </row>
    <row r="15403" spans="1:12" x14ac:dyDescent="0.3">
      <c r="A15403" t="s">
        <v>497</v>
      </c>
      <c r="B15403" t="s">
        <v>84</v>
      </c>
      <c r="C15403">
        <v>247</v>
      </c>
      <c r="D15403" t="s">
        <v>81</v>
      </c>
      <c r="E15403">
        <v>7.8317999999999999E-2</v>
      </c>
      <c r="F15403" t="s">
        <v>74</v>
      </c>
      <c r="G15403">
        <v>78.317890000000006</v>
      </c>
      <c r="H15403" t="s">
        <v>75</v>
      </c>
      <c r="I15403">
        <v>78317.888999999996</v>
      </c>
      <c r="J15403" t="s">
        <v>76</v>
      </c>
      <c r="K15403" t="s">
        <v>82</v>
      </c>
      <c r="L15403">
        <v>12.7684748</v>
      </c>
    </row>
    <row r="15404" spans="1:12" x14ac:dyDescent="0.3">
      <c r="A15404" t="s">
        <v>498</v>
      </c>
      <c r="B15404" t="s">
        <v>72</v>
      </c>
      <c r="C15404">
        <v>2</v>
      </c>
      <c r="D15404" t="s">
        <v>86</v>
      </c>
      <c r="E15404">
        <v>4.9657E-2</v>
      </c>
      <c r="F15404" t="s">
        <v>74</v>
      </c>
      <c r="G15404">
        <v>49.656750000000002</v>
      </c>
      <c r="H15404" t="s">
        <v>75</v>
      </c>
      <c r="I15404">
        <v>49656.749000000003</v>
      </c>
      <c r="J15404" t="s">
        <v>76</v>
      </c>
      <c r="K15404" t="s">
        <v>82</v>
      </c>
      <c r="L15404">
        <v>20.138249600000002</v>
      </c>
    </row>
    <row r="15405" spans="1:12" x14ac:dyDescent="0.3">
      <c r="A15405" t="s">
        <v>498</v>
      </c>
      <c r="B15405" t="s">
        <v>83</v>
      </c>
      <c r="C15405">
        <v>999</v>
      </c>
      <c r="D15405" t="s">
        <v>86</v>
      </c>
      <c r="E15405">
        <v>1.9581999999999999E-2</v>
      </c>
      <c r="F15405" t="s">
        <v>74</v>
      </c>
      <c r="G15405">
        <v>19.582039999999999</v>
      </c>
      <c r="H15405" t="s">
        <v>75</v>
      </c>
      <c r="I15405">
        <v>19582.044000000002</v>
      </c>
      <c r="J15405" t="s">
        <v>76</v>
      </c>
      <c r="K15405" t="s">
        <v>82</v>
      </c>
      <c r="L15405">
        <v>51.067192200000001</v>
      </c>
    </row>
    <row r="15406" spans="1:12" x14ac:dyDescent="0.3">
      <c r="A15406" t="s">
        <v>498</v>
      </c>
      <c r="B15406" t="s">
        <v>85</v>
      </c>
      <c r="C15406">
        <v>1001</v>
      </c>
      <c r="D15406" t="s">
        <v>86</v>
      </c>
      <c r="E15406">
        <v>1.959E-2</v>
      </c>
      <c r="F15406" t="s">
        <v>74</v>
      </c>
      <c r="G15406">
        <v>19.590019999999999</v>
      </c>
      <c r="H15406" t="s">
        <v>75</v>
      </c>
      <c r="I15406">
        <v>19590.021000000001</v>
      </c>
      <c r="J15406" t="s">
        <v>76</v>
      </c>
      <c r="K15406" t="s">
        <v>82</v>
      </c>
      <c r="L15406">
        <v>51.046396299999998</v>
      </c>
    </row>
    <row r="15408" spans="1:12" x14ac:dyDescent="0.3">
      <c r="A15408" t="s">
        <v>66</v>
      </c>
    </row>
    <row r="15410" spans="1:1" x14ac:dyDescent="0.3">
      <c r="A15410" t="s">
        <v>591</v>
      </c>
    </row>
    <row r="15411" spans="1:1" x14ac:dyDescent="0.3">
      <c r="A15411" t="s">
        <v>68</v>
      </c>
    </row>
    <row r="15412" spans="1:1" x14ac:dyDescent="0.3">
      <c r="A15412" t="s">
        <v>69</v>
      </c>
    </row>
    <row r="15413" spans="1:1" x14ac:dyDescent="0.3">
      <c r="A15413" t="s">
        <v>68</v>
      </c>
    </row>
    <row r="15414" spans="1:1" x14ac:dyDescent="0.3">
      <c r="A15414" t="s">
        <v>69</v>
      </c>
    </row>
    <row r="15415" spans="1:1" x14ac:dyDescent="0.3">
      <c r="A15415" t="s">
        <v>70</v>
      </c>
    </row>
    <row r="15416" spans="1:1" x14ac:dyDescent="0.3">
      <c r="A15416" t="s">
        <v>115</v>
      </c>
    </row>
    <row r="15417" spans="1:1" x14ac:dyDescent="0.3">
      <c r="A15417" t="s">
        <v>116</v>
      </c>
    </row>
    <row r="15418" spans="1:1" x14ac:dyDescent="0.3">
      <c r="A15418" t="s">
        <v>117</v>
      </c>
    </row>
    <row r="15419" spans="1:1" x14ac:dyDescent="0.3">
      <c r="A15419" t="s">
        <v>118</v>
      </c>
    </row>
    <row r="15420" spans="1:1" x14ac:dyDescent="0.3">
      <c r="A15420" t="s">
        <v>119</v>
      </c>
    </row>
    <row r="15421" spans="1:1" x14ac:dyDescent="0.3">
      <c r="A15421" t="s">
        <v>120</v>
      </c>
    </row>
    <row r="15422" spans="1:1" x14ac:dyDescent="0.3">
      <c r="A15422" t="s">
        <v>121</v>
      </c>
    </row>
    <row r="15423" spans="1:1" x14ac:dyDescent="0.3">
      <c r="A15423" t="s">
        <v>122</v>
      </c>
    </row>
    <row r="15424" spans="1:1" x14ac:dyDescent="0.3">
      <c r="A15424" t="s">
        <v>123</v>
      </c>
    </row>
    <row r="15425" spans="1:1" x14ac:dyDescent="0.3">
      <c r="A15425" t="s">
        <v>124</v>
      </c>
    </row>
    <row r="15426" spans="1:1" x14ac:dyDescent="0.3">
      <c r="A15426" t="s">
        <v>125</v>
      </c>
    </row>
    <row r="15427" spans="1:1" x14ac:dyDescent="0.3">
      <c r="A15427" t="s">
        <v>126</v>
      </c>
    </row>
    <row r="15428" spans="1:1" x14ac:dyDescent="0.3">
      <c r="A15428" t="s">
        <v>127</v>
      </c>
    </row>
    <row r="15429" spans="1:1" x14ac:dyDescent="0.3">
      <c r="A15429" t="s">
        <v>206</v>
      </c>
    </row>
    <row r="15430" spans="1:1" x14ac:dyDescent="0.3">
      <c r="A15430" t="s">
        <v>115</v>
      </c>
    </row>
    <row r="15431" spans="1:1" x14ac:dyDescent="0.3">
      <c r="A15431" t="s">
        <v>266</v>
      </c>
    </row>
    <row r="15432" spans="1:1" x14ac:dyDescent="0.3">
      <c r="A15432" t="s">
        <v>267</v>
      </c>
    </row>
    <row r="15433" spans="1:1" x14ac:dyDescent="0.3">
      <c r="A15433" t="s">
        <v>118</v>
      </c>
    </row>
    <row r="15434" spans="1:1" x14ac:dyDescent="0.3">
      <c r="A15434" t="s">
        <v>119</v>
      </c>
    </row>
    <row r="15435" spans="1:1" x14ac:dyDescent="0.3">
      <c r="A15435" t="s">
        <v>268</v>
      </c>
    </row>
    <row r="15436" spans="1:1" x14ac:dyDescent="0.3">
      <c r="A15436" t="s">
        <v>269</v>
      </c>
    </row>
    <row r="15437" spans="1:1" x14ac:dyDescent="0.3">
      <c r="A15437" t="s">
        <v>122</v>
      </c>
    </row>
    <row r="15438" spans="1:1" x14ac:dyDescent="0.3">
      <c r="A15438" t="s">
        <v>270</v>
      </c>
    </row>
    <row r="15439" spans="1:1" x14ac:dyDescent="0.3">
      <c r="A15439" t="s">
        <v>271</v>
      </c>
    </row>
    <row r="15440" spans="1:1" x14ac:dyDescent="0.3">
      <c r="A15440" t="s">
        <v>125</v>
      </c>
    </row>
    <row r="15441" spans="1:12" x14ac:dyDescent="0.3">
      <c r="A15441" t="s">
        <v>126</v>
      </c>
    </row>
    <row r="15442" spans="1:12" x14ac:dyDescent="0.3">
      <c r="A15442" t="s">
        <v>127</v>
      </c>
    </row>
    <row r="15443" spans="1:12" x14ac:dyDescent="0.3">
      <c r="A15443" t="s">
        <v>206</v>
      </c>
    </row>
    <row r="15444" spans="1:12" x14ac:dyDescent="0.3">
      <c r="A15444" t="s">
        <v>554</v>
      </c>
    </row>
    <row r="15445" spans="1:12" x14ac:dyDescent="0.3">
      <c r="A15445" t="s">
        <v>496</v>
      </c>
      <c r="B15445" t="s">
        <v>72</v>
      </c>
      <c r="C15445">
        <v>1</v>
      </c>
      <c r="D15445" t="s">
        <v>79</v>
      </c>
      <c r="E15445">
        <v>0.40104200000000001</v>
      </c>
      <c r="F15445" t="s">
        <v>74</v>
      </c>
      <c r="G15445">
        <v>401.04181</v>
      </c>
      <c r="H15445" t="s">
        <v>75</v>
      </c>
      <c r="I15445">
        <v>401041.80599999998</v>
      </c>
      <c r="J15445" t="s">
        <v>76</v>
      </c>
      <c r="K15445" t="s">
        <v>77</v>
      </c>
    </row>
    <row r="15446" spans="1:12" x14ac:dyDescent="0.3">
      <c r="A15446" t="s">
        <v>496</v>
      </c>
      <c r="B15446" t="s">
        <v>72</v>
      </c>
      <c r="C15446">
        <v>1</v>
      </c>
      <c r="D15446" t="s">
        <v>94</v>
      </c>
      <c r="E15446">
        <v>5.3023000000000001E-2</v>
      </c>
      <c r="F15446" t="s">
        <v>74</v>
      </c>
      <c r="G15446">
        <v>53.022500000000001</v>
      </c>
      <c r="H15446" t="s">
        <v>75</v>
      </c>
      <c r="I15446">
        <v>53022.5</v>
      </c>
      <c r="J15446" t="s">
        <v>76</v>
      </c>
      <c r="K15446" t="s">
        <v>77</v>
      </c>
    </row>
    <row r="15447" spans="1:12" x14ac:dyDescent="0.3">
      <c r="A15447" t="s">
        <v>496</v>
      </c>
      <c r="B15447" t="s">
        <v>72</v>
      </c>
      <c r="C15447">
        <v>1</v>
      </c>
      <c r="D15447" t="s">
        <v>80</v>
      </c>
      <c r="E15447">
        <v>5.3024000000000002E-2</v>
      </c>
      <c r="F15447" t="s">
        <v>74</v>
      </c>
      <c r="G15447">
        <v>53.023699999999998</v>
      </c>
      <c r="H15447" t="s">
        <v>75</v>
      </c>
      <c r="I15447">
        <v>53023.7</v>
      </c>
      <c r="J15447" t="s">
        <v>76</v>
      </c>
      <c r="K15447" t="s">
        <v>77</v>
      </c>
    </row>
    <row r="15448" spans="1:12" x14ac:dyDescent="0.3">
      <c r="A15448" t="s">
        <v>496</v>
      </c>
      <c r="B15448" t="s">
        <v>72</v>
      </c>
      <c r="C15448">
        <v>1</v>
      </c>
      <c r="D15448" t="s">
        <v>81</v>
      </c>
      <c r="E15448">
        <v>0.45406600000000003</v>
      </c>
      <c r="F15448" t="s">
        <v>74</v>
      </c>
      <c r="G15448">
        <v>454.06630999999999</v>
      </c>
      <c r="H15448" t="s">
        <v>75</v>
      </c>
      <c r="I15448">
        <v>454066.30599999998</v>
      </c>
      <c r="J15448" t="s">
        <v>76</v>
      </c>
      <c r="K15448" t="s">
        <v>82</v>
      </c>
      <c r="L15448">
        <v>2.2023215</v>
      </c>
    </row>
    <row r="15449" spans="1:12" x14ac:dyDescent="0.3">
      <c r="A15449" t="s">
        <v>496</v>
      </c>
      <c r="B15449" t="s">
        <v>83</v>
      </c>
      <c r="C15449">
        <v>644</v>
      </c>
      <c r="D15449" t="s">
        <v>79</v>
      </c>
      <c r="E15449">
        <v>6.0499999999999996E-4</v>
      </c>
      <c r="F15449" t="s">
        <v>74</v>
      </c>
      <c r="G15449">
        <v>0.60460999999999998</v>
      </c>
      <c r="H15449" t="s">
        <v>75</v>
      </c>
      <c r="I15449">
        <v>604.61199999999997</v>
      </c>
      <c r="J15449" t="s">
        <v>76</v>
      </c>
      <c r="K15449" t="s">
        <v>77</v>
      </c>
    </row>
    <row r="15450" spans="1:12" x14ac:dyDescent="0.3">
      <c r="A15450" t="s">
        <v>496</v>
      </c>
      <c r="B15450" t="s">
        <v>83</v>
      </c>
      <c r="C15450">
        <v>644</v>
      </c>
      <c r="D15450" t="s">
        <v>94</v>
      </c>
      <c r="E15450">
        <v>1.6178999999999999E-2</v>
      </c>
      <c r="F15450" t="s">
        <v>74</v>
      </c>
      <c r="G15450">
        <v>16.17877</v>
      </c>
      <c r="H15450" t="s">
        <v>75</v>
      </c>
      <c r="I15450">
        <v>16178.766</v>
      </c>
      <c r="J15450" t="s">
        <v>76</v>
      </c>
      <c r="K15450" t="s">
        <v>77</v>
      </c>
    </row>
    <row r="15451" spans="1:12" x14ac:dyDescent="0.3">
      <c r="A15451" t="s">
        <v>496</v>
      </c>
      <c r="B15451" t="s">
        <v>83</v>
      </c>
      <c r="C15451">
        <v>644</v>
      </c>
      <c r="D15451" t="s">
        <v>80</v>
      </c>
      <c r="E15451">
        <v>1.618E-2</v>
      </c>
      <c r="F15451" t="s">
        <v>74</v>
      </c>
      <c r="G15451">
        <v>16.179680000000001</v>
      </c>
      <c r="H15451" t="s">
        <v>75</v>
      </c>
      <c r="I15451">
        <v>16179.684999999999</v>
      </c>
      <c r="J15451" t="s">
        <v>76</v>
      </c>
      <c r="K15451" t="s">
        <v>77</v>
      </c>
    </row>
    <row r="15452" spans="1:12" x14ac:dyDescent="0.3">
      <c r="A15452" t="s">
        <v>496</v>
      </c>
      <c r="B15452" t="s">
        <v>83</v>
      </c>
      <c r="C15452">
        <v>644</v>
      </c>
      <c r="D15452" t="s">
        <v>81</v>
      </c>
      <c r="E15452">
        <v>1.6785000000000001E-2</v>
      </c>
      <c r="F15452" t="s">
        <v>74</v>
      </c>
      <c r="G15452">
        <v>16.784780000000001</v>
      </c>
      <c r="H15452" t="s">
        <v>75</v>
      </c>
      <c r="I15452">
        <v>16784.780999999999</v>
      </c>
      <c r="J15452" t="s">
        <v>76</v>
      </c>
      <c r="K15452" t="s">
        <v>82</v>
      </c>
      <c r="L15452">
        <v>59.577782300000003</v>
      </c>
    </row>
    <row r="15453" spans="1:12" x14ac:dyDescent="0.3">
      <c r="A15453" t="s">
        <v>496</v>
      </c>
      <c r="B15453" t="s">
        <v>84</v>
      </c>
      <c r="C15453">
        <v>645</v>
      </c>
      <c r="D15453" t="s">
        <v>79</v>
      </c>
      <c r="E15453">
        <v>1.225E-3</v>
      </c>
      <c r="F15453" t="s">
        <v>74</v>
      </c>
      <c r="G15453">
        <v>1.2254400000000001</v>
      </c>
      <c r="H15453" t="s">
        <v>75</v>
      </c>
      <c r="I15453">
        <v>1225.4449999999999</v>
      </c>
      <c r="J15453" t="s">
        <v>76</v>
      </c>
      <c r="K15453" t="s">
        <v>77</v>
      </c>
    </row>
    <row r="15454" spans="1:12" x14ac:dyDescent="0.3">
      <c r="A15454" t="s">
        <v>496</v>
      </c>
      <c r="B15454" t="s">
        <v>84</v>
      </c>
      <c r="C15454">
        <v>645</v>
      </c>
      <c r="D15454" t="s">
        <v>94</v>
      </c>
      <c r="E15454">
        <v>1.6236E-2</v>
      </c>
      <c r="F15454" t="s">
        <v>74</v>
      </c>
      <c r="G15454">
        <v>16.235890000000001</v>
      </c>
      <c r="H15454" t="s">
        <v>75</v>
      </c>
      <c r="I15454">
        <v>16235.89</v>
      </c>
      <c r="J15454" t="s">
        <v>76</v>
      </c>
      <c r="K15454" t="s">
        <v>77</v>
      </c>
    </row>
    <row r="15455" spans="1:12" x14ac:dyDescent="0.3">
      <c r="A15455" t="s">
        <v>496</v>
      </c>
      <c r="B15455" t="s">
        <v>84</v>
      </c>
      <c r="C15455">
        <v>645</v>
      </c>
      <c r="D15455" t="s">
        <v>80</v>
      </c>
      <c r="E15455">
        <v>1.6237000000000001E-2</v>
      </c>
      <c r="F15455" t="s">
        <v>74</v>
      </c>
      <c r="G15455">
        <v>16.236809999999998</v>
      </c>
      <c r="H15455" t="s">
        <v>75</v>
      </c>
      <c r="I15455">
        <v>16236.808000000001</v>
      </c>
      <c r="J15455" t="s">
        <v>76</v>
      </c>
      <c r="K15455" t="s">
        <v>77</v>
      </c>
    </row>
    <row r="15456" spans="1:12" x14ac:dyDescent="0.3">
      <c r="A15456" t="s">
        <v>496</v>
      </c>
      <c r="B15456" t="s">
        <v>84</v>
      </c>
      <c r="C15456">
        <v>645</v>
      </c>
      <c r="D15456" t="s">
        <v>81</v>
      </c>
      <c r="E15456">
        <v>1.7462999999999999E-2</v>
      </c>
      <c r="F15456" t="s">
        <v>74</v>
      </c>
      <c r="G15456">
        <v>17.46274</v>
      </c>
      <c r="H15456" t="s">
        <v>75</v>
      </c>
      <c r="I15456">
        <v>17462.736000000001</v>
      </c>
      <c r="J15456" t="s">
        <v>76</v>
      </c>
      <c r="K15456" t="s">
        <v>82</v>
      </c>
      <c r="L15456">
        <v>57.264794100000003</v>
      </c>
    </row>
    <row r="15457" spans="1:12" x14ac:dyDescent="0.3">
      <c r="A15457" t="s">
        <v>497</v>
      </c>
      <c r="B15457" t="s">
        <v>72</v>
      </c>
      <c r="C15457">
        <v>1</v>
      </c>
      <c r="D15457" t="s">
        <v>79</v>
      </c>
      <c r="E15457">
        <v>0.14758099999999999</v>
      </c>
      <c r="F15457" t="s">
        <v>74</v>
      </c>
      <c r="G15457">
        <v>147.58129</v>
      </c>
      <c r="H15457" t="s">
        <v>75</v>
      </c>
      <c r="I15457">
        <v>147581.29399999999</v>
      </c>
      <c r="J15457" t="s">
        <v>76</v>
      </c>
      <c r="K15457" t="s">
        <v>77</v>
      </c>
    </row>
    <row r="15458" spans="1:12" x14ac:dyDescent="0.3">
      <c r="A15458" t="s">
        <v>497</v>
      </c>
      <c r="B15458" t="s">
        <v>72</v>
      </c>
      <c r="C15458">
        <v>1</v>
      </c>
      <c r="D15458" t="s">
        <v>94</v>
      </c>
      <c r="E15458">
        <v>1.8069999999999999E-2</v>
      </c>
      <c r="F15458" t="s">
        <v>74</v>
      </c>
      <c r="G15458">
        <v>18.069800000000001</v>
      </c>
      <c r="H15458" t="s">
        <v>75</v>
      </c>
      <c r="I15458">
        <v>18069.8</v>
      </c>
      <c r="J15458" t="s">
        <v>76</v>
      </c>
      <c r="K15458" t="s">
        <v>77</v>
      </c>
    </row>
    <row r="15459" spans="1:12" x14ac:dyDescent="0.3">
      <c r="A15459" t="s">
        <v>497</v>
      </c>
      <c r="B15459" t="s">
        <v>72</v>
      </c>
      <c r="C15459">
        <v>1</v>
      </c>
      <c r="D15459" t="s">
        <v>80</v>
      </c>
      <c r="E15459">
        <v>1.8071E-2</v>
      </c>
      <c r="F15459" t="s">
        <v>74</v>
      </c>
      <c r="G15459">
        <v>18.070699999999999</v>
      </c>
      <c r="H15459" t="s">
        <v>75</v>
      </c>
      <c r="I15459">
        <v>18070.7</v>
      </c>
      <c r="J15459" t="s">
        <v>76</v>
      </c>
      <c r="K15459" t="s">
        <v>77</v>
      </c>
    </row>
    <row r="15460" spans="1:12" x14ac:dyDescent="0.3">
      <c r="A15460" t="s">
        <v>497</v>
      </c>
      <c r="B15460" t="s">
        <v>72</v>
      </c>
      <c r="C15460">
        <v>1</v>
      </c>
      <c r="D15460" t="s">
        <v>81</v>
      </c>
      <c r="E15460">
        <v>0.16565299999999999</v>
      </c>
      <c r="F15460" t="s">
        <v>74</v>
      </c>
      <c r="G15460">
        <v>165.65260000000001</v>
      </c>
      <c r="H15460" t="s">
        <v>75</v>
      </c>
      <c r="I15460">
        <v>165652.603</v>
      </c>
      <c r="J15460" t="s">
        <v>76</v>
      </c>
      <c r="K15460" t="s">
        <v>82</v>
      </c>
      <c r="L15460">
        <v>6.0367297999999998</v>
      </c>
    </row>
    <row r="15461" spans="1:12" x14ac:dyDescent="0.3">
      <c r="A15461" t="s">
        <v>497</v>
      </c>
      <c r="B15461" t="s">
        <v>83</v>
      </c>
      <c r="C15461">
        <v>355</v>
      </c>
      <c r="D15461" t="s">
        <v>79</v>
      </c>
      <c r="E15461">
        <v>5.1099999999999995E-4</v>
      </c>
      <c r="F15461" t="s">
        <v>74</v>
      </c>
      <c r="G15461">
        <v>0.51078999999999997</v>
      </c>
      <c r="H15461" t="s">
        <v>75</v>
      </c>
      <c r="I15461">
        <v>510.786</v>
      </c>
      <c r="J15461" t="s">
        <v>76</v>
      </c>
      <c r="K15461" t="s">
        <v>77</v>
      </c>
    </row>
    <row r="15462" spans="1:12" x14ac:dyDescent="0.3">
      <c r="A15462" t="s">
        <v>497</v>
      </c>
      <c r="B15462" t="s">
        <v>83</v>
      </c>
      <c r="C15462">
        <v>355</v>
      </c>
      <c r="D15462" t="s">
        <v>94</v>
      </c>
      <c r="E15462">
        <v>3.0737E-2</v>
      </c>
      <c r="F15462" t="s">
        <v>74</v>
      </c>
      <c r="G15462">
        <v>30.737079999999999</v>
      </c>
      <c r="H15462" t="s">
        <v>75</v>
      </c>
      <c r="I15462">
        <v>30737.083999999999</v>
      </c>
      <c r="J15462" t="s">
        <v>76</v>
      </c>
      <c r="K15462" t="s">
        <v>77</v>
      </c>
    </row>
    <row r="15463" spans="1:12" x14ac:dyDescent="0.3">
      <c r="A15463" t="s">
        <v>497</v>
      </c>
      <c r="B15463" t="s">
        <v>83</v>
      </c>
      <c r="C15463">
        <v>355</v>
      </c>
      <c r="D15463" t="s">
        <v>80</v>
      </c>
      <c r="E15463">
        <v>3.0738000000000001E-2</v>
      </c>
      <c r="F15463" t="s">
        <v>74</v>
      </c>
      <c r="G15463">
        <v>30.737870000000001</v>
      </c>
      <c r="H15463" t="s">
        <v>75</v>
      </c>
      <c r="I15463">
        <v>30737.871999999999</v>
      </c>
      <c r="J15463" t="s">
        <v>76</v>
      </c>
      <c r="K15463" t="s">
        <v>77</v>
      </c>
    </row>
    <row r="15464" spans="1:12" x14ac:dyDescent="0.3">
      <c r="A15464" t="s">
        <v>497</v>
      </c>
      <c r="B15464" t="s">
        <v>83</v>
      </c>
      <c r="C15464">
        <v>355</v>
      </c>
      <c r="D15464" t="s">
        <v>81</v>
      </c>
      <c r="E15464">
        <v>3.1248999999999999E-2</v>
      </c>
      <c r="F15464" t="s">
        <v>74</v>
      </c>
      <c r="G15464">
        <v>31.24907</v>
      </c>
      <c r="H15464" t="s">
        <v>75</v>
      </c>
      <c r="I15464">
        <v>31249.073</v>
      </c>
      <c r="J15464" t="s">
        <v>76</v>
      </c>
      <c r="K15464" t="s">
        <v>82</v>
      </c>
      <c r="L15464">
        <v>32.0009491</v>
      </c>
    </row>
    <row r="15465" spans="1:12" x14ac:dyDescent="0.3">
      <c r="A15465" t="s">
        <v>497</v>
      </c>
      <c r="B15465" t="s">
        <v>84</v>
      </c>
      <c r="C15465">
        <v>356</v>
      </c>
      <c r="D15465" t="s">
        <v>79</v>
      </c>
      <c r="E15465">
        <v>9.2400000000000002E-4</v>
      </c>
      <c r="F15465" t="s">
        <v>74</v>
      </c>
      <c r="G15465">
        <v>0.92391000000000001</v>
      </c>
      <c r="H15465" t="s">
        <v>75</v>
      </c>
      <c r="I15465">
        <v>923.90499999999997</v>
      </c>
      <c r="J15465" t="s">
        <v>76</v>
      </c>
      <c r="K15465" t="s">
        <v>77</v>
      </c>
    </row>
    <row r="15466" spans="1:12" x14ac:dyDescent="0.3">
      <c r="A15466" t="s">
        <v>497</v>
      </c>
      <c r="B15466" t="s">
        <v>84</v>
      </c>
      <c r="C15466">
        <v>356</v>
      </c>
      <c r="D15466" t="s">
        <v>94</v>
      </c>
      <c r="E15466">
        <v>3.0702E-2</v>
      </c>
      <c r="F15466" t="s">
        <v>74</v>
      </c>
      <c r="G15466">
        <v>30.701499999999999</v>
      </c>
      <c r="H15466" t="s">
        <v>75</v>
      </c>
      <c r="I15466">
        <v>30701.503000000001</v>
      </c>
      <c r="J15466" t="s">
        <v>76</v>
      </c>
      <c r="K15466" t="s">
        <v>77</v>
      </c>
    </row>
    <row r="15467" spans="1:12" x14ac:dyDescent="0.3">
      <c r="A15467" t="s">
        <v>497</v>
      </c>
      <c r="B15467" t="s">
        <v>84</v>
      </c>
      <c r="C15467">
        <v>356</v>
      </c>
      <c r="D15467" t="s">
        <v>80</v>
      </c>
      <c r="E15467">
        <v>3.0702E-2</v>
      </c>
      <c r="F15467" t="s">
        <v>74</v>
      </c>
      <c r="G15467">
        <v>30.702290000000001</v>
      </c>
      <c r="H15467" t="s">
        <v>75</v>
      </c>
      <c r="I15467">
        <v>30702.288</v>
      </c>
      <c r="J15467" t="s">
        <v>76</v>
      </c>
      <c r="K15467" t="s">
        <v>77</v>
      </c>
    </row>
    <row r="15468" spans="1:12" x14ac:dyDescent="0.3">
      <c r="A15468" t="s">
        <v>497</v>
      </c>
      <c r="B15468" t="s">
        <v>84</v>
      </c>
      <c r="C15468">
        <v>356</v>
      </c>
      <c r="D15468" t="s">
        <v>81</v>
      </c>
      <c r="E15468">
        <v>3.1627000000000002E-2</v>
      </c>
      <c r="F15468" t="s">
        <v>74</v>
      </c>
      <c r="G15468">
        <v>31.626609999999999</v>
      </c>
      <c r="H15468" t="s">
        <v>75</v>
      </c>
      <c r="I15468">
        <v>31626.61</v>
      </c>
      <c r="J15468" t="s">
        <v>76</v>
      </c>
      <c r="K15468" t="s">
        <v>82</v>
      </c>
      <c r="L15468">
        <v>31.618943399999999</v>
      </c>
    </row>
    <row r="15469" spans="1:12" x14ac:dyDescent="0.3">
      <c r="A15469" t="s">
        <v>498</v>
      </c>
      <c r="B15469" t="s">
        <v>72</v>
      </c>
      <c r="C15469">
        <v>1</v>
      </c>
      <c r="D15469" t="s">
        <v>73</v>
      </c>
      <c r="E15469">
        <v>5.3000000000000001E-5</v>
      </c>
      <c r="F15469" t="s">
        <v>74</v>
      </c>
      <c r="G15469">
        <v>5.2699999999999997E-2</v>
      </c>
      <c r="H15469" t="s">
        <v>75</v>
      </c>
      <c r="I15469">
        <v>52.7</v>
      </c>
      <c r="J15469" t="s">
        <v>76</v>
      </c>
      <c r="K15469" t="s">
        <v>77</v>
      </c>
    </row>
    <row r="15470" spans="1:12" x14ac:dyDescent="0.3">
      <c r="A15470" t="s">
        <v>498</v>
      </c>
      <c r="B15470" t="s">
        <v>72</v>
      </c>
      <c r="C15470">
        <v>1</v>
      </c>
      <c r="D15470" t="s">
        <v>78</v>
      </c>
      <c r="E15470">
        <v>0.135821</v>
      </c>
      <c r="F15470" t="s">
        <v>74</v>
      </c>
      <c r="G15470">
        <v>135.82069999999999</v>
      </c>
      <c r="H15470" t="s">
        <v>75</v>
      </c>
      <c r="I15470">
        <v>135820.70199999999</v>
      </c>
      <c r="J15470" t="s">
        <v>76</v>
      </c>
      <c r="K15470" t="s">
        <v>77</v>
      </c>
    </row>
    <row r="15471" spans="1:12" x14ac:dyDescent="0.3">
      <c r="A15471" t="s">
        <v>498</v>
      </c>
      <c r="B15471" t="s">
        <v>72</v>
      </c>
      <c r="C15471">
        <v>2</v>
      </c>
      <c r="D15471" t="s">
        <v>86</v>
      </c>
      <c r="E15471">
        <v>0.22706200000000001</v>
      </c>
      <c r="F15471" t="s">
        <v>74</v>
      </c>
      <c r="G15471">
        <v>227.06155000000001</v>
      </c>
      <c r="H15471" t="s">
        <v>75</v>
      </c>
      <c r="I15471">
        <v>227061.55499999999</v>
      </c>
      <c r="J15471" t="s">
        <v>76</v>
      </c>
      <c r="K15471" t="s">
        <v>82</v>
      </c>
      <c r="L15471">
        <v>4.4040920999999997</v>
      </c>
    </row>
    <row r="15472" spans="1:12" x14ac:dyDescent="0.3">
      <c r="A15472" t="s">
        <v>498</v>
      </c>
      <c r="B15472" t="s">
        <v>83</v>
      </c>
      <c r="C15472">
        <v>999</v>
      </c>
      <c r="D15472" t="s">
        <v>86</v>
      </c>
      <c r="E15472">
        <v>1.1107000000000001E-2</v>
      </c>
      <c r="F15472" t="s">
        <v>74</v>
      </c>
      <c r="G15472">
        <v>11.106820000000001</v>
      </c>
      <c r="H15472" t="s">
        <v>75</v>
      </c>
      <c r="I15472">
        <v>11106.817999999999</v>
      </c>
      <c r="J15472" t="s">
        <v>76</v>
      </c>
      <c r="K15472" t="s">
        <v>82</v>
      </c>
      <c r="L15472">
        <v>90.034791100000007</v>
      </c>
    </row>
    <row r="15473" spans="1:12" x14ac:dyDescent="0.3">
      <c r="A15473" t="s">
        <v>498</v>
      </c>
      <c r="B15473" t="s">
        <v>85</v>
      </c>
      <c r="C15473">
        <v>1001</v>
      </c>
      <c r="D15473" t="s">
        <v>86</v>
      </c>
      <c r="E15473">
        <v>1.1269E-2</v>
      </c>
      <c r="F15473" t="s">
        <v>74</v>
      </c>
      <c r="G15473">
        <v>11.26911</v>
      </c>
      <c r="H15473" t="s">
        <v>75</v>
      </c>
      <c r="I15473">
        <v>11269.115</v>
      </c>
      <c r="J15473" t="s">
        <v>76</v>
      </c>
      <c r="K15473" t="s">
        <v>82</v>
      </c>
      <c r="L15473">
        <v>88.738113400000003</v>
      </c>
    </row>
    <row r="15474" spans="1:12" x14ac:dyDescent="0.3">
      <c r="A15474" t="s">
        <v>208</v>
      </c>
    </row>
    <row r="15475" spans="1:12" x14ac:dyDescent="0.3">
      <c r="A15475" t="s">
        <v>208</v>
      </c>
    </row>
    <row r="15476" spans="1:12" x14ac:dyDescent="0.3">
      <c r="A15476" t="s">
        <v>555</v>
      </c>
    </row>
    <row r="15477" spans="1:12" x14ac:dyDescent="0.3">
      <c r="A15477" t="s">
        <v>496</v>
      </c>
      <c r="B15477" t="s">
        <v>72</v>
      </c>
      <c r="C15477">
        <v>1</v>
      </c>
      <c r="D15477" t="s">
        <v>79</v>
      </c>
      <c r="E15477">
        <v>7.0959999999999999E-3</v>
      </c>
      <c r="F15477" t="s">
        <v>74</v>
      </c>
      <c r="G15477">
        <v>7.0963000000000003</v>
      </c>
      <c r="H15477" t="s">
        <v>75</v>
      </c>
      <c r="I15477">
        <v>7096.3</v>
      </c>
      <c r="J15477" t="s">
        <v>76</v>
      </c>
      <c r="K15477" t="s">
        <v>77</v>
      </c>
    </row>
    <row r="15478" spans="1:12" x14ac:dyDescent="0.3">
      <c r="A15478" t="s">
        <v>496</v>
      </c>
      <c r="B15478" t="s">
        <v>72</v>
      </c>
      <c r="C15478">
        <v>1</v>
      </c>
      <c r="D15478" t="s">
        <v>94</v>
      </c>
      <c r="E15478">
        <v>3.0157E-2</v>
      </c>
      <c r="F15478" t="s">
        <v>74</v>
      </c>
      <c r="G15478">
        <v>30.1568</v>
      </c>
      <c r="H15478" t="s">
        <v>75</v>
      </c>
      <c r="I15478">
        <v>30156.800999999999</v>
      </c>
      <c r="J15478" t="s">
        <v>76</v>
      </c>
      <c r="K15478" t="s">
        <v>77</v>
      </c>
    </row>
    <row r="15479" spans="1:12" x14ac:dyDescent="0.3">
      <c r="A15479" t="s">
        <v>496</v>
      </c>
      <c r="B15479" t="s">
        <v>72</v>
      </c>
      <c r="C15479">
        <v>1</v>
      </c>
      <c r="D15479" t="s">
        <v>80</v>
      </c>
      <c r="E15479">
        <v>3.0158000000000001E-2</v>
      </c>
      <c r="F15479" t="s">
        <v>74</v>
      </c>
      <c r="G15479">
        <v>30.158100000000001</v>
      </c>
      <c r="H15479" t="s">
        <v>75</v>
      </c>
      <c r="I15479">
        <v>30158.100999999999</v>
      </c>
      <c r="J15479" t="s">
        <v>76</v>
      </c>
      <c r="K15479" t="s">
        <v>77</v>
      </c>
    </row>
    <row r="15480" spans="1:12" x14ac:dyDescent="0.3">
      <c r="A15480" t="s">
        <v>496</v>
      </c>
      <c r="B15480" t="s">
        <v>72</v>
      </c>
      <c r="C15480">
        <v>1</v>
      </c>
      <c r="D15480" t="s">
        <v>81</v>
      </c>
      <c r="E15480">
        <v>3.7255000000000003E-2</v>
      </c>
      <c r="F15480" t="s">
        <v>74</v>
      </c>
      <c r="G15480">
        <v>37.254800000000003</v>
      </c>
      <c r="H15480" t="s">
        <v>75</v>
      </c>
      <c r="I15480">
        <v>37254.798999999999</v>
      </c>
      <c r="J15480" t="s">
        <v>76</v>
      </c>
      <c r="K15480" t="s">
        <v>82</v>
      </c>
      <c r="L15480">
        <v>26.842179300000002</v>
      </c>
    </row>
    <row r="15481" spans="1:12" x14ac:dyDescent="0.3">
      <c r="A15481" t="s">
        <v>496</v>
      </c>
      <c r="B15481" t="s">
        <v>83</v>
      </c>
      <c r="C15481">
        <v>753</v>
      </c>
      <c r="D15481" t="s">
        <v>79</v>
      </c>
      <c r="E15481">
        <v>6.9300000000000004E-4</v>
      </c>
      <c r="F15481" t="s">
        <v>74</v>
      </c>
      <c r="G15481">
        <v>0.69274000000000002</v>
      </c>
      <c r="H15481" t="s">
        <v>75</v>
      </c>
      <c r="I15481">
        <v>692.73599999999999</v>
      </c>
      <c r="J15481" t="s">
        <v>76</v>
      </c>
      <c r="K15481" t="s">
        <v>77</v>
      </c>
    </row>
    <row r="15482" spans="1:12" x14ac:dyDescent="0.3">
      <c r="A15482" t="s">
        <v>496</v>
      </c>
      <c r="B15482" t="s">
        <v>83</v>
      </c>
      <c r="C15482">
        <v>753</v>
      </c>
      <c r="D15482" t="s">
        <v>94</v>
      </c>
      <c r="E15482">
        <v>2.6127999999999998E-2</v>
      </c>
      <c r="F15482" t="s">
        <v>74</v>
      </c>
      <c r="G15482">
        <v>26.128419999999998</v>
      </c>
      <c r="H15482" t="s">
        <v>75</v>
      </c>
      <c r="I15482">
        <v>26128.423999999999</v>
      </c>
      <c r="J15482" t="s">
        <v>76</v>
      </c>
      <c r="K15482" t="s">
        <v>77</v>
      </c>
    </row>
    <row r="15483" spans="1:12" x14ac:dyDescent="0.3">
      <c r="A15483" t="s">
        <v>496</v>
      </c>
      <c r="B15483" t="s">
        <v>83</v>
      </c>
      <c r="C15483">
        <v>753</v>
      </c>
      <c r="D15483" t="s">
        <v>80</v>
      </c>
      <c r="E15483">
        <v>2.6362E-2</v>
      </c>
      <c r="F15483" t="s">
        <v>74</v>
      </c>
      <c r="G15483">
        <v>26.361630000000002</v>
      </c>
      <c r="H15483" t="s">
        <v>75</v>
      </c>
      <c r="I15483">
        <v>26361.63</v>
      </c>
      <c r="J15483" t="s">
        <v>76</v>
      </c>
      <c r="K15483" t="s">
        <v>77</v>
      </c>
    </row>
    <row r="15484" spans="1:12" x14ac:dyDescent="0.3">
      <c r="A15484" t="s">
        <v>496</v>
      </c>
      <c r="B15484" t="s">
        <v>83</v>
      </c>
      <c r="C15484">
        <v>753</v>
      </c>
      <c r="D15484" t="s">
        <v>81</v>
      </c>
      <c r="E15484">
        <v>2.7054999999999999E-2</v>
      </c>
      <c r="F15484" t="s">
        <v>74</v>
      </c>
      <c r="G15484">
        <v>27.054919999999999</v>
      </c>
      <c r="H15484" t="s">
        <v>75</v>
      </c>
      <c r="I15484">
        <v>27054.924999999999</v>
      </c>
      <c r="J15484" t="s">
        <v>76</v>
      </c>
      <c r="K15484" t="s">
        <v>82</v>
      </c>
      <c r="L15484">
        <v>36.961847400000003</v>
      </c>
    </row>
    <row r="15485" spans="1:12" x14ac:dyDescent="0.3">
      <c r="A15485" t="s">
        <v>496</v>
      </c>
      <c r="B15485" t="s">
        <v>84</v>
      </c>
      <c r="C15485">
        <v>754</v>
      </c>
      <c r="D15485" t="s">
        <v>79</v>
      </c>
      <c r="E15485">
        <v>7.0100000000000002E-4</v>
      </c>
      <c r="F15485" t="s">
        <v>74</v>
      </c>
      <c r="G15485">
        <v>0.70123000000000002</v>
      </c>
      <c r="H15485" t="s">
        <v>75</v>
      </c>
      <c r="I15485">
        <v>701.22900000000004</v>
      </c>
      <c r="J15485" t="s">
        <v>76</v>
      </c>
      <c r="K15485" t="s">
        <v>77</v>
      </c>
    </row>
    <row r="15486" spans="1:12" x14ac:dyDescent="0.3">
      <c r="A15486" t="s">
        <v>496</v>
      </c>
      <c r="B15486" t="s">
        <v>84</v>
      </c>
      <c r="C15486">
        <v>754</v>
      </c>
      <c r="D15486" t="s">
        <v>94</v>
      </c>
      <c r="E15486">
        <v>2.6134000000000001E-2</v>
      </c>
      <c r="F15486" t="s">
        <v>74</v>
      </c>
      <c r="G15486">
        <v>26.133769999999998</v>
      </c>
      <c r="H15486" t="s">
        <v>75</v>
      </c>
      <c r="I15486">
        <v>26133.767</v>
      </c>
      <c r="J15486" t="s">
        <v>76</v>
      </c>
      <c r="K15486" t="s">
        <v>77</v>
      </c>
    </row>
    <row r="15487" spans="1:12" x14ac:dyDescent="0.3">
      <c r="A15487" t="s">
        <v>496</v>
      </c>
      <c r="B15487" t="s">
        <v>84</v>
      </c>
      <c r="C15487">
        <v>754</v>
      </c>
      <c r="D15487" t="s">
        <v>80</v>
      </c>
      <c r="E15487">
        <v>2.6367000000000002E-2</v>
      </c>
      <c r="F15487" t="s">
        <v>74</v>
      </c>
      <c r="G15487">
        <v>26.36666</v>
      </c>
      <c r="H15487" t="s">
        <v>75</v>
      </c>
      <c r="I15487">
        <v>26366.664000000001</v>
      </c>
      <c r="J15487" t="s">
        <v>76</v>
      </c>
      <c r="K15487" t="s">
        <v>77</v>
      </c>
    </row>
    <row r="15488" spans="1:12" x14ac:dyDescent="0.3">
      <c r="A15488" t="s">
        <v>496</v>
      </c>
      <c r="B15488" t="s">
        <v>84</v>
      </c>
      <c r="C15488">
        <v>754</v>
      </c>
      <c r="D15488" t="s">
        <v>81</v>
      </c>
      <c r="E15488">
        <v>2.7067999999999998E-2</v>
      </c>
      <c r="F15488" t="s">
        <v>74</v>
      </c>
      <c r="G15488">
        <v>27.068449999999999</v>
      </c>
      <c r="H15488" t="s">
        <v>75</v>
      </c>
      <c r="I15488">
        <v>27068.454000000002</v>
      </c>
      <c r="J15488" t="s">
        <v>76</v>
      </c>
      <c r="K15488" t="s">
        <v>82</v>
      </c>
      <c r="L15488">
        <v>36.943372799999999</v>
      </c>
    </row>
    <row r="15489" spans="1:12" x14ac:dyDescent="0.3">
      <c r="A15489" t="s">
        <v>497</v>
      </c>
      <c r="B15489" t="s">
        <v>72</v>
      </c>
      <c r="C15489">
        <v>1</v>
      </c>
      <c r="D15489" t="s">
        <v>79</v>
      </c>
      <c r="E15489">
        <v>1.1665E-2</v>
      </c>
      <c r="F15489" t="s">
        <v>74</v>
      </c>
      <c r="G15489">
        <v>11.6653</v>
      </c>
      <c r="H15489" t="s">
        <v>75</v>
      </c>
      <c r="I15489">
        <v>11665.3</v>
      </c>
      <c r="J15489" t="s">
        <v>76</v>
      </c>
      <c r="K15489" t="s">
        <v>77</v>
      </c>
    </row>
    <row r="15490" spans="1:12" x14ac:dyDescent="0.3">
      <c r="A15490" t="s">
        <v>497</v>
      </c>
      <c r="B15490" t="s">
        <v>72</v>
      </c>
      <c r="C15490">
        <v>1</v>
      </c>
      <c r="D15490" t="s">
        <v>94</v>
      </c>
      <c r="E15490">
        <v>0.103917</v>
      </c>
      <c r="F15490" t="s">
        <v>74</v>
      </c>
      <c r="G15490">
        <v>103.91719999999999</v>
      </c>
      <c r="H15490" t="s">
        <v>75</v>
      </c>
      <c r="I15490">
        <v>103917.196</v>
      </c>
      <c r="J15490" t="s">
        <v>76</v>
      </c>
      <c r="K15490" t="s">
        <v>77</v>
      </c>
    </row>
    <row r="15491" spans="1:12" x14ac:dyDescent="0.3">
      <c r="A15491" t="s">
        <v>497</v>
      </c>
      <c r="B15491" t="s">
        <v>72</v>
      </c>
      <c r="C15491">
        <v>1</v>
      </c>
      <c r="D15491" t="s">
        <v>80</v>
      </c>
      <c r="E15491">
        <v>0.103918</v>
      </c>
      <c r="F15491" t="s">
        <v>74</v>
      </c>
      <c r="G15491">
        <v>103.9181</v>
      </c>
      <c r="H15491" t="s">
        <v>75</v>
      </c>
      <c r="I15491">
        <v>103918.098</v>
      </c>
      <c r="J15491" t="s">
        <v>76</v>
      </c>
      <c r="K15491" t="s">
        <v>77</v>
      </c>
    </row>
    <row r="15492" spans="1:12" x14ac:dyDescent="0.3">
      <c r="A15492" t="s">
        <v>497</v>
      </c>
      <c r="B15492" t="s">
        <v>72</v>
      </c>
      <c r="C15492">
        <v>1</v>
      </c>
      <c r="D15492" t="s">
        <v>81</v>
      </c>
      <c r="E15492">
        <v>0.11558499999999999</v>
      </c>
      <c r="F15492" t="s">
        <v>74</v>
      </c>
      <c r="G15492">
        <v>115.5855</v>
      </c>
      <c r="H15492" t="s">
        <v>75</v>
      </c>
      <c r="I15492">
        <v>115585.499</v>
      </c>
      <c r="J15492" t="s">
        <v>76</v>
      </c>
      <c r="K15492" t="s">
        <v>82</v>
      </c>
      <c r="L15492">
        <v>8.6516043000000007</v>
      </c>
    </row>
    <row r="15493" spans="1:12" x14ac:dyDescent="0.3">
      <c r="A15493" t="s">
        <v>497</v>
      </c>
      <c r="B15493" t="s">
        <v>83</v>
      </c>
      <c r="C15493">
        <v>246</v>
      </c>
      <c r="D15493" t="s">
        <v>79</v>
      </c>
      <c r="E15493">
        <v>1.9750000000000002E-3</v>
      </c>
      <c r="F15493" t="s">
        <v>74</v>
      </c>
      <c r="G15493">
        <v>1.9748399999999999</v>
      </c>
      <c r="H15493" t="s">
        <v>75</v>
      </c>
      <c r="I15493">
        <v>1974.84</v>
      </c>
      <c r="J15493" t="s">
        <v>76</v>
      </c>
      <c r="K15493" t="s">
        <v>77</v>
      </c>
    </row>
    <row r="15494" spans="1:12" x14ac:dyDescent="0.3">
      <c r="A15494" t="s">
        <v>497</v>
      </c>
      <c r="B15494" t="s">
        <v>83</v>
      </c>
      <c r="C15494">
        <v>246</v>
      </c>
      <c r="D15494" t="s">
        <v>94</v>
      </c>
      <c r="E15494">
        <v>7.8909999999999994E-2</v>
      </c>
      <c r="F15494" t="s">
        <v>74</v>
      </c>
      <c r="G15494">
        <v>78.910420000000002</v>
      </c>
      <c r="H15494" t="s">
        <v>75</v>
      </c>
      <c r="I15494">
        <v>78910.417000000001</v>
      </c>
      <c r="J15494" t="s">
        <v>76</v>
      </c>
      <c r="K15494" t="s">
        <v>77</v>
      </c>
    </row>
    <row r="15495" spans="1:12" x14ac:dyDescent="0.3">
      <c r="A15495" t="s">
        <v>497</v>
      </c>
      <c r="B15495" t="s">
        <v>83</v>
      </c>
      <c r="C15495">
        <v>246</v>
      </c>
      <c r="D15495" t="s">
        <v>80</v>
      </c>
      <c r="E15495">
        <v>7.9807000000000003E-2</v>
      </c>
      <c r="F15495" t="s">
        <v>74</v>
      </c>
      <c r="G15495">
        <v>79.80735</v>
      </c>
      <c r="H15495" t="s">
        <v>75</v>
      </c>
      <c r="I15495">
        <v>79807.350999999995</v>
      </c>
      <c r="J15495" t="s">
        <v>76</v>
      </c>
      <c r="K15495" t="s">
        <v>77</v>
      </c>
    </row>
    <row r="15496" spans="1:12" x14ac:dyDescent="0.3">
      <c r="A15496" t="s">
        <v>497</v>
      </c>
      <c r="B15496" t="s">
        <v>83</v>
      </c>
      <c r="C15496">
        <v>246</v>
      </c>
      <c r="D15496" t="s">
        <v>81</v>
      </c>
      <c r="E15496">
        <v>8.1784999999999997E-2</v>
      </c>
      <c r="F15496" t="s">
        <v>74</v>
      </c>
      <c r="G15496">
        <v>81.784570000000002</v>
      </c>
      <c r="H15496" t="s">
        <v>75</v>
      </c>
      <c r="I15496">
        <v>81784.573999999993</v>
      </c>
      <c r="J15496" t="s">
        <v>76</v>
      </c>
      <c r="K15496" t="s">
        <v>82</v>
      </c>
      <c r="L15496">
        <v>12.2272447</v>
      </c>
    </row>
    <row r="15497" spans="1:12" x14ac:dyDescent="0.3">
      <c r="A15497" t="s">
        <v>497</v>
      </c>
      <c r="B15497" t="s">
        <v>84</v>
      </c>
      <c r="C15497">
        <v>247</v>
      </c>
      <c r="D15497" t="s">
        <v>79</v>
      </c>
      <c r="E15497">
        <v>2.0140000000000002E-3</v>
      </c>
      <c r="F15497" t="s">
        <v>74</v>
      </c>
      <c r="G15497">
        <v>2.0140699999999998</v>
      </c>
      <c r="H15497" t="s">
        <v>75</v>
      </c>
      <c r="I15497">
        <v>2014.0730000000001</v>
      </c>
      <c r="J15497" t="s">
        <v>76</v>
      </c>
      <c r="K15497" t="s">
        <v>77</v>
      </c>
    </row>
    <row r="15498" spans="1:12" x14ac:dyDescent="0.3">
      <c r="A15498" t="s">
        <v>497</v>
      </c>
      <c r="B15498" t="s">
        <v>84</v>
      </c>
      <c r="C15498">
        <v>247</v>
      </c>
      <c r="D15498" t="s">
        <v>94</v>
      </c>
      <c r="E15498">
        <v>7.9011999999999999E-2</v>
      </c>
      <c r="F15498" t="s">
        <v>74</v>
      </c>
      <c r="G15498">
        <v>79.011660000000006</v>
      </c>
      <c r="H15498" t="s">
        <v>75</v>
      </c>
      <c r="I15498">
        <v>79011.661999999997</v>
      </c>
      <c r="J15498" t="s">
        <v>76</v>
      </c>
      <c r="K15498" t="s">
        <v>77</v>
      </c>
    </row>
    <row r="15499" spans="1:12" x14ac:dyDescent="0.3">
      <c r="A15499" t="s">
        <v>497</v>
      </c>
      <c r="B15499" t="s">
        <v>84</v>
      </c>
      <c r="C15499">
        <v>247</v>
      </c>
      <c r="D15499" t="s">
        <v>80</v>
      </c>
      <c r="E15499">
        <v>7.9905000000000004E-2</v>
      </c>
      <c r="F15499" t="s">
        <v>74</v>
      </c>
      <c r="G15499">
        <v>79.904970000000006</v>
      </c>
      <c r="H15499" t="s">
        <v>75</v>
      </c>
      <c r="I15499">
        <v>79904.966</v>
      </c>
      <c r="J15499" t="s">
        <v>76</v>
      </c>
      <c r="K15499" t="s">
        <v>77</v>
      </c>
    </row>
    <row r="15500" spans="1:12" x14ac:dyDescent="0.3">
      <c r="A15500" t="s">
        <v>497</v>
      </c>
      <c r="B15500" t="s">
        <v>84</v>
      </c>
      <c r="C15500">
        <v>247</v>
      </c>
      <c r="D15500" t="s">
        <v>81</v>
      </c>
      <c r="E15500">
        <v>8.1920999999999994E-2</v>
      </c>
      <c r="F15500" t="s">
        <v>74</v>
      </c>
      <c r="G15500">
        <v>81.921419999999998</v>
      </c>
      <c r="H15500" t="s">
        <v>75</v>
      </c>
      <c r="I15500">
        <v>81921.418999999994</v>
      </c>
      <c r="J15500" t="s">
        <v>76</v>
      </c>
      <c r="K15500" t="s">
        <v>82</v>
      </c>
      <c r="L15500">
        <v>12.2068198</v>
      </c>
    </row>
    <row r="15501" spans="1:12" x14ac:dyDescent="0.3">
      <c r="A15501" t="s">
        <v>498</v>
      </c>
      <c r="B15501" t="s">
        <v>72</v>
      </c>
      <c r="C15501">
        <v>1</v>
      </c>
      <c r="D15501" t="s">
        <v>73</v>
      </c>
      <c r="E15501">
        <v>5.3000000000000001E-5</v>
      </c>
      <c r="F15501" t="s">
        <v>74</v>
      </c>
      <c r="G15501">
        <v>5.2699999999999997E-2</v>
      </c>
      <c r="H15501" t="s">
        <v>75</v>
      </c>
      <c r="I15501">
        <v>52.7</v>
      </c>
      <c r="J15501" t="s">
        <v>76</v>
      </c>
      <c r="K15501" t="s">
        <v>77</v>
      </c>
    </row>
    <row r="15502" spans="1:12" x14ac:dyDescent="0.3">
      <c r="A15502" t="s">
        <v>498</v>
      </c>
      <c r="B15502" t="s">
        <v>72</v>
      </c>
      <c r="C15502">
        <v>1</v>
      </c>
      <c r="D15502" t="s">
        <v>78</v>
      </c>
      <c r="E15502">
        <v>8.0199999999999998E-4</v>
      </c>
      <c r="F15502" t="s">
        <v>74</v>
      </c>
      <c r="G15502">
        <v>0.8024</v>
      </c>
      <c r="H15502" t="s">
        <v>75</v>
      </c>
      <c r="I15502">
        <v>802.4</v>
      </c>
      <c r="J15502" t="s">
        <v>76</v>
      </c>
      <c r="K15502" t="s">
        <v>77</v>
      </c>
    </row>
    <row r="15503" spans="1:12" x14ac:dyDescent="0.3">
      <c r="A15503" t="s">
        <v>498</v>
      </c>
      <c r="B15503" t="s">
        <v>72</v>
      </c>
      <c r="C15503">
        <v>2</v>
      </c>
      <c r="D15503" t="s">
        <v>86</v>
      </c>
      <c r="E15503">
        <v>5.7796E-2</v>
      </c>
      <c r="F15503" t="s">
        <v>74</v>
      </c>
      <c r="G15503">
        <v>57.795699999999997</v>
      </c>
      <c r="H15503" t="s">
        <v>75</v>
      </c>
      <c r="I15503">
        <v>57795.7</v>
      </c>
      <c r="J15503" t="s">
        <v>76</v>
      </c>
      <c r="K15503" t="s">
        <v>82</v>
      </c>
      <c r="L15503">
        <v>17.302325400000001</v>
      </c>
    </row>
    <row r="15504" spans="1:12" x14ac:dyDescent="0.3">
      <c r="A15504" t="s">
        <v>498</v>
      </c>
      <c r="B15504" t="s">
        <v>83</v>
      </c>
      <c r="C15504">
        <v>999</v>
      </c>
      <c r="D15504" t="s">
        <v>86</v>
      </c>
      <c r="E15504">
        <v>2.0427000000000001E-2</v>
      </c>
      <c r="F15504" t="s">
        <v>74</v>
      </c>
      <c r="G15504">
        <v>20.42699</v>
      </c>
      <c r="H15504" t="s">
        <v>75</v>
      </c>
      <c r="I15504">
        <v>20426.986000000001</v>
      </c>
      <c r="J15504" t="s">
        <v>76</v>
      </c>
      <c r="K15504" t="s">
        <v>82</v>
      </c>
      <c r="L15504">
        <v>48.954848300000002</v>
      </c>
    </row>
    <row r="15505" spans="1:12" x14ac:dyDescent="0.3">
      <c r="A15505" t="s">
        <v>498</v>
      </c>
      <c r="B15505" t="s">
        <v>85</v>
      </c>
      <c r="C15505">
        <v>1001</v>
      </c>
      <c r="D15505" t="s">
        <v>86</v>
      </c>
      <c r="E15505">
        <v>2.0427000000000001E-2</v>
      </c>
      <c r="F15505" t="s">
        <v>74</v>
      </c>
      <c r="G15505">
        <v>20.4267</v>
      </c>
      <c r="H15505" t="s">
        <v>75</v>
      </c>
      <c r="I15505">
        <v>20426.7</v>
      </c>
      <c r="J15505" t="s">
        <v>76</v>
      </c>
      <c r="K15505" t="s">
        <v>82</v>
      </c>
      <c r="L15505">
        <v>48.955534399999998</v>
      </c>
    </row>
    <row r="15506" spans="1:12" x14ac:dyDescent="0.3">
      <c r="A15506" t="s">
        <v>115</v>
      </c>
    </row>
    <row r="15507" spans="1:12" x14ac:dyDescent="0.3">
      <c r="A15507" t="s">
        <v>127</v>
      </c>
    </row>
    <row r="15508" spans="1:12" x14ac:dyDescent="0.3">
      <c r="A15508" t="s">
        <v>87</v>
      </c>
    </row>
    <row r="15509" spans="1:12" x14ac:dyDescent="0.3">
      <c r="A15509" t="s">
        <v>556</v>
      </c>
    </row>
    <row r="15510" spans="1:12" x14ac:dyDescent="0.3">
      <c r="A15510" t="s">
        <v>496</v>
      </c>
      <c r="B15510" t="s">
        <v>72</v>
      </c>
      <c r="C15510">
        <v>1</v>
      </c>
      <c r="D15510" t="s">
        <v>81</v>
      </c>
      <c r="E15510">
        <v>0.45406600000000003</v>
      </c>
      <c r="F15510" t="s">
        <v>74</v>
      </c>
      <c r="G15510">
        <v>454.06630999999999</v>
      </c>
      <c r="H15510" t="s">
        <v>75</v>
      </c>
      <c r="I15510">
        <v>454066.30599999998</v>
      </c>
      <c r="J15510" t="s">
        <v>76</v>
      </c>
      <c r="K15510" t="s">
        <v>82</v>
      </c>
      <c r="L15510">
        <v>2.2023215</v>
      </c>
    </row>
    <row r="15511" spans="1:12" x14ac:dyDescent="0.3">
      <c r="A15511" t="s">
        <v>496</v>
      </c>
      <c r="B15511" t="s">
        <v>83</v>
      </c>
      <c r="C15511">
        <v>644</v>
      </c>
      <c r="D15511" t="s">
        <v>81</v>
      </c>
      <c r="E15511">
        <v>1.6785000000000001E-2</v>
      </c>
      <c r="F15511" t="s">
        <v>74</v>
      </c>
      <c r="G15511">
        <v>16.784780000000001</v>
      </c>
      <c r="H15511" t="s">
        <v>75</v>
      </c>
      <c r="I15511">
        <v>16784.780999999999</v>
      </c>
      <c r="J15511" t="s">
        <v>76</v>
      </c>
      <c r="K15511" t="s">
        <v>82</v>
      </c>
      <c r="L15511">
        <v>59.577782300000003</v>
      </c>
    </row>
    <row r="15512" spans="1:12" x14ac:dyDescent="0.3">
      <c r="A15512" t="s">
        <v>496</v>
      </c>
      <c r="B15512" t="s">
        <v>84</v>
      </c>
      <c r="C15512">
        <v>645</v>
      </c>
      <c r="D15512" t="s">
        <v>81</v>
      </c>
      <c r="E15512">
        <v>1.7462999999999999E-2</v>
      </c>
      <c r="F15512" t="s">
        <v>74</v>
      </c>
      <c r="G15512">
        <v>17.46274</v>
      </c>
      <c r="H15512" t="s">
        <v>75</v>
      </c>
      <c r="I15512">
        <v>17462.736000000001</v>
      </c>
      <c r="J15512" t="s">
        <v>76</v>
      </c>
      <c r="K15512" t="s">
        <v>82</v>
      </c>
      <c r="L15512">
        <v>57.264794100000003</v>
      </c>
    </row>
    <row r="15513" spans="1:12" x14ac:dyDescent="0.3">
      <c r="A15513" t="s">
        <v>497</v>
      </c>
      <c r="B15513" t="s">
        <v>72</v>
      </c>
      <c r="C15513">
        <v>1</v>
      </c>
      <c r="D15513" t="s">
        <v>81</v>
      </c>
      <c r="E15513">
        <v>0.16565299999999999</v>
      </c>
      <c r="F15513" t="s">
        <v>74</v>
      </c>
      <c r="G15513">
        <v>165.65260000000001</v>
      </c>
      <c r="H15513" t="s">
        <v>75</v>
      </c>
      <c r="I15513">
        <v>165652.603</v>
      </c>
      <c r="J15513" t="s">
        <v>76</v>
      </c>
      <c r="K15513" t="s">
        <v>82</v>
      </c>
      <c r="L15513">
        <v>6.0367297999999998</v>
      </c>
    </row>
    <row r="15514" spans="1:12" x14ac:dyDescent="0.3">
      <c r="A15514" t="s">
        <v>497</v>
      </c>
      <c r="B15514" t="s">
        <v>83</v>
      </c>
      <c r="C15514">
        <v>355</v>
      </c>
      <c r="D15514" t="s">
        <v>81</v>
      </c>
      <c r="E15514">
        <v>3.1248999999999999E-2</v>
      </c>
      <c r="F15514" t="s">
        <v>74</v>
      </c>
      <c r="G15514">
        <v>31.24907</v>
      </c>
      <c r="H15514" t="s">
        <v>75</v>
      </c>
      <c r="I15514">
        <v>31249.073</v>
      </c>
      <c r="J15514" t="s">
        <v>76</v>
      </c>
      <c r="K15514" t="s">
        <v>82</v>
      </c>
      <c r="L15514">
        <v>32.0009491</v>
      </c>
    </row>
    <row r="15515" spans="1:12" x14ac:dyDescent="0.3">
      <c r="A15515" t="s">
        <v>497</v>
      </c>
      <c r="B15515" t="s">
        <v>84</v>
      </c>
      <c r="C15515">
        <v>356</v>
      </c>
      <c r="D15515" t="s">
        <v>81</v>
      </c>
      <c r="E15515">
        <v>3.1627000000000002E-2</v>
      </c>
      <c r="F15515" t="s">
        <v>74</v>
      </c>
      <c r="G15515">
        <v>31.626609999999999</v>
      </c>
      <c r="H15515" t="s">
        <v>75</v>
      </c>
      <c r="I15515">
        <v>31626.61</v>
      </c>
      <c r="J15515" t="s">
        <v>76</v>
      </c>
      <c r="K15515" t="s">
        <v>82</v>
      </c>
      <c r="L15515">
        <v>31.618943399999999</v>
      </c>
    </row>
    <row r="15516" spans="1:12" x14ac:dyDescent="0.3">
      <c r="A15516" t="s">
        <v>498</v>
      </c>
      <c r="B15516" t="s">
        <v>72</v>
      </c>
      <c r="C15516">
        <v>2</v>
      </c>
      <c r="D15516" t="s">
        <v>86</v>
      </c>
      <c r="E15516">
        <v>0.22706200000000001</v>
      </c>
      <c r="F15516" t="s">
        <v>74</v>
      </c>
      <c r="G15516">
        <v>227.06155000000001</v>
      </c>
      <c r="H15516" t="s">
        <v>75</v>
      </c>
      <c r="I15516">
        <v>227061.55499999999</v>
      </c>
      <c r="J15516" t="s">
        <v>76</v>
      </c>
      <c r="K15516" t="s">
        <v>82</v>
      </c>
      <c r="L15516">
        <v>4.4040920999999997</v>
      </c>
    </row>
    <row r="15517" spans="1:12" x14ac:dyDescent="0.3">
      <c r="A15517" t="s">
        <v>498</v>
      </c>
      <c r="B15517" t="s">
        <v>83</v>
      </c>
      <c r="C15517">
        <v>999</v>
      </c>
      <c r="D15517" t="s">
        <v>86</v>
      </c>
      <c r="E15517">
        <v>1.1107000000000001E-2</v>
      </c>
      <c r="F15517" t="s">
        <v>74</v>
      </c>
      <c r="G15517">
        <v>11.106820000000001</v>
      </c>
      <c r="H15517" t="s">
        <v>75</v>
      </c>
      <c r="I15517">
        <v>11106.817999999999</v>
      </c>
      <c r="J15517" t="s">
        <v>76</v>
      </c>
      <c r="K15517" t="s">
        <v>82</v>
      </c>
      <c r="L15517">
        <v>90.034791100000007</v>
      </c>
    </row>
    <row r="15518" spans="1:12" x14ac:dyDescent="0.3">
      <c r="A15518" t="s">
        <v>498</v>
      </c>
      <c r="B15518" t="s">
        <v>85</v>
      </c>
      <c r="C15518">
        <v>1001</v>
      </c>
      <c r="D15518" t="s">
        <v>86</v>
      </c>
      <c r="E15518">
        <v>1.1269E-2</v>
      </c>
      <c r="F15518" t="s">
        <v>74</v>
      </c>
      <c r="G15518">
        <v>11.26911</v>
      </c>
      <c r="H15518" t="s">
        <v>75</v>
      </c>
      <c r="I15518">
        <v>11269.115</v>
      </c>
      <c r="J15518" t="s">
        <v>76</v>
      </c>
      <c r="K15518" t="s">
        <v>82</v>
      </c>
      <c r="L15518">
        <v>88.738113400000003</v>
      </c>
    </row>
    <row r="15520" spans="1:12" x14ac:dyDescent="0.3">
      <c r="A15520" t="s">
        <v>557</v>
      </c>
    </row>
    <row r="15521" spans="1:12" x14ac:dyDescent="0.3">
      <c r="A15521" t="s">
        <v>496</v>
      </c>
      <c r="B15521" t="s">
        <v>72</v>
      </c>
      <c r="C15521">
        <v>1</v>
      </c>
      <c r="D15521" t="s">
        <v>81</v>
      </c>
      <c r="E15521">
        <v>3.7255000000000003E-2</v>
      </c>
      <c r="F15521" t="s">
        <v>74</v>
      </c>
      <c r="G15521">
        <v>37.254800000000003</v>
      </c>
      <c r="H15521" t="s">
        <v>75</v>
      </c>
      <c r="I15521">
        <v>37254.798999999999</v>
      </c>
      <c r="J15521" t="s">
        <v>76</v>
      </c>
      <c r="K15521" t="s">
        <v>82</v>
      </c>
      <c r="L15521">
        <v>26.842179300000002</v>
      </c>
    </row>
    <row r="15522" spans="1:12" x14ac:dyDescent="0.3">
      <c r="A15522" t="s">
        <v>496</v>
      </c>
      <c r="B15522" t="s">
        <v>83</v>
      </c>
      <c r="C15522">
        <v>753</v>
      </c>
      <c r="D15522" t="s">
        <v>81</v>
      </c>
      <c r="E15522">
        <v>2.7054999999999999E-2</v>
      </c>
      <c r="F15522" t="s">
        <v>74</v>
      </c>
      <c r="G15522">
        <v>27.054919999999999</v>
      </c>
      <c r="H15522" t="s">
        <v>75</v>
      </c>
      <c r="I15522">
        <v>27054.924999999999</v>
      </c>
      <c r="J15522" t="s">
        <v>76</v>
      </c>
      <c r="K15522" t="s">
        <v>82</v>
      </c>
      <c r="L15522">
        <v>36.961847400000003</v>
      </c>
    </row>
    <row r="15523" spans="1:12" x14ac:dyDescent="0.3">
      <c r="A15523" t="s">
        <v>496</v>
      </c>
      <c r="B15523" t="s">
        <v>84</v>
      </c>
      <c r="C15523">
        <v>754</v>
      </c>
      <c r="D15523" t="s">
        <v>81</v>
      </c>
      <c r="E15523">
        <v>2.7067999999999998E-2</v>
      </c>
      <c r="F15523" t="s">
        <v>74</v>
      </c>
      <c r="G15523">
        <v>27.068449999999999</v>
      </c>
      <c r="H15523" t="s">
        <v>75</v>
      </c>
      <c r="I15523">
        <v>27068.454000000002</v>
      </c>
      <c r="J15523" t="s">
        <v>76</v>
      </c>
      <c r="K15523" t="s">
        <v>82</v>
      </c>
      <c r="L15523">
        <v>36.943372799999999</v>
      </c>
    </row>
    <row r="15524" spans="1:12" x14ac:dyDescent="0.3">
      <c r="A15524" t="s">
        <v>497</v>
      </c>
      <c r="B15524" t="s">
        <v>72</v>
      </c>
      <c r="C15524">
        <v>1</v>
      </c>
      <c r="D15524" t="s">
        <v>81</v>
      </c>
      <c r="E15524">
        <v>0.11558499999999999</v>
      </c>
      <c r="F15524" t="s">
        <v>74</v>
      </c>
      <c r="G15524">
        <v>115.5855</v>
      </c>
      <c r="H15524" t="s">
        <v>75</v>
      </c>
      <c r="I15524">
        <v>115585.499</v>
      </c>
      <c r="J15524" t="s">
        <v>76</v>
      </c>
      <c r="K15524" t="s">
        <v>82</v>
      </c>
      <c r="L15524">
        <v>8.6516043000000007</v>
      </c>
    </row>
    <row r="15525" spans="1:12" x14ac:dyDescent="0.3">
      <c r="A15525" t="s">
        <v>497</v>
      </c>
      <c r="B15525" t="s">
        <v>83</v>
      </c>
      <c r="C15525">
        <v>246</v>
      </c>
      <c r="D15525" t="s">
        <v>81</v>
      </c>
      <c r="E15525">
        <v>8.1784999999999997E-2</v>
      </c>
      <c r="F15525" t="s">
        <v>74</v>
      </c>
      <c r="G15525">
        <v>81.784570000000002</v>
      </c>
      <c r="H15525" t="s">
        <v>75</v>
      </c>
      <c r="I15525">
        <v>81784.573999999993</v>
      </c>
      <c r="J15525" t="s">
        <v>76</v>
      </c>
      <c r="K15525" t="s">
        <v>82</v>
      </c>
      <c r="L15525">
        <v>12.2272447</v>
      </c>
    </row>
    <row r="15526" spans="1:12" x14ac:dyDescent="0.3">
      <c r="A15526" t="s">
        <v>497</v>
      </c>
      <c r="B15526" t="s">
        <v>84</v>
      </c>
      <c r="C15526">
        <v>247</v>
      </c>
      <c r="D15526" t="s">
        <v>81</v>
      </c>
      <c r="E15526">
        <v>8.1920999999999994E-2</v>
      </c>
      <c r="F15526" t="s">
        <v>74</v>
      </c>
      <c r="G15526">
        <v>81.921419999999998</v>
      </c>
      <c r="H15526" t="s">
        <v>75</v>
      </c>
      <c r="I15526">
        <v>81921.418999999994</v>
      </c>
      <c r="J15526" t="s">
        <v>76</v>
      </c>
      <c r="K15526" t="s">
        <v>82</v>
      </c>
      <c r="L15526">
        <v>12.2068198</v>
      </c>
    </row>
    <row r="15527" spans="1:12" x14ac:dyDescent="0.3">
      <c r="A15527" t="s">
        <v>498</v>
      </c>
      <c r="B15527" t="s">
        <v>72</v>
      </c>
      <c r="C15527">
        <v>2</v>
      </c>
      <c r="D15527" t="s">
        <v>86</v>
      </c>
      <c r="E15527">
        <v>5.7796E-2</v>
      </c>
      <c r="F15527" t="s">
        <v>74</v>
      </c>
      <c r="G15527">
        <v>57.795699999999997</v>
      </c>
      <c r="H15527" t="s">
        <v>75</v>
      </c>
      <c r="I15527">
        <v>57795.7</v>
      </c>
      <c r="J15527" t="s">
        <v>76</v>
      </c>
      <c r="K15527" t="s">
        <v>82</v>
      </c>
      <c r="L15527">
        <v>17.302325400000001</v>
      </c>
    </row>
    <row r="15528" spans="1:12" x14ac:dyDescent="0.3">
      <c r="A15528" t="s">
        <v>498</v>
      </c>
      <c r="B15528" t="s">
        <v>83</v>
      </c>
      <c r="C15528">
        <v>999</v>
      </c>
      <c r="D15528" t="s">
        <v>86</v>
      </c>
      <c r="E15528">
        <v>2.0427000000000001E-2</v>
      </c>
      <c r="F15528" t="s">
        <v>74</v>
      </c>
      <c r="G15528">
        <v>20.42699</v>
      </c>
      <c r="H15528" t="s">
        <v>75</v>
      </c>
      <c r="I15528">
        <v>20426.986000000001</v>
      </c>
      <c r="J15528" t="s">
        <v>76</v>
      </c>
      <c r="K15528" t="s">
        <v>82</v>
      </c>
      <c r="L15528">
        <v>48.954848300000002</v>
      </c>
    </row>
    <row r="15529" spans="1:12" x14ac:dyDescent="0.3">
      <c r="A15529" t="s">
        <v>498</v>
      </c>
      <c r="B15529" t="s">
        <v>85</v>
      </c>
      <c r="C15529">
        <v>1001</v>
      </c>
      <c r="D15529" t="s">
        <v>86</v>
      </c>
      <c r="E15529">
        <v>2.0427000000000001E-2</v>
      </c>
      <c r="F15529" t="s">
        <v>74</v>
      </c>
      <c r="G15529">
        <v>20.4267</v>
      </c>
      <c r="H15529" t="s">
        <v>75</v>
      </c>
      <c r="I15529">
        <v>20426.7</v>
      </c>
      <c r="J15529" t="s">
        <v>76</v>
      </c>
      <c r="K15529" t="s">
        <v>82</v>
      </c>
      <c r="L15529">
        <v>48.955534399999998</v>
      </c>
    </row>
    <row r="15531" spans="1:12" x14ac:dyDescent="0.3">
      <c r="A15531" t="s">
        <v>66</v>
      </c>
    </row>
    <row r="15533" spans="1:12" x14ac:dyDescent="0.3">
      <c r="A15533" t="s">
        <v>592</v>
      </c>
    </row>
    <row r="15534" spans="1:12" x14ac:dyDescent="0.3">
      <c r="A15534" t="s">
        <v>68</v>
      </c>
    </row>
    <row r="15535" spans="1:12" x14ac:dyDescent="0.3">
      <c r="A15535" t="s">
        <v>69</v>
      </c>
    </row>
    <row r="15536" spans="1:12" x14ac:dyDescent="0.3">
      <c r="A15536" t="s">
        <v>68</v>
      </c>
    </row>
    <row r="15537" spans="1:1" x14ac:dyDescent="0.3">
      <c r="A15537" t="s">
        <v>69</v>
      </c>
    </row>
    <row r="15538" spans="1:1" x14ac:dyDescent="0.3">
      <c r="A15538" t="s">
        <v>70</v>
      </c>
    </row>
    <row r="15539" spans="1:1" x14ac:dyDescent="0.3">
      <c r="A15539" t="s">
        <v>115</v>
      </c>
    </row>
    <row r="15540" spans="1:1" x14ac:dyDescent="0.3">
      <c r="A15540" t="s">
        <v>116</v>
      </c>
    </row>
    <row r="15541" spans="1:1" x14ac:dyDescent="0.3">
      <c r="A15541" t="s">
        <v>117</v>
      </c>
    </row>
    <row r="15542" spans="1:1" x14ac:dyDescent="0.3">
      <c r="A15542" t="s">
        <v>118</v>
      </c>
    </row>
    <row r="15543" spans="1:1" x14ac:dyDescent="0.3">
      <c r="A15543" t="s">
        <v>119</v>
      </c>
    </row>
    <row r="15544" spans="1:1" x14ac:dyDescent="0.3">
      <c r="A15544" t="s">
        <v>120</v>
      </c>
    </row>
    <row r="15545" spans="1:1" x14ac:dyDescent="0.3">
      <c r="A15545" t="s">
        <v>121</v>
      </c>
    </row>
    <row r="15546" spans="1:1" x14ac:dyDescent="0.3">
      <c r="A15546" t="s">
        <v>122</v>
      </c>
    </row>
    <row r="15547" spans="1:1" x14ac:dyDescent="0.3">
      <c r="A15547" t="s">
        <v>123</v>
      </c>
    </row>
    <row r="15548" spans="1:1" x14ac:dyDescent="0.3">
      <c r="A15548" t="s">
        <v>124</v>
      </c>
    </row>
    <row r="15549" spans="1:1" x14ac:dyDescent="0.3">
      <c r="A15549" t="s">
        <v>125</v>
      </c>
    </row>
    <row r="15550" spans="1:1" x14ac:dyDescent="0.3">
      <c r="A15550" t="s">
        <v>126</v>
      </c>
    </row>
    <row r="15551" spans="1:1" x14ac:dyDescent="0.3">
      <c r="A15551" t="s">
        <v>127</v>
      </c>
    </row>
    <row r="15552" spans="1:1" x14ac:dyDescent="0.3">
      <c r="A15552" t="s">
        <v>213</v>
      </c>
    </row>
    <row r="15553" spans="1:11" x14ac:dyDescent="0.3">
      <c r="A15553" t="s">
        <v>115</v>
      </c>
    </row>
    <row r="15554" spans="1:11" x14ac:dyDescent="0.3">
      <c r="A15554" t="s">
        <v>266</v>
      </c>
    </row>
    <row r="15555" spans="1:11" x14ac:dyDescent="0.3">
      <c r="A15555" t="s">
        <v>267</v>
      </c>
    </row>
    <row r="15556" spans="1:11" x14ac:dyDescent="0.3">
      <c r="A15556" t="s">
        <v>118</v>
      </c>
    </row>
    <row r="15557" spans="1:11" x14ac:dyDescent="0.3">
      <c r="A15557" t="s">
        <v>119</v>
      </c>
    </row>
    <row r="15558" spans="1:11" x14ac:dyDescent="0.3">
      <c r="A15558" t="s">
        <v>268</v>
      </c>
    </row>
    <row r="15559" spans="1:11" x14ac:dyDescent="0.3">
      <c r="A15559" t="s">
        <v>269</v>
      </c>
    </row>
    <row r="15560" spans="1:11" x14ac:dyDescent="0.3">
      <c r="A15560" t="s">
        <v>122</v>
      </c>
    </row>
    <row r="15561" spans="1:11" x14ac:dyDescent="0.3">
      <c r="A15561" t="s">
        <v>270</v>
      </c>
    </row>
    <row r="15562" spans="1:11" x14ac:dyDescent="0.3">
      <c r="A15562" t="s">
        <v>271</v>
      </c>
    </row>
    <row r="15563" spans="1:11" x14ac:dyDescent="0.3">
      <c r="A15563" t="s">
        <v>125</v>
      </c>
    </row>
    <row r="15564" spans="1:11" x14ac:dyDescent="0.3">
      <c r="A15564" t="s">
        <v>126</v>
      </c>
    </row>
    <row r="15565" spans="1:11" x14ac:dyDescent="0.3">
      <c r="A15565" t="s">
        <v>127</v>
      </c>
    </row>
    <row r="15566" spans="1:11" x14ac:dyDescent="0.3">
      <c r="A15566" t="s">
        <v>213</v>
      </c>
    </row>
    <row r="15567" spans="1:11" x14ac:dyDescent="0.3">
      <c r="A15567" t="s">
        <v>559</v>
      </c>
    </row>
    <row r="15568" spans="1:11" x14ac:dyDescent="0.3">
      <c r="A15568" t="s">
        <v>496</v>
      </c>
      <c r="B15568" t="s">
        <v>72</v>
      </c>
      <c r="C15568">
        <v>1</v>
      </c>
      <c r="D15568" t="s">
        <v>79</v>
      </c>
      <c r="E15568">
        <v>0.38953900000000002</v>
      </c>
      <c r="F15568" t="s">
        <v>74</v>
      </c>
      <c r="G15568">
        <v>389.53890999999999</v>
      </c>
      <c r="H15568" t="s">
        <v>75</v>
      </c>
      <c r="I15568">
        <v>389538.91399999999</v>
      </c>
      <c r="J15568" t="s">
        <v>76</v>
      </c>
      <c r="K15568" t="s">
        <v>77</v>
      </c>
    </row>
    <row r="15569" spans="1:12" x14ac:dyDescent="0.3">
      <c r="A15569" t="s">
        <v>496</v>
      </c>
      <c r="B15569" t="s">
        <v>72</v>
      </c>
      <c r="C15569">
        <v>1</v>
      </c>
      <c r="D15569" t="s">
        <v>94</v>
      </c>
      <c r="E15569">
        <v>5.4990000000000004E-3</v>
      </c>
      <c r="F15569" t="s">
        <v>74</v>
      </c>
      <c r="G15569">
        <v>5.4988000000000001</v>
      </c>
      <c r="H15569" t="s">
        <v>75</v>
      </c>
      <c r="I15569">
        <v>5498.8</v>
      </c>
      <c r="J15569" t="s">
        <v>76</v>
      </c>
      <c r="K15569" t="s">
        <v>77</v>
      </c>
    </row>
    <row r="15570" spans="1:12" x14ac:dyDescent="0.3">
      <c r="A15570" t="s">
        <v>496</v>
      </c>
      <c r="B15570" t="s">
        <v>72</v>
      </c>
      <c r="C15570">
        <v>1</v>
      </c>
      <c r="D15570" t="s">
        <v>80</v>
      </c>
      <c r="E15570">
        <v>5.4999999999999997E-3</v>
      </c>
      <c r="F15570" t="s">
        <v>74</v>
      </c>
      <c r="G15570">
        <v>5.4999000000000002</v>
      </c>
      <c r="H15570" t="s">
        <v>75</v>
      </c>
      <c r="I15570">
        <v>5499.9</v>
      </c>
      <c r="J15570" t="s">
        <v>76</v>
      </c>
      <c r="K15570" t="s">
        <v>77</v>
      </c>
    </row>
    <row r="15571" spans="1:12" x14ac:dyDescent="0.3">
      <c r="A15571" t="s">
        <v>496</v>
      </c>
      <c r="B15571" t="s">
        <v>72</v>
      </c>
      <c r="C15571">
        <v>1</v>
      </c>
      <c r="D15571" t="s">
        <v>81</v>
      </c>
      <c r="E15571">
        <v>0.39504</v>
      </c>
      <c r="F15571" t="s">
        <v>74</v>
      </c>
      <c r="G15571">
        <v>395.03958999999998</v>
      </c>
      <c r="H15571" t="s">
        <v>75</v>
      </c>
      <c r="I15571">
        <v>395039.58799999999</v>
      </c>
      <c r="J15571" t="s">
        <v>76</v>
      </c>
      <c r="K15571" t="s">
        <v>82</v>
      </c>
      <c r="L15571">
        <v>2.5313919</v>
      </c>
    </row>
    <row r="15572" spans="1:12" x14ac:dyDescent="0.3">
      <c r="A15572" t="s">
        <v>496</v>
      </c>
      <c r="B15572" t="s">
        <v>83</v>
      </c>
      <c r="C15572">
        <v>900</v>
      </c>
      <c r="D15572" t="s">
        <v>79</v>
      </c>
      <c r="E15572">
        <v>5.5400000000000002E-4</v>
      </c>
      <c r="F15572" t="s">
        <v>74</v>
      </c>
      <c r="G15572">
        <v>0.55384999999999995</v>
      </c>
      <c r="H15572" t="s">
        <v>75</v>
      </c>
      <c r="I15572">
        <v>553.85500000000002</v>
      </c>
      <c r="J15572" t="s">
        <v>76</v>
      </c>
      <c r="K15572" t="s">
        <v>77</v>
      </c>
    </row>
    <row r="15573" spans="1:12" x14ac:dyDescent="0.3">
      <c r="A15573" t="s">
        <v>496</v>
      </c>
      <c r="B15573" t="s">
        <v>83</v>
      </c>
      <c r="C15573">
        <v>900</v>
      </c>
      <c r="D15573" t="s">
        <v>94</v>
      </c>
      <c r="E15573">
        <v>1.057E-3</v>
      </c>
      <c r="F15573" t="s">
        <v>74</v>
      </c>
      <c r="G15573">
        <v>1.0571699999999999</v>
      </c>
      <c r="H15573" t="s">
        <v>75</v>
      </c>
      <c r="I15573">
        <v>1057.17</v>
      </c>
      <c r="J15573" t="s">
        <v>76</v>
      </c>
      <c r="K15573" t="s">
        <v>77</v>
      </c>
    </row>
    <row r="15574" spans="1:12" x14ac:dyDescent="0.3">
      <c r="A15574" t="s">
        <v>496</v>
      </c>
      <c r="B15574" t="s">
        <v>83</v>
      </c>
      <c r="C15574">
        <v>900</v>
      </c>
      <c r="D15574" t="s">
        <v>80</v>
      </c>
      <c r="E15574">
        <v>1.0579999999999999E-3</v>
      </c>
      <c r="F15574" t="s">
        <v>74</v>
      </c>
      <c r="G15574">
        <v>1.0579400000000001</v>
      </c>
      <c r="H15574" t="s">
        <v>75</v>
      </c>
      <c r="I15574">
        <v>1057.943</v>
      </c>
      <c r="J15574" t="s">
        <v>76</v>
      </c>
      <c r="K15574" t="s">
        <v>77</v>
      </c>
    </row>
    <row r="15575" spans="1:12" x14ac:dyDescent="0.3">
      <c r="A15575" t="s">
        <v>496</v>
      </c>
      <c r="B15575" t="s">
        <v>83</v>
      </c>
      <c r="C15575">
        <v>900</v>
      </c>
      <c r="D15575" t="s">
        <v>81</v>
      </c>
      <c r="E15575">
        <v>1.6119999999999999E-3</v>
      </c>
      <c r="F15575" t="s">
        <v>74</v>
      </c>
      <c r="G15575">
        <v>1.6122000000000001</v>
      </c>
      <c r="H15575" t="s">
        <v>75</v>
      </c>
      <c r="I15575">
        <v>1612.1949999999999</v>
      </c>
      <c r="J15575" t="s">
        <v>76</v>
      </c>
      <c r="K15575" t="s">
        <v>82</v>
      </c>
      <c r="L15575">
        <v>620.27219279999997</v>
      </c>
    </row>
    <row r="15576" spans="1:12" x14ac:dyDescent="0.3">
      <c r="A15576" t="s">
        <v>496</v>
      </c>
      <c r="B15576" t="s">
        <v>84</v>
      </c>
      <c r="C15576">
        <v>901</v>
      </c>
      <c r="D15576" t="s">
        <v>79</v>
      </c>
      <c r="E15576">
        <v>9.859999999999999E-4</v>
      </c>
      <c r="F15576" t="s">
        <v>74</v>
      </c>
      <c r="G15576">
        <v>0.98558000000000001</v>
      </c>
      <c r="H15576" t="s">
        <v>75</v>
      </c>
      <c r="I15576">
        <v>985.58</v>
      </c>
      <c r="J15576" t="s">
        <v>76</v>
      </c>
      <c r="K15576" t="s">
        <v>77</v>
      </c>
    </row>
    <row r="15577" spans="1:12" x14ac:dyDescent="0.3">
      <c r="A15577" t="s">
        <v>496</v>
      </c>
      <c r="B15577" t="s">
        <v>84</v>
      </c>
      <c r="C15577">
        <v>901</v>
      </c>
      <c r="D15577" t="s">
        <v>94</v>
      </c>
      <c r="E15577">
        <v>1.062E-3</v>
      </c>
      <c r="F15577" t="s">
        <v>74</v>
      </c>
      <c r="G15577">
        <v>1.0621</v>
      </c>
      <c r="H15577" t="s">
        <v>75</v>
      </c>
      <c r="I15577">
        <v>1062.0999999999999</v>
      </c>
      <c r="J15577" t="s">
        <v>76</v>
      </c>
      <c r="K15577" t="s">
        <v>77</v>
      </c>
    </row>
    <row r="15578" spans="1:12" x14ac:dyDescent="0.3">
      <c r="A15578" t="s">
        <v>496</v>
      </c>
      <c r="B15578" t="s">
        <v>84</v>
      </c>
      <c r="C15578">
        <v>901</v>
      </c>
      <c r="D15578" t="s">
        <v>80</v>
      </c>
      <c r="E15578">
        <v>1.0629999999999999E-3</v>
      </c>
      <c r="F15578" t="s">
        <v>74</v>
      </c>
      <c r="G15578">
        <v>1.06287</v>
      </c>
      <c r="H15578" t="s">
        <v>75</v>
      </c>
      <c r="I15578">
        <v>1062.873</v>
      </c>
      <c r="J15578" t="s">
        <v>76</v>
      </c>
      <c r="K15578" t="s">
        <v>77</v>
      </c>
    </row>
    <row r="15579" spans="1:12" x14ac:dyDescent="0.3">
      <c r="A15579" t="s">
        <v>496</v>
      </c>
      <c r="B15579" t="s">
        <v>84</v>
      </c>
      <c r="C15579">
        <v>901</v>
      </c>
      <c r="D15579" t="s">
        <v>81</v>
      </c>
      <c r="E15579">
        <v>2.049E-3</v>
      </c>
      <c r="F15579" t="s">
        <v>74</v>
      </c>
      <c r="G15579">
        <v>2.0488499999999998</v>
      </c>
      <c r="H15579" t="s">
        <v>75</v>
      </c>
      <c r="I15579">
        <v>2048.8510000000001</v>
      </c>
      <c r="J15579" t="s">
        <v>76</v>
      </c>
      <c r="K15579" t="s">
        <v>82</v>
      </c>
      <c r="L15579">
        <v>488.07834889999998</v>
      </c>
    </row>
    <row r="15580" spans="1:12" x14ac:dyDescent="0.3">
      <c r="A15580" t="s">
        <v>497</v>
      </c>
      <c r="B15580" t="s">
        <v>72</v>
      </c>
      <c r="C15580">
        <v>1</v>
      </c>
      <c r="D15580" t="s">
        <v>79</v>
      </c>
      <c r="E15580">
        <v>0.149121</v>
      </c>
      <c r="F15580" t="s">
        <v>74</v>
      </c>
      <c r="G15580">
        <v>149.12129999999999</v>
      </c>
      <c r="H15580" t="s">
        <v>75</v>
      </c>
      <c r="I15580">
        <v>149121.299</v>
      </c>
      <c r="J15580" t="s">
        <v>76</v>
      </c>
      <c r="K15580" t="s">
        <v>77</v>
      </c>
    </row>
    <row r="15581" spans="1:12" x14ac:dyDescent="0.3">
      <c r="A15581" t="s">
        <v>497</v>
      </c>
      <c r="B15581" t="s">
        <v>72</v>
      </c>
      <c r="C15581">
        <v>1</v>
      </c>
      <c r="D15581" t="s">
        <v>94</v>
      </c>
      <c r="E15581">
        <v>1.8561999999999999E-2</v>
      </c>
      <c r="F15581" t="s">
        <v>74</v>
      </c>
      <c r="G15581">
        <v>18.561599999999999</v>
      </c>
      <c r="H15581" t="s">
        <v>75</v>
      </c>
      <c r="I15581">
        <v>18561.599999999999</v>
      </c>
      <c r="J15581" t="s">
        <v>76</v>
      </c>
      <c r="K15581" t="s">
        <v>77</v>
      </c>
    </row>
    <row r="15582" spans="1:12" x14ac:dyDescent="0.3">
      <c r="A15582" t="s">
        <v>497</v>
      </c>
      <c r="B15582" t="s">
        <v>72</v>
      </c>
      <c r="C15582">
        <v>1</v>
      </c>
      <c r="D15582" t="s">
        <v>80</v>
      </c>
      <c r="E15582">
        <v>1.8561999999999999E-2</v>
      </c>
      <c r="F15582" t="s">
        <v>74</v>
      </c>
      <c r="G15582">
        <v>18.5624</v>
      </c>
      <c r="H15582" t="s">
        <v>75</v>
      </c>
      <c r="I15582">
        <v>18562.401000000002</v>
      </c>
      <c r="J15582" t="s">
        <v>76</v>
      </c>
      <c r="K15582" t="s">
        <v>77</v>
      </c>
    </row>
    <row r="15583" spans="1:12" x14ac:dyDescent="0.3">
      <c r="A15583" t="s">
        <v>497</v>
      </c>
      <c r="B15583" t="s">
        <v>72</v>
      </c>
      <c r="C15583">
        <v>1</v>
      </c>
      <c r="D15583" t="s">
        <v>81</v>
      </c>
      <c r="E15583">
        <v>0.167684</v>
      </c>
      <c r="F15583" t="s">
        <v>74</v>
      </c>
      <c r="G15583">
        <v>167.68441000000001</v>
      </c>
      <c r="H15583" t="s">
        <v>75</v>
      </c>
      <c r="I15583">
        <v>167684.40599999999</v>
      </c>
      <c r="J15583" t="s">
        <v>76</v>
      </c>
      <c r="K15583" t="s">
        <v>82</v>
      </c>
      <c r="L15583">
        <v>5.9635838000000003</v>
      </c>
    </row>
    <row r="15584" spans="1:12" x14ac:dyDescent="0.3">
      <c r="A15584" t="s">
        <v>497</v>
      </c>
      <c r="B15584" t="s">
        <v>83</v>
      </c>
      <c r="C15584">
        <v>99</v>
      </c>
      <c r="D15584" t="s">
        <v>79</v>
      </c>
      <c r="E15584">
        <v>6.4199999999999999E-4</v>
      </c>
      <c r="F15584" t="s">
        <v>74</v>
      </c>
      <c r="G15584">
        <v>0.64187000000000005</v>
      </c>
      <c r="H15584" t="s">
        <v>75</v>
      </c>
      <c r="I15584">
        <v>641.87400000000002</v>
      </c>
      <c r="J15584" t="s">
        <v>76</v>
      </c>
      <c r="K15584" t="s">
        <v>77</v>
      </c>
    </row>
    <row r="15585" spans="1:12" x14ac:dyDescent="0.3">
      <c r="A15585" t="s">
        <v>497</v>
      </c>
      <c r="B15585" t="s">
        <v>83</v>
      </c>
      <c r="C15585">
        <v>99</v>
      </c>
      <c r="D15585" t="s">
        <v>94</v>
      </c>
      <c r="E15585">
        <v>1.6447E-2</v>
      </c>
      <c r="F15585" t="s">
        <v>74</v>
      </c>
      <c r="G15585">
        <v>16.446929999999998</v>
      </c>
      <c r="H15585" t="s">
        <v>75</v>
      </c>
      <c r="I15585">
        <v>16446.93</v>
      </c>
      <c r="J15585" t="s">
        <v>76</v>
      </c>
      <c r="K15585" t="s">
        <v>77</v>
      </c>
    </row>
    <row r="15586" spans="1:12" x14ac:dyDescent="0.3">
      <c r="A15586" t="s">
        <v>497</v>
      </c>
      <c r="B15586" t="s">
        <v>83</v>
      </c>
      <c r="C15586">
        <v>99</v>
      </c>
      <c r="D15586" t="s">
        <v>80</v>
      </c>
      <c r="E15586">
        <v>1.6448000000000001E-2</v>
      </c>
      <c r="F15586" t="s">
        <v>74</v>
      </c>
      <c r="G15586">
        <v>16.448149999999998</v>
      </c>
      <c r="H15586" t="s">
        <v>75</v>
      </c>
      <c r="I15586">
        <v>16448.147000000001</v>
      </c>
      <c r="J15586" t="s">
        <v>76</v>
      </c>
      <c r="K15586" t="s">
        <v>77</v>
      </c>
    </row>
    <row r="15587" spans="1:12" x14ac:dyDescent="0.3">
      <c r="A15587" t="s">
        <v>497</v>
      </c>
      <c r="B15587" t="s">
        <v>83</v>
      </c>
      <c r="C15587">
        <v>99</v>
      </c>
      <c r="D15587" t="s">
        <v>81</v>
      </c>
      <c r="E15587">
        <v>1.7090000000000001E-2</v>
      </c>
      <c r="F15587" t="s">
        <v>74</v>
      </c>
      <c r="G15587">
        <v>17.09047</v>
      </c>
      <c r="H15587" t="s">
        <v>75</v>
      </c>
      <c r="I15587">
        <v>17090.465</v>
      </c>
      <c r="J15587" t="s">
        <v>76</v>
      </c>
      <c r="K15587" t="s">
        <v>82</v>
      </c>
      <c r="L15587">
        <v>58.512158399999997</v>
      </c>
    </row>
    <row r="15588" spans="1:12" x14ac:dyDescent="0.3">
      <c r="A15588" t="s">
        <v>497</v>
      </c>
      <c r="B15588" t="s">
        <v>84</v>
      </c>
      <c r="C15588">
        <v>100</v>
      </c>
      <c r="D15588" t="s">
        <v>79</v>
      </c>
      <c r="E15588">
        <v>2.127E-3</v>
      </c>
      <c r="F15588" t="s">
        <v>74</v>
      </c>
      <c r="G15588">
        <v>2.1266699999999998</v>
      </c>
      <c r="H15588" t="s">
        <v>75</v>
      </c>
      <c r="I15588">
        <v>2126.6669999999999</v>
      </c>
      <c r="J15588" t="s">
        <v>76</v>
      </c>
      <c r="K15588" t="s">
        <v>77</v>
      </c>
    </row>
    <row r="15589" spans="1:12" x14ac:dyDescent="0.3">
      <c r="A15589" t="s">
        <v>497</v>
      </c>
      <c r="B15589" t="s">
        <v>84</v>
      </c>
      <c r="C15589">
        <v>100</v>
      </c>
      <c r="D15589" t="s">
        <v>94</v>
      </c>
      <c r="E15589">
        <v>1.6468E-2</v>
      </c>
      <c r="F15589" t="s">
        <v>74</v>
      </c>
      <c r="G15589">
        <v>16.46808</v>
      </c>
      <c r="H15589" t="s">
        <v>75</v>
      </c>
      <c r="I15589">
        <v>16468.077000000001</v>
      </c>
      <c r="J15589" t="s">
        <v>76</v>
      </c>
      <c r="K15589" t="s">
        <v>77</v>
      </c>
    </row>
    <row r="15590" spans="1:12" x14ac:dyDescent="0.3">
      <c r="A15590" t="s">
        <v>497</v>
      </c>
      <c r="B15590" t="s">
        <v>84</v>
      </c>
      <c r="C15590">
        <v>100</v>
      </c>
      <c r="D15590" t="s">
        <v>80</v>
      </c>
      <c r="E15590">
        <v>1.6469000000000001E-2</v>
      </c>
      <c r="F15590" t="s">
        <v>74</v>
      </c>
      <c r="G15590">
        <v>16.469290000000001</v>
      </c>
      <c r="H15590" t="s">
        <v>75</v>
      </c>
      <c r="I15590">
        <v>16469.29</v>
      </c>
      <c r="J15590" t="s">
        <v>76</v>
      </c>
      <c r="K15590" t="s">
        <v>77</v>
      </c>
    </row>
    <row r="15591" spans="1:12" x14ac:dyDescent="0.3">
      <c r="A15591" t="s">
        <v>497</v>
      </c>
      <c r="B15591" t="s">
        <v>84</v>
      </c>
      <c r="C15591">
        <v>100</v>
      </c>
      <c r="D15591" t="s">
        <v>81</v>
      </c>
      <c r="E15591">
        <v>1.8596000000000001E-2</v>
      </c>
      <c r="F15591" t="s">
        <v>74</v>
      </c>
      <c r="G15591">
        <v>18.596399999999999</v>
      </c>
      <c r="H15591" t="s">
        <v>75</v>
      </c>
      <c r="I15591">
        <v>18596.403999999999</v>
      </c>
      <c r="J15591" t="s">
        <v>76</v>
      </c>
      <c r="K15591" t="s">
        <v>82</v>
      </c>
      <c r="L15591">
        <v>53.773838300000001</v>
      </c>
    </row>
    <row r="15592" spans="1:12" x14ac:dyDescent="0.3">
      <c r="A15592" t="s">
        <v>498</v>
      </c>
      <c r="B15592" t="s">
        <v>72</v>
      </c>
      <c r="C15592">
        <v>1</v>
      </c>
      <c r="D15592" t="s">
        <v>73</v>
      </c>
      <c r="E15592">
        <v>5.7000000000000003E-5</v>
      </c>
      <c r="F15592" t="s">
        <v>74</v>
      </c>
      <c r="G15592">
        <v>5.7299999999999997E-2</v>
      </c>
      <c r="H15592" t="s">
        <v>75</v>
      </c>
      <c r="I15592">
        <v>57.3</v>
      </c>
      <c r="J15592" t="s">
        <v>76</v>
      </c>
      <c r="K15592" t="s">
        <v>77</v>
      </c>
    </row>
    <row r="15593" spans="1:12" x14ac:dyDescent="0.3">
      <c r="A15593" t="s">
        <v>498</v>
      </c>
      <c r="B15593" t="s">
        <v>72</v>
      </c>
      <c r="C15593">
        <v>1</v>
      </c>
      <c r="D15593" t="s">
        <v>78</v>
      </c>
      <c r="E15593">
        <v>0.14855099999999999</v>
      </c>
      <c r="F15593" t="s">
        <v>74</v>
      </c>
      <c r="G15593">
        <v>148.55070000000001</v>
      </c>
      <c r="H15593" t="s">
        <v>75</v>
      </c>
      <c r="I15593">
        <v>148550.704</v>
      </c>
      <c r="J15593" t="s">
        <v>76</v>
      </c>
      <c r="K15593" t="s">
        <v>77</v>
      </c>
    </row>
    <row r="15594" spans="1:12" x14ac:dyDescent="0.3">
      <c r="A15594" t="s">
        <v>498</v>
      </c>
      <c r="B15594" t="s">
        <v>72</v>
      </c>
      <c r="C15594">
        <v>2</v>
      </c>
      <c r="D15594" t="s">
        <v>86</v>
      </c>
      <c r="E15594">
        <v>0.197542</v>
      </c>
      <c r="F15594" t="s">
        <v>74</v>
      </c>
      <c r="G15594">
        <v>197.54225</v>
      </c>
      <c r="H15594" t="s">
        <v>75</v>
      </c>
      <c r="I15594">
        <v>197542.25</v>
      </c>
      <c r="J15594" t="s">
        <v>76</v>
      </c>
      <c r="K15594" t="s">
        <v>82</v>
      </c>
      <c r="L15594">
        <v>5.0622081999999997</v>
      </c>
    </row>
    <row r="15595" spans="1:12" x14ac:dyDescent="0.3">
      <c r="A15595" t="s">
        <v>498</v>
      </c>
      <c r="B15595" t="s">
        <v>83</v>
      </c>
      <c r="C15595">
        <v>999</v>
      </c>
      <c r="D15595" t="s">
        <v>86</v>
      </c>
      <c r="E15595">
        <v>1.683E-3</v>
      </c>
      <c r="F15595" t="s">
        <v>74</v>
      </c>
      <c r="G15595">
        <v>1.6828399999999999</v>
      </c>
      <c r="H15595" t="s">
        <v>75</v>
      </c>
      <c r="I15595">
        <v>1682.8440000000001</v>
      </c>
      <c r="J15595" t="s">
        <v>76</v>
      </c>
      <c r="K15595" t="s">
        <v>82</v>
      </c>
      <c r="L15595">
        <v>594.23222610000005</v>
      </c>
    </row>
    <row r="15596" spans="1:12" x14ac:dyDescent="0.3">
      <c r="A15596" t="s">
        <v>498</v>
      </c>
      <c r="B15596" t="s">
        <v>85</v>
      </c>
      <c r="C15596">
        <v>1001</v>
      </c>
      <c r="D15596" t="s">
        <v>86</v>
      </c>
      <c r="E15596">
        <v>1.8649999999999999E-3</v>
      </c>
      <c r="F15596" t="s">
        <v>74</v>
      </c>
      <c r="G15596">
        <v>1.86527</v>
      </c>
      <c r="H15596" t="s">
        <v>75</v>
      </c>
      <c r="I15596">
        <v>1865.2660000000001</v>
      </c>
      <c r="J15596" t="s">
        <v>76</v>
      </c>
      <c r="K15596" t="s">
        <v>82</v>
      </c>
      <c r="L15596">
        <v>536.11643709999998</v>
      </c>
    </row>
    <row r="15597" spans="1:12" x14ac:dyDescent="0.3">
      <c r="A15597" t="s">
        <v>215</v>
      </c>
    </row>
    <row r="15598" spans="1:12" x14ac:dyDescent="0.3">
      <c r="A15598" t="s">
        <v>215</v>
      </c>
    </row>
    <row r="15599" spans="1:12" x14ac:dyDescent="0.3">
      <c r="A15599" t="s">
        <v>560</v>
      </c>
    </row>
    <row r="15600" spans="1:12" x14ac:dyDescent="0.3">
      <c r="A15600" t="s">
        <v>496</v>
      </c>
      <c r="B15600" t="s">
        <v>72</v>
      </c>
      <c r="C15600">
        <v>1</v>
      </c>
      <c r="D15600" t="s">
        <v>79</v>
      </c>
      <c r="E15600">
        <v>6.8919999999999997E-3</v>
      </c>
      <c r="F15600" t="s">
        <v>74</v>
      </c>
      <c r="G15600">
        <v>6.8921000000000001</v>
      </c>
      <c r="H15600" t="s">
        <v>75</v>
      </c>
      <c r="I15600">
        <v>6892.1</v>
      </c>
      <c r="J15600" t="s">
        <v>76</v>
      </c>
      <c r="K15600" t="s">
        <v>77</v>
      </c>
    </row>
    <row r="15601" spans="1:12" x14ac:dyDescent="0.3">
      <c r="A15601" t="s">
        <v>496</v>
      </c>
      <c r="B15601" t="s">
        <v>72</v>
      </c>
      <c r="C15601">
        <v>1</v>
      </c>
      <c r="D15601" t="s">
        <v>94</v>
      </c>
      <c r="E15601">
        <v>5.7359999999999998E-3</v>
      </c>
      <c r="F15601" t="s">
        <v>74</v>
      </c>
      <c r="G15601">
        <v>5.7358000000000002</v>
      </c>
      <c r="H15601" t="s">
        <v>75</v>
      </c>
      <c r="I15601">
        <v>5735.8</v>
      </c>
      <c r="J15601" t="s">
        <v>76</v>
      </c>
      <c r="K15601" t="s">
        <v>77</v>
      </c>
    </row>
    <row r="15602" spans="1:12" x14ac:dyDescent="0.3">
      <c r="A15602" t="s">
        <v>496</v>
      </c>
      <c r="B15602" t="s">
        <v>72</v>
      </c>
      <c r="C15602">
        <v>1</v>
      </c>
      <c r="D15602" t="s">
        <v>80</v>
      </c>
      <c r="E15602">
        <v>5.7369999999999999E-3</v>
      </c>
      <c r="F15602" t="s">
        <v>74</v>
      </c>
      <c r="G15602">
        <v>5.7366999999999999</v>
      </c>
      <c r="H15602" t="s">
        <v>75</v>
      </c>
      <c r="I15602">
        <v>5736.7</v>
      </c>
      <c r="J15602" t="s">
        <v>76</v>
      </c>
      <c r="K15602" t="s">
        <v>77</v>
      </c>
    </row>
    <row r="15603" spans="1:12" x14ac:dyDescent="0.3">
      <c r="A15603" t="s">
        <v>496</v>
      </c>
      <c r="B15603" t="s">
        <v>72</v>
      </c>
      <c r="C15603">
        <v>1</v>
      </c>
      <c r="D15603" t="s">
        <v>81</v>
      </c>
      <c r="E15603">
        <v>1.2629E-2</v>
      </c>
      <c r="F15603" t="s">
        <v>74</v>
      </c>
      <c r="G15603">
        <v>12.629</v>
      </c>
      <c r="H15603" t="s">
        <v>75</v>
      </c>
      <c r="I15603">
        <v>12629</v>
      </c>
      <c r="J15603" t="s">
        <v>76</v>
      </c>
      <c r="K15603" t="s">
        <v>82</v>
      </c>
      <c r="L15603">
        <v>79.182836100000003</v>
      </c>
    </row>
    <row r="15604" spans="1:12" x14ac:dyDescent="0.3">
      <c r="A15604" t="s">
        <v>496</v>
      </c>
      <c r="B15604" t="s">
        <v>83</v>
      </c>
      <c r="C15604">
        <v>887</v>
      </c>
      <c r="D15604" t="s">
        <v>79</v>
      </c>
      <c r="E15604">
        <v>8.7200000000000005E-4</v>
      </c>
      <c r="F15604" t="s">
        <v>74</v>
      </c>
      <c r="G15604">
        <v>0.87168999999999996</v>
      </c>
      <c r="H15604" t="s">
        <v>75</v>
      </c>
      <c r="I15604">
        <v>871.69100000000003</v>
      </c>
      <c r="J15604" t="s">
        <v>76</v>
      </c>
      <c r="K15604" t="s">
        <v>77</v>
      </c>
    </row>
    <row r="15605" spans="1:12" x14ac:dyDescent="0.3">
      <c r="A15605" t="s">
        <v>496</v>
      </c>
      <c r="B15605" t="s">
        <v>83</v>
      </c>
      <c r="C15605">
        <v>887</v>
      </c>
      <c r="D15605" t="s">
        <v>94</v>
      </c>
      <c r="E15605">
        <v>2.2130000000000001E-3</v>
      </c>
      <c r="F15605" t="s">
        <v>74</v>
      </c>
      <c r="G15605">
        <v>2.2134800000000001</v>
      </c>
      <c r="H15605" t="s">
        <v>75</v>
      </c>
      <c r="I15605">
        <v>2213.4830000000002</v>
      </c>
      <c r="J15605" t="s">
        <v>76</v>
      </c>
      <c r="K15605" t="s">
        <v>77</v>
      </c>
    </row>
    <row r="15606" spans="1:12" x14ac:dyDescent="0.3">
      <c r="A15606" t="s">
        <v>496</v>
      </c>
      <c r="B15606" t="s">
        <v>83</v>
      </c>
      <c r="C15606">
        <v>887</v>
      </c>
      <c r="D15606" t="s">
        <v>80</v>
      </c>
      <c r="E15606">
        <v>2.5100000000000001E-3</v>
      </c>
      <c r="F15606" t="s">
        <v>74</v>
      </c>
      <c r="G15606">
        <v>2.50996</v>
      </c>
      <c r="H15606" t="s">
        <v>75</v>
      </c>
      <c r="I15606">
        <v>2509.9560000000001</v>
      </c>
      <c r="J15606" t="s">
        <v>76</v>
      </c>
      <c r="K15606" t="s">
        <v>77</v>
      </c>
    </row>
    <row r="15607" spans="1:12" x14ac:dyDescent="0.3">
      <c r="A15607" t="s">
        <v>496</v>
      </c>
      <c r="B15607" t="s">
        <v>83</v>
      </c>
      <c r="C15607">
        <v>887</v>
      </c>
      <c r="D15607" t="s">
        <v>81</v>
      </c>
      <c r="E15607">
        <v>3.3830000000000002E-3</v>
      </c>
      <c r="F15607" t="s">
        <v>74</v>
      </c>
      <c r="G15607">
        <v>3.3826700000000001</v>
      </c>
      <c r="H15607" t="s">
        <v>75</v>
      </c>
      <c r="I15607">
        <v>3382.6669999999999</v>
      </c>
      <c r="J15607" t="s">
        <v>76</v>
      </c>
      <c r="K15607" t="s">
        <v>82</v>
      </c>
      <c r="L15607">
        <v>295.62468260000003</v>
      </c>
    </row>
    <row r="15608" spans="1:12" x14ac:dyDescent="0.3">
      <c r="A15608" t="s">
        <v>496</v>
      </c>
      <c r="B15608" t="s">
        <v>84</v>
      </c>
      <c r="C15608">
        <v>888</v>
      </c>
      <c r="D15608" t="s">
        <v>79</v>
      </c>
      <c r="E15608">
        <v>8.7799999999999998E-4</v>
      </c>
      <c r="F15608" t="s">
        <v>74</v>
      </c>
      <c r="G15608">
        <v>0.87846999999999997</v>
      </c>
      <c r="H15608" t="s">
        <v>75</v>
      </c>
      <c r="I15608">
        <v>878.471</v>
      </c>
      <c r="J15608" t="s">
        <v>76</v>
      </c>
      <c r="K15608" t="s">
        <v>77</v>
      </c>
    </row>
    <row r="15609" spans="1:12" x14ac:dyDescent="0.3">
      <c r="A15609" t="s">
        <v>496</v>
      </c>
      <c r="B15609" t="s">
        <v>84</v>
      </c>
      <c r="C15609">
        <v>888</v>
      </c>
      <c r="D15609" t="s">
        <v>94</v>
      </c>
      <c r="E15609">
        <v>2.2169999999999998E-3</v>
      </c>
      <c r="F15609" t="s">
        <v>74</v>
      </c>
      <c r="G15609">
        <v>2.2174499999999999</v>
      </c>
      <c r="H15609" t="s">
        <v>75</v>
      </c>
      <c r="I15609">
        <v>2217.4490000000001</v>
      </c>
      <c r="J15609" t="s">
        <v>76</v>
      </c>
      <c r="K15609" t="s">
        <v>77</v>
      </c>
    </row>
    <row r="15610" spans="1:12" x14ac:dyDescent="0.3">
      <c r="A15610" t="s">
        <v>496</v>
      </c>
      <c r="B15610" t="s">
        <v>84</v>
      </c>
      <c r="C15610">
        <v>888</v>
      </c>
      <c r="D15610" t="s">
        <v>80</v>
      </c>
      <c r="E15610">
        <v>2.5140000000000002E-3</v>
      </c>
      <c r="F15610" t="s">
        <v>74</v>
      </c>
      <c r="G15610">
        <v>2.5135900000000002</v>
      </c>
      <c r="H15610" t="s">
        <v>75</v>
      </c>
      <c r="I15610">
        <v>2513.5889999999999</v>
      </c>
      <c r="J15610" t="s">
        <v>76</v>
      </c>
      <c r="K15610" t="s">
        <v>77</v>
      </c>
    </row>
    <row r="15611" spans="1:12" x14ac:dyDescent="0.3">
      <c r="A15611" t="s">
        <v>496</v>
      </c>
      <c r="B15611" t="s">
        <v>84</v>
      </c>
      <c r="C15611">
        <v>888</v>
      </c>
      <c r="D15611" t="s">
        <v>81</v>
      </c>
      <c r="E15611">
        <v>3.3930000000000002E-3</v>
      </c>
      <c r="F15611" t="s">
        <v>74</v>
      </c>
      <c r="G15611">
        <v>3.3930799999999999</v>
      </c>
      <c r="H15611" t="s">
        <v>75</v>
      </c>
      <c r="I15611">
        <v>3393.08</v>
      </c>
      <c r="J15611" t="s">
        <v>76</v>
      </c>
      <c r="K15611" t="s">
        <v>82</v>
      </c>
      <c r="L15611">
        <v>294.71745600000003</v>
      </c>
    </row>
    <row r="15612" spans="1:12" x14ac:dyDescent="0.3">
      <c r="A15612" t="s">
        <v>497</v>
      </c>
      <c r="B15612" t="s">
        <v>72</v>
      </c>
      <c r="C15612">
        <v>1</v>
      </c>
      <c r="D15612" t="s">
        <v>79</v>
      </c>
      <c r="E15612">
        <v>8.2810000000000002E-3</v>
      </c>
      <c r="F15612" t="s">
        <v>74</v>
      </c>
      <c r="G15612">
        <v>8.2810000000000006</v>
      </c>
      <c r="H15612" t="s">
        <v>75</v>
      </c>
      <c r="I15612">
        <v>8281</v>
      </c>
      <c r="J15612" t="s">
        <v>76</v>
      </c>
      <c r="K15612" t="s">
        <v>77</v>
      </c>
    </row>
    <row r="15613" spans="1:12" x14ac:dyDescent="0.3">
      <c r="A15613" t="s">
        <v>497</v>
      </c>
      <c r="B15613" t="s">
        <v>72</v>
      </c>
      <c r="C15613">
        <v>1</v>
      </c>
      <c r="D15613" t="s">
        <v>94</v>
      </c>
      <c r="E15613">
        <v>4.0996999999999999E-2</v>
      </c>
      <c r="F15613" t="s">
        <v>74</v>
      </c>
      <c r="G15613">
        <v>40.997300000000003</v>
      </c>
      <c r="H15613" t="s">
        <v>75</v>
      </c>
      <c r="I15613">
        <v>40997.300000000003</v>
      </c>
      <c r="J15613" t="s">
        <v>76</v>
      </c>
      <c r="K15613" t="s">
        <v>77</v>
      </c>
    </row>
    <row r="15614" spans="1:12" x14ac:dyDescent="0.3">
      <c r="A15614" t="s">
        <v>497</v>
      </c>
      <c r="B15614" t="s">
        <v>72</v>
      </c>
      <c r="C15614">
        <v>1</v>
      </c>
      <c r="D15614" t="s">
        <v>80</v>
      </c>
      <c r="E15614">
        <v>4.0998E-2</v>
      </c>
      <c r="F15614" t="s">
        <v>74</v>
      </c>
      <c r="G15614">
        <v>40.998199999999997</v>
      </c>
      <c r="H15614" t="s">
        <v>75</v>
      </c>
      <c r="I15614">
        <v>40998.201999999997</v>
      </c>
      <c r="J15614" t="s">
        <v>76</v>
      </c>
      <c r="K15614" t="s">
        <v>77</v>
      </c>
    </row>
    <row r="15615" spans="1:12" x14ac:dyDescent="0.3">
      <c r="A15615" t="s">
        <v>497</v>
      </c>
      <c r="B15615" t="s">
        <v>72</v>
      </c>
      <c r="C15615">
        <v>1</v>
      </c>
      <c r="D15615" t="s">
        <v>81</v>
      </c>
      <c r="E15615">
        <v>4.9279000000000003E-2</v>
      </c>
      <c r="F15615" t="s">
        <v>74</v>
      </c>
      <c r="G15615">
        <v>49.279400000000003</v>
      </c>
      <c r="H15615" t="s">
        <v>75</v>
      </c>
      <c r="I15615">
        <v>49279.398999999998</v>
      </c>
      <c r="J15615" t="s">
        <v>76</v>
      </c>
      <c r="K15615" t="s">
        <v>82</v>
      </c>
      <c r="L15615">
        <v>20.292455199999999</v>
      </c>
    </row>
    <row r="15616" spans="1:12" x14ac:dyDescent="0.3">
      <c r="A15616" t="s">
        <v>497</v>
      </c>
      <c r="B15616" t="s">
        <v>83</v>
      </c>
      <c r="C15616">
        <v>112</v>
      </c>
      <c r="D15616" t="s">
        <v>79</v>
      </c>
      <c r="E15616">
        <v>6.5099999999999999E-4</v>
      </c>
      <c r="F15616" t="s">
        <v>74</v>
      </c>
      <c r="G15616">
        <v>0.65102000000000004</v>
      </c>
      <c r="H15616" t="s">
        <v>75</v>
      </c>
      <c r="I15616">
        <v>651.02499999999998</v>
      </c>
      <c r="J15616" t="s">
        <v>76</v>
      </c>
      <c r="K15616" t="s">
        <v>77</v>
      </c>
    </row>
    <row r="15617" spans="1:12" x14ac:dyDescent="0.3">
      <c r="A15617" t="s">
        <v>497</v>
      </c>
      <c r="B15617" t="s">
        <v>83</v>
      </c>
      <c r="C15617">
        <v>112</v>
      </c>
      <c r="D15617" t="s">
        <v>94</v>
      </c>
      <c r="E15617">
        <v>2.5791000000000001E-2</v>
      </c>
      <c r="F15617" t="s">
        <v>74</v>
      </c>
      <c r="G15617">
        <v>25.790669999999999</v>
      </c>
      <c r="H15617" t="s">
        <v>75</v>
      </c>
      <c r="I15617">
        <v>25790.666000000001</v>
      </c>
      <c r="J15617" t="s">
        <v>76</v>
      </c>
      <c r="K15617" t="s">
        <v>77</v>
      </c>
    </row>
    <row r="15618" spans="1:12" x14ac:dyDescent="0.3">
      <c r="A15618" t="s">
        <v>497</v>
      </c>
      <c r="B15618" t="s">
        <v>83</v>
      </c>
      <c r="C15618">
        <v>112</v>
      </c>
      <c r="D15618" t="s">
        <v>80</v>
      </c>
      <c r="E15618">
        <v>2.6074E-2</v>
      </c>
      <c r="F15618" t="s">
        <v>74</v>
      </c>
      <c r="G15618">
        <v>26.073699999999999</v>
      </c>
      <c r="H15618" t="s">
        <v>75</v>
      </c>
      <c r="I15618">
        <v>26073.698</v>
      </c>
      <c r="J15618" t="s">
        <v>76</v>
      </c>
      <c r="K15618" t="s">
        <v>77</v>
      </c>
    </row>
    <row r="15619" spans="1:12" x14ac:dyDescent="0.3">
      <c r="A15619" t="s">
        <v>497</v>
      </c>
      <c r="B15619" t="s">
        <v>83</v>
      </c>
      <c r="C15619">
        <v>112</v>
      </c>
      <c r="D15619" t="s">
        <v>81</v>
      </c>
      <c r="E15619">
        <v>2.6724999999999999E-2</v>
      </c>
      <c r="F15619" t="s">
        <v>74</v>
      </c>
      <c r="G15619">
        <v>26.725280000000001</v>
      </c>
      <c r="H15619" t="s">
        <v>75</v>
      </c>
      <c r="I15619">
        <v>26725.281999999999</v>
      </c>
      <c r="J15619" t="s">
        <v>76</v>
      </c>
      <c r="K15619" t="s">
        <v>82</v>
      </c>
      <c r="L15619">
        <v>37.417753599999998</v>
      </c>
    </row>
    <row r="15620" spans="1:12" x14ac:dyDescent="0.3">
      <c r="A15620" t="s">
        <v>497</v>
      </c>
      <c r="B15620" t="s">
        <v>84</v>
      </c>
      <c r="C15620">
        <v>113</v>
      </c>
      <c r="D15620" t="s">
        <v>79</v>
      </c>
      <c r="E15620">
        <v>7.1900000000000002E-4</v>
      </c>
      <c r="F15620" t="s">
        <v>74</v>
      </c>
      <c r="G15620">
        <v>0.71855000000000002</v>
      </c>
      <c r="H15620" t="s">
        <v>75</v>
      </c>
      <c r="I15620">
        <v>718.54700000000003</v>
      </c>
      <c r="J15620" t="s">
        <v>76</v>
      </c>
      <c r="K15620" t="s">
        <v>77</v>
      </c>
    </row>
    <row r="15621" spans="1:12" x14ac:dyDescent="0.3">
      <c r="A15621" t="s">
        <v>497</v>
      </c>
      <c r="B15621" t="s">
        <v>84</v>
      </c>
      <c r="C15621">
        <v>113</v>
      </c>
      <c r="D15621" t="s">
        <v>94</v>
      </c>
      <c r="E15621">
        <v>2.5925E-2</v>
      </c>
      <c r="F15621" t="s">
        <v>74</v>
      </c>
      <c r="G15621">
        <v>25.925239999999999</v>
      </c>
      <c r="H15621" t="s">
        <v>75</v>
      </c>
      <c r="I15621">
        <v>25925.24</v>
      </c>
      <c r="J15621" t="s">
        <v>76</v>
      </c>
      <c r="K15621" t="s">
        <v>77</v>
      </c>
    </row>
    <row r="15622" spans="1:12" x14ac:dyDescent="0.3">
      <c r="A15622" t="s">
        <v>497</v>
      </c>
      <c r="B15622" t="s">
        <v>84</v>
      </c>
      <c r="C15622">
        <v>113</v>
      </c>
      <c r="D15622" t="s">
        <v>80</v>
      </c>
      <c r="E15622">
        <v>2.6206E-2</v>
      </c>
      <c r="F15622" t="s">
        <v>74</v>
      </c>
      <c r="G15622">
        <v>26.205780000000001</v>
      </c>
      <c r="H15622" t="s">
        <v>75</v>
      </c>
      <c r="I15622">
        <v>26205.777999999998</v>
      </c>
      <c r="J15622" t="s">
        <v>76</v>
      </c>
      <c r="K15622" t="s">
        <v>77</v>
      </c>
    </row>
    <row r="15623" spans="1:12" x14ac:dyDescent="0.3">
      <c r="A15623" t="s">
        <v>497</v>
      </c>
      <c r="B15623" t="s">
        <v>84</v>
      </c>
      <c r="C15623">
        <v>113</v>
      </c>
      <c r="D15623" t="s">
        <v>81</v>
      </c>
      <c r="E15623">
        <v>2.6925000000000001E-2</v>
      </c>
      <c r="F15623" t="s">
        <v>74</v>
      </c>
      <c r="G15623">
        <v>26.924869999999999</v>
      </c>
      <c r="H15623" t="s">
        <v>75</v>
      </c>
      <c r="I15623">
        <v>26924.874</v>
      </c>
      <c r="J15623" t="s">
        <v>76</v>
      </c>
      <c r="K15623" t="s">
        <v>82</v>
      </c>
      <c r="L15623">
        <v>37.140378200000001</v>
      </c>
    </row>
    <row r="15624" spans="1:12" x14ac:dyDescent="0.3">
      <c r="A15624" t="s">
        <v>498</v>
      </c>
      <c r="B15624" t="s">
        <v>72</v>
      </c>
      <c r="C15624">
        <v>1</v>
      </c>
      <c r="D15624" t="s">
        <v>73</v>
      </c>
      <c r="E15624">
        <v>5.7000000000000003E-5</v>
      </c>
      <c r="F15624" t="s">
        <v>74</v>
      </c>
      <c r="G15624">
        <v>5.7299999999999997E-2</v>
      </c>
      <c r="H15624" t="s">
        <v>75</v>
      </c>
      <c r="I15624">
        <v>57.3</v>
      </c>
      <c r="J15624" t="s">
        <v>76</v>
      </c>
      <c r="K15624" t="s">
        <v>77</v>
      </c>
    </row>
    <row r="15625" spans="1:12" x14ac:dyDescent="0.3">
      <c r="A15625" t="s">
        <v>498</v>
      </c>
      <c r="B15625" t="s">
        <v>72</v>
      </c>
      <c r="C15625">
        <v>1</v>
      </c>
      <c r="D15625" t="s">
        <v>78</v>
      </c>
      <c r="E15625">
        <v>5.3799999999999996E-4</v>
      </c>
      <c r="F15625" t="s">
        <v>74</v>
      </c>
      <c r="G15625">
        <v>0.53759999999999997</v>
      </c>
      <c r="H15625" t="s">
        <v>75</v>
      </c>
      <c r="I15625">
        <v>537.6</v>
      </c>
      <c r="J15625" t="s">
        <v>76</v>
      </c>
      <c r="K15625" t="s">
        <v>77</v>
      </c>
    </row>
    <row r="15626" spans="1:12" x14ac:dyDescent="0.3">
      <c r="A15626" t="s">
        <v>498</v>
      </c>
      <c r="B15626" t="s">
        <v>72</v>
      </c>
      <c r="C15626">
        <v>2</v>
      </c>
      <c r="D15626" t="s">
        <v>86</v>
      </c>
      <c r="E15626">
        <v>2.4643000000000002E-2</v>
      </c>
      <c r="F15626" t="s">
        <v>74</v>
      </c>
      <c r="G15626">
        <v>24.6434</v>
      </c>
      <c r="H15626" t="s">
        <v>75</v>
      </c>
      <c r="I15626">
        <v>24643.401000000002</v>
      </c>
      <c r="J15626" t="s">
        <v>76</v>
      </c>
      <c r="K15626" t="s">
        <v>82</v>
      </c>
      <c r="L15626">
        <v>40.5788151</v>
      </c>
    </row>
    <row r="15627" spans="1:12" x14ac:dyDescent="0.3">
      <c r="A15627" t="s">
        <v>498</v>
      </c>
      <c r="B15627" t="s">
        <v>83</v>
      </c>
      <c r="C15627">
        <v>999</v>
      </c>
      <c r="D15627" t="s">
        <v>86</v>
      </c>
      <c r="E15627">
        <v>3.045E-3</v>
      </c>
      <c r="F15627" t="s">
        <v>74</v>
      </c>
      <c r="G15627">
        <v>3.0447700000000002</v>
      </c>
      <c r="H15627" t="s">
        <v>75</v>
      </c>
      <c r="I15627">
        <v>3044.7689999999998</v>
      </c>
      <c r="J15627" t="s">
        <v>76</v>
      </c>
      <c r="K15627" t="s">
        <v>82</v>
      </c>
      <c r="L15627">
        <v>328.43209180000002</v>
      </c>
    </row>
    <row r="15628" spans="1:12" x14ac:dyDescent="0.3">
      <c r="A15628" t="s">
        <v>498</v>
      </c>
      <c r="B15628" t="s">
        <v>85</v>
      </c>
      <c r="C15628">
        <v>1001</v>
      </c>
      <c r="D15628" t="s">
        <v>86</v>
      </c>
      <c r="E15628">
        <v>3.0530000000000002E-3</v>
      </c>
      <c r="F15628" t="s">
        <v>74</v>
      </c>
      <c r="G15628">
        <v>3.05335</v>
      </c>
      <c r="H15628" t="s">
        <v>75</v>
      </c>
      <c r="I15628">
        <v>3053.3539999999998</v>
      </c>
      <c r="J15628" t="s">
        <v>76</v>
      </c>
      <c r="K15628" t="s">
        <v>82</v>
      </c>
      <c r="L15628">
        <v>327.50866430000002</v>
      </c>
    </row>
    <row r="15629" spans="1:12" x14ac:dyDescent="0.3">
      <c r="A15629" t="s">
        <v>115</v>
      </c>
    </row>
    <row r="15630" spans="1:12" x14ac:dyDescent="0.3">
      <c r="A15630" t="s">
        <v>127</v>
      </c>
    </row>
    <row r="15631" spans="1:12" x14ac:dyDescent="0.3">
      <c r="A15631" t="s">
        <v>87</v>
      </c>
    </row>
    <row r="15632" spans="1:12" x14ac:dyDescent="0.3">
      <c r="A15632" t="s">
        <v>561</v>
      </c>
    </row>
    <row r="15633" spans="1:12" x14ac:dyDescent="0.3">
      <c r="A15633" t="s">
        <v>496</v>
      </c>
      <c r="B15633" t="s">
        <v>72</v>
      </c>
      <c r="C15633">
        <v>1</v>
      </c>
      <c r="D15633" t="s">
        <v>81</v>
      </c>
      <c r="E15633">
        <v>0.39504</v>
      </c>
      <c r="F15633" t="s">
        <v>74</v>
      </c>
      <c r="G15633">
        <v>395.03958999999998</v>
      </c>
      <c r="H15633" t="s">
        <v>75</v>
      </c>
      <c r="I15633">
        <v>395039.58799999999</v>
      </c>
      <c r="J15633" t="s">
        <v>76</v>
      </c>
      <c r="K15633" t="s">
        <v>82</v>
      </c>
      <c r="L15633">
        <v>2.5313919</v>
      </c>
    </row>
    <row r="15634" spans="1:12" x14ac:dyDescent="0.3">
      <c r="A15634" t="s">
        <v>496</v>
      </c>
      <c r="B15634" t="s">
        <v>83</v>
      </c>
      <c r="C15634">
        <v>900</v>
      </c>
      <c r="D15634" t="s">
        <v>81</v>
      </c>
      <c r="E15634">
        <v>1.6119999999999999E-3</v>
      </c>
      <c r="F15634" t="s">
        <v>74</v>
      </c>
      <c r="G15634">
        <v>1.6122000000000001</v>
      </c>
      <c r="H15634" t="s">
        <v>75</v>
      </c>
      <c r="I15634">
        <v>1612.1949999999999</v>
      </c>
      <c r="J15634" t="s">
        <v>76</v>
      </c>
      <c r="K15634" t="s">
        <v>82</v>
      </c>
      <c r="L15634">
        <v>620.27219279999997</v>
      </c>
    </row>
    <row r="15635" spans="1:12" x14ac:dyDescent="0.3">
      <c r="A15635" t="s">
        <v>496</v>
      </c>
      <c r="B15635" t="s">
        <v>84</v>
      </c>
      <c r="C15635">
        <v>901</v>
      </c>
      <c r="D15635" t="s">
        <v>81</v>
      </c>
      <c r="E15635">
        <v>2.049E-3</v>
      </c>
      <c r="F15635" t="s">
        <v>74</v>
      </c>
      <c r="G15635">
        <v>2.0488499999999998</v>
      </c>
      <c r="H15635" t="s">
        <v>75</v>
      </c>
      <c r="I15635">
        <v>2048.8510000000001</v>
      </c>
      <c r="J15635" t="s">
        <v>76</v>
      </c>
      <c r="K15635" t="s">
        <v>82</v>
      </c>
      <c r="L15635">
        <v>488.07834889999998</v>
      </c>
    </row>
    <row r="15636" spans="1:12" x14ac:dyDescent="0.3">
      <c r="A15636" t="s">
        <v>497</v>
      </c>
      <c r="B15636" t="s">
        <v>72</v>
      </c>
      <c r="C15636">
        <v>1</v>
      </c>
      <c r="D15636" t="s">
        <v>81</v>
      </c>
      <c r="E15636">
        <v>0.167684</v>
      </c>
      <c r="F15636" t="s">
        <v>74</v>
      </c>
      <c r="G15636">
        <v>167.68441000000001</v>
      </c>
      <c r="H15636" t="s">
        <v>75</v>
      </c>
      <c r="I15636">
        <v>167684.40599999999</v>
      </c>
      <c r="J15636" t="s">
        <v>76</v>
      </c>
      <c r="K15636" t="s">
        <v>82</v>
      </c>
      <c r="L15636">
        <v>5.9635838000000003</v>
      </c>
    </row>
    <row r="15637" spans="1:12" x14ac:dyDescent="0.3">
      <c r="A15637" t="s">
        <v>497</v>
      </c>
      <c r="B15637" t="s">
        <v>83</v>
      </c>
      <c r="C15637">
        <v>99</v>
      </c>
      <c r="D15637" t="s">
        <v>81</v>
      </c>
      <c r="E15637">
        <v>1.7090000000000001E-2</v>
      </c>
      <c r="F15637" t="s">
        <v>74</v>
      </c>
      <c r="G15637">
        <v>17.09047</v>
      </c>
      <c r="H15637" t="s">
        <v>75</v>
      </c>
      <c r="I15637">
        <v>17090.465</v>
      </c>
      <c r="J15637" t="s">
        <v>76</v>
      </c>
      <c r="K15637" t="s">
        <v>82</v>
      </c>
      <c r="L15637">
        <v>58.512158399999997</v>
      </c>
    </row>
    <row r="15638" spans="1:12" x14ac:dyDescent="0.3">
      <c r="A15638" t="s">
        <v>497</v>
      </c>
      <c r="B15638" t="s">
        <v>84</v>
      </c>
      <c r="C15638">
        <v>100</v>
      </c>
      <c r="D15638" t="s">
        <v>81</v>
      </c>
      <c r="E15638">
        <v>1.8596000000000001E-2</v>
      </c>
      <c r="F15638" t="s">
        <v>74</v>
      </c>
      <c r="G15638">
        <v>18.596399999999999</v>
      </c>
      <c r="H15638" t="s">
        <v>75</v>
      </c>
      <c r="I15638">
        <v>18596.403999999999</v>
      </c>
      <c r="J15638" t="s">
        <v>76</v>
      </c>
      <c r="K15638" t="s">
        <v>82</v>
      </c>
      <c r="L15638">
        <v>53.773838300000001</v>
      </c>
    </row>
    <row r="15639" spans="1:12" x14ac:dyDescent="0.3">
      <c r="A15639" t="s">
        <v>498</v>
      </c>
      <c r="B15639" t="s">
        <v>72</v>
      </c>
      <c r="C15639">
        <v>2</v>
      </c>
      <c r="D15639" t="s">
        <v>86</v>
      </c>
      <c r="E15639">
        <v>0.197542</v>
      </c>
      <c r="F15639" t="s">
        <v>74</v>
      </c>
      <c r="G15639">
        <v>197.54225</v>
      </c>
      <c r="H15639" t="s">
        <v>75</v>
      </c>
      <c r="I15639">
        <v>197542.25</v>
      </c>
      <c r="J15639" t="s">
        <v>76</v>
      </c>
      <c r="K15639" t="s">
        <v>82</v>
      </c>
      <c r="L15639">
        <v>5.0622081999999997</v>
      </c>
    </row>
    <row r="15640" spans="1:12" x14ac:dyDescent="0.3">
      <c r="A15640" t="s">
        <v>498</v>
      </c>
      <c r="B15640" t="s">
        <v>83</v>
      </c>
      <c r="C15640">
        <v>999</v>
      </c>
      <c r="D15640" t="s">
        <v>86</v>
      </c>
      <c r="E15640">
        <v>1.683E-3</v>
      </c>
      <c r="F15640" t="s">
        <v>74</v>
      </c>
      <c r="G15640">
        <v>1.6828399999999999</v>
      </c>
      <c r="H15640" t="s">
        <v>75</v>
      </c>
      <c r="I15640">
        <v>1682.8440000000001</v>
      </c>
      <c r="J15640" t="s">
        <v>76</v>
      </c>
      <c r="K15640" t="s">
        <v>82</v>
      </c>
      <c r="L15640">
        <v>594.23222610000005</v>
      </c>
    </row>
    <row r="15641" spans="1:12" x14ac:dyDescent="0.3">
      <c r="A15641" t="s">
        <v>498</v>
      </c>
      <c r="B15641" t="s">
        <v>85</v>
      </c>
      <c r="C15641">
        <v>1001</v>
      </c>
      <c r="D15641" t="s">
        <v>86</v>
      </c>
      <c r="E15641">
        <v>1.8649999999999999E-3</v>
      </c>
      <c r="F15641" t="s">
        <v>74</v>
      </c>
      <c r="G15641">
        <v>1.86527</v>
      </c>
      <c r="H15641" t="s">
        <v>75</v>
      </c>
      <c r="I15641">
        <v>1865.2660000000001</v>
      </c>
      <c r="J15641" t="s">
        <v>76</v>
      </c>
      <c r="K15641" t="s">
        <v>82</v>
      </c>
      <c r="L15641">
        <v>536.11643709999998</v>
      </c>
    </row>
    <row r="15643" spans="1:12" x14ac:dyDescent="0.3">
      <c r="A15643" t="s">
        <v>562</v>
      </c>
    </row>
    <row r="15644" spans="1:12" x14ac:dyDescent="0.3">
      <c r="A15644" t="s">
        <v>496</v>
      </c>
      <c r="B15644" t="s">
        <v>72</v>
      </c>
      <c r="C15644">
        <v>1</v>
      </c>
      <c r="D15644" t="s">
        <v>81</v>
      </c>
      <c r="E15644">
        <v>1.2629E-2</v>
      </c>
      <c r="F15644" t="s">
        <v>74</v>
      </c>
      <c r="G15644">
        <v>12.629</v>
      </c>
      <c r="H15644" t="s">
        <v>75</v>
      </c>
      <c r="I15644">
        <v>12629</v>
      </c>
      <c r="J15644" t="s">
        <v>76</v>
      </c>
      <c r="K15644" t="s">
        <v>82</v>
      </c>
      <c r="L15644">
        <v>79.182836100000003</v>
      </c>
    </row>
    <row r="15645" spans="1:12" x14ac:dyDescent="0.3">
      <c r="A15645" t="s">
        <v>496</v>
      </c>
      <c r="B15645" t="s">
        <v>83</v>
      </c>
      <c r="C15645">
        <v>887</v>
      </c>
      <c r="D15645" t="s">
        <v>81</v>
      </c>
      <c r="E15645">
        <v>3.3830000000000002E-3</v>
      </c>
      <c r="F15645" t="s">
        <v>74</v>
      </c>
      <c r="G15645">
        <v>3.3826700000000001</v>
      </c>
      <c r="H15645" t="s">
        <v>75</v>
      </c>
      <c r="I15645">
        <v>3382.6669999999999</v>
      </c>
      <c r="J15645" t="s">
        <v>76</v>
      </c>
      <c r="K15645" t="s">
        <v>82</v>
      </c>
      <c r="L15645">
        <v>295.62468260000003</v>
      </c>
    </row>
    <row r="15646" spans="1:12" x14ac:dyDescent="0.3">
      <c r="A15646" t="s">
        <v>496</v>
      </c>
      <c r="B15646" t="s">
        <v>84</v>
      </c>
      <c r="C15646">
        <v>888</v>
      </c>
      <c r="D15646" t="s">
        <v>81</v>
      </c>
      <c r="E15646">
        <v>3.3930000000000002E-3</v>
      </c>
      <c r="F15646" t="s">
        <v>74</v>
      </c>
      <c r="G15646">
        <v>3.3930799999999999</v>
      </c>
      <c r="H15646" t="s">
        <v>75</v>
      </c>
      <c r="I15646">
        <v>3393.08</v>
      </c>
      <c r="J15646" t="s">
        <v>76</v>
      </c>
      <c r="K15646" t="s">
        <v>82</v>
      </c>
      <c r="L15646">
        <v>294.71745600000003</v>
      </c>
    </row>
    <row r="15647" spans="1:12" x14ac:dyDescent="0.3">
      <c r="A15647" t="s">
        <v>497</v>
      </c>
      <c r="B15647" t="s">
        <v>72</v>
      </c>
      <c r="C15647">
        <v>1</v>
      </c>
      <c r="D15647" t="s">
        <v>81</v>
      </c>
      <c r="E15647">
        <v>4.9279000000000003E-2</v>
      </c>
      <c r="F15647" t="s">
        <v>74</v>
      </c>
      <c r="G15647">
        <v>49.279400000000003</v>
      </c>
      <c r="H15647" t="s">
        <v>75</v>
      </c>
      <c r="I15647">
        <v>49279.398999999998</v>
      </c>
      <c r="J15647" t="s">
        <v>76</v>
      </c>
      <c r="K15647" t="s">
        <v>82</v>
      </c>
      <c r="L15647">
        <v>20.292455199999999</v>
      </c>
    </row>
    <row r="15648" spans="1:12" x14ac:dyDescent="0.3">
      <c r="A15648" t="s">
        <v>497</v>
      </c>
      <c r="B15648" t="s">
        <v>83</v>
      </c>
      <c r="C15648">
        <v>112</v>
      </c>
      <c r="D15648" t="s">
        <v>81</v>
      </c>
      <c r="E15648">
        <v>2.6724999999999999E-2</v>
      </c>
      <c r="F15648" t="s">
        <v>74</v>
      </c>
      <c r="G15648">
        <v>26.725280000000001</v>
      </c>
      <c r="H15648" t="s">
        <v>75</v>
      </c>
      <c r="I15648">
        <v>26725.281999999999</v>
      </c>
      <c r="J15648" t="s">
        <v>76</v>
      </c>
      <c r="K15648" t="s">
        <v>82</v>
      </c>
      <c r="L15648">
        <v>37.417753599999998</v>
      </c>
    </row>
    <row r="15649" spans="1:12" x14ac:dyDescent="0.3">
      <c r="A15649" t="s">
        <v>497</v>
      </c>
      <c r="B15649" t="s">
        <v>84</v>
      </c>
      <c r="C15649">
        <v>113</v>
      </c>
      <c r="D15649" t="s">
        <v>81</v>
      </c>
      <c r="E15649">
        <v>2.6925000000000001E-2</v>
      </c>
      <c r="F15649" t="s">
        <v>74</v>
      </c>
      <c r="G15649">
        <v>26.924869999999999</v>
      </c>
      <c r="H15649" t="s">
        <v>75</v>
      </c>
      <c r="I15649">
        <v>26924.874</v>
      </c>
      <c r="J15649" t="s">
        <v>76</v>
      </c>
      <c r="K15649" t="s">
        <v>82</v>
      </c>
      <c r="L15649">
        <v>37.140378200000001</v>
      </c>
    </row>
    <row r="15650" spans="1:12" x14ac:dyDescent="0.3">
      <c r="A15650" t="s">
        <v>498</v>
      </c>
      <c r="B15650" t="s">
        <v>72</v>
      </c>
      <c r="C15650">
        <v>2</v>
      </c>
      <c r="D15650" t="s">
        <v>86</v>
      </c>
      <c r="E15650">
        <v>2.4643000000000002E-2</v>
      </c>
      <c r="F15650" t="s">
        <v>74</v>
      </c>
      <c r="G15650">
        <v>24.6434</v>
      </c>
      <c r="H15650" t="s">
        <v>75</v>
      </c>
      <c r="I15650">
        <v>24643.401000000002</v>
      </c>
      <c r="J15650" t="s">
        <v>76</v>
      </c>
      <c r="K15650" t="s">
        <v>82</v>
      </c>
      <c r="L15650">
        <v>40.5788151</v>
      </c>
    </row>
    <row r="15651" spans="1:12" x14ac:dyDescent="0.3">
      <c r="A15651" t="s">
        <v>498</v>
      </c>
      <c r="B15651" t="s">
        <v>83</v>
      </c>
      <c r="C15651">
        <v>999</v>
      </c>
      <c r="D15651" t="s">
        <v>86</v>
      </c>
      <c r="E15651">
        <v>3.045E-3</v>
      </c>
      <c r="F15651" t="s">
        <v>74</v>
      </c>
      <c r="G15651">
        <v>3.0447700000000002</v>
      </c>
      <c r="H15651" t="s">
        <v>75</v>
      </c>
      <c r="I15651">
        <v>3044.7689999999998</v>
      </c>
      <c r="J15651" t="s">
        <v>76</v>
      </c>
      <c r="K15651" t="s">
        <v>82</v>
      </c>
      <c r="L15651">
        <v>328.43209180000002</v>
      </c>
    </row>
    <row r="15652" spans="1:12" x14ac:dyDescent="0.3">
      <c r="A15652" t="s">
        <v>498</v>
      </c>
      <c r="B15652" t="s">
        <v>85</v>
      </c>
      <c r="C15652">
        <v>1001</v>
      </c>
      <c r="D15652" t="s">
        <v>86</v>
      </c>
      <c r="E15652">
        <v>3.0530000000000002E-3</v>
      </c>
      <c r="F15652" t="s">
        <v>74</v>
      </c>
      <c r="G15652">
        <v>3.05335</v>
      </c>
      <c r="H15652" t="s">
        <v>75</v>
      </c>
      <c r="I15652">
        <v>3053.3539999999998</v>
      </c>
      <c r="J15652" t="s">
        <v>76</v>
      </c>
      <c r="K15652" t="s">
        <v>82</v>
      </c>
      <c r="L15652">
        <v>327.50866430000002</v>
      </c>
    </row>
    <row r="15654" spans="1:12" x14ac:dyDescent="0.3">
      <c r="A15654" t="s">
        <v>64</v>
      </c>
    </row>
    <row r="15655" spans="1:12" x14ac:dyDescent="0.3">
      <c r="A15655" t="s">
        <v>593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L339"/>
  <sheetViews>
    <sheetView tabSelected="1" topLeftCell="A131" workbookViewId="0">
      <selection activeCell="Z171" sqref="Z171"/>
    </sheetView>
  </sheetViews>
  <sheetFormatPr defaultRowHeight="14.4" x14ac:dyDescent="0.3"/>
  <sheetData>
    <row r="1" spans="1:168" x14ac:dyDescent="0.3">
      <c r="B1" t="s">
        <v>65</v>
      </c>
      <c r="P1" t="s">
        <v>219</v>
      </c>
      <c r="AD1" t="s">
        <v>239</v>
      </c>
      <c r="AR1" t="s">
        <v>259</v>
      </c>
      <c r="BF1" t="s">
        <v>337</v>
      </c>
      <c r="BT1" t="s">
        <v>357</v>
      </c>
      <c r="CH1" t="s">
        <v>377</v>
      </c>
      <c r="CV1" t="s">
        <v>453</v>
      </c>
      <c r="DJ1" t="s">
        <v>473</v>
      </c>
      <c r="DX1" t="s">
        <v>493</v>
      </c>
      <c r="EL1" t="s">
        <v>563</v>
      </c>
      <c r="EZ1" t="s">
        <v>578</v>
      </c>
    </row>
    <row r="2" spans="1:168" ht="43.2" customHeight="1" x14ac:dyDescent="0.3">
      <c r="B2" s="1" t="s">
        <v>594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P2" s="1" t="s">
        <v>598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D2" s="1" t="s">
        <v>599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R2" s="1" t="s">
        <v>600</v>
      </c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F2" s="1" t="s">
        <v>601</v>
      </c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T2" s="1" t="s">
        <v>602</v>
      </c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H2" s="1" t="s">
        <v>603</v>
      </c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V2" s="1" t="s">
        <v>604</v>
      </c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J2" s="1" t="s">
        <v>605</v>
      </c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X2" s="1" t="s">
        <v>606</v>
      </c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L2" s="1" t="s">
        <v>607</v>
      </c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Z2" s="1" t="s">
        <v>608</v>
      </c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</row>
    <row r="4" spans="1:168" x14ac:dyDescent="0.3">
      <c r="A4">
        <v>0</v>
      </c>
      <c r="B4" t="s">
        <v>88</v>
      </c>
      <c r="O4">
        <v>0</v>
      </c>
      <c r="P4" t="s">
        <v>88</v>
      </c>
      <c r="AC4">
        <v>0</v>
      </c>
      <c r="AD4" t="s">
        <v>88</v>
      </c>
      <c r="AQ4">
        <v>0</v>
      </c>
      <c r="AR4" t="s">
        <v>88</v>
      </c>
      <c r="BE4">
        <v>0</v>
      </c>
      <c r="BF4" t="s">
        <v>88</v>
      </c>
      <c r="BS4">
        <v>0</v>
      </c>
      <c r="BT4" t="s">
        <v>88</v>
      </c>
      <c r="CG4">
        <v>0</v>
      </c>
      <c r="CH4" t="s">
        <v>88</v>
      </c>
      <c r="CU4">
        <v>0</v>
      </c>
      <c r="CV4" t="s">
        <v>88</v>
      </c>
      <c r="DI4">
        <v>0</v>
      </c>
      <c r="DJ4" t="s">
        <v>88</v>
      </c>
    </row>
    <row r="5" spans="1:168" x14ac:dyDescent="0.3">
      <c r="B5" t="s">
        <v>72</v>
      </c>
      <c r="C5">
        <v>1</v>
      </c>
      <c r="D5" t="s">
        <v>81</v>
      </c>
      <c r="E5">
        <v>1.0686767100000001</v>
      </c>
      <c r="F5" t="s">
        <v>74</v>
      </c>
      <c r="G5">
        <v>1068.67671</v>
      </c>
      <c r="H5" t="s">
        <v>75</v>
      </c>
      <c r="I5">
        <v>1068676.71</v>
      </c>
      <c r="J5" t="s">
        <v>76</v>
      </c>
      <c r="K5" t="s">
        <v>82</v>
      </c>
      <c r="L5">
        <v>0.93573669999999998</v>
      </c>
      <c r="P5" t="s">
        <v>72</v>
      </c>
      <c r="Q5">
        <v>1</v>
      </c>
      <c r="R5" t="s">
        <v>81</v>
      </c>
      <c r="S5">
        <v>1.1045051800000001</v>
      </c>
      <c r="T5" t="s">
        <v>74</v>
      </c>
      <c r="U5">
        <v>1104.5051800000001</v>
      </c>
      <c r="V5" t="s">
        <v>75</v>
      </c>
      <c r="W5">
        <v>1104505.1810000001</v>
      </c>
      <c r="X5" t="s">
        <v>76</v>
      </c>
      <c r="Y5" t="s">
        <v>82</v>
      </c>
      <c r="Z5">
        <v>0.90538280000000004</v>
      </c>
      <c r="AD5" t="s">
        <v>72</v>
      </c>
      <c r="AE5">
        <v>1</v>
      </c>
      <c r="AF5" t="s">
        <v>81</v>
      </c>
      <c r="AG5">
        <v>1.0640368499999999</v>
      </c>
      <c r="AH5" t="s">
        <v>74</v>
      </c>
      <c r="AI5">
        <v>1064.03685</v>
      </c>
      <c r="AJ5" t="s">
        <v>75</v>
      </c>
      <c r="AK5">
        <v>1064036.8459999999</v>
      </c>
      <c r="AL5" t="s">
        <v>76</v>
      </c>
      <c r="AM5" t="s">
        <v>82</v>
      </c>
      <c r="AN5">
        <v>0.93981709999999996</v>
      </c>
      <c r="AR5" t="s">
        <v>72</v>
      </c>
      <c r="AS5">
        <v>1</v>
      </c>
      <c r="AT5" t="s">
        <v>81</v>
      </c>
      <c r="AU5">
        <v>1.0690679599999999</v>
      </c>
      <c r="AV5" t="s">
        <v>74</v>
      </c>
      <c r="AW5">
        <v>1069.0679600000001</v>
      </c>
      <c r="AX5" t="s">
        <v>75</v>
      </c>
      <c r="AY5">
        <v>1069067.9550000001</v>
      </c>
      <c r="AZ5" t="s">
        <v>76</v>
      </c>
      <c r="BA5" t="s">
        <v>82</v>
      </c>
      <c r="BB5">
        <v>0.93539419999999995</v>
      </c>
      <c r="BF5" t="s">
        <v>72</v>
      </c>
      <c r="BG5">
        <v>1</v>
      </c>
      <c r="BH5" t="s">
        <v>81</v>
      </c>
      <c r="BI5">
        <v>1.0661058400000001</v>
      </c>
      <c r="BJ5" t="s">
        <v>74</v>
      </c>
      <c r="BK5">
        <v>1066.1058399999999</v>
      </c>
      <c r="BL5" t="s">
        <v>75</v>
      </c>
      <c r="BM5">
        <v>1066105.8430000001</v>
      </c>
      <c r="BN5" t="s">
        <v>76</v>
      </c>
      <c r="BO5" t="s">
        <v>82</v>
      </c>
      <c r="BP5">
        <v>0.93799319999999997</v>
      </c>
      <c r="BT5" t="s">
        <v>72</v>
      </c>
      <c r="BU5">
        <v>1</v>
      </c>
      <c r="BV5" t="s">
        <v>81</v>
      </c>
      <c r="BW5">
        <v>1.07246482</v>
      </c>
      <c r="BX5" t="s">
        <v>74</v>
      </c>
      <c r="BY5">
        <v>1072.4648199999999</v>
      </c>
      <c r="BZ5" t="s">
        <v>75</v>
      </c>
      <c r="CA5">
        <v>1072464.824</v>
      </c>
      <c r="CB5" t="s">
        <v>76</v>
      </c>
      <c r="CC5" t="s">
        <v>82</v>
      </c>
      <c r="CD5">
        <v>0.93243149999999997</v>
      </c>
      <c r="CH5" t="s">
        <v>72</v>
      </c>
      <c r="CI5">
        <v>1</v>
      </c>
      <c r="CJ5" t="s">
        <v>81</v>
      </c>
      <c r="CK5">
        <v>1.06318486</v>
      </c>
      <c r="CL5" t="s">
        <v>74</v>
      </c>
      <c r="CM5">
        <v>1063.1848600000001</v>
      </c>
      <c r="CN5" t="s">
        <v>75</v>
      </c>
      <c r="CO5">
        <v>1063184.8570000001</v>
      </c>
      <c r="CP5" t="s">
        <v>76</v>
      </c>
      <c r="CQ5" t="s">
        <v>82</v>
      </c>
      <c r="CR5">
        <v>0.94057020000000002</v>
      </c>
      <c r="CV5" t="s">
        <v>72</v>
      </c>
      <c r="CW5">
        <v>1</v>
      </c>
      <c r="CX5" t="s">
        <v>81</v>
      </c>
      <c r="CY5">
        <v>1.0687619399999999</v>
      </c>
      <c r="CZ5" t="s">
        <v>74</v>
      </c>
      <c r="DA5">
        <v>1068.7619400000001</v>
      </c>
      <c r="DB5" t="s">
        <v>75</v>
      </c>
      <c r="DC5">
        <v>1068761.9450000001</v>
      </c>
      <c r="DD5" t="s">
        <v>76</v>
      </c>
      <c r="DE5" t="s">
        <v>82</v>
      </c>
      <c r="DF5">
        <v>0.93566210000000005</v>
      </c>
      <c r="DJ5" t="s">
        <v>72</v>
      </c>
      <c r="DK5">
        <v>1</v>
      </c>
      <c r="DL5" t="s">
        <v>81</v>
      </c>
      <c r="DM5">
        <v>1.0794247400000001</v>
      </c>
      <c r="DN5" t="s">
        <v>74</v>
      </c>
      <c r="DO5">
        <v>1079.4247399999999</v>
      </c>
      <c r="DP5" t="s">
        <v>75</v>
      </c>
      <c r="DQ5">
        <v>1079424.7390000001</v>
      </c>
      <c r="DR5" t="s">
        <v>76</v>
      </c>
      <c r="DS5" t="s">
        <v>82</v>
      </c>
      <c r="DT5">
        <v>0.9264194</v>
      </c>
    </row>
    <row r="6" spans="1:168" x14ac:dyDescent="0.3">
      <c r="B6" t="s">
        <v>83</v>
      </c>
      <c r="C6">
        <v>1000</v>
      </c>
      <c r="D6" t="s">
        <v>81</v>
      </c>
      <c r="E6">
        <v>1.0659033200000001</v>
      </c>
      <c r="F6" t="s">
        <v>74</v>
      </c>
      <c r="G6">
        <v>1065.9033199999999</v>
      </c>
      <c r="H6" t="s">
        <v>75</v>
      </c>
      <c r="I6">
        <v>1065903.32</v>
      </c>
      <c r="J6" t="s">
        <v>76</v>
      </c>
      <c r="K6" t="s">
        <v>82</v>
      </c>
      <c r="L6">
        <v>0.93817139999999999</v>
      </c>
      <c r="P6" t="s">
        <v>83</v>
      </c>
      <c r="Q6">
        <v>1000</v>
      </c>
      <c r="R6" t="s">
        <v>81</v>
      </c>
      <c r="S6">
        <v>1.0711367199999999</v>
      </c>
      <c r="T6" t="s">
        <v>74</v>
      </c>
      <c r="U6">
        <v>1071.13672</v>
      </c>
      <c r="V6" t="s">
        <v>75</v>
      </c>
      <c r="W6">
        <v>1071136.719</v>
      </c>
      <c r="X6" t="s">
        <v>76</v>
      </c>
      <c r="Y6" t="s">
        <v>82</v>
      </c>
      <c r="Z6">
        <v>0.93358759999999996</v>
      </c>
      <c r="AD6" t="s">
        <v>83</v>
      </c>
      <c r="AE6">
        <v>1000</v>
      </c>
      <c r="AF6" t="s">
        <v>81</v>
      </c>
      <c r="AG6">
        <v>1.0670731200000001</v>
      </c>
      <c r="AH6" t="s">
        <v>74</v>
      </c>
      <c r="AI6">
        <v>1067.07312</v>
      </c>
      <c r="AJ6" t="s">
        <v>75</v>
      </c>
      <c r="AK6">
        <v>1067073.1200000001</v>
      </c>
      <c r="AL6" t="s">
        <v>76</v>
      </c>
      <c r="AM6" t="s">
        <v>82</v>
      </c>
      <c r="AN6">
        <v>0.9371429</v>
      </c>
      <c r="AR6" t="s">
        <v>83</v>
      </c>
      <c r="AS6">
        <v>1000</v>
      </c>
      <c r="AT6" t="s">
        <v>81</v>
      </c>
      <c r="AU6">
        <v>1.0675468699999999</v>
      </c>
      <c r="AV6" t="s">
        <v>74</v>
      </c>
      <c r="AW6">
        <v>1067.5468800000001</v>
      </c>
      <c r="AX6" t="s">
        <v>75</v>
      </c>
      <c r="AY6">
        <v>1067546.875</v>
      </c>
      <c r="AZ6" t="s">
        <v>76</v>
      </c>
      <c r="BA6" t="s">
        <v>82</v>
      </c>
      <c r="BB6">
        <v>0.93672699999999998</v>
      </c>
      <c r="BF6" t="s">
        <v>83</v>
      </c>
      <c r="BG6">
        <v>1000</v>
      </c>
      <c r="BH6" t="s">
        <v>81</v>
      </c>
      <c r="BI6">
        <v>1.0678872100000001</v>
      </c>
      <c r="BJ6" t="s">
        <v>74</v>
      </c>
      <c r="BK6">
        <v>1067.8872100000001</v>
      </c>
      <c r="BL6" t="s">
        <v>75</v>
      </c>
      <c r="BM6">
        <v>1067887.2069999999</v>
      </c>
      <c r="BN6" t="s">
        <v>76</v>
      </c>
      <c r="BO6" t="s">
        <v>82</v>
      </c>
      <c r="BP6">
        <v>0.9364285</v>
      </c>
      <c r="BT6" t="s">
        <v>83</v>
      </c>
      <c r="BU6">
        <v>1000</v>
      </c>
      <c r="BV6" t="s">
        <v>81</v>
      </c>
      <c r="BW6">
        <v>30.217810549999999</v>
      </c>
      <c r="BX6" t="s">
        <v>74</v>
      </c>
      <c r="BY6">
        <v>30217.810549999998</v>
      </c>
      <c r="BZ6" t="s">
        <v>75</v>
      </c>
      <c r="CA6">
        <v>30217810.546999998</v>
      </c>
      <c r="CB6" t="s">
        <v>76</v>
      </c>
      <c r="CC6" t="s">
        <v>82</v>
      </c>
      <c r="CD6">
        <v>3.30931E-2</v>
      </c>
      <c r="CH6" t="s">
        <v>83</v>
      </c>
      <c r="CI6">
        <v>1000</v>
      </c>
      <c r="CJ6" t="s">
        <v>81</v>
      </c>
      <c r="CK6">
        <v>1.0654798599999999</v>
      </c>
      <c r="CL6" t="s">
        <v>74</v>
      </c>
      <c r="CM6">
        <v>1065.4798599999999</v>
      </c>
      <c r="CN6" t="s">
        <v>75</v>
      </c>
      <c r="CO6">
        <v>1065479.858</v>
      </c>
      <c r="CP6" t="s">
        <v>76</v>
      </c>
      <c r="CQ6" t="s">
        <v>82</v>
      </c>
      <c r="CR6">
        <v>0.9385443</v>
      </c>
      <c r="CV6" t="s">
        <v>83</v>
      </c>
      <c r="CW6">
        <v>1000</v>
      </c>
      <c r="CX6" t="s">
        <v>81</v>
      </c>
      <c r="CY6">
        <v>1.06687939</v>
      </c>
      <c r="CZ6" t="s">
        <v>74</v>
      </c>
      <c r="DA6">
        <v>1066.8793900000001</v>
      </c>
      <c r="DB6" t="s">
        <v>75</v>
      </c>
      <c r="DC6">
        <v>1066879.395</v>
      </c>
      <c r="DD6" t="s">
        <v>76</v>
      </c>
      <c r="DE6" t="s">
        <v>82</v>
      </c>
      <c r="DF6">
        <v>0.93731310000000001</v>
      </c>
      <c r="DJ6" t="s">
        <v>83</v>
      </c>
      <c r="DK6">
        <v>1000</v>
      </c>
      <c r="DL6" t="s">
        <v>81</v>
      </c>
      <c r="DM6">
        <v>1.06448999</v>
      </c>
      <c r="DN6" t="s">
        <v>74</v>
      </c>
      <c r="DO6">
        <v>1064.48999</v>
      </c>
      <c r="DP6" t="s">
        <v>75</v>
      </c>
      <c r="DQ6">
        <v>1064489.99</v>
      </c>
      <c r="DR6" t="s">
        <v>76</v>
      </c>
      <c r="DS6" t="s">
        <v>82</v>
      </c>
      <c r="DT6">
        <v>0.93941699999999995</v>
      </c>
    </row>
    <row r="7" spans="1:168" x14ac:dyDescent="0.3">
      <c r="B7" t="s">
        <v>85</v>
      </c>
      <c r="C7">
        <v>1001</v>
      </c>
      <c r="D7" t="s">
        <v>86</v>
      </c>
      <c r="E7">
        <v>1.06590626</v>
      </c>
      <c r="F7" t="s">
        <v>74</v>
      </c>
      <c r="G7">
        <v>1065.90626</v>
      </c>
      <c r="H7" t="s">
        <v>75</v>
      </c>
      <c r="I7">
        <v>1065906.2620000001</v>
      </c>
      <c r="J7" t="s">
        <v>76</v>
      </c>
      <c r="K7" t="s">
        <v>82</v>
      </c>
      <c r="L7">
        <v>0.93816880000000002</v>
      </c>
      <c r="P7" t="s">
        <v>85</v>
      </c>
      <c r="Q7">
        <v>1001</v>
      </c>
      <c r="R7" t="s">
        <v>86</v>
      </c>
      <c r="S7">
        <v>1.0711700399999999</v>
      </c>
      <c r="T7" t="s">
        <v>74</v>
      </c>
      <c r="U7">
        <v>1071.17004</v>
      </c>
      <c r="V7" t="s">
        <v>75</v>
      </c>
      <c r="W7">
        <v>1071170.041</v>
      </c>
      <c r="X7" t="s">
        <v>76</v>
      </c>
      <c r="Y7" t="s">
        <v>82</v>
      </c>
      <c r="Z7">
        <v>0.93355860000000002</v>
      </c>
      <c r="AD7" t="s">
        <v>85</v>
      </c>
      <c r="AE7">
        <v>1001</v>
      </c>
      <c r="AF7" t="s">
        <v>86</v>
      </c>
      <c r="AG7">
        <v>1.0670707500000001</v>
      </c>
      <c r="AH7" t="s">
        <v>74</v>
      </c>
      <c r="AI7">
        <v>1067.0707500000001</v>
      </c>
      <c r="AJ7" t="s">
        <v>75</v>
      </c>
      <c r="AK7">
        <v>1067070.747</v>
      </c>
      <c r="AL7" t="s">
        <v>76</v>
      </c>
      <c r="AM7" t="s">
        <v>82</v>
      </c>
      <c r="AN7">
        <v>0.93714500000000001</v>
      </c>
      <c r="AR7" t="s">
        <v>85</v>
      </c>
      <c r="AS7">
        <v>1001</v>
      </c>
      <c r="AT7" t="s">
        <v>86</v>
      </c>
      <c r="AU7">
        <v>1.0675491500000001</v>
      </c>
      <c r="AV7" t="s">
        <v>74</v>
      </c>
      <c r="AW7">
        <v>1067.5491500000001</v>
      </c>
      <c r="AX7" t="s">
        <v>75</v>
      </c>
      <c r="AY7">
        <v>1067549.1499999999</v>
      </c>
      <c r="AZ7" t="s">
        <v>76</v>
      </c>
      <c r="BA7" t="s">
        <v>82</v>
      </c>
      <c r="BB7">
        <v>0.93672500000000003</v>
      </c>
      <c r="BF7" t="s">
        <v>85</v>
      </c>
      <c r="BG7">
        <v>1001</v>
      </c>
      <c r="BH7" t="s">
        <v>86</v>
      </c>
      <c r="BI7">
        <v>1.0678859700000001</v>
      </c>
      <c r="BJ7" t="s">
        <v>74</v>
      </c>
      <c r="BK7">
        <v>1067.88597</v>
      </c>
      <c r="BL7" t="s">
        <v>75</v>
      </c>
      <c r="BM7">
        <v>1067885.9709999999</v>
      </c>
      <c r="BN7" t="s">
        <v>76</v>
      </c>
      <c r="BO7" t="s">
        <v>82</v>
      </c>
      <c r="BP7">
        <v>0.93642959999999997</v>
      </c>
      <c r="BT7" t="s">
        <v>85</v>
      </c>
      <c r="BU7">
        <v>1001</v>
      </c>
      <c r="BV7" t="s">
        <v>86</v>
      </c>
      <c r="BW7">
        <v>30.18870192</v>
      </c>
      <c r="BX7" t="s">
        <v>74</v>
      </c>
      <c r="BY7">
        <v>30188.70192</v>
      </c>
      <c r="BZ7" t="s">
        <v>75</v>
      </c>
      <c r="CA7">
        <v>30188701.923</v>
      </c>
      <c r="CB7" t="s">
        <v>76</v>
      </c>
      <c r="CC7" t="s">
        <v>82</v>
      </c>
      <c r="CD7">
        <v>3.3125000000000002E-2</v>
      </c>
      <c r="CH7" t="s">
        <v>85</v>
      </c>
      <c r="CI7">
        <v>1001</v>
      </c>
      <c r="CJ7" t="s">
        <v>86</v>
      </c>
      <c r="CK7">
        <v>1.06547774</v>
      </c>
      <c r="CL7" t="s">
        <v>74</v>
      </c>
      <c r="CM7">
        <v>1065.47774</v>
      </c>
      <c r="CN7" t="s">
        <v>75</v>
      </c>
      <c r="CO7">
        <v>1065477.7350000001</v>
      </c>
      <c r="CP7" t="s">
        <v>76</v>
      </c>
      <c r="CQ7" t="s">
        <v>82</v>
      </c>
      <c r="CR7">
        <v>0.93854610000000005</v>
      </c>
      <c r="CV7" t="s">
        <v>85</v>
      </c>
      <c r="CW7">
        <v>1001</v>
      </c>
      <c r="CX7" t="s">
        <v>86</v>
      </c>
      <c r="CY7">
        <v>1.06688136</v>
      </c>
      <c r="CZ7" t="s">
        <v>74</v>
      </c>
      <c r="DA7">
        <v>1066.8813600000001</v>
      </c>
      <c r="DB7" t="s">
        <v>75</v>
      </c>
      <c r="DC7">
        <v>1066881.361</v>
      </c>
      <c r="DD7" t="s">
        <v>76</v>
      </c>
      <c r="DE7" t="s">
        <v>82</v>
      </c>
      <c r="DF7">
        <v>0.93731129999999996</v>
      </c>
      <c r="DJ7" t="s">
        <v>85</v>
      </c>
      <c r="DK7">
        <v>1001</v>
      </c>
      <c r="DL7" t="s">
        <v>86</v>
      </c>
      <c r="DM7">
        <v>1.0645053200000001</v>
      </c>
      <c r="DN7" t="s">
        <v>74</v>
      </c>
      <c r="DO7">
        <v>1064.50532</v>
      </c>
      <c r="DP7" t="s">
        <v>75</v>
      </c>
      <c r="DQ7">
        <v>1064505.3189999999</v>
      </c>
      <c r="DR7" t="s">
        <v>76</v>
      </c>
      <c r="DS7" t="s">
        <v>82</v>
      </c>
      <c r="DT7">
        <v>0.93940349999999995</v>
      </c>
    </row>
    <row r="9" spans="1:168" x14ac:dyDescent="0.3">
      <c r="A9">
        <v>1</v>
      </c>
      <c r="B9" t="s">
        <v>97</v>
      </c>
      <c r="O9">
        <v>1</v>
      </c>
      <c r="P9" t="s">
        <v>97</v>
      </c>
      <c r="AC9">
        <v>1</v>
      </c>
      <c r="AD9" t="s">
        <v>97</v>
      </c>
      <c r="AQ9">
        <v>1</v>
      </c>
      <c r="AR9" t="s">
        <v>97</v>
      </c>
      <c r="BE9">
        <v>1</v>
      </c>
      <c r="BF9" t="s">
        <v>97</v>
      </c>
      <c r="BS9">
        <v>1</v>
      </c>
      <c r="BT9" t="s">
        <v>97</v>
      </c>
      <c r="CG9">
        <v>1</v>
      </c>
      <c r="CH9" t="s">
        <v>97</v>
      </c>
      <c r="CU9">
        <v>1</v>
      </c>
      <c r="CV9" t="s">
        <v>97</v>
      </c>
      <c r="DI9">
        <v>1</v>
      </c>
      <c r="DJ9" t="s">
        <v>97</v>
      </c>
    </row>
    <row r="10" spans="1:168" x14ac:dyDescent="0.3">
      <c r="B10" t="s">
        <v>72</v>
      </c>
      <c r="C10">
        <v>1</v>
      </c>
      <c r="D10" t="s">
        <v>81</v>
      </c>
      <c r="E10">
        <v>2.85083E-2</v>
      </c>
      <c r="F10" t="s">
        <v>74</v>
      </c>
      <c r="G10">
        <v>28.508299999999998</v>
      </c>
      <c r="H10" t="s">
        <v>75</v>
      </c>
      <c r="I10">
        <v>28508.3</v>
      </c>
      <c r="J10" t="s">
        <v>76</v>
      </c>
      <c r="K10" t="s">
        <v>82</v>
      </c>
      <c r="L10">
        <v>35.077503800000002</v>
      </c>
      <c r="P10" t="s">
        <v>72</v>
      </c>
      <c r="Q10">
        <v>1</v>
      </c>
      <c r="R10" t="s">
        <v>81</v>
      </c>
      <c r="S10">
        <v>2.4961899999999999E-2</v>
      </c>
      <c r="T10" t="s">
        <v>74</v>
      </c>
      <c r="U10">
        <v>24.9619</v>
      </c>
      <c r="V10" t="s">
        <v>75</v>
      </c>
      <c r="W10">
        <v>24961.9</v>
      </c>
      <c r="X10" t="s">
        <v>76</v>
      </c>
      <c r="Y10" t="s">
        <v>82</v>
      </c>
      <c r="Z10">
        <v>40.061053100000002</v>
      </c>
      <c r="AD10" t="s">
        <v>72</v>
      </c>
      <c r="AE10">
        <v>1</v>
      </c>
      <c r="AF10" t="s">
        <v>81</v>
      </c>
      <c r="AG10">
        <v>2.52299E-2</v>
      </c>
      <c r="AH10" t="s">
        <v>74</v>
      </c>
      <c r="AI10">
        <v>25.229900000000001</v>
      </c>
      <c r="AJ10" t="s">
        <v>75</v>
      </c>
      <c r="AK10">
        <v>25229.899000000001</v>
      </c>
      <c r="AL10" t="s">
        <v>76</v>
      </c>
      <c r="AM10" t="s">
        <v>82</v>
      </c>
      <c r="AN10">
        <v>39.635513099999997</v>
      </c>
      <c r="AR10" t="s">
        <v>72</v>
      </c>
      <c r="AS10">
        <v>1</v>
      </c>
      <c r="AT10" t="s">
        <v>81</v>
      </c>
      <c r="AU10">
        <v>2.5143599999999999E-2</v>
      </c>
      <c r="AV10" t="s">
        <v>74</v>
      </c>
      <c r="AW10">
        <v>25.143599999999999</v>
      </c>
      <c r="AX10" t="s">
        <v>75</v>
      </c>
      <c r="AY10">
        <v>25143.598999999998</v>
      </c>
      <c r="AZ10" t="s">
        <v>76</v>
      </c>
      <c r="BA10" t="s">
        <v>82</v>
      </c>
      <c r="BB10">
        <v>39.771553599999997</v>
      </c>
      <c r="BF10" t="s">
        <v>72</v>
      </c>
      <c r="BG10">
        <v>1</v>
      </c>
      <c r="BH10" t="s">
        <v>81</v>
      </c>
      <c r="BI10">
        <v>2.5362800000000001E-2</v>
      </c>
      <c r="BJ10" t="s">
        <v>74</v>
      </c>
      <c r="BK10">
        <v>25.3628</v>
      </c>
      <c r="BL10" t="s">
        <v>75</v>
      </c>
      <c r="BM10">
        <v>25362.800999999999</v>
      </c>
      <c r="BN10" t="s">
        <v>76</v>
      </c>
      <c r="BO10" t="s">
        <v>82</v>
      </c>
      <c r="BP10">
        <v>39.427822200000001</v>
      </c>
      <c r="BT10" t="s">
        <v>72</v>
      </c>
      <c r="BU10">
        <v>1</v>
      </c>
      <c r="BV10" t="s">
        <v>81</v>
      </c>
      <c r="BW10">
        <v>2.5246399999999999E-2</v>
      </c>
      <c r="BX10" t="s">
        <v>74</v>
      </c>
      <c r="BY10">
        <v>25.246400000000001</v>
      </c>
      <c r="BZ10" t="s">
        <v>75</v>
      </c>
      <c r="CA10">
        <v>25246.400000000001</v>
      </c>
      <c r="CB10" t="s">
        <v>76</v>
      </c>
      <c r="CC10" t="s">
        <v>82</v>
      </c>
      <c r="CD10">
        <v>39.609607099999998</v>
      </c>
      <c r="CH10" t="s">
        <v>72</v>
      </c>
      <c r="CI10">
        <v>1</v>
      </c>
      <c r="CJ10" t="s">
        <v>81</v>
      </c>
      <c r="CK10">
        <v>2.5271499999999999E-2</v>
      </c>
      <c r="CL10" t="s">
        <v>74</v>
      </c>
      <c r="CM10">
        <v>25.2715</v>
      </c>
      <c r="CN10" t="s">
        <v>75</v>
      </c>
      <c r="CO10">
        <v>25271.5</v>
      </c>
      <c r="CP10" t="s">
        <v>76</v>
      </c>
      <c r="CQ10" t="s">
        <v>82</v>
      </c>
      <c r="CR10">
        <v>39.570267600000001</v>
      </c>
      <c r="CV10" t="s">
        <v>72</v>
      </c>
      <c r="CW10">
        <v>1</v>
      </c>
      <c r="CX10" t="s">
        <v>81</v>
      </c>
      <c r="CY10">
        <v>2.5319399999999999E-2</v>
      </c>
      <c r="CZ10" t="s">
        <v>74</v>
      </c>
      <c r="DA10">
        <v>25.319400000000002</v>
      </c>
      <c r="DB10" t="s">
        <v>75</v>
      </c>
      <c r="DC10">
        <v>25319.399000000001</v>
      </c>
      <c r="DD10" t="s">
        <v>76</v>
      </c>
      <c r="DE10" t="s">
        <v>82</v>
      </c>
      <c r="DF10">
        <v>39.495407800000002</v>
      </c>
      <c r="DJ10" t="s">
        <v>72</v>
      </c>
      <c r="DK10">
        <v>1</v>
      </c>
      <c r="DL10" t="s">
        <v>81</v>
      </c>
      <c r="DM10">
        <v>2.53361E-2</v>
      </c>
      <c r="DN10" t="s">
        <v>74</v>
      </c>
      <c r="DO10">
        <v>25.336099999999998</v>
      </c>
      <c r="DP10" t="s">
        <v>75</v>
      </c>
      <c r="DQ10">
        <v>25336.1</v>
      </c>
      <c r="DR10" t="s">
        <v>76</v>
      </c>
      <c r="DS10" t="s">
        <v>82</v>
      </c>
      <c r="DT10">
        <v>39.469374100000003</v>
      </c>
    </row>
    <row r="11" spans="1:168" x14ac:dyDescent="0.3">
      <c r="B11" t="s">
        <v>83</v>
      </c>
      <c r="C11">
        <v>1000</v>
      </c>
      <c r="D11" t="s">
        <v>81</v>
      </c>
      <c r="E11">
        <v>1.463657E-2</v>
      </c>
      <c r="F11" t="s">
        <v>74</v>
      </c>
      <c r="G11">
        <v>14.636570000000001</v>
      </c>
      <c r="H11" t="s">
        <v>75</v>
      </c>
      <c r="I11">
        <v>14636.575000000001</v>
      </c>
      <c r="J11" t="s">
        <v>76</v>
      </c>
      <c r="K11" t="s">
        <v>82</v>
      </c>
      <c r="L11">
        <v>68.321995900000005</v>
      </c>
      <c r="P11" t="s">
        <v>83</v>
      </c>
      <c r="Q11">
        <v>1000</v>
      </c>
      <c r="R11" t="s">
        <v>81</v>
      </c>
      <c r="S11">
        <v>2.8296100000000002E-3</v>
      </c>
      <c r="T11" t="s">
        <v>74</v>
      </c>
      <c r="U11">
        <v>2.8296100000000002</v>
      </c>
      <c r="V11" t="s">
        <v>75</v>
      </c>
      <c r="W11">
        <v>2829.6129999999998</v>
      </c>
      <c r="X11" t="s">
        <v>76</v>
      </c>
      <c r="Y11" t="s">
        <v>82</v>
      </c>
      <c r="Z11">
        <v>353.40519219999999</v>
      </c>
      <c r="AD11" t="s">
        <v>83</v>
      </c>
      <c r="AE11">
        <v>1000</v>
      </c>
      <c r="AF11" t="s">
        <v>81</v>
      </c>
      <c r="AG11">
        <v>1.4705060000000001E-2</v>
      </c>
      <c r="AH11" t="s">
        <v>74</v>
      </c>
      <c r="AI11">
        <v>14.70506</v>
      </c>
      <c r="AJ11" t="s">
        <v>75</v>
      </c>
      <c r="AK11">
        <v>14705.063</v>
      </c>
      <c r="AL11" t="s">
        <v>76</v>
      </c>
      <c r="AM11" t="s">
        <v>82</v>
      </c>
      <c r="AN11">
        <v>68.003789499999996</v>
      </c>
      <c r="AR11" t="s">
        <v>83</v>
      </c>
      <c r="AS11">
        <v>1000</v>
      </c>
      <c r="AT11" t="s">
        <v>81</v>
      </c>
      <c r="AU11">
        <v>1.465845E-2</v>
      </c>
      <c r="AV11" t="s">
        <v>74</v>
      </c>
      <c r="AW11">
        <v>14.65845</v>
      </c>
      <c r="AX11" t="s">
        <v>75</v>
      </c>
      <c r="AY11">
        <v>14658.455</v>
      </c>
      <c r="AZ11" t="s">
        <v>76</v>
      </c>
      <c r="BA11" t="s">
        <v>82</v>
      </c>
      <c r="BB11">
        <v>68.2200141</v>
      </c>
      <c r="BF11" t="s">
        <v>83</v>
      </c>
      <c r="BG11">
        <v>1000</v>
      </c>
      <c r="BH11" t="s">
        <v>81</v>
      </c>
      <c r="BI11">
        <v>2.8238500000000001E-3</v>
      </c>
      <c r="BJ11" t="s">
        <v>74</v>
      </c>
      <c r="BK11">
        <v>2.8238500000000002</v>
      </c>
      <c r="BL11" t="s">
        <v>75</v>
      </c>
      <c r="BM11">
        <v>2823.8530000000001</v>
      </c>
      <c r="BN11" t="s">
        <v>76</v>
      </c>
      <c r="BO11" t="s">
        <v>82</v>
      </c>
      <c r="BP11">
        <v>354.12608030000001</v>
      </c>
      <c r="BT11" t="s">
        <v>83</v>
      </c>
      <c r="BU11">
        <v>1000</v>
      </c>
      <c r="BV11" t="s">
        <v>81</v>
      </c>
      <c r="BW11">
        <v>1.468408E-2</v>
      </c>
      <c r="BX11" t="s">
        <v>74</v>
      </c>
      <c r="BY11">
        <v>14.68408</v>
      </c>
      <c r="BZ11" t="s">
        <v>75</v>
      </c>
      <c r="CA11">
        <v>14684.079</v>
      </c>
      <c r="CB11" t="s">
        <v>76</v>
      </c>
      <c r="CC11" t="s">
        <v>82</v>
      </c>
      <c r="CD11">
        <v>68.100967600000004</v>
      </c>
      <c r="CH11" t="s">
        <v>83</v>
      </c>
      <c r="CI11">
        <v>1000</v>
      </c>
      <c r="CJ11" t="s">
        <v>81</v>
      </c>
      <c r="CK11">
        <v>1.4635280000000001E-2</v>
      </c>
      <c r="CL11" t="s">
        <v>74</v>
      </c>
      <c r="CM11">
        <v>14.63528</v>
      </c>
      <c r="CN11" t="s">
        <v>75</v>
      </c>
      <c r="CO11">
        <v>14635.276</v>
      </c>
      <c r="CP11" t="s">
        <v>76</v>
      </c>
      <c r="CQ11" t="s">
        <v>82</v>
      </c>
      <c r="CR11">
        <v>68.328059600000003</v>
      </c>
      <c r="CV11" t="s">
        <v>83</v>
      </c>
      <c r="CW11">
        <v>1000</v>
      </c>
      <c r="CX11" t="s">
        <v>81</v>
      </c>
      <c r="CY11">
        <v>2.8098099999999998E-3</v>
      </c>
      <c r="CZ11" t="s">
        <v>74</v>
      </c>
      <c r="DA11">
        <v>2.8098100000000001</v>
      </c>
      <c r="DB11" t="s">
        <v>75</v>
      </c>
      <c r="DC11">
        <v>2809.8130000000001</v>
      </c>
      <c r="DD11" t="s">
        <v>76</v>
      </c>
      <c r="DE11" t="s">
        <v>82</v>
      </c>
      <c r="DF11">
        <v>355.89559759999997</v>
      </c>
      <c r="DJ11" t="s">
        <v>83</v>
      </c>
      <c r="DK11">
        <v>1000</v>
      </c>
      <c r="DL11" t="s">
        <v>81</v>
      </c>
      <c r="DM11">
        <v>1.469612E-2</v>
      </c>
      <c r="DN11" t="s">
        <v>74</v>
      </c>
      <c r="DO11">
        <v>14.696120000000001</v>
      </c>
      <c r="DP11" t="s">
        <v>75</v>
      </c>
      <c r="DQ11">
        <v>14696.119000000001</v>
      </c>
      <c r="DR11" t="s">
        <v>76</v>
      </c>
      <c r="DS11" t="s">
        <v>82</v>
      </c>
      <c r="DT11">
        <v>68.045174299999999</v>
      </c>
    </row>
    <row r="12" spans="1:168" x14ac:dyDescent="0.3">
      <c r="B12" t="s">
        <v>85</v>
      </c>
      <c r="C12">
        <v>1001</v>
      </c>
      <c r="D12" t="s">
        <v>86</v>
      </c>
      <c r="E12">
        <v>1.4650649999999999E-2</v>
      </c>
      <c r="F12" t="s">
        <v>74</v>
      </c>
      <c r="G12">
        <v>14.650650000000001</v>
      </c>
      <c r="H12" t="s">
        <v>75</v>
      </c>
      <c r="I12">
        <v>14650.653</v>
      </c>
      <c r="J12" t="s">
        <v>76</v>
      </c>
      <c r="K12" t="s">
        <v>82</v>
      </c>
      <c r="L12">
        <v>68.256345199999998</v>
      </c>
      <c r="P12" t="s">
        <v>85</v>
      </c>
      <c r="Q12">
        <v>1001</v>
      </c>
      <c r="R12" t="s">
        <v>86</v>
      </c>
      <c r="S12">
        <v>2.8519499999999998E-3</v>
      </c>
      <c r="T12" t="s">
        <v>74</v>
      </c>
      <c r="U12">
        <v>2.85195</v>
      </c>
      <c r="V12" t="s">
        <v>75</v>
      </c>
      <c r="W12">
        <v>2851.951</v>
      </c>
      <c r="X12" t="s">
        <v>76</v>
      </c>
      <c r="Y12" t="s">
        <v>82</v>
      </c>
      <c r="Z12">
        <v>350.63717309999998</v>
      </c>
      <c r="AD12" t="s">
        <v>85</v>
      </c>
      <c r="AE12">
        <v>1001</v>
      </c>
      <c r="AF12" t="s">
        <v>86</v>
      </c>
      <c r="AG12">
        <v>1.471576E-2</v>
      </c>
      <c r="AH12" t="s">
        <v>74</v>
      </c>
      <c r="AI12">
        <v>14.71576</v>
      </c>
      <c r="AJ12" t="s">
        <v>75</v>
      </c>
      <c r="AK12">
        <v>14715.762000000001</v>
      </c>
      <c r="AL12" t="s">
        <v>76</v>
      </c>
      <c r="AM12" t="s">
        <v>82</v>
      </c>
      <c r="AN12">
        <v>67.954349199999996</v>
      </c>
      <c r="AR12" t="s">
        <v>85</v>
      </c>
      <c r="AS12">
        <v>1001</v>
      </c>
      <c r="AT12" t="s">
        <v>86</v>
      </c>
      <c r="AU12">
        <v>1.4669130000000001E-2</v>
      </c>
      <c r="AV12" t="s">
        <v>74</v>
      </c>
      <c r="AW12">
        <v>14.669129999999999</v>
      </c>
      <c r="AX12" t="s">
        <v>75</v>
      </c>
      <c r="AY12">
        <v>14669.130999999999</v>
      </c>
      <c r="AZ12" t="s">
        <v>76</v>
      </c>
      <c r="BA12" t="s">
        <v>82</v>
      </c>
      <c r="BB12">
        <v>68.170365799999999</v>
      </c>
      <c r="BF12" t="s">
        <v>85</v>
      </c>
      <c r="BG12">
        <v>1001</v>
      </c>
      <c r="BH12" t="s">
        <v>86</v>
      </c>
      <c r="BI12">
        <v>2.8466099999999999E-3</v>
      </c>
      <c r="BJ12" t="s">
        <v>74</v>
      </c>
      <c r="BK12">
        <v>2.8466100000000001</v>
      </c>
      <c r="BL12" t="s">
        <v>75</v>
      </c>
      <c r="BM12">
        <v>2846.614</v>
      </c>
      <c r="BN12" t="s">
        <v>76</v>
      </c>
      <c r="BO12" t="s">
        <v>82</v>
      </c>
      <c r="BP12">
        <v>351.29449829999999</v>
      </c>
      <c r="BT12" t="s">
        <v>85</v>
      </c>
      <c r="BU12">
        <v>1001</v>
      </c>
      <c r="BV12" t="s">
        <v>86</v>
      </c>
      <c r="BW12">
        <v>1.469488E-2</v>
      </c>
      <c r="BX12" t="s">
        <v>74</v>
      </c>
      <c r="BY12">
        <v>14.694879999999999</v>
      </c>
      <c r="BZ12" t="s">
        <v>75</v>
      </c>
      <c r="CA12">
        <v>14694.885</v>
      </c>
      <c r="CB12" t="s">
        <v>76</v>
      </c>
      <c r="CC12" t="s">
        <v>82</v>
      </c>
      <c r="CD12">
        <v>68.050891699999994</v>
      </c>
      <c r="CH12" t="s">
        <v>85</v>
      </c>
      <c r="CI12">
        <v>1001</v>
      </c>
      <c r="CJ12" t="s">
        <v>86</v>
      </c>
      <c r="CK12">
        <v>1.46461E-2</v>
      </c>
      <c r="CL12" t="s">
        <v>74</v>
      </c>
      <c r="CM12">
        <v>14.646100000000001</v>
      </c>
      <c r="CN12" t="s">
        <v>75</v>
      </c>
      <c r="CO12">
        <v>14646.1</v>
      </c>
      <c r="CP12" t="s">
        <v>76</v>
      </c>
      <c r="CQ12" t="s">
        <v>82</v>
      </c>
      <c r="CR12">
        <v>68.2775642</v>
      </c>
      <c r="CV12" t="s">
        <v>85</v>
      </c>
      <c r="CW12">
        <v>1001</v>
      </c>
      <c r="CX12" t="s">
        <v>86</v>
      </c>
      <c r="CY12">
        <v>2.8324999999999999E-3</v>
      </c>
      <c r="CZ12" t="s">
        <v>74</v>
      </c>
      <c r="DA12">
        <v>2.8325</v>
      </c>
      <c r="DB12" t="s">
        <v>75</v>
      </c>
      <c r="DC12">
        <v>2832.4989999999998</v>
      </c>
      <c r="DD12" t="s">
        <v>76</v>
      </c>
      <c r="DE12" t="s">
        <v>82</v>
      </c>
      <c r="DF12">
        <v>353.04514519999998</v>
      </c>
      <c r="DJ12" t="s">
        <v>85</v>
      </c>
      <c r="DK12">
        <v>1001</v>
      </c>
      <c r="DL12" t="s">
        <v>86</v>
      </c>
      <c r="DM12">
        <v>1.470699E-2</v>
      </c>
      <c r="DN12" t="s">
        <v>74</v>
      </c>
      <c r="DO12">
        <v>14.706989999999999</v>
      </c>
      <c r="DP12" t="s">
        <v>75</v>
      </c>
      <c r="DQ12">
        <v>14706.991</v>
      </c>
      <c r="DR12" t="s">
        <v>76</v>
      </c>
      <c r="DS12" t="s">
        <v>82</v>
      </c>
      <c r="DT12">
        <v>67.994874899999999</v>
      </c>
    </row>
    <row r="14" spans="1:168" x14ac:dyDescent="0.3">
      <c r="B14" t="s">
        <v>98</v>
      </c>
      <c r="P14" t="s">
        <v>98</v>
      </c>
      <c r="AD14" t="s">
        <v>98</v>
      </c>
      <c r="AR14" t="s">
        <v>98</v>
      </c>
      <c r="BF14" t="s">
        <v>98</v>
      </c>
      <c r="BT14" t="s">
        <v>98</v>
      </c>
      <c r="CH14" t="s">
        <v>98</v>
      </c>
      <c r="CV14" t="s">
        <v>98</v>
      </c>
      <c r="DJ14" t="s">
        <v>98</v>
      </c>
    </row>
    <row r="15" spans="1:168" x14ac:dyDescent="0.3">
      <c r="B15" t="s">
        <v>72</v>
      </c>
      <c r="C15">
        <v>1</v>
      </c>
      <c r="D15" t="s">
        <v>81</v>
      </c>
      <c r="E15">
        <v>2.08005E-2</v>
      </c>
      <c r="F15" t="s">
        <v>74</v>
      </c>
      <c r="G15">
        <v>20.8005</v>
      </c>
      <c r="H15" t="s">
        <v>75</v>
      </c>
      <c r="I15">
        <v>20800.499</v>
      </c>
      <c r="J15" t="s">
        <v>76</v>
      </c>
      <c r="K15" t="s">
        <v>82</v>
      </c>
      <c r="L15">
        <v>48.075769200000003</v>
      </c>
      <c r="P15" t="s">
        <v>72</v>
      </c>
      <c r="Q15">
        <v>1</v>
      </c>
      <c r="R15" t="s">
        <v>81</v>
      </c>
      <c r="S15">
        <v>2.1643099999999998E-2</v>
      </c>
      <c r="T15" t="s">
        <v>74</v>
      </c>
      <c r="U15">
        <v>21.6431</v>
      </c>
      <c r="V15" t="s">
        <v>75</v>
      </c>
      <c r="W15">
        <v>21643.1</v>
      </c>
      <c r="X15" t="s">
        <v>76</v>
      </c>
      <c r="Y15" t="s">
        <v>82</v>
      </c>
      <c r="Z15">
        <v>46.204101299999998</v>
      </c>
      <c r="AD15" t="s">
        <v>72</v>
      </c>
      <c r="AE15">
        <v>1</v>
      </c>
      <c r="AF15" t="s">
        <v>81</v>
      </c>
      <c r="AG15">
        <v>2.0602200000000001E-2</v>
      </c>
      <c r="AH15" t="s">
        <v>74</v>
      </c>
      <c r="AI15">
        <v>20.6022</v>
      </c>
      <c r="AJ15" t="s">
        <v>75</v>
      </c>
      <c r="AK15">
        <v>20602.2</v>
      </c>
      <c r="AL15" t="s">
        <v>76</v>
      </c>
      <c r="AM15" t="s">
        <v>82</v>
      </c>
      <c r="AN15">
        <v>48.538505200000003</v>
      </c>
      <c r="AR15" t="s">
        <v>72</v>
      </c>
      <c r="AS15">
        <v>1</v>
      </c>
      <c r="AT15" t="s">
        <v>81</v>
      </c>
      <c r="AU15">
        <v>2.0923000000000001E-2</v>
      </c>
      <c r="AV15" t="s">
        <v>74</v>
      </c>
      <c r="AW15">
        <v>20.922999999999998</v>
      </c>
      <c r="AX15" t="s">
        <v>75</v>
      </c>
      <c r="AY15">
        <v>20923</v>
      </c>
      <c r="AZ15" t="s">
        <v>76</v>
      </c>
      <c r="BA15" t="s">
        <v>82</v>
      </c>
      <c r="BB15">
        <v>47.794293799999998</v>
      </c>
      <c r="BF15" t="s">
        <v>72</v>
      </c>
      <c r="BG15">
        <v>1</v>
      </c>
      <c r="BH15" t="s">
        <v>81</v>
      </c>
      <c r="BI15">
        <v>2.1604000000000002E-2</v>
      </c>
      <c r="BJ15" t="s">
        <v>74</v>
      </c>
      <c r="BK15">
        <v>21.603999999999999</v>
      </c>
      <c r="BL15" t="s">
        <v>75</v>
      </c>
      <c r="BM15">
        <v>21604</v>
      </c>
      <c r="BN15" t="s">
        <v>76</v>
      </c>
      <c r="BO15" t="s">
        <v>82</v>
      </c>
      <c r="BP15">
        <v>46.287725199999997</v>
      </c>
      <c r="BT15" t="s">
        <v>72</v>
      </c>
      <c r="BU15">
        <v>1</v>
      </c>
      <c r="BV15" t="s">
        <v>81</v>
      </c>
      <c r="BW15">
        <v>2.0545600000000001E-2</v>
      </c>
      <c r="BX15" t="s">
        <v>74</v>
      </c>
      <c r="BY15">
        <v>20.5456</v>
      </c>
      <c r="BZ15" t="s">
        <v>75</v>
      </c>
      <c r="CA15">
        <v>20545.599999999999</v>
      </c>
      <c r="CB15" t="s">
        <v>76</v>
      </c>
      <c r="CC15" t="s">
        <v>82</v>
      </c>
      <c r="CD15">
        <v>48.672221800000003</v>
      </c>
      <c r="CH15" t="s">
        <v>72</v>
      </c>
      <c r="CI15">
        <v>1</v>
      </c>
      <c r="CJ15" t="s">
        <v>81</v>
      </c>
      <c r="CK15">
        <v>2.05667E-2</v>
      </c>
      <c r="CL15" t="s">
        <v>74</v>
      </c>
      <c r="CM15">
        <v>20.566700000000001</v>
      </c>
      <c r="CN15" t="s">
        <v>75</v>
      </c>
      <c r="CO15">
        <v>20566.7</v>
      </c>
      <c r="CP15" t="s">
        <v>76</v>
      </c>
      <c r="CQ15" t="s">
        <v>82</v>
      </c>
      <c r="CR15">
        <v>48.622287399999998</v>
      </c>
      <c r="CV15" t="s">
        <v>72</v>
      </c>
      <c r="CW15">
        <v>1</v>
      </c>
      <c r="CX15" t="s">
        <v>81</v>
      </c>
      <c r="CY15">
        <v>2.1677399999999999E-2</v>
      </c>
      <c r="CZ15" t="s">
        <v>74</v>
      </c>
      <c r="DA15">
        <v>21.677399999999999</v>
      </c>
      <c r="DB15" t="s">
        <v>75</v>
      </c>
      <c r="DC15">
        <v>21677.401000000002</v>
      </c>
      <c r="DD15" t="s">
        <v>76</v>
      </c>
      <c r="DE15" t="s">
        <v>82</v>
      </c>
      <c r="DF15">
        <v>46.130991600000002</v>
      </c>
      <c r="DJ15" t="s">
        <v>72</v>
      </c>
      <c r="DK15">
        <v>1</v>
      </c>
      <c r="DL15" t="s">
        <v>81</v>
      </c>
      <c r="DM15">
        <v>2.0996899999999999E-2</v>
      </c>
      <c r="DN15" t="s">
        <v>74</v>
      </c>
      <c r="DO15">
        <v>20.9969</v>
      </c>
      <c r="DP15" t="s">
        <v>75</v>
      </c>
      <c r="DQ15">
        <v>20996.9</v>
      </c>
      <c r="DR15" t="s">
        <v>76</v>
      </c>
      <c r="DS15" t="s">
        <v>82</v>
      </c>
      <c r="DT15">
        <v>47.626077500000001</v>
      </c>
    </row>
    <row r="16" spans="1:168" x14ac:dyDescent="0.3">
      <c r="B16" t="s">
        <v>83</v>
      </c>
      <c r="C16">
        <v>1000</v>
      </c>
      <c r="D16" t="s">
        <v>81</v>
      </c>
      <c r="E16">
        <v>1.673198E-2</v>
      </c>
      <c r="F16" t="s">
        <v>74</v>
      </c>
      <c r="G16">
        <v>16.73198</v>
      </c>
      <c r="H16" t="s">
        <v>75</v>
      </c>
      <c r="I16">
        <v>16731.983</v>
      </c>
      <c r="J16" t="s">
        <v>76</v>
      </c>
      <c r="K16" t="s">
        <v>82</v>
      </c>
      <c r="L16">
        <v>59.765778400000002</v>
      </c>
      <c r="P16" t="s">
        <v>83</v>
      </c>
      <c r="Q16">
        <v>1000</v>
      </c>
      <c r="R16" t="s">
        <v>81</v>
      </c>
      <c r="S16">
        <v>4.9556399999999999E-3</v>
      </c>
      <c r="T16" t="s">
        <v>74</v>
      </c>
      <c r="U16">
        <v>4.9556399999999998</v>
      </c>
      <c r="V16" t="s">
        <v>75</v>
      </c>
      <c r="W16">
        <v>4955.643</v>
      </c>
      <c r="X16" t="s">
        <v>76</v>
      </c>
      <c r="Y16" t="s">
        <v>82</v>
      </c>
      <c r="Z16">
        <v>201.790154</v>
      </c>
      <c r="AD16" t="s">
        <v>83</v>
      </c>
      <c r="AE16">
        <v>1000</v>
      </c>
      <c r="AF16" t="s">
        <v>81</v>
      </c>
      <c r="AG16">
        <v>1.6711239999999999E-2</v>
      </c>
      <c r="AH16" t="s">
        <v>74</v>
      </c>
      <c r="AI16">
        <v>16.71124</v>
      </c>
      <c r="AJ16" t="s">
        <v>75</v>
      </c>
      <c r="AK16">
        <v>16711.244999999999</v>
      </c>
      <c r="AL16" t="s">
        <v>76</v>
      </c>
      <c r="AM16" t="s">
        <v>82</v>
      </c>
      <c r="AN16">
        <v>59.839947600000002</v>
      </c>
      <c r="AR16" t="s">
        <v>83</v>
      </c>
      <c r="AS16">
        <v>1000</v>
      </c>
      <c r="AT16" t="s">
        <v>81</v>
      </c>
      <c r="AU16">
        <v>1.6653149999999999E-2</v>
      </c>
      <c r="AV16" t="s">
        <v>74</v>
      </c>
      <c r="AW16">
        <v>16.65315</v>
      </c>
      <c r="AX16" t="s">
        <v>75</v>
      </c>
      <c r="AY16">
        <v>16653.151999999998</v>
      </c>
      <c r="AZ16" t="s">
        <v>76</v>
      </c>
      <c r="BA16" t="s">
        <v>82</v>
      </c>
      <c r="BB16">
        <v>60.0486906</v>
      </c>
      <c r="BF16" t="s">
        <v>83</v>
      </c>
      <c r="BG16">
        <v>1000</v>
      </c>
      <c r="BH16" t="s">
        <v>81</v>
      </c>
      <c r="BI16">
        <v>5.0027800000000001E-3</v>
      </c>
      <c r="BJ16" t="s">
        <v>74</v>
      </c>
      <c r="BK16">
        <v>5.0027799999999996</v>
      </c>
      <c r="BL16" t="s">
        <v>75</v>
      </c>
      <c r="BM16">
        <v>5002.7849999999999</v>
      </c>
      <c r="BN16" t="s">
        <v>76</v>
      </c>
      <c r="BO16" t="s">
        <v>82</v>
      </c>
      <c r="BP16">
        <v>199.88867279999999</v>
      </c>
      <c r="BT16" t="s">
        <v>83</v>
      </c>
      <c r="BU16">
        <v>1000</v>
      </c>
      <c r="BV16" t="s">
        <v>81</v>
      </c>
      <c r="BW16">
        <v>1.6695419999999999E-2</v>
      </c>
      <c r="BX16" t="s">
        <v>74</v>
      </c>
      <c r="BY16">
        <v>16.695419999999999</v>
      </c>
      <c r="BZ16" t="s">
        <v>75</v>
      </c>
      <c r="CA16">
        <v>16695.417000000001</v>
      </c>
      <c r="CB16" t="s">
        <v>76</v>
      </c>
      <c r="CC16" t="s">
        <v>82</v>
      </c>
      <c r="CD16">
        <v>59.896675600000002</v>
      </c>
      <c r="CH16" t="s">
        <v>83</v>
      </c>
      <c r="CI16">
        <v>1000</v>
      </c>
      <c r="CJ16" t="s">
        <v>81</v>
      </c>
      <c r="CK16">
        <v>1.6656790000000001E-2</v>
      </c>
      <c r="CL16" t="s">
        <v>74</v>
      </c>
      <c r="CM16">
        <v>16.656790000000001</v>
      </c>
      <c r="CN16" t="s">
        <v>75</v>
      </c>
      <c r="CO16">
        <v>16656.794000000002</v>
      </c>
      <c r="CP16" t="s">
        <v>76</v>
      </c>
      <c r="CQ16" t="s">
        <v>82</v>
      </c>
      <c r="CR16">
        <v>60.035564100000002</v>
      </c>
      <c r="CV16" t="s">
        <v>83</v>
      </c>
      <c r="CW16">
        <v>1000</v>
      </c>
      <c r="CX16" t="s">
        <v>81</v>
      </c>
      <c r="CY16">
        <v>5.0065300000000004E-3</v>
      </c>
      <c r="CZ16" t="s">
        <v>74</v>
      </c>
      <c r="DA16">
        <v>5.0065299999999997</v>
      </c>
      <c r="DB16" t="s">
        <v>75</v>
      </c>
      <c r="DC16">
        <v>5006.5280000000002</v>
      </c>
      <c r="DD16" t="s">
        <v>76</v>
      </c>
      <c r="DE16" t="s">
        <v>82</v>
      </c>
      <c r="DF16">
        <v>199.73922440000001</v>
      </c>
      <c r="DJ16" t="s">
        <v>83</v>
      </c>
      <c r="DK16">
        <v>1000</v>
      </c>
      <c r="DL16" t="s">
        <v>81</v>
      </c>
      <c r="DM16">
        <v>1.6738200000000002E-2</v>
      </c>
      <c r="DN16" t="s">
        <v>74</v>
      </c>
      <c r="DO16">
        <v>16.738199999999999</v>
      </c>
      <c r="DP16" t="s">
        <v>75</v>
      </c>
      <c r="DQ16">
        <v>16738.203000000001</v>
      </c>
      <c r="DR16" t="s">
        <v>76</v>
      </c>
      <c r="DS16" t="s">
        <v>82</v>
      </c>
      <c r="DT16">
        <v>59.743569700000002</v>
      </c>
    </row>
    <row r="17" spans="1:124" x14ac:dyDescent="0.3">
      <c r="B17" t="s">
        <v>85</v>
      </c>
      <c r="C17">
        <v>1001</v>
      </c>
      <c r="D17" t="s">
        <v>86</v>
      </c>
      <c r="E17">
        <v>1.6736259999999999E-2</v>
      </c>
      <c r="F17" t="s">
        <v>74</v>
      </c>
      <c r="G17">
        <v>16.736260000000001</v>
      </c>
      <c r="H17" t="s">
        <v>75</v>
      </c>
      <c r="I17">
        <v>16736.259999999998</v>
      </c>
      <c r="J17" t="s">
        <v>76</v>
      </c>
      <c r="K17" t="s">
        <v>82</v>
      </c>
      <c r="L17">
        <v>59.750505099999998</v>
      </c>
      <c r="P17" t="s">
        <v>85</v>
      </c>
      <c r="Q17">
        <v>1001</v>
      </c>
      <c r="R17" t="s">
        <v>86</v>
      </c>
      <c r="S17">
        <v>4.9724799999999996E-3</v>
      </c>
      <c r="T17" t="s">
        <v>74</v>
      </c>
      <c r="U17">
        <v>4.97248</v>
      </c>
      <c r="V17" t="s">
        <v>75</v>
      </c>
      <c r="W17">
        <v>4972.4790000000003</v>
      </c>
      <c r="X17" t="s">
        <v>76</v>
      </c>
      <c r="Y17" t="s">
        <v>82</v>
      </c>
      <c r="Z17">
        <v>201.10691979999999</v>
      </c>
      <c r="AD17" t="s">
        <v>85</v>
      </c>
      <c r="AE17">
        <v>1001</v>
      </c>
      <c r="AF17" t="s">
        <v>86</v>
      </c>
      <c r="AG17">
        <v>1.671537E-2</v>
      </c>
      <c r="AH17" t="s">
        <v>74</v>
      </c>
      <c r="AI17">
        <v>16.71537</v>
      </c>
      <c r="AJ17" t="s">
        <v>75</v>
      </c>
      <c r="AK17">
        <v>16715.375</v>
      </c>
      <c r="AL17" t="s">
        <v>76</v>
      </c>
      <c r="AM17" t="s">
        <v>82</v>
      </c>
      <c r="AN17">
        <v>59.825162300000002</v>
      </c>
      <c r="AR17" t="s">
        <v>85</v>
      </c>
      <c r="AS17">
        <v>1001</v>
      </c>
      <c r="AT17" t="s">
        <v>86</v>
      </c>
      <c r="AU17">
        <v>1.665763E-2</v>
      </c>
      <c r="AV17" t="s">
        <v>74</v>
      </c>
      <c r="AW17">
        <v>16.657630000000001</v>
      </c>
      <c r="AX17" t="s">
        <v>75</v>
      </c>
      <c r="AY17">
        <v>16657.626</v>
      </c>
      <c r="AZ17" t="s">
        <v>76</v>
      </c>
      <c r="BA17" t="s">
        <v>82</v>
      </c>
      <c r="BB17">
        <v>60.032562800000001</v>
      </c>
      <c r="BF17" t="s">
        <v>85</v>
      </c>
      <c r="BG17">
        <v>1001</v>
      </c>
      <c r="BH17" t="s">
        <v>86</v>
      </c>
      <c r="BI17">
        <v>5.0195600000000002E-3</v>
      </c>
      <c r="BJ17" t="s">
        <v>74</v>
      </c>
      <c r="BK17">
        <v>5.0195600000000002</v>
      </c>
      <c r="BL17" t="s">
        <v>75</v>
      </c>
      <c r="BM17">
        <v>5019.5559999999996</v>
      </c>
      <c r="BN17" t="s">
        <v>76</v>
      </c>
      <c r="BO17" t="s">
        <v>82</v>
      </c>
      <c r="BP17">
        <v>199.22080149999999</v>
      </c>
      <c r="BT17" t="s">
        <v>85</v>
      </c>
      <c r="BU17">
        <v>1001</v>
      </c>
      <c r="BV17" t="s">
        <v>86</v>
      </c>
      <c r="BW17">
        <v>1.6699519999999999E-2</v>
      </c>
      <c r="BX17" t="s">
        <v>74</v>
      </c>
      <c r="BY17">
        <v>16.69952</v>
      </c>
      <c r="BZ17" t="s">
        <v>75</v>
      </c>
      <c r="CA17">
        <v>16699.518</v>
      </c>
      <c r="CB17" t="s">
        <v>76</v>
      </c>
      <c r="CC17" t="s">
        <v>82</v>
      </c>
      <c r="CD17">
        <v>59.881969599999998</v>
      </c>
      <c r="CH17" t="s">
        <v>85</v>
      </c>
      <c r="CI17">
        <v>1001</v>
      </c>
      <c r="CJ17" t="s">
        <v>86</v>
      </c>
      <c r="CK17">
        <v>1.6660910000000001E-2</v>
      </c>
      <c r="CL17" t="s">
        <v>74</v>
      </c>
      <c r="CM17">
        <v>16.660910000000001</v>
      </c>
      <c r="CN17" t="s">
        <v>75</v>
      </c>
      <c r="CO17">
        <v>16660.913</v>
      </c>
      <c r="CP17" t="s">
        <v>76</v>
      </c>
      <c r="CQ17" t="s">
        <v>82</v>
      </c>
      <c r="CR17">
        <v>60.020719499999998</v>
      </c>
      <c r="CV17" t="s">
        <v>85</v>
      </c>
      <c r="CW17">
        <v>1001</v>
      </c>
      <c r="CX17" t="s">
        <v>86</v>
      </c>
      <c r="CY17">
        <v>5.0233300000000003E-3</v>
      </c>
      <c r="CZ17" t="s">
        <v>74</v>
      </c>
      <c r="DA17">
        <v>5.0233299999999996</v>
      </c>
      <c r="DB17" t="s">
        <v>75</v>
      </c>
      <c r="DC17">
        <v>5023.3249999999998</v>
      </c>
      <c r="DD17" t="s">
        <v>76</v>
      </c>
      <c r="DE17" t="s">
        <v>82</v>
      </c>
      <c r="DF17">
        <v>199.0713274</v>
      </c>
      <c r="DJ17" t="s">
        <v>85</v>
      </c>
      <c r="DK17">
        <v>1001</v>
      </c>
      <c r="DL17" t="s">
        <v>86</v>
      </c>
      <c r="DM17">
        <v>1.6742650000000001E-2</v>
      </c>
      <c r="DN17" t="s">
        <v>74</v>
      </c>
      <c r="DO17">
        <v>16.742650000000001</v>
      </c>
      <c r="DP17" t="s">
        <v>75</v>
      </c>
      <c r="DQ17">
        <v>16742.649000000001</v>
      </c>
      <c r="DR17" t="s">
        <v>76</v>
      </c>
      <c r="DS17" t="s">
        <v>82</v>
      </c>
      <c r="DT17">
        <v>59.727704500000002</v>
      </c>
    </row>
    <row r="19" spans="1:124" x14ac:dyDescent="0.3">
      <c r="A19">
        <v>2</v>
      </c>
      <c r="B19" t="s">
        <v>102</v>
      </c>
      <c r="O19">
        <v>2</v>
      </c>
      <c r="P19" t="s">
        <v>102</v>
      </c>
      <c r="AC19">
        <v>2</v>
      </c>
      <c r="AD19" t="s">
        <v>102</v>
      </c>
      <c r="AQ19">
        <v>2</v>
      </c>
      <c r="AR19" t="s">
        <v>102</v>
      </c>
      <c r="BE19">
        <v>2</v>
      </c>
      <c r="BF19" t="s">
        <v>102</v>
      </c>
      <c r="BS19">
        <v>2</v>
      </c>
      <c r="BT19" t="s">
        <v>102</v>
      </c>
      <c r="CG19">
        <v>2</v>
      </c>
      <c r="CH19" t="s">
        <v>102</v>
      </c>
      <c r="CU19">
        <v>2</v>
      </c>
      <c r="CV19" t="s">
        <v>102</v>
      </c>
      <c r="DI19">
        <v>2</v>
      </c>
      <c r="DJ19" t="s">
        <v>102</v>
      </c>
    </row>
    <row r="20" spans="1:124" x14ac:dyDescent="0.3">
      <c r="B20" t="s">
        <v>72</v>
      </c>
      <c r="C20">
        <v>1</v>
      </c>
      <c r="D20" t="s">
        <v>81</v>
      </c>
      <c r="E20">
        <v>2.52111E-2</v>
      </c>
      <c r="F20" t="s">
        <v>74</v>
      </c>
      <c r="G20">
        <v>25.211099999999998</v>
      </c>
      <c r="H20" t="s">
        <v>75</v>
      </c>
      <c r="I20">
        <v>25211.1</v>
      </c>
      <c r="J20" t="s">
        <v>76</v>
      </c>
      <c r="K20" t="s">
        <v>82</v>
      </c>
      <c r="L20">
        <v>39.665068900000001</v>
      </c>
      <c r="P20" t="s">
        <v>72</v>
      </c>
      <c r="Q20">
        <v>1</v>
      </c>
      <c r="R20" t="s">
        <v>81</v>
      </c>
      <c r="S20">
        <v>2.5279800000000002E-2</v>
      </c>
      <c r="T20" t="s">
        <v>74</v>
      </c>
      <c r="U20">
        <v>25.279800000000002</v>
      </c>
      <c r="V20" t="s">
        <v>75</v>
      </c>
      <c r="W20">
        <v>25279.798999999999</v>
      </c>
      <c r="X20" t="s">
        <v>76</v>
      </c>
      <c r="Y20" t="s">
        <v>82</v>
      </c>
      <c r="Z20">
        <v>39.557275799999999</v>
      </c>
      <c r="AD20" t="s">
        <v>72</v>
      </c>
      <c r="AE20">
        <v>1</v>
      </c>
      <c r="AF20" t="s">
        <v>81</v>
      </c>
      <c r="AG20">
        <v>2.4819600000000001E-2</v>
      </c>
      <c r="AH20" t="s">
        <v>74</v>
      </c>
      <c r="AI20">
        <v>24.819600000000001</v>
      </c>
      <c r="AJ20" t="s">
        <v>75</v>
      </c>
      <c r="AK20">
        <v>24819.598999999998</v>
      </c>
      <c r="AL20" t="s">
        <v>76</v>
      </c>
      <c r="AM20" t="s">
        <v>82</v>
      </c>
      <c r="AN20">
        <v>40.2907388</v>
      </c>
      <c r="AR20" t="s">
        <v>72</v>
      </c>
      <c r="AS20">
        <v>1</v>
      </c>
      <c r="AT20" t="s">
        <v>81</v>
      </c>
      <c r="AU20">
        <v>2.5484300000000001E-2</v>
      </c>
      <c r="AV20" t="s">
        <v>74</v>
      </c>
      <c r="AW20">
        <v>25.484300000000001</v>
      </c>
      <c r="AX20" t="s">
        <v>75</v>
      </c>
      <c r="AY20">
        <v>25484.298999999999</v>
      </c>
      <c r="AZ20" t="s">
        <v>76</v>
      </c>
      <c r="BA20" t="s">
        <v>82</v>
      </c>
      <c r="BB20">
        <v>39.239846800000002</v>
      </c>
      <c r="BF20" t="s">
        <v>72</v>
      </c>
      <c r="BG20">
        <v>1</v>
      </c>
      <c r="BH20" t="s">
        <v>81</v>
      </c>
      <c r="BI20">
        <v>2.5090899999999999E-2</v>
      </c>
      <c r="BJ20" t="s">
        <v>74</v>
      </c>
      <c r="BK20">
        <v>25.090900000000001</v>
      </c>
      <c r="BL20" t="s">
        <v>75</v>
      </c>
      <c r="BM20">
        <v>25090.899000000001</v>
      </c>
      <c r="BN20" t="s">
        <v>76</v>
      </c>
      <c r="BO20" t="s">
        <v>82</v>
      </c>
      <c r="BP20">
        <v>39.855088000000002</v>
      </c>
      <c r="BT20" t="s">
        <v>72</v>
      </c>
      <c r="BU20">
        <v>1</v>
      </c>
      <c r="BV20" t="s">
        <v>81</v>
      </c>
      <c r="BW20">
        <v>2.5464500000000001E-2</v>
      </c>
      <c r="BX20" t="s">
        <v>74</v>
      </c>
      <c r="BY20">
        <v>25.464500000000001</v>
      </c>
      <c r="BZ20" t="s">
        <v>75</v>
      </c>
      <c r="CA20">
        <v>25464.499</v>
      </c>
      <c r="CB20" t="s">
        <v>76</v>
      </c>
      <c r="CC20" t="s">
        <v>82</v>
      </c>
      <c r="CD20">
        <v>39.270357699999998</v>
      </c>
      <c r="CH20" t="s">
        <v>72</v>
      </c>
      <c r="CI20">
        <v>1</v>
      </c>
      <c r="CJ20" t="s">
        <v>81</v>
      </c>
      <c r="CK20">
        <v>2.5378999999999999E-2</v>
      </c>
      <c r="CL20" t="s">
        <v>74</v>
      </c>
      <c r="CM20">
        <v>25.379000000000001</v>
      </c>
      <c r="CN20" t="s">
        <v>75</v>
      </c>
      <c r="CO20">
        <v>25379</v>
      </c>
      <c r="CP20" t="s">
        <v>76</v>
      </c>
      <c r="CQ20" t="s">
        <v>82</v>
      </c>
      <c r="CR20">
        <v>39.4026554</v>
      </c>
      <c r="CV20" t="s">
        <v>72</v>
      </c>
      <c r="CW20">
        <v>1</v>
      </c>
      <c r="CX20" t="s">
        <v>81</v>
      </c>
      <c r="CY20">
        <v>2.5293099999999999E-2</v>
      </c>
      <c r="CZ20" t="s">
        <v>74</v>
      </c>
      <c r="DA20">
        <v>25.293099999999999</v>
      </c>
      <c r="DB20" t="s">
        <v>75</v>
      </c>
      <c r="DC20">
        <v>25293.100999999999</v>
      </c>
      <c r="DD20" t="s">
        <v>76</v>
      </c>
      <c r="DE20" t="s">
        <v>82</v>
      </c>
      <c r="DF20">
        <v>39.536473399999998</v>
      </c>
      <c r="DJ20" t="s">
        <v>72</v>
      </c>
      <c r="DK20">
        <v>1</v>
      </c>
      <c r="DL20" t="s">
        <v>81</v>
      </c>
      <c r="DM20">
        <v>2.5237599999999999E-2</v>
      </c>
      <c r="DN20" t="s">
        <v>74</v>
      </c>
      <c r="DO20">
        <v>25.2376</v>
      </c>
      <c r="DP20" t="s">
        <v>75</v>
      </c>
      <c r="DQ20">
        <v>25237.598999999998</v>
      </c>
      <c r="DR20" t="s">
        <v>76</v>
      </c>
      <c r="DS20" t="s">
        <v>82</v>
      </c>
      <c r="DT20">
        <v>39.623420000000003</v>
      </c>
    </row>
    <row r="21" spans="1:124" x14ac:dyDescent="0.3">
      <c r="B21" t="s">
        <v>83</v>
      </c>
      <c r="C21">
        <v>1000</v>
      </c>
      <c r="D21" t="s">
        <v>81</v>
      </c>
      <c r="E21">
        <v>1.4653589999999999E-2</v>
      </c>
      <c r="F21" t="s">
        <v>74</v>
      </c>
      <c r="G21">
        <v>14.653589999999999</v>
      </c>
      <c r="H21" t="s">
        <v>75</v>
      </c>
      <c r="I21">
        <v>14653.594999999999</v>
      </c>
      <c r="J21" t="s">
        <v>76</v>
      </c>
      <c r="K21" t="s">
        <v>82</v>
      </c>
      <c r="L21">
        <v>68.242639600000004</v>
      </c>
      <c r="P21" t="s">
        <v>83</v>
      </c>
      <c r="Q21">
        <v>1000</v>
      </c>
      <c r="R21" t="s">
        <v>81</v>
      </c>
      <c r="S21">
        <v>2.8260300000000002E-3</v>
      </c>
      <c r="T21" t="s">
        <v>74</v>
      </c>
      <c r="U21">
        <v>2.8260299999999998</v>
      </c>
      <c r="V21" t="s">
        <v>75</v>
      </c>
      <c r="W21">
        <v>2826.0309999999999</v>
      </c>
      <c r="X21" t="s">
        <v>76</v>
      </c>
      <c r="Y21" t="s">
        <v>82</v>
      </c>
      <c r="Z21">
        <v>353.85310420000002</v>
      </c>
      <c r="AD21" t="s">
        <v>83</v>
      </c>
      <c r="AE21">
        <v>1000</v>
      </c>
      <c r="AF21" t="s">
        <v>81</v>
      </c>
      <c r="AG21">
        <v>1.471689E-2</v>
      </c>
      <c r="AH21" t="s">
        <v>74</v>
      </c>
      <c r="AI21">
        <v>14.716889999999999</v>
      </c>
      <c r="AJ21" t="s">
        <v>75</v>
      </c>
      <c r="AK21">
        <v>14716.887000000001</v>
      </c>
      <c r="AL21" t="s">
        <v>76</v>
      </c>
      <c r="AM21" t="s">
        <v>82</v>
      </c>
      <c r="AN21">
        <v>67.949154800000002</v>
      </c>
      <c r="AR21" t="s">
        <v>83</v>
      </c>
      <c r="AS21">
        <v>1000</v>
      </c>
      <c r="AT21" t="s">
        <v>81</v>
      </c>
      <c r="AU21">
        <v>1.464008E-2</v>
      </c>
      <c r="AV21" t="s">
        <v>74</v>
      </c>
      <c r="AW21">
        <v>14.640079999999999</v>
      </c>
      <c r="AX21" t="s">
        <v>75</v>
      </c>
      <c r="AY21">
        <v>14640.084000000001</v>
      </c>
      <c r="AZ21" t="s">
        <v>76</v>
      </c>
      <c r="BA21" t="s">
        <v>82</v>
      </c>
      <c r="BB21">
        <v>68.305617799999993</v>
      </c>
      <c r="BF21" t="s">
        <v>83</v>
      </c>
      <c r="BG21">
        <v>1000</v>
      </c>
      <c r="BH21" t="s">
        <v>81</v>
      </c>
      <c r="BI21">
        <v>2.8084300000000002E-3</v>
      </c>
      <c r="BJ21" t="s">
        <v>74</v>
      </c>
      <c r="BK21">
        <v>2.80843</v>
      </c>
      <c r="BL21" t="s">
        <v>75</v>
      </c>
      <c r="BM21">
        <v>2808.43</v>
      </c>
      <c r="BN21" t="s">
        <v>76</v>
      </c>
      <c r="BO21" t="s">
        <v>82</v>
      </c>
      <c r="BP21">
        <v>356.07083510000001</v>
      </c>
      <c r="BT21" t="s">
        <v>83</v>
      </c>
      <c r="BU21">
        <v>1000</v>
      </c>
      <c r="BV21" t="s">
        <v>81</v>
      </c>
      <c r="BW21">
        <v>1.4765510000000001E-2</v>
      </c>
      <c r="BX21" t="s">
        <v>74</v>
      </c>
      <c r="BY21">
        <v>14.765510000000001</v>
      </c>
      <c r="BZ21" t="s">
        <v>75</v>
      </c>
      <c r="CA21">
        <v>14765.505999999999</v>
      </c>
      <c r="CB21" t="s">
        <v>76</v>
      </c>
      <c r="CC21" t="s">
        <v>82</v>
      </c>
      <c r="CD21">
        <v>67.725414499999999</v>
      </c>
      <c r="CH21" t="s">
        <v>83</v>
      </c>
      <c r="CI21">
        <v>1000</v>
      </c>
      <c r="CJ21" t="s">
        <v>81</v>
      </c>
      <c r="CK21">
        <v>1.465117E-2</v>
      </c>
      <c r="CL21" t="s">
        <v>74</v>
      </c>
      <c r="CM21">
        <v>14.65117</v>
      </c>
      <c r="CN21" t="s">
        <v>75</v>
      </c>
      <c r="CO21">
        <v>14651.171</v>
      </c>
      <c r="CP21" t="s">
        <v>76</v>
      </c>
      <c r="CQ21" t="s">
        <v>82</v>
      </c>
      <c r="CR21">
        <v>68.253931300000005</v>
      </c>
      <c r="CV21" t="s">
        <v>83</v>
      </c>
      <c r="CW21">
        <v>1000</v>
      </c>
      <c r="CX21" t="s">
        <v>81</v>
      </c>
      <c r="CY21">
        <v>2.8191700000000002E-3</v>
      </c>
      <c r="CZ21" t="s">
        <v>74</v>
      </c>
      <c r="DA21">
        <v>2.8191700000000002</v>
      </c>
      <c r="DB21" t="s">
        <v>75</v>
      </c>
      <c r="DC21">
        <v>2819.1689999999999</v>
      </c>
      <c r="DD21" t="s">
        <v>76</v>
      </c>
      <c r="DE21" t="s">
        <v>82</v>
      </c>
      <c r="DF21">
        <v>354.714451</v>
      </c>
      <c r="DJ21" t="s">
        <v>83</v>
      </c>
      <c r="DK21">
        <v>1000</v>
      </c>
      <c r="DL21" t="s">
        <v>81</v>
      </c>
      <c r="DM21">
        <v>1.468853E-2</v>
      </c>
      <c r="DN21" t="s">
        <v>74</v>
      </c>
      <c r="DO21">
        <v>14.68853</v>
      </c>
      <c r="DP21" t="s">
        <v>75</v>
      </c>
      <c r="DQ21">
        <v>14688.526</v>
      </c>
      <c r="DR21" t="s">
        <v>76</v>
      </c>
      <c r="DS21" t="s">
        <v>82</v>
      </c>
      <c r="DT21">
        <v>68.080349900000002</v>
      </c>
    </row>
    <row r="22" spans="1:124" x14ac:dyDescent="0.3">
      <c r="B22" t="s">
        <v>85</v>
      </c>
      <c r="C22">
        <v>1001</v>
      </c>
      <c r="D22" t="s">
        <v>86</v>
      </c>
      <c r="E22">
        <v>1.466436E-2</v>
      </c>
      <c r="F22" t="s">
        <v>74</v>
      </c>
      <c r="G22">
        <v>14.66436</v>
      </c>
      <c r="H22" t="s">
        <v>75</v>
      </c>
      <c r="I22">
        <v>14664.361000000001</v>
      </c>
      <c r="J22" t="s">
        <v>76</v>
      </c>
      <c r="K22" t="s">
        <v>82</v>
      </c>
      <c r="L22">
        <v>68.192537000000002</v>
      </c>
      <c r="P22" t="s">
        <v>85</v>
      </c>
      <c r="Q22">
        <v>1001</v>
      </c>
      <c r="R22" t="s">
        <v>86</v>
      </c>
      <c r="S22">
        <v>2.8486900000000001E-3</v>
      </c>
      <c r="T22" t="s">
        <v>74</v>
      </c>
      <c r="U22">
        <v>2.8486899999999999</v>
      </c>
      <c r="V22" t="s">
        <v>75</v>
      </c>
      <c r="W22">
        <v>2848.6860000000001</v>
      </c>
      <c r="X22" t="s">
        <v>76</v>
      </c>
      <c r="Y22" t="s">
        <v>82</v>
      </c>
      <c r="Z22">
        <v>351.0389917</v>
      </c>
      <c r="AD22" t="s">
        <v>85</v>
      </c>
      <c r="AE22">
        <v>1001</v>
      </c>
      <c r="AF22" t="s">
        <v>86</v>
      </c>
      <c r="AG22">
        <v>1.4727199999999999E-2</v>
      </c>
      <c r="AH22" t="s">
        <v>74</v>
      </c>
      <c r="AI22">
        <v>14.7272</v>
      </c>
      <c r="AJ22" t="s">
        <v>75</v>
      </c>
      <c r="AK22">
        <v>14727.203</v>
      </c>
      <c r="AL22" t="s">
        <v>76</v>
      </c>
      <c r="AM22" t="s">
        <v>82</v>
      </c>
      <c r="AN22">
        <v>67.901556999999997</v>
      </c>
      <c r="AR22" t="s">
        <v>85</v>
      </c>
      <c r="AS22">
        <v>1001</v>
      </c>
      <c r="AT22" t="s">
        <v>86</v>
      </c>
      <c r="AU22">
        <v>1.465112E-2</v>
      </c>
      <c r="AV22" t="s">
        <v>74</v>
      </c>
      <c r="AW22">
        <v>14.651120000000001</v>
      </c>
      <c r="AX22" t="s">
        <v>75</v>
      </c>
      <c r="AY22">
        <v>14651.12</v>
      </c>
      <c r="AZ22" t="s">
        <v>76</v>
      </c>
      <c r="BA22" t="s">
        <v>82</v>
      </c>
      <c r="BB22">
        <v>68.254165900000004</v>
      </c>
      <c r="BF22" t="s">
        <v>85</v>
      </c>
      <c r="BG22">
        <v>1001</v>
      </c>
      <c r="BH22" t="s">
        <v>86</v>
      </c>
      <c r="BI22">
        <v>2.8309199999999998E-3</v>
      </c>
      <c r="BJ22" t="s">
        <v>74</v>
      </c>
      <c r="BK22">
        <v>2.8309199999999999</v>
      </c>
      <c r="BL22" t="s">
        <v>75</v>
      </c>
      <c r="BM22">
        <v>2830.9160000000002</v>
      </c>
      <c r="BN22" t="s">
        <v>76</v>
      </c>
      <c r="BO22" t="s">
        <v>82</v>
      </c>
      <c r="BP22">
        <v>353.24252569999999</v>
      </c>
      <c r="BT22" t="s">
        <v>85</v>
      </c>
      <c r="BU22">
        <v>1001</v>
      </c>
      <c r="BV22" t="s">
        <v>86</v>
      </c>
      <c r="BW22">
        <v>1.47764E-2</v>
      </c>
      <c r="BX22" t="s">
        <v>74</v>
      </c>
      <c r="BY22">
        <v>14.776400000000001</v>
      </c>
      <c r="BZ22" t="s">
        <v>75</v>
      </c>
      <c r="CA22">
        <v>14776.397000000001</v>
      </c>
      <c r="CB22" t="s">
        <v>76</v>
      </c>
      <c r="CC22" t="s">
        <v>82</v>
      </c>
      <c r="CD22">
        <v>67.675498200000007</v>
      </c>
      <c r="CH22" t="s">
        <v>85</v>
      </c>
      <c r="CI22">
        <v>1001</v>
      </c>
      <c r="CJ22" t="s">
        <v>86</v>
      </c>
      <c r="CK22">
        <v>1.4662089999999999E-2</v>
      </c>
      <c r="CL22" t="s">
        <v>74</v>
      </c>
      <c r="CM22">
        <v>14.662089999999999</v>
      </c>
      <c r="CN22" t="s">
        <v>75</v>
      </c>
      <c r="CO22">
        <v>14662.084999999999</v>
      </c>
      <c r="CP22" t="s">
        <v>76</v>
      </c>
      <c r="CQ22" t="s">
        <v>82</v>
      </c>
      <c r="CR22">
        <v>68.203122800000003</v>
      </c>
      <c r="CV22" t="s">
        <v>85</v>
      </c>
      <c r="CW22">
        <v>1001</v>
      </c>
      <c r="CX22" t="s">
        <v>86</v>
      </c>
      <c r="CY22">
        <v>2.8418499999999999E-3</v>
      </c>
      <c r="CZ22" t="s">
        <v>74</v>
      </c>
      <c r="DA22">
        <v>2.84185</v>
      </c>
      <c r="DB22" t="s">
        <v>75</v>
      </c>
      <c r="DC22">
        <v>2841.8519999999999</v>
      </c>
      <c r="DD22" t="s">
        <v>76</v>
      </c>
      <c r="DE22" t="s">
        <v>82</v>
      </c>
      <c r="DF22">
        <v>351.88317319999999</v>
      </c>
      <c r="DJ22" t="s">
        <v>85</v>
      </c>
      <c r="DK22">
        <v>1001</v>
      </c>
      <c r="DL22" t="s">
        <v>86</v>
      </c>
      <c r="DM22">
        <v>1.4699240000000001E-2</v>
      </c>
      <c r="DN22" t="s">
        <v>74</v>
      </c>
      <c r="DO22">
        <v>14.69924</v>
      </c>
      <c r="DP22" t="s">
        <v>75</v>
      </c>
      <c r="DQ22">
        <v>14699.236000000001</v>
      </c>
      <c r="DR22" t="s">
        <v>76</v>
      </c>
      <c r="DS22" t="s">
        <v>82</v>
      </c>
      <c r="DT22">
        <v>68.030748200000005</v>
      </c>
    </row>
    <row r="24" spans="1:124" x14ac:dyDescent="0.3">
      <c r="B24" t="s">
        <v>103</v>
      </c>
      <c r="P24" t="s">
        <v>103</v>
      </c>
      <c r="AD24" t="s">
        <v>103</v>
      </c>
      <c r="AR24" t="s">
        <v>103</v>
      </c>
      <c r="BF24" t="s">
        <v>103</v>
      </c>
      <c r="BT24" t="s">
        <v>103</v>
      </c>
      <c r="CH24" t="s">
        <v>103</v>
      </c>
      <c r="CV24" t="s">
        <v>103</v>
      </c>
      <c r="DJ24" t="s">
        <v>103</v>
      </c>
    </row>
    <row r="25" spans="1:124" x14ac:dyDescent="0.3">
      <c r="B25" t="s">
        <v>72</v>
      </c>
      <c r="C25">
        <v>1</v>
      </c>
      <c r="D25" t="s">
        <v>81</v>
      </c>
      <c r="E25">
        <v>2.0854299999999999E-2</v>
      </c>
      <c r="F25" t="s">
        <v>74</v>
      </c>
      <c r="G25">
        <v>20.854299999999999</v>
      </c>
      <c r="H25" t="s">
        <v>75</v>
      </c>
      <c r="I25">
        <v>20854.3</v>
      </c>
      <c r="J25" t="s">
        <v>76</v>
      </c>
      <c r="K25" t="s">
        <v>82</v>
      </c>
      <c r="L25">
        <v>47.951741599999998</v>
      </c>
      <c r="P25" t="s">
        <v>72</v>
      </c>
      <c r="Q25">
        <v>1</v>
      </c>
      <c r="R25" t="s">
        <v>81</v>
      </c>
      <c r="S25">
        <v>2.1786199999999999E-2</v>
      </c>
      <c r="T25" t="s">
        <v>74</v>
      </c>
      <c r="U25">
        <v>21.786200000000001</v>
      </c>
      <c r="V25" t="s">
        <v>75</v>
      </c>
      <c r="W25">
        <v>21786.2</v>
      </c>
      <c r="X25" t="s">
        <v>76</v>
      </c>
      <c r="Y25" t="s">
        <v>82</v>
      </c>
      <c r="Z25">
        <v>45.900616200000002</v>
      </c>
      <c r="AD25" t="s">
        <v>72</v>
      </c>
      <c r="AE25">
        <v>1</v>
      </c>
      <c r="AF25" t="s">
        <v>81</v>
      </c>
      <c r="AG25">
        <v>2.0612999999999999E-2</v>
      </c>
      <c r="AH25" t="s">
        <v>74</v>
      </c>
      <c r="AI25">
        <v>20.613</v>
      </c>
      <c r="AJ25" t="s">
        <v>75</v>
      </c>
      <c r="AK25">
        <v>20613</v>
      </c>
      <c r="AL25" t="s">
        <v>76</v>
      </c>
      <c r="AM25" t="s">
        <v>82</v>
      </c>
      <c r="AN25">
        <v>48.513074799999998</v>
      </c>
      <c r="AR25" t="s">
        <v>72</v>
      </c>
      <c r="AS25">
        <v>1</v>
      </c>
      <c r="AT25" t="s">
        <v>81</v>
      </c>
      <c r="AU25">
        <v>2.03395E-2</v>
      </c>
      <c r="AV25" t="s">
        <v>74</v>
      </c>
      <c r="AW25">
        <v>20.339500000000001</v>
      </c>
      <c r="AX25" t="s">
        <v>75</v>
      </c>
      <c r="AY25">
        <v>20339.5</v>
      </c>
      <c r="AZ25" t="s">
        <v>76</v>
      </c>
      <c r="BA25" t="s">
        <v>82</v>
      </c>
      <c r="BB25">
        <v>49.165416700000002</v>
      </c>
      <c r="BF25" t="s">
        <v>72</v>
      </c>
      <c r="BG25">
        <v>1</v>
      </c>
      <c r="BH25" t="s">
        <v>81</v>
      </c>
      <c r="BI25">
        <v>2.1666600000000001E-2</v>
      </c>
      <c r="BJ25" t="s">
        <v>74</v>
      </c>
      <c r="BK25">
        <v>21.666599999999999</v>
      </c>
      <c r="BL25" t="s">
        <v>75</v>
      </c>
      <c r="BM25">
        <v>21666.598999999998</v>
      </c>
      <c r="BN25" t="s">
        <v>76</v>
      </c>
      <c r="BO25" t="s">
        <v>82</v>
      </c>
      <c r="BP25">
        <v>46.1539894</v>
      </c>
      <c r="BT25" t="s">
        <v>72</v>
      </c>
      <c r="BU25">
        <v>1</v>
      </c>
      <c r="BV25" t="s">
        <v>81</v>
      </c>
      <c r="BW25">
        <v>2.0879999999999999E-2</v>
      </c>
      <c r="BX25" t="s">
        <v>74</v>
      </c>
      <c r="BY25">
        <v>20.88</v>
      </c>
      <c r="BZ25" t="s">
        <v>75</v>
      </c>
      <c r="CA25">
        <v>20880.001</v>
      </c>
      <c r="CB25" t="s">
        <v>76</v>
      </c>
      <c r="CC25" t="s">
        <v>82</v>
      </c>
      <c r="CD25">
        <v>47.892718799999997</v>
      </c>
      <c r="CH25" t="s">
        <v>72</v>
      </c>
      <c r="CI25">
        <v>1</v>
      </c>
      <c r="CJ25" t="s">
        <v>81</v>
      </c>
      <c r="CK25">
        <v>2.06007E-2</v>
      </c>
      <c r="CL25" t="s">
        <v>74</v>
      </c>
      <c r="CM25">
        <v>20.6007</v>
      </c>
      <c r="CN25" t="s">
        <v>75</v>
      </c>
      <c r="CO25">
        <v>20600.701000000001</v>
      </c>
      <c r="CP25" t="s">
        <v>76</v>
      </c>
      <c r="CQ25" t="s">
        <v>82</v>
      </c>
      <c r="CR25">
        <v>48.542038099999999</v>
      </c>
      <c r="CV25" t="s">
        <v>72</v>
      </c>
      <c r="CW25">
        <v>1</v>
      </c>
      <c r="CX25" t="s">
        <v>81</v>
      </c>
      <c r="CY25">
        <v>2.16469E-2</v>
      </c>
      <c r="CZ25" t="s">
        <v>74</v>
      </c>
      <c r="DA25">
        <v>21.646899999999999</v>
      </c>
      <c r="DB25" t="s">
        <v>75</v>
      </c>
      <c r="DC25">
        <v>21646.9</v>
      </c>
      <c r="DD25" t="s">
        <v>76</v>
      </c>
      <c r="DE25" t="s">
        <v>82</v>
      </c>
      <c r="DF25">
        <v>46.195990899999998</v>
      </c>
      <c r="DJ25" t="s">
        <v>72</v>
      </c>
      <c r="DK25">
        <v>1</v>
      </c>
      <c r="DL25" t="s">
        <v>81</v>
      </c>
      <c r="DM25">
        <v>2.07256E-2</v>
      </c>
      <c r="DN25" t="s">
        <v>74</v>
      </c>
      <c r="DO25">
        <v>20.7256</v>
      </c>
      <c r="DP25" t="s">
        <v>75</v>
      </c>
      <c r="DQ25">
        <v>20725.599999999999</v>
      </c>
      <c r="DR25" t="s">
        <v>76</v>
      </c>
      <c r="DS25" t="s">
        <v>82</v>
      </c>
      <c r="DT25">
        <v>48.2495069</v>
      </c>
    </row>
    <row r="26" spans="1:124" x14ac:dyDescent="0.3">
      <c r="B26" t="s">
        <v>83</v>
      </c>
      <c r="C26">
        <v>1000</v>
      </c>
      <c r="D26" t="s">
        <v>81</v>
      </c>
      <c r="E26">
        <v>1.6737419999999999E-2</v>
      </c>
      <c r="F26" t="s">
        <v>74</v>
      </c>
      <c r="G26">
        <v>16.73742</v>
      </c>
      <c r="H26" t="s">
        <v>75</v>
      </c>
      <c r="I26">
        <v>16737.424999999999</v>
      </c>
      <c r="J26" t="s">
        <v>76</v>
      </c>
      <c r="K26" t="s">
        <v>82</v>
      </c>
      <c r="L26">
        <v>59.746347399999998</v>
      </c>
      <c r="P26" t="s">
        <v>83</v>
      </c>
      <c r="Q26">
        <v>1000</v>
      </c>
      <c r="R26" t="s">
        <v>81</v>
      </c>
      <c r="S26">
        <v>4.9727800000000004E-3</v>
      </c>
      <c r="T26" t="s">
        <v>74</v>
      </c>
      <c r="U26">
        <v>4.9727800000000002</v>
      </c>
      <c r="V26" t="s">
        <v>75</v>
      </c>
      <c r="W26">
        <v>4972.7809999999999</v>
      </c>
      <c r="X26" t="s">
        <v>76</v>
      </c>
      <c r="Y26" t="s">
        <v>82</v>
      </c>
      <c r="Z26">
        <v>201.0947314</v>
      </c>
      <c r="AD26" t="s">
        <v>83</v>
      </c>
      <c r="AE26">
        <v>1000</v>
      </c>
      <c r="AF26" t="s">
        <v>81</v>
      </c>
      <c r="AG26">
        <v>1.6703909999999999E-2</v>
      </c>
      <c r="AH26" t="s">
        <v>74</v>
      </c>
      <c r="AI26">
        <v>16.70391</v>
      </c>
      <c r="AJ26" t="s">
        <v>75</v>
      </c>
      <c r="AK26">
        <v>16703.913</v>
      </c>
      <c r="AL26" t="s">
        <v>76</v>
      </c>
      <c r="AM26" t="s">
        <v>82</v>
      </c>
      <c r="AN26">
        <v>59.866213100000003</v>
      </c>
      <c r="AR26" t="s">
        <v>83</v>
      </c>
      <c r="AS26">
        <v>1000</v>
      </c>
      <c r="AT26" t="s">
        <v>81</v>
      </c>
      <c r="AU26">
        <v>1.664322E-2</v>
      </c>
      <c r="AV26" t="s">
        <v>74</v>
      </c>
      <c r="AW26">
        <v>16.643219999999999</v>
      </c>
      <c r="AX26" t="s">
        <v>75</v>
      </c>
      <c r="AY26">
        <v>16643.223000000002</v>
      </c>
      <c r="AZ26" t="s">
        <v>76</v>
      </c>
      <c r="BA26" t="s">
        <v>82</v>
      </c>
      <c r="BB26">
        <v>60.084516800000003</v>
      </c>
      <c r="BF26" t="s">
        <v>83</v>
      </c>
      <c r="BG26">
        <v>1000</v>
      </c>
      <c r="BH26" t="s">
        <v>81</v>
      </c>
      <c r="BI26">
        <v>4.9899899999999997E-3</v>
      </c>
      <c r="BJ26" t="s">
        <v>74</v>
      </c>
      <c r="BK26">
        <v>4.9899899999999997</v>
      </c>
      <c r="BL26" t="s">
        <v>75</v>
      </c>
      <c r="BM26">
        <v>4989.9859999999999</v>
      </c>
      <c r="BN26" t="s">
        <v>76</v>
      </c>
      <c r="BO26" t="s">
        <v>82</v>
      </c>
      <c r="BP26">
        <v>200.40136609999999</v>
      </c>
      <c r="BT26" t="s">
        <v>83</v>
      </c>
      <c r="BU26">
        <v>1000</v>
      </c>
      <c r="BV26" t="s">
        <v>81</v>
      </c>
      <c r="BW26">
        <v>1.669313E-2</v>
      </c>
      <c r="BX26" t="s">
        <v>74</v>
      </c>
      <c r="BY26">
        <v>16.69313</v>
      </c>
      <c r="BZ26" t="s">
        <v>75</v>
      </c>
      <c r="CA26">
        <v>16693.132000000001</v>
      </c>
      <c r="CB26" t="s">
        <v>76</v>
      </c>
      <c r="CC26" t="s">
        <v>82</v>
      </c>
      <c r="CD26">
        <v>59.904874399999997</v>
      </c>
      <c r="CH26" t="s">
        <v>83</v>
      </c>
      <c r="CI26">
        <v>1000</v>
      </c>
      <c r="CJ26" t="s">
        <v>81</v>
      </c>
      <c r="CK26">
        <v>1.6695419999999999E-2</v>
      </c>
      <c r="CL26" t="s">
        <v>74</v>
      </c>
      <c r="CM26">
        <v>16.695419999999999</v>
      </c>
      <c r="CN26" t="s">
        <v>75</v>
      </c>
      <c r="CO26">
        <v>16695.417000000001</v>
      </c>
      <c r="CP26" t="s">
        <v>76</v>
      </c>
      <c r="CQ26" t="s">
        <v>82</v>
      </c>
      <c r="CR26">
        <v>59.896675600000002</v>
      </c>
      <c r="CV26" t="s">
        <v>83</v>
      </c>
      <c r="CW26">
        <v>1000</v>
      </c>
      <c r="CX26" t="s">
        <v>81</v>
      </c>
      <c r="CY26">
        <v>4.9914299999999998E-3</v>
      </c>
      <c r="CZ26" t="s">
        <v>74</v>
      </c>
      <c r="DA26">
        <v>4.9914300000000003</v>
      </c>
      <c r="DB26" t="s">
        <v>75</v>
      </c>
      <c r="DC26">
        <v>4991.4269999999997</v>
      </c>
      <c r="DD26" t="s">
        <v>76</v>
      </c>
      <c r="DE26" t="s">
        <v>82</v>
      </c>
      <c r="DF26">
        <v>200.34349209999999</v>
      </c>
      <c r="DJ26" t="s">
        <v>83</v>
      </c>
      <c r="DK26">
        <v>1000</v>
      </c>
      <c r="DL26" t="s">
        <v>81</v>
      </c>
      <c r="DM26">
        <v>1.6736000000000001E-2</v>
      </c>
      <c r="DN26" t="s">
        <v>74</v>
      </c>
      <c r="DO26">
        <v>16.736000000000001</v>
      </c>
      <c r="DP26" t="s">
        <v>75</v>
      </c>
      <c r="DQ26">
        <v>16735.995999999999</v>
      </c>
      <c r="DR26" t="s">
        <v>76</v>
      </c>
      <c r="DS26" t="s">
        <v>82</v>
      </c>
      <c r="DT26">
        <v>59.751447400000004</v>
      </c>
    </row>
    <row r="27" spans="1:124" x14ac:dyDescent="0.3">
      <c r="B27" t="s">
        <v>85</v>
      </c>
      <c r="C27">
        <v>1001</v>
      </c>
      <c r="D27" t="s">
        <v>86</v>
      </c>
      <c r="E27">
        <v>1.674175E-2</v>
      </c>
      <c r="F27" t="s">
        <v>74</v>
      </c>
      <c r="G27">
        <v>16.74175</v>
      </c>
      <c r="H27" t="s">
        <v>75</v>
      </c>
      <c r="I27">
        <v>16741.752</v>
      </c>
      <c r="J27" t="s">
        <v>76</v>
      </c>
      <c r="K27" t="s">
        <v>82</v>
      </c>
      <c r="L27">
        <v>59.730906300000001</v>
      </c>
      <c r="P27" t="s">
        <v>85</v>
      </c>
      <c r="Q27">
        <v>1001</v>
      </c>
      <c r="R27" t="s">
        <v>86</v>
      </c>
      <c r="S27">
        <v>4.9897400000000003E-3</v>
      </c>
      <c r="T27" t="s">
        <v>74</v>
      </c>
      <c r="U27">
        <v>4.9897400000000003</v>
      </c>
      <c r="V27" t="s">
        <v>75</v>
      </c>
      <c r="W27">
        <v>4989.7359999999999</v>
      </c>
      <c r="X27" t="s">
        <v>76</v>
      </c>
      <c r="Y27" t="s">
        <v>82</v>
      </c>
      <c r="Z27">
        <v>200.41138670000001</v>
      </c>
      <c r="AD27" t="s">
        <v>85</v>
      </c>
      <c r="AE27">
        <v>1001</v>
      </c>
      <c r="AF27" t="s">
        <v>86</v>
      </c>
      <c r="AG27">
        <v>1.6708020000000001E-2</v>
      </c>
      <c r="AH27" t="s">
        <v>74</v>
      </c>
      <c r="AI27">
        <v>16.708020000000001</v>
      </c>
      <c r="AJ27" t="s">
        <v>75</v>
      </c>
      <c r="AK27">
        <v>16708.023000000001</v>
      </c>
      <c r="AL27" t="s">
        <v>76</v>
      </c>
      <c r="AM27" t="s">
        <v>82</v>
      </c>
      <c r="AN27">
        <v>59.851484200000002</v>
      </c>
      <c r="AR27" t="s">
        <v>85</v>
      </c>
      <c r="AS27">
        <v>1001</v>
      </c>
      <c r="AT27" t="s">
        <v>86</v>
      </c>
      <c r="AU27">
        <v>1.6647140000000001E-2</v>
      </c>
      <c r="AV27" t="s">
        <v>74</v>
      </c>
      <c r="AW27">
        <v>16.64714</v>
      </c>
      <c r="AX27" t="s">
        <v>75</v>
      </c>
      <c r="AY27">
        <v>16647.138999999999</v>
      </c>
      <c r="AZ27" t="s">
        <v>76</v>
      </c>
      <c r="BA27" t="s">
        <v>82</v>
      </c>
      <c r="BB27">
        <v>60.070382799999997</v>
      </c>
      <c r="BF27" t="s">
        <v>85</v>
      </c>
      <c r="BG27">
        <v>1001</v>
      </c>
      <c r="BH27" t="s">
        <v>86</v>
      </c>
      <c r="BI27">
        <v>5.0068300000000003E-3</v>
      </c>
      <c r="BJ27" t="s">
        <v>74</v>
      </c>
      <c r="BK27">
        <v>5.0068299999999999</v>
      </c>
      <c r="BL27" t="s">
        <v>75</v>
      </c>
      <c r="BM27">
        <v>5006.8329999999996</v>
      </c>
      <c r="BN27" t="s">
        <v>76</v>
      </c>
      <c r="BO27" t="s">
        <v>82</v>
      </c>
      <c r="BP27">
        <v>199.72707070000001</v>
      </c>
      <c r="BT27" t="s">
        <v>85</v>
      </c>
      <c r="BU27">
        <v>1001</v>
      </c>
      <c r="BV27" t="s">
        <v>86</v>
      </c>
      <c r="BW27">
        <v>1.669754E-2</v>
      </c>
      <c r="BX27" t="s">
        <v>74</v>
      </c>
      <c r="BY27">
        <v>16.69754</v>
      </c>
      <c r="BZ27" t="s">
        <v>75</v>
      </c>
      <c r="CA27">
        <v>16697.538</v>
      </c>
      <c r="CB27" t="s">
        <v>76</v>
      </c>
      <c r="CC27" t="s">
        <v>82</v>
      </c>
      <c r="CD27">
        <v>59.889069499999998</v>
      </c>
      <c r="CH27" t="s">
        <v>85</v>
      </c>
      <c r="CI27">
        <v>1001</v>
      </c>
      <c r="CJ27" t="s">
        <v>86</v>
      </c>
      <c r="CK27">
        <v>1.6699470000000001E-2</v>
      </c>
      <c r="CL27" t="s">
        <v>74</v>
      </c>
      <c r="CM27">
        <v>16.699470000000002</v>
      </c>
      <c r="CN27" t="s">
        <v>75</v>
      </c>
      <c r="CO27">
        <v>16699.466</v>
      </c>
      <c r="CP27" t="s">
        <v>76</v>
      </c>
      <c r="CQ27" t="s">
        <v>82</v>
      </c>
      <c r="CR27">
        <v>59.882154</v>
      </c>
      <c r="CV27" t="s">
        <v>85</v>
      </c>
      <c r="CW27">
        <v>1001</v>
      </c>
      <c r="CX27" t="s">
        <v>86</v>
      </c>
      <c r="CY27">
        <v>5.0082399999999997E-3</v>
      </c>
      <c r="CZ27" t="s">
        <v>74</v>
      </c>
      <c r="DA27">
        <v>5.0082399999999998</v>
      </c>
      <c r="DB27" t="s">
        <v>75</v>
      </c>
      <c r="DC27">
        <v>5008.2349999999997</v>
      </c>
      <c r="DD27" t="s">
        <v>76</v>
      </c>
      <c r="DE27" t="s">
        <v>82</v>
      </c>
      <c r="DF27">
        <v>199.67112409999999</v>
      </c>
      <c r="DJ27" t="s">
        <v>85</v>
      </c>
      <c r="DK27">
        <v>1001</v>
      </c>
      <c r="DL27" t="s">
        <v>86</v>
      </c>
      <c r="DM27">
        <v>1.6740169999999999E-2</v>
      </c>
      <c r="DN27" t="s">
        <v>74</v>
      </c>
      <c r="DO27">
        <v>16.740169999999999</v>
      </c>
      <c r="DP27" t="s">
        <v>75</v>
      </c>
      <c r="DQ27">
        <v>16740.168000000001</v>
      </c>
      <c r="DR27" t="s">
        <v>76</v>
      </c>
      <c r="DS27" t="s">
        <v>82</v>
      </c>
      <c r="DT27">
        <v>59.736556100000001</v>
      </c>
    </row>
    <row r="29" spans="1:124" x14ac:dyDescent="0.3">
      <c r="A29">
        <v>3</v>
      </c>
      <c r="B29" t="s">
        <v>107</v>
      </c>
      <c r="O29">
        <v>3</v>
      </c>
      <c r="P29" t="s">
        <v>107</v>
      </c>
      <c r="AC29">
        <v>3</v>
      </c>
      <c r="AD29" t="s">
        <v>107</v>
      </c>
      <c r="AQ29">
        <v>3</v>
      </c>
      <c r="AR29" t="s">
        <v>107</v>
      </c>
      <c r="BE29">
        <v>3</v>
      </c>
      <c r="BF29" t="s">
        <v>107</v>
      </c>
      <c r="BS29">
        <v>3</v>
      </c>
      <c r="BT29" t="s">
        <v>107</v>
      </c>
      <c r="CG29">
        <v>3</v>
      </c>
      <c r="CH29" t="s">
        <v>107</v>
      </c>
      <c r="CU29">
        <v>3</v>
      </c>
      <c r="CV29" t="s">
        <v>107</v>
      </c>
      <c r="DI29">
        <v>3</v>
      </c>
      <c r="DJ29" t="s">
        <v>107</v>
      </c>
    </row>
    <row r="30" spans="1:124" x14ac:dyDescent="0.3">
      <c r="B30" t="s">
        <v>72</v>
      </c>
      <c r="C30">
        <v>1</v>
      </c>
      <c r="D30" t="s">
        <v>81</v>
      </c>
      <c r="E30">
        <v>3.5460499999999999E-2</v>
      </c>
      <c r="F30" t="s">
        <v>74</v>
      </c>
      <c r="G30">
        <v>35.460500000000003</v>
      </c>
      <c r="H30" t="s">
        <v>75</v>
      </c>
      <c r="I30">
        <v>35460.498</v>
      </c>
      <c r="J30" t="s">
        <v>76</v>
      </c>
      <c r="K30" t="s">
        <v>82</v>
      </c>
      <c r="L30">
        <v>28.200393399999999</v>
      </c>
      <c r="P30" t="s">
        <v>72</v>
      </c>
      <c r="Q30">
        <v>1</v>
      </c>
      <c r="R30" t="s">
        <v>81</v>
      </c>
      <c r="S30">
        <v>1.7427700000000001E-2</v>
      </c>
      <c r="T30" t="s">
        <v>74</v>
      </c>
      <c r="U30">
        <v>17.427700000000002</v>
      </c>
      <c r="V30" t="s">
        <v>75</v>
      </c>
      <c r="W30">
        <v>17427.7</v>
      </c>
      <c r="X30" t="s">
        <v>76</v>
      </c>
      <c r="Y30" t="s">
        <v>82</v>
      </c>
      <c r="Z30">
        <v>57.379919399999999</v>
      </c>
      <c r="AD30" t="s">
        <v>72</v>
      </c>
      <c r="AE30">
        <v>1</v>
      </c>
      <c r="AF30" t="s">
        <v>81</v>
      </c>
      <c r="AG30">
        <v>1.74015E-2</v>
      </c>
      <c r="AH30" t="s">
        <v>74</v>
      </c>
      <c r="AI30">
        <v>17.401499999999999</v>
      </c>
      <c r="AJ30" t="s">
        <v>75</v>
      </c>
      <c r="AK30">
        <v>17401.5</v>
      </c>
      <c r="AL30" t="s">
        <v>76</v>
      </c>
      <c r="AM30" t="s">
        <v>82</v>
      </c>
      <c r="AN30">
        <v>57.466311500000003</v>
      </c>
      <c r="AR30" t="s">
        <v>72</v>
      </c>
      <c r="AS30">
        <v>1</v>
      </c>
      <c r="AT30" t="s">
        <v>81</v>
      </c>
      <c r="AU30">
        <v>1.7781100000000001E-2</v>
      </c>
      <c r="AV30" t="s">
        <v>74</v>
      </c>
      <c r="AW30">
        <v>17.781099999999999</v>
      </c>
      <c r="AX30" t="s">
        <v>75</v>
      </c>
      <c r="AY30">
        <v>17781.098999999998</v>
      </c>
      <c r="AZ30" t="s">
        <v>76</v>
      </c>
      <c r="BA30" t="s">
        <v>82</v>
      </c>
      <c r="BB30">
        <v>56.239492400000003</v>
      </c>
      <c r="BF30" t="s">
        <v>72</v>
      </c>
      <c r="BG30">
        <v>1</v>
      </c>
      <c r="BH30" t="s">
        <v>81</v>
      </c>
      <c r="BI30">
        <v>1.7264999999999999E-2</v>
      </c>
      <c r="BJ30" t="s">
        <v>74</v>
      </c>
      <c r="BK30">
        <v>17.265000000000001</v>
      </c>
      <c r="BL30" t="s">
        <v>75</v>
      </c>
      <c r="BM30">
        <v>17264.999</v>
      </c>
      <c r="BN30" t="s">
        <v>76</v>
      </c>
      <c r="BO30" t="s">
        <v>82</v>
      </c>
      <c r="BP30">
        <v>57.920650600000002</v>
      </c>
      <c r="BT30" t="s">
        <v>72</v>
      </c>
      <c r="BU30">
        <v>1</v>
      </c>
      <c r="BV30" t="s">
        <v>81</v>
      </c>
      <c r="BW30">
        <v>1.7562500000000002E-2</v>
      </c>
      <c r="BX30" t="s">
        <v>74</v>
      </c>
      <c r="BY30">
        <v>17.5625</v>
      </c>
      <c r="BZ30" t="s">
        <v>75</v>
      </c>
      <c r="CA30">
        <v>17562.499</v>
      </c>
      <c r="CB30" t="s">
        <v>76</v>
      </c>
      <c r="CC30" t="s">
        <v>82</v>
      </c>
      <c r="CD30">
        <v>56.939504100000001</v>
      </c>
      <c r="CH30" t="s">
        <v>72</v>
      </c>
      <c r="CI30">
        <v>1</v>
      </c>
      <c r="CJ30" t="s">
        <v>81</v>
      </c>
      <c r="CK30">
        <v>1.7727400000000001E-2</v>
      </c>
      <c r="CL30" t="s">
        <v>74</v>
      </c>
      <c r="CM30">
        <v>17.727399999999999</v>
      </c>
      <c r="CN30" t="s">
        <v>75</v>
      </c>
      <c r="CO30">
        <v>17727.399000000001</v>
      </c>
      <c r="CP30" t="s">
        <v>76</v>
      </c>
      <c r="CQ30" t="s">
        <v>82</v>
      </c>
      <c r="CR30">
        <v>56.4098538</v>
      </c>
      <c r="CV30" t="s">
        <v>72</v>
      </c>
      <c r="CW30">
        <v>1</v>
      </c>
      <c r="CX30" t="s">
        <v>81</v>
      </c>
      <c r="CY30">
        <v>1.7239999999999998E-2</v>
      </c>
      <c r="CZ30" t="s">
        <v>74</v>
      </c>
      <c r="DA30">
        <v>17.239999999999998</v>
      </c>
      <c r="DB30" t="s">
        <v>75</v>
      </c>
      <c r="DC30">
        <v>17240.001</v>
      </c>
      <c r="DD30" t="s">
        <v>76</v>
      </c>
      <c r="DE30" t="s">
        <v>82</v>
      </c>
      <c r="DF30">
        <v>58.0046374</v>
      </c>
      <c r="DJ30" t="s">
        <v>72</v>
      </c>
      <c r="DK30">
        <v>1</v>
      </c>
      <c r="DL30" t="s">
        <v>81</v>
      </c>
      <c r="DM30">
        <v>1.7412500000000001E-2</v>
      </c>
      <c r="DN30" t="s">
        <v>74</v>
      </c>
      <c r="DO30">
        <v>17.412500000000001</v>
      </c>
      <c r="DP30" t="s">
        <v>75</v>
      </c>
      <c r="DQ30">
        <v>17412.5</v>
      </c>
      <c r="DR30" t="s">
        <v>76</v>
      </c>
      <c r="DS30" t="s">
        <v>82</v>
      </c>
      <c r="DT30">
        <v>57.430005700000002</v>
      </c>
    </row>
    <row r="31" spans="1:124" x14ac:dyDescent="0.3">
      <c r="B31" t="s">
        <v>83</v>
      </c>
      <c r="C31">
        <v>1000</v>
      </c>
      <c r="D31" t="s">
        <v>81</v>
      </c>
      <c r="E31">
        <v>6.8792000000000002E-3</v>
      </c>
      <c r="F31" t="s">
        <v>74</v>
      </c>
      <c r="G31">
        <v>6.8792</v>
      </c>
      <c r="H31" t="s">
        <v>75</v>
      </c>
      <c r="I31">
        <v>6879.1980000000003</v>
      </c>
      <c r="J31" t="s">
        <v>76</v>
      </c>
      <c r="K31" t="s">
        <v>82</v>
      </c>
      <c r="L31">
        <v>145.3657809</v>
      </c>
      <c r="P31" t="s">
        <v>83</v>
      </c>
      <c r="Q31">
        <v>1000</v>
      </c>
      <c r="R31" t="s">
        <v>81</v>
      </c>
      <c r="S31">
        <v>2.8325899999999998E-3</v>
      </c>
      <c r="T31" t="s">
        <v>74</v>
      </c>
      <c r="U31">
        <v>2.8325900000000002</v>
      </c>
      <c r="V31" t="s">
        <v>75</v>
      </c>
      <c r="W31">
        <v>2832.5859999999998</v>
      </c>
      <c r="X31" t="s">
        <v>76</v>
      </c>
      <c r="Y31" t="s">
        <v>82</v>
      </c>
      <c r="Z31">
        <v>353.03431790000002</v>
      </c>
      <c r="AD31" t="s">
        <v>83</v>
      </c>
      <c r="AE31">
        <v>1000</v>
      </c>
      <c r="AF31" t="s">
        <v>81</v>
      </c>
      <c r="AG31">
        <v>6.8807E-3</v>
      </c>
      <c r="AH31" t="s">
        <v>74</v>
      </c>
      <c r="AI31">
        <v>6.8807</v>
      </c>
      <c r="AJ31" t="s">
        <v>75</v>
      </c>
      <c r="AK31">
        <v>6880.7</v>
      </c>
      <c r="AL31" t="s">
        <v>76</v>
      </c>
      <c r="AM31" t="s">
        <v>82</v>
      </c>
      <c r="AN31">
        <v>145.334058</v>
      </c>
      <c r="AR31" t="s">
        <v>83</v>
      </c>
      <c r="AS31">
        <v>1000</v>
      </c>
      <c r="AT31" t="s">
        <v>81</v>
      </c>
      <c r="AU31">
        <v>6.8700100000000002E-3</v>
      </c>
      <c r="AV31" t="s">
        <v>74</v>
      </c>
      <c r="AW31">
        <v>6.8700099999999997</v>
      </c>
      <c r="AX31" t="s">
        <v>75</v>
      </c>
      <c r="AY31">
        <v>6870.0060000000003</v>
      </c>
      <c r="AZ31" t="s">
        <v>76</v>
      </c>
      <c r="BA31" t="s">
        <v>82</v>
      </c>
      <c r="BB31">
        <v>145.5602787</v>
      </c>
      <c r="BF31" t="s">
        <v>83</v>
      </c>
      <c r="BG31">
        <v>1000</v>
      </c>
      <c r="BH31" t="s">
        <v>81</v>
      </c>
      <c r="BI31">
        <v>2.8226900000000001E-3</v>
      </c>
      <c r="BJ31" t="s">
        <v>74</v>
      </c>
      <c r="BK31">
        <v>2.8226900000000001</v>
      </c>
      <c r="BL31" t="s">
        <v>75</v>
      </c>
      <c r="BM31">
        <v>2822.6880000000001</v>
      </c>
      <c r="BN31" t="s">
        <v>76</v>
      </c>
      <c r="BO31" t="s">
        <v>82</v>
      </c>
      <c r="BP31">
        <v>354.27222690000002</v>
      </c>
      <c r="BT31" t="s">
        <v>83</v>
      </c>
      <c r="BU31">
        <v>1000</v>
      </c>
      <c r="BV31" t="s">
        <v>81</v>
      </c>
      <c r="BW31">
        <v>6.9186500000000001E-3</v>
      </c>
      <c r="BX31" t="s">
        <v>74</v>
      </c>
      <c r="BY31">
        <v>6.9186500000000004</v>
      </c>
      <c r="BZ31" t="s">
        <v>75</v>
      </c>
      <c r="CA31">
        <v>6918.6540000000005</v>
      </c>
      <c r="CB31" t="s">
        <v>76</v>
      </c>
      <c r="CC31" t="s">
        <v>82</v>
      </c>
      <c r="CD31">
        <v>144.53678489999999</v>
      </c>
      <c r="CH31" t="s">
        <v>83</v>
      </c>
      <c r="CI31">
        <v>1000</v>
      </c>
      <c r="CJ31" t="s">
        <v>81</v>
      </c>
      <c r="CK31">
        <v>6.8674399999999998E-3</v>
      </c>
      <c r="CL31" t="s">
        <v>74</v>
      </c>
      <c r="CM31">
        <v>6.8674400000000002</v>
      </c>
      <c r="CN31" t="s">
        <v>75</v>
      </c>
      <c r="CO31">
        <v>6867.44</v>
      </c>
      <c r="CP31" t="s">
        <v>76</v>
      </c>
      <c r="CQ31" t="s">
        <v>82</v>
      </c>
      <c r="CR31">
        <v>145.61466390000001</v>
      </c>
      <c r="CV31" t="s">
        <v>83</v>
      </c>
      <c r="CW31">
        <v>1000</v>
      </c>
      <c r="CX31" t="s">
        <v>81</v>
      </c>
      <c r="CY31">
        <v>2.8226599999999998E-3</v>
      </c>
      <c r="CZ31" t="s">
        <v>74</v>
      </c>
      <c r="DA31">
        <v>2.8226599999999999</v>
      </c>
      <c r="DB31" t="s">
        <v>75</v>
      </c>
      <c r="DC31">
        <v>2822.6579999999999</v>
      </c>
      <c r="DD31" t="s">
        <v>76</v>
      </c>
      <c r="DE31" t="s">
        <v>82</v>
      </c>
      <c r="DF31">
        <v>354.27605720000003</v>
      </c>
      <c r="DJ31" t="s">
        <v>83</v>
      </c>
      <c r="DK31">
        <v>1000</v>
      </c>
      <c r="DL31" t="s">
        <v>81</v>
      </c>
      <c r="DM31">
        <v>6.9338000000000004E-3</v>
      </c>
      <c r="DN31" t="s">
        <v>74</v>
      </c>
      <c r="DO31">
        <v>6.9337999999999997</v>
      </c>
      <c r="DP31" t="s">
        <v>75</v>
      </c>
      <c r="DQ31">
        <v>6933.8010000000004</v>
      </c>
      <c r="DR31" t="s">
        <v>76</v>
      </c>
      <c r="DS31" t="s">
        <v>82</v>
      </c>
      <c r="DT31">
        <v>144.2210475</v>
      </c>
    </row>
    <row r="32" spans="1:124" x14ac:dyDescent="0.3">
      <c r="B32" t="s">
        <v>85</v>
      </c>
      <c r="C32">
        <v>1001</v>
      </c>
      <c r="D32" t="s">
        <v>86</v>
      </c>
      <c r="E32">
        <v>6.9080399999999998E-3</v>
      </c>
      <c r="F32" t="s">
        <v>74</v>
      </c>
      <c r="G32">
        <v>6.9080399999999997</v>
      </c>
      <c r="H32" t="s">
        <v>75</v>
      </c>
      <c r="I32">
        <v>6908.0410000000002</v>
      </c>
      <c r="J32" t="s">
        <v>76</v>
      </c>
      <c r="K32" t="s">
        <v>82</v>
      </c>
      <c r="L32">
        <v>144.75883189999999</v>
      </c>
      <c r="P32" t="s">
        <v>85</v>
      </c>
      <c r="Q32">
        <v>1001</v>
      </c>
      <c r="R32" t="s">
        <v>86</v>
      </c>
      <c r="S32">
        <v>2.8473999999999999E-3</v>
      </c>
      <c r="T32" t="s">
        <v>74</v>
      </c>
      <c r="U32">
        <v>2.8473999999999999</v>
      </c>
      <c r="V32" t="s">
        <v>75</v>
      </c>
      <c r="W32">
        <v>2847.404</v>
      </c>
      <c r="X32" t="s">
        <v>76</v>
      </c>
      <c r="Y32" t="s">
        <v>82</v>
      </c>
      <c r="Z32">
        <v>351.19711580000001</v>
      </c>
      <c r="AD32" t="s">
        <v>85</v>
      </c>
      <c r="AE32">
        <v>1001</v>
      </c>
      <c r="AF32" t="s">
        <v>86</v>
      </c>
      <c r="AG32">
        <v>6.8914600000000003E-3</v>
      </c>
      <c r="AH32" t="s">
        <v>74</v>
      </c>
      <c r="AI32">
        <v>6.8914600000000004</v>
      </c>
      <c r="AJ32" t="s">
        <v>75</v>
      </c>
      <c r="AK32">
        <v>6891.4570000000003</v>
      </c>
      <c r="AL32" t="s">
        <v>76</v>
      </c>
      <c r="AM32" t="s">
        <v>82</v>
      </c>
      <c r="AN32">
        <v>145.10718840000001</v>
      </c>
      <c r="AR32" t="s">
        <v>85</v>
      </c>
      <c r="AS32">
        <v>1001</v>
      </c>
      <c r="AT32" t="s">
        <v>86</v>
      </c>
      <c r="AU32">
        <v>6.8811100000000002E-3</v>
      </c>
      <c r="AV32" t="s">
        <v>74</v>
      </c>
      <c r="AW32">
        <v>6.8811099999999996</v>
      </c>
      <c r="AX32" t="s">
        <v>75</v>
      </c>
      <c r="AY32">
        <v>6881.1149999999998</v>
      </c>
      <c r="AZ32" t="s">
        <v>76</v>
      </c>
      <c r="BA32" t="s">
        <v>82</v>
      </c>
      <c r="BB32">
        <v>145.32529360000001</v>
      </c>
      <c r="BF32" t="s">
        <v>85</v>
      </c>
      <c r="BG32">
        <v>1001</v>
      </c>
      <c r="BH32" t="s">
        <v>86</v>
      </c>
      <c r="BI32">
        <v>2.8373399999999998E-3</v>
      </c>
      <c r="BJ32" t="s">
        <v>74</v>
      </c>
      <c r="BK32">
        <v>2.8373400000000002</v>
      </c>
      <c r="BL32" t="s">
        <v>75</v>
      </c>
      <c r="BM32">
        <v>2837.3359999999998</v>
      </c>
      <c r="BN32" t="s">
        <v>76</v>
      </c>
      <c r="BO32" t="s">
        <v>82</v>
      </c>
      <c r="BP32">
        <v>352.44325959999998</v>
      </c>
      <c r="BT32" t="s">
        <v>85</v>
      </c>
      <c r="BU32">
        <v>1001</v>
      </c>
      <c r="BV32" t="s">
        <v>86</v>
      </c>
      <c r="BW32">
        <v>6.92949E-3</v>
      </c>
      <c r="BX32" t="s">
        <v>74</v>
      </c>
      <c r="BY32">
        <v>6.9294900000000004</v>
      </c>
      <c r="BZ32" t="s">
        <v>75</v>
      </c>
      <c r="CA32">
        <v>6929.4939999999997</v>
      </c>
      <c r="CB32" t="s">
        <v>76</v>
      </c>
      <c r="CC32" t="s">
        <v>82</v>
      </c>
      <c r="CD32">
        <v>144.31068529999999</v>
      </c>
      <c r="CH32" t="s">
        <v>85</v>
      </c>
      <c r="CI32">
        <v>1001</v>
      </c>
      <c r="CJ32" t="s">
        <v>86</v>
      </c>
      <c r="CK32">
        <v>6.8785000000000001E-3</v>
      </c>
      <c r="CL32" t="s">
        <v>74</v>
      </c>
      <c r="CM32">
        <v>6.8784999999999998</v>
      </c>
      <c r="CN32" t="s">
        <v>75</v>
      </c>
      <c r="CO32">
        <v>6878.4979999999996</v>
      </c>
      <c r="CP32" t="s">
        <v>76</v>
      </c>
      <c r="CQ32" t="s">
        <v>82</v>
      </c>
      <c r="CR32">
        <v>145.3805768</v>
      </c>
      <c r="CV32" t="s">
        <v>85</v>
      </c>
      <c r="CW32">
        <v>1001</v>
      </c>
      <c r="CX32" t="s">
        <v>86</v>
      </c>
      <c r="CY32">
        <v>2.8372499999999999E-3</v>
      </c>
      <c r="CZ32" t="s">
        <v>74</v>
      </c>
      <c r="DA32">
        <v>2.83725</v>
      </c>
      <c r="DB32" t="s">
        <v>75</v>
      </c>
      <c r="DC32">
        <v>2837.2449999999999</v>
      </c>
      <c r="DD32" t="s">
        <v>76</v>
      </c>
      <c r="DE32" t="s">
        <v>82</v>
      </c>
      <c r="DF32">
        <v>352.4545617</v>
      </c>
      <c r="DJ32" t="s">
        <v>85</v>
      </c>
      <c r="DK32">
        <v>1001</v>
      </c>
      <c r="DL32" t="s">
        <v>86</v>
      </c>
      <c r="DM32">
        <v>6.9444700000000003E-3</v>
      </c>
      <c r="DN32" t="s">
        <v>74</v>
      </c>
      <c r="DO32">
        <v>6.9444699999999999</v>
      </c>
      <c r="DP32" t="s">
        <v>75</v>
      </c>
      <c r="DQ32">
        <v>6944.4740000000002</v>
      </c>
      <c r="DR32" t="s">
        <v>76</v>
      </c>
      <c r="DS32" t="s">
        <v>82</v>
      </c>
      <c r="DT32">
        <v>143.99937879999999</v>
      </c>
    </row>
    <row r="34" spans="1:124" x14ac:dyDescent="0.3">
      <c r="B34" t="s">
        <v>108</v>
      </c>
      <c r="P34" t="s">
        <v>108</v>
      </c>
      <c r="AD34" t="s">
        <v>108</v>
      </c>
      <c r="AR34" t="s">
        <v>108</v>
      </c>
      <c r="BF34" t="s">
        <v>108</v>
      </c>
      <c r="BT34" t="s">
        <v>108</v>
      </c>
      <c r="CH34" t="s">
        <v>108</v>
      </c>
      <c r="CV34" t="s">
        <v>108</v>
      </c>
      <c r="DJ34" t="s">
        <v>108</v>
      </c>
    </row>
    <row r="35" spans="1:124" x14ac:dyDescent="0.3">
      <c r="B35" t="s">
        <v>72</v>
      </c>
      <c r="C35">
        <v>1</v>
      </c>
      <c r="D35" t="s">
        <v>81</v>
      </c>
      <c r="E35">
        <v>1.32116E-2</v>
      </c>
      <c r="F35" t="s">
        <v>74</v>
      </c>
      <c r="G35">
        <v>13.211600000000001</v>
      </c>
      <c r="H35" t="s">
        <v>75</v>
      </c>
      <c r="I35">
        <v>13211.6</v>
      </c>
      <c r="J35" t="s">
        <v>76</v>
      </c>
      <c r="K35" t="s">
        <v>82</v>
      </c>
      <c r="L35">
        <v>75.691061899999994</v>
      </c>
      <c r="P35" t="s">
        <v>72</v>
      </c>
      <c r="Q35">
        <v>1</v>
      </c>
      <c r="R35" t="s">
        <v>81</v>
      </c>
      <c r="S35">
        <v>1.3273200000000001E-2</v>
      </c>
      <c r="T35" t="s">
        <v>74</v>
      </c>
      <c r="U35">
        <v>13.273199999999999</v>
      </c>
      <c r="V35" t="s">
        <v>75</v>
      </c>
      <c r="W35">
        <v>13273.2</v>
      </c>
      <c r="X35" t="s">
        <v>76</v>
      </c>
      <c r="Y35" t="s">
        <v>82</v>
      </c>
      <c r="Z35">
        <v>75.339782299999996</v>
      </c>
      <c r="AD35" t="s">
        <v>72</v>
      </c>
      <c r="AE35">
        <v>1</v>
      </c>
      <c r="AF35" t="s">
        <v>81</v>
      </c>
      <c r="AG35">
        <v>1.30717E-2</v>
      </c>
      <c r="AH35" t="s">
        <v>74</v>
      </c>
      <c r="AI35">
        <v>13.0717</v>
      </c>
      <c r="AJ35" t="s">
        <v>75</v>
      </c>
      <c r="AK35">
        <v>13071.7</v>
      </c>
      <c r="AL35" t="s">
        <v>76</v>
      </c>
      <c r="AM35" t="s">
        <v>82</v>
      </c>
      <c r="AN35">
        <v>76.5011437</v>
      </c>
      <c r="AR35" t="s">
        <v>72</v>
      </c>
      <c r="AS35">
        <v>1</v>
      </c>
      <c r="AT35" t="s">
        <v>81</v>
      </c>
      <c r="AU35">
        <v>1.31115E-2</v>
      </c>
      <c r="AV35" t="s">
        <v>74</v>
      </c>
      <c r="AW35">
        <v>13.111499999999999</v>
      </c>
      <c r="AX35" t="s">
        <v>75</v>
      </c>
      <c r="AY35">
        <v>13111.5</v>
      </c>
      <c r="AZ35" t="s">
        <v>76</v>
      </c>
      <c r="BA35" t="s">
        <v>82</v>
      </c>
      <c r="BB35">
        <v>76.268923799999996</v>
      </c>
      <c r="BF35" t="s">
        <v>72</v>
      </c>
      <c r="BG35">
        <v>1</v>
      </c>
      <c r="BH35" t="s">
        <v>81</v>
      </c>
      <c r="BI35">
        <v>1.3379500000000001E-2</v>
      </c>
      <c r="BJ35" t="s">
        <v>74</v>
      </c>
      <c r="BK35">
        <v>13.3795</v>
      </c>
      <c r="BL35" t="s">
        <v>75</v>
      </c>
      <c r="BM35">
        <v>13379.5</v>
      </c>
      <c r="BN35" t="s">
        <v>76</v>
      </c>
      <c r="BO35" t="s">
        <v>82</v>
      </c>
      <c r="BP35">
        <v>74.741207200000005</v>
      </c>
      <c r="BT35" t="s">
        <v>72</v>
      </c>
      <c r="BU35">
        <v>1</v>
      </c>
      <c r="BV35" t="s">
        <v>81</v>
      </c>
      <c r="BW35">
        <v>1.3174E-2</v>
      </c>
      <c r="BX35" t="s">
        <v>74</v>
      </c>
      <c r="BY35">
        <v>13.173999999999999</v>
      </c>
      <c r="BZ35" t="s">
        <v>75</v>
      </c>
      <c r="CA35">
        <v>13174</v>
      </c>
      <c r="CB35" t="s">
        <v>76</v>
      </c>
      <c r="CC35" t="s">
        <v>82</v>
      </c>
      <c r="CD35">
        <v>75.907088599999994</v>
      </c>
      <c r="CH35" t="s">
        <v>72</v>
      </c>
      <c r="CI35">
        <v>1</v>
      </c>
      <c r="CJ35" t="s">
        <v>81</v>
      </c>
      <c r="CK35">
        <v>1.31985E-2</v>
      </c>
      <c r="CL35" t="s">
        <v>74</v>
      </c>
      <c r="CM35">
        <v>13.198499999999999</v>
      </c>
      <c r="CN35" t="s">
        <v>75</v>
      </c>
      <c r="CO35">
        <v>13198.5</v>
      </c>
      <c r="CP35" t="s">
        <v>76</v>
      </c>
      <c r="CQ35" t="s">
        <v>82</v>
      </c>
      <c r="CR35">
        <v>75.766188</v>
      </c>
      <c r="CV35" t="s">
        <v>72</v>
      </c>
      <c r="CW35">
        <v>1</v>
      </c>
      <c r="CX35" t="s">
        <v>81</v>
      </c>
      <c r="CY35">
        <v>1.32461E-2</v>
      </c>
      <c r="CZ35" t="s">
        <v>74</v>
      </c>
      <c r="DA35">
        <v>13.2461</v>
      </c>
      <c r="DB35" t="s">
        <v>75</v>
      </c>
      <c r="DC35">
        <v>13246.1</v>
      </c>
      <c r="DD35" t="s">
        <v>76</v>
      </c>
      <c r="DE35" t="s">
        <v>82</v>
      </c>
      <c r="DF35">
        <v>75.4939167</v>
      </c>
      <c r="DJ35" t="s">
        <v>72</v>
      </c>
      <c r="DK35">
        <v>1</v>
      </c>
      <c r="DL35" t="s">
        <v>81</v>
      </c>
      <c r="DM35">
        <v>1.3042399999999999E-2</v>
      </c>
      <c r="DN35" t="s">
        <v>74</v>
      </c>
      <c r="DO35">
        <v>13.042400000000001</v>
      </c>
      <c r="DP35" t="s">
        <v>75</v>
      </c>
      <c r="DQ35">
        <v>13042.4</v>
      </c>
      <c r="DR35" t="s">
        <v>76</v>
      </c>
      <c r="DS35" t="s">
        <v>82</v>
      </c>
      <c r="DT35">
        <v>76.673006999999998</v>
      </c>
    </row>
    <row r="36" spans="1:124" x14ac:dyDescent="0.3">
      <c r="B36" t="s">
        <v>83</v>
      </c>
      <c r="C36">
        <v>1000</v>
      </c>
      <c r="D36" t="s">
        <v>81</v>
      </c>
      <c r="E36">
        <v>8.9104800000000001E-3</v>
      </c>
      <c r="F36" t="s">
        <v>74</v>
      </c>
      <c r="G36">
        <v>8.9104799999999997</v>
      </c>
      <c r="H36" t="s">
        <v>75</v>
      </c>
      <c r="I36">
        <v>8910.48</v>
      </c>
      <c r="J36" t="s">
        <v>76</v>
      </c>
      <c r="K36" t="s">
        <v>82</v>
      </c>
      <c r="L36">
        <v>112.2273934</v>
      </c>
      <c r="P36" t="s">
        <v>83</v>
      </c>
      <c r="Q36">
        <v>1000</v>
      </c>
      <c r="R36" t="s">
        <v>81</v>
      </c>
      <c r="S36">
        <v>4.97359E-3</v>
      </c>
      <c r="T36" t="s">
        <v>74</v>
      </c>
      <c r="U36">
        <v>4.9735899999999997</v>
      </c>
      <c r="V36" t="s">
        <v>75</v>
      </c>
      <c r="W36">
        <v>4973.5860000000002</v>
      </c>
      <c r="X36" t="s">
        <v>76</v>
      </c>
      <c r="Y36" t="s">
        <v>82</v>
      </c>
      <c r="Z36">
        <v>201.06216789999999</v>
      </c>
      <c r="AD36" t="s">
        <v>83</v>
      </c>
      <c r="AE36">
        <v>1000</v>
      </c>
      <c r="AF36" t="s">
        <v>81</v>
      </c>
      <c r="AG36">
        <v>8.8779500000000008E-3</v>
      </c>
      <c r="AH36" t="s">
        <v>74</v>
      </c>
      <c r="AI36">
        <v>8.8779500000000002</v>
      </c>
      <c r="AJ36" t="s">
        <v>75</v>
      </c>
      <c r="AK36">
        <v>8877.9539999999997</v>
      </c>
      <c r="AL36" t="s">
        <v>76</v>
      </c>
      <c r="AM36" t="s">
        <v>82</v>
      </c>
      <c r="AN36">
        <v>112.63857109999999</v>
      </c>
      <c r="AR36" t="s">
        <v>83</v>
      </c>
      <c r="AS36">
        <v>1000</v>
      </c>
      <c r="AT36" t="s">
        <v>81</v>
      </c>
      <c r="AU36">
        <v>8.8833499999999999E-3</v>
      </c>
      <c r="AV36" t="s">
        <v>74</v>
      </c>
      <c r="AW36">
        <v>8.8833500000000001</v>
      </c>
      <c r="AX36" t="s">
        <v>75</v>
      </c>
      <c r="AY36">
        <v>8883.3520000000008</v>
      </c>
      <c r="AZ36" t="s">
        <v>76</v>
      </c>
      <c r="BA36" t="s">
        <v>82</v>
      </c>
      <c r="BB36">
        <v>112.5701164</v>
      </c>
      <c r="BF36" t="s">
        <v>83</v>
      </c>
      <c r="BG36">
        <v>1000</v>
      </c>
      <c r="BH36" t="s">
        <v>81</v>
      </c>
      <c r="BI36">
        <v>4.9885900000000002E-3</v>
      </c>
      <c r="BJ36" t="s">
        <v>74</v>
      </c>
      <c r="BK36">
        <v>4.9885900000000003</v>
      </c>
      <c r="BL36" t="s">
        <v>75</v>
      </c>
      <c r="BM36">
        <v>4988.5940000000001</v>
      </c>
      <c r="BN36" t="s">
        <v>76</v>
      </c>
      <c r="BO36" t="s">
        <v>82</v>
      </c>
      <c r="BP36">
        <v>200.4573001</v>
      </c>
      <c r="BT36" t="s">
        <v>83</v>
      </c>
      <c r="BU36">
        <v>1000</v>
      </c>
      <c r="BV36" t="s">
        <v>81</v>
      </c>
      <c r="BW36">
        <v>8.8999100000000005E-3</v>
      </c>
      <c r="BX36" t="s">
        <v>74</v>
      </c>
      <c r="BY36">
        <v>8.8999100000000002</v>
      </c>
      <c r="BZ36" t="s">
        <v>75</v>
      </c>
      <c r="CA36">
        <v>8899.9140000000007</v>
      </c>
      <c r="CB36" t="s">
        <v>76</v>
      </c>
      <c r="CC36" t="s">
        <v>82</v>
      </c>
      <c r="CD36">
        <v>112.36063900000001</v>
      </c>
      <c r="CH36" t="s">
        <v>83</v>
      </c>
      <c r="CI36">
        <v>1000</v>
      </c>
      <c r="CJ36" t="s">
        <v>81</v>
      </c>
      <c r="CK36">
        <v>8.8810999999999994E-3</v>
      </c>
      <c r="CL36" t="s">
        <v>74</v>
      </c>
      <c r="CM36">
        <v>8.8811</v>
      </c>
      <c r="CN36" t="s">
        <v>75</v>
      </c>
      <c r="CO36">
        <v>8881.0969999999998</v>
      </c>
      <c r="CP36" t="s">
        <v>76</v>
      </c>
      <c r="CQ36" t="s">
        <v>82</v>
      </c>
      <c r="CR36">
        <v>112.5987046</v>
      </c>
      <c r="CV36" t="s">
        <v>83</v>
      </c>
      <c r="CW36">
        <v>1000</v>
      </c>
      <c r="CX36" t="s">
        <v>81</v>
      </c>
      <c r="CY36">
        <v>4.96277E-3</v>
      </c>
      <c r="CZ36" t="s">
        <v>74</v>
      </c>
      <c r="DA36">
        <v>4.9627699999999999</v>
      </c>
      <c r="DB36" t="s">
        <v>75</v>
      </c>
      <c r="DC36">
        <v>4962.7669999999998</v>
      </c>
      <c r="DD36" t="s">
        <v>76</v>
      </c>
      <c r="DE36" t="s">
        <v>82</v>
      </c>
      <c r="DF36">
        <v>201.50048849999999</v>
      </c>
      <c r="DJ36" t="s">
        <v>83</v>
      </c>
      <c r="DK36">
        <v>1000</v>
      </c>
      <c r="DL36" t="s">
        <v>81</v>
      </c>
      <c r="DM36">
        <v>8.9379200000000002E-3</v>
      </c>
      <c r="DN36" t="s">
        <v>74</v>
      </c>
      <c r="DO36">
        <v>8.9379200000000001</v>
      </c>
      <c r="DP36" t="s">
        <v>75</v>
      </c>
      <c r="DQ36">
        <v>8937.9189999999999</v>
      </c>
      <c r="DR36" t="s">
        <v>76</v>
      </c>
      <c r="DS36" t="s">
        <v>82</v>
      </c>
      <c r="DT36">
        <v>111.8828709</v>
      </c>
    </row>
    <row r="37" spans="1:124" x14ac:dyDescent="0.3">
      <c r="B37" t="s">
        <v>85</v>
      </c>
      <c r="C37">
        <v>1001</v>
      </c>
      <c r="D37" t="s">
        <v>86</v>
      </c>
      <c r="E37">
        <v>8.9149599999999996E-3</v>
      </c>
      <c r="F37" t="s">
        <v>74</v>
      </c>
      <c r="G37">
        <v>8.9149600000000007</v>
      </c>
      <c r="H37" t="s">
        <v>75</v>
      </c>
      <c r="I37">
        <v>8914.9619999999995</v>
      </c>
      <c r="J37" t="s">
        <v>76</v>
      </c>
      <c r="K37" t="s">
        <v>82</v>
      </c>
      <c r="L37">
        <v>112.1709798</v>
      </c>
      <c r="P37" t="s">
        <v>85</v>
      </c>
      <c r="Q37">
        <v>1001</v>
      </c>
      <c r="R37" t="s">
        <v>86</v>
      </c>
      <c r="S37">
        <v>4.98206E-3</v>
      </c>
      <c r="T37" t="s">
        <v>74</v>
      </c>
      <c r="U37">
        <v>4.9820599999999997</v>
      </c>
      <c r="V37" t="s">
        <v>75</v>
      </c>
      <c r="W37">
        <v>4982.058</v>
      </c>
      <c r="X37" t="s">
        <v>76</v>
      </c>
      <c r="Y37" t="s">
        <v>82</v>
      </c>
      <c r="Z37">
        <v>200.7202652</v>
      </c>
      <c r="AD37" t="s">
        <v>85</v>
      </c>
      <c r="AE37">
        <v>1001</v>
      </c>
      <c r="AF37" t="s">
        <v>86</v>
      </c>
      <c r="AG37">
        <v>8.8823400000000007E-3</v>
      </c>
      <c r="AH37" t="s">
        <v>74</v>
      </c>
      <c r="AI37">
        <v>8.8823399999999992</v>
      </c>
      <c r="AJ37" t="s">
        <v>75</v>
      </c>
      <c r="AK37">
        <v>8882.3410000000003</v>
      </c>
      <c r="AL37" t="s">
        <v>76</v>
      </c>
      <c r="AM37" t="s">
        <v>82</v>
      </c>
      <c r="AN37">
        <v>112.5829377</v>
      </c>
      <c r="AR37" t="s">
        <v>85</v>
      </c>
      <c r="AS37">
        <v>1001</v>
      </c>
      <c r="AT37" t="s">
        <v>86</v>
      </c>
      <c r="AU37">
        <v>8.88772E-3</v>
      </c>
      <c r="AV37" t="s">
        <v>74</v>
      </c>
      <c r="AW37">
        <v>8.8877199999999998</v>
      </c>
      <c r="AX37" t="s">
        <v>75</v>
      </c>
      <c r="AY37">
        <v>8887.7180000000008</v>
      </c>
      <c r="AZ37" t="s">
        <v>76</v>
      </c>
      <c r="BA37" t="s">
        <v>82</v>
      </c>
      <c r="BB37">
        <v>112.5148239</v>
      </c>
      <c r="BF37" t="s">
        <v>85</v>
      </c>
      <c r="BG37">
        <v>1001</v>
      </c>
      <c r="BH37" t="s">
        <v>86</v>
      </c>
      <c r="BI37">
        <v>4.9971499999999997E-3</v>
      </c>
      <c r="BJ37" t="s">
        <v>74</v>
      </c>
      <c r="BK37">
        <v>4.9971500000000004</v>
      </c>
      <c r="BL37" t="s">
        <v>75</v>
      </c>
      <c r="BM37">
        <v>4997.1540000000005</v>
      </c>
      <c r="BN37" t="s">
        <v>76</v>
      </c>
      <c r="BO37" t="s">
        <v>82</v>
      </c>
      <c r="BP37">
        <v>200.1139105</v>
      </c>
      <c r="BT37" t="s">
        <v>85</v>
      </c>
      <c r="BU37">
        <v>1001</v>
      </c>
      <c r="BV37" t="s">
        <v>86</v>
      </c>
      <c r="BW37">
        <v>8.9043899999999999E-3</v>
      </c>
      <c r="BX37" t="s">
        <v>74</v>
      </c>
      <c r="BY37">
        <v>8.9043899999999994</v>
      </c>
      <c r="BZ37" t="s">
        <v>75</v>
      </c>
      <c r="CA37">
        <v>8904.3880000000008</v>
      </c>
      <c r="CB37" t="s">
        <v>76</v>
      </c>
      <c r="CC37" t="s">
        <v>82</v>
      </c>
      <c r="CD37">
        <v>112.3041746</v>
      </c>
      <c r="CH37" t="s">
        <v>85</v>
      </c>
      <c r="CI37">
        <v>1001</v>
      </c>
      <c r="CJ37" t="s">
        <v>86</v>
      </c>
      <c r="CK37">
        <v>8.8855800000000006E-3</v>
      </c>
      <c r="CL37" t="s">
        <v>74</v>
      </c>
      <c r="CM37">
        <v>8.8855799999999991</v>
      </c>
      <c r="CN37" t="s">
        <v>75</v>
      </c>
      <c r="CO37">
        <v>8885.5759999999991</v>
      </c>
      <c r="CP37" t="s">
        <v>76</v>
      </c>
      <c r="CQ37" t="s">
        <v>82</v>
      </c>
      <c r="CR37">
        <v>112.5419437</v>
      </c>
      <c r="CV37" t="s">
        <v>85</v>
      </c>
      <c r="CW37">
        <v>1001</v>
      </c>
      <c r="CX37" t="s">
        <v>86</v>
      </c>
      <c r="CY37">
        <v>4.9712100000000002E-3</v>
      </c>
      <c r="CZ37" t="s">
        <v>74</v>
      </c>
      <c r="DA37">
        <v>4.9712100000000001</v>
      </c>
      <c r="DB37" t="s">
        <v>75</v>
      </c>
      <c r="DC37">
        <v>4971.2120000000004</v>
      </c>
      <c r="DD37" t="s">
        <v>76</v>
      </c>
      <c r="DE37" t="s">
        <v>82</v>
      </c>
      <c r="DF37">
        <v>201.1581802</v>
      </c>
      <c r="DJ37" t="s">
        <v>85</v>
      </c>
      <c r="DK37">
        <v>1001</v>
      </c>
      <c r="DL37" t="s">
        <v>86</v>
      </c>
      <c r="DM37">
        <v>8.9422600000000005E-3</v>
      </c>
      <c r="DN37" t="s">
        <v>74</v>
      </c>
      <c r="DO37">
        <v>8.9422599999999992</v>
      </c>
      <c r="DP37" t="s">
        <v>75</v>
      </c>
      <c r="DQ37">
        <v>8942.2549999999992</v>
      </c>
      <c r="DR37" t="s">
        <v>76</v>
      </c>
      <c r="DS37" t="s">
        <v>82</v>
      </c>
      <c r="DT37">
        <v>111.82861130000001</v>
      </c>
    </row>
    <row r="39" spans="1:124" x14ac:dyDescent="0.3">
      <c r="A39">
        <v>4</v>
      </c>
      <c r="B39" t="s">
        <v>112</v>
      </c>
      <c r="O39">
        <v>4</v>
      </c>
      <c r="P39" t="s">
        <v>112</v>
      </c>
      <c r="AC39">
        <v>4</v>
      </c>
      <c r="AD39" t="s">
        <v>112</v>
      </c>
      <c r="AQ39">
        <v>4</v>
      </c>
      <c r="AR39" t="s">
        <v>112</v>
      </c>
      <c r="BE39">
        <v>4</v>
      </c>
      <c r="BF39" t="s">
        <v>112</v>
      </c>
      <c r="BS39">
        <v>4</v>
      </c>
      <c r="BT39" t="s">
        <v>112</v>
      </c>
      <c r="CG39">
        <v>4</v>
      </c>
      <c r="CH39" t="s">
        <v>112</v>
      </c>
      <c r="CU39">
        <v>4</v>
      </c>
      <c r="CV39" t="s">
        <v>112</v>
      </c>
      <c r="DI39">
        <v>4</v>
      </c>
      <c r="DJ39" t="s">
        <v>112</v>
      </c>
    </row>
    <row r="40" spans="1:124" x14ac:dyDescent="0.3">
      <c r="B40" t="s">
        <v>72</v>
      </c>
      <c r="C40">
        <v>1</v>
      </c>
      <c r="D40" t="s">
        <v>81</v>
      </c>
      <c r="E40">
        <v>1.38006E-2</v>
      </c>
      <c r="F40" t="s">
        <v>74</v>
      </c>
      <c r="G40">
        <v>13.800599999999999</v>
      </c>
      <c r="H40" t="s">
        <v>75</v>
      </c>
      <c r="I40">
        <v>13800.6</v>
      </c>
      <c r="J40" t="s">
        <v>76</v>
      </c>
      <c r="K40" t="s">
        <v>82</v>
      </c>
      <c r="L40">
        <v>72.460619699999995</v>
      </c>
      <c r="P40" t="s">
        <v>72</v>
      </c>
      <c r="Q40">
        <v>1</v>
      </c>
      <c r="R40" t="s">
        <v>81</v>
      </c>
      <c r="S40">
        <v>1.36317E-2</v>
      </c>
      <c r="T40" t="s">
        <v>74</v>
      </c>
      <c r="U40">
        <v>13.6317</v>
      </c>
      <c r="V40" t="s">
        <v>75</v>
      </c>
      <c r="W40">
        <v>13631.7</v>
      </c>
      <c r="X40" t="s">
        <v>76</v>
      </c>
      <c r="Y40" t="s">
        <v>82</v>
      </c>
      <c r="Z40">
        <v>73.358423999999999</v>
      </c>
      <c r="AD40" t="s">
        <v>72</v>
      </c>
      <c r="AE40">
        <v>1</v>
      </c>
      <c r="AF40" t="s">
        <v>81</v>
      </c>
      <c r="AG40">
        <v>1.37275E-2</v>
      </c>
      <c r="AH40" t="s">
        <v>74</v>
      </c>
      <c r="AI40">
        <v>13.727499999999999</v>
      </c>
      <c r="AJ40" t="s">
        <v>75</v>
      </c>
      <c r="AK40">
        <v>13727.5</v>
      </c>
      <c r="AL40" t="s">
        <v>76</v>
      </c>
      <c r="AM40" t="s">
        <v>82</v>
      </c>
      <c r="AN40">
        <v>72.846475499999997</v>
      </c>
      <c r="AR40" t="s">
        <v>72</v>
      </c>
      <c r="AS40">
        <v>1</v>
      </c>
      <c r="AT40" t="s">
        <v>81</v>
      </c>
      <c r="AU40">
        <v>1.3761199999999999E-2</v>
      </c>
      <c r="AV40" t="s">
        <v>74</v>
      </c>
      <c r="AW40">
        <v>13.761200000000001</v>
      </c>
      <c r="AX40" t="s">
        <v>75</v>
      </c>
      <c r="AY40">
        <v>13761.2</v>
      </c>
      <c r="AZ40" t="s">
        <v>76</v>
      </c>
      <c r="BA40" t="s">
        <v>82</v>
      </c>
      <c r="BB40">
        <v>72.668081200000003</v>
      </c>
      <c r="BF40" t="s">
        <v>72</v>
      </c>
      <c r="BG40">
        <v>1</v>
      </c>
      <c r="BH40" t="s">
        <v>81</v>
      </c>
      <c r="BI40">
        <v>1.37211E-2</v>
      </c>
      <c r="BJ40" t="s">
        <v>74</v>
      </c>
      <c r="BK40">
        <v>13.7211</v>
      </c>
      <c r="BL40" t="s">
        <v>75</v>
      </c>
      <c r="BM40">
        <v>13721.1</v>
      </c>
      <c r="BN40" t="s">
        <v>76</v>
      </c>
      <c r="BO40" t="s">
        <v>82</v>
      </c>
      <c r="BP40">
        <v>72.880453900000006</v>
      </c>
      <c r="BT40" t="s">
        <v>72</v>
      </c>
      <c r="BU40">
        <v>1</v>
      </c>
      <c r="BV40" t="s">
        <v>81</v>
      </c>
      <c r="BW40">
        <v>1.36711E-2</v>
      </c>
      <c r="BX40" t="s">
        <v>74</v>
      </c>
      <c r="BY40">
        <v>13.671099999999999</v>
      </c>
      <c r="BZ40" t="s">
        <v>75</v>
      </c>
      <c r="CA40">
        <v>13671.1</v>
      </c>
      <c r="CB40" t="s">
        <v>76</v>
      </c>
      <c r="CC40" t="s">
        <v>82</v>
      </c>
      <c r="CD40">
        <v>73.147002799999996</v>
      </c>
      <c r="CH40" t="s">
        <v>72</v>
      </c>
      <c r="CI40">
        <v>1</v>
      </c>
      <c r="CJ40" t="s">
        <v>81</v>
      </c>
      <c r="CK40">
        <v>1.3510400000000001E-2</v>
      </c>
      <c r="CL40" t="s">
        <v>74</v>
      </c>
      <c r="CM40">
        <v>13.510400000000001</v>
      </c>
      <c r="CN40" t="s">
        <v>75</v>
      </c>
      <c r="CO40">
        <v>13510.4</v>
      </c>
      <c r="CP40" t="s">
        <v>76</v>
      </c>
      <c r="CQ40" t="s">
        <v>82</v>
      </c>
      <c r="CR40">
        <v>74.017051199999997</v>
      </c>
      <c r="CV40" t="s">
        <v>72</v>
      </c>
      <c r="CW40">
        <v>1</v>
      </c>
      <c r="CX40" t="s">
        <v>81</v>
      </c>
      <c r="CY40">
        <v>1.36128E-2</v>
      </c>
      <c r="CZ40" t="s">
        <v>74</v>
      </c>
      <c r="DA40">
        <v>13.6128</v>
      </c>
      <c r="DB40" t="s">
        <v>75</v>
      </c>
      <c r="DC40">
        <v>13612.8</v>
      </c>
      <c r="DD40" t="s">
        <v>76</v>
      </c>
      <c r="DE40" t="s">
        <v>82</v>
      </c>
      <c r="DF40">
        <v>73.460271199999994</v>
      </c>
      <c r="DJ40" t="s">
        <v>72</v>
      </c>
      <c r="DK40">
        <v>1</v>
      </c>
      <c r="DL40" t="s">
        <v>81</v>
      </c>
      <c r="DM40">
        <v>1.3711599999999999E-2</v>
      </c>
      <c r="DN40" t="s">
        <v>74</v>
      </c>
      <c r="DO40">
        <v>13.711600000000001</v>
      </c>
      <c r="DP40" t="s">
        <v>75</v>
      </c>
      <c r="DQ40">
        <v>13711.6</v>
      </c>
      <c r="DR40" t="s">
        <v>76</v>
      </c>
      <c r="DS40" t="s">
        <v>82</v>
      </c>
      <c r="DT40">
        <v>72.930950899999999</v>
      </c>
    </row>
    <row r="41" spans="1:124" x14ac:dyDescent="0.3">
      <c r="B41" t="s">
        <v>83</v>
      </c>
      <c r="C41">
        <v>1000</v>
      </c>
      <c r="D41" t="s">
        <v>81</v>
      </c>
      <c r="E41">
        <v>5.88494E-3</v>
      </c>
      <c r="F41" t="s">
        <v>74</v>
      </c>
      <c r="G41">
        <v>5.8849400000000003</v>
      </c>
      <c r="H41" t="s">
        <v>75</v>
      </c>
      <c r="I41">
        <v>5884.9440000000004</v>
      </c>
      <c r="J41" t="s">
        <v>76</v>
      </c>
      <c r="K41" t="s">
        <v>82</v>
      </c>
      <c r="L41">
        <v>169.92513869999999</v>
      </c>
      <c r="P41" t="s">
        <v>83</v>
      </c>
      <c r="Q41">
        <v>1000</v>
      </c>
      <c r="R41" t="s">
        <v>81</v>
      </c>
      <c r="S41">
        <v>2.81585E-3</v>
      </c>
      <c r="T41" t="s">
        <v>74</v>
      </c>
      <c r="U41">
        <v>2.8158500000000002</v>
      </c>
      <c r="V41" t="s">
        <v>75</v>
      </c>
      <c r="W41">
        <v>2815.8539999999998</v>
      </c>
      <c r="X41" t="s">
        <v>76</v>
      </c>
      <c r="Y41" t="s">
        <v>82</v>
      </c>
      <c r="Z41">
        <v>355.13203959999998</v>
      </c>
      <c r="AD41" t="s">
        <v>83</v>
      </c>
      <c r="AE41">
        <v>1000</v>
      </c>
      <c r="AF41" t="s">
        <v>81</v>
      </c>
      <c r="AG41">
        <v>5.9998300000000003E-3</v>
      </c>
      <c r="AH41" t="s">
        <v>74</v>
      </c>
      <c r="AI41">
        <v>5.9998300000000002</v>
      </c>
      <c r="AJ41" t="s">
        <v>75</v>
      </c>
      <c r="AK41">
        <v>5999.83</v>
      </c>
      <c r="AL41" t="s">
        <v>76</v>
      </c>
      <c r="AM41" t="s">
        <v>82</v>
      </c>
      <c r="AN41">
        <v>166.67139539999999</v>
      </c>
      <c r="AR41" t="s">
        <v>83</v>
      </c>
      <c r="AS41">
        <v>1000</v>
      </c>
      <c r="AT41" t="s">
        <v>81</v>
      </c>
      <c r="AU41">
        <v>5.9098500000000003E-3</v>
      </c>
      <c r="AV41" t="s">
        <v>74</v>
      </c>
      <c r="AW41">
        <v>5.9098499999999996</v>
      </c>
      <c r="AX41" t="s">
        <v>75</v>
      </c>
      <c r="AY41">
        <v>5909.8549999999996</v>
      </c>
      <c r="AZ41" t="s">
        <v>76</v>
      </c>
      <c r="BA41" t="s">
        <v>82</v>
      </c>
      <c r="BB41">
        <v>169.2088924</v>
      </c>
      <c r="BF41" t="s">
        <v>83</v>
      </c>
      <c r="BG41">
        <v>1000</v>
      </c>
      <c r="BH41" t="s">
        <v>81</v>
      </c>
      <c r="BI41">
        <v>2.8031900000000001E-3</v>
      </c>
      <c r="BJ41" t="s">
        <v>74</v>
      </c>
      <c r="BK41">
        <v>2.8031899999999998</v>
      </c>
      <c r="BL41" t="s">
        <v>75</v>
      </c>
      <c r="BM41">
        <v>2803.1860000000001</v>
      </c>
      <c r="BN41" t="s">
        <v>76</v>
      </c>
      <c r="BO41" t="s">
        <v>82</v>
      </c>
      <c r="BP41">
        <v>356.73691880000001</v>
      </c>
      <c r="BT41" t="s">
        <v>83</v>
      </c>
      <c r="BU41">
        <v>1000</v>
      </c>
      <c r="BV41" t="s">
        <v>81</v>
      </c>
      <c r="BW41">
        <v>5.9788300000000001E-3</v>
      </c>
      <c r="BX41" t="s">
        <v>74</v>
      </c>
      <c r="BY41">
        <v>5.9788300000000003</v>
      </c>
      <c r="BZ41" t="s">
        <v>75</v>
      </c>
      <c r="CA41">
        <v>5978.8310000000001</v>
      </c>
      <c r="CB41" t="s">
        <v>76</v>
      </c>
      <c r="CC41" t="s">
        <v>82</v>
      </c>
      <c r="CD41">
        <v>167.25678160000001</v>
      </c>
      <c r="CH41" t="s">
        <v>83</v>
      </c>
      <c r="CI41">
        <v>1000</v>
      </c>
      <c r="CJ41" t="s">
        <v>81</v>
      </c>
      <c r="CK41">
        <v>5.8521800000000002E-3</v>
      </c>
      <c r="CL41" t="s">
        <v>74</v>
      </c>
      <c r="CM41">
        <v>5.8521799999999997</v>
      </c>
      <c r="CN41" t="s">
        <v>75</v>
      </c>
      <c r="CO41">
        <v>5852.1809999999996</v>
      </c>
      <c r="CP41" t="s">
        <v>76</v>
      </c>
      <c r="CQ41" t="s">
        <v>82</v>
      </c>
      <c r="CR41">
        <v>170.876452</v>
      </c>
      <c r="CV41" t="s">
        <v>83</v>
      </c>
      <c r="CW41">
        <v>1000</v>
      </c>
      <c r="CX41" t="s">
        <v>81</v>
      </c>
      <c r="CY41">
        <v>2.8259399999999999E-3</v>
      </c>
      <c r="CZ41" t="s">
        <v>74</v>
      </c>
      <c r="DA41">
        <v>2.8259400000000001</v>
      </c>
      <c r="DB41" t="s">
        <v>75</v>
      </c>
      <c r="DC41">
        <v>2825.94</v>
      </c>
      <c r="DD41" t="s">
        <v>76</v>
      </c>
      <c r="DE41" t="s">
        <v>82</v>
      </c>
      <c r="DF41">
        <v>353.86450839999998</v>
      </c>
      <c r="DJ41" t="s">
        <v>83</v>
      </c>
      <c r="DK41">
        <v>1000</v>
      </c>
      <c r="DL41" t="s">
        <v>81</v>
      </c>
      <c r="DM41">
        <v>6.0162599999999998E-3</v>
      </c>
      <c r="DN41" t="s">
        <v>74</v>
      </c>
      <c r="DO41">
        <v>6.0162599999999999</v>
      </c>
      <c r="DP41" t="s">
        <v>75</v>
      </c>
      <c r="DQ41">
        <v>6016.2619999999997</v>
      </c>
      <c r="DR41" t="s">
        <v>76</v>
      </c>
      <c r="DS41" t="s">
        <v>82</v>
      </c>
      <c r="DT41">
        <v>166.21617710000001</v>
      </c>
    </row>
    <row r="42" spans="1:124" x14ac:dyDescent="0.3">
      <c r="B42" t="s">
        <v>85</v>
      </c>
      <c r="C42">
        <v>1001</v>
      </c>
      <c r="D42" t="s">
        <v>86</v>
      </c>
      <c r="E42">
        <v>5.8930500000000004E-3</v>
      </c>
      <c r="F42" t="s">
        <v>74</v>
      </c>
      <c r="G42">
        <v>5.8930499999999997</v>
      </c>
      <c r="H42" t="s">
        <v>75</v>
      </c>
      <c r="I42">
        <v>5893.0460000000003</v>
      </c>
      <c r="J42" t="s">
        <v>76</v>
      </c>
      <c r="K42" t="s">
        <v>82</v>
      </c>
      <c r="L42">
        <v>169.69154259999999</v>
      </c>
      <c r="P42" t="s">
        <v>85</v>
      </c>
      <c r="Q42">
        <v>1001</v>
      </c>
      <c r="R42" t="s">
        <v>86</v>
      </c>
      <c r="S42">
        <v>2.8268799999999999E-3</v>
      </c>
      <c r="T42" t="s">
        <v>74</v>
      </c>
      <c r="U42">
        <v>2.8268800000000001</v>
      </c>
      <c r="V42" t="s">
        <v>75</v>
      </c>
      <c r="W42">
        <v>2826.884</v>
      </c>
      <c r="X42" t="s">
        <v>76</v>
      </c>
      <c r="Y42" t="s">
        <v>82</v>
      </c>
      <c r="Z42">
        <v>353.74643650000002</v>
      </c>
      <c r="AD42" t="s">
        <v>85</v>
      </c>
      <c r="AE42">
        <v>1001</v>
      </c>
      <c r="AF42" t="s">
        <v>86</v>
      </c>
      <c r="AG42">
        <v>6.0077500000000001E-3</v>
      </c>
      <c r="AH42" t="s">
        <v>74</v>
      </c>
      <c r="AI42">
        <v>6.0077499999999997</v>
      </c>
      <c r="AJ42" t="s">
        <v>75</v>
      </c>
      <c r="AK42">
        <v>6007.7470000000003</v>
      </c>
      <c r="AL42" t="s">
        <v>76</v>
      </c>
      <c r="AM42" t="s">
        <v>82</v>
      </c>
      <c r="AN42">
        <v>166.45174700000001</v>
      </c>
      <c r="AR42" t="s">
        <v>85</v>
      </c>
      <c r="AS42">
        <v>1001</v>
      </c>
      <c r="AT42" t="s">
        <v>86</v>
      </c>
      <c r="AU42">
        <v>5.9178700000000004E-3</v>
      </c>
      <c r="AV42" t="s">
        <v>74</v>
      </c>
      <c r="AW42">
        <v>5.9178699999999997</v>
      </c>
      <c r="AX42" t="s">
        <v>75</v>
      </c>
      <c r="AY42">
        <v>5917.8729999999996</v>
      </c>
      <c r="AZ42" t="s">
        <v>76</v>
      </c>
      <c r="BA42" t="s">
        <v>82</v>
      </c>
      <c r="BB42">
        <v>168.9796436</v>
      </c>
      <c r="BF42" t="s">
        <v>85</v>
      </c>
      <c r="BG42">
        <v>1001</v>
      </c>
      <c r="BH42" t="s">
        <v>86</v>
      </c>
      <c r="BI42">
        <v>2.8143E-3</v>
      </c>
      <c r="BJ42" t="s">
        <v>74</v>
      </c>
      <c r="BK42">
        <v>2.8142999999999998</v>
      </c>
      <c r="BL42" t="s">
        <v>75</v>
      </c>
      <c r="BM42">
        <v>2814.299</v>
      </c>
      <c r="BN42" t="s">
        <v>76</v>
      </c>
      <c r="BO42" t="s">
        <v>82</v>
      </c>
      <c r="BP42">
        <v>355.32825910000003</v>
      </c>
      <c r="BT42" t="s">
        <v>85</v>
      </c>
      <c r="BU42">
        <v>1001</v>
      </c>
      <c r="BV42" t="s">
        <v>86</v>
      </c>
      <c r="BW42">
        <v>5.9867200000000001E-3</v>
      </c>
      <c r="BX42" t="s">
        <v>74</v>
      </c>
      <c r="BY42">
        <v>5.98672</v>
      </c>
      <c r="BZ42" t="s">
        <v>75</v>
      </c>
      <c r="CA42">
        <v>5986.723</v>
      </c>
      <c r="CB42" t="s">
        <v>76</v>
      </c>
      <c r="CC42" t="s">
        <v>82</v>
      </c>
      <c r="CD42">
        <v>167.0362925</v>
      </c>
      <c r="CH42" t="s">
        <v>85</v>
      </c>
      <c r="CI42">
        <v>1001</v>
      </c>
      <c r="CJ42" t="s">
        <v>86</v>
      </c>
      <c r="CK42">
        <v>5.8599999999999998E-3</v>
      </c>
      <c r="CL42" t="s">
        <v>74</v>
      </c>
      <c r="CM42">
        <v>5.86</v>
      </c>
      <c r="CN42" t="s">
        <v>75</v>
      </c>
      <c r="CO42">
        <v>5860.0039999999999</v>
      </c>
      <c r="CP42" t="s">
        <v>76</v>
      </c>
      <c r="CQ42" t="s">
        <v>82</v>
      </c>
      <c r="CR42">
        <v>170.64833970000001</v>
      </c>
      <c r="CV42" t="s">
        <v>85</v>
      </c>
      <c r="CW42">
        <v>1001</v>
      </c>
      <c r="CX42" t="s">
        <v>86</v>
      </c>
      <c r="CY42">
        <v>2.83695E-3</v>
      </c>
      <c r="CZ42" t="s">
        <v>74</v>
      </c>
      <c r="DA42">
        <v>2.8369499999999999</v>
      </c>
      <c r="DB42" t="s">
        <v>75</v>
      </c>
      <c r="DC42">
        <v>2836.9479999999999</v>
      </c>
      <c r="DD42" t="s">
        <v>76</v>
      </c>
      <c r="DE42" t="s">
        <v>82</v>
      </c>
      <c r="DF42">
        <v>352.49146150000001</v>
      </c>
      <c r="DJ42" t="s">
        <v>85</v>
      </c>
      <c r="DK42">
        <v>1001</v>
      </c>
      <c r="DL42" t="s">
        <v>86</v>
      </c>
      <c r="DM42">
        <v>6.0241599999999998E-3</v>
      </c>
      <c r="DN42" t="s">
        <v>74</v>
      </c>
      <c r="DO42">
        <v>6.0241600000000002</v>
      </c>
      <c r="DP42" t="s">
        <v>75</v>
      </c>
      <c r="DQ42">
        <v>6024.1580000000004</v>
      </c>
      <c r="DR42" t="s">
        <v>76</v>
      </c>
      <c r="DS42" t="s">
        <v>82</v>
      </c>
      <c r="DT42">
        <v>165.99830969999999</v>
      </c>
    </row>
    <row r="44" spans="1:124" x14ac:dyDescent="0.3">
      <c r="B44" t="s">
        <v>113</v>
      </c>
      <c r="P44" t="s">
        <v>113</v>
      </c>
      <c r="AD44" t="s">
        <v>113</v>
      </c>
      <c r="AR44" t="s">
        <v>113</v>
      </c>
      <c r="BF44" t="s">
        <v>113</v>
      </c>
      <c r="BT44" t="s">
        <v>113</v>
      </c>
      <c r="CH44" t="s">
        <v>113</v>
      </c>
      <c r="CV44" t="s">
        <v>113</v>
      </c>
      <c r="DJ44" t="s">
        <v>113</v>
      </c>
    </row>
    <row r="45" spans="1:124" x14ac:dyDescent="0.3">
      <c r="B45" t="s">
        <v>72</v>
      </c>
      <c r="C45">
        <v>1</v>
      </c>
      <c r="D45" t="s">
        <v>81</v>
      </c>
      <c r="E45">
        <v>7.0201999999999999E-3</v>
      </c>
      <c r="F45" t="s">
        <v>74</v>
      </c>
      <c r="G45">
        <v>7.0202</v>
      </c>
      <c r="H45" t="s">
        <v>75</v>
      </c>
      <c r="I45">
        <v>7020.2</v>
      </c>
      <c r="J45" t="s">
        <v>76</v>
      </c>
      <c r="K45" t="s">
        <v>82</v>
      </c>
      <c r="L45">
        <v>142.4460814</v>
      </c>
      <c r="P45" t="s">
        <v>72</v>
      </c>
      <c r="Q45">
        <v>1</v>
      </c>
      <c r="R45" t="s">
        <v>81</v>
      </c>
      <c r="S45">
        <v>7.0672E-3</v>
      </c>
      <c r="T45" t="s">
        <v>74</v>
      </c>
      <c r="U45">
        <v>7.0671999999999997</v>
      </c>
      <c r="V45" t="s">
        <v>75</v>
      </c>
      <c r="W45">
        <v>7067.2</v>
      </c>
      <c r="X45" t="s">
        <v>76</v>
      </c>
      <c r="Y45" t="s">
        <v>82</v>
      </c>
      <c r="Z45">
        <v>141.49875890000001</v>
      </c>
      <c r="AD45" t="s">
        <v>72</v>
      </c>
      <c r="AE45">
        <v>1</v>
      </c>
      <c r="AF45" t="s">
        <v>81</v>
      </c>
      <c r="AG45">
        <v>6.9806E-3</v>
      </c>
      <c r="AH45" t="s">
        <v>74</v>
      </c>
      <c r="AI45">
        <v>6.9805999999999999</v>
      </c>
      <c r="AJ45" t="s">
        <v>75</v>
      </c>
      <c r="AK45">
        <v>6980.6</v>
      </c>
      <c r="AL45" t="s">
        <v>76</v>
      </c>
      <c r="AM45" t="s">
        <v>82</v>
      </c>
      <c r="AN45">
        <v>143.25416490000001</v>
      </c>
      <c r="AR45" t="s">
        <v>72</v>
      </c>
      <c r="AS45">
        <v>1</v>
      </c>
      <c r="AT45" t="s">
        <v>81</v>
      </c>
      <c r="AU45">
        <v>6.9807000000000003E-3</v>
      </c>
      <c r="AV45" t="s">
        <v>74</v>
      </c>
      <c r="AW45">
        <v>6.9806999999999997</v>
      </c>
      <c r="AX45" t="s">
        <v>75</v>
      </c>
      <c r="AY45">
        <v>6980.7</v>
      </c>
      <c r="AZ45" t="s">
        <v>76</v>
      </c>
      <c r="BA45" t="s">
        <v>82</v>
      </c>
      <c r="BB45">
        <v>143.25211039999999</v>
      </c>
      <c r="BF45" t="s">
        <v>72</v>
      </c>
      <c r="BG45">
        <v>1</v>
      </c>
      <c r="BH45" t="s">
        <v>81</v>
      </c>
      <c r="BI45">
        <v>7.0378999999999997E-3</v>
      </c>
      <c r="BJ45" t="s">
        <v>74</v>
      </c>
      <c r="BK45">
        <v>7.0378999999999996</v>
      </c>
      <c r="BL45" t="s">
        <v>75</v>
      </c>
      <c r="BM45">
        <v>7037.9</v>
      </c>
      <c r="BN45" t="s">
        <v>76</v>
      </c>
      <c r="BO45" t="s">
        <v>82</v>
      </c>
      <c r="BP45">
        <v>142.08784030000001</v>
      </c>
      <c r="BT45" t="s">
        <v>72</v>
      </c>
      <c r="BU45">
        <v>1</v>
      </c>
      <c r="BV45" t="s">
        <v>81</v>
      </c>
      <c r="BW45">
        <v>7.0676999999999997E-3</v>
      </c>
      <c r="BX45" t="s">
        <v>74</v>
      </c>
      <c r="BY45">
        <v>7.0677000000000003</v>
      </c>
      <c r="BZ45" t="s">
        <v>75</v>
      </c>
      <c r="CA45">
        <v>7067.7</v>
      </c>
      <c r="CB45" t="s">
        <v>76</v>
      </c>
      <c r="CC45" t="s">
        <v>82</v>
      </c>
      <c r="CD45">
        <v>141.48874620000001</v>
      </c>
      <c r="CH45" t="s">
        <v>72</v>
      </c>
      <c r="CI45">
        <v>1</v>
      </c>
      <c r="CJ45" t="s">
        <v>81</v>
      </c>
      <c r="CK45">
        <v>6.9643999999999999E-3</v>
      </c>
      <c r="CL45" t="s">
        <v>74</v>
      </c>
      <c r="CM45">
        <v>6.9644000000000004</v>
      </c>
      <c r="CN45" t="s">
        <v>75</v>
      </c>
      <c r="CO45">
        <v>6964.4</v>
      </c>
      <c r="CP45" t="s">
        <v>76</v>
      </c>
      <c r="CQ45" t="s">
        <v>82</v>
      </c>
      <c r="CR45">
        <v>143.58738840000001</v>
      </c>
      <c r="CV45" t="s">
        <v>72</v>
      </c>
      <c r="CW45">
        <v>1</v>
      </c>
      <c r="CX45" t="s">
        <v>81</v>
      </c>
      <c r="CY45">
        <v>6.9546E-3</v>
      </c>
      <c r="CZ45" t="s">
        <v>74</v>
      </c>
      <c r="DA45">
        <v>6.9546000000000001</v>
      </c>
      <c r="DB45" t="s">
        <v>75</v>
      </c>
      <c r="DC45">
        <v>6954.6</v>
      </c>
      <c r="DD45" t="s">
        <v>76</v>
      </c>
      <c r="DE45" t="s">
        <v>82</v>
      </c>
      <c r="DF45">
        <v>143.7897198</v>
      </c>
      <c r="DJ45" t="s">
        <v>72</v>
      </c>
      <c r="DK45">
        <v>1</v>
      </c>
      <c r="DL45" t="s">
        <v>81</v>
      </c>
      <c r="DM45">
        <v>6.9680000000000002E-3</v>
      </c>
      <c r="DN45" t="s">
        <v>74</v>
      </c>
      <c r="DO45">
        <v>6.968</v>
      </c>
      <c r="DP45" t="s">
        <v>75</v>
      </c>
      <c r="DQ45">
        <v>6968</v>
      </c>
      <c r="DR45" t="s">
        <v>76</v>
      </c>
      <c r="DS45" t="s">
        <v>82</v>
      </c>
      <c r="DT45">
        <v>143.51320380000001</v>
      </c>
    </row>
    <row r="46" spans="1:124" x14ac:dyDescent="0.3">
      <c r="B46" t="s">
        <v>83</v>
      </c>
      <c r="C46">
        <v>1000</v>
      </c>
      <c r="D46" t="s">
        <v>81</v>
      </c>
      <c r="E46">
        <v>5.7545199999999999E-3</v>
      </c>
      <c r="F46" t="s">
        <v>74</v>
      </c>
      <c r="G46">
        <v>5.7545200000000003</v>
      </c>
      <c r="H46" t="s">
        <v>75</v>
      </c>
      <c r="I46">
        <v>5754.5159999999996</v>
      </c>
      <c r="J46" t="s">
        <v>76</v>
      </c>
      <c r="K46" t="s">
        <v>82</v>
      </c>
      <c r="L46">
        <v>173.77655709999999</v>
      </c>
      <c r="P46" t="s">
        <v>83</v>
      </c>
      <c r="Q46">
        <v>1000</v>
      </c>
      <c r="R46" t="s">
        <v>81</v>
      </c>
      <c r="S46">
        <v>2.72529E-3</v>
      </c>
      <c r="T46" t="s">
        <v>74</v>
      </c>
      <c r="U46">
        <v>2.7252900000000002</v>
      </c>
      <c r="V46" t="s">
        <v>75</v>
      </c>
      <c r="W46">
        <v>2725.29</v>
      </c>
      <c r="X46" t="s">
        <v>76</v>
      </c>
      <c r="Y46" t="s">
        <v>82</v>
      </c>
      <c r="Z46">
        <v>366.9334513</v>
      </c>
      <c r="AD46" t="s">
        <v>83</v>
      </c>
      <c r="AE46">
        <v>1000</v>
      </c>
      <c r="AF46" t="s">
        <v>81</v>
      </c>
      <c r="AG46">
        <v>5.9833899999999999E-3</v>
      </c>
      <c r="AH46" t="s">
        <v>74</v>
      </c>
      <c r="AI46">
        <v>5.98339</v>
      </c>
      <c r="AJ46" t="s">
        <v>75</v>
      </c>
      <c r="AK46">
        <v>5983.393</v>
      </c>
      <c r="AL46" t="s">
        <v>76</v>
      </c>
      <c r="AM46" t="s">
        <v>82</v>
      </c>
      <c r="AN46">
        <v>167.12924720000001</v>
      </c>
      <c r="AR46" t="s">
        <v>83</v>
      </c>
      <c r="AS46">
        <v>1000</v>
      </c>
      <c r="AT46" t="s">
        <v>81</v>
      </c>
      <c r="AU46">
        <v>5.8034100000000002E-3</v>
      </c>
      <c r="AV46" t="s">
        <v>74</v>
      </c>
      <c r="AW46">
        <v>5.8034100000000004</v>
      </c>
      <c r="AX46" t="s">
        <v>75</v>
      </c>
      <c r="AY46">
        <v>5803.4089999999997</v>
      </c>
      <c r="AZ46" t="s">
        <v>76</v>
      </c>
      <c r="BA46" t="s">
        <v>82</v>
      </c>
      <c r="BB46">
        <v>172.31252610000001</v>
      </c>
      <c r="BF46" t="s">
        <v>83</v>
      </c>
      <c r="BG46">
        <v>1000</v>
      </c>
      <c r="BH46" t="s">
        <v>81</v>
      </c>
      <c r="BI46">
        <v>2.7128299999999998E-3</v>
      </c>
      <c r="BJ46" t="s">
        <v>74</v>
      </c>
      <c r="BK46">
        <v>2.7128299999999999</v>
      </c>
      <c r="BL46" t="s">
        <v>75</v>
      </c>
      <c r="BM46">
        <v>2712.8310000000001</v>
      </c>
      <c r="BN46" t="s">
        <v>76</v>
      </c>
      <c r="BO46" t="s">
        <v>82</v>
      </c>
      <c r="BP46">
        <v>368.6186424</v>
      </c>
      <c r="BT46" t="s">
        <v>83</v>
      </c>
      <c r="BU46">
        <v>1000</v>
      </c>
      <c r="BV46" t="s">
        <v>81</v>
      </c>
      <c r="BW46">
        <v>5.8649899999999996E-3</v>
      </c>
      <c r="BX46" t="s">
        <v>74</v>
      </c>
      <c r="BY46">
        <v>5.8649899999999997</v>
      </c>
      <c r="BZ46" t="s">
        <v>75</v>
      </c>
      <c r="CA46">
        <v>5864.99</v>
      </c>
      <c r="CB46" t="s">
        <v>76</v>
      </c>
      <c r="CC46" t="s">
        <v>82</v>
      </c>
      <c r="CD46">
        <v>170.50328160000001</v>
      </c>
      <c r="CH46" t="s">
        <v>83</v>
      </c>
      <c r="CI46">
        <v>1000</v>
      </c>
      <c r="CJ46" t="s">
        <v>81</v>
      </c>
      <c r="CK46">
        <v>5.7852199999999998E-3</v>
      </c>
      <c r="CL46" t="s">
        <v>74</v>
      </c>
      <c r="CM46">
        <v>5.7852199999999998</v>
      </c>
      <c r="CN46" t="s">
        <v>75</v>
      </c>
      <c r="CO46">
        <v>5785.2240000000002</v>
      </c>
      <c r="CP46" t="s">
        <v>76</v>
      </c>
      <c r="CQ46" t="s">
        <v>82</v>
      </c>
      <c r="CR46">
        <v>172.85415510000001</v>
      </c>
      <c r="CV46" t="s">
        <v>83</v>
      </c>
      <c r="CW46">
        <v>1000</v>
      </c>
      <c r="CX46" t="s">
        <v>81</v>
      </c>
      <c r="CY46">
        <v>2.7448099999999999E-3</v>
      </c>
      <c r="CZ46" t="s">
        <v>74</v>
      </c>
      <c r="DA46">
        <v>2.7448100000000002</v>
      </c>
      <c r="DB46" t="s">
        <v>75</v>
      </c>
      <c r="DC46">
        <v>2744.8139999999999</v>
      </c>
      <c r="DD46" t="s">
        <v>76</v>
      </c>
      <c r="DE46" t="s">
        <v>82</v>
      </c>
      <c r="DF46">
        <v>364.32335879999999</v>
      </c>
      <c r="DJ46" t="s">
        <v>83</v>
      </c>
      <c r="DK46">
        <v>1000</v>
      </c>
      <c r="DL46" t="s">
        <v>81</v>
      </c>
      <c r="DM46">
        <v>5.9353499999999998E-3</v>
      </c>
      <c r="DN46" t="s">
        <v>74</v>
      </c>
      <c r="DO46">
        <v>5.9353499999999997</v>
      </c>
      <c r="DP46" t="s">
        <v>75</v>
      </c>
      <c r="DQ46">
        <v>5935.35</v>
      </c>
      <c r="DR46" t="s">
        <v>76</v>
      </c>
      <c r="DS46" t="s">
        <v>82</v>
      </c>
      <c r="DT46">
        <v>168.48206250000001</v>
      </c>
    </row>
    <row r="47" spans="1:124" x14ac:dyDescent="0.3">
      <c r="B47" t="s">
        <v>85</v>
      </c>
      <c r="C47">
        <v>1001</v>
      </c>
      <c r="D47" t="s">
        <v>86</v>
      </c>
      <c r="E47">
        <v>5.7559000000000004E-3</v>
      </c>
      <c r="F47" t="s">
        <v>74</v>
      </c>
      <c r="G47">
        <v>5.7558999999999996</v>
      </c>
      <c r="H47" t="s">
        <v>75</v>
      </c>
      <c r="I47">
        <v>5755.8959999999997</v>
      </c>
      <c r="J47" t="s">
        <v>76</v>
      </c>
      <c r="K47" t="s">
        <v>82</v>
      </c>
      <c r="L47">
        <v>173.73490870000001</v>
      </c>
      <c r="P47" t="s">
        <v>85</v>
      </c>
      <c r="Q47">
        <v>1001</v>
      </c>
      <c r="R47" t="s">
        <v>86</v>
      </c>
      <c r="S47">
        <v>2.72981E-3</v>
      </c>
      <c r="T47" t="s">
        <v>74</v>
      </c>
      <c r="U47">
        <v>2.7298100000000001</v>
      </c>
      <c r="V47" t="s">
        <v>75</v>
      </c>
      <c r="W47">
        <v>2729.8049999999998</v>
      </c>
      <c r="X47" t="s">
        <v>76</v>
      </c>
      <c r="Y47" t="s">
        <v>82</v>
      </c>
      <c r="Z47">
        <v>366.3265217</v>
      </c>
      <c r="AD47" t="s">
        <v>85</v>
      </c>
      <c r="AE47">
        <v>1001</v>
      </c>
      <c r="AF47" t="s">
        <v>86</v>
      </c>
      <c r="AG47">
        <v>5.9845899999999997E-3</v>
      </c>
      <c r="AH47" t="s">
        <v>74</v>
      </c>
      <c r="AI47">
        <v>5.9845899999999999</v>
      </c>
      <c r="AJ47" t="s">
        <v>75</v>
      </c>
      <c r="AK47">
        <v>5984.5860000000002</v>
      </c>
      <c r="AL47" t="s">
        <v>76</v>
      </c>
      <c r="AM47" t="s">
        <v>82</v>
      </c>
      <c r="AN47">
        <v>167.095924</v>
      </c>
      <c r="AR47" t="s">
        <v>85</v>
      </c>
      <c r="AS47">
        <v>1001</v>
      </c>
      <c r="AT47" t="s">
        <v>86</v>
      </c>
      <c r="AU47">
        <v>5.8047000000000003E-3</v>
      </c>
      <c r="AV47" t="s">
        <v>74</v>
      </c>
      <c r="AW47">
        <v>5.8047000000000004</v>
      </c>
      <c r="AX47" t="s">
        <v>75</v>
      </c>
      <c r="AY47">
        <v>5804.7049999999999</v>
      </c>
      <c r="AZ47" t="s">
        <v>76</v>
      </c>
      <c r="BA47" t="s">
        <v>82</v>
      </c>
      <c r="BB47">
        <v>172.27404390000001</v>
      </c>
      <c r="BF47" t="s">
        <v>85</v>
      </c>
      <c r="BG47">
        <v>1001</v>
      </c>
      <c r="BH47" t="s">
        <v>86</v>
      </c>
      <c r="BI47">
        <v>2.71733E-3</v>
      </c>
      <c r="BJ47" t="s">
        <v>74</v>
      </c>
      <c r="BK47">
        <v>2.71733</v>
      </c>
      <c r="BL47" t="s">
        <v>75</v>
      </c>
      <c r="BM47">
        <v>2717.3339999999998</v>
      </c>
      <c r="BN47" t="s">
        <v>76</v>
      </c>
      <c r="BO47" t="s">
        <v>82</v>
      </c>
      <c r="BP47">
        <v>368.00779890000001</v>
      </c>
      <c r="BT47" t="s">
        <v>85</v>
      </c>
      <c r="BU47">
        <v>1001</v>
      </c>
      <c r="BV47" t="s">
        <v>86</v>
      </c>
      <c r="BW47">
        <v>5.8663099999999996E-3</v>
      </c>
      <c r="BX47" t="s">
        <v>74</v>
      </c>
      <c r="BY47">
        <v>5.8663100000000004</v>
      </c>
      <c r="BZ47" t="s">
        <v>75</v>
      </c>
      <c r="CA47">
        <v>5866.3069999999998</v>
      </c>
      <c r="CB47" t="s">
        <v>76</v>
      </c>
      <c r="CC47" t="s">
        <v>82</v>
      </c>
      <c r="CD47">
        <v>170.46498220000001</v>
      </c>
      <c r="CH47" t="s">
        <v>85</v>
      </c>
      <c r="CI47">
        <v>1001</v>
      </c>
      <c r="CJ47" t="s">
        <v>86</v>
      </c>
      <c r="CK47">
        <v>5.7865299999999998E-3</v>
      </c>
      <c r="CL47" t="s">
        <v>74</v>
      </c>
      <c r="CM47">
        <v>5.78653</v>
      </c>
      <c r="CN47" t="s">
        <v>75</v>
      </c>
      <c r="CO47">
        <v>5786.527</v>
      </c>
      <c r="CP47" t="s">
        <v>76</v>
      </c>
      <c r="CQ47" t="s">
        <v>82</v>
      </c>
      <c r="CR47">
        <v>172.81522949999999</v>
      </c>
      <c r="CV47" t="s">
        <v>85</v>
      </c>
      <c r="CW47">
        <v>1001</v>
      </c>
      <c r="CX47" t="s">
        <v>86</v>
      </c>
      <c r="CY47">
        <v>2.7491999999999998E-3</v>
      </c>
      <c r="CZ47" t="s">
        <v>74</v>
      </c>
      <c r="DA47">
        <v>2.7492000000000001</v>
      </c>
      <c r="DB47" t="s">
        <v>75</v>
      </c>
      <c r="DC47">
        <v>2749.2020000000002</v>
      </c>
      <c r="DD47" t="s">
        <v>76</v>
      </c>
      <c r="DE47" t="s">
        <v>82</v>
      </c>
      <c r="DF47">
        <v>363.74191289999999</v>
      </c>
      <c r="DJ47" t="s">
        <v>85</v>
      </c>
      <c r="DK47">
        <v>1001</v>
      </c>
      <c r="DL47" t="s">
        <v>86</v>
      </c>
      <c r="DM47">
        <v>5.9365299999999998E-3</v>
      </c>
      <c r="DN47" t="s">
        <v>74</v>
      </c>
      <c r="DO47">
        <v>5.9365300000000003</v>
      </c>
      <c r="DP47" t="s">
        <v>75</v>
      </c>
      <c r="DQ47">
        <v>5936.5309999999999</v>
      </c>
      <c r="DR47" t="s">
        <v>76</v>
      </c>
      <c r="DS47" t="s">
        <v>82</v>
      </c>
      <c r="DT47">
        <v>168.44853889999999</v>
      </c>
    </row>
    <row r="49" spans="1:167" x14ac:dyDescent="0.3">
      <c r="A49">
        <v>5</v>
      </c>
      <c r="B49" t="s">
        <v>130</v>
      </c>
      <c r="O49">
        <v>5</v>
      </c>
      <c r="P49" t="s">
        <v>130</v>
      </c>
      <c r="AC49">
        <v>5</v>
      </c>
      <c r="AD49" t="s">
        <v>130</v>
      </c>
      <c r="AQ49">
        <v>5</v>
      </c>
      <c r="AR49" t="s">
        <v>273</v>
      </c>
      <c r="BE49">
        <v>5</v>
      </c>
      <c r="BF49" t="s">
        <v>273</v>
      </c>
      <c r="BS49">
        <v>5</v>
      </c>
      <c r="BT49" t="s">
        <v>273</v>
      </c>
      <c r="CG49">
        <v>5</v>
      </c>
      <c r="CH49" t="s">
        <v>389</v>
      </c>
      <c r="CU49">
        <v>5</v>
      </c>
      <c r="CV49" t="s">
        <v>389</v>
      </c>
      <c r="DI49">
        <v>5</v>
      </c>
      <c r="DJ49" t="s">
        <v>389</v>
      </c>
      <c r="DW49">
        <v>5</v>
      </c>
      <c r="DX49" t="s">
        <v>499</v>
      </c>
      <c r="EK49">
        <v>5</v>
      </c>
      <c r="EL49" t="s">
        <v>499</v>
      </c>
      <c r="EY49">
        <v>5</v>
      </c>
      <c r="EZ49" t="s">
        <v>499</v>
      </c>
    </row>
    <row r="50" spans="1:167" x14ac:dyDescent="0.3">
      <c r="B50" t="s">
        <v>72</v>
      </c>
      <c r="C50">
        <v>1</v>
      </c>
      <c r="D50" t="s">
        <v>81</v>
      </c>
      <c r="E50">
        <v>0.37241721</v>
      </c>
      <c r="F50" t="s">
        <v>74</v>
      </c>
      <c r="G50">
        <v>372.41721000000001</v>
      </c>
      <c r="H50" t="s">
        <v>75</v>
      </c>
      <c r="I50">
        <v>372417.212</v>
      </c>
      <c r="J50" t="s">
        <v>76</v>
      </c>
      <c r="K50" t="s">
        <v>82</v>
      </c>
      <c r="L50">
        <v>2.6851604999999998</v>
      </c>
      <c r="P50" t="s">
        <v>72</v>
      </c>
      <c r="Q50">
        <v>1</v>
      </c>
      <c r="R50" t="s">
        <v>81</v>
      </c>
      <c r="S50">
        <v>0.37572478999999998</v>
      </c>
      <c r="T50" t="s">
        <v>74</v>
      </c>
      <c r="U50">
        <v>375.72478999999998</v>
      </c>
      <c r="V50" t="s">
        <v>75</v>
      </c>
      <c r="W50">
        <v>375724.79200000002</v>
      </c>
      <c r="X50" t="s">
        <v>76</v>
      </c>
      <c r="Y50" t="s">
        <v>82</v>
      </c>
      <c r="Z50">
        <v>2.6615224999999998</v>
      </c>
      <c r="AD50" t="s">
        <v>72</v>
      </c>
      <c r="AE50">
        <v>1</v>
      </c>
      <c r="AF50" t="s">
        <v>81</v>
      </c>
      <c r="AG50">
        <v>0.36870249999999999</v>
      </c>
      <c r="AH50" t="s">
        <v>74</v>
      </c>
      <c r="AI50">
        <v>368.70249999999999</v>
      </c>
      <c r="AJ50" t="s">
        <v>75</v>
      </c>
      <c r="AK50">
        <v>368702.50099999999</v>
      </c>
      <c r="AL50" t="s">
        <v>76</v>
      </c>
      <c r="AM50" t="s">
        <v>82</v>
      </c>
      <c r="AN50">
        <v>2.7122137999999998</v>
      </c>
      <c r="AR50" t="s">
        <v>72</v>
      </c>
      <c r="AS50">
        <v>1</v>
      </c>
      <c r="AT50" t="s">
        <v>81</v>
      </c>
      <c r="AU50">
        <v>0.18960469999999999</v>
      </c>
      <c r="AV50" t="s">
        <v>74</v>
      </c>
      <c r="AW50">
        <v>189.60470000000001</v>
      </c>
      <c r="AX50" t="s">
        <v>75</v>
      </c>
      <c r="AY50">
        <v>189604.7</v>
      </c>
      <c r="AZ50" t="s">
        <v>76</v>
      </c>
      <c r="BA50" t="s">
        <v>82</v>
      </c>
      <c r="BB50">
        <v>5.2741309000000003</v>
      </c>
      <c r="BF50" t="s">
        <v>72</v>
      </c>
      <c r="BG50">
        <v>1</v>
      </c>
      <c r="BH50" t="s">
        <v>81</v>
      </c>
      <c r="BI50">
        <v>0.18911681</v>
      </c>
      <c r="BJ50" t="s">
        <v>74</v>
      </c>
      <c r="BK50">
        <v>189.11680999999999</v>
      </c>
      <c r="BL50" t="s">
        <v>75</v>
      </c>
      <c r="BM50">
        <v>189116.80600000001</v>
      </c>
      <c r="BN50" t="s">
        <v>76</v>
      </c>
      <c r="BO50" t="s">
        <v>82</v>
      </c>
      <c r="BP50">
        <v>5.2877374000000001</v>
      </c>
      <c r="BT50" t="s">
        <v>72</v>
      </c>
      <c r="BU50">
        <v>1</v>
      </c>
      <c r="BV50" t="s">
        <v>81</v>
      </c>
      <c r="BW50">
        <v>0.18807969999999999</v>
      </c>
      <c r="BX50" t="s">
        <v>74</v>
      </c>
      <c r="BY50">
        <v>188.0797</v>
      </c>
      <c r="BZ50" t="s">
        <v>75</v>
      </c>
      <c r="CA50">
        <v>188079.7</v>
      </c>
      <c r="CB50" t="s">
        <v>76</v>
      </c>
      <c r="CC50" t="s">
        <v>82</v>
      </c>
      <c r="CD50">
        <v>5.3168949000000003</v>
      </c>
      <c r="CH50" t="s">
        <v>72</v>
      </c>
      <c r="CI50">
        <v>1</v>
      </c>
      <c r="CJ50" t="s">
        <v>81</v>
      </c>
      <c r="CK50">
        <v>0.1967351</v>
      </c>
      <c r="CL50" t="s">
        <v>74</v>
      </c>
      <c r="CM50">
        <v>196.73509999999999</v>
      </c>
      <c r="CN50" t="s">
        <v>75</v>
      </c>
      <c r="CO50">
        <v>196735.09899999999</v>
      </c>
      <c r="CP50" t="s">
        <v>76</v>
      </c>
      <c r="CQ50" t="s">
        <v>82</v>
      </c>
      <c r="CR50">
        <v>5.0829770999999999</v>
      </c>
      <c r="CV50" t="s">
        <v>72</v>
      </c>
      <c r="CW50">
        <v>1</v>
      </c>
      <c r="CX50" t="s">
        <v>81</v>
      </c>
      <c r="CY50">
        <v>0.1939294</v>
      </c>
      <c r="CZ50" t="s">
        <v>74</v>
      </c>
      <c r="DA50">
        <v>193.92939999999999</v>
      </c>
      <c r="DB50" t="s">
        <v>75</v>
      </c>
      <c r="DC50">
        <v>193929.40400000001</v>
      </c>
      <c r="DD50" t="s">
        <v>76</v>
      </c>
      <c r="DE50" t="s">
        <v>82</v>
      </c>
      <c r="DF50">
        <v>5.1565155999999996</v>
      </c>
      <c r="DJ50" t="s">
        <v>72</v>
      </c>
      <c r="DK50">
        <v>1</v>
      </c>
      <c r="DL50" t="s">
        <v>81</v>
      </c>
      <c r="DM50">
        <v>0.19824338999999999</v>
      </c>
      <c r="DN50" t="s">
        <v>74</v>
      </c>
      <c r="DO50">
        <v>198.24339000000001</v>
      </c>
      <c r="DP50" t="s">
        <v>75</v>
      </c>
      <c r="DQ50">
        <v>198243.394</v>
      </c>
      <c r="DR50" t="s">
        <v>76</v>
      </c>
      <c r="DS50" t="s">
        <v>82</v>
      </c>
      <c r="DT50">
        <v>5.0443043000000003</v>
      </c>
      <c r="DX50" t="s">
        <v>496</v>
      </c>
      <c r="DY50" t="s">
        <v>72</v>
      </c>
      <c r="DZ50">
        <v>1</v>
      </c>
      <c r="EA50" t="s">
        <v>81</v>
      </c>
      <c r="EB50">
        <v>0.43410199999999999</v>
      </c>
      <c r="EC50" t="s">
        <v>74</v>
      </c>
      <c r="ED50">
        <v>434.10160999999999</v>
      </c>
      <c r="EE50" t="s">
        <v>75</v>
      </c>
      <c r="EF50">
        <v>434101.61099999998</v>
      </c>
      <c r="EG50" t="s">
        <v>76</v>
      </c>
      <c r="EH50" t="s">
        <v>82</v>
      </c>
      <c r="EI50">
        <v>2.3036080999999999</v>
      </c>
      <c r="EL50" t="s">
        <v>496</v>
      </c>
      <c r="EM50" t="s">
        <v>72</v>
      </c>
      <c r="EN50">
        <v>1</v>
      </c>
      <c r="EO50" t="s">
        <v>81</v>
      </c>
      <c r="EP50">
        <v>0.440579</v>
      </c>
      <c r="EQ50" t="s">
        <v>74</v>
      </c>
      <c r="ER50">
        <v>440.57941</v>
      </c>
      <c r="ES50" t="s">
        <v>75</v>
      </c>
      <c r="ET50">
        <v>440579.41399999999</v>
      </c>
      <c r="EU50" t="s">
        <v>76</v>
      </c>
      <c r="EV50" t="s">
        <v>82</v>
      </c>
      <c r="EW50">
        <v>2.2697384</v>
      </c>
      <c r="EZ50" t="s">
        <v>496</v>
      </c>
      <c r="FA50" t="s">
        <v>72</v>
      </c>
      <c r="FB50">
        <v>1</v>
      </c>
      <c r="FC50" t="s">
        <v>81</v>
      </c>
      <c r="FD50">
        <v>0.42472700000000002</v>
      </c>
      <c r="FE50" t="s">
        <v>74</v>
      </c>
      <c r="FF50">
        <v>424.72741000000002</v>
      </c>
      <c r="FG50" t="s">
        <v>75</v>
      </c>
      <c r="FH50">
        <v>424727.41</v>
      </c>
      <c r="FI50" t="s">
        <v>76</v>
      </c>
      <c r="FJ50" t="s">
        <v>82</v>
      </c>
      <c r="FK50">
        <v>2.3544513</v>
      </c>
    </row>
    <row r="51" spans="1:167" x14ac:dyDescent="0.3">
      <c r="B51" t="s">
        <v>83</v>
      </c>
      <c r="C51">
        <v>1000</v>
      </c>
      <c r="D51" t="s">
        <v>81</v>
      </c>
      <c r="E51">
        <v>4.3568499999999998E-3</v>
      </c>
      <c r="F51" t="s">
        <v>74</v>
      </c>
      <c r="G51">
        <v>4.3568499999999997</v>
      </c>
      <c r="H51" t="s">
        <v>75</v>
      </c>
      <c r="I51">
        <v>4356.848</v>
      </c>
      <c r="J51" t="s">
        <v>76</v>
      </c>
      <c r="K51" t="s">
        <v>82</v>
      </c>
      <c r="L51">
        <v>229.52371640000001</v>
      </c>
      <c r="P51" t="s">
        <v>83</v>
      </c>
      <c r="Q51">
        <v>1000</v>
      </c>
      <c r="R51" t="s">
        <v>81</v>
      </c>
      <c r="S51">
        <v>2.75588E-3</v>
      </c>
      <c r="T51" t="s">
        <v>74</v>
      </c>
      <c r="U51">
        <v>2.7558799999999999</v>
      </c>
      <c r="V51" t="s">
        <v>75</v>
      </c>
      <c r="W51">
        <v>2755.8780000000002</v>
      </c>
      <c r="X51" t="s">
        <v>76</v>
      </c>
      <c r="Y51" t="s">
        <v>82</v>
      </c>
      <c r="Z51">
        <v>362.86080040000002</v>
      </c>
      <c r="AD51" t="s">
        <v>83</v>
      </c>
      <c r="AE51">
        <v>1000</v>
      </c>
      <c r="AF51" t="s">
        <v>81</v>
      </c>
      <c r="AG51">
        <v>4.3683300000000001E-3</v>
      </c>
      <c r="AH51" t="s">
        <v>74</v>
      </c>
      <c r="AI51">
        <v>4.3683300000000003</v>
      </c>
      <c r="AJ51" t="s">
        <v>75</v>
      </c>
      <c r="AK51">
        <v>4368.3320000000003</v>
      </c>
      <c r="AL51" t="s">
        <v>76</v>
      </c>
      <c r="AM51" t="s">
        <v>82</v>
      </c>
      <c r="AN51">
        <v>228.9203091</v>
      </c>
      <c r="AR51" t="s">
        <v>83</v>
      </c>
      <c r="AS51">
        <v>1000</v>
      </c>
      <c r="AT51" t="s">
        <v>81</v>
      </c>
      <c r="AU51">
        <v>4.4829099999999997E-3</v>
      </c>
      <c r="AV51" t="s">
        <v>74</v>
      </c>
      <c r="AW51">
        <v>4.4829100000000004</v>
      </c>
      <c r="AX51" t="s">
        <v>75</v>
      </c>
      <c r="AY51">
        <v>4482.9089999999997</v>
      </c>
      <c r="AZ51" t="s">
        <v>76</v>
      </c>
      <c r="BA51" t="s">
        <v>82</v>
      </c>
      <c r="BB51">
        <v>223.0694536</v>
      </c>
      <c r="BF51" t="s">
        <v>83</v>
      </c>
      <c r="BG51">
        <v>1000</v>
      </c>
      <c r="BH51" t="s">
        <v>81</v>
      </c>
      <c r="BI51">
        <v>2.79343E-3</v>
      </c>
      <c r="BJ51" t="s">
        <v>74</v>
      </c>
      <c r="BK51">
        <v>2.7934299999999999</v>
      </c>
      <c r="BL51" t="s">
        <v>75</v>
      </c>
      <c r="BM51">
        <v>2793.4270000000001</v>
      </c>
      <c r="BN51" t="s">
        <v>76</v>
      </c>
      <c r="BO51" t="s">
        <v>82</v>
      </c>
      <c r="BP51">
        <v>357.9831934</v>
      </c>
      <c r="BT51" t="s">
        <v>83</v>
      </c>
      <c r="BU51">
        <v>1000</v>
      </c>
      <c r="BV51" t="s">
        <v>81</v>
      </c>
      <c r="BW51">
        <v>4.4113800000000003E-3</v>
      </c>
      <c r="BX51" t="s">
        <v>74</v>
      </c>
      <c r="BY51">
        <v>4.4113800000000003</v>
      </c>
      <c r="BZ51" t="s">
        <v>75</v>
      </c>
      <c r="CA51">
        <v>4411.3819999999996</v>
      </c>
      <c r="CB51" t="s">
        <v>76</v>
      </c>
      <c r="CC51" t="s">
        <v>82</v>
      </c>
      <c r="CD51">
        <v>226.6863208</v>
      </c>
      <c r="CH51" t="s">
        <v>83</v>
      </c>
      <c r="CI51">
        <v>1000</v>
      </c>
      <c r="CJ51" t="s">
        <v>81</v>
      </c>
      <c r="CK51">
        <v>4.5131399999999997E-3</v>
      </c>
      <c r="CL51" t="s">
        <v>74</v>
      </c>
      <c r="CM51">
        <v>4.5131399999999999</v>
      </c>
      <c r="CN51" t="s">
        <v>75</v>
      </c>
      <c r="CO51">
        <v>4513.1369999999997</v>
      </c>
      <c r="CP51" t="s">
        <v>76</v>
      </c>
      <c r="CQ51" t="s">
        <v>82</v>
      </c>
      <c r="CR51">
        <v>221.5753531</v>
      </c>
      <c r="CV51" t="s">
        <v>83</v>
      </c>
      <c r="CW51">
        <v>1000</v>
      </c>
      <c r="CX51" t="s">
        <v>81</v>
      </c>
      <c r="CY51">
        <v>2.7820000000000002E-3</v>
      </c>
      <c r="CZ51" t="s">
        <v>74</v>
      </c>
      <c r="DA51">
        <v>2.782</v>
      </c>
      <c r="DB51" t="s">
        <v>75</v>
      </c>
      <c r="DC51">
        <v>2782.0030000000002</v>
      </c>
      <c r="DD51" t="s">
        <v>76</v>
      </c>
      <c r="DE51" t="s">
        <v>82</v>
      </c>
      <c r="DF51">
        <v>359.45328319999999</v>
      </c>
      <c r="DJ51" t="s">
        <v>83</v>
      </c>
      <c r="DK51">
        <v>1000</v>
      </c>
      <c r="DL51" t="s">
        <v>81</v>
      </c>
      <c r="DM51">
        <v>4.4656499999999998E-3</v>
      </c>
      <c r="DN51" t="s">
        <v>74</v>
      </c>
      <c r="DO51">
        <v>4.4656500000000001</v>
      </c>
      <c r="DP51" t="s">
        <v>75</v>
      </c>
      <c r="DQ51">
        <v>4465.6540000000005</v>
      </c>
      <c r="DR51" t="s">
        <v>76</v>
      </c>
      <c r="DS51" t="s">
        <v>82</v>
      </c>
      <c r="DT51">
        <v>223.9313472</v>
      </c>
      <c r="DX51" t="s">
        <v>496</v>
      </c>
      <c r="DY51" t="s">
        <v>83</v>
      </c>
      <c r="DZ51">
        <v>579</v>
      </c>
      <c r="EA51" t="s">
        <v>81</v>
      </c>
      <c r="EB51">
        <v>6.4700000000000001E-3</v>
      </c>
      <c r="EC51" t="s">
        <v>74</v>
      </c>
      <c r="ED51">
        <v>6.4696999999999996</v>
      </c>
      <c r="EE51" t="s">
        <v>75</v>
      </c>
      <c r="EF51">
        <v>6469.701</v>
      </c>
      <c r="EG51" t="s">
        <v>76</v>
      </c>
      <c r="EH51" t="s">
        <v>82</v>
      </c>
      <c r="EI51">
        <v>154.5666477</v>
      </c>
      <c r="EL51" t="s">
        <v>496</v>
      </c>
      <c r="EM51" t="s">
        <v>83</v>
      </c>
      <c r="EN51">
        <v>457</v>
      </c>
      <c r="EO51" t="s">
        <v>81</v>
      </c>
      <c r="EP51">
        <v>4.8710000000000003E-3</v>
      </c>
      <c r="EQ51" t="s">
        <v>74</v>
      </c>
      <c r="ER51">
        <v>4.8709300000000004</v>
      </c>
      <c r="ES51" t="s">
        <v>75</v>
      </c>
      <c r="ET51">
        <v>4870.9319999999998</v>
      </c>
      <c r="EU51" t="s">
        <v>76</v>
      </c>
      <c r="EV51" t="s">
        <v>82</v>
      </c>
      <c r="EW51">
        <v>205.2995086</v>
      </c>
      <c r="EZ51" t="s">
        <v>496</v>
      </c>
      <c r="FA51" t="s">
        <v>83</v>
      </c>
      <c r="FB51">
        <v>529</v>
      </c>
      <c r="FC51" t="s">
        <v>81</v>
      </c>
      <c r="FD51">
        <v>7.0609999999999996E-3</v>
      </c>
      <c r="FE51" t="s">
        <v>74</v>
      </c>
      <c r="FF51">
        <v>7.0606900000000001</v>
      </c>
      <c r="FG51" t="s">
        <v>75</v>
      </c>
      <c r="FH51">
        <v>7060.6880000000001</v>
      </c>
      <c r="FI51" t="s">
        <v>76</v>
      </c>
      <c r="FJ51" t="s">
        <v>82</v>
      </c>
      <c r="FK51">
        <v>141.6292527</v>
      </c>
    </row>
    <row r="52" spans="1:167" x14ac:dyDescent="0.3">
      <c r="B52" t="s">
        <v>85</v>
      </c>
      <c r="C52">
        <v>1001</v>
      </c>
      <c r="D52" t="s">
        <v>86</v>
      </c>
      <c r="E52">
        <v>4.7247799999999996E-3</v>
      </c>
      <c r="F52" t="s">
        <v>74</v>
      </c>
      <c r="G52">
        <v>4.72478</v>
      </c>
      <c r="H52" t="s">
        <v>75</v>
      </c>
      <c r="I52">
        <v>4724.777</v>
      </c>
      <c r="J52" t="s">
        <v>76</v>
      </c>
      <c r="K52" t="s">
        <v>82</v>
      </c>
      <c r="L52">
        <v>211.650203</v>
      </c>
      <c r="P52" t="s">
        <v>85</v>
      </c>
      <c r="Q52">
        <v>1001</v>
      </c>
      <c r="R52" t="s">
        <v>86</v>
      </c>
      <c r="S52">
        <v>3.1286999999999999E-3</v>
      </c>
      <c r="T52" t="s">
        <v>74</v>
      </c>
      <c r="U52">
        <v>3.1286999999999998</v>
      </c>
      <c r="V52" t="s">
        <v>75</v>
      </c>
      <c r="W52">
        <v>3128.6979999999999</v>
      </c>
      <c r="X52" t="s">
        <v>76</v>
      </c>
      <c r="Y52" t="s">
        <v>82</v>
      </c>
      <c r="Z52">
        <v>319.62180269999999</v>
      </c>
      <c r="AD52" t="s">
        <v>85</v>
      </c>
      <c r="AE52">
        <v>1001</v>
      </c>
      <c r="AF52" t="s">
        <v>86</v>
      </c>
      <c r="AG52">
        <v>4.7325700000000002E-3</v>
      </c>
      <c r="AH52" t="s">
        <v>74</v>
      </c>
      <c r="AI52">
        <v>4.7325699999999999</v>
      </c>
      <c r="AJ52" t="s">
        <v>75</v>
      </c>
      <c r="AK52">
        <v>4732.5730000000003</v>
      </c>
      <c r="AL52" t="s">
        <v>76</v>
      </c>
      <c r="AM52" t="s">
        <v>82</v>
      </c>
      <c r="AN52">
        <v>211.30156600000001</v>
      </c>
      <c r="AR52" t="s">
        <v>85</v>
      </c>
      <c r="AS52">
        <v>1001</v>
      </c>
      <c r="AT52" t="s">
        <v>86</v>
      </c>
      <c r="AU52">
        <v>4.6681700000000001E-3</v>
      </c>
      <c r="AV52" t="s">
        <v>74</v>
      </c>
      <c r="AW52">
        <v>4.6681699999999999</v>
      </c>
      <c r="AX52" t="s">
        <v>75</v>
      </c>
      <c r="AY52">
        <v>4668.1710000000003</v>
      </c>
      <c r="AZ52" t="s">
        <v>76</v>
      </c>
      <c r="BA52" t="s">
        <v>82</v>
      </c>
      <c r="BB52">
        <v>214.21663839999999</v>
      </c>
      <c r="BF52" t="s">
        <v>85</v>
      </c>
      <c r="BG52">
        <v>1001</v>
      </c>
      <c r="BH52" t="s">
        <v>86</v>
      </c>
      <c r="BI52">
        <v>2.9797600000000001E-3</v>
      </c>
      <c r="BJ52" t="s">
        <v>74</v>
      </c>
      <c r="BK52">
        <v>2.9797600000000002</v>
      </c>
      <c r="BL52" t="s">
        <v>75</v>
      </c>
      <c r="BM52">
        <v>2979.759</v>
      </c>
      <c r="BN52" t="s">
        <v>76</v>
      </c>
      <c r="BO52" t="s">
        <v>82</v>
      </c>
      <c r="BP52">
        <v>335.59761329999998</v>
      </c>
      <c r="BT52" t="s">
        <v>85</v>
      </c>
      <c r="BU52">
        <v>1001</v>
      </c>
      <c r="BV52" t="s">
        <v>86</v>
      </c>
      <c r="BW52">
        <v>4.5952399999999996E-3</v>
      </c>
      <c r="BX52" t="s">
        <v>74</v>
      </c>
      <c r="BY52">
        <v>4.5952400000000004</v>
      </c>
      <c r="BZ52" t="s">
        <v>75</v>
      </c>
      <c r="CA52">
        <v>4595.2349999999997</v>
      </c>
      <c r="CB52" t="s">
        <v>76</v>
      </c>
      <c r="CC52" t="s">
        <v>82</v>
      </c>
      <c r="CD52">
        <v>217.6167083</v>
      </c>
      <c r="CH52" t="s">
        <v>85</v>
      </c>
      <c r="CI52">
        <v>1001</v>
      </c>
      <c r="CJ52" t="s">
        <v>86</v>
      </c>
      <c r="CK52">
        <v>4.7055400000000002E-3</v>
      </c>
      <c r="CL52" t="s">
        <v>74</v>
      </c>
      <c r="CM52">
        <v>4.7055400000000001</v>
      </c>
      <c r="CN52" t="s">
        <v>75</v>
      </c>
      <c r="CO52">
        <v>4705.54</v>
      </c>
      <c r="CP52" t="s">
        <v>76</v>
      </c>
      <c r="CQ52" t="s">
        <v>82</v>
      </c>
      <c r="CR52">
        <v>212.5154574</v>
      </c>
      <c r="CV52" t="s">
        <v>85</v>
      </c>
      <c r="CW52">
        <v>1001</v>
      </c>
      <c r="CX52" t="s">
        <v>86</v>
      </c>
      <c r="CY52">
        <v>2.9731699999999998E-3</v>
      </c>
      <c r="CZ52" t="s">
        <v>74</v>
      </c>
      <c r="DA52">
        <v>2.9731700000000001</v>
      </c>
      <c r="DB52" t="s">
        <v>75</v>
      </c>
      <c r="DC52">
        <v>2973.1689999999999</v>
      </c>
      <c r="DD52" t="s">
        <v>76</v>
      </c>
      <c r="DE52" t="s">
        <v>82</v>
      </c>
      <c r="DF52">
        <v>336.34143239999997</v>
      </c>
      <c r="DJ52" t="s">
        <v>85</v>
      </c>
      <c r="DK52">
        <v>1001</v>
      </c>
      <c r="DL52" t="s">
        <v>86</v>
      </c>
      <c r="DM52">
        <v>4.6595200000000003E-3</v>
      </c>
      <c r="DN52" t="s">
        <v>74</v>
      </c>
      <c r="DO52">
        <v>4.6595199999999997</v>
      </c>
      <c r="DP52" t="s">
        <v>75</v>
      </c>
      <c r="DQ52">
        <v>4659.5209999999997</v>
      </c>
      <c r="DR52" t="s">
        <v>76</v>
      </c>
      <c r="DS52" t="s">
        <v>82</v>
      </c>
      <c r="DT52">
        <v>214.61434600000001</v>
      </c>
      <c r="DX52" t="s">
        <v>496</v>
      </c>
      <c r="DY52" t="s">
        <v>84</v>
      </c>
      <c r="DZ52">
        <v>580</v>
      </c>
      <c r="EA52" t="s">
        <v>81</v>
      </c>
      <c r="EB52">
        <v>7.2069999999999999E-3</v>
      </c>
      <c r="EC52" t="s">
        <v>74</v>
      </c>
      <c r="ED52">
        <v>7.2069999999999999</v>
      </c>
      <c r="EE52" t="s">
        <v>75</v>
      </c>
      <c r="EF52">
        <v>7206.9989999999998</v>
      </c>
      <c r="EG52" t="s">
        <v>76</v>
      </c>
      <c r="EH52" t="s">
        <v>82</v>
      </c>
      <c r="EI52">
        <v>138.754008</v>
      </c>
      <c r="EL52" t="s">
        <v>496</v>
      </c>
      <c r="EM52" t="s">
        <v>84</v>
      </c>
      <c r="EN52">
        <v>458</v>
      </c>
      <c r="EO52" t="s">
        <v>81</v>
      </c>
      <c r="EP52">
        <v>5.8219999999999999E-3</v>
      </c>
      <c r="EQ52" t="s">
        <v>74</v>
      </c>
      <c r="ER52">
        <v>5.82226</v>
      </c>
      <c r="ES52" t="s">
        <v>75</v>
      </c>
      <c r="ET52">
        <v>5822.2619999999997</v>
      </c>
      <c r="EU52" t="s">
        <v>76</v>
      </c>
      <c r="EV52" t="s">
        <v>82</v>
      </c>
      <c r="EW52">
        <v>171.7545403</v>
      </c>
      <c r="EZ52" t="s">
        <v>496</v>
      </c>
      <c r="FA52" t="s">
        <v>84</v>
      </c>
      <c r="FB52">
        <v>530</v>
      </c>
      <c r="FC52" t="s">
        <v>81</v>
      </c>
      <c r="FD52">
        <v>7.8490000000000001E-3</v>
      </c>
      <c r="FE52" t="s">
        <v>74</v>
      </c>
      <c r="FF52">
        <v>7.8487400000000003</v>
      </c>
      <c r="FG52" t="s">
        <v>75</v>
      </c>
      <c r="FH52">
        <v>7848.741</v>
      </c>
      <c r="FI52" t="s">
        <v>76</v>
      </c>
      <c r="FJ52" t="s">
        <v>82</v>
      </c>
      <c r="FK52">
        <v>127.4089769</v>
      </c>
    </row>
    <row r="53" spans="1:167" x14ac:dyDescent="0.3">
      <c r="DX53" t="s">
        <v>497</v>
      </c>
      <c r="DY53" t="s">
        <v>72</v>
      </c>
      <c r="DZ53">
        <v>1</v>
      </c>
      <c r="EA53" t="s">
        <v>81</v>
      </c>
      <c r="EB53">
        <v>0.19781699999999999</v>
      </c>
      <c r="EC53" t="s">
        <v>74</v>
      </c>
      <c r="ED53">
        <v>197.81659999999999</v>
      </c>
      <c r="EE53" t="s">
        <v>75</v>
      </c>
      <c r="EF53">
        <v>197816.595</v>
      </c>
      <c r="EG53" t="s">
        <v>76</v>
      </c>
      <c r="EH53" t="s">
        <v>82</v>
      </c>
      <c r="EI53">
        <v>5.0551876</v>
      </c>
      <c r="EL53" t="s">
        <v>497</v>
      </c>
      <c r="EM53" t="s">
        <v>72</v>
      </c>
      <c r="EN53">
        <v>1</v>
      </c>
      <c r="EO53" t="s">
        <v>81</v>
      </c>
      <c r="EP53">
        <v>0.20105899999999999</v>
      </c>
      <c r="EQ53" t="s">
        <v>74</v>
      </c>
      <c r="ER53">
        <v>201.05921000000001</v>
      </c>
      <c r="ES53" t="s">
        <v>75</v>
      </c>
      <c r="ET53">
        <v>201059.20699999999</v>
      </c>
      <c r="EU53" t="s">
        <v>76</v>
      </c>
      <c r="EV53" t="s">
        <v>82</v>
      </c>
      <c r="EW53">
        <v>4.9736592999999996</v>
      </c>
      <c r="EZ53" t="s">
        <v>497</v>
      </c>
      <c r="FA53" t="s">
        <v>72</v>
      </c>
      <c r="FB53">
        <v>1</v>
      </c>
      <c r="FC53" t="s">
        <v>81</v>
      </c>
      <c r="FD53">
        <v>0.20517099999999999</v>
      </c>
      <c r="FE53" t="s">
        <v>74</v>
      </c>
      <c r="FF53">
        <v>205.17071000000001</v>
      </c>
      <c r="FG53" t="s">
        <v>75</v>
      </c>
      <c r="FH53">
        <v>205170.70600000001</v>
      </c>
      <c r="FI53" t="s">
        <v>76</v>
      </c>
      <c r="FJ53" t="s">
        <v>82</v>
      </c>
      <c r="FK53">
        <v>4.8739901999999997</v>
      </c>
    </row>
    <row r="54" spans="1:167" x14ac:dyDescent="0.3">
      <c r="A54">
        <v>6</v>
      </c>
      <c r="B54" t="s">
        <v>136</v>
      </c>
      <c r="O54">
        <v>6</v>
      </c>
      <c r="P54" t="s">
        <v>136</v>
      </c>
      <c r="AC54">
        <v>6</v>
      </c>
      <c r="AD54" t="s">
        <v>136</v>
      </c>
      <c r="AQ54">
        <v>6</v>
      </c>
      <c r="AR54" t="s">
        <v>277</v>
      </c>
      <c r="BE54">
        <v>6</v>
      </c>
      <c r="BF54" t="s">
        <v>277</v>
      </c>
      <c r="BS54">
        <v>6</v>
      </c>
      <c r="BT54" t="s">
        <v>277</v>
      </c>
      <c r="CG54">
        <v>6</v>
      </c>
      <c r="CH54" t="s">
        <v>393</v>
      </c>
      <c r="CU54">
        <v>6</v>
      </c>
      <c r="CV54" t="s">
        <v>393</v>
      </c>
      <c r="DI54">
        <v>6</v>
      </c>
      <c r="DJ54" t="s">
        <v>393</v>
      </c>
      <c r="DX54" t="s">
        <v>497</v>
      </c>
      <c r="DY54" t="s">
        <v>83</v>
      </c>
      <c r="DZ54">
        <v>420</v>
      </c>
      <c r="EA54" t="s">
        <v>81</v>
      </c>
      <c r="EB54">
        <v>9.4660000000000005E-3</v>
      </c>
      <c r="EC54" t="s">
        <v>74</v>
      </c>
      <c r="ED54">
        <v>9.4656699999999994</v>
      </c>
      <c r="EE54" t="s">
        <v>75</v>
      </c>
      <c r="EF54">
        <v>9465.6689999999999</v>
      </c>
      <c r="EG54" t="s">
        <v>76</v>
      </c>
      <c r="EH54" t="s">
        <v>82</v>
      </c>
      <c r="EI54">
        <v>105.64493779999999</v>
      </c>
      <c r="EL54" t="s">
        <v>497</v>
      </c>
      <c r="EM54" t="s">
        <v>83</v>
      </c>
      <c r="EN54">
        <v>542</v>
      </c>
      <c r="EO54" t="s">
        <v>81</v>
      </c>
      <c r="EP54">
        <v>4.529E-3</v>
      </c>
      <c r="EQ54" t="s">
        <v>74</v>
      </c>
      <c r="ER54">
        <v>4.5292700000000004</v>
      </c>
      <c r="ES54" t="s">
        <v>75</v>
      </c>
      <c r="ET54">
        <v>4529.2690000000002</v>
      </c>
      <c r="EU54" t="s">
        <v>76</v>
      </c>
      <c r="EV54" t="s">
        <v>82</v>
      </c>
      <c r="EW54">
        <v>220.7861594</v>
      </c>
      <c r="EZ54" t="s">
        <v>497</v>
      </c>
      <c r="FA54" t="s">
        <v>83</v>
      </c>
      <c r="FB54">
        <v>470</v>
      </c>
      <c r="FC54" t="s">
        <v>81</v>
      </c>
      <c r="FD54">
        <v>8.4139999999999996E-3</v>
      </c>
      <c r="FE54" t="s">
        <v>74</v>
      </c>
      <c r="FF54">
        <v>8.4143500000000007</v>
      </c>
      <c r="FG54" t="s">
        <v>75</v>
      </c>
      <c r="FH54">
        <v>8414.3529999999992</v>
      </c>
      <c r="FI54" t="s">
        <v>76</v>
      </c>
      <c r="FJ54" t="s">
        <v>82</v>
      </c>
      <c r="FK54">
        <v>118.8445547</v>
      </c>
    </row>
    <row r="55" spans="1:167" x14ac:dyDescent="0.3">
      <c r="B55" t="s">
        <v>72</v>
      </c>
      <c r="C55">
        <v>1</v>
      </c>
      <c r="D55" t="s">
        <v>81</v>
      </c>
      <c r="E55">
        <v>0.30805369999999999</v>
      </c>
      <c r="F55" t="s">
        <v>74</v>
      </c>
      <c r="G55">
        <v>308.05369999999999</v>
      </c>
      <c r="H55" t="s">
        <v>75</v>
      </c>
      <c r="I55">
        <v>308053.70199999999</v>
      </c>
      <c r="J55" t="s">
        <v>76</v>
      </c>
      <c r="K55" t="s">
        <v>82</v>
      </c>
      <c r="L55">
        <v>3.2461872000000001</v>
      </c>
      <c r="P55" t="s">
        <v>72</v>
      </c>
      <c r="Q55">
        <v>1</v>
      </c>
      <c r="R55" t="s">
        <v>81</v>
      </c>
      <c r="S55">
        <v>0.28850281</v>
      </c>
      <c r="T55" t="s">
        <v>74</v>
      </c>
      <c r="U55">
        <v>288.50281000000001</v>
      </c>
      <c r="V55" t="s">
        <v>75</v>
      </c>
      <c r="W55">
        <v>288502.81199999998</v>
      </c>
      <c r="X55" t="s">
        <v>76</v>
      </c>
      <c r="Y55" t="s">
        <v>82</v>
      </c>
      <c r="Z55">
        <v>3.4661707000000002</v>
      </c>
      <c r="AD55" t="s">
        <v>72</v>
      </c>
      <c r="AE55">
        <v>1</v>
      </c>
      <c r="AF55" t="s">
        <v>81</v>
      </c>
      <c r="AG55">
        <v>0.29709971000000002</v>
      </c>
      <c r="AH55" t="s">
        <v>74</v>
      </c>
      <c r="AI55">
        <v>297.09971000000002</v>
      </c>
      <c r="AJ55" t="s">
        <v>75</v>
      </c>
      <c r="AK55">
        <v>297099.71000000002</v>
      </c>
      <c r="AL55" t="s">
        <v>76</v>
      </c>
      <c r="AM55" t="s">
        <v>82</v>
      </c>
      <c r="AN55">
        <v>3.3658733999999999</v>
      </c>
      <c r="AR55" t="s">
        <v>72</v>
      </c>
      <c r="AS55">
        <v>1</v>
      </c>
      <c r="AT55" t="s">
        <v>81</v>
      </c>
      <c r="AU55">
        <v>0.1227071</v>
      </c>
      <c r="AV55" t="s">
        <v>74</v>
      </c>
      <c r="AW55">
        <v>122.7071</v>
      </c>
      <c r="AX55" t="s">
        <v>75</v>
      </c>
      <c r="AY55">
        <v>122707.099</v>
      </c>
      <c r="AZ55" t="s">
        <v>76</v>
      </c>
      <c r="BA55" t="s">
        <v>82</v>
      </c>
      <c r="BB55">
        <v>8.1494877999999993</v>
      </c>
      <c r="BF55" t="s">
        <v>72</v>
      </c>
      <c r="BG55">
        <v>1</v>
      </c>
      <c r="BH55" t="s">
        <v>81</v>
      </c>
      <c r="BI55">
        <v>0.1206704</v>
      </c>
      <c r="BJ55" t="s">
        <v>74</v>
      </c>
      <c r="BK55">
        <v>120.6704</v>
      </c>
      <c r="BL55" t="s">
        <v>75</v>
      </c>
      <c r="BM55">
        <v>120670.401</v>
      </c>
      <c r="BN55" t="s">
        <v>76</v>
      </c>
      <c r="BO55" t="s">
        <v>82</v>
      </c>
      <c r="BP55">
        <v>8.2870363999999999</v>
      </c>
      <c r="BT55" t="s">
        <v>72</v>
      </c>
      <c r="BU55">
        <v>1</v>
      </c>
      <c r="BV55" t="s">
        <v>81</v>
      </c>
      <c r="BW55">
        <v>0.12169530000000001</v>
      </c>
      <c r="BX55" t="s">
        <v>74</v>
      </c>
      <c r="BY55">
        <v>121.6953</v>
      </c>
      <c r="BZ55" t="s">
        <v>75</v>
      </c>
      <c r="CA55">
        <v>121695.302</v>
      </c>
      <c r="CB55" t="s">
        <v>76</v>
      </c>
      <c r="CC55" t="s">
        <v>82</v>
      </c>
      <c r="CD55">
        <v>8.2172441000000003</v>
      </c>
      <c r="CH55" t="s">
        <v>72</v>
      </c>
      <c r="CI55">
        <v>1</v>
      </c>
      <c r="CJ55" t="s">
        <v>81</v>
      </c>
      <c r="CK55">
        <v>0.12563178999999999</v>
      </c>
      <c r="CL55" t="s">
        <v>74</v>
      </c>
      <c r="CM55">
        <v>125.63179</v>
      </c>
      <c r="CN55" t="s">
        <v>75</v>
      </c>
      <c r="CO55">
        <v>125631.79399999999</v>
      </c>
      <c r="CP55" t="s">
        <v>76</v>
      </c>
      <c r="CQ55" t="s">
        <v>82</v>
      </c>
      <c r="CR55">
        <v>7.9597685</v>
      </c>
      <c r="CV55" t="s">
        <v>72</v>
      </c>
      <c r="CW55">
        <v>1</v>
      </c>
      <c r="CX55" t="s">
        <v>81</v>
      </c>
      <c r="CY55">
        <v>0.12541210999999999</v>
      </c>
      <c r="CZ55" t="s">
        <v>74</v>
      </c>
      <c r="DA55">
        <v>125.41211</v>
      </c>
      <c r="DB55" t="s">
        <v>75</v>
      </c>
      <c r="DC55">
        <v>125412.107</v>
      </c>
      <c r="DD55" t="s">
        <v>76</v>
      </c>
      <c r="DE55" t="s">
        <v>82</v>
      </c>
      <c r="DF55">
        <v>7.9737118999999996</v>
      </c>
      <c r="DJ55" t="s">
        <v>72</v>
      </c>
      <c r="DK55">
        <v>1</v>
      </c>
      <c r="DL55" t="s">
        <v>81</v>
      </c>
      <c r="DM55">
        <v>0.12498869999999999</v>
      </c>
      <c r="DN55" t="s">
        <v>74</v>
      </c>
      <c r="DO55">
        <v>124.98869999999999</v>
      </c>
      <c r="DP55" t="s">
        <v>75</v>
      </c>
      <c r="DQ55">
        <v>124988.697</v>
      </c>
      <c r="DR55" t="s">
        <v>76</v>
      </c>
      <c r="DS55" t="s">
        <v>82</v>
      </c>
      <c r="DT55">
        <v>8.0007234</v>
      </c>
      <c r="DX55" t="s">
        <v>497</v>
      </c>
      <c r="DY55" t="s">
        <v>84</v>
      </c>
      <c r="DZ55">
        <v>421</v>
      </c>
      <c r="EA55" t="s">
        <v>81</v>
      </c>
      <c r="EB55">
        <v>9.9129999999999999E-3</v>
      </c>
      <c r="EC55" t="s">
        <v>74</v>
      </c>
      <c r="ED55">
        <v>9.9130599999999998</v>
      </c>
      <c r="EE55" t="s">
        <v>75</v>
      </c>
      <c r="EF55">
        <v>9913.0580000000009</v>
      </c>
      <c r="EG55" t="s">
        <v>76</v>
      </c>
      <c r="EH55" t="s">
        <v>82</v>
      </c>
      <c r="EI55">
        <v>100.87704220000001</v>
      </c>
      <c r="EL55" t="s">
        <v>497</v>
      </c>
      <c r="EM55" t="s">
        <v>84</v>
      </c>
      <c r="EN55">
        <v>543</v>
      </c>
      <c r="EO55" t="s">
        <v>81</v>
      </c>
      <c r="EP55">
        <v>4.8910000000000004E-3</v>
      </c>
      <c r="EQ55" t="s">
        <v>74</v>
      </c>
      <c r="ER55">
        <v>4.8912000000000004</v>
      </c>
      <c r="ES55" t="s">
        <v>75</v>
      </c>
      <c r="ET55">
        <v>4891.201</v>
      </c>
      <c r="EU55" t="s">
        <v>76</v>
      </c>
      <c r="EV55" t="s">
        <v>82</v>
      </c>
      <c r="EW55">
        <v>204.44878019999999</v>
      </c>
      <c r="EZ55" t="s">
        <v>497</v>
      </c>
      <c r="FA55" t="s">
        <v>84</v>
      </c>
      <c r="FB55">
        <v>471</v>
      </c>
      <c r="FC55" t="s">
        <v>81</v>
      </c>
      <c r="FD55">
        <v>8.8319999999999996E-3</v>
      </c>
      <c r="FE55" t="s">
        <v>74</v>
      </c>
      <c r="FF55">
        <v>8.8321000000000005</v>
      </c>
      <c r="FG55" t="s">
        <v>75</v>
      </c>
      <c r="FH55">
        <v>8832.0949999999993</v>
      </c>
      <c r="FI55" t="s">
        <v>76</v>
      </c>
      <c r="FJ55" t="s">
        <v>82</v>
      </c>
      <c r="FK55">
        <v>113.2234162</v>
      </c>
    </row>
    <row r="56" spans="1:167" x14ac:dyDescent="0.3">
      <c r="B56" t="s">
        <v>83</v>
      </c>
      <c r="C56">
        <v>1000</v>
      </c>
      <c r="D56" t="s">
        <v>81</v>
      </c>
      <c r="E56">
        <v>3.2346200000000001E-3</v>
      </c>
      <c r="F56" t="s">
        <v>74</v>
      </c>
      <c r="G56">
        <v>3.2346200000000001</v>
      </c>
      <c r="H56" t="s">
        <v>75</v>
      </c>
      <c r="I56">
        <v>3234.6149999999998</v>
      </c>
      <c r="J56" t="s">
        <v>76</v>
      </c>
      <c r="K56" t="s">
        <v>82</v>
      </c>
      <c r="L56">
        <v>309.15577259999998</v>
      </c>
      <c r="P56" t="s">
        <v>83</v>
      </c>
      <c r="Q56">
        <v>1000</v>
      </c>
      <c r="R56" t="s">
        <v>81</v>
      </c>
      <c r="S56">
        <v>2.7693100000000001E-3</v>
      </c>
      <c r="T56" t="s">
        <v>74</v>
      </c>
      <c r="U56">
        <v>2.7693099999999999</v>
      </c>
      <c r="V56" t="s">
        <v>75</v>
      </c>
      <c r="W56">
        <v>2769.3049999999998</v>
      </c>
      <c r="X56" t="s">
        <v>76</v>
      </c>
      <c r="Y56" t="s">
        <v>82</v>
      </c>
      <c r="Z56">
        <v>361.1013706</v>
      </c>
      <c r="AD56" t="s">
        <v>83</v>
      </c>
      <c r="AE56">
        <v>1000</v>
      </c>
      <c r="AF56" t="s">
        <v>81</v>
      </c>
      <c r="AG56">
        <v>3.3379899999999999E-3</v>
      </c>
      <c r="AH56" t="s">
        <v>74</v>
      </c>
      <c r="AI56">
        <v>3.33799</v>
      </c>
      <c r="AJ56" t="s">
        <v>75</v>
      </c>
      <c r="AK56">
        <v>3337.9949999999999</v>
      </c>
      <c r="AL56" t="s">
        <v>76</v>
      </c>
      <c r="AM56" t="s">
        <v>82</v>
      </c>
      <c r="AN56">
        <v>299.58105260000002</v>
      </c>
      <c r="AR56" t="s">
        <v>83</v>
      </c>
      <c r="AS56">
        <v>1000</v>
      </c>
      <c r="AT56" t="s">
        <v>81</v>
      </c>
      <c r="AU56">
        <v>3.3508100000000001E-3</v>
      </c>
      <c r="AV56" t="s">
        <v>74</v>
      </c>
      <c r="AW56">
        <v>3.3508100000000001</v>
      </c>
      <c r="AX56" t="s">
        <v>75</v>
      </c>
      <c r="AY56">
        <v>3350.806</v>
      </c>
      <c r="AZ56" t="s">
        <v>76</v>
      </c>
      <c r="BA56" t="s">
        <v>82</v>
      </c>
      <c r="BB56">
        <v>298.43566010000001</v>
      </c>
      <c r="BF56" t="s">
        <v>83</v>
      </c>
      <c r="BG56">
        <v>1000</v>
      </c>
      <c r="BH56" t="s">
        <v>81</v>
      </c>
      <c r="BI56">
        <v>2.7913E-3</v>
      </c>
      <c r="BJ56" t="s">
        <v>74</v>
      </c>
      <c r="BK56">
        <v>2.7913000000000001</v>
      </c>
      <c r="BL56" t="s">
        <v>75</v>
      </c>
      <c r="BM56">
        <v>2791.2979999999998</v>
      </c>
      <c r="BN56" t="s">
        <v>76</v>
      </c>
      <c r="BO56" t="s">
        <v>82</v>
      </c>
      <c r="BP56">
        <v>358.25621649999999</v>
      </c>
      <c r="BT56" t="s">
        <v>83</v>
      </c>
      <c r="BU56">
        <v>1000</v>
      </c>
      <c r="BV56" t="s">
        <v>81</v>
      </c>
      <c r="BW56">
        <v>3.42216E-3</v>
      </c>
      <c r="BX56" t="s">
        <v>74</v>
      </c>
      <c r="BY56">
        <v>3.4221599999999999</v>
      </c>
      <c r="BZ56" t="s">
        <v>75</v>
      </c>
      <c r="CA56">
        <v>3422.16</v>
      </c>
      <c r="CB56" t="s">
        <v>76</v>
      </c>
      <c r="CC56" t="s">
        <v>82</v>
      </c>
      <c r="CD56">
        <v>292.21311279999998</v>
      </c>
      <c r="CH56" t="s">
        <v>83</v>
      </c>
      <c r="CI56">
        <v>1000</v>
      </c>
      <c r="CJ56" t="s">
        <v>81</v>
      </c>
      <c r="CK56">
        <v>3.3701500000000001E-3</v>
      </c>
      <c r="CL56" t="s">
        <v>74</v>
      </c>
      <c r="CM56">
        <v>3.3701500000000002</v>
      </c>
      <c r="CN56" t="s">
        <v>75</v>
      </c>
      <c r="CO56">
        <v>3370.15</v>
      </c>
      <c r="CP56" t="s">
        <v>76</v>
      </c>
      <c r="CQ56" t="s">
        <v>82</v>
      </c>
      <c r="CR56">
        <v>296.72273189999999</v>
      </c>
      <c r="CV56" t="s">
        <v>83</v>
      </c>
      <c r="CW56">
        <v>1000</v>
      </c>
      <c r="CX56" t="s">
        <v>81</v>
      </c>
      <c r="CY56">
        <v>2.7839800000000001E-3</v>
      </c>
      <c r="CZ56" t="s">
        <v>74</v>
      </c>
      <c r="DA56">
        <v>2.7839800000000001</v>
      </c>
      <c r="DB56" t="s">
        <v>75</v>
      </c>
      <c r="DC56">
        <v>2783.9830000000002</v>
      </c>
      <c r="DD56" t="s">
        <v>76</v>
      </c>
      <c r="DE56" t="s">
        <v>82</v>
      </c>
      <c r="DF56">
        <v>359.19762739999999</v>
      </c>
      <c r="DJ56" t="s">
        <v>83</v>
      </c>
      <c r="DK56">
        <v>1000</v>
      </c>
      <c r="DL56" t="s">
        <v>81</v>
      </c>
      <c r="DM56">
        <v>3.4475500000000002E-3</v>
      </c>
      <c r="DN56" t="s">
        <v>74</v>
      </c>
      <c r="DO56">
        <v>3.4475500000000001</v>
      </c>
      <c r="DP56" t="s">
        <v>75</v>
      </c>
      <c r="DQ56">
        <v>3447.5459999999998</v>
      </c>
      <c r="DR56" t="s">
        <v>76</v>
      </c>
      <c r="DS56" t="s">
        <v>82</v>
      </c>
      <c r="DT56">
        <v>290.06141400000001</v>
      </c>
      <c r="DX56" t="s">
        <v>498</v>
      </c>
      <c r="DY56" t="s">
        <v>72</v>
      </c>
      <c r="DZ56">
        <v>2</v>
      </c>
      <c r="EA56" t="s">
        <v>86</v>
      </c>
      <c r="EB56">
        <v>0.21707199999999999</v>
      </c>
      <c r="EC56" t="s">
        <v>74</v>
      </c>
      <c r="ED56">
        <v>217.07246000000001</v>
      </c>
      <c r="EE56" t="s">
        <v>75</v>
      </c>
      <c r="EF56">
        <v>217072.45699999999</v>
      </c>
      <c r="EG56" t="s">
        <v>76</v>
      </c>
      <c r="EH56" t="s">
        <v>82</v>
      </c>
      <c r="EI56">
        <v>4.6067567</v>
      </c>
      <c r="EL56" t="s">
        <v>498</v>
      </c>
      <c r="EM56" t="s">
        <v>72</v>
      </c>
      <c r="EN56">
        <v>2</v>
      </c>
      <c r="EO56" t="s">
        <v>86</v>
      </c>
      <c r="EP56">
        <v>0.22031300000000001</v>
      </c>
      <c r="EQ56" t="s">
        <v>74</v>
      </c>
      <c r="ER56">
        <v>220.31254999999999</v>
      </c>
      <c r="ES56" t="s">
        <v>75</v>
      </c>
      <c r="ET56">
        <v>220312.55100000001</v>
      </c>
      <c r="EU56" t="s">
        <v>76</v>
      </c>
      <c r="EV56" t="s">
        <v>82</v>
      </c>
      <c r="EW56">
        <v>4.5390059999999997</v>
      </c>
      <c r="EZ56" t="s">
        <v>498</v>
      </c>
      <c r="FA56" t="s">
        <v>72</v>
      </c>
      <c r="FB56">
        <v>2</v>
      </c>
      <c r="FC56" t="s">
        <v>86</v>
      </c>
      <c r="FD56">
        <v>0.212391</v>
      </c>
      <c r="FE56" t="s">
        <v>74</v>
      </c>
      <c r="FF56">
        <v>212.39089999999999</v>
      </c>
      <c r="FG56" t="s">
        <v>75</v>
      </c>
      <c r="FH56">
        <v>212390.9</v>
      </c>
      <c r="FI56" t="s">
        <v>76</v>
      </c>
      <c r="FJ56" t="s">
        <v>82</v>
      </c>
      <c r="FK56">
        <v>4.7082997000000004</v>
      </c>
    </row>
    <row r="57" spans="1:167" x14ac:dyDescent="0.3">
      <c r="B57" t="s">
        <v>85</v>
      </c>
      <c r="C57">
        <v>1001</v>
      </c>
      <c r="D57" t="s">
        <v>86</v>
      </c>
      <c r="E57">
        <v>3.5393400000000002E-3</v>
      </c>
      <c r="F57" t="s">
        <v>74</v>
      </c>
      <c r="G57">
        <v>3.5393400000000002</v>
      </c>
      <c r="H57" t="s">
        <v>75</v>
      </c>
      <c r="I57">
        <v>3539.3429999999998</v>
      </c>
      <c r="J57" t="s">
        <v>76</v>
      </c>
      <c r="K57" t="s">
        <v>82</v>
      </c>
      <c r="L57">
        <v>282.538343</v>
      </c>
      <c r="P57" t="s">
        <v>85</v>
      </c>
      <c r="Q57">
        <v>1001</v>
      </c>
      <c r="R57" t="s">
        <v>86</v>
      </c>
      <c r="S57">
        <v>3.0549800000000001E-3</v>
      </c>
      <c r="T57" t="s">
        <v>74</v>
      </c>
      <c r="U57">
        <v>3.05498</v>
      </c>
      <c r="V57" t="s">
        <v>75</v>
      </c>
      <c r="W57">
        <v>3054.9839999999999</v>
      </c>
      <c r="X57" t="s">
        <v>76</v>
      </c>
      <c r="Y57" t="s">
        <v>82</v>
      </c>
      <c r="Z57">
        <v>327.33393469999999</v>
      </c>
      <c r="AD57" t="s">
        <v>85</v>
      </c>
      <c r="AE57">
        <v>1001</v>
      </c>
      <c r="AF57" t="s">
        <v>86</v>
      </c>
      <c r="AG57">
        <v>3.6316899999999999E-3</v>
      </c>
      <c r="AH57" t="s">
        <v>74</v>
      </c>
      <c r="AI57">
        <v>3.6316899999999999</v>
      </c>
      <c r="AJ57" t="s">
        <v>75</v>
      </c>
      <c r="AK57">
        <v>3631.6930000000002</v>
      </c>
      <c r="AL57" t="s">
        <v>76</v>
      </c>
      <c r="AM57" t="s">
        <v>82</v>
      </c>
      <c r="AN57">
        <v>275.3536694</v>
      </c>
      <c r="AR57" t="s">
        <v>85</v>
      </c>
      <c r="AS57">
        <v>1001</v>
      </c>
      <c r="AT57" t="s">
        <v>86</v>
      </c>
      <c r="AU57">
        <v>3.4702499999999998E-3</v>
      </c>
      <c r="AV57" t="s">
        <v>74</v>
      </c>
      <c r="AW57">
        <v>3.4702500000000001</v>
      </c>
      <c r="AX57" t="s">
        <v>75</v>
      </c>
      <c r="AY57">
        <v>3470.2469999999998</v>
      </c>
      <c r="AZ57" t="s">
        <v>76</v>
      </c>
      <c r="BA57" t="s">
        <v>82</v>
      </c>
      <c r="BB57">
        <v>288.16392889999997</v>
      </c>
      <c r="BF57" t="s">
        <v>85</v>
      </c>
      <c r="BG57">
        <v>1001</v>
      </c>
      <c r="BH57" t="s">
        <v>86</v>
      </c>
      <c r="BI57">
        <v>2.90924E-3</v>
      </c>
      <c r="BJ57" t="s">
        <v>74</v>
      </c>
      <c r="BK57">
        <v>2.90924</v>
      </c>
      <c r="BL57" t="s">
        <v>75</v>
      </c>
      <c r="BM57">
        <v>2909.2429999999999</v>
      </c>
      <c r="BN57" t="s">
        <v>76</v>
      </c>
      <c r="BO57" t="s">
        <v>82</v>
      </c>
      <c r="BP57">
        <v>343.73202370000001</v>
      </c>
      <c r="BT57" t="s">
        <v>85</v>
      </c>
      <c r="BU57">
        <v>1001</v>
      </c>
      <c r="BV57" t="s">
        <v>86</v>
      </c>
      <c r="BW57">
        <v>3.54047E-3</v>
      </c>
      <c r="BX57" t="s">
        <v>74</v>
      </c>
      <c r="BY57">
        <v>3.54047</v>
      </c>
      <c r="BZ57" t="s">
        <v>75</v>
      </c>
      <c r="CA57">
        <v>3540.4740000000002</v>
      </c>
      <c r="CB57" t="s">
        <v>76</v>
      </c>
      <c r="CC57" t="s">
        <v>82</v>
      </c>
      <c r="CD57">
        <v>282.44809600000002</v>
      </c>
      <c r="CH57" t="s">
        <v>85</v>
      </c>
      <c r="CI57">
        <v>1001</v>
      </c>
      <c r="CJ57" t="s">
        <v>86</v>
      </c>
      <c r="CK57">
        <v>3.4924399999999999E-3</v>
      </c>
      <c r="CL57" t="s">
        <v>74</v>
      </c>
      <c r="CM57">
        <v>3.4924400000000002</v>
      </c>
      <c r="CN57" t="s">
        <v>75</v>
      </c>
      <c r="CO57">
        <v>3492.4380000000001</v>
      </c>
      <c r="CP57" t="s">
        <v>76</v>
      </c>
      <c r="CQ57" t="s">
        <v>82</v>
      </c>
      <c r="CR57">
        <v>286.33290929999998</v>
      </c>
      <c r="CV57" t="s">
        <v>85</v>
      </c>
      <c r="CW57">
        <v>1001</v>
      </c>
      <c r="CX57" t="s">
        <v>86</v>
      </c>
      <c r="CY57">
        <v>2.90668E-3</v>
      </c>
      <c r="CZ57" t="s">
        <v>74</v>
      </c>
      <c r="DA57">
        <v>2.9066800000000002</v>
      </c>
      <c r="DB57" t="s">
        <v>75</v>
      </c>
      <c r="DC57">
        <v>2906.6770000000001</v>
      </c>
      <c r="DD57" t="s">
        <v>76</v>
      </c>
      <c r="DE57" t="s">
        <v>82</v>
      </c>
      <c r="DF57">
        <v>344.03551520000002</v>
      </c>
      <c r="DJ57" t="s">
        <v>85</v>
      </c>
      <c r="DK57">
        <v>1001</v>
      </c>
      <c r="DL57" t="s">
        <v>86</v>
      </c>
      <c r="DM57">
        <v>3.5691299999999998E-3</v>
      </c>
      <c r="DN57" t="s">
        <v>74</v>
      </c>
      <c r="DO57">
        <v>3.5691299999999999</v>
      </c>
      <c r="DP57" t="s">
        <v>75</v>
      </c>
      <c r="DQ57">
        <v>3569.13</v>
      </c>
      <c r="DR57" t="s">
        <v>76</v>
      </c>
      <c r="DS57" t="s">
        <v>82</v>
      </c>
      <c r="DT57">
        <v>280.18031009999999</v>
      </c>
      <c r="DX57" t="s">
        <v>498</v>
      </c>
      <c r="DY57" t="s">
        <v>83</v>
      </c>
      <c r="DZ57">
        <v>999</v>
      </c>
      <c r="EA57" t="s">
        <v>86</v>
      </c>
      <c r="EB57">
        <v>3.9899999999999996E-3</v>
      </c>
      <c r="EC57" t="s">
        <v>74</v>
      </c>
      <c r="ED57">
        <v>3.99037</v>
      </c>
      <c r="EE57" t="s">
        <v>75</v>
      </c>
      <c r="EF57">
        <v>3990.3739999999998</v>
      </c>
      <c r="EG57" t="s">
        <v>76</v>
      </c>
      <c r="EH57" t="s">
        <v>82</v>
      </c>
      <c r="EI57">
        <v>250.6031031</v>
      </c>
      <c r="EL57" t="s">
        <v>498</v>
      </c>
      <c r="EM57" t="s">
        <v>83</v>
      </c>
      <c r="EN57">
        <v>999</v>
      </c>
      <c r="EO57" t="s">
        <v>86</v>
      </c>
      <c r="EP57">
        <v>2.477E-3</v>
      </c>
      <c r="EQ57" t="s">
        <v>74</v>
      </c>
      <c r="ER57">
        <v>2.4770300000000001</v>
      </c>
      <c r="ES57" t="s">
        <v>75</v>
      </c>
      <c r="ET57">
        <v>2477.027</v>
      </c>
      <c r="EU57" t="s">
        <v>76</v>
      </c>
      <c r="EV57" t="s">
        <v>82</v>
      </c>
      <c r="EW57">
        <v>403.70972510000001</v>
      </c>
      <c r="EZ57" t="s">
        <v>498</v>
      </c>
      <c r="FA57" t="s">
        <v>83</v>
      </c>
      <c r="FB57">
        <v>999</v>
      </c>
      <c r="FC57" t="s">
        <v>86</v>
      </c>
      <c r="FD57">
        <v>3.9690000000000003E-3</v>
      </c>
      <c r="FE57" t="s">
        <v>74</v>
      </c>
      <c r="FF57">
        <v>3.9693700000000001</v>
      </c>
      <c r="FG57" t="s">
        <v>75</v>
      </c>
      <c r="FH57">
        <v>3969.366</v>
      </c>
      <c r="FI57" t="s">
        <v>76</v>
      </c>
      <c r="FJ57" t="s">
        <v>82</v>
      </c>
      <c r="FK57">
        <v>251.92943109999999</v>
      </c>
    </row>
    <row r="58" spans="1:167" x14ac:dyDescent="0.3">
      <c r="DX58" t="s">
        <v>498</v>
      </c>
      <c r="DY58" t="s">
        <v>85</v>
      </c>
      <c r="DZ58">
        <v>1001</v>
      </c>
      <c r="EA58" t="s">
        <v>86</v>
      </c>
      <c r="EB58">
        <v>4.1850000000000004E-3</v>
      </c>
      <c r="EC58" t="s">
        <v>74</v>
      </c>
      <c r="ED58">
        <v>4.1849999999999996</v>
      </c>
      <c r="EE58" t="s">
        <v>75</v>
      </c>
      <c r="EF58">
        <v>4185.0029999999997</v>
      </c>
      <c r="EG58" t="s">
        <v>76</v>
      </c>
      <c r="EH58" t="s">
        <v>82</v>
      </c>
      <c r="EI58">
        <v>238.94845470000001</v>
      </c>
      <c r="EL58" t="s">
        <v>498</v>
      </c>
      <c r="EM58" t="s">
        <v>85</v>
      </c>
      <c r="EN58">
        <v>1001</v>
      </c>
      <c r="EO58" t="s">
        <v>86</v>
      </c>
      <c r="EP58">
        <v>2.676E-3</v>
      </c>
      <c r="EQ58" t="s">
        <v>74</v>
      </c>
      <c r="ER58">
        <v>2.67625</v>
      </c>
      <c r="ES58" t="s">
        <v>75</v>
      </c>
      <c r="ET58">
        <v>2676.25</v>
      </c>
      <c r="EU58" t="s">
        <v>76</v>
      </c>
      <c r="EV58" t="s">
        <v>82</v>
      </c>
      <c r="EW58">
        <v>373.65710589999998</v>
      </c>
      <c r="EZ58" t="s">
        <v>498</v>
      </c>
      <c r="FA58" t="s">
        <v>85</v>
      </c>
      <c r="FB58">
        <v>1001</v>
      </c>
      <c r="FC58" t="s">
        <v>86</v>
      </c>
      <c r="FD58">
        <v>4.1720000000000004E-3</v>
      </c>
      <c r="FE58" t="s">
        <v>74</v>
      </c>
      <c r="FF58">
        <v>4.1715499999999999</v>
      </c>
      <c r="FG58" t="s">
        <v>75</v>
      </c>
      <c r="FH58">
        <v>4171.5550000000003</v>
      </c>
      <c r="FI58" t="s">
        <v>76</v>
      </c>
      <c r="FJ58" t="s">
        <v>82</v>
      </c>
      <c r="FK58">
        <v>239.7187701</v>
      </c>
    </row>
    <row r="59" spans="1:167" x14ac:dyDescent="0.3">
      <c r="B59" t="s">
        <v>137</v>
      </c>
      <c r="P59" t="s">
        <v>137</v>
      </c>
      <c r="AD59" t="s">
        <v>137</v>
      </c>
      <c r="AR59" t="s">
        <v>278</v>
      </c>
      <c r="BF59" t="s">
        <v>278</v>
      </c>
      <c r="BT59" t="s">
        <v>278</v>
      </c>
      <c r="CH59" t="s">
        <v>394</v>
      </c>
      <c r="CV59" t="s">
        <v>394</v>
      </c>
      <c r="DJ59" t="s">
        <v>394</v>
      </c>
    </row>
    <row r="60" spans="1:167" x14ac:dyDescent="0.3">
      <c r="B60" t="s">
        <v>72</v>
      </c>
      <c r="C60">
        <v>1</v>
      </c>
      <c r="D60" t="s">
        <v>81</v>
      </c>
      <c r="E60">
        <v>8.6438999999999995E-3</v>
      </c>
      <c r="F60" t="s">
        <v>74</v>
      </c>
      <c r="G60">
        <v>8.6439000000000004</v>
      </c>
      <c r="H60" t="s">
        <v>75</v>
      </c>
      <c r="I60">
        <v>8643.9</v>
      </c>
      <c r="J60" t="s">
        <v>76</v>
      </c>
      <c r="K60" t="s">
        <v>82</v>
      </c>
      <c r="L60">
        <v>115.68851960000001</v>
      </c>
      <c r="P60" t="s">
        <v>72</v>
      </c>
      <c r="Q60">
        <v>1</v>
      </c>
      <c r="R60" t="s">
        <v>81</v>
      </c>
      <c r="S60">
        <v>7.0768999999999997E-3</v>
      </c>
      <c r="T60" t="s">
        <v>74</v>
      </c>
      <c r="U60">
        <v>7.0769000000000002</v>
      </c>
      <c r="V60" t="s">
        <v>75</v>
      </c>
      <c r="W60">
        <v>7076.9</v>
      </c>
      <c r="X60" t="s">
        <v>76</v>
      </c>
      <c r="Y60" t="s">
        <v>82</v>
      </c>
      <c r="Z60">
        <v>141.30480890000001</v>
      </c>
      <c r="AD60" t="s">
        <v>72</v>
      </c>
      <c r="AE60">
        <v>1</v>
      </c>
      <c r="AF60" t="s">
        <v>81</v>
      </c>
      <c r="AG60">
        <v>7.0550999999999999E-3</v>
      </c>
      <c r="AH60" t="s">
        <v>74</v>
      </c>
      <c r="AI60">
        <v>7.0551000000000004</v>
      </c>
      <c r="AJ60" t="s">
        <v>75</v>
      </c>
      <c r="AK60">
        <v>7055.1</v>
      </c>
      <c r="AL60" t="s">
        <v>76</v>
      </c>
      <c r="AM60" t="s">
        <v>82</v>
      </c>
      <c r="AN60">
        <v>141.74143419999999</v>
      </c>
      <c r="AR60" t="s">
        <v>72</v>
      </c>
      <c r="AS60">
        <v>1</v>
      </c>
      <c r="AT60" t="s">
        <v>81</v>
      </c>
      <c r="AU60">
        <v>5.8206000000000004E-3</v>
      </c>
      <c r="AV60" t="s">
        <v>74</v>
      </c>
      <c r="AW60">
        <v>5.8205999999999998</v>
      </c>
      <c r="AX60" t="s">
        <v>75</v>
      </c>
      <c r="AY60">
        <v>5820.6</v>
      </c>
      <c r="AZ60" t="s">
        <v>76</v>
      </c>
      <c r="BA60" t="s">
        <v>82</v>
      </c>
      <c r="BB60">
        <v>171.80359859999999</v>
      </c>
      <c r="BF60" t="s">
        <v>72</v>
      </c>
      <c r="BG60">
        <v>1</v>
      </c>
      <c r="BH60" t="s">
        <v>81</v>
      </c>
      <c r="BI60">
        <v>0.1118803</v>
      </c>
      <c r="BJ60" t="s">
        <v>74</v>
      </c>
      <c r="BK60">
        <v>111.88030000000001</v>
      </c>
      <c r="BL60" t="s">
        <v>75</v>
      </c>
      <c r="BM60">
        <v>111880.302</v>
      </c>
      <c r="BN60" t="s">
        <v>76</v>
      </c>
      <c r="BO60" t="s">
        <v>82</v>
      </c>
      <c r="BP60">
        <v>8.9381239000000008</v>
      </c>
      <c r="BT60" t="s">
        <v>72</v>
      </c>
      <c r="BU60">
        <v>1</v>
      </c>
      <c r="BV60" t="s">
        <v>81</v>
      </c>
      <c r="BW60">
        <v>5.7838000000000004E-3</v>
      </c>
      <c r="BX60" t="s">
        <v>74</v>
      </c>
      <c r="BY60">
        <v>5.7838000000000003</v>
      </c>
      <c r="BZ60" t="s">
        <v>75</v>
      </c>
      <c r="CA60">
        <v>5783.8</v>
      </c>
      <c r="CB60" t="s">
        <v>76</v>
      </c>
      <c r="CC60" t="s">
        <v>82</v>
      </c>
      <c r="CD60">
        <v>172.89671039999999</v>
      </c>
      <c r="CH60" t="s">
        <v>72</v>
      </c>
      <c r="CI60">
        <v>1</v>
      </c>
      <c r="CJ60" t="s">
        <v>81</v>
      </c>
      <c r="CK60">
        <v>5.4536999999999997E-3</v>
      </c>
      <c r="CL60" t="s">
        <v>74</v>
      </c>
      <c r="CM60">
        <v>5.4537000000000004</v>
      </c>
      <c r="CN60" t="s">
        <v>75</v>
      </c>
      <c r="CO60">
        <v>5453.7</v>
      </c>
      <c r="CP60" t="s">
        <v>76</v>
      </c>
      <c r="CQ60" t="s">
        <v>82</v>
      </c>
      <c r="CR60">
        <v>183.3617477</v>
      </c>
      <c r="CV60" t="s">
        <v>72</v>
      </c>
      <c r="CW60">
        <v>1</v>
      </c>
      <c r="CX60" t="s">
        <v>81</v>
      </c>
      <c r="CY60">
        <v>5.4048999999999998E-3</v>
      </c>
      <c r="CZ60" t="s">
        <v>74</v>
      </c>
      <c r="DA60">
        <v>5.4048999999999996</v>
      </c>
      <c r="DB60" t="s">
        <v>75</v>
      </c>
      <c r="DC60">
        <v>5404.9</v>
      </c>
      <c r="DD60" t="s">
        <v>76</v>
      </c>
      <c r="DE60" t="s">
        <v>82</v>
      </c>
      <c r="DF60">
        <v>185.01730499999999</v>
      </c>
      <c r="DJ60" t="s">
        <v>72</v>
      </c>
      <c r="DK60">
        <v>1</v>
      </c>
      <c r="DL60" t="s">
        <v>81</v>
      </c>
      <c r="DM60">
        <v>5.3613000000000003E-3</v>
      </c>
      <c r="DN60" t="s">
        <v>74</v>
      </c>
      <c r="DO60">
        <v>5.3613</v>
      </c>
      <c r="DP60" t="s">
        <v>75</v>
      </c>
      <c r="DQ60">
        <v>5361.3</v>
      </c>
      <c r="DR60" t="s">
        <v>76</v>
      </c>
      <c r="DS60" t="s">
        <v>82</v>
      </c>
      <c r="DT60">
        <v>186.52192700000001</v>
      </c>
      <c r="DW60">
        <v>6</v>
      </c>
      <c r="DX60" t="s">
        <v>503</v>
      </c>
      <c r="EK60">
        <v>6</v>
      </c>
      <c r="EL60" t="s">
        <v>503</v>
      </c>
      <c r="EY60">
        <v>6</v>
      </c>
      <c r="EZ60" t="s">
        <v>503</v>
      </c>
    </row>
    <row r="61" spans="1:167" x14ac:dyDescent="0.3">
      <c r="B61" t="s">
        <v>83</v>
      </c>
      <c r="C61">
        <v>1000</v>
      </c>
      <c r="D61" t="s">
        <v>81</v>
      </c>
      <c r="E61">
        <v>3.56697E-3</v>
      </c>
      <c r="F61" t="s">
        <v>74</v>
      </c>
      <c r="G61">
        <v>3.56697</v>
      </c>
      <c r="H61" t="s">
        <v>75</v>
      </c>
      <c r="I61">
        <v>3566.973</v>
      </c>
      <c r="J61" t="s">
        <v>76</v>
      </c>
      <c r="K61" t="s">
        <v>82</v>
      </c>
      <c r="L61">
        <v>280.34971789999997</v>
      </c>
      <c r="P61" t="s">
        <v>83</v>
      </c>
      <c r="Q61">
        <v>1000</v>
      </c>
      <c r="R61" t="s">
        <v>81</v>
      </c>
      <c r="S61">
        <v>2.7600200000000002E-3</v>
      </c>
      <c r="T61" t="s">
        <v>74</v>
      </c>
      <c r="U61">
        <v>2.7600199999999999</v>
      </c>
      <c r="V61" t="s">
        <v>75</v>
      </c>
      <c r="W61">
        <v>2760.0169999999998</v>
      </c>
      <c r="X61" t="s">
        <v>76</v>
      </c>
      <c r="Y61" t="s">
        <v>82</v>
      </c>
      <c r="Z61">
        <v>362.31661969999999</v>
      </c>
      <c r="AD61" t="s">
        <v>83</v>
      </c>
      <c r="AE61">
        <v>1000</v>
      </c>
      <c r="AF61" t="s">
        <v>81</v>
      </c>
      <c r="AG61">
        <v>3.6310499999999998E-3</v>
      </c>
      <c r="AH61" t="s">
        <v>74</v>
      </c>
      <c r="AI61">
        <v>3.6310500000000001</v>
      </c>
      <c r="AJ61" t="s">
        <v>75</v>
      </c>
      <c r="AK61">
        <v>3631.05</v>
      </c>
      <c r="AL61" t="s">
        <v>76</v>
      </c>
      <c r="AM61" t="s">
        <v>82</v>
      </c>
      <c r="AN61">
        <v>275.4024235</v>
      </c>
      <c r="AR61" t="s">
        <v>83</v>
      </c>
      <c r="AS61">
        <v>1000</v>
      </c>
      <c r="AT61" t="s">
        <v>81</v>
      </c>
      <c r="AU61">
        <v>3.9426599999999997E-3</v>
      </c>
      <c r="AV61" t="s">
        <v>74</v>
      </c>
      <c r="AW61">
        <v>3.9426600000000001</v>
      </c>
      <c r="AX61" t="s">
        <v>75</v>
      </c>
      <c r="AY61">
        <v>3942.6579999999999</v>
      </c>
      <c r="AZ61" t="s">
        <v>76</v>
      </c>
      <c r="BA61" t="s">
        <v>82</v>
      </c>
      <c r="BB61">
        <v>253.6359716</v>
      </c>
      <c r="BF61" t="s">
        <v>83</v>
      </c>
      <c r="BG61">
        <v>1000</v>
      </c>
      <c r="BH61" t="s">
        <v>81</v>
      </c>
      <c r="BI61">
        <v>2.7702099999999999E-3</v>
      </c>
      <c r="BJ61" t="s">
        <v>74</v>
      </c>
      <c r="BK61">
        <v>2.7702100000000001</v>
      </c>
      <c r="BL61" t="s">
        <v>75</v>
      </c>
      <c r="BM61">
        <v>2770.2089999999998</v>
      </c>
      <c r="BN61" t="s">
        <v>76</v>
      </c>
      <c r="BO61" t="s">
        <v>82</v>
      </c>
      <c r="BP61">
        <v>360.98355290000001</v>
      </c>
      <c r="BT61" t="s">
        <v>83</v>
      </c>
      <c r="BU61">
        <v>1000</v>
      </c>
      <c r="BV61" t="s">
        <v>81</v>
      </c>
      <c r="BW61">
        <v>3.86068E-3</v>
      </c>
      <c r="BX61" t="s">
        <v>74</v>
      </c>
      <c r="BY61">
        <v>3.8606799999999999</v>
      </c>
      <c r="BZ61" t="s">
        <v>75</v>
      </c>
      <c r="CA61">
        <v>3860.6790000000001</v>
      </c>
      <c r="CB61" t="s">
        <v>76</v>
      </c>
      <c r="CC61" t="s">
        <v>82</v>
      </c>
      <c r="CD61">
        <v>259.02178379999998</v>
      </c>
      <c r="CH61" t="s">
        <v>83</v>
      </c>
      <c r="CI61">
        <v>1000</v>
      </c>
      <c r="CJ61" t="s">
        <v>81</v>
      </c>
      <c r="CK61">
        <v>3.9693599999999999E-3</v>
      </c>
      <c r="CL61" t="s">
        <v>74</v>
      </c>
      <c r="CM61">
        <v>3.96936</v>
      </c>
      <c r="CN61" t="s">
        <v>75</v>
      </c>
      <c r="CO61">
        <v>3969.3560000000002</v>
      </c>
      <c r="CP61" t="s">
        <v>76</v>
      </c>
      <c r="CQ61" t="s">
        <v>82</v>
      </c>
      <c r="CR61">
        <v>251.93001709999999</v>
      </c>
      <c r="CV61" t="s">
        <v>83</v>
      </c>
      <c r="CW61">
        <v>1000</v>
      </c>
      <c r="CX61" t="s">
        <v>81</v>
      </c>
      <c r="CY61">
        <v>2.7740299999999998E-3</v>
      </c>
      <c r="CZ61" t="s">
        <v>74</v>
      </c>
      <c r="DA61">
        <v>2.7740300000000002</v>
      </c>
      <c r="DB61" t="s">
        <v>75</v>
      </c>
      <c r="DC61">
        <v>2774.0329999999999</v>
      </c>
      <c r="DD61" t="s">
        <v>76</v>
      </c>
      <c r="DE61" t="s">
        <v>82</v>
      </c>
      <c r="DF61">
        <v>360.48596930000002</v>
      </c>
      <c r="DJ61" t="s">
        <v>83</v>
      </c>
      <c r="DK61">
        <v>1000</v>
      </c>
      <c r="DL61" t="s">
        <v>81</v>
      </c>
      <c r="DM61">
        <v>3.9784199999999999E-3</v>
      </c>
      <c r="DN61" t="s">
        <v>74</v>
      </c>
      <c r="DO61">
        <v>3.9784199999999998</v>
      </c>
      <c r="DP61" t="s">
        <v>75</v>
      </c>
      <c r="DQ61">
        <v>3978.4189999999999</v>
      </c>
      <c r="DR61" t="s">
        <v>76</v>
      </c>
      <c r="DS61" t="s">
        <v>82</v>
      </c>
      <c r="DT61">
        <v>251.35612499999999</v>
      </c>
      <c r="DX61" t="s">
        <v>496</v>
      </c>
      <c r="DY61" t="s">
        <v>72</v>
      </c>
      <c r="DZ61">
        <v>1</v>
      </c>
      <c r="EA61" t="s">
        <v>81</v>
      </c>
      <c r="EB61">
        <v>0.316772</v>
      </c>
      <c r="EC61" t="s">
        <v>74</v>
      </c>
      <c r="ED61">
        <v>316.77181000000002</v>
      </c>
      <c r="EE61" t="s">
        <v>75</v>
      </c>
      <c r="EF61">
        <v>316771.80499999999</v>
      </c>
      <c r="EG61" t="s">
        <v>76</v>
      </c>
      <c r="EH61" t="s">
        <v>82</v>
      </c>
      <c r="EI61">
        <v>3.1568466000000002</v>
      </c>
      <c r="EL61" t="s">
        <v>496</v>
      </c>
      <c r="EM61" t="s">
        <v>72</v>
      </c>
      <c r="EN61">
        <v>1</v>
      </c>
      <c r="EO61" t="s">
        <v>81</v>
      </c>
      <c r="EP61">
        <v>0.370508</v>
      </c>
      <c r="EQ61" t="s">
        <v>74</v>
      </c>
      <c r="ER61">
        <v>370.50819000000001</v>
      </c>
      <c r="ES61" t="s">
        <v>75</v>
      </c>
      <c r="ET61">
        <v>370508.19400000002</v>
      </c>
      <c r="EU61" t="s">
        <v>76</v>
      </c>
      <c r="EV61" t="s">
        <v>82</v>
      </c>
      <c r="EW61">
        <v>2.6989955999999999</v>
      </c>
      <c r="EZ61" t="s">
        <v>496</v>
      </c>
      <c r="FA61" t="s">
        <v>72</v>
      </c>
      <c r="FB61">
        <v>1</v>
      </c>
      <c r="FC61" t="s">
        <v>81</v>
      </c>
      <c r="FD61">
        <v>0.32763199999999998</v>
      </c>
      <c r="FE61" t="s">
        <v>74</v>
      </c>
      <c r="FF61">
        <v>327.63150000000002</v>
      </c>
      <c r="FG61" t="s">
        <v>75</v>
      </c>
      <c r="FH61">
        <v>327631.50300000003</v>
      </c>
      <c r="FI61" t="s">
        <v>76</v>
      </c>
      <c r="FJ61" t="s">
        <v>82</v>
      </c>
      <c r="FK61">
        <v>3.0522095</v>
      </c>
    </row>
    <row r="62" spans="1:167" x14ac:dyDescent="0.3">
      <c r="B62" t="s">
        <v>85</v>
      </c>
      <c r="C62">
        <v>1001</v>
      </c>
      <c r="D62" t="s">
        <v>86</v>
      </c>
      <c r="E62">
        <v>3.57223E-3</v>
      </c>
      <c r="F62" t="s">
        <v>74</v>
      </c>
      <c r="G62">
        <v>3.5722299999999998</v>
      </c>
      <c r="H62" t="s">
        <v>75</v>
      </c>
      <c r="I62">
        <v>3572.2330000000002</v>
      </c>
      <c r="J62" t="s">
        <v>76</v>
      </c>
      <c r="K62" t="s">
        <v>82</v>
      </c>
      <c r="L62">
        <v>279.93696929999999</v>
      </c>
      <c r="P62" t="s">
        <v>85</v>
      </c>
      <c r="Q62">
        <v>1001</v>
      </c>
      <c r="R62" t="s">
        <v>86</v>
      </c>
      <c r="S62">
        <v>2.7645500000000002E-3</v>
      </c>
      <c r="T62" t="s">
        <v>74</v>
      </c>
      <c r="U62">
        <v>2.7645499999999998</v>
      </c>
      <c r="V62" t="s">
        <v>75</v>
      </c>
      <c r="W62">
        <v>2764.5459999999998</v>
      </c>
      <c r="X62" t="s">
        <v>76</v>
      </c>
      <c r="Y62" t="s">
        <v>82</v>
      </c>
      <c r="Z62">
        <v>361.72306759999998</v>
      </c>
      <c r="AD62" t="s">
        <v>85</v>
      </c>
      <c r="AE62">
        <v>1001</v>
      </c>
      <c r="AF62" t="s">
        <v>86</v>
      </c>
      <c r="AG62">
        <v>3.6346899999999999E-3</v>
      </c>
      <c r="AH62" t="s">
        <v>74</v>
      </c>
      <c r="AI62">
        <v>3.63469</v>
      </c>
      <c r="AJ62" t="s">
        <v>75</v>
      </c>
      <c r="AK62">
        <v>3634.6950000000002</v>
      </c>
      <c r="AL62" t="s">
        <v>76</v>
      </c>
      <c r="AM62" t="s">
        <v>82</v>
      </c>
      <c r="AN62">
        <v>275.12628089999998</v>
      </c>
      <c r="AR62" t="s">
        <v>85</v>
      </c>
      <c r="AS62">
        <v>1001</v>
      </c>
      <c r="AT62" t="s">
        <v>86</v>
      </c>
      <c r="AU62">
        <v>3.9447900000000001E-3</v>
      </c>
      <c r="AV62" t="s">
        <v>74</v>
      </c>
      <c r="AW62">
        <v>3.9447899999999998</v>
      </c>
      <c r="AX62" t="s">
        <v>75</v>
      </c>
      <c r="AY62">
        <v>3944.79</v>
      </c>
      <c r="AZ62" t="s">
        <v>76</v>
      </c>
      <c r="BA62" t="s">
        <v>82</v>
      </c>
      <c r="BB62">
        <v>253.49892070000001</v>
      </c>
      <c r="BF62" t="s">
        <v>85</v>
      </c>
      <c r="BG62">
        <v>1001</v>
      </c>
      <c r="BH62" t="s">
        <v>86</v>
      </c>
      <c r="BI62">
        <v>2.87937E-3</v>
      </c>
      <c r="BJ62" t="s">
        <v>74</v>
      </c>
      <c r="BK62">
        <v>2.8793700000000002</v>
      </c>
      <c r="BL62" t="s">
        <v>75</v>
      </c>
      <c r="BM62">
        <v>2879.366</v>
      </c>
      <c r="BN62" t="s">
        <v>76</v>
      </c>
      <c r="BO62" t="s">
        <v>82</v>
      </c>
      <c r="BP62">
        <v>347.29862639999999</v>
      </c>
      <c r="BT62" t="s">
        <v>85</v>
      </c>
      <c r="BU62">
        <v>1001</v>
      </c>
      <c r="BV62" t="s">
        <v>86</v>
      </c>
      <c r="BW62">
        <v>3.86288E-3</v>
      </c>
      <c r="BX62" t="s">
        <v>74</v>
      </c>
      <c r="BY62">
        <v>3.8628800000000001</v>
      </c>
      <c r="BZ62" t="s">
        <v>75</v>
      </c>
      <c r="CA62">
        <v>3862.8760000000002</v>
      </c>
      <c r="CB62" t="s">
        <v>76</v>
      </c>
      <c r="CC62" t="s">
        <v>82</v>
      </c>
      <c r="CD62">
        <v>258.8744653</v>
      </c>
      <c r="CH62" t="s">
        <v>85</v>
      </c>
      <c r="CI62">
        <v>1001</v>
      </c>
      <c r="CJ62" t="s">
        <v>86</v>
      </c>
      <c r="CK62">
        <v>3.9710099999999996E-3</v>
      </c>
      <c r="CL62" t="s">
        <v>74</v>
      </c>
      <c r="CM62">
        <v>3.9710100000000002</v>
      </c>
      <c r="CN62" t="s">
        <v>75</v>
      </c>
      <c r="CO62">
        <v>3971.01</v>
      </c>
      <c r="CP62" t="s">
        <v>76</v>
      </c>
      <c r="CQ62" t="s">
        <v>82</v>
      </c>
      <c r="CR62">
        <v>251.8250836</v>
      </c>
      <c r="CV62" t="s">
        <v>85</v>
      </c>
      <c r="CW62">
        <v>1001</v>
      </c>
      <c r="CX62" t="s">
        <v>86</v>
      </c>
      <c r="CY62">
        <v>2.7768300000000001E-3</v>
      </c>
      <c r="CZ62" t="s">
        <v>74</v>
      </c>
      <c r="DA62">
        <v>2.7768299999999999</v>
      </c>
      <c r="DB62" t="s">
        <v>75</v>
      </c>
      <c r="DC62">
        <v>2776.8330000000001</v>
      </c>
      <c r="DD62" t="s">
        <v>76</v>
      </c>
      <c r="DE62" t="s">
        <v>82</v>
      </c>
      <c r="DF62">
        <v>360.12244290000001</v>
      </c>
      <c r="DJ62" t="s">
        <v>85</v>
      </c>
      <c r="DK62">
        <v>1001</v>
      </c>
      <c r="DL62" t="s">
        <v>86</v>
      </c>
      <c r="DM62">
        <v>3.9800199999999999E-3</v>
      </c>
      <c r="DN62" t="s">
        <v>74</v>
      </c>
      <c r="DO62">
        <v>3.9800200000000001</v>
      </c>
      <c r="DP62" t="s">
        <v>75</v>
      </c>
      <c r="DQ62">
        <v>3980.0210000000002</v>
      </c>
      <c r="DR62" t="s">
        <v>76</v>
      </c>
      <c r="DS62" t="s">
        <v>82</v>
      </c>
      <c r="DT62">
        <v>251.25494689999999</v>
      </c>
      <c r="DX62" t="s">
        <v>496</v>
      </c>
      <c r="DY62" t="s">
        <v>83</v>
      </c>
      <c r="DZ62">
        <v>626</v>
      </c>
      <c r="EA62" t="s">
        <v>81</v>
      </c>
      <c r="EB62">
        <v>4.333E-3</v>
      </c>
      <c r="EC62" t="s">
        <v>74</v>
      </c>
      <c r="ED62">
        <v>4.3328300000000004</v>
      </c>
      <c r="EE62" t="s">
        <v>75</v>
      </c>
      <c r="EF62">
        <v>4332.8289999999997</v>
      </c>
      <c r="EG62" t="s">
        <v>76</v>
      </c>
      <c r="EH62" t="s">
        <v>82</v>
      </c>
      <c r="EI62">
        <v>230.7960808</v>
      </c>
      <c r="EL62" t="s">
        <v>496</v>
      </c>
      <c r="EM62" t="s">
        <v>83</v>
      </c>
      <c r="EN62">
        <v>421</v>
      </c>
      <c r="EO62" t="s">
        <v>81</v>
      </c>
      <c r="EP62">
        <v>5.2519999999999997E-3</v>
      </c>
      <c r="EQ62" t="s">
        <v>74</v>
      </c>
      <c r="ER62">
        <v>5.2519999999999998</v>
      </c>
      <c r="ES62" t="s">
        <v>75</v>
      </c>
      <c r="ET62">
        <v>5252.0050000000001</v>
      </c>
      <c r="EU62" t="s">
        <v>76</v>
      </c>
      <c r="EV62" t="s">
        <v>82</v>
      </c>
      <c r="EW62">
        <v>190.40349190000001</v>
      </c>
      <c r="EZ62" t="s">
        <v>496</v>
      </c>
      <c r="FA62" t="s">
        <v>83</v>
      </c>
      <c r="FB62">
        <v>585</v>
      </c>
      <c r="FC62" t="s">
        <v>81</v>
      </c>
      <c r="FD62">
        <v>4.7019999999999996E-3</v>
      </c>
      <c r="FE62" t="s">
        <v>74</v>
      </c>
      <c r="FF62">
        <v>4.7019799999999998</v>
      </c>
      <c r="FG62" t="s">
        <v>75</v>
      </c>
      <c r="FH62">
        <v>4701.9840000000004</v>
      </c>
      <c r="FI62" t="s">
        <v>76</v>
      </c>
      <c r="FJ62" t="s">
        <v>82</v>
      </c>
      <c r="FK62">
        <v>212.676198</v>
      </c>
    </row>
    <row r="63" spans="1:167" x14ac:dyDescent="0.3">
      <c r="DX63" t="s">
        <v>496</v>
      </c>
      <c r="DY63" t="s">
        <v>84</v>
      </c>
      <c r="DZ63">
        <v>627</v>
      </c>
      <c r="EA63" t="s">
        <v>81</v>
      </c>
      <c r="EB63">
        <v>4.8310000000000002E-3</v>
      </c>
      <c r="EC63" t="s">
        <v>74</v>
      </c>
      <c r="ED63">
        <v>4.8311299999999999</v>
      </c>
      <c r="EE63" t="s">
        <v>75</v>
      </c>
      <c r="EF63">
        <v>4831.1350000000002</v>
      </c>
      <c r="EG63" t="s">
        <v>76</v>
      </c>
      <c r="EH63" t="s">
        <v>82</v>
      </c>
      <c r="EI63">
        <v>206.99069729999999</v>
      </c>
      <c r="EL63" t="s">
        <v>496</v>
      </c>
      <c r="EM63" t="s">
        <v>84</v>
      </c>
      <c r="EN63">
        <v>422</v>
      </c>
      <c r="EO63" t="s">
        <v>81</v>
      </c>
      <c r="EP63">
        <v>6.1180000000000002E-3</v>
      </c>
      <c r="EQ63" t="s">
        <v>74</v>
      </c>
      <c r="ER63">
        <v>6.11754</v>
      </c>
      <c r="ES63" t="s">
        <v>75</v>
      </c>
      <c r="ET63">
        <v>6117.5420000000004</v>
      </c>
      <c r="EU63" t="s">
        <v>76</v>
      </c>
      <c r="EV63" t="s">
        <v>82</v>
      </c>
      <c r="EW63">
        <v>163.46434009999999</v>
      </c>
      <c r="EZ63" t="s">
        <v>496</v>
      </c>
      <c r="FA63" t="s">
        <v>84</v>
      </c>
      <c r="FB63">
        <v>586</v>
      </c>
      <c r="FC63" t="s">
        <v>81</v>
      </c>
      <c r="FD63">
        <v>5.2529999999999999E-3</v>
      </c>
      <c r="FE63" t="s">
        <v>74</v>
      </c>
      <c r="FF63">
        <v>5.2530599999999996</v>
      </c>
      <c r="FG63" t="s">
        <v>75</v>
      </c>
      <c r="FH63">
        <v>5253.0569999999998</v>
      </c>
      <c r="FI63" t="s">
        <v>76</v>
      </c>
      <c r="FJ63" t="s">
        <v>82</v>
      </c>
      <c r="FK63">
        <v>190.36534259999999</v>
      </c>
    </row>
    <row r="64" spans="1:167" x14ac:dyDescent="0.3">
      <c r="A64">
        <v>7</v>
      </c>
      <c r="B64" t="s">
        <v>143</v>
      </c>
      <c r="O64">
        <v>7</v>
      </c>
      <c r="P64" t="s">
        <v>143</v>
      </c>
      <c r="AC64">
        <v>7</v>
      </c>
      <c r="AD64" t="s">
        <v>143</v>
      </c>
      <c r="AQ64">
        <v>7</v>
      </c>
      <c r="AR64" t="s">
        <v>282</v>
      </c>
      <c r="BE64">
        <v>7</v>
      </c>
      <c r="BF64" t="s">
        <v>282</v>
      </c>
      <c r="BS64">
        <v>7</v>
      </c>
      <c r="BT64" t="s">
        <v>282</v>
      </c>
      <c r="CG64">
        <v>7</v>
      </c>
      <c r="CH64" t="s">
        <v>398</v>
      </c>
      <c r="CU64">
        <v>7</v>
      </c>
      <c r="CV64" t="s">
        <v>398</v>
      </c>
      <c r="DI64">
        <v>7</v>
      </c>
      <c r="DJ64" t="s">
        <v>398</v>
      </c>
      <c r="DX64" t="s">
        <v>497</v>
      </c>
      <c r="DY64" t="s">
        <v>72</v>
      </c>
      <c r="DZ64">
        <v>1</v>
      </c>
      <c r="EA64" t="s">
        <v>81</v>
      </c>
      <c r="EB64">
        <v>0.12778400000000001</v>
      </c>
      <c r="EC64" t="s">
        <v>74</v>
      </c>
      <c r="ED64">
        <v>127.78351000000001</v>
      </c>
      <c r="EE64" t="s">
        <v>75</v>
      </c>
      <c r="EF64">
        <v>127783.507</v>
      </c>
      <c r="EG64" t="s">
        <v>76</v>
      </c>
      <c r="EH64" t="s">
        <v>82</v>
      </c>
      <c r="EI64">
        <v>7.8257361000000003</v>
      </c>
      <c r="EL64" t="s">
        <v>497</v>
      </c>
      <c r="EM64" t="s">
        <v>72</v>
      </c>
      <c r="EN64">
        <v>1</v>
      </c>
      <c r="EO64" t="s">
        <v>81</v>
      </c>
      <c r="EP64">
        <v>0.12814700000000001</v>
      </c>
      <c r="EQ64" t="s">
        <v>74</v>
      </c>
      <c r="ER64">
        <v>128.14669000000001</v>
      </c>
      <c r="ES64" t="s">
        <v>75</v>
      </c>
      <c r="ET64">
        <v>128146.693</v>
      </c>
      <c r="EU64" t="s">
        <v>76</v>
      </c>
      <c r="EV64" t="s">
        <v>82</v>
      </c>
      <c r="EW64">
        <v>7.8035568</v>
      </c>
      <c r="EZ64" t="s">
        <v>497</v>
      </c>
      <c r="FA64" t="s">
        <v>72</v>
      </c>
      <c r="FB64">
        <v>1</v>
      </c>
      <c r="FC64" t="s">
        <v>81</v>
      </c>
      <c r="FD64">
        <v>0.12740899999999999</v>
      </c>
      <c r="FE64" t="s">
        <v>74</v>
      </c>
      <c r="FF64">
        <v>127.4091</v>
      </c>
      <c r="FG64" t="s">
        <v>75</v>
      </c>
      <c r="FH64">
        <v>127409.101</v>
      </c>
      <c r="FI64" t="s">
        <v>76</v>
      </c>
      <c r="FJ64" t="s">
        <v>82</v>
      </c>
      <c r="FK64">
        <v>7.8487328999999999</v>
      </c>
    </row>
    <row r="65" spans="1:167" x14ac:dyDescent="0.3">
      <c r="B65" t="s">
        <v>72</v>
      </c>
      <c r="C65">
        <v>1</v>
      </c>
      <c r="D65" t="s">
        <v>81</v>
      </c>
      <c r="E65">
        <v>0.38905658999999998</v>
      </c>
      <c r="F65" t="s">
        <v>74</v>
      </c>
      <c r="G65">
        <v>389.05659000000003</v>
      </c>
      <c r="H65" t="s">
        <v>75</v>
      </c>
      <c r="I65">
        <v>389056.59299999999</v>
      </c>
      <c r="J65" t="s">
        <v>76</v>
      </c>
      <c r="K65" t="s">
        <v>82</v>
      </c>
      <c r="L65">
        <v>2.5703201</v>
      </c>
      <c r="P65" t="s">
        <v>72</v>
      </c>
      <c r="Q65">
        <v>1</v>
      </c>
      <c r="R65" t="s">
        <v>81</v>
      </c>
      <c r="S65">
        <v>0.36455089000000002</v>
      </c>
      <c r="T65" t="s">
        <v>74</v>
      </c>
      <c r="U65">
        <v>364.55088999999998</v>
      </c>
      <c r="V65" t="s">
        <v>75</v>
      </c>
      <c r="W65">
        <v>364550.88900000002</v>
      </c>
      <c r="X65" t="s">
        <v>76</v>
      </c>
      <c r="Y65" t="s">
        <v>82</v>
      </c>
      <c r="Z65">
        <v>2.7431013000000002</v>
      </c>
      <c r="AD65" t="s">
        <v>72</v>
      </c>
      <c r="AE65">
        <v>1</v>
      </c>
      <c r="AF65" t="s">
        <v>81</v>
      </c>
      <c r="AG65">
        <v>0.36548059999999999</v>
      </c>
      <c r="AH65" t="s">
        <v>74</v>
      </c>
      <c r="AI65">
        <v>365.48059999999998</v>
      </c>
      <c r="AJ65" t="s">
        <v>75</v>
      </c>
      <c r="AK65">
        <v>365480.60200000001</v>
      </c>
      <c r="AL65" t="s">
        <v>76</v>
      </c>
      <c r="AM65" t="s">
        <v>82</v>
      </c>
      <c r="AN65">
        <v>2.7361233</v>
      </c>
      <c r="AR65" t="s">
        <v>72</v>
      </c>
      <c r="AS65">
        <v>1</v>
      </c>
      <c r="AT65" t="s">
        <v>81</v>
      </c>
      <c r="AU65">
        <v>0.14333069000000001</v>
      </c>
      <c r="AV65" t="s">
        <v>74</v>
      </c>
      <c r="AW65">
        <v>143.33069</v>
      </c>
      <c r="AX65" t="s">
        <v>75</v>
      </c>
      <c r="AY65">
        <v>143330.693</v>
      </c>
      <c r="AZ65" t="s">
        <v>76</v>
      </c>
      <c r="BA65" t="s">
        <v>82</v>
      </c>
      <c r="BB65">
        <v>6.9768727000000004</v>
      </c>
      <c r="BF65" t="s">
        <v>72</v>
      </c>
      <c r="BG65">
        <v>1</v>
      </c>
      <c r="BH65" t="s">
        <v>81</v>
      </c>
      <c r="BI65">
        <v>0.14128099</v>
      </c>
      <c r="BJ65" t="s">
        <v>74</v>
      </c>
      <c r="BK65">
        <v>141.28099</v>
      </c>
      <c r="BL65" t="s">
        <v>75</v>
      </c>
      <c r="BM65">
        <v>141280.99400000001</v>
      </c>
      <c r="BN65" t="s">
        <v>76</v>
      </c>
      <c r="BO65" t="s">
        <v>82</v>
      </c>
      <c r="BP65">
        <v>7.0780928999999997</v>
      </c>
      <c r="BT65" t="s">
        <v>72</v>
      </c>
      <c r="BU65">
        <v>1</v>
      </c>
      <c r="BV65" t="s">
        <v>81</v>
      </c>
      <c r="BW65">
        <v>0.1411645</v>
      </c>
      <c r="BX65" t="s">
        <v>74</v>
      </c>
      <c r="BY65">
        <v>141.1645</v>
      </c>
      <c r="BZ65" t="s">
        <v>75</v>
      </c>
      <c r="CA65">
        <v>141164.497</v>
      </c>
      <c r="CB65" t="s">
        <v>76</v>
      </c>
      <c r="CC65" t="s">
        <v>82</v>
      </c>
      <c r="CD65">
        <v>7.0839341999999998</v>
      </c>
      <c r="CH65" t="s">
        <v>72</v>
      </c>
      <c r="CI65">
        <v>1</v>
      </c>
      <c r="CJ65" t="s">
        <v>81</v>
      </c>
      <c r="CK65">
        <v>0.1451162</v>
      </c>
      <c r="CL65" t="s">
        <v>74</v>
      </c>
      <c r="CM65">
        <v>145.11619999999999</v>
      </c>
      <c r="CN65" t="s">
        <v>75</v>
      </c>
      <c r="CO65">
        <v>145116.19500000001</v>
      </c>
      <c r="CP65" t="s">
        <v>76</v>
      </c>
      <c r="CQ65" t="s">
        <v>82</v>
      </c>
      <c r="CR65">
        <v>6.8910296000000004</v>
      </c>
      <c r="CV65" t="s">
        <v>72</v>
      </c>
      <c r="CW65">
        <v>1</v>
      </c>
      <c r="CX65" t="s">
        <v>81</v>
      </c>
      <c r="CY65">
        <v>0.14632870000000001</v>
      </c>
      <c r="CZ65" t="s">
        <v>74</v>
      </c>
      <c r="DA65">
        <v>146.3287</v>
      </c>
      <c r="DB65" t="s">
        <v>75</v>
      </c>
      <c r="DC65">
        <v>146328.70300000001</v>
      </c>
      <c r="DD65" t="s">
        <v>76</v>
      </c>
      <c r="DE65" t="s">
        <v>82</v>
      </c>
      <c r="DF65">
        <v>6.8339292</v>
      </c>
      <c r="DJ65" t="s">
        <v>72</v>
      </c>
      <c r="DK65">
        <v>1</v>
      </c>
      <c r="DL65" t="s">
        <v>81</v>
      </c>
      <c r="DM65">
        <v>0.1466364</v>
      </c>
      <c r="DN65" t="s">
        <v>74</v>
      </c>
      <c r="DO65">
        <v>146.63640000000001</v>
      </c>
      <c r="DP65" t="s">
        <v>75</v>
      </c>
      <c r="DQ65">
        <v>146636.397</v>
      </c>
      <c r="DR65" t="s">
        <v>76</v>
      </c>
      <c r="DS65" t="s">
        <v>82</v>
      </c>
      <c r="DT65">
        <v>6.8195892999999996</v>
      </c>
      <c r="DX65" t="s">
        <v>497</v>
      </c>
      <c r="DY65" t="s">
        <v>83</v>
      </c>
      <c r="DZ65">
        <v>373</v>
      </c>
      <c r="EA65" t="s">
        <v>81</v>
      </c>
      <c r="EB65">
        <v>7.757E-3</v>
      </c>
      <c r="EC65" t="s">
        <v>74</v>
      </c>
      <c r="ED65">
        <v>7.75671</v>
      </c>
      <c r="EE65" t="s">
        <v>75</v>
      </c>
      <c r="EF65">
        <v>7756.7089999999998</v>
      </c>
      <c r="EG65" t="s">
        <v>76</v>
      </c>
      <c r="EH65" t="s">
        <v>82</v>
      </c>
      <c r="EI65">
        <v>128.9206581</v>
      </c>
      <c r="EL65" t="s">
        <v>497</v>
      </c>
      <c r="EM65" t="s">
        <v>83</v>
      </c>
      <c r="EN65">
        <v>578</v>
      </c>
      <c r="EO65" t="s">
        <v>81</v>
      </c>
      <c r="EP65">
        <v>4.2379999999999996E-3</v>
      </c>
      <c r="EQ65" t="s">
        <v>74</v>
      </c>
      <c r="ER65">
        <v>4.2379100000000003</v>
      </c>
      <c r="ES65" t="s">
        <v>75</v>
      </c>
      <c r="ET65">
        <v>4237.9049999999997</v>
      </c>
      <c r="EU65" t="s">
        <v>76</v>
      </c>
      <c r="EV65" t="s">
        <v>82</v>
      </c>
      <c r="EW65">
        <v>235.96564290000001</v>
      </c>
      <c r="EZ65" t="s">
        <v>497</v>
      </c>
      <c r="FA65" t="s">
        <v>83</v>
      </c>
      <c r="FB65">
        <v>414</v>
      </c>
      <c r="FC65" t="s">
        <v>81</v>
      </c>
      <c r="FD65">
        <v>7.1440000000000002E-3</v>
      </c>
      <c r="FE65" t="s">
        <v>74</v>
      </c>
      <c r="FF65">
        <v>7.14405</v>
      </c>
      <c r="FG65" t="s">
        <v>75</v>
      </c>
      <c r="FH65">
        <v>7144.0519999999997</v>
      </c>
      <c r="FI65" t="s">
        <v>76</v>
      </c>
      <c r="FJ65" t="s">
        <v>82</v>
      </c>
      <c r="FK65">
        <v>139.97658369999999</v>
      </c>
    </row>
    <row r="66" spans="1:167" x14ac:dyDescent="0.3">
      <c r="B66" t="s">
        <v>83</v>
      </c>
      <c r="C66">
        <v>1000</v>
      </c>
      <c r="D66" t="s">
        <v>81</v>
      </c>
      <c r="E66">
        <v>5.2258299999999999E-3</v>
      </c>
      <c r="F66" t="s">
        <v>74</v>
      </c>
      <c r="G66">
        <v>5.2258300000000002</v>
      </c>
      <c r="H66" t="s">
        <v>75</v>
      </c>
      <c r="I66">
        <v>5225.8320000000003</v>
      </c>
      <c r="J66" t="s">
        <v>76</v>
      </c>
      <c r="K66" t="s">
        <v>82</v>
      </c>
      <c r="L66">
        <v>191.35708969999999</v>
      </c>
      <c r="P66" t="s">
        <v>83</v>
      </c>
      <c r="Q66">
        <v>1000</v>
      </c>
      <c r="R66" t="s">
        <v>81</v>
      </c>
      <c r="S66">
        <v>2.7530900000000001E-3</v>
      </c>
      <c r="T66" t="s">
        <v>74</v>
      </c>
      <c r="U66">
        <v>2.7530899999999998</v>
      </c>
      <c r="V66" t="s">
        <v>75</v>
      </c>
      <c r="W66">
        <v>2753.0880000000002</v>
      </c>
      <c r="X66" t="s">
        <v>76</v>
      </c>
      <c r="Y66" t="s">
        <v>82</v>
      </c>
      <c r="Z66">
        <v>363.22855429999998</v>
      </c>
      <c r="AD66" t="s">
        <v>83</v>
      </c>
      <c r="AE66">
        <v>1000</v>
      </c>
      <c r="AF66" t="s">
        <v>81</v>
      </c>
      <c r="AG66">
        <v>5.37449E-3</v>
      </c>
      <c r="AH66" t="s">
        <v>74</v>
      </c>
      <c r="AI66">
        <v>5.3744899999999998</v>
      </c>
      <c r="AJ66" t="s">
        <v>75</v>
      </c>
      <c r="AK66">
        <v>5374.4889999999996</v>
      </c>
      <c r="AL66" t="s">
        <v>76</v>
      </c>
      <c r="AM66" t="s">
        <v>82</v>
      </c>
      <c r="AN66">
        <v>186.06419009999999</v>
      </c>
      <c r="AR66" t="s">
        <v>83</v>
      </c>
      <c r="AS66">
        <v>1000</v>
      </c>
      <c r="AT66" t="s">
        <v>81</v>
      </c>
      <c r="AU66">
        <v>4.9059300000000002E-3</v>
      </c>
      <c r="AV66" t="s">
        <v>74</v>
      </c>
      <c r="AW66">
        <v>4.9059299999999997</v>
      </c>
      <c r="AX66" t="s">
        <v>75</v>
      </c>
      <c r="AY66">
        <v>4905.933</v>
      </c>
      <c r="AZ66" t="s">
        <v>76</v>
      </c>
      <c r="BA66" t="s">
        <v>82</v>
      </c>
      <c r="BB66">
        <v>203.8348301</v>
      </c>
      <c r="BF66" t="s">
        <v>83</v>
      </c>
      <c r="BG66">
        <v>1000</v>
      </c>
      <c r="BH66" t="s">
        <v>81</v>
      </c>
      <c r="BI66">
        <v>2.7890300000000001E-3</v>
      </c>
      <c r="BJ66" t="s">
        <v>74</v>
      </c>
      <c r="BK66">
        <v>2.7890299999999999</v>
      </c>
      <c r="BL66" t="s">
        <v>75</v>
      </c>
      <c r="BM66">
        <v>2789.0279999999998</v>
      </c>
      <c r="BN66" t="s">
        <v>76</v>
      </c>
      <c r="BO66" t="s">
        <v>82</v>
      </c>
      <c r="BP66">
        <v>358.54786159999998</v>
      </c>
      <c r="BT66" t="s">
        <v>83</v>
      </c>
      <c r="BU66">
        <v>1000</v>
      </c>
      <c r="BV66" t="s">
        <v>81</v>
      </c>
      <c r="BW66">
        <v>5.0480799999999999E-3</v>
      </c>
      <c r="BX66" t="s">
        <v>74</v>
      </c>
      <c r="BY66">
        <v>5.0480799999999997</v>
      </c>
      <c r="BZ66" t="s">
        <v>75</v>
      </c>
      <c r="CA66">
        <v>5048.08</v>
      </c>
      <c r="CB66" t="s">
        <v>76</v>
      </c>
      <c r="CC66" t="s">
        <v>82</v>
      </c>
      <c r="CD66">
        <v>198.09509990000001</v>
      </c>
      <c r="CH66" t="s">
        <v>83</v>
      </c>
      <c r="CI66">
        <v>1000</v>
      </c>
      <c r="CJ66" t="s">
        <v>81</v>
      </c>
      <c r="CK66">
        <v>4.9339300000000004E-3</v>
      </c>
      <c r="CL66" t="s">
        <v>74</v>
      </c>
      <c r="CM66">
        <v>4.9339300000000001</v>
      </c>
      <c r="CN66" t="s">
        <v>75</v>
      </c>
      <c r="CO66">
        <v>4933.93</v>
      </c>
      <c r="CP66" t="s">
        <v>76</v>
      </c>
      <c r="CQ66" t="s">
        <v>82</v>
      </c>
      <c r="CR66">
        <v>202.6781929</v>
      </c>
      <c r="CV66" t="s">
        <v>83</v>
      </c>
      <c r="CW66">
        <v>1000</v>
      </c>
      <c r="CX66" t="s">
        <v>81</v>
      </c>
      <c r="CY66">
        <v>2.8093100000000002E-3</v>
      </c>
      <c r="CZ66" t="s">
        <v>74</v>
      </c>
      <c r="DA66">
        <v>2.80931</v>
      </c>
      <c r="DB66" t="s">
        <v>75</v>
      </c>
      <c r="DC66">
        <v>2809.3069999999998</v>
      </c>
      <c r="DD66" t="s">
        <v>76</v>
      </c>
      <c r="DE66" t="s">
        <v>82</v>
      </c>
      <c r="DF66">
        <v>355.95966019999997</v>
      </c>
      <c r="DJ66" t="s">
        <v>83</v>
      </c>
      <c r="DK66">
        <v>1000</v>
      </c>
      <c r="DL66" t="s">
        <v>81</v>
      </c>
      <c r="DM66">
        <v>5.0507299999999998E-3</v>
      </c>
      <c r="DN66" t="s">
        <v>74</v>
      </c>
      <c r="DO66">
        <v>5.0507299999999997</v>
      </c>
      <c r="DP66" t="s">
        <v>75</v>
      </c>
      <c r="DQ66">
        <v>5050.7259999999997</v>
      </c>
      <c r="DR66" t="s">
        <v>76</v>
      </c>
      <c r="DS66" t="s">
        <v>82</v>
      </c>
      <c r="DT66">
        <v>197.99132209999999</v>
      </c>
      <c r="DX66" t="s">
        <v>497</v>
      </c>
      <c r="DY66" t="s">
        <v>84</v>
      </c>
      <c r="DZ66">
        <v>374</v>
      </c>
      <c r="EA66" t="s">
        <v>81</v>
      </c>
      <c r="EB66">
        <v>8.0780000000000001E-3</v>
      </c>
      <c r="EC66" t="s">
        <v>74</v>
      </c>
      <c r="ED66">
        <v>8.0776400000000006</v>
      </c>
      <c r="EE66" t="s">
        <v>75</v>
      </c>
      <c r="EF66">
        <v>8077.6369999999997</v>
      </c>
      <c r="EG66" t="s">
        <v>76</v>
      </c>
      <c r="EH66" t="s">
        <v>82</v>
      </c>
      <c r="EI66">
        <v>123.79858489999999</v>
      </c>
      <c r="EL66" t="s">
        <v>497</v>
      </c>
      <c r="EM66" t="s">
        <v>84</v>
      </c>
      <c r="EN66">
        <v>579</v>
      </c>
      <c r="EO66" t="s">
        <v>81</v>
      </c>
      <c r="EP66">
        <v>4.4520000000000002E-3</v>
      </c>
      <c r="EQ66" t="s">
        <v>74</v>
      </c>
      <c r="ER66">
        <v>4.4519099999999998</v>
      </c>
      <c r="ES66" t="s">
        <v>75</v>
      </c>
      <c r="ET66">
        <v>4451.91</v>
      </c>
      <c r="EU66" t="s">
        <v>76</v>
      </c>
      <c r="EV66" t="s">
        <v>82</v>
      </c>
      <c r="EW66">
        <v>224.62267779999999</v>
      </c>
      <c r="EZ66" t="s">
        <v>497</v>
      </c>
      <c r="FA66" t="s">
        <v>84</v>
      </c>
      <c r="FB66">
        <v>415</v>
      </c>
      <c r="FC66" t="s">
        <v>81</v>
      </c>
      <c r="FD66">
        <v>7.4339999999999996E-3</v>
      </c>
      <c r="FE66" t="s">
        <v>74</v>
      </c>
      <c r="FF66">
        <v>7.4338499999999996</v>
      </c>
      <c r="FG66" t="s">
        <v>75</v>
      </c>
      <c r="FH66">
        <v>7433.8450000000003</v>
      </c>
      <c r="FI66" t="s">
        <v>76</v>
      </c>
      <c r="FJ66" t="s">
        <v>82</v>
      </c>
      <c r="FK66">
        <v>134.51988230000001</v>
      </c>
    </row>
    <row r="67" spans="1:167" x14ac:dyDescent="0.3">
      <c r="B67" t="s">
        <v>85</v>
      </c>
      <c r="C67">
        <v>1001</v>
      </c>
      <c r="D67" t="s">
        <v>86</v>
      </c>
      <c r="E67">
        <v>5.60948E-3</v>
      </c>
      <c r="F67" t="s">
        <v>74</v>
      </c>
      <c r="G67">
        <v>5.6094799999999996</v>
      </c>
      <c r="H67" t="s">
        <v>75</v>
      </c>
      <c r="I67">
        <v>5609.4769999999999</v>
      </c>
      <c r="J67" t="s">
        <v>76</v>
      </c>
      <c r="K67" t="s">
        <v>82</v>
      </c>
      <c r="L67">
        <v>178.2697364</v>
      </c>
      <c r="P67" t="s">
        <v>85</v>
      </c>
      <c r="Q67">
        <v>1001</v>
      </c>
      <c r="R67" t="s">
        <v>86</v>
      </c>
      <c r="S67">
        <v>3.11473E-3</v>
      </c>
      <c r="T67" t="s">
        <v>74</v>
      </c>
      <c r="U67">
        <v>3.1147300000000002</v>
      </c>
      <c r="V67" t="s">
        <v>75</v>
      </c>
      <c r="W67">
        <v>3114.7289999999998</v>
      </c>
      <c r="X67" t="s">
        <v>76</v>
      </c>
      <c r="Y67" t="s">
        <v>82</v>
      </c>
      <c r="Z67">
        <v>321.05517989999998</v>
      </c>
      <c r="AD67" t="s">
        <v>85</v>
      </c>
      <c r="AE67">
        <v>1001</v>
      </c>
      <c r="AF67" t="s">
        <v>86</v>
      </c>
      <c r="AG67">
        <v>5.7344400000000004E-3</v>
      </c>
      <c r="AH67" t="s">
        <v>74</v>
      </c>
      <c r="AI67">
        <v>5.7344400000000002</v>
      </c>
      <c r="AJ67" t="s">
        <v>75</v>
      </c>
      <c r="AK67">
        <v>5734.4350000000004</v>
      </c>
      <c r="AL67" t="s">
        <v>76</v>
      </c>
      <c r="AM67" t="s">
        <v>82</v>
      </c>
      <c r="AN67">
        <v>174.3850936</v>
      </c>
      <c r="AR67" t="s">
        <v>85</v>
      </c>
      <c r="AS67">
        <v>1001</v>
      </c>
      <c r="AT67" t="s">
        <v>86</v>
      </c>
      <c r="AU67">
        <v>5.0444299999999999E-3</v>
      </c>
      <c r="AV67" t="s">
        <v>74</v>
      </c>
      <c r="AW67">
        <v>5.0444300000000002</v>
      </c>
      <c r="AX67" t="s">
        <v>75</v>
      </c>
      <c r="AY67">
        <v>5044.4340000000002</v>
      </c>
      <c r="AZ67" t="s">
        <v>76</v>
      </c>
      <c r="BA67" t="s">
        <v>82</v>
      </c>
      <c r="BB67">
        <v>198.2382921</v>
      </c>
      <c r="BF67" t="s">
        <v>85</v>
      </c>
      <c r="BG67">
        <v>1001</v>
      </c>
      <c r="BH67" t="s">
        <v>86</v>
      </c>
      <c r="BI67">
        <v>2.9275899999999999E-3</v>
      </c>
      <c r="BJ67" t="s">
        <v>74</v>
      </c>
      <c r="BK67">
        <v>2.9275899999999999</v>
      </c>
      <c r="BL67" t="s">
        <v>75</v>
      </c>
      <c r="BM67">
        <v>2927.5920000000001</v>
      </c>
      <c r="BN67" t="s">
        <v>76</v>
      </c>
      <c r="BO67" t="s">
        <v>82</v>
      </c>
      <c r="BP67">
        <v>341.57759729999998</v>
      </c>
      <c r="BT67" t="s">
        <v>85</v>
      </c>
      <c r="BU67">
        <v>1001</v>
      </c>
      <c r="BV67" t="s">
        <v>86</v>
      </c>
      <c r="BW67">
        <v>5.1843200000000001E-3</v>
      </c>
      <c r="BX67" t="s">
        <v>74</v>
      </c>
      <c r="BY67">
        <v>5.1843199999999996</v>
      </c>
      <c r="BZ67" t="s">
        <v>75</v>
      </c>
      <c r="CA67">
        <v>5184.3159999999998</v>
      </c>
      <c r="CB67" t="s">
        <v>76</v>
      </c>
      <c r="CC67" t="s">
        <v>82</v>
      </c>
      <c r="CD67">
        <v>192.8894761</v>
      </c>
      <c r="CH67" t="s">
        <v>85</v>
      </c>
      <c r="CI67">
        <v>1001</v>
      </c>
      <c r="CJ67" t="s">
        <v>86</v>
      </c>
      <c r="CK67">
        <v>5.0741700000000002E-3</v>
      </c>
      <c r="CL67" t="s">
        <v>74</v>
      </c>
      <c r="CM67">
        <v>5.0741699999999996</v>
      </c>
      <c r="CN67" t="s">
        <v>75</v>
      </c>
      <c r="CO67">
        <v>5074.1679999999997</v>
      </c>
      <c r="CP67" t="s">
        <v>76</v>
      </c>
      <c r="CQ67" t="s">
        <v>82</v>
      </c>
      <c r="CR67">
        <v>197.07666</v>
      </c>
      <c r="CV67" t="s">
        <v>85</v>
      </c>
      <c r="CW67">
        <v>1001</v>
      </c>
      <c r="CX67" t="s">
        <v>86</v>
      </c>
      <c r="CY67">
        <v>2.9528800000000002E-3</v>
      </c>
      <c r="CZ67" t="s">
        <v>74</v>
      </c>
      <c r="DA67">
        <v>2.9528799999999999</v>
      </c>
      <c r="DB67" t="s">
        <v>75</v>
      </c>
      <c r="DC67">
        <v>2952.8780000000002</v>
      </c>
      <c r="DD67" t="s">
        <v>76</v>
      </c>
      <c r="DE67" t="s">
        <v>82</v>
      </c>
      <c r="DF67">
        <v>338.65264380000002</v>
      </c>
      <c r="DJ67" t="s">
        <v>85</v>
      </c>
      <c r="DK67">
        <v>1001</v>
      </c>
      <c r="DL67" t="s">
        <v>86</v>
      </c>
      <c r="DM67">
        <v>5.1924199999999997E-3</v>
      </c>
      <c r="DN67" t="s">
        <v>74</v>
      </c>
      <c r="DO67">
        <v>5.1924200000000003</v>
      </c>
      <c r="DP67" t="s">
        <v>75</v>
      </c>
      <c r="DQ67">
        <v>5192.4170000000004</v>
      </c>
      <c r="DR67" t="s">
        <v>76</v>
      </c>
      <c r="DS67" t="s">
        <v>82</v>
      </c>
      <c r="DT67">
        <v>192.588538</v>
      </c>
      <c r="DX67" t="s">
        <v>498</v>
      </c>
      <c r="DY67" t="s">
        <v>72</v>
      </c>
      <c r="DZ67">
        <v>2</v>
      </c>
      <c r="EA67" t="s">
        <v>86</v>
      </c>
      <c r="EB67">
        <v>0.15841</v>
      </c>
      <c r="EC67" t="s">
        <v>74</v>
      </c>
      <c r="ED67">
        <v>158.41040000000001</v>
      </c>
      <c r="EE67" t="s">
        <v>75</v>
      </c>
      <c r="EF67">
        <v>158410.4</v>
      </c>
      <c r="EG67" t="s">
        <v>76</v>
      </c>
      <c r="EH67" t="s">
        <v>82</v>
      </c>
      <c r="EI67">
        <v>6.3127167999999996</v>
      </c>
      <c r="EL67" t="s">
        <v>498</v>
      </c>
      <c r="EM67" t="s">
        <v>72</v>
      </c>
      <c r="EN67">
        <v>2</v>
      </c>
      <c r="EO67" t="s">
        <v>86</v>
      </c>
      <c r="EP67">
        <v>0.185276</v>
      </c>
      <c r="EQ67" t="s">
        <v>74</v>
      </c>
      <c r="ER67">
        <v>185.27645000000001</v>
      </c>
      <c r="ES67" t="s">
        <v>75</v>
      </c>
      <c r="ET67">
        <v>185276.44899999999</v>
      </c>
      <c r="EU67" t="s">
        <v>76</v>
      </c>
      <c r="EV67" t="s">
        <v>82</v>
      </c>
      <c r="EW67">
        <v>5.3973401000000001</v>
      </c>
      <c r="EZ67" t="s">
        <v>498</v>
      </c>
      <c r="FA67" t="s">
        <v>72</v>
      </c>
      <c r="FB67">
        <v>2</v>
      </c>
      <c r="FC67" t="s">
        <v>86</v>
      </c>
      <c r="FD67">
        <v>0.16383700000000001</v>
      </c>
      <c r="FE67" t="s">
        <v>74</v>
      </c>
      <c r="FF67">
        <v>163.83685</v>
      </c>
      <c r="FG67" t="s">
        <v>75</v>
      </c>
      <c r="FH67">
        <v>163836.85200000001</v>
      </c>
      <c r="FI67" t="s">
        <v>76</v>
      </c>
      <c r="FJ67" t="s">
        <v>82</v>
      </c>
      <c r="FK67">
        <v>6.1036329</v>
      </c>
    </row>
    <row r="68" spans="1:167" x14ac:dyDescent="0.3">
      <c r="DX68" t="s">
        <v>498</v>
      </c>
      <c r="DY68" t="s">
        <v>83</v>
      </c>
      <c r="DZ68">
        <v>999</v>
      </c>
      <c r="EA68" t="s">
        <v>86</v>
      </c>
      <c r="EB68">
        <v>2.9139999999999999E-3</v>
      </c>
      <c r="EC68" t="s">
        <v>74</v>
      </c>
      <c r="ED68">
        <v>2.9136299999999999</v>
      </c>
      <c r="EE68" t="s">
        <v>75</v>
      </c>
      <c r="EF68">
        <v>2913.6350000000002</v>
      </c>
      <c r="EG68" t="s">
        <v>76</v>
      </c>
      <c r="EH68" t="s">
        <v>82</v>
      </c>
      <c r="EI68">
        <v>343.2138966</v>
      </c>
      <c r="EL68" t="s">
        <v>498</v>
      </c>
      <c r="EM68" t="s">
        <v>83</v>
      </c>
      <c r="EN68">
        <v>999</v>
      </c>
      <c r="EO68" t="s">
        <v>86</v>
      </c>
      <c r="EP68">
        <v>2.4680000000000001E-3</v>
      </c>
      <c r="EQ68" t="s">
        <v>74</v>
      </c>
      <c r="ER68">
        <v>2.4677099999999998</v>
      </c>
      <c r="ES68" t="s">
        <v>75</v>
      </c>
      <c r="ET68">
        <v>2467.7069999999999</v>
      </c>
      <c r="EU68" t="s">
        <v>76</v>
      </c>
      <c r="EV68" t="s">
        <v>82</v>
      </c>
      <c r="EW68">
        <v>405.23457450000001</v>
      </c>
      <c r="EZ68" t="s">
        <v>498</v>
      </c>
      <c r="FA68" t="s">
        <v>83</v>
      </c>
      <c r="FB68">
        <v>999</v>
      </c>
      <c r="FC68" t="s">
        <v>86</v>
      </c>
      <c r="FD68">
        <v>2.9729999999999999E-3</v>
      </c>
      <c r="FE68" t="s">
        <v>74</v>
      </c>
      <c r="FF68">
        <v>2.9727000000000001</v>
      </c>
      <c r="FG68" t="s">
        <v>75</v>
      </c>
      <c r="FH68">
        <v>2972.6970000000001</v>
      </c>
      <c r="FI68" t="s">
        <v>76</v>
      </c>
      <c r="FJ68" t="s">
        <v>82</v>
      </c>
      <c r="FK68">
        <v>336.39490410000002</v>
      </c>
    </row>
    <row r="69" spans="1:167" x14ac:dyDescent="0.3">
      <c r="B69" t="s">
        <v>144</v>
      </c>
      <c r="P69" t="s">
        <v>144</v>
      </c>
      <c r="AD69" t="s">
        <v>144</v>
      </c>
      <c r="AR69" t="s">
        <v>283</v>
      </c>
      <c r="BF69" t="s">
        <v>283</v>
      </c>
      <c r="BT69" t="s">
        <v>283</v>
      </c>
      <c r="CH69" t="s">
        <v>399</v>
      </c>
      <c r="CV69" t="s">
        <v>399</v>
      </c>
      <c r="DJ69" t="s">
        <v>399</v>
      </c>
      <c r="DX69" t="s">
        <v>498</v>
      </c>
      <c r="DY69" t="s">
        <v>85</v>
      </c>
      <c r="DZ69">
        <v>1001</v>
      </c>
      <c r="EA69" t="s">
        <v>86</v>
      </c>
      <c r="EB69">
        <v>3.039E-3</v>
      </c>
      <c r="EC69" t="s">
        <v>74</v>
      </c>
      <c r="ED69">
        <v>3.03945</v>
      </c>
      <c r="EE69" t="s">
        <v>75</v>
      </c>
      <c r="EF69">
        <v>3039.453</v>
      </c>
      <c r="EG69" t="s">
        <v>76</v>
      </c>
      <c r="EH69" t="s">
        <v>82</v>
      </c>
      <c r="EI69">
        <v>329.00660060000001</v>
      </c>
      <c r="EL69" t="s">
        <v>498</v>
      </c>
      <c r="EM69" t="s">
        <v>85</v>
      </c>
      <c r="EN69">
        <v>1001</v>
      </c>
      <c r="EO69" t="s">
        <v>86</v>
      </c>
      <c r="EP69">
        <v>2.594E-3</v>
      </c>
      <c r="EQ69" t="s">
        <v>74</v>
      </c>
      <c r="ER69">
        <v>2.5940300000000001</v>
      </c>
      <c r="ES69" t="s">
        <v>75</v>
      </c>
      <c r="ET69">
        <v>2594.027</v>
      </c>
      <c r="EU69" t="s">
        <v>76</v>
      </c>
      <c r="EV69" t="s">
        <v>82</v>
      </c>
      <c r="EW69">
        <v>385.50106840000001</v>
      </c>
      <c r="EZ69" t="s">
        <v>498</v>
      </c>
      <c r="FA69" t="s">
        <v>85</v>
      </c>
      <c r="FB69">
        <v>1001</v>
      </c>
      <c r="FC69" t="s">
        <v>86</v>
      </c>
      <c r="FD69">
        <v>3.0980000000000001E-3</v>
      </c>
      <c r="FE69" t="s">
        <v>74</v>
      </c>
      <c r="FF69">
        <v>3.0980699999999999</v>
      </c>
      <c r="FG69" t="s">
        <v>75</v>
      </c>
      <c r="FH69">
        <v>3098.067</v>
      </c>
      <c r="FI69" t="s">
        <v>76</v>
      </c>
      <c r="FJ69" t="s">
        <v>82</v>
      </c>
      <c r="FK69">
        <v>322.7819164</v>
      </c>
    </row>
    <row r="70" spans="1:167" x14ac:dyDescent="0.3">
      <c r="B70" t="s">
        <v>72</v>
      </c>
      <c r="C70">
        <v>1</v>
      </c>
      <c r="D70" t="s">
        <v>81</v>
      </c>
      <c r="E70">
        <v>9.3703999999999992E-3</v>
      </c>
      <c r="F70" t="s">
        <v>74</v>
      </c>
      <c r="G70">
        <v>9.3704000000000001</v>
      </c>
      <c r="H70" t="s">
        <v>75</v>
      </c>
      <c r="I70">
        <v>9370.4</v>
      </c>
      <c r="J70" t="s">
        <v>76</v>
      </c>
      <c r="K70" t="s">
        <v>82</v>
      </c>
      <c r="L70">
        <v>106.7190342</v>
      </c>
      <c r="P70" t="s">
        <v>72</v>
      </c>
      <c r="Q70">
        <v>1</v>
      </c>
      <c r="R70" t="s">
        <v>81</v>
      </c>
      <c r="S70">
        <v>9.2116999999999997E-3</v>
      </c>
      <c r="T70" t="s">
        <v>74</v>
      </c>
      <c r="U70">
        <v>9.2117000000000004</v>
      </c>
      <c r="V70" t="s">
        <v>75</v>
      </c>
      <c r="W70">
        <v>9211.7000000000007</v>
      </c>
      <c r="X70" t="s">
        <v>76</v>
      </c>
      <c r="Y70" t="s">
        <v>82</v>
      </c>
      <c r="Z70">
        <v>108.5575904</v>
      </c>
      <c r="AD70" t="s">
        <v>72</v>
      </c>
      <c r="AE70">
        <v>1</v>
      </c>
      <c r="AF70" t="s">
        <v>81</v>
      </c>
      <c r="AG70">
        <v>9.3571999999999995E-3</v>
      </c>
      <c r="AH70" t="s">
        <v>74</v>
      </c>
      <c r="AI70">
        <v>9.3572000000000006</v>
      </c>
      <c r="AJ70" t="s">
        <v>75</v>
      </c>
      <c r="AK70">
        <v>9357.2000000000007</v>
      </c>
      <c r="AL70" t="s">
        <v>76</v>
      </c>
      <c r="AM70" t="s">
        <v>82</v>
      </c>
      <c r="AN70">
        <v>106.86957630000001</v>
      </c>
      <c r="AR70" t="s">
        <v>72</v>
      </c>
      <c r="AS70">
        <v>1</v>
      </c>
      <c r="AT70" t="s">
        <v>81</v>
      </c>
      <c r="AU70">
        <v>7.3081999999999999E-3</v>
      </c>
      <c r="AV70" t="s">
        <v>74</v>
      </c>
      <c r="AW70">
        <v>7.3082000000000003</v>
      </c>
      <c r="AX70" t="s">
        <v>75</v>
      </c>
      <c r="AY70">
        <v>7308.2</v>
      </c>
      <c r="AZ70" t="s">
        <v>76</v>
      </c>
      <c r="BA70" t="s">
        <v>82</v>
      </c>
      <c r="BB70">
        <v>136.83259899999999</v>
      </c>
      <c r="BF70" t="s">
        <v>72</v>
      </c>
      <c r="BG70">
        <v>1</v>
      </c>
      <c r="BH70" t="s">
        <v>81</v>
      </c>
      <c r="BI70">
        <v>0.19028020000000001</v>
      </c>
      <c r="BJ70" t="s">
        <v>74</v>
      </c>
      <c r="BK70">
        <v>190.28020000000001</v>
      </c>
      <c r="BL70" t="s">
        <v>75</v>
      </c>
      <c r="BM70">
        <v>190280.19899999999</v>
      </c>
      <c r="BN70" t="s">
        <v>76</v>
      </c>
      <c r="BO70" t="s">
        <v>82</v>
      </c>
      <c r="BP70">
        <v>5.2554075999999998</v>
      </c>
      <c r="BT70" t="s">
        <v>72</v>
      </c>
      <c r="BU70">
        <v>1</v>
      </c>
      <c r="BV70" t="s">
        <v>81</v>
      </c>
      <c r="BW70">
        <v>7.3372999999999997E-3</v>
      </c>
      <c r="BX70" t="s">
        <v>74</v>
      </c>
      <c r="BY70">
        <v>7.3372999999999999</v>
      </c>
      <c r="BZ70" t="s">
        <v>75</v>
      </c>
      <c r="CA70">
        <v>7337.3</v>
      </c>
      <c r="CB70" t="s">
        <v>76</v>
      </c>
      <c r="CC70" t="s">
        <v>82</v>
      </c>
      <c r="CD70">
        <v>136.28991389999999</v>
      </c>
      <c r="CH70" t="s">
        <v>72</v>
      </c>
      <c r="CI70">
        <v>1</v>
      </c>
      <c r="CJ70" t="s">
        <v>81</v>
      </c>
      <c r="CK70">
        <v>6.8729000000000004E-3</v>
      </c>
      <c r="CL70" t="s">
        <v>74</v>
      </c>
      <c r="CM70">
        <v>6.8728999999999996</v>
      </c>
      <c r="CN70" t="s">
        <v>75</v>
      </c>
      <c r="CO70">
        <v>6872.9</v>
      </c>
      <c r="CP70" t="s">
        <v>76</v>
      </c>
      <c r="CQ70" t="s">
        <v>82</v>
      </c>
      <c r="CR70">
        <v>145.49899239999999</v>
      </c>
      <c r="CV70" t="s">
        <v>72</v>
      </c>
      <c r="CW70">
        <v>1</v>
      </c>
      <c r="CX70" t="s">
        <v>81</v>
      </c>
      <c r="CY70">
        <v>6.8557999999999996E-3</v>
      </c>
      <c r="CZ70" t="s">
        <v>74</v>
      </c>
      <c r="DA70">
        <v>6.8558000000000003</v>
      </c>
      <c r="DB70" t="s">
        <v>75</v>
      </c>
      <c r="DC70">
        <v>6855.8</v>
      </c>
      <c r="DD70" t="s">
        <v>76</v>
      </c>
      <c r="DE70" t="s">
        <v>82</v>
      </c>
      <c r="DF70">
        <v>145.86190189999999</v>
      </c>
      <c r="DJ70" t="s">
        <v>72</v>
      </c>
      <c r="DK70">
        <v>1</v>
      </c>
      <c r="DL70" t="s">
        <v>81</v>
      </c>
      <c r="DM70">
        <v>6.9798999999999998E-3</v>
      </c>
      <c r="DN70" t="s">
        <v>74</v>
      </c>
      <c r="DO70">
        <v>6.9798999999999998</v>
      </c>
      <c r="DP70" t="s">
        <v>75</v>
      </c>
      <c r="DQ70">
        <v>6979.9</v>
      </c>
      <c r="DR70" t="s">
        <v>76</v>
      </c>
      <c r="DS70" t="s">
        <v>82</v>
      </c>
      <c r="DT70">
        <v>143.26852930000001</v>
      </c>
    </row>
    <row r="71" spans="1:167" x14ac:dyDescent="0.3">
      <c r="B71" t="s">
        <v>83</v>
      </c>
      <c r="C71">
        <v>1000</v>
      </c>
      <c r="D71" t="s">
        <v>81</v>
      </c>
      <c r="E71">
        <v>5.3367199999999997E-3</v>
      </c>
      <c r="F71" t="s">
        <v>74</v>
      </c>
      <c r="G71">
        <v>5.3367199999999997</v>
      </c>
      <c r="H71" t="s">
        <v>75</v>
      </c>
      <c r="I71">
        <v>5336.7219999999998</v>
      </c>
      <c r="J71" t="s">
        <v>76</v>
      </c>
      <c r="K71" t="s">
        <v>82</v>
      </c>
      <c r="L71">
        <v>187.3809297</v>
      </c>
      <c r="P71" t="s">
        <v>83</v>
      </c>
      <c r="Q71">
        <v>1000</v>
      </c>
      <c r="R71" t="s">
        <v>81</v>
      </c>
      <c r="S71">
        <v>2.7368499999999999E-3</v>
      </c>
      <c r="T71" t="s">
        <v>74</v>
      </c>
      <c r="U71">
        <v>2.73685</v>
      </c>
      <c r="V71" t="s">
        <v>75</v>
      </c>
      <c r="W71">
        <v>2736.8510000000001</v>
      </c>
      <c r="X71" t="s">
        <v>76</v>
      </c>
      <c r="Y71" t="s">
        <v>82</v>
      </c>
      <c r="Z71">
        <v>365.38336729999997</v>
      </c>
      <c r="AD71" t="s">
        <v>83</v>
      </c>
      <c r="AE71">
        <v>1000</v>
      </c>
      <c r="AF71" t="s">
        <v>81</v>
      </c>
      <c r="AG71">
        <v>5.4772800000000002E-3</v>
      </c>
      <c r="AH71" t="s">
        <v>74</v>
      </c>
      <c r="AI71">
        <v>5.4772800000000004</v>
      </c>
      <c r="AJ71" t="s">
        <v>75</v>
      </c>
      <c r="AK71">
        <v>5477.2830000000004</v>
      </c>
      <c r="AL71" t="s">
        <v>76</v>
      </c>
      <c r="AM71" t="s">
        <v>82</v>
      </c>
      <c r="AN71">
        <v>182.57225579999999</v>
      </c>
      <c r="AR71" t="s">
        <v>83</v>
      </c>
      <c r="AS71">
        <v>1000</v>
      </c>
      <c r="AT71" t="s">
        <v>81</v>
      </c>
      <c r="AU71">
        <v>5.4301200000000001E-3</v>
      </c>
      <c r="AV71" t="s">
        <v>74</v>
      </c>
      <c r="AW71">
        <v>5.4301199999999996</v>
      </c>
      <c r="AX71" t="s">
        <v>75</v>
      </c>
      <c r="AY71">
        <v>5430.1239999999998</v>
      </c>
      <c r="AZ71" t="s">
        <v>76</v>
      </c>
      <c r="BA71" t="s">
        <v>82</v>
      </c>
      <c r="BB71">
        <v>184.15786370000001</v>
      </c>
      <c r="BF71" t="s">
        <v>83</v>
      </c>
      <c r="BG71">
        <v>1000</v>
      </c>
      <c r="BH71" t="s">
        <v>81</v>
      </c>
      <c r="BI71">
        <v>2.7694799999999999E-3</v>
      </c>
      <c r="BJ71" t="s">
        <v>74</v>
      </c>
      <c r="BK71">
        <v>2.7694800000000002</v>
      </c>
      <c r="BL71" t="s">
        <v>75</v>
      </c>
      <c r="BM71">
        <v>2769.4839999999999</v>
      </c>
      <c r="BN71" t="s">
        <v>76</v>
      </c>
      <c r="BO71" t="s">
        <v>82</v>
      </c>
      <c r="BP71">
        <v>361.07805580000002</v>
      </c>
      <c r="BT71" t="s">
        <v>83</v>
      </c>
      <c r="BU71">
        <v>1000</v>
      </c>
      <c r="BV71" t="s">
        <v>81</v>
      </c>
      <c r="BW71">
        <v>5.4362500000000001E-3</v>
      </c>
      <c r="BX71" t="s">
        <v>74</v>
      </c>
      <c r="BY71">
        <v>5.4362500000000002</v>
      </c>
      <c r="BZ71" t="s">
        <v>75</v>
      </c>
      <c r="CA71">
        <v>5436.2520000000004</v>
      </c>
      <c r="CB71" t="s">
        <v>76</v>
      </c>
      <c r="CC71" t="s">
        <v>82</v>
      </c>
      <c r="CD71">
        <v>183.95026179999999</v>
      </c>
      <c r="CH71" t="s">
        <v>83</v>
      </c>
      <c r="CI71">
        <v>1000</v>
      </c>
      <c r="CJ71" t="s">
        <v>81</v>
      </c>
      <c r="CK71">
        <v>5.3731400000000002E-3</v>
      </c>
      <c r="CL71" t="s">
        <v>74</v>
      </c>
      <c r="CM71">
        <v>5.3731400000000002</v>
      </c>
      <c r="CN71" t="s">
        <v>75</v>
      </c>
      <c r="CO71">
        <v>5373.1409999999996</v>
      </c>
      <c r="CP71" t="s">
        <v>76</v>
      </c>
      <c r="CQ71" t="s">
        <v>82</v>
      </c>
      <c r="CR71">
        <v>186.11088649999999</v>
      </c>
      <c r="CV71" t="s">
        <v>83</v>
      </c>
      <c r="CW71">
        <v>1000</v>
      </c>
      <c r="CX71" t="s">
        <v>81</v>
      </c>
      <c r="CY71">
        <v>2.74589E-3</v>
      </c>
      <c r="CZ71" t="s">
        <v>74</v>
      </c>
      <c r="DA71">
        <v>2.7458900000000002</v>
      </c>
      <c r="DB71" t="s">
        <v>75</v>
      </c>
      <c r="DC71">
        <v>2745.8879999999999</v>
      </c>
      <c r="DD71" t="s">
        <v>76</v>
      </c>
      <c r="DE71" t="s">
        <v>82</v>
      </c>
      <c r="DF71">
        <v>364.1808825</v>
      </c>
      <c r="DJ71" t="s">
        <v>83</v>
      </c>
      <c r="DK71">
        <v>1000</v>
      </c>
      <c r="DL71" t="s">
        <v>81</v>
      </c>
      <c r="DM71">
        <v>5.46007E-3</v>
      </c>
      <c r="DN71" t="s">
        <v>74</v>
      </c>
      <c r="DO71">
        <v>5.46007</v>
      </c>
      <c r="DP71" t="s">
        <v>75</v>
      </c>
      <c r="DQ71">
        <v>5460.0730000000003</v>
      </c>
      <c r="DR71" t="s">
        <v>76</v>
      </c>
      <c r="DS71" t="s">
        <v>82</v>
      </c>
      <c r="DT71">
        <v>183.1477347</v>
      </c>
      <c r="DX71" t="s">
        <v>504</v>
      </c>
      <c r="EL71" t="s">
        <v>504</v>
      </c>
      <c r="EZ71" t="s">
        <v>504</v>
      </c>
    </row>
    <row r="72" spans="1:167" x14ac:dyDescent="0.3">
      <c r="B72" t="s">
        <v>85</v>
      </c>
      <c r="C72">
        <v>1001</v>
      </c>
      <c r="D72" t="s">
        <v>86</v>
      </c>
      <c r="E72">
        <v>5.3410300000000001E-3</v>
      </c>
      <c r="F72" t="s">
        <v>74</v>
      </c>
      <c r="G72">
        <v>5.3410299999999999</v>
      </c>
      <c r="H72" t="s">
        <v>75</v>
      </c>
      <c r="I72">
        <v>5341.03</v>
      </c>
      <c r="J72" t="s">
        <v>76</v>
      </c>
      <c r="K72" t="s">
        <v>82</v>
      </c>
      <c r="L72">
        <v>187.22981569999999</v>
      </c>
      <c r="P72" t="s">
        <v>85</v>
      </c>
      <c r="Q72">
        <v>1001</v>
      </c>
      <c r="R72" t="s">
        <v>86</v>
      </c>
      <c r="S72">
        <v>2.7434999999999998E-3</v>
      </c>
      <c r="T72" t="s">
        <v>74</v>
      </c>
      <c r="U72">
        <v>2.7435</v>
      </c>
      <c r="V72" t="s">
        <v>75</v>
      </c>
      <c r="W72">
        <v>2743.4989999999998</v>
      </c>
      <c r="X72" t="s">
        <v>76</v>
      </c>
      <c r="Y72" t="s">
        <v>82</v>
      </c>
      <c r="Z72">
        <v>364.49803379999997</v>
      </c>
      <c r="AD72" t="s">
        <v>85</v>
      </c>
      <c r="AE72">
        <v>1001</v>
      </c>
      <c r="AF72" t="s">
        <v>86</v>
      </c>
      <c r="AG72">
        <v>5.48139E-3</v>
      </c>
      <c r="AH72" t="s">
        <v>74</v>
      </c>
      <c r="AI72">
        <v>5.4813900000000002</v>
      </c>
      <c r="AJ72" t="s">
        <v>75</v>
      </c>
      <c r="AK72">
        <v>5481.3950000000004</v>
      </c>
      <c r="AL72" t="s">
        <v>76</v>
      </c>
      <c r="AM72" t="s">
        <v>82</v>
      </c>
      <c r="AN72">
        <v>182.43532350000001</v>
      </c>
      <c r="AR72" t="s">
        <v>85</v>
      </c>
      <c r="AS72">
        <v>1001</v>
      </c>
      <c r="AT72" t="s">
        <v>86</v>
      </c>
      <c r="AU72">
        <v>5.4322800000000003E-3</v>
      </c>
      <c r="AV72" t="s">
        <v>74</v>
      </c>
      <c r="AW72">
        <v>5.4322800000000004</v>
      </c>
      <c r="AX72" t="s">
        <v>75</v>
      </c>
      <c r="AY72">
        <v>5432.277</v>
      </c>
      <c r="AZ72" t="s">
        <v>76</v>
      </c>
      <c r="BA72" t="s">
        <v>82</v>
      </c>
      <c r="BB72">
        <v>184.0848833</v>
      </c>
      <c r="BF72" t="s">
        <v>85</v>
      </c>
      <c r="BG72">
        <v>1001</v>
      </c>
      <c r="BH72" t="s">
        <v>86</v>
      </c>
      <c r="BI72">
        <v>2.9569900000000001E-3</v>
      </c>
      <c r="BJ72" t="s">
        <v>74</v>
      </c>
      <c r="BK72">
        <v>2.9569899999999998</v>
      </c>
      <c r="BL72" t="s">
        <v>75</v>
      </c>
      <c r="BM72">
        <v>2956.99</v>
      </c>
      <c r="BN72" t="s">
        <v>76</v>
      </c>
      <c r="BO72" t="s">
        <v>82</v>
      </c>
      <c r="BP72">
        <v>338.18174570000002</v>
      </c>
      <c r="BT72" t="s">
        <v>85</v>
      </c>
      <c r="BU72">
        <v>1001</v>
      </c>
      <c r="BV72" t="s">
        <v>86</v>
      </c>
      <c r="BW72">
        <v>5.4384200000000002E-3</v>
      </c>
      <c r="BX72" t="s">
        <v>74</v>
      </c>
      <c r="BY72">
        <v>5.4384199999999998</v>
      </c>
      <c r="BZ72" t="s">
        <v>75</v>
      </c>
      <c r="CA72">
        <v>5438.4160000000002</v>
      </c>
      <c r="CB72" t="s">
        <v>76</v>
      </c>
      <c r="CC72" t="s">
        <v>82</v>
      </c>
      <c r="CD72">
        <v>183.87705679999999</v>
      </c>
      <c r="CH72" t="s">
        <v>85</v>
      </c>
      <c r="CI72">
        <v>1001</v>
      </c>
      <c r="CJ72" t="s">
        <v>86</v>
      </c>
      <c r="CK72">
        <v>5.3748299999999997E-3</v>
      </c>
      <c r="CL72" t="s">
        <v>74</v>
      </c>
      <c r="CM72">
        <v>5.3748300000000002</v>
      </c>
      <c r="CN72" t="s">
        <v>75</v>
      </c>
      <c r="CO72">
        <v>5374.826</v>
      </c>
      <c r="CP72" t="s">
        <v>76</v>
      </c>
      <c r="CQ72" t="s">
        <v>82</v>
      </c>
      <c r="CR72">
        <v>186.05254980000001</v>
      </c>
      <c r="CV72" t="s">
        <v>85</v>
      </c>
      <c r="CW72">
        <v>1001</v>
      </c>
      <c r="CX72" t="s">
        <v>86</v>
      </c>
      <c r="CY72">
        <v>2.7501499999999998E-3</v>
      </c>
      <c r="CZ72" t="s">
        <v>74</v>
      </c>
      <c r="DA72">
        <v>2.7501500000000001</v>
      </c>
      <c r="DB72" t="s">
        <v>75</v>
      </c>
      <c r="DC72">
        <v>2750.1509999999998</v>
      </c>
      <c r="DD72" t="s">
        <v>76</v>
      </c>
      <c r="DE72" t="s">
        <v>82</v>
      </c>
      <c r="DF72">
        <v>363.616376</v>
      </c>
      <c r="DJ72" t="s">
        <v>85</v>
      </c>
      <c r="DK72">
        <v>1001</v>
      </c>
      <c r="DL72" t="s">
        <v>86</v>
      </c>
      <c r="DM72">
        <v>5.4618100000000001E-3</v>
      </c>
      <c r="DN72" t="s">
        <v>74</v>
      </c>
      <c r="DO72">
        <v>5.4618099999999998</v>
      </c>
      <c r="DP72" t="s">
        <v>75</v>
      </c>
      <c r="DQ72">
        <v>5461.8119999999999</v>
      </c>
      <c r="DR72" t="s">
        <v>76</v>
      </c>
      <c r="DS72" t="s">
        <v>82</v>
      </c>
      <c r="DT72">
        <v>183.08942490000001</v>
      </c>
      <c r="DX72" t="s">
        <v>496</v>
      </c>
      <c r="DY72" t="s">
        <v>72</v>
      </c>
      <c r="DZ72">
        <v>1</v>
      </c>
      <c r="EA72" t="s">
        <v>81</v>
      </c>
      <c r="EB72">
        <v>2.4417000000000001E-2</v>
      </c>
      <c r="EC72" t="s">
        <v>74</v>
      </c>
      <c r="ED72">
        <v>24.417100000000001</v>
      </c>
      <c r="EE72" t="s">
        <v>75</v>
      </c>
      <c r="EF72">
        <v>24417.1</v>
      </c>
      <c r="EG72" t="s">
        <v>76</v>
      </c>
      <c r="EH72" t="s">
        <v>82</v>
      </c>
      <c r="EI72">
        <v>40.954903799999997</v>
      </c>
      <c r="EL72" t="s">
        <v>496</v>
      </c>
      <c r="EM72" t="s">
        <v>72</v>
      </c>
      <c r="EN72">
        <v>1</v>
      </c>
      <c r="EO72" t="s">
        <v>81</v>
      </c>
      <c r="EP72">
        <v>8.9390000000000008E-3</v>
      </c>
      <c r="EQ72" t="s">
        <v>74</v>
      </c>
      <c r="ER72">
        <v>8.9389000000000003</v>
      </c>
      <c r="ES72" t="s">
        <v>75</v>
      </c>
      <c r="ET72">
        <v>8938.9</v>
      </c>
      <c r="EU72" t="s">
        <v>76</v>
      </c>
      <c r="EV72" t="s">
        <v>82</v>
      </c>
      <c r="EW72">
        <v>111.87058570000001</v>
      </c>
      <c r="EZ72" t="s">
        <v>496</v>
      </c>
      <c r="FA72" t="s">
        <v>72</v>
      </c>
      <c r="FB72">
        <v>1</v>
      </c>
      <c r="FC72" t="s">
        <v>81</v>
      </c>
      <c r="FD72">
        <v>9.0130000000000002E-3</v>
      </c>
      <c r="FE72" t="s">
        <v>74</v>
      </c>
      <c r="FF72">
        <v>9.0128000000000004</v>
      </c>
      <c r="FG72" t="s">
        <v>75</v>
      </c>
      <c r="FH72">
        <v>9012.7999999999993</v>
      </c>
      <c r="FI72" t="s">
        <v>76</v>
      </c>
      <c r="FJ72" t="s">
        <v>82</v>
      </c>
      <c r="FK72">
        <v>110.9533144</v>
      </c>
    </row>
    <row r="73" spans="1:167" x14ac:dyDescent="0.3">
      <c r="DX73" t="s">
        <v>496</v>
      </c>
      <c r="DY73" t="s">
        <v>83</v>
      </c>
      <c r="DZ73">
        <v>689</v>
      </c>
      <c r="EA73" t="s">
        <v>81</v>
      </c>
      <c r="EB73">
        <v>4.6969999999999998E-3</v>
      </c>
      <c r="EC73" t="s">
        <v>74</v>
      </c>
      <c r="ED73">
        <v>4.6973000000000003</v>
      </c>
      <c r="EE73" t="s">
        <v>75</v>
      </c>
      <c r="EF73">
        <v>4697.3019999999997</v>
      </c>
      <c r="EG73" t="s">
        <v>76</v>
      </c>
      <c r="EH73" t="s">
        <v>82</v>
      </c>
      <c r="EI73">
        <v>212.88814489999999</v>
      </c>
      <c r="EL73" t="s">
        <v>496</v>
      </c>
      <c r="EM73" t="s">
        <v>83</v>
      </c>
      <c r="EN73">
        <v>693</v>
      </c>
      <c r="EO73" t="s">
        <v>81</v>
      </c>
      <c r="EP73">
        <v>3.467E-3</v>
      </c>
      <c r="EQ73" t="s">
        <v>74</v>
      </c>
      <c r="ER73">
        <v>3.4669099999999999</v>
      </c>
      <c r="ES73" t="s">
        <v>75</v>
      </c>
      <c r="ET73">
        <v>3466.91</v>
      </c>
      <c r="EU73" t="s">
        <v>76</v>
      </c>
      <c r="EV73" t="s">
        <v>82</v>
      </c>
      <c r="EW73">
        <v>288.44132689999998</v>
      </c>
      <c r="EZ73" t="s">
        <v>496</v>
      </c>
      <c r="FA73" t="s">
        <v>83</v>
      </c>
      <c r="FB73">
        <v>654</v>
      </c>
      <c r="FC73" t="s">
        <v>81</v>
      </c>
      <c r="FD73">
        <v>5.0600000000000003E-3</v>
      </c>
      <c r="FE73" t="s">
        <v>74</v>
      </c>
      <c r="FF73">
        <v>5.0597300000000001</v>
      </c>
      <c r="FG73" t="s">
        <v>75</v>
      </c>
      <c r="FH73">
        <v>5059.7349999999997</v>
      </c>
      <c r="FI73" t="s">
        <v>76</v>
      </c>
      <c r="FJ73" t="s">
        <v>82</v>
      </c>
      <c r="FK73">
        <v>197.63881850000001</v>
      </c>
    </row>
    <row r="74" spans="1:167" x14ac:dyDescent="0.3">
      <c r="A74">
        <v>8</v>
      </c>
      <c r="B74" t="s">
        <v>150</v>
      </c>
      <c r="O74">
        <v>8</v>
      </c>
      <c r="P74" t="s">
        <v>150</v>
      </c>
      <c r="AC74">
        <v>8</v>
      </c>
      <c r="AD74" t="s">
        <v>150</v>
      </c>
      <c r="AQ74">
        <v>8</v>
      </c>
      <c r="AR74" t="s">
        <v>287</v>
      </c>
      <c r="BE74">
        <v>8</v>
      </c>
      <c r="BF74" t="s">
        <v>287</v>
      </c>
      <c r="BS74">
        <v>8</v>
      </c>
      <c r="BT74" t="s">
        <v>287</v>
      </c>
      <c r="CG74">
        <v>8</v>
      </c>
      <c r="CH74" t="s">
        <v>403</v>
      </c>
      <c r="CU74">
        <v>8</v>
      </c>
      <c r="CV74" t="s">
        <v>403</v>
      </c>
      <c r="DI74">
        <v>8</v>
      </c>
      <c r="DJ74" t="s">
        <v>403</v>
      </c>
      <c r="DX74" t="s">
        <v>496</v>
      </c>
      <c r="DY74" t="s">
        <v>84</v>
      </c>
      <c r="DZ74">
        <v>690</v>
      </c>
      <c r="EA74" t="s">
        <v>81</v>
      </c>
      <c r="EB74">
        <v>4.7260000000000002E-3</v>
      </c>
      <c r="EC74" t="s">
        <v>74</v>
      </c>
      <c r="ED74">
        <v>4.7258800000000001</v>
      </c>
      <c r="EE74" t="s">
        <v>75</v>
      </c>
      <c r="EF74">
        <v>4725.8819999999996</v>
      </c>
      <c r="EG74" t="s">
        <v>76</v>
      </c>
      <c r="EH74" t="s">
        <v>82</v>
      </c>
      <c r="EI74">
        <v>211.60070020000001</v>
      </c>
      <c r="EL74" t="s">
        <v>496</v>
      </c>
      <c r="EM74" t="s">
        <v>84</v>
      </c>
      <c r="EN74">
        <v>694</v>
      </c>
      <c r="EO74" t="s">
        <v>81</v>
      </c>
      <c r="EP74">
        <v>3.4749999999999998E-3</v>
      </c>
      <c r="EQ74" t="s">
        <v>74</v>
      </c>
      <c r="ER74">
        <v>3.47479</v>
      </c>
      <c r="ES74" t="s">
        <v>75</v>
      </c>
      <c r="ET74">
        <v>3474.7939999999999</v>
      </c>
      <c r="EU74" t="s">
        <v>76</v>
      </c>
      <c r="EV74" t="s">
        <v>82</v>
      </c>
      <c r="EW74">
        <v>287.7868047</v>
      </c>
      <c r="EZ74" t="s">
        <v>496</v>
      </c>
      <c r="FA74" t="s">
        <v>84</v>
      </c>
      <c r="FB74">
        <v>655</v>
      </c>
      <c r="FC74" t="s">
        <v>81</v>
      </c>
      <c r="FD74">
        <v>5.0660000000000002E-3</v>
      </c>
      <c r="FE74" t="s">
        <v>74</v>
      </c>
      <c r="FF74">
        <v>5.0657699999999997</v>
      </c>
      <c r="FG74" t="s">
        <v>75</v>
      </c>
      <c r="FH74">
        <v>5065.7700000000004</v>
      </c>
      <c r="FI74" t="s">
        <v>76</v>
      </c>
      <c r="FJ74" t="s">
        <v>82</v>
      </c>
      <c r="FK74">
        <v>197.4033632</v>
      </c>
    </row>
    <row r="75" spans="1:167" x14ac:dyDescent="0.3">
      <c r="B75" t="s">
        <v>72</v>
      </c>
      <c r="C75">
        <v>1</v>
      </c>
      <c r="D75" t="s">
        <v>81</v>
      </c>
      <c r="E75">
        <v>0.31667250000000002</v>
      </c>
      <c r="F75" t="s">
        <v>74</v>
      </c>
      <c r="G75">
        <v>316.67250000000001</v>
      </c>
      <c r="H75" t="s">
        <v>75</v>
      </c>
      <c r="I75">
        <v>316672.50400000002</v>
      </c>
      <c r="J75" t="s">
        <v>76</v>
      </c>
      <c r="K75" t="s">
        <v>82</v>
      </c>
      <c r="L75">
        <v>3.1578365000000002</v>
      </c>
      <c r="P75" t="s">
        <v>72</v>
      </c>
      <c r="Q75">
        <v>1</v>
      </c>
      <c r="R75" t="s">
        <v>81</v>
      </c>
      <c r="S75">
        <v>0.31349539999999998</v>
      </c>
      <c r="T75" t="s">
        <v>74</v>
      </c>
      <c r="U75">
        <v>313.49540000000002</v>
      </c>
      <c r="V75" t="s">
        <v>75</v>
      </c>
      <c r="W75">
        <v>313495.39799999999</v>
      </c>
      <c r="X75" t="s">
        <v>76</v>
      </c>
      <c r="Y75" t="s">
        <v>82</v>
      </c>
      <c r="Z75">
        <v>3.1898395000000002</v>
      </c>
      <c r="AD75" t="s">
        <v>72</v>
      </c>
      <c r="AE75">
        <v>1</v>
      </c>
      <c r="AF75" t="s">
        <v>81</v>
      </c>
      <c r="AG75">
        <v>0.30081068999999999</v>
      </c>
      <c r="AH75" t="s">
        <v>74</v>
      </c>
      <c r="AI75">
        <v>300.81069000000002</v>
      </c>
      <c r="AJ75" t="s">
        <v>75</v>
      </c>
      <c r="AK75">
        <v>300810.69500000001</v>
      </c>
      <c r="AL75" t="s">
        <v>76</v>
      </c>
      <c r="AM75" t="s">
        <v>82</v>
      </c>
      <c r="AN75">
        <v>3.3243499000000001</v>
      </c>
      <c r="AR75" t="s">
        <v>72</v>
      </c>
      <c r="AS75">
        <v>1</v>
      </c>
      <c r="AT75" t="s">
        <v>81</v>
      </c>
      <c r="AU75">
        <v>0.55553722000000005</v>
      </c>
      <c r="AV75" t="s">
        <v>74</v>
      </c>
      <c r="AW75">
        <v>555.53722000000005</v>
      </c>
      <c r="AX75" t="s">
        <v>75</v>
      </c>
      <c r="AY75">
        <v>555537.22400000005</v>
      </c>
      <c r="AZ75" t="s">
        <v>76</v>
      </c>
      <c r="BA75" t="s">
        <v>82</v>
      </c>
      <c r="BB75">
        <v>1.8000594000000001</v>
      </c>
      <c r="BF75" t="s">
        <v>72</v>
      </c>
      <c r="BG75">
        <v>1</v>
      </c>
      <c r="BH75" t="s">
        <v>81</v>
      </c>
      <c r="BI75">
        <v>0.47126961000000001</v>
      </c>
      <c r="BJ75" t="s">
        <v>74</v>
      </c>
      <c r="BK75">
        <v>471.26961</v>
      </c>
      <c r="BL75" t="s">
        <v>75</v>
      </c>
      <c r="BM75">
        <v>471269.60800000001</v>
      </c>
      <c r="BN75" t="s">
        <v>76</v>
      </c>
      <c r="BO75" t="s">
        <v>82</v>
      </c>
      <c r="BP75">
        <v>2.1219275999999998</v>
      </c>
      <c r="BT75" t="s">
        <v>72</v>
      </c>
      <c r="BU75">
        <v>1</v>
      </c>
      <c r="BV75" t="s">
        <v>81</v>
      </c>
      <c r="BW75">
        <v>0.1109349</v>
      </c>
      <c r="BX75" t="s">
        <v>74</v>
      </c>
      <c r="BY75">
        <v>110.9349</v>
      </c>
      <c r="BZ75" t="s">
        <v>75</v>
      </c>
      <c r="CA75">
        <v>110934.898</v>
      </c>
      <c r="CB75" t="s">
        <v>76</v>
      </c>
      <c r="CC75" t="s">
        <v>82</v>
      </c>
      <c r="CD75">
        <v>9.0142959000000005</v>
      </c>
      <c r="CH75" t="s">
        <v>72</v>
      </c>
      <c r="CI75">
        <v>1</v>
      </c>
      <c r="CJ75" t="s">
        <v>81</v>
      </c>
      <c r="CK75">
        <v>0.115935</v>
      </c>
      <c r="CL75" t="s">
        <v>74</v>
      </c>
      <c r="CM75">
        <v>115.935</v>
      </c>
      <c r="CN75" t="s">
        <v>75</v>
      </c>
      <c r="CO75">
        <v>115934.99800000001</v>
      </c>
      <c r="CP75" t="s">
        <v>76</v>
      </c>
      <c r="CQ75" t="s">
        <v>82</v>
      </c>
      <c r="CR75">
        <v>8.6255231000000006</v>
      </c>
      <c r="CV75" t="s">
        <v>72</v>
      </c>
      <c r="CW75">
        <v>1</v>
      </c>
      <c r="CX75" t="s">
        <v>81</v>
      </c>
      <c r="CY75">
        <v>0.11490690000000001</v>
      </c>
      <c r="CZ75" t="s">
        <v>74</v>
      </c>
      <c r="DA75">
        <v>114.90689999999999</v>
      </c>
      <c r="DB75" t="s">
        <v>75</v>
      </c>
      <c r="DC75">
        <v>114906.9</v>
      </c>
      <c r="DD75" t="s">
        <v>76</v>
      </c>
      <c r="DE75" t="s">
        <v>82</v>
      </c>
      <c r="DF75">
        <v>8.7026976000000005</v>
      </c>
      <c r="DJ75" t="s">
        <v>72</v>
      </c>
      <c r="DK75">
        <v>1</v>
      </c>
      <c r="DL75" t="s">
        <v>81</v>
      </c>
      <c r="DM75">
        <v>0.11679630000000001</v>
      </c>
      <c r="DN75" t="s">
        <v>74</v>
      </c>
      <c r="DO75">
        <v>116.7963</v>
      </c>
      <c r="DP75" t="s">
        <v>75</v>
      </c>
      <c r="DQ75">
        <v>116796.3</v>
      </c>
      <c r="DR75" t="s">
        <v>76</v>
      </c>
      <c r="DS75" t="s">
        <v>82</v>
      </c>
      <c r="DT75">
        <v>8.5619151000000002</v>
      </c>
      <c r="DX75" t="s">
        <v>497</v>
      </c>
      <c r="DY75" t="s">
        <v>72</v>
      </c>
      <c r="DZ75">
        <v>1</v>
      </c>
      <c r="EA75" t="s">
        <v>81</v>
      </c>
      <c r="EB75">
        <v>6.7120000000000001E-3</v>
      </c>
      <c r="EC75" t="s">
        <v>74</v>
      </c>
      <c r="ED75">
        <v>6.7119</v>
      </c>
      <c r="EE75" t="s">
        <v>75</v>
      </c>
      <c r="EF75">
        <v>6711.9</v>
      </c>
      <c r="EG75" t="s">
        <v>76</v>
      </c>
      <c r="EH75" t="s">
        <v>82</v>
      </c>
      <c r="EI75">
        <v>148.989114</v>
      </c>
      <c r="EL75" t="s">
        <v>497</v>
      </c>
      <c r="EM75" t="s">
        <v>72</v>
      </c>
      <c r="EN75">
        <v>1</v>
      </c>
      <c r="EO75" t="s">
        <v>81</v>
      </c>
      <c r="EP75">
        <v>5.9750000000000003E-3</v>
      </c>
      <c r="EQ75" t="s">
        <v>74</v>
      </c>
      <c r="ER75">
        <v>5.9747000000000003</v>
      </c>
      <c r="ES75" t="s">
        <v>75</v>
      </c>
      <c r="ET75">
        <v>5974.7</v>
      </c>
      <c r="EU75" t="s">
        <v>76</v>
      </c>
      <c r="EV75" t="s">
        <v>82</v>
      </c>
      <c r="EW75">
        <v>167.37241449999999</v>
      </c>
      <c r="EZ75" t="s">
        <v>497</v>
      </c>
      <c r="FA75" t="s">
        <v>72</v>
      </c>
      <c r="FB75">
        <v>1</v>
      </c>
      <c r="FC75" t="s">
        <v>81</v>
      </c>
      <c r="FD75">
        <v>5.8900000000000003E-3</v>
      </c>
      <c r="FE75" t="s">
        <v>74</v>
      </c>
      <c r="FF75">
        <v>5.8897000000000004</v>
      </c>
      <c r="FG75" t="s">
        <v>75</v>
      </c>
      <c r="FH75">
        <v>5889.7</v>
      </c>
      <c r="FI75" t="s">
        <v>76</v>
      </c>
      <c r="FJ75" t="s">
        <v>82</v>
      </c>
      <c r="FK75">
        <v>169.7879408</v>
      </c>
    </row>
    <row r="76" spans="1:167" x14ac:dyDescent="0.3">
      <c r="B76" t="s">
        <v>83</v>
      </c>
      <c r="C76">
        <v>1000</v>
      </c>
      <c r="D76" t="s">
        <v>81</v>
      </c>
      <c r="E76">
        <v>6.34967E-3</v>
      </c>
      <c r="F76" t="s">
        <v>74</v>
      </c>
      <c r="G76">
        <v>6.3496699999999997</v>
      </c>
      <c r="H76" t="s">
        <v>75</v>
      </c>
      <c r="I76">
        <v>6349.6660000000002</v>
      </c>
      <c r="J76" t="s">
        <v>76</v>
      </c>
      <c r="K76" t="s">
        <v>82</v>
      </c>
      <c r="L76">
        <v>157.48859569999999</v>
      </c>
      <c r="P76" t="s">
        <v>83</v>
      </c>
      <c r="Q76">
        <v>1000</v>
      </c>
      <c r="R76" t="s">
        <v>81</v>
      </c>
      <c r="S76">
        <v>2.7546300000000001E-3</v>
      </c>
      <c r="T76" t="s">
        <v>74</v>
      </c>
      <c r="U76">
        <v>2.7546300000000001</v>
      </c>
      <c r="V76" t="s">
        <v>75</v>
      </c>
      <c r="W76">
        <v>2754.6260000000002</v>
      </c>
      <c r="X76" t="s">
        <v>76</v>
      </c>
      <c r="Y76" t="s">
        <v>82</v>
      </c>
      <c r="Z76">
        <v>363.02565229999999</v>
      </c>
      <c r="AD76" t="s">
        <v>83</v>
      </c>
      <c r="AE76">
        <v>1000</v>
      </c>
      <c r="AF76" t="s">
        <v>81</v>
      </c>
      <c r="AG76">
        <v>6.4106900000000001E-3</v>
      </c>
      <c r="AH76" t="s">
        <v>74</v>
      </c>
      <c r="AI76">
        <v>6.4106899999999998</v>
      </c>
      <c r="AJ76" t="s">
        <v>75</v>
      </c>
      <c r="AK76">
        <v>6410.6869999999999</v>
      </c>
      <c r="AL76" t="s">
        <v>76</v>
      </c>
      <c r="AM76" t="s">
        <v>82</v>
      </c>
      <c r="AN76">
        <v>155.98951099999999</v>
      </c>
      <c r="AR76" t="s">
        <v>83</v>
      </c>
      <c r="AS76">
        <v>1000</v>
      </c>
      <c r="AT76" t="s">
        <v>81</v>
      </c>
      <c r="AU76">
        <v>5.9881700000000001E-3</v>
      </c>
      <c r="AV76" t="s">
        <v>74</v>
      </c>
      <c r="AW76">
        <v>5.9881700000000002</v>
      </c>
      <c r="AX76" t="s">
        <v>75</v>
      </c>
      <c r="AY76">
        <v>5988.1679999999997</v>
      </c>
      <c r="AZ76" t="s">
        <v>76</v>
      </c>
      <c r="BA76" t="s">
        <v>82</v>
      </c>
      <c r="BB76">
        <v>166.99597610000001</v>
      </c>
      <c r="BF76" t="s">
        <v>83</v>
      </c>
      <c r="BG76">
        <v>1000</v>
      </c>
      <c r="BH76" t="s">
        <v>81</v>
      </c>
      <c r="BI76">
        <v>2.78985E-3</v>
      </c>
      <c r="BJ76" t="s">
        <v>74</v>
      </c>
      <c r="BK76">
        <v>2.7898499999999999</v>
      </c>
      <c r="BL76" t="s">
        <v>75</v>
      </c>
      <c r="BM76">
        <v>2789.8470000000002</v>
      </c>
      <c r="BN76" t="s">
        <v>76</v>
      </c>
      <c r="BO76" t="s">
        <v>82</v>
      </c>
      <c r="BP76">
        <v>358.44260880000002</v>
      </c>
      <c r="BT76" t="s">
        <v>83</v>
      </c>
      <c r="BU76">
        <v>1000</v>
      </c>
      <c r="BV76" t="s">
        <v>81</v>
      </c>
      <c r="BW76">
        <v>6.1109900000000002E-3</v>
      </c>
      <c r="BX76" t="s">
        <v>74</v>
      </c>
      <c r="BY76">
        <v>6.1109900000000001</v>
      </c>
      <c r="BZ76" t="s">
        <v>75</v>
      </c>
      <c r="CA76">
        <v>6110.9849999999997</v>
      </c>
      <c r="CB76" t="s">
        <v>76</v>
      </c>
      <c r="CC76" t="s">
        <v>82</v>
      </c>
      <c r="CD76">
        <v>163.6397331</v>
      </c>
      <c r="CH76" t="s">
        <v>83</v>
      </c>
      <c r="CI76">
        <v>1000</v>
      </c>
      <c r="CJ76" t="s">
        <v>81</v>
      </c>
      <c r="CK76">
        <v>6.0151299999999996E-3</v>
      </c>
      <c r="CL76" t="s">
        <v>74</v>
      </c>
      <c r="CM76">
        <v>6.0151300000000001</v>
      </c>
      <c r="CN76" t="s">
        <v>75</v>
      </c>
      <c r="CO76">
        <v>6015.1260000000002</v>
      </c>
      <c r="CP76" t="s">
        <v>76</v>
      </c>
      <c r="CQ76" t="s">
        <v>82</v>
      </c>
      <c r="CR76">
        <v>166.2475503</v>
      </c>
      <c r="CV76" t="s">
        <v>83</v>
      </c>
      <c r="CW76">
        <v>1000</v>
      </c>
      <c r="CX76" t="s">
        <v>81</v>
      </c>
      <c r="CY76">
        <v>2.7632500000000001E-3</v>
      </c>
      <c r="CZ76" t="s">
        <v>74</v>
      </c>
      <c r="DA76">
        <v>2.7632500000000002</v>
      </c>
      <c r="DB76" t="s">
        <v>75</v>
      </c>
      <c r="DC76">
        <v>2763.2530000000002</v>
      </c>
      <c r="DD76" t="s">
        <v>76</v>
      </c>
      <c r="DE76" t="s">
        <v>82</v>
      </c>
      <c r="DF76">
        <v>361.89227820000002</v>
      </c>
      <c r="DJ76" t="s">
        <v>83</v>
      </c>
      <c r="DK76">
        <v>1000</v>
      </c>
      <c r="DL76" t="s">
        <v>81</v>
      </c>
      <c r="DM76">
        <v>6.0922900000000002E-3</v>
      </c>
      <c r="DN76" t="s">
        <v>74</v>
      </c>
      <c r="DO76">
        <v>6.0922900000000002</v>
      </c>
      <c r="DP76" t="s">
        <v>75</v>
      </c>
      <c r="DQ76">
        <v>6092.2889999999998</v>
      </c>
      <c r="DR76" t="s">
        <v>76</v>
      </c>
      <c r="DS76" t="s">
        <v>82</v>
      </c>
      <c r="DT76">
        <v>164.1419057</v>
      </c>
      <c r="DX76" t="s">
        <v>497</v>
      </c>
      <c r="DY76" t="s">
        <v>83</v>
      </c>
      <c r="DZ76">
        <v>310</v>
      </c>
      <c r="EA76" t="s">
        <v>81</v>
      </c>
      <c r="EB76">
        <v>1.0525E-2</v>
      </c>
      <c r="EC76" t="s">
        <v>74</v>
      </c>
      <c r="ED76">
        <v>10.525460000000001</v>
      </c>
      <c r="EE76" t="s">
        <v>75</v>
      </c>
      <c r="EF76">
        <v>10525.460999999999</v>
      </c>
      <c r="EG76" t="s">
        <v>76</v>
      </c>
      <c r="EH76" t="s">
        <v>82</v>
      </c>
      <c r="EI76">
        <v>95.007713600000002</v>
      </c>
      <c r="EL76" t="s">
        <v>497</v>
      </c>
      <c r="EM76" t="s">
        <v>83</v>
      </c>
      <c r="EN76">
        <v>306</v>
      </c>
      <c r="EO76" t="s">
        <v>81</v>
      </c>
      <c r="EP76">
        <v>7.9129999999999999E-3</v>
      </c>
      <c r="EQ76" t="s">
        <v>74</v>
      </c>
      <c r="ER76">
        <v>7.9133899999999997</v>
      </c>
      <c r="ES76" t="s">
        <v>75</v>
      </c>
      <c r="ET76">
        <v>7913.3909999999996</v>
      </c>
      <c r="EU76" t="s">
        <v>76</v>
      </c>
      <c r="EV76" t="s">
        <v>82</v>
      </c>
      <c r="EW76">
        <v>126.3680799</v>
      </c>
      <c r="EZ76" t="s">
        <v>497</v>
      </c>
      <c r="FA76" t="s">
        <v>83</v>
      </c>
      <c r="FB76">
        <v>345</v>
      </c>
      <c r="FC76" t="s">
        <v>81</v>
      </c>
      <c r="FD76">
        <v>9.613E-3</v>
      </c>
      <c r="FE76" t="s">
        <v>74</v>
      </c>
      <c r="FF76">
        <v>9.6125100000000003</v>
      </c>
      <c r="FG76" t="s">
        <v>75</v>
      </c>
      <c r="FH76">
        <v>9612.5110000000004</v>
      </c>
      <c r="FI76" t="s">
        <v>76</v>
      </c>
      <c r="FJ76" t="s">
        <v>82</v>
      </c>
      <c r="FK76">
        <v>104.0310956</v>
      </c>
    </row>
    <row r="77" spans="1:167" x14ac:dyDescent="0.3">
      <c r="B77" t="s">
        <v>85</v>
      </c>
      <c r="C77">
        <v>1001</v>
      </c>
      <c r="D77" t="s">
        <v>86</v>
      </c>
      <c r="E77">
        <v>6.65987E-3</v>
      </c>
      <c r="F77" t="s">
        <v>74</v>
      </c>
      <c r="G77">
        <v>6.6598699999999997</v>
      </c>
      <c r="H77" t="s">
        <v>75</v>
      </c>
      <c r="I77">
        <v>6659.8729999999996</v>
      </c>
      <c r="J77" t="s">
        <v>76</v>
      </c>
      <c r="K77" t="s">
        <v>82</v>
      </c>
      <c r="L77">
        <v>150.15301070000001</v>
      </c>
      <c r="P77" t="s">
        <v>85</v>
      </c>
      <c r="Q77">
        <v>1001</v>
      </c>
      <c r="R77" t="s">
        <v>86</v>
      </c>
      <c r="S77">
        <v>3.06523E-3</v>
      </c>
      <c r="T77" t="s">
        <v>74</v>
      </c>
      <c r="U77">
        <v>3.0652300000000001</v>
      </c>
      <c r="V77" t="s">
        <v>75</v>
      </c>
      <c r="W77">
        <v>3065.2310000000002</v>
      </c>
      <c r="X77" t="s">
        <v>76</v>
      </c>
      <c r="Y77" t="s">
        <v>82</v>
      </c>
      <c r="Z77">
        <v>326.23966489999998</v>
      </c>
      <c r="AD77" t="s">
        <v>85</v>
      </c>
      <c r="AE77">
        <v>1001</v>
      </c>
      <c r="AF77" t="s">
        <v>86</v>
      </c>
      <c r="AG77">
        <v>6.7049800000000001E-3</v>
      </c>
      <c r="AH77" t="s">
        <v>74</v>
      </c>
      <c r="AI77">
        <v>6.7049799999999999</v>
      </c>
      <c r="AJ77" t="s">
        <v>75</v>
      </c>
      <c r="AK77">
        <v>6704.9769999999999</v>
      </c>
      <c r="AL77" t="s">
        <v>76</v>
      </c>
      <c r="AM77" t="s">
        <v>82</v>
      </c>
      <c r="AN77">
        <v>149.14294559999999</v>
      </c>
      <c r="AR77" t="s">
        <v>85</v>
      </c>
      <c r="AS77">
        <v>1001</v>
      </c>
      <c r="AT77" t="s">
        <v>86</v>
      </c>
      <c r="AU77">
        <v>6.53734E-3</v>
      </c>
      <c r="AV77" t="s">
        <v>74</v>
      </c>
      <c r="AW77">
        <v>6.5373400000000004</v>
      </c>
      <c r="AX77" t="s">
        <v>75</v>
      </c>
      <c r="AY77">
        <v>6537.3419999999996</v>
      </c>
      <c r="AZ77" t="s">
        <v>76</v>
      </c>
      <c r="BA77" t="s">
        <v>82</v>
      </c>
      <c r="BB77">
        <v>152.96737529999999</v>
      </c>
      <c r="BF77" t="s">
        <v>85</v>
      </c>
      <c r="BG77">
        <v>1001</v>
      </c>
      <c r="BH77" t="s">
        <v>86</v>
      </c>
      <c r="BI77">
        <v>3.2580500000000002E-3</v>
      </c>
      <c r="BJ77" t="s">
        <v>74</v>
      </c>
      <c r="BK77">
        <v>3.2580499999999999</v>
      </c>
      <c r="BL77" t="s">
        <v>75</v>
      </c>
      <c r="BM77">
        <v>3258.0529999999999</v>
      </c>
      <c r="BN77" t="s">
        <v>76</v>
      </c>
      <c r="BO77" t="s">
        <v>82</v>
      </c>
      <c r="BP77">
        <v>306.93180030000002</v>
      </c>
      <c r="BT77" t="s">
        <v>85</v>
      </c>
      <c r="BU77">
        <v>1001</v>
      </c>
      <c r="BV77" t="s">
        <v>86</v>
      </c>
      <c r="BW77">
        <v>6.2160000000000002E-3</v>
      </c>
      <c r="BX77" t="s">
        <v>74</v>
      </c>
      <c r="BY77">
        <v>6.2160000000000002</v>
      </c>
      <c r="BZ77" t="s">
        <v>75</v>
      </c>
      <c r="CA77">
        <v>6215.9960000000001</v>
      </c>
      <c r="CB77" t="s">
        <v>76</v>
      </c>
      <c r="CC77" t="s">
        <v>82</v>
      </c>
      <c r="CD77">
        <v>160.8752562</v>
      </c>
      <c r="CH77" t="s">
        <v>85</v>
      </c>
      <c r="CI77">
        <v>1001</v>
      </c>
      <c r="CJ77" t="s">
        <v>86</v>
      </c>
      <c r="CK77">
        <v>6.1251200000000004E-3</v>
      </c>
      <c r="CL77" t="s">
        <v>74</v>
      </c>
      <c r="CM77">
        <v>6.1251199999999999</v>
      </c>
      <c r="CN77" t="s">
        <v>75</v>
      </c>
      <c r="CO77">
        <v>6125.1189999999997</v>
      </c>
      <c r="CP77" t="s">
        <v>76</v>
      </c>
      <c r="CQ77" t="s">
        <v>82</v>
      </c>
      <c r="CR77">
        <v>163.26214519999999</v>
      </c>
      <c r="CV77" t="s">
        <v>85</v>
      </c>
      <c r="CW77">
        <v>1001</v>
      </c>
      <c r="CX77" t="s">
        <v>86</v>
      </c>
      <c r="CY77">
        <v>2.8754599999999998E-3</v>
      </c>
      <c r="CZ77" t="s">
        <v>74</v>
      </c>
      <c r="DA77">
        <v>2.8754599999999999</v>
      </c>
      <c r="DB77" t="s">
        <v>75</v>
      </c>
      <c r="DC77">
        <v>2875.4630000000002</v>
      </c>
      <c r="DD77" t="s">
        <v>76</v>
      </c>
      <c r="DE77" t="s">
        <v>82</v>
      </c>
      <c r="DF77">
        <v>347.7700385</v>
      </c>
      <c r="DJ77" t="s">
        <v>85</v>
      </c>
      <c r="DK77">
        <v>1001</v>
      </c>
      <c r="DL77" t="s">
        <v>86</v>
      </c>
      <c r="DM77">
        <v>6.2030699999999998E-3</v>
      </c>
      <c r="DN77" t="s">
        <v>74</v>
      </c>
      <c r="DO77">
        <v>6.2030700000000003</v>
      </c>
      <c r="DP77" t="s">
        <v>75</v>
      </c>
      <c r="DQ77">
        <v>6203.0649999999996</v>
      </c>
      <c r="DR77" t="s">
        <v>76</v>
      </c>
      <c r="DS77" t="s">
        <v>82</v>
      </c>
      <c r="DT77">
        <v>161.21062660000001</v>
      </c>
      <c r="DX77" t="s">
        <v>497</v>
      </c>
      <c r="DY77" t="s">
        <v>84</v>
      </c>
      <c r="DZ77">
        <v>311</v>
      </c>
      <c r="EA77" t="s">
        <v>81</v>
      </c>
      <c r="EB77">
        <v>1.0513E-2</v>
      </c>
      <c r="EC77" t="s">
        <v>74</v>
      </c>
      <c r="ED77">
        <v>10.513199999999999</v>
      </c>
      <c r="EE77" t="s">
        <v>75</v>
      </c>
      <c r="EF77">
        <v>10513.199000000001</v>
      </c>
      <c r="EG77" t="s">
        <v>76</v>
      </c>
      <c r="EH77" t="s">
        <v>82</v>
      </c>
      <c r="EI77">
        <v>95.1185258</v>
      </c>
      <c r="EL77" t="s">
        <v>497</v>
      </c>
      <c r="EM77" t="s">
        <v>84</v>
      </c>
      <c r="EN77">
        <v>307</v>
      </c>
      <c r="EO77" t="s">
        <v>81</v>
      </c>
      <c r="EP77">
        <v>7.9070000000000008E-3</v>
      </c>
      <c r="EQ77" t="s">
        <v>74</v>
      </c>
      <c r="ER77">
        <v>7.9070799999999997</v>
      </c>
      <c r="ES77" t="s">
        <v>75</v>
      </c>
      <c r="ET77">
        <v>7907.0749999999998</v>
      </c>
      <c r="EU77" t="s">
        <v>76</v>
      </c>
      <c r="EV77" t="s">
        <v>82</v>
      </c>
      <c r="EW77">
        <v>126.46901200000001</v>
      </c>
      <c r="EZ77" t="s">
        <v>497</v>
      </c>
      <c r="FA77" t="s">
        <v>84</v>
      </c>
      <c r="FB77">
        <v>346</v>
      </c>
      <c r="FC77" t="s">
        <v>81</v>
      </c>
      <c r="FD77">
        <v>9.6019999999999994E-3</v>
      </c>
      <c r="FE77" t="s">
        <v>74</v>
      </c>
      <c r="FF77">
        <v>9.6017499999999991</v>
      </c>
      <c r="FG77" t="s">
        <v>75</v>
      </c>
      <c r="FH77">
        <v>9601.7510000000002</v>
      </c>
      <c r="FI77" t="s">
        <v>76</v>
      </c>
      <c r="FJ77" t="s">
        <v>82</v>
      </c>
      <c r="FK77">
        <v>104.14767260000001</v>
      </c>
    </row>
    <row r="78" spans="1:167" x14ac:dyDescent="0.3">
      <c r="DX78" t="s">
        <v>498</v>
      </c>
      <c r="DY78" t="s">
        <v>72</v>
      </c>
      <c r="DZ78">
        <v>2</v>
      </c>
      <c r="EA78" t="s">
        <v>86</v>
      </c>
      <c r="EB78">
        <v>1.2212000000000001E-2</v>
      </c>
      <c r="EC78" t="s">
        <v>74</v>
      </c>
      <c r="ED78">
        <v>12.2118</v>
      </c>
      <c r="EE78" t="s">
        <v>75</v>
      </c>
      <c r="EF78">
        <v>12211.8</v>
      </c>
      <c r="EG78" t="s">
        <v>76</v>
      </c>
      <c r="EH78" t="s">
        <v>82</v>
      </c>
      <c r="EI78">
        <v>81.888012500000002</v>
      </c>
      <c r="EL78" t="s">
        <v>498</v>
      </c>
      <c r="EM78" t="s">
        <v>72</v>
      </c>
      <c r="EN78">
        <v>2</v>
      </c>
      <c r="EO78" t="s">
        <v>86</v>
      </c>
      <c r="EP78">
        <v>4.4730000000000004E-3</v>
      </c>
      <c r="EQ78" t="s">
        <v>74</v>
      </c>
      <c r="ER78">
        <v>4.47255</v>
      </c>
      <c r="ES78" t="s">
        <v>75</v>
      </c>
      <c r="ET78">
        <v>4472.55</v>
      </c>
      <c r="EU78" t="s">
        <v>76</v>
      </c>
      <c r="EV78" t="s">
        <v>82</v>
      </c>
      <c r="EW78">
        <v>223.58609720000001</v>
      </c>
      <c r="EZ78" t="s">
        <v>498</v>
      </c>
      <c r="FA78" t="s">
        <v>72</v>
      </c>
      <c r="FB78">
        <v>2</v>
      </c>
      <c r="FC78" t="s">
        <v>86</v>
      </c>
      <c r="FD78">
        <v>4.5100000000000001E-3</v>
      </c>
      <c r="FE78" t="s">
        <v>74</v>
      </c>
      <c r="FF78">
        <v>4.5099499999999999</v>
      </c>
      <c r="FG78" t="s">
        <v>75</v>
      </c>
      <c r="FH78">
        <v>4509.95</v>
      </c>
      <c r="FI78" t="s">
        <v>76</v>
      </c>
      <c r="FJ78" t="s">
        <v>82</v>
      </c>
      <c r="FK78">
        <v>221.73194549999999</v>
      </c>
    </row>
    <row r="79" spans="1:167" x14ac:dyDescent="0.3">
      <c r="B79" t="s">
        <v>151</v>
      </c>
      <c r="P79" t="s">
        <v>151</v>
      </c>
      <c r="AD79" t="s">
        <v>151</v>
      </c>
      <c r="AR79" t="s">
        <v>288</v>
      </c>
      <c r="BF79" t="s">
        <v>288</v>
      </c>
      <c r="BT79" t="s">
        <v>288</v>
      </c>
      <c r="CH79" t="s">
        <v>404</v>
      </c>
      <c r="CV79" t="s">
        <v>404</v>
      </c>
      <c r="DJ79" t="s">
        <v>404</v>
      </c>
      <c r="DX79" t="s">
        <v>498</v>
      </c>
      <c r="DY79" t="s">
        <v>83</v>
      </c>
      <c r="DZ79">
        <v>999</v>
      </c>
      <c r="EA79" t="s">
        <v>86</v>
      </c>
      <c r="EB79">
        <v>3.2690000000000002E-3</v>
      </c>
      <c r="EC79" t="s">
        <v>74</v>
      </c>
      <c r="ED79">
        <v>3.2693500000000002</v>
      </c>
      <c r="EE79" t="s">
        <v>75</v>
      </c>
      <c r="EF79">
        <v>3269.3490000000002</v>
      </c>
      <c r="EG79" t="s">
        <v>76</v>
      </c>
      <c r="EH79" t="s">
        <v>82</v>
      </c>
      <c r="EI79">
        <v>305.87126760000001</v>
      </c>
      <c r="EL79" t="s">
        <v>498</v>
      </c>
      <c r="EM79" t="s">
        <v>83</v>
      </c>
      <c r="EN79">
        <v>999</v>
      </c>
      <c r="EO79" t="s">
        <v>86</v>
      </c>
      <c r="EP79">
        <v>2.4269999999999999E-3</v>
      </c>
      <c r="EQ79" t="s">
        <v>74</v>
      </c>
      <c r="ER79">
        <v>2.427</v>
      </c>
      <c r="ES79" t="s">
        <v>75</v>
      </c>
      <c r="ET79">
        <v>2426.9960000000001</v>
      </c>
      <c r="EU79" t="s">
        <v>76</v>
      </c>
      <c r="EV79" t="s">
        <v>82</v>
      </c>
      <c r="EW79">
        <v>412.03205309999998</v>
      </c>
      <c r="EZ79" t="s">
        <v>498</v>
      </c>
      <c r="FA79" t="s">
        <v>83</v>
      </c>
      <c r="FB79">
        <v>999</v>
      </c>
      <c r="FC79" t="s">
        <v>86</v>
      </c>
      <c r="FD79">
        <v>3.323E-3</v>
      </c>
      <c r="FE79" t="s">
        <v>74</v>
      </c>
      <c r="FF79">
        <v>3.3227699999999998</v>
      </c>
      <c r="FG79" t="s">
        <v>75</v>
      </c>
      <c r="FH79">
        <v>3322.77</v>
      </c>
      <c r="FI79" t="s">
        <v>76</v>
      </c>
      <c r="FJ79" t="s">
        <v>82</v>
      </c>
      <c r="FK79">
        <v>300.95369629999999</v>
      </c>
    </row>
    <row r="80" spans="1:167" x14ac:dyDescent="0.3">
      <c r="B80" t="s">
        <v>72</v>
      </c>
      <c r="C80">
        <v>1</v>
      </c>
      <c r="D80" t="s">
        <v>81</v>
      </c>
      <c r="E80">
        <v>9.7994999999999992E-3</v>
      </c>
      <c r="F80" t="s">
        <v>74</v>
      </c>
      <c r="G80">
        <v>9.7995000000000001</v>
      </c>
      <c r="H80" t="s">
        <v>75</v>
      </c>
      <c r="I80">
        <v>9799.5</v>
      </c>
      <c r="J80" t="s">
        <v>76</v>
      </c>
      <c r="K80" t="s">
        <v>82</v>
      </c>
      <c r="L80">
        <v>102.0460228</v>
      </c>
      <c r="P80" t="s">
        <v>72</v>
      </c>
      <c r="Q80">
        <v>1</v>
      </c>
      <c r="R80" t="s">
        <v>81</v>
      </c>
      <c r="S80">
        <v>1.0005999999999999E-2</v>
      </c>
      <c r="T80" t="s">
        <v>74</v>
      </c>
      <c r="U80">
        <v>10.006</v>
      </c>
      <c r="V80" t="s">
        <v>75</v>
      </c>
      <c r="W80">
        <v>10006</v>
      </c>
      <c r="X80" t="s">
        <v>76</v>
      </c>
      <c r="Y80" t="s">
        <v>82</v>
      </c>
      <c r="Z80">
        <v>99.940033099999994</v>
      </c>
      <c r="AD80" t="s">
        <v>72</v>
      </c>
      <c r="AE80">
        <v>1</v>
      </c>
      <c r="AF80" t="s">
        <v>81</v>
      </c>
      <c r="AG80">
        <v>9.7275E-3</v>
      </c>
      <c r="AH80" t="s">
        <v>74</v>
      </c>
      <c r="AI80">
        <v>9.7274999999999991</v>
      </c>
      <c r="AJ80" t="s">
        <v>75</v>
      </c>
      <c r="AK80">
        <v>9727.5</v>
      </c>
      <c r="AL80" t="s">
        <v>76</v>
      </c>
      <c r="AM80" t="s">
        <v>82</v>
      </c>
      <c r="AN80">
        <v>102.80133240000001</v>
      </c>
      <c r="AR80" t="s">
        <v>72</v>
      </c>
      <c r="AS80">
        <v>1</v>
      </c>
      <c r="AT80" t="s">
        <v>81</v>
      </c>
      <c r="AU80">
        <v>8.5381999999999993E-3</v>
      </c>
      <c r="AV80" t="s">
        <v>74</v>
      </c>
      <c r="AW80">
        <v>8.5381999999999998</v>
      </c>
      <c r="AX80" t="s">
        <v>75</v>
      </c>
      <c r="AY80">
        <v>8538.2000000000007</v>
      </c>
      <c r="AZ80" t="s">
        <v>76</v>
      </c>
      <c r="BA80" t="s">
        <v>82</v>
      </c>
      <c r="BB80">
        <v>117.1207102</v>
      </c>
      <c r="BF80" t="s">
        <v>72</v>
      </c>
      <c r="BG80">
        <v>1</v>
      </c>
      <c r="BH80" t="s">
        <v>81</v>
      </c>
      <c r="BI80">
        <v>0.37425079999999999</v>
      </c>
      <c r="BJ80" t="s">
        <v>74</v>
      </c>
      <c r="BK80">
        <v>374.25080000000003</v>
      </c>
      <c r="BL80" t="s">
        <v>75</v>
      </c>
      <c r="BM80">
        <v>374250.799</v>
      </c>
      <c r="BN80" t="s">
        <v>76</v>
      </c>
      <c r="BO80" t="s">
        <v>82</v>
      </c>
      <c r="BP80">
        <v>2.672005</v>
      </c>
      <c r="BT80" t="s">
        <v>72</v>
      </c>
      <c r="BU80">
        <v>1</v>
      </c>
      <c r="BV80" t="s">
        <v>81</v>
      </c>
      <c r="BW80">
        <v>8.6283999999999996E-3</v>
      </c>
      <c r="BX80" t="s">
        <v>74</v>
      </c>
      <c r="BY80">
        <v>8.6283999999999992</v>
      </c>
      <c r="BZ80" t="s">
        <v>75</v>
      </c>
      <c r="CA80">
        <v>8628.4</v>
      </c>
      <c r="CB80" t="s">
        <v>76</v>
      </c>
      <c r="CC80" t="s">
        <v>82</v>
      </c>
      <c r="CD80">
        <v>115.89634169999999</v>
      </c>
      <c r="CH80" t="s">
        <v>72</v>
      </c>
      <c r="CI80">
        <v>1</v>
      </c>
      <c r="CJ80" t="s">
        <v>81</v>
      </c>
      <c r="CK80">
        <v>8.0411000000000007E-3</v>
      </c>
      <c r="CL80" t="s">
        <v>74</v>
      </c>
      <c r="CM80">
        <v>8.0411000000000001</v>
      </c>
      <c r="CN80" t="s">
        <v>75</v>
      </c>
      <c r="CO80">
        <v>8041.1</v>
      </c>
      <c r="CP80" t="s">
        <v>76</v>
      </c>
      <c r="CQ80" t="s">
        <v>82</v>
      </c>
      <c r="CR80">
        <v>124.3611004</v>
      </c>
      <c r="CV80" t="s">
        <v>72</v>
      </c>
      <c r="CW80">
        <v>1</v>
      </c>
      <c r="CX80" t="s">
        <v>81</v>
      </c>
      <c r="CY80">
        <v>8.0482000000000001E-3</v>
      </c>
      <c r="CZ80" t="s">
        <v>74</v>
      </c>
      <c r="DA80">
        <v>8.0481999999999996</v>
      </c>
      <c r="DB80" t="s">
        <v>75</v>
      </c>
      <c r="DC80">
        <v>8048.2</v>
      </c>
      <c r="DD80" t="s">
        <v>76</v>
      </c>
      <c r="DE80" t="s">
        <v>82</v>
      </c>
      <c r="DF80">
        <v>124.2513847</v>
      </c>
      <c r="DJ80" t="s">
        <v>72</v>
      </c>
      <c r="DK80">
        <v>1</v>
      </c>
      <c r="DL80" t="s">
        <v>81</v>
      </c>
      <c r="DM80">
        <v>8.0281999999999992E-3</v>
      </c>
      <c r="DN80" t="s">
        <v>74</v>
      </c>
      <c r="DO80">
        <v>8.0282</v>
      </c>
      <c r="DP80" t="s">
        <v>75</v>
      </c>
      <c r="DQ80">
        <v>8028.2</v>
      </c>
      <c r="DR80" t="s">
        <v>76</v>
      </c>
      <c r="DS80" t="s">
        <v>82</v>
      </c>
      <c r="DT80">
        <v>124.5609244</v>
      </c>
      <c r="DX80" t="s">
        <v>498</v>
      </c>
      <c r="DY80" t="s">
        <v>85</v>
      </c>
      <c r="DZ80">
        <v>1001</v>
      </c>
      <c r="EA80" t="s">
        <v>86</v>
      </c>
      <c r="EB80">
        <v>3.274E-3</v>
      </c>
      <c r="EC80" t="s">
        <v>74</v>
      </c>
      <c r="ED80">
        <v>3.2736700000000001</v>
      </c>
      <c r="EE80" t="s">
        <v>75</v>
      </c>
      <c r="EF80">
        <v>3273.6709999999998</v>
      </c>
      <c r="EG80" t="s">
        <v>76</v>
      </c>
      <c r="EH80" t="s">
        <v>82</v>
      </c>
      <c r="EI80">
        <v>305.46745149999998</v>
      </c>
      <c r="EL80" t="s">
        <v>498</v>
      </c>
      <c r="EM80" t="s">
        <v>85</v>
      </c>
      <c r="EN80">
        <v>1001</v>
      </c>
      <c r="EO80" t="s">
        <v>86</v>
      </c>
      <c r="EP80">
        <v>2.434E-3</v>
      </c>
      <c r="EQ80" t="s">
        <v>74</v>
      </c>
      <c r="ER80">
        <v>2.43398</v>
      </c>
      <c r="ES80" t="s">
        <v>75</v>
      </c>
      <c r="ET80">
        <v>2433.9830000000002</v>
      </c>
      <c r="EU80" t="s">
        <v>76</v>
      </c>
      <c r="EV80" t="s">
        <v>82</v>
      </c>
      <c r="EW80">
        <v>410.84919280000003</v>
      </c>
      <c r="EZ80" t="s">
        <v>498</v>
      </c>
      <c r="FA80" t="s">
        <v>85</v>
      </c>
      <c r="FB80">
        <v>1001</v>
      </c>
      <c r="FC80" t="s">
        <v>86</v>
      </c>
      <c r="FD80">
        <v>3.3289999999999999E-3</v>
      </c>
      <c r="FE80" t="s">
        <v>74</v>
      </c>
      <c r="FF80">
        <v>3.3290199999999999</v>
      </c>
      <c r="FG80" t="s">
        <v>75</v>
      </c>
      <c r="FH80">
        <v>3329.0219999999999</v>
      </c>
      <c r="FI80" t="s">
        <v>76</v>
      </c>
      <c r="FJ80" t="s">
        <v>82</v>
      </c>
      <c r="FK80">
        <v>300.38850580000002</v>
      </c>
    </row>
    <row r="81" spans="1:167" x14ac:dyDescent="0.3">
      <c r="B81" t="s">
        <v>83</v>
      </c>
      <c r="C81">
        <v>1000</v>
      </c>
      <c r="D81" t="s">
        <v>81</v>
      </c>
      <c r="E81">
        <v>6.6965100000000001E-3</v>
      </c>
      <c r="F81" t="s">
        <v>74</v>
      </c>
      <c r="G81">
        <v>6.69651</v>
      </c>
      <c r="H81" t="s">
        <v>75</v>
      </c>
      <c r="I81">
        <v>6696.5110000000004</v>
      </c>
      <c r="J81" t="s">
        <v>76</v>
      </c>
      <c r="K81" t="s">
        <v>82</v>
      </c>
      <c r="L81">
        <v>149.33148919999999</v>
      </c>
      <c r="P81" t="s">
        <v>83</v>
      </c>
      <c r="Q81">
        <v>1000</v>
      </c>
      <c r="R81" t="s">
        <v>81</v>
      </c>
      <c r="S81">
        <v>2.7508400000000001E-3</v>
      </c>
      <c r="T81" t="s">
        <v>74</v>
      </c>
      <c r="U81">
        <v>2.7508400000000002</v>
      </c>
      <c r="V81" t="s">
        <v>75</v>
      </c>
      <c r="W81">
        <v>2750.84</v>
      </c>
      <c r="X81" t="s">
        <v>76</v>
      </c>
      <c r="Y81" t="s">
        <v>82</v>
      </c>
      <c r="Z81">
        <v>363.52529850000002</v>
      </c>
      <c r="AD81" t="s">
        <v>83</v>
      </c>
      <c r="AE81">
        <v>1000</v>
      </c>
      <c r="AF81" t="s">
        <v>81</v>
      </c>
      <c r="AG81">
        <v>6.7174000000000001E-3</v>
      </c>
      <c r="AH81" t="s">
        <v>74</v>
      </c>
      <c r="AI81">
        <v>6.7173999999999996</v>
      </c>
      <c r="AJ81" t="s">
        <v>75</v>
      </c>
      <c r="AK81">
        <v>6717.4049999999997</v>
      </c>
      <c r="AL81" t="s">
        <v>76</v>
      </c>
      <c r="AM81" t="s">
        <v>82</v>
      </c>
      <c r="AN81">
        <v>148.86701389999999</v>
      </c>
      <c r="AR81" t="s">
        <v>83</v>
      </c>
      <c r="AS81">
        <v>1000</v>
      </c>
      <c r="AT81" t="s">
        <v>81</v>
      </c>
      <c r="AU81">
        <v>6.6031800000000002E-3</v>
      </c>
      <c r="AV81" t="s">
        <v>74</v>
      </c>
      <c r="AW81">
        <v>6.60318</v>
      </c>
      <c r="AX81" t="s">
        <v>75</v>
      </c>
      <c r="AY81">
        <v>6603.1790000000001</v>
      </c>
      <c r="AZ81" t="s">
        <v>76</v>
      </c>
      <c r="BA81" t="s">
        <v>82</v>
      </c>
      <c r="BB81">
        <v>151.44221830000001</v>
      </c>
      <c r="BF81" t="s">
        <v>83</v>
      </c>
      <c r="BG81">
        <v>1000</v>
      </c>
      <c r="BH81" t="s">
        <v>81</v>
      </c>
      <c r="BI81">
        <v>2.7615700000000001E-3</v>
      </c>
      <c r="BJ81" t="s">
        <v>74</v>
      </c>
      <c r="BK81">
        <v>2.7615699999999999</v>
      </c>
      <c r="BL81" t="s">
        <v>75</v>
      </c>
      <c r="BM81">
        <v>2761.5680000000002</v>
      </c>
      <c r="BN81" t="s">
        <v>76</v>
      </c>
      <c r="BO81" t="s">
        <v>82</v>
      </c>
      <c r="BP81">
        <v>362.11307799999997</v>
      </c>
      <c r="BT81" t="s">
        <v>83</v>
      </c>
      <c r="BU81">
        <v>1000</v>
      </c>
      <c r="BV81" t="s">
        <v>81</v>
      </c>
      <c r="BW81">
        <v>6.63227E-3</v>
      </c>
      <c r="BX81" t="s">
        <v>74</v>
      </c>
      <c r="BY81">
        <v>6.6322700000000001</v>
      </c>
      <c r="BZ81" t="s">
        <v>75</v>
      </c>
      <c r="CA81">
        <v>6632.2669999999998</v>
      </c>
      <c r="CB81" t="s">
        <v>76</v>
      </c>
      <c r="CC81" t="s">
        <v>82</v>
      </c>
      <c r="CD81">
        <v>150.778007</v>
      </c>
      <c r="CH81" t="s">
        <v>83</v>
      </c>
      <c r="CI81">
        <v>1000</v>
      </c>
      <c r="CJ81" t="s">
        <v>81</v>
      </c>
      <c r="CK81">
        <v>6.6646600000000002E-3</v>
      </c>
      <c r="CL81" t="s">
        <v>74</v>
      </c>
      <c r="CM81">
        <v>6.6646599999999996</v>
      </c>
      <c r="CN81" t="s">
        <v>75</v>
      </c>
      <c r="CO81">
        <v>6664.6580000000004</v>
      </c>
      <c r="CP81" t="s">
        <v>76</v>
      </c>
      <c r="CQ81" t="s">
        <v>82</v>
      </c>
      <c r="CR81">
        <v>150.04521779999999</v>
      </c>
      <c r="CV81" t="s">
        <v>83</v>
      </c>
      <c r="CW81">
        <v>1000</v>
      </c>
      <c r="CX81" t="s">
        <v>81</v>
      </c>
      <c r="CY81">
        <v>2.75026E-3</v>
      </c>
      <c r="CZ81" t="s">
        <v>74</v>
      </c>
      <c r="DA81">
        <v>2.7502599999999999</v>
      </c>
      <c r="DB81" t="s">
        <v>75</v>
      </c>
      <c r="DC81">
        <v>2750.2649999999999</v>
      </c>
      <c r="DD81" t="s">
        <v>76</v>
      </c>
      <c r="DE81" t="s">
        <v>82</v>
      </c>
      <c r="DF81">
        <v>363.60134119999998</v>
      </c>
      <c r="DJ81" t="s">
        <v>83</v>
      </c>
      <c r="DK81">
        <v>1000</v>
      </c>
      <c r="DL81" t="s">
        <v>81</v>
      </c>
      <c r="DM81">
        <v>6.7166300000000003E-3</v>
      </c>
      <c r="DN81" t="s">
        <v>74</v>
      </c>
      <c r="DO81">
        <v>6.7166300000000003</v>
      </c>
      <c r="DP81" t="s">
        <v>75</v>
      </c>
      <c r="DQ81">
        <v>6716.63</v>
      </c>
      <c r="DR81" t="s">
        <v>76</v>
      </c>
      <c r="DS81" t="s">
        <v>82</v>
      </c>
      <c r="DT81">
        <v>148.8841879</v>
      </c>
    </row>
    <row r="82" spans="1:167" x14ac:dyDescent="0.3">
      <c r="B82" t="s">
        <v>85</v>
      </c>
      <c r="C82">
        <v>1001</v>
      </c>
      <c r="D82" t="s">
        <v>86</v>
      </c>
      <c r="E82">
        <v>6.6997999999999997E-3</v>
      </c>
      <c r="F82" t="s">
        <v>74</v>
      </c>
      <c r="G82">
        <v>6.6997999999999998</v>
      </c>
      <c r="H82" t="s">
        <v>75</v>
      </c>
      <c r="I82">
        <v>6699.8019999999997</v>
      </c>
      <c r="J82" t="s">
        <v>76</v>
      </c>
      <c r="K82" t="s">
        <v>82</v>
      </c>
      <c r="L82">
        <v>149.25814930000001</v>
      </c>
      <c r="P82" t="s">
        <v>85</v>
      </c>
      <c r="Q82">
        <v>1001</v>
      </c>
      <c r="R82" t="s">
        <v>86</v>
      </c>
      <c r="S82">
        <v>2.7582499999999999E-3</v>
      </c>
      <c r="T82" t="s">
        <v>74</v>
      </c>
      <c r="U82">
        <v>2.7582499999999999</v>
      </c>
      <c r="V82" t="s">
        <v>75</v>
      </c>
      <c r="W82">
        <v>2758.2460000000001</v>
      </c>
      <c r="X82" t="s">
        <v>76</v>
      </c>
      <c r="Y82" t="s">
        <v>82</v>
      </c>
      <c r="Z82">
        <v>362.54924799999998</v>
      </c>
      <c r="AD82" t="s">
        <v>85</v>
      </c>
      <c r="AE82">
        <v>1001</v>
      </c>
      <c r="AF82" t="s">
        <v>86</v>
      </c>
      <c r="AG82">
        <v>6.7206100000000001E-3</v>
      </c>
      <c r="AH82" t="s">
        <v>74</v>
      </c>
      <c r="AI82">
        <v>6.7206099999999998</v>
      </c>
      <c r="AJ82" t="s">
        <v>75</v>
      </c>
      <c r="AK82">
        <v>6720.6109999999999</v>
      </c>
      <c r="AL82" t="s">
        <v>76</v>
      </c>
      <c r="AM82" t="s">
        <v>82</v>
      </c>
      <c r="AN82">
        <v>148.79600479999999</v>
      </c>
      <c r="AR82" t="s">
        <v>85</v>
      </c>
      <c r="AS82">
        <v>1001</v>
      </c>
      <c r="AT82" t="s">
        <v>86</v>
      </c>
      <c r="AU82">
        <v>6.6053700000000002E-3</v>
      </c>
      <c r="AV82" t="s">
        <v>74</v>
      </c>
      <c r="AW82">
        <v>6.6053699999999997</v>
      </c>
      <c r="AX82" t="s">
        <v>75</v>
      </c>
      <c r="AY82">
        <v>6605.3720000000003</v>
      </c>
      <c r="AZ82" t="s">
        <v>76</v>
      </c>
      <c r="BA82" t="s">
        <v>82</v>
      </c>
      <c r="BB82">
        <v>151.3919339</v>
      </c>
      <c r="BF82" t="s">
        <v>85</v>
      </c>
      <c r="BG82">
        <v>1001</v>
      </c>
      <c r="BH82" t="s">
        <v>86</v>
      </c>
      <c r="BI82">
        <v>3.13284E-3</v>
      </c>
      <c r="BJ82" t="s">
        <v>74</v>
      </c>
      <c r="BK82">
        <v>3.1328399999999998</v>
      </c>
      <c r="BL82" t="s">
        <v>75</v>
      </c>
      <c r="BM82">
        <v>3132.84</v>
      </c>
      <c r="BN82" t="s">
        <v>76</v>
      </c>
      <c r="BO82" t="s">
        <v>82</v>
      </c>
      <c r="BP82">
        <v>319.19920339999999</v>
      </c>
      <c r="BT82" t="s">
        <v>85</v>
      </c>
      <c r="BU82">
        <v>1001</v>
      </c>
      <c r="BV82" t="s">
        <v>86</v>
      </c>
      <c r="BW82">
        <v>6.6344799999999999E-3</v>
      </c>
      <c r="BX82" t="s">
        <v>74</v>
      </c>
      <c r="BY82">
        <v>6.6344799999999999</v>
      </c>
      <c r="BZ82" t="s">
        <v>75</v>
      </c>
      <c r="CA82">
        <v>6634.4809999999998</v>
      </c>
      <c r="CB82" t="s">
        <v>76</v>
      </c>
      <c r="CC82" t="s">
        <v>82</v>
      </c>
      <c r="CD82">
        <v>150.72769729999999</v>
      </c>
      <c r="CH82" t="s">
        <v>85</v>
      </c>
      <c r="CI82">
        <v>1001</v>
      </c>
      <c r="CJ82" t="s">
        <v>86</v>
      </c>
      <c r="CK82">
        <v>6.6662600000000002E-3</v>
      </c>
      <c r="CL82" t="s">
        <v>74</v>
      </c>
      <c r="CM82">
        <v>6.6662600000000003</v>
      </c>
      <c r="CN82" t="s">
        <v>75</v>
      </c>
      <c r="CO82">
        <v>6666.26</v>
      </c>
      <c r="CP82" t="s">
        <v>76</v>
      </c>
      <c r="CQ82" t="s">
        <v>82</v>
      </c>
      <c r="CR82">
        <v>150.0091468</v>
      </c>
      <c r="CV82" t="s">
        <v>85</v>
      </c>
      <c r="CW82">
        <v>1001</v>
      </c>
      <c r="CX82" t="s">
        <v>86</v>
      </c>
      <c r="CY82">
        <v>2.7557100000000002E-3</v>
      </c>
      <c r="CZ82" t="s">
        <v>74</v>
      </c>
      <c r="DA82">
        <v>2.7557100000000001</v>
      </c>
      <c r="DB82" t="s">
        <v>75</v>
      </c>
      <c r="DC82">
        <v>2755.7150000000001</v>
      </c>
      <c r="DD82" t="s">
        <v>76</v>
      </c>
      <c r="DE82" t="s">
        <v>82</v>
      </c>
      <c r="DF82">
        <v>362.88225199999999</v>
      </c>
      <c r="DJ82" t="s">
        <v>85</v>
      </c>
      <c r="DK82">
        <v>1001</v>
      </c>
      <c r="DL82" t="s">
        <v>86</v>
      </c>
      <c r="DM82">
        <v>6.7181699999999999E-3</v>
      </c>
      <c r="DN82" t="s">
        <v>74</v>
      </c>
      <c r="DO82">
        <v>6.7181699999999998</v>
      </c>
      <c r="DP82" t="s">
        <v>75</v>
      </c>
      <c r="DQ82">
        <v>6718.1729999999998</v>
      </c>
      <c r="DR82" t="s">
        <v>76</v>
      </c>
      <c r="DS82" t="s">
        <v>82</v>
      </c>
      <c r="DT82">
        <v>148.84998160000001</v>
      </c>
      <c r="DW82">
        <v>7</v>
      </c>
      <c r="DX82" t="s">
        <v>508</v>
      </c>
      <c r="EK82">
        <v>7</v>
      </c>
      <c r="EL82" t="s">
        <v>508</v>
      </c>
      <c r="EY82">
        <v>7</v>
      </c>
      <c r="EZ82" t="s">
        <v>508</v>
      </c>
    </row>
    <row r="83" spans="1:167" x14ac:dyDescent="0.3">
      <c r="DX83" t="s">
        <v>496</v>
      </c>
      <c r="DY83" t="s">
        <v>72</v>
      </c>
      <c r="DZ83">
        <v>1</v>
      </c>
      <c r="EA83" t="s">
        <v>81</v>
      </c>
      <c r="EB83">
        <v>0.40128799999999998</v>
      </c>
      <c r="EC83" t="s">
        <v>74</v>
      </c>
      <c r="ED83">
        <v>401.28791000000001</v>
      </c>
      <c r="EE83" t="s">
        <v>75</v>
      </c>
      <c r="EF83">
        <v>401287.913</v>
      </c>
      <c r="EG83" t="s">
        <v>76</v>
      </c>
      <c r="EH83" t="s">
        <v>82</v>
      </c>
      <c r="EI83">
        <v>2.4919764</v>
      </c>
      <c r="EL83" t="s">
        <v>496</v>
      </c>
      <c r="EM83" t="s">
        <v>72</v>
      </c>
      <c r="EN83">
        <v>1</v>
      </c>
      <c r="EO83" t="s">
        <v>81</v>
      </c>
      <c r="EP83">
        <v>0.50295699999999999</v>
      </c>
      <c r="EQ83" t="s">
        <v>74</v>
      </c>
      <c r="ER83">
        <v>502.95722000000001</v>
      </c>
      <c r="ES83" t="s">
        <v>75</v>
      </c>
      <c r="ET83">
        <v>502957.22499999998</v>
      </c>
      <c r="EU83" t="s">
        <v>76</v>
      </c>
      <c r="EV83" t="s">
        <v>82</v>
      </c>
      <c r="EW83">
        <v>1.9882407</v>
      </c>
      <c r="EZ83" t="s">
        <v>496</v>
      </c>
      <c r="FA83" t="s">
        <v>72</v>
      </c>
      <c r="FB83">
        <v>1</v>
      </c>
      <c r="FC83" t="s">
        <v>81</v>
      </c>
      <c r="FD83">
        <v>0.41665799999999997</v>
      </c>
      <c r="FE83" t="s">
        <v>74</v>
      </c>
      <c r="FF83">
        <v>416.65830999999997</v>
      </c>
      <c r="FG83" t="s">
        <v>75</v>
      </c>
      <c r="FH83">
        <v>416658.31199999998</v>
      </c>
      <c r="FI83" t="s">
        <v>76</v>
      </c>
      <c r="FJ83" t="s">
        <v>82</v>
      </c>
      <c r="FK83">
        <v>2.4000480999999998</v>
      </c>
    </row>
    <row r="84" spans="1:167" x14ac:dyDescent="0.3">
      <c r="A84">
        <v>9</v>
      </c>
      <c r="B84" t="s">
        <v>157</v>
      </c>
      <c r="O84">
        <v>9</v>
      </c>
      <c r="P84" t="s">
        <v>157</v>
      </c>
      <c r="AC84">
        <v>9</v>
      </c>
      <c r="AD84" t="s">
        <v>157</v>
      </c>
      <c r="AQ84">
        <v>9</v>
      </c>
      <c r="AR84" t="s">
        <v>292</v>
      </c>
      <c r="BE84">
        <v>9</v>
      </c>
      <c r="BF84" t="s">
        <v>292</v>
      </c>
      <c r="BS84">
        <v>9</v>
      </c>
      <c r="BT84" t="s">
        <v>292</v>
      </c>
      <c r="CG84">
        <v>9</v>
      </c>
      <c r="CH84" t="s">
        <v>408</v>
      </c>
      <c r="CU84">
        <v>9</v>
      </c>
      <c r="CV84" t="s">
        <v>408</v>
      </c>
      <c r="DI84">
        <v>9</v>
      </c>
      <c r="DJ84" t="s">
        <v>408</v>
      </c>
      <c r="DX84" t="s">
        <v>496</v>
      </c>
      <c r="DY84" t="s">
        <v>83</v>
      </c>
      <c r="DZ84">
        <v>582</v>
      </c>
      <c r="EA84" t="s">
        <v>81</v>
      </c>
      <c r="EB84">
        <v>6.9719999999999999E-3</v>
      </c>
      <c r="EC84" t="s">
        <v>74</v>
      </c>
      <c r="ED84">
        <v>6.9722999999999997</v>
      </c>
      <c r="EE84" t="s">
        <v>75</v>
      </c>
      <c r="EF84">
        <v>6972.3040000000001</v>
      </c>
      <c r="EG84" t="s">
        <v>76</v>
      </c>
      <c r="EH84" t="s">
        <v>82</v>
      </c>
      <c r="EI84">
        <v>143.4246143</v>
      </c>
      <c r="EL84" t="s">
        <v>496</v>
      </c>
      <c r="EM84" t="s">
        <v>83</v>
      </c>
      <c r="EN84">
        <v>399</v>
      </c>
      <c r="EO84" t="s">
        <v>81</v>
      </c>
      <c r="EP84">
        <v>5.2630000000000003E-3</v>
      </c>
      <c r="EQ84" t="s">
        <v>74</v>
      </c>
      <c r="ER84">
        <v>5.2628700000000004</v>
      </c>
      <c r="ES84" t="s">
        <v>75</v>
      </c>
      <c r="ET84">
        <v>5262.8739999999998</v>
      </c>
      <c r="EU84" t="s">
        <v>76</v>
      </c>
      <c r="EV84" t="s">
        <v>82</v>
      </c>
      <c r="EW84">
        <v>190.0102339</v>
      </c>
      <c r="EZ84" t="s">
        <v>496</v>
      </c>
      <c r="FA84" t="s">
        <v>83</v>
      </c>
      <c r="FB84">
        <v>557</v>
      </c>
      <c r="FC84" t="s">
        <v>81</v>
      </c>
      <c r="FD84">
        <v>7.2849999999999998E-3</v>
      </c>
      <c r="FE84" t="s">
        <v>74</v>
      </c>
      <c r="FF84">
        <v>7.2851800000000004</v>
      </c>
      <c r="FG84" t="s">
        <v>75</v>
      </c>
      <c r="FH84">
        <v>7285.1769999999997</v>
      </c>
      <c r="FI84" t="s">
        <v>76</v>
      </c>
      <c r="FJ84" t="s">
        <v>82</v>
      </c>
      <c r="FK84">
        <v>137.2650213</v>
      </c>
    </row>
    <row r="85" spans="1:167" x14ac:dyDescent="0.3">
      <c r="B85" t="s">
        <v>72</v>
      </c>
      <c r="C85">
        <v>1</v>
      </c>
      <c r="D85" t="s">
        <v>81</v>
      </c>
      <c r="E85">
        <v>0.46312388999999998</v>
      </c>
      <c r="F85" t="s">
        <v>74</v>
      </c>
      <c r="G85">
        <v>463.12389000000002</v>
      </c>
      <c r="H85" t="s">
        <v>75</v>
      </c>
      <c r="I85">
        <v>463123.88799999998</v>
      </c>
      <c r="J85" t="s">
        <v>76</v>
      </c>
      <c r="K85" t="s">
        <v>82</v>
      </c>
      <c r="L85">
        <v>2.1592495</v>
      </c>
      <c r="P85" t="s">
        <v>72</v>
      </c>
      <c r="Q85">
        <v>1</v>
      </c>
      <c r="R85" t="s">
        <v>81</v>
      </c>
      <c r="S85">
        <v>0.45999011000000001</v>
      </c>
      <c r="T85" t="s">
        <v>74</v>
      </c>
      <c r="U85">
        <v>459.99011000000002</v>
      </c>
      <c r="V85" t="s">
        <v>75</v>
      </c>
      <c r="W85">
        <v>459990.114</v>
      </c>
      <c r="X85" t="s">
        <v>76</v>
      </c>
      <c r="Y85" t="s">
        <v>82</v>
      </c>
      <c r="Z85">
        <v>2.1739598</v>
      </c>
      <c r="AD85" t="s">
        <v>72</v>
      </c>
      <c r="AE85">
        <v>1</v>
      </c>
      <c r="AF85" t="s">
        <v>81</v>
      </c>
      <c r="AG85">
        <v>0.46032100999999997</v>
      </c>
      <c r="AH85" t="s">
        <v>74</v>
      </c>
      <c r="AI85">
        <v>460.32101</v>
      </c>
      <c r="AJ85" t="s">
        <v>75</v>
      </c>
      <c r="AK85">
        <v>460321.00900000002</v>
      </c>
      <c r="AL85" t="s">
        <v>76</v>
      </c>
      <c r="AM85" t="s">
        <v>82</v>
      </c>
      <c r="AN85">
        <v>2.1723970000000001</v>
      </c>
      <c r="AR85" t="s">
        <v>72</v>
      </c>
      <c r="AS85">
        <v>1</v>
      </c>
      <c r="AT85" t="s">
        <v>81</v>
      </c>
      <c r="AU85">
        <v>0.60977608000000005</v>
      </c>
      <c r="AV85" t="s">
        <v>74</v>
      </c>
      <c r="AW85">
        <v>609.77607999999998</v>
      </c>
      <c r="AX85" t="s">
        <v>75</v>
      </c>
      <c r="AY85">
        <v>609776.07999999996</v>
      </c>
      <c r="AZ85" t="s">
        <v>76</v>
      </c>
      <c r="BA85" t="s">
        <v>82</v>
      </c>
      <c r="BB85">
        <v>1.6399463000000001</v>
      </c>
      <c r="BF85" t="s">
        <v>72</v>
      </c>
      <c r="BG85">
        <v>1</v>
      </c>
      <c r="BH85" t="s">
        <v>81</v>
      </c>
      <c r="BI85">
        <v>0.18130769999999999</v>
      </c>
      <c r="BJ85" t="s">
        <v>74</v>
      </c>
      <c r="BK85">
        <v>181.30770000000001</v>
      </c>
      <c r="BL85" t="s">
        <v>75</v>
      </c>
      <c r="BM85">
        <v>181307.70300000001</v>
      </c>
      <c r="BN85" t="s">
        <v>76</v>
      </c>
      <c r="BO85" t="s">
        <v>82</v>
      </c>
      <c r="BP85">
        <v>5.5154854999999996</v>
      </c>
      <c r="BT85" t="s">
        <v>72</v>
      </c>
      <c r="BU85">
        <v>1</v>
      </c>
      <c r="BV85" t="s">
        <v>81</v>
      </c>
      <c r="BW85">
        <v>0.18663061</v>
      </c>
      <c r="BX85" t="s">
        <v>74</v>
      </c>
      <c r="BY85">
        <v>186.63060999999999</v>
      </c>
      <c r="BZ85" t="s">
        <v>75</v>
      </c>
      <c r="CA85">
        <v>186630.60699999999</v>
      </c>
      <c r="CB85" t="s">
        <v>76</v>
      </c>
      <c r="CC85" t="s">
        <v>82</v>
      </c>
      <c r="CD85">
        <v>5.3581779000000003</v>
      </c>
      <c r="CH85" t="s">
        <v>72</v>
      </c>
      <c r="CI85">
        <v>1</v>
      </c>
      <c r="CJ85" t="s">
        <v>81</v>
      </c>
      <c r="CK85">
        <v>0.18631429999999999</v>
      </c>
      <c r="CL85" t="s">
        <v>74</v>
      </c>
      <c r="CM85">
        <v>186.3143</v>
      </c>
      <c r="CN85" t="s">
        <v>75</v>
      </c>
      <c r="CO85">
        <v>186314.3</v>
      </c>
      <c r="CP85" t="s">
        <v>76</v>
      </c>
      <c r="CQ85" t="s">
        <v>82</v>
      </c>
      <c r="CR85">
        <v>5.3672746</v>
      </c>
      <c r="CV85" t="s">
        <v>72</v>
      </c>
      <c r="CW85">
        <v>1</v>
      </c>
      <c r="CX85" t="s">
        <v>81</v>
      </c>
      <c r="CY85">
        <v>0.1853399</v>
      </c>
      <c r="CZ85" t="s">
        <v>74</v>
      </c>
      <c r="DA85">
        <v>185.3399</v>
      </c>
      <c r="DB85" t="s">
        <v>75</v>
      </c>
      <c r="DC85">
        <v>185339.89799999999</v>
      </c>
      <c r="DD85" t="s">
        <v>76</v>
      </c>
      <c r="DE85" t="s">
        <v>82</v>
      </c>
      <c r="DF85">
        <v>5.3954922999999999</v>
      </c>
      <c r="DJ85" t="s">
        <v>72</v>
      </c>
      <c r="DK85">
        <v>1</v>
      </c>
      <c r="DL85" t="s">
        <v>81</v>
      </c>
      <c r="DM85">
        <v>0.18732190000000001</v>
      </c>
      <c r="DN85" t="s">
        <v>74</v>
      </c>
      <c r="DO85">
        <v>187.3219</v>
      </c>
      <c r="DP85" t="s">
        <v>75</v>
      </c>
      <c r="DQ85">
        <v>187321.90100000001</v>
      </c>
      <c r="DR85" t="s">
        <v>76</v>
      </c>
      <c r="DS85" t="s">
        <v>82</v>
      </c>
      <c r="DT85">
        <v>5.3384041</v>
      </c>
      <c r="DX85" t="s">
        <v>496</v>
      </c>
      <c r="DY85" t="s">
        <v>84</v>
      </c>
      <c r="DZ85">
        <v>583</v>
      </c>
      <c r="EA85" t="s">
        <v>81</v>
      </c>
      <c r="EB85">
        <v>7.6490000000000004E-3</v>
      </c>
      <c r="EC85" t="s">
        <v>74</v>
      </c>
      <c r="ED85">
        <v>7.6486599999999996</v>
      </c>
      <c r="EE85" t="s">
        <v>75</v>
      </c>
      <c r="EF85">
        <v>7648.66</v>
      </c>
      <c r="EG85" t="s">
        <v>76</v>
      </c>
      <c r="EH85" t="s">
        <v>82</v>
      </c>
      <c r="EI85">
        <v>130.74185159999999</v>
      </c>
      <c r="EL85" t="s">
        <v>496</v>
      </c>
      <c r="EM85" t="s">
        <v>84</v>
      </c>
      <c r="EN85">
        <v>400</v>
      </c>
      <c r="EO85" t="s">
        <v>81</v>
      </c>
      <c r="EP85">
        <v>6.5069999999999998E-3</v>
      </c>
      <c r="EQ85" t="s">
        <v>74</v>
      </c>
      <c r="ER85">
        <v>6.5071099999999999</v>
      </c>
      <c r="ES85" t="s">
        <v>75</v>
      </c>
      <c r="ET85">
        <v>6507.1049999999996</v>
      </c>
      <c r="EU85" t="s">
        <v>76</v>
      </c>
      <c r="EV85" t="s">
        <v>82</v>
      </c>
      <c r="EW85">
        <v>153.67816629999999</v>
      </c>
      <c r="EZ85" t="s">
        <v>496</v>
      </c>
      <c r="FA85" t="s">
        <v>84</v>
      </c>
      <c r="FB85">
        <v>558</v>
      </c>
      <c r="FC85" t="s">
        <v>81</v>
      </c>
      <c r="FD85">
        <v>8.0190000000000001E-3</v>
      </c>
      <c r="FE85" t="s">
        <v>74</v>
      </c>
      <c r="FF85">
        <v>8.0188199999999998</v>
      </c>
      <c r="FG85" t="s">
        <v>75</v>
      </c>
      <c r="FH85">
        <v>8018.82</v>
      </c>
      <c r="FI85" t="s">
        <v>76</v>
      </c>
      <c r="FJ85" t="s">
        <v>82</v>
      </c>
      <c r="FK85">
        <v>124.7066263</v>
      </c>
    </row>
    <row r="86" spans="1:167" x14ac:dyDescent="0.3">
      <c r="B86" t="s">
        <v>83</v>
      </c>
      <c r="C86">
        <v>1000</v>
      </c>
      <c r="D86" t="s">
        <v>81</v>
      </c>
      <c r="E86">
        <v>1.5845200000000001E-3</v>
      </c>
      <c r="F86" t="s">
        <v>74</v>
      </c>
      <c r="G86">
        <v>1.5845199999999999</v>
      </c>
      <c r="H86" t="s">
        <v>75</v>
      </c>
      <c r="I86">
        <v>1584.5170000000001</v>
      </c>
      <c r="J86" t="s">
        <v>76</v>
      </c>
      <c r="K86" t="s">
        <v>82</v>
      </c>
      <c r="L86">
        <v>631.10700169999996</v>
      </c>
      <c r="P86" t="s">
        <v>83</v>
      </c>
      <c r="Q86">
        <v>1000</v>
      </c>
      <c r="R86" t="s">
        <v>81</v>
      </c>
      <c r="S86">
        <v>1.7067160000000001E-2</v>
      </c>
      <c r="T86" t="s">
        <v>74</v>
      </c>
      <c r="U86">
        <v>17.067160000000001</v>
      </c>
      <c r="V86" t="s">
        <v>75</v>
      </c>
      <c r="W86">
        <v>17067.155999999999</v>
      </c>
      <c r="X86" t="s">
        <v>76</v>
      </c>
      <c r="Y86" t="s">
        <v>82</v>
      </c>
      <c r="Z86">
        <v>58.5920706</v>
      </c>
      <c r="AD86" t="s">
        <v>83</v>
      </c>
      <c r="AE86">
        <v>1000</v>
      </c>
      <c r="AF86" t="s">
        <v>81</v>
      </c>
      <c r="AG86">
        <v>1.7186369999999999E-2</v>
      </c>
      <c r="AH86" t="s">
        <v>74</v>
      </c>
      <c r="AI86">
        <v>17.18637</v>
      </c>
      <c r="AJ86" t="s">
        <v>75</v>
      </c>
      <c r="AK86">
        <v>17186.373</v>
      </c>
      <c r="AL86" t="s">
        <v>76</v>
      </c>
      <c r="AM86" t="s">
        <v>82</v>
      </c>
      <c r="AN86">
        <v>58.185634299999997</v>
      </c>
      <c r="AR86" t="s">
        <v>83</v>
      </c>
      <c r="AS86">
        <v>1000</v>
      </c>
      <c r="AT86" t="s">
        <v>81</v>
      </c>
      <c r="AU86">
        <v>2.3600800000000001E-3</v>
      </c>
      <c r="AV86" t="s">
        <v>74</v>
      </c>
      <c r="AW86">
        <v>2.36008</v>
      </c>
      <c r="AX86" t="s">
        <v>75</v>
      </c>
      <c r="AY86">
        <v>2360.0839999999998</v>
      </c>
      <c r="AZ86" t="s">
        <v>76</v>
      </c>
      <c r="BA86" t="s">
        <v>82</v>
      </c>
      <c r="BB86">
        <v>423.7138076</v>
      </c>
      <c r="BF86" t="s">
        <v>83</v>
      </c>
      <c r="BG86">
        <v>1000</v>
      </c>
      <c r="BH86" t="s">
        <v>81</v>
      </c>
      <c r="BI86">
        <v>1.7917809999999999E-2</v>
      </c>
      <c r="BJ86" t="s">
        <v>74</v>
      </c>
      <c r="BK86">
        <v>17.917809999999999</v>
      </c>
      <c r="BL86" t="s">
        <v>75</v>
      </c>
      <c r="BM86">
        <v>17917.810000000001</v>
      </c>
      <c r="BN86" t="s">
        <v>76</v>
      </c>
      <c r="BO86" t="s">
        <v>82</v>
      </c>
      <c r="BP86">
        <v>55.810390599999998</v>
      </c>
      <c r="BT86" t="s">
        <v>83</v>
      </c>
      <c r="BU86">
        <v>1000</v>
      </c>
      <c r="BV86" t="s">
        <v>81</v>
      </c>
      <c r="BW86">
        <v>1.7992999999999999E-2</v>
      </c>
      <c r="BX86" t="s">
        <v>74</v>
      </c>
      <c r="BY86">
        <v>17.992999999999999</v>
      </c>
      <c r="BZ86" t="s">
        <v>75</v>
      </c>
      <c r="CA86">
        <v>17992.995999999999</v>
      </c>
      <c r="CB86" t="s">
        <v>76</v>
      </c>
      <c r="CC86" t="s">
        <v>82</v>
      </c>
      <c r="CD86">
        <v>55.577180599999998</v>
      </c>
      <c r="CH86" t="s">
        <v>83</v>
      </c>
      <c r="CI86">
        <v>1000</v>
      </c>
      <c r="CJ86" t="s">
        <v>81</v>
      </c>
      <c r="CK86">
        <v>2.3519499999999998E-3</v>
      </c>
      <c r="CL86" t="s">
        <v>74</v>
      </c>
      <c r="CM86">
        <v>2.35195</v>
      </c>
      <c r="CN86" t="s">
        <v>75</v>
      </c>
      <c r="CO86">
        <v>2351.9479999999999</v>
      </c>
      <c r="CP86" t="s">
        <v>76</v>
      </c>
      <c r="CQ86" t="s">
        <v>82</v>
      </c>
      <c r="CR86">
        <v>425.17946410000002</v>
      </c>
      <c r="CV86" t="s">
        <v>83</v>
      </c>
      <c r="CW86">
        <v>1000</v>
      </c>
      <c r="CX86" t="s">
        <v>81</v>
      </c>
      <c r="CY86">
        <v>1.7679230000000001E-2</v>
      </c>
      <c r="CZ86" t="s">
        <v>74</v>
      </c>
      <c r="DA86">
        <v>17.67923</v>
      </c>
      <c r="DB86" t="s">
        <v>75</v>
      </c>
      <c r="DC86">
        <v>17679.234</v>
      </c>
      <c r="DD86" t="s">
        <v>76</v>
      </c>
      <c r="DE86" t="s">
        <v>82</v>
      </c>
      <c r="DF86">
        <v>56.563538100000002</v>
      </c>
      <c r="DJ86" t="s">
        <v>83</v>
      </c>
      <c r="DK86">
        <v>1000</v>
      </c>
      <c r="DL86" t="s">
        <v>81</v>
      </c>
      <c r="DM86">
        <v>1.807373E-2</v>
      </c>
      <c r="DN86" t="s">
        <v>74</v>
      </c>
      <c r="DO86">
        <v>18.073730000000001</v>
      </c>
      <c r="DP86" t="s">
        <v>75</v>
      </c>
      <c r="DQ86">
        <v>18073.734</v>
      </c>
      <c r="DR86" t="s">
        <v>76</v>
      </c>
      <c r="DS86" t="s">
        <v>82</v>
      </c>
      <c r="DT86">
        <v>55.328909000000003</v>
      </c>
      <c r="DX86" t="s">
        <v>497</v>
      </c>
      <c r="DY86" t="s">
        <v>72</v>
      </c>
      <c r="DZ86">
        <v>1</v>
      </c>
      <c r="EA86" t="s">
        <v>81</v>
      </c>
      <c r="EB86">
        <v>0.15193000000000001</v>
      </c>
      <c r="EC86" t="s">
        <v>74</v>
      </c>
      <c r="ED86">
        <v>151.9299</v>
      </c>
      <c r="EE86" t="s">
        <v>75</v>
      </c>
      <c r="EF86">
        <v>151929.9</v>
      </c>
      <c r="EG86" t="s">
        <v>76</v>
      </c>
      <c r="EH86" t="s">
        <v>82</v>
      </c>
      <c r="EI86">
        <v>6.5819828999999999</v>
      </c>
      <c r="EL86" t="s">
        <v>497</v>
      </c>
      <c r="EM86" t="s">
        <v>72</v>
      </c>
      <c r="EN86">
        <v>1</v>
      </c>
      <c r="EO86" t="s">
        <v>81</v>
      </c>
      <c r="EP86">
        <v>0.14894199999999999</v>
      </c>
      <c r="EQ86" t="s">
        <v>74</v>
      </c>
      <c r="ER86">
        <v>148.9418</v>
      </c>
      <c r="ES86" t="s">
        <v>75</v>
      </c>
      <c r="ET86">
        <v>148941.79999999999</v>
      </c>
      <c r="EU86" t="s">
        <v>76</v>
      </c>
      <c r="EV86" t="s">
        <v>82</v>
      </c>
      <c r="EW86">
        <v>6.7140319000000002</v>
      </c>
      <c r="EZ86" t="s">
        <v>497</v>
      </c>
      <c r="FA86" t="s">
        <v>72</v>
      </c>
      <c r="FB86">
        <v>1</v>
      </c>
      <c r="FC86" t="s">
        <v>81</v>
      </c>
      <c r="FD86">
        <v>0.14815400000000001</v>
      </c>
      <c r="FE86" t="s">
        <v>74</v>
      </c>
      <c r="FF86">
        <v>148.15379999999999</v>
      </c>
      <c r="FG86" t="s">
        <v>75</v>
      </c>
      <c r="FH86">
        <v>148153.79699999999</v>
      </c>
      <c r="FI86" t="s">
        <v>76</v>
      </c>
      <c r="FJ86" t="s">
        <v>82</v>
      </c>
      <c r="FK86">
        <v>6.7497426000000003</v>
      </c>
    </row>
    <row r="87" spans="1:167" x14ac:dyDescent="0.3">
      <c r="B87" t="s">
        <v>85</v>
      </c>
      <c r="C87">
        <v>1001</v>
      </c>
      <c r="D87" t="s">
        <v>86</v>
      </c>
      <c r="E87">
        <v>2.04579E-3</v>
      </c>
      <c r="F87" t="s">
        <v>74</v>
      </c>
      <c r="G87">
        <v>2.0457900000000002</v>
      </c>
      <c r="H87" t="s">
        <v>75</v>
      </c>
      <c r="I87">
        <v>2045.788</v>
      </c>
      <c r="J87" t="s">
        <v>76</v>
      </c>
      <c r="K87" t="s">
        <v>82</v>
      </c>
      <c r="L87">
        <v>488.80928460000001</v>
      </c>
      <c r="P87" t="s">
        <v>85</v>
      </c>
      <c r="Q87">
        <v>1001</v>
      </c>
      <c r="R87" t="s">
        <v>86</v>
      </c>
      <c r="S87">
        <v>1.7509810000000001E-2</v>
      </c>
      <c r="T87" t="s">
        <v>74</v>
      </c>
      <c r="U87">
        <v>17.509810000000002</v>
      </c>
      <c r="V87" t="s">
        <v>75</v>
      </c>
      <c r="W87">
        <v>17509.809000000001</v>
      </c>
      <c r="X87" t="s">
        <v>76</v>
      </c>
      <c r="Y87" t="s">
        <v>82</v>
      </c>
      <c r="Z87">
        <v>57.1108452</v>
      </c>
      <c r="AD87" t="s">
        <v>85</v>
      </c>
      <c r="AE87">
        <v>1001</v>
      </c>
      <c r="AF87" t="s">
        <v>86</v>
      </c>
      <c r="AG87">
        <v>1.7629229999999999E-2</v>
      </c>
      <c r="AH87" t="s">
        <v>74</v>
      </c>
      <c r="AI87">
        <v>17.62923</v>
      </c>
      <c r="AJ87" t="s">
        <v>75</v>
      </c>
      <c r="AK87">
        <v>17629.228999999999</v>
      </c>
      <c r="AL87" t="s">
        <v>76</v>
      </c>
      <c r="AM87" t="s">
        <v>82</v>
      </c>
      <c r="AN87">
        <v>56.723978199999998</v>
      </c>
      <c r="AR87" t="s">
        <v>85</v>
      </c>
      <c r="AS87">
        <v>1001</v>
      </c>
      <c r="AT87" t="s">
        <v>86</v>
      </c>
      <c r="AU87">
        <v>2.9671300000000001E-3</v>
      </c>
      <c r="AV87" t="s">
        <v>74</v>
      </c>
      <c r="AW87">
        <v>2.96713</v>
      </c>
      <c r="AX87" t="s">
        <v>75</v>
      </c>
      <c r="AY87">
        <v>2967.134</v>
      </c>
      <c r="AZ87" t="s">
        <v>76</v>
      </c>
      <c r="BA87" t="s">
        <v>82</v>
      </c>
      <c r="BB87">
        <v>337.02550839999998</v>
      </c>
      <c r="BF87" t="s">
        <v>85</v>
      </c>
      <c r="BG87">
        <v>1001</v>
      </c>
      <c r="BH87" t="s">
        <v>86</v>
      </c>
      <c r="BI87">
        <v>1.808133E-2</v>
      </c>
      <c r="BJ87" t="s">
        <v>74</v>
      </c>
      <c r="BK87">
        <v>18.081330000000001</v>
      </c>
      <c r="BL87" t="s">
        <v>75</v>
      </c>
      <c r="BM87">
        <v>18081.326000000001</v>
      </c>
      <c r="BN87" t="s">
        <v>76</v>
      </c>
      <c r="BO87" t="s">
        <v>82</v>
      </c>
      <c r="BP87">
        <v>55.305678800000003</v>
      </c>
      <c r="BT87" t="s">
        <v>85</v>
      </c>
      <c r="BU87">
        <v>1001</v>
      </c>
      <c r="BV87" t="s">
        <v>86</v>
      </c>
      <c r="BW87">
        <v>1.8161699999999999E-2</v>
      </c>
      <c r="BX87" t="s">
        <v>74</v>
      </c>
      <c r="BY87">
        <v>18.1617</v>
      </c>
      <c r="BZ87" t="s">
        <v>75</v>
      </c>
      <c r="CA87">
        <v>18161.696</v>
      </c>
      <c r="CB87" t="s">
        <v>76</v>
      </c>
      <c r="CC87" t="s">
        <v>82</v>
      </c>
      <c r="CD87">
        <v>55.060938399999998</v>
      </c>
      <c r="CH87" t="s">
        <v>85</v>
      </c>
      <c r="CI87">
        <v>1001</v>
      </c>
      <c r="CJ87" t="s">
        <v>86</v>
      </c>
      <c r="CK87">
        <v>2.5359100000000002E-3</v>
      </c>
      <c r="CL87" t="s">
        <v>74</v>
      </c>
      <c r="CM87">
        <v>2.5359099999999999</v>
      </c>
      <c r="CN87" t="s">
        <v>75</v>
      </c>
      <c r="CO87">
        <v>2535.9050000000002</v>
      </c>
      <c r="CP87" t="s">
        <v>76</v>
      </c>
      <c r="CQ87" t="s">
        <v>82</v>
      </c>
      <c r="CR87">
        <v>394.3364957</v>
      </c>
      <c r="CV87" t="s">
        <v>85</v>
      </c>
      <c r="CW87">
        <v>1001</v>
      </c>
      <c r="CX87" t="s">
        <v>86</v>
      </c>
      <c r="CY87">
        <v>1.784695E-2</v>
      </c>
      <c r="CZ87" t="s">
        <v>74</v>
      </c>
      <c r="DA87">
        <v>17.84695</v>
      </c>
      <c r="DB87" t="s">
        <v>75</v>
      </c>
      <c r="DC87">
        <v>17846.951000000001</v>
      </c>
      <c r="DD87" t="s">
        <v>76</v>
      </c>
      <c r="DE87" t="s">
        <v>82</v>
      </c>
      <c r="DF87">
        <v>56.031981000000002</v>
      </c>
      <c r="DJ87" t="s">
        <v>85</v>
      </c>
      <c r="DK87">
        <v>1001</v>
      </c>
      <c r="DL87" t="s">
        <v>86</v>
      </c>
      <c r="DM87">
        <v>1.8243079999999998E-2</v>
      </c>
      <c r="DN87" t="s">
        <v>74</v>
      </c>
      <c r="DO87">
        <v>18.243079999999999</v>
      </c>
      <c r="DP87" t="s">
        <v>75</v>
      </c>
      <c r="DQ87">
        <v>18243.082999999999</v>
      </c>
      <c r="DR87" t="s">
        <v>76</v>
      </c>
      <c r="DS87" t="s">
        <v>82</v>
      </c>
      <c r="DT87">
        <v>54.815297000000001</v>
      </c>
      <c r="DX87" t="s">
        <v>497</v>
      </c>
      <c r="DY87" t="s">
        <v>83</v>
      </c>
      <c r="DZ87">
        <v>417</v>
      </c>
      <c r="EA87" t="s">
        <v>81</v>
      </c>
      <c r="EB87">
        <v>1.0259000000000001E-2</v>
      </c>
      <c r="EC87" t="s">
        <v>74</v>
      </c>
      <c r="ED87">
        <v>10.258620000000001</v>
      </c>
      <c r="EE87" t="s">
        <v>75</v>
      </c>
      <c r="EF87">
        <v>10258.620999999999</v>
      </c>
      <c r="EG87" t="s">
        <v>76</v>
      </c>
      <c r="EH87" t="s">
        <v>82</v>
      </c>
      <c r="EI87">
        <v>97.478989799999994</v>
      </c>
      <c r="EL87" t="s">
        <v>497</v>
      </c>
      <c r="EM87" t="s">
        <v>83</v>
      </c>
      <c r="EN87">
        <v>600</v>
      </c>
      <c r="EO87" t="s">
        <v>81</v>
      </c>
      <c r="EP87">
        <v>4.0790000000000002E-3</v>
      </c>
      <c r="EQ87" t="s">
        <v>74</v>
      </c>
      <c r="ER87">
        <v>4.0786699999999998</v>
      </c>
      <c r="ES87" t="s">
        <v>75</v>
      </c>
      <c r="ET87">
        <v>4078.6660000000002</v>
      </c>
      <c r="EU87" t="s">
        <v>76</v>
      </c>
      <c r="EV87" t="s">
        <v>82</v>
      </c>
      <c r="EW87">
        <v>245.17822849999999</v>
      </c>
      <c r="EZ87" t="s">
        <v>497</v>
      </c>
      <c r="FA87" t="s">
        <v>83</v>
      </c>
      <c r="FB87">
        <v>442</v>
      </c>
      <c r="FC87" t="s">
        <v>81</v>
      </c>
      <c r="FD87">
        <v>9.757E-3</v>
      </c>
      <c r="FE87" t="s">
        <v>74</v>
      </c>
      <c r="FF87">
        <v>9.75732</v>
      </c>
      <c r="FG87" t="s">
        <v>75</v>
      </c>
      <c r="FH87">
        <v>9757.3169999999991</v>
      </c>
      <c r="FI87" t="s">
        <v>76</v>
      </c>
      <c r="FJ87" t="s">
        <v>82</v>
      </c>
      <c r="FK87">
        <v>102.48718959999999</v>
      </c>
    </row>
    <row r="88" spans="1:167" x14ac:dyDescent="0.3">
      <c r="DX88" t="s">
        <v>497</v>
      </c>
      <c r="DY88" t="s">
        <v>84</v>
      </c>
      <c r="DZ88">
        <v>418</v>
      </c>
      <c r="EA88" t="s">
        <v>81</v>
      </c>
      <c r="EB88">
        <v>1.0598E-2</v>
      </c>
      <c r="EC88" t="s">
        <v>74</v>
      </c>
      <c r="ED88">
        <v>10.59755</v>
      </c>
      <c r="EE88" t="s">
        <v>75</v>
      </c>
      <c r="EF88">
        <v>10597.548000000001</v>
      </c>
      <c r="EG88" t="s">
        <v>76</v>
      </c>
      <c r="EH88" t="s">
        <v>82</v>
      </c>
      <c r="EI88">
        <v>94.361446700000002</v>
      </c>
      <c r="EL88" t="s">
        <v>497</v>
      </c>
      <c r="EM88" t="s">
        <v>84</v>
      </c>
      <c r="EN88">
        <v>601</v>
      </c>
      <c r="EO88" t="s">
        <v>81</v>
      </c>
      <c r="EP88">
        <v>4.3200000000000001E-3</v>
      </c>
      <c r="EQ88" t="s">
        <v>74</v>
      </c>
      <c r="ER88">
        <v>4.3197000000000001</v>
      </c>
      <c r="ES88" t="s">
        <v>75</v>
      </c>
      <c r="ET88">
        <v>4319.7030000000004</v>
      </c>
      <c r="EU88" t="s">
        <v>76</v>
      </c>
      <c r="EV88" t="s">
        <v>82</v>
      </c>
      <c r="EW88">
        <v>231.49739030000001</v>
      </c>
      <c r="EZ88" t="s">
        <v>497</v>
      </c>
      <c r="FA88" t="s">
        <v>84</v>
      </c>
      <c r="FB88">
        <v>443</v>
      </c>
      <c r="FC88" t="s">
        <v>81</v>
      </c>
      <c r="FD88">
        <v>1.0070000000000001E-2</v>
      </c>
      <c r="FE88" t="s">
        <v>74</v>
      </c>
      <c r="FF88">
        <v>10.06973</v>
      </c>
      <c r="FG88" t="s">
        <v>75</v>
      </c>
      <c r="FH88">
        <v>10069.725</v>
      </c>
      <c r="FI88" t="s">
        <v>76</v>
      </c>
      <c r="FJ88" t="s">
        <v>82</v>
      </c>
      <c r="FK88">
        <v>99.307573199999993</v>
      </c>
    </row>
    <row r="89" spans="1:167" x14ac:dyDescent="0.3">
      <c r="B89" t="s">
        <v>158</v>
      </c>
      <c r="P89" t="s">
        <v>158</v>
      </c>
      <c r="AD89" t="s">
        <v>158</v>
      </c>
      <c r="AR89" t="s">
        <v>293</v>
      </c>
      <c r="BF89" t="s">
        <v>293</v>
      </c>
      <c r="BT89" t="s">
        <v>293</v>
      </c>
      <c r="CH89" t="s">
        <v>409</v>
      </c>
      <c r="CV89" t="s">
        <v>409</v>
      </c>
      <c r="DJ89" t="s">
        <v>409</v>
      </c>
      <c r="DX89" t="s">
        <v>498</v>
      </c>
      <c r="DY89" t="s">
        <v>72</v>
      </c>
      <c r="DZ89">
        <v>2</v>
      </c>
      <c r="EA89" t="s">
        <v>86</v>
      </c>
      <c r="EB89">
        <v>0.20066500000000001</v>
      </c>
      <c r="EC89" t="s">
        <v>74</v>
      </c>
      <c r="ED89">
        <v>200.66506000000001</v>
      </c>
      <c r="EE89" t="s">
        <v>75</v>
      </c>
      <c r="EF89">
        <v>200665.057</v>
      </c>
      <c r="EG89" t="s">
        <v>76</v>
      </c>
      <c r="EH89" t="s">
        <v>82</v>
      </c>
      <c r="EI89">
        <v>4.9834287000000002</v>
      </c>
      <c r="EL89" t="s">
        <v>498</v>
      </c>
      <c r="EM89" t="s">
        <v>72</v>
      </c>
      <c r="EN89">
        <v>2</v>
      </c>
      <c r="EO89" t="s">
        <v>86</v>
      </c>
      <c r="EP89">
        <v>0.25150400000000001</v>
      </c>
      <c r="EQ89" t="s">
        <v>74</v>
      </c>
      <c r="ER89">
        <v>251.50421</v>
      </c>
      <c r="ES89" t="s">
        <v>75</v>
      </c>
      <c r="ET89">
        <v>251504.21299999999</v>
      </c>
      <c r="EU89" t="s">
        <v>76</v>
      </c>
      <c r="EV89" t="s">
        <v>82</v>
      </c>
      <c r="EW89">
        <v>3.9760765</v>
      </c>
      <c r="EZ89" t="s">
        <v>498</v>
      </c>
      <c r="FA89" t="s">
        <v>72</v>
      </c>
      <c r="FB89">
        <v>2</v>
      </c>
      <c r="FC89" t="s">
        <v>86</v>
      </c>
      <c r="FD89">
        <v>0.20835000000000001</v>
      </c>
      <c r="FE89" t="s">
        <v>74</v>
      </c>
      <c r="FF89">
        <v>208.34989999999999</v>
      </c>
      <c r="FG89" t="s">
        <v>75</v>
      </c>
      <c r="FH89">
        <v>208349.89799999999</v>
      </c>
      <c r="FI89" t="s">
        <v>76</v>
      </c>
      <c r="FJ89" t="s">
        <v>82</v>
      </c>
      <c r="FK89">
        <v>4.7996184</v>
      </c>
    </row>
    <row r="90" spans="1:167" x14ac:dyDescent="0.3">
      <c r="B90" t="s">
        <v>72</v>
      </c>
      <c r="C90">
        <v>1</v>
      </c>
      <c r="D90" t="s">
        <v>81</v>
      </c>
      <c r="E90">
        <v>3.2855700000000002E-2</v>
      </c>
      <c r="F90" t="s">
        <v>74</v>
      </c>
      <c r="G90">
        <v>32.855699999999999</v>
      </c>
      <c r="H90" t="s">
        <v>75</v>
      </c>
      <c r="I90">
        <v>32855.701000000001</v>
      </c>
      <c r="J90" t="s">
        <v>76</v>
      </c>
      <c r="K90" t="s">
        <v>82</v>
      </c>
      <c r="L90">
        <v>30.436118499999999</v>
      </c>
      <c r="P90" t="s">
        <v>72</v>
      </c>
      <c r="Q90">
        <v>1</v>
      </c>
      <c r="R90" t="s">
        <v>81</v>
      </c>
      <c r="S90">
        <v>3.26597E-2</v>
      </c>
      <c r="T90" t="s">
        <v>74</v>
      </c>
      <c r="U90">
        <v>32.659700000000001</v>
      </c>
      <c r="V90" t="s">
        <v>75</v>
      </c>
      <c r="W90">
        <v>32659.698</v>
      </c>
      <c r="X90" t="s">
        <v>76</v>
      </c>
      <c r="Y90" t="s">
        <v>82</v>
      </c>
      <c r="Z90">
        <v>30.618776400000002</v>
      </c>
      <c r="AD90" t="s">
        <v>72</v>
      </c>
      <c r="AE90">
        <v>1</v>
      </c>
      <c r="AF90" t="s">
        <v>81</v>
      </c>
      <c r="AG90">
        <v>3.2381E-2</v>
      </c>
      <c r="AH90" t="s">
        <v>74</v>
      </c>
      <c r="AI90">
        <v>32.381</v>
      </c>
      <c r="AJ90" t="s">
        <v>75</v>
      </c>
      <c r="AK90">
        <v>32381.002</v>
      </c>
      <c r="AL90" t="s">
        <v>76</v>
      </c>
      <c r="AM90" t="s">
        <v>82</v>
      </c>
      <c r="AN90">
        <v>30.882305800000001</v>
      </c>
      <c r="AR90" t="s">
        <v>72</v>
      </c>
      <c r="AS90">
        <v>1</v>
      </c>
      <c r="AT90" t="s">
        <v>81</v>
      </c>
      <c r="AU90">
        <v>3.6595900000000001E-2</v>
      </c>
      <c r="AV90" t="s">
        <v>74</v>
      </c>
      <c r="AW90">
        <v>36.5959</v>
      </c>
      <c r="AX90" t="s">
        <v>75</v>
      </c>
      <c r="AY90">
        <v>36595.9</v>
      </c>
      <c r="AZ90" t="s">
        <v>76</v>
      </c>
      <c r="BA90" t="s">
        <v>82</v>
      </c>
      <c r="BB90">
        <v>27.325465699999999</v>
      </c>
      <c r="BF90" t="s">
        <v>72</v>
      </c>
      <c r="BG90">
        <v>1</v>
      </c>
      <c r="BH90" t="s">
        <v>81</v>
      </c>
      <c r="BI90">
        <v>3.7776700000000003E-2</v>
      </c>
      <c r="BJ90" t="s">
        <v>74</v>
      </c>
      <c r="BK90">
        <v>37.776699999999998</v>
      </c>
      <c r="BL90" t="s">
        <v>75</v>
      </c>
      <c r="BM90">
        <v>37776.701000000001</v>
      </c>
      <c r="BN90" t="s">
        <v>76</v>
      </c>
      <c r="BO90" t="s">
        <v>82</v>
      </c>
      <c r="BP90">
        <v>26.4713426</v>
      </c>
      <c r="BT90" t="s">
        <v>72</v>
      </c>
      <c r="BU90">
        <v>1</v>
      </c>
      <c r="BV90" t="s">
        <v>81</v>
      </c>
      <c r="BW90">
        <v>3.8187699999999998E-2</v>
      </c>
      <c r="BX90" t="s">
        <v>74</v>
      </c>
      <c r="BY90">
        <v>38.1877</v>
      </c>
      <c r="BZ90" t="s">
        <v>75</v>
      </c>
      <c r="CA90">
        <v>38187.701000000001</v>
      </c>
      <c r="CB90" t="s">
        <v>76</v>
      </c>
      <c r="CC90" t="s">
        <v>82</v>
      </c>
      <c r="CD90">
        <v>26.1864414</v>
      </c>
      <c r="CH90" t="s">
        <v>72</v>
      </c>
      <c r="CI90">
        <v>1</v>
      </c>
      <c r="CJ90" t="s">
        <v>81</v>
      </c>
      <c r="CK90">
        <v>3.17097E-2</v>
      </c>
      <c r="CL90" t="s">
        <v>74</v>
      </c>
      <c r="CM90">
        <v>31.709700000000002</v>
      </c>
      <c r="CN90" t="s">
        <v>75</v>
      </c>
      <c r="CO90">
        <v>31709.701000000001</v>
      </c>
      <c r="CP90" t="s">
        <v>76</v>
      </c>
      <c r="CQ90" t="s">
        <v>82</v>
      </c>
      <c r="CR90">
        <v>31.536090699999999</v>
      </c>
      <c r="CV90" t="s">
        <v>72</v>
      </c>
      <c r="CW90">
        <v>1</v>
      </c>
      <c r="CX90" t="s">
        <v>81</v>
      </c>
      <c r="CY90">
        <v>3.1253299999999998E-2</v>
      </c>
      <c r="CZ90" t="s">
        <v>74</v>
      </c>
      <c r="DA90">
        <v>31.253299999999999</v>
      </c>
      <c r="DB90" t="s">
        <v>75</v>
      </c>
      <c r="DC90">
        <v>31253.300999999999</v>
      </c>
      <c r="DD90" t="s">
        <v>76</v>
      </c>
      <c r="DE90" t="s">
        <v>82</v>
      </c>
      <c r="DF90">
        <v>31.996620499999999</v>
      </c>
      <c r="DJ90" t="s">
        <v>72</v>
      </c>
      <c r="DK90">
        <v>1</v>
      </c>
      <c r="DL90" t="s">
        <v>81</v>
      </c>
      <c r="DM90">
        <v>3.1512100000000001E-2</v>
      </c>
      <c r="DN90" t="s">
        <v>74</v>
      </c>
      <c r="DO90">
        <v>31.5121</v>
      </c>
      <c r="DP90" t="s">
        <v>75</v>
      </c>
      <c r="DQ90">
        <v>31512.1</v>
      </c>
      <c r="DR90" t="s">
        <v>76</v>
      </c>
      <c r="DS90" t="s">
        <v>82</v>
      </c>
      <c r="DT90">
        <v>31.733841699999999</v>
      </c>
      <c r="DX90" t="s">
        <v>498</v>
      </c>
      <c r="DY90" t="s">
        <v>83</v>
      </c>
      <c r="DZ90">
        <v>999</v>
      </c>
      <c r="EA90" t="s">
        <v>86</v>
      </c>
      <c r="EB90">
        <v>4.3140000000000001E-3</v>
      </c>
      <c r="EC90" t="s">
        <v>74</v>
      </c>
      <c r="ED90">
        <v>4.3140999999999998</v>
      </c>
      <c r="EE90" t="s">
        <v>75</v>
      </c>
      <c r="EF90">
        <v>4314.0950000000003</v>
      </c>
      <c r="EG90" t="s">
        <v>76</v>
      </c>
      <c r="EH90" t="s">
        <v>82</v>
      </c>
      <c r="EI90">
        <v>231.79831709999999</v>
      </c>
      <c r="EL90" t="s">
        <v>498</v>
      </c>
      <c r="EM90" t="s">
        <v>83</v>
      </c>
      <c r="EN90">
        <v>999</v>
      </c>
      <c r="EO90" t="s">
        <v>86</v>
      </c>
      <c r="EP90">
        <v>2.464E-3</v>
      </c>
      <c r="EQ90" t="s">
        <v>74</v>
      </c>
      <c r="ER90">
        <v>2.46394</v>
      </c>
      <c r="ES90" t="s">
        <v>75</v>
      </c>
      <c r="ET90">
        <v>2463.9450000000002</v>
      </c>
      <c r="EU90" t="s">
        <v>76</v>
      </c>
      <c r="EV90" t="s">
        <v>82</v>
      </c>
      <c r="EW90">
        <v>405.85328720000001</v>
      </c>
      <c r="EZ90" t="s">
        <v>498</v>
      </c>
      <c r="FA90" t="s">
        <v>83</v>
      </c>
      <c r="FB90">
        <v>999</v>
      </c>
      <c r="FC90" t="s">
        <v>86</v>
      </c>
      <c r="FD90">
        <v>4.346E-3</v>
      </c>
      <c r="FE90" t="s">
        <v>74</v>
      </c>
      <c r="FF90">
        <v>4.3463099999999999</v>
      </c>
      <c r="FG90" t="s">
        <v>75</v>
      </c>
      <c r="FH90">
        <v>4346.3140000000003</v>
      </c>
      <c r="FI90" t="s">
        <v>76</v>
      </c>
      <c r="FJ90" t="s">
        <v>82</v>
      </c>
      <c r="FK90">
        <v>230.0800227</v>
      </c>
    </row>
    <row r="91" spans="1:167" x14ac:dyDescent="0.3">
      <c r="B91" t="s">
        <v>83</v>
      </c>
      <c r="C91">
        <v>1000</v>
      </c>
      <c r="D91" t="s">
        <v>81</v>
      </c>
      <c r="E91">
        <v>2.1417699999999999E-3</v>
      </c>
      <c r="F91" t="s">
        <v>74</v>
      </c>
      <c r="G91">
        <v>2.1417700000000002</v>
      </c>
      <c r="H91" t="s">
        <v>75</v>
      </c>
      <c r="I91">
        <v>2141.7739999999999</v>
      </c>
      <c r="J91" t="s">
        <v>76</v>
      </c>
      <c r="K91" t="s">
        <v>82</v>
      </c>
      <c r="L91">
        <v>466.90263169999997</v>
      </c>
      <c r="P91" t="s">
        <v>83</v>
      </c>
      <c r="Q91">
        <v>1000</v>
      </c>
      <c r="R91" t="s">
        <v>81</v>
      </c>
      <c r="S91">
        <v>2.5002980000000001E-2</v>
      </c>
      <c r="T91" t="s">
        <v>74</v>
      </c>
      <c r="U91">
        <v>25.002980000000001</v>
      </c>
      <c r="V91" t="s">
        <v>75</v>
      </c>
      <c r="W91">
        <v>25002.978999999999</v>
      </c>
      <c r="X91" t="s">
        <v>76</v>
      </c>
      <c r="Y91" t="s">
        <v>82</v>
      </c>
      <c r="Z91">
        <v>39.9952337</v>
      </c>
      <c r="AD91" t="s">
        <v>83</v>
      </c>
      <c r="AE91">
        <v>1000</v>
      </c>
      <c r="AF91" t="s">
        <v>81</v>
      </c>
      <c r="AG91">
        <v>2.5229419999999999E-2</v>
      </c>
      <c r="AH91" t="s">
        <v>74</v>
      </c>
      <c r="AI91">
        <v>25.229420000000001</v>
      </c>
      <c r="AJ91" t="s">
        <v>75</v>
      </c>
      <c r="AK91">
        <v>25229.416000000001</v>
      </c>
      <c r="AL91" t="s">
        <v>76</v>
      </c>
      <c r="AM91" t="s">
        <v>82</v>
      </c>
      <c r="AN91">
        <v>39.636272400000003</v>
      </c>
      <c r="AR91" t="s">
        <v>83</v>
      </c>
      <c r="AS91">
        <v>1000</v>
      </c>
      <c r="AT91" t="s">
        <v>81</v>
      </c>
      <c r="AU91">
        <v>3.0346399999999999E-3</v>
      </c>
      <c r="AV91" t="s">
        <v>74</v>
      </c>
      <c r="AW91">
        <v>3.03464</v>
      </c>
      <c r="AX91" t="s">
        <v>75</v>
      </c>
      <c r="AY91">
        <v>3034.64</v>
      </c>
      <c r="AZ91" t="s">
        <v>76</v>
      </c>
      <c r="BA91" t="s">
        <v>82</v>
      </c>
      <c r="BB91">
        <v>329.52839690000002</v>
      </c>
      <c r="BF91" t="s">
        <v>83</v>
      </c>
      <c r="BG91">
        <v>1000</v>
      </c>
      <c r="BH91" t="s">
        <v>81</v>
      </c>
      <c r="BI91">
        <v>2.60535E-2</v>
      </c>
      <c r="BJ91" t="s">
        <v>74</v>
      </c>
      <c r="BK91">
        <v>26.0535</v>
      </c>
      <c r="BL91" t="s">
        <v>75</v>
      </c>
      <c r="BM91">
        <v>26053.496999999999</v>
      </c>
      <c r="BN91" t="s">
        <v>76</v>
      </c>
      <c r="BO91" t="s">
        <v>82</v>
      </c>
      <c r="BP91">
        <v>38.382562900000003</v>
      </c>
      <c r="BT91" t="s">
        <v>83</v>
      </c>
      <c r="BU91">
        <v>1000</v>
      </c>
      <c r="BV91" t="s">
        <v>81</v>
      </c>
      <c r="BW91">
        <v>2.7042190000000001E-2</v>
      </c>
      <c r="BX91" t="s">
        <v>74</v>
      </c>
      <c r="BY91">
        <v>27.042190000000002</v>
      </c>
      <c r="BZ91" t="s">
        <v>75</v>
      </c>
      <c r="CA91">
        <v>27042.194</v>
      </c>
      <c r="CB91" t="s">
        <v>76</v>
      </c>
      <c r="CC91" t="s">
        <v>82</v>
      </c>
      <c r="CD91">
        <v>36.979247600000001</v>
      </c>
      <c r="CH91" t="s">
        <v>83</v>
      </c>
      <c r="CI91">
        <v>1000</v>
      </c>
      <c r="CJ91" t="s">
        <v>81</v>
      </c>
      <c r="CK91">
        <v>3.1894699999999998E-3</v>
      </c>
      <c r="CL91" t="s">
        <v>74</v>
      </c>
      <c r="CM91">
        <v>3.18947</v>
      </c>
      <c r="CN91" t="s">
        <v>75</v>
      </c>
      <c r="CO91">
        <v>3189.4740000000002</v>
      </c>
      <c r="CP91" t="s">
        <v>76</v>
      </c>
      <c r="CQ91" t="s">
        <v>82</v>
      </c>
      <c r="CR91">
        <v>313.53133509999998</v>
      </c>
      <c r="CV91" t="s">
        <v>83</v>
      </c>
      <c r="CW91">
        <v>1000</v>
      </c>
      <c r="CX91" t="s">
        <v>81</v>
      </c>
      <c r="CY91">
        <v>2.7790869999999999E-2</v>
      </c>
      <c r="CZ91" t="s">
        <v>74</v>
      </c>
      <c r="DA91">
        <v>27.790870000000002</v>
      </c>
      <c r="DB91" t="s">
        <v>75</v>
      </c>
      <c r="DC91">
        <v>27790.870999999999</v>
      </c>
      <c r="DD91" t="s">
        <v>76</v>
      </c>
      <c r="DE91" t="s">
        <v>82</v>
      </c>
      <c r="DF91">
        <v>35.983039599999998</v>
      </c>
      <c r="DJ91" t="s">
        <v>83</v>
      </c>
      <c r="DK91">
        <v>1000</v>
      </c>
      <c r="DL91" t="s">
        <v>81</v>
      </c>
      <c r="DM91">
        <v>2.8564780000000001E-2</v>
      </c>
      <c r="DN91" t="s">
        <v>74</v>
      </c>
      <c r="DO91">
        <v>28.564779999999999</v>
      </c>
      <c r="DP91" t="s">
        <v>75</v>
      </c>
      <c r="DQ91">
        <v>28564.775000000001</v>
      </c>
      <c r="DR91" t="s">
        <v>76</v>
      </c>
      <c r="DS91" t="s">
        <v>82</v>
      </c>
      <c r="DT91">
        <v>35.008152000000003</v>
      </c>
      <c r="DX91" t="s">
        <v>498</v>
      </c>
      <c r="DY91" t="s">
        <v>85</v>
      </c>
      <c r="DZ91">
        <v>1001</v>
      </c>
      <c r="EA91" t="s">
        <v>86</v>
      </c>
      <c r="EB91">
        <v>4.463E-3</v>
      </c>
      <c r="EC91" t="s">
        <v>74</v>
      </c>
      <c r="ED91">
        <v>4.4626999999999999</v>
      </c>
      <c r="EE91" t="s">
        <v>75</v>
      </c>
      <c r="EF91">
        <v>4462.6959999999999</v>
      </c>
      <c r="EG91" t="s">
        <v>76</v>
      </c>
      <c r="EH91" t="s">
        <v>82</v>
      </c>
      <c r="EI91">
        <v>224.07978900000001</v>
      </c>
      <c r="EL91" t="s">
        <v>498</v>
      </c>
      <c r="EM91" t="s">
        <v>85</v>
      </c>
      <c r="EN91">
        <v>1001</v>
      </c>
      <c r="EO91" t="s">
        <v>86</v>
      </c>
      <c r="EP91">
        <v>2.611E-3</v>
      </c>
      <c r="EQ91" t="s">
        <v>74</v>
      </c>
      <c r="ER91">
        <v>2.6111</v>
      </c>
      <c r="ES91" t="s">
        <v>75</v>
      </c>
      <c r="ET91">
        <v>2611.096</v>
      </c>
      <c r="EU91" t="s">
        <v>76</v>
      </c>
      <c r="EV91" t="s">
        <v>82</v>
      </c>
      <c r="EW91">
        <v>382.9808744</v>
      </c>
      <c r="EZ91" t="s">
        <v>498</v>
      </c>
      <c r="FA91" t="s">
        <v>85</v>
      </c>
      <c r="FB91">
        <v>1001</v>
      </c>
      <c r="FC91" t="s">
        <v>86</v>
      </c>
      <c r="FD91">
        <v>4.4910000000000002E-3</v>
      </c>
      <c r="FE91" t="s">
        <v>74</v>
      </c>
      <c r="FF91">
        <v>4.4912900000000002</v>
      </c>
      <c r="FG91" t="s">
        <v>75</v>
      </c>
      <c r="FH91">
        <v>4491.2889999999998</v>
      </c>
      <c r="FI91" t="s">
        <v>76</v>
      </c>
      <c r="FJ91" t="s">
        <v>82</v>
      </c>
      <c r="FK91">
        <v>222.6532205</v>
      </c>
    </row>
    <row r="92" spans="1:167" x14ac:dyDescent="0.3">
      <c r="B92" t="s">
        <v>85</v>
      </c>
      <c r="C92">
        <v>1001</v>
      </c>
      <c r="D92" t="s">
        <v>86</v>
      </c>
      <c r="E92">
        <v>2.17264E-3</v>
      </c>
      <c r="F92" t="s">
        <v>74</v>
      </c>
      <c r="G92">
        <v>2.1726399999999999</v>
      </c>
      <c r="H92" t="s">
        <v>75</v>
      </c>
      <c r="I92">
        <v>2172.6350000000002</v>
      </c>
      <c r="J92" t="s">
        <v>76</v>
      </c>
      <c r="K92" t="s">
        <v>82</v>
      </c>
      <c r="L92">
        <v>460.27056090000002</v>
      </c>
      <c r="P92" t="s">
        <v>85</v>
      </c>
      <c r="Q92">
        <v>1001</v>
      </c>
      <c r="R92" t="s">
        <v>86</v>
      </c>
      <c r="S92">
        <v>2.5010939999999999E-2</v>
      </c>
      <c r="T92" t="s">
        <v>74</v>
      </c>
      <c r="U92">
        <v>25.010940000000002</v>
      </c>
      <c r="V92" t="s">
        <v>75</v>
      </c>
      <c r="W92">
        <v>25010.942999999999</v>
      </c>
      <c r="X92" t="s">
        <v>76</v>
      </c>
      <c r="Y92" t="s">
        <v>82</v>
      </c>
      <c r="Z92">
        <v>39.982499500000003</v>
      </c>
      <c r="AD92" t="s">
        <v>85</v>
      </c>
      <c r="AE92">
        <v>1001</v>
      </c>
      <c r="AF92" t="s">
        <v>86</v>
      </c>
      <c r="AG92">
        <v>2.5236870000000002E-2</v>
      </c>
      <c r="AH92" t="s">
        <v>74</v>
      </c>
      <c r="AI92">
        <v>25.23687</v>
      </c>
      <c r="AJ92" t="s">
        <v>75</v>
      </c>
      <c r="AK92">
        <v>25236.875</v>
      </c>
      <c r="AL92" t="s">
        <v>76</v>
      </c>
      <c r="AM92" t="s">
        <v>82</v>
      </c>
      <c r="AN92">
        <v>39.624557699999997</v>
      </c>
      <c r="AR92" t="s">
        <v>85</v>
      </c>
      <c r="AS92">
        <v>1001</v>
      </c>
      <c r="AT92" t="s">
        <v>86</v>
      </c>
      <c r="AU92">
        <v>3.0684200000000001E-3</v>
      </c>
      <c r="AV92" t="s">
        <v>74</v>
      </c>
      <c r="AW92">
        <v>3.0684200000000001</v>
      </c>
      <c r="AX92" t="s">
        <v>75</v>
      </c>
      <c r="AY92">
        <v>3068.4169999999999</v>
      </c>
      <c r="AZ92" t="s">
        <v>76</v>
      </c>
      <c r="BA92" t="s">
        <v>82</v>
      </c>
      <c r="BB92">
        <v>325.90090889999999</v>
      </c>
      <c r="BF92" t="s">
        <v>85</v>
      </c>
      <c r="BG92">
        <v>1001</v>
      </c>
      <c r="BH92" t="s">
        <v>86</v>
      </c>
      <c r="BI92">
        <v>2.606634E-2</v>
      </c>
      <c r="BJ92" t="s">
        <v>74</v>
      </c>
      <c r="BK92">
        <v>26.06634</v>
      </c>
      <c r="BL92" t="s">
        <v>75</v>
      </c>
      <c r="BM92">
        <v>26066.341</v>
      </c>
      <c r="BN92" t="s">
        <v>76</v>
      </c>
      <c r="BO92" t="s">
        <v>82</v>
      </c>
      <c r="BP92">
        <v>38.363650800000002</v>
      </c>
      <c r="BT92" t="s">
        <v>85</v>
      </c>
      <c r="BU92">
        <v>1001</v>
      </c>
      <c r="BV92" t="s">
        <v>86</v>
      </c>
      <c r="BW92">
        <v>2.705403E-2</v>
      </c>
      <c r="BX92" t="s">
        <v>74</v>
      </c>
      <c r="BY92">
        <v>27.054030000000001</v>
      </c>
      <c r="BZ92" t="s">
        <v>75</v>
      </c>
      <c r="CA92">
        <v>27054.028999999999</v>
      </c>
      <c r="CB92" t="s">
        <v>76</v>
      </c>
      <c r="CC92" t="s">
        <v>82</v>
      </c>
      <c r="CD92">
        <v>36.963070799999997</v>
      </c>
      <c r="CH92" t="s">
        <v>85</v>
      </c>
      <c r="CI92">
        <v>1001</v>
      </c>
      <c r="CJ92" t="s">
        <v>86</v>
      </c>
      <c r="CK92">
        <v>3.2181599999999999E-3</v>
      </c>
      <c r="CL92" t="s">
        <v>74</v>
      </c>
      <c r="CM92">
        <v>3.2181600000000001</v>
      </c>
      <c r="CN92" t="s">
        <v>75</v>
      </c>
      <c r="CO92">
        <v>3218.1640000000002</v>
      </c>
      <c r="CP92" t="s">
        <v>76</v>
      </c>
      <c r="CQ92" t="s">
        <v>82</v>
      </c>
      <c r="CR92">
        <v>310.73618590000001</v>
      </c>
      <c r="CV92" t="s">
        <v>85</v>
      </c>
      <c r="CW92">
        <v>1001</v>
      </c>
      <c r="CX92" t="s">
        <v>86</v>
      </c>
      <c r="CY92">
        <v>2.7794699999999999E-2</v>
      </c>
      <c r="CZ92" t="s">
        <v>74</v>
      </c>
      <c r="DA92">
        <v>27.794699999999999</v>
      </c>
      <c r="DB92" t="s">
        <v>75</v>
      </c>
      <c r="DC92">
        <v>27794.696</v>
      </c>
      <c r="DD92" t="s">
        <v>76</v>
      </c>
      <c r="DE92" t="s">
        <v>82</v>
      </c>
      <c r="DF92">
        <v>35.978087299999999</v>
      </c>
      <c r="DJ92" t="s">
        <v>85</v>
      </c>
      <c r="DK92">
        <v>1001</v>
      </c>
      <c r="DL92" t="s">
        <v>86</v>
      </c>
      <c r="DM92">
        <v>2.8568090000000001E-2</v>
      </c>
      <c r="DN92" t="s">
        <v>74</v>
      </c>
      <c r="DO92">
        <v>28.568090000000002</v>
      </c>
      <c r="DP92" t="s">
        <v>75</v>
      </c>
      <c r="DQ92">
        <v>28568.094000000001</v>
      </c>
      <c r="DR92" t="s">
        <v>76</v>
      </c>
      <c r="DS92" t="s">
        <v>82</v>
      </c>
      <c r="DT92">
        <v>35.004084800000001</v>
      </c>
    </row>
    <row r="93" spans="1:167" x14ac:dyDescent="0.3">
      <c r="DX93" t="s">
        <v>509</v>
      </c>
      <c r="EL93" t="s">
        <v>509</v>
      </c>
      <c r="EZ93" t="s">
        <v>509</v>
      </c>
    </row>
    <row r="94" spans="1:167" x14ac:dyDescent="0.3">
      <c r="A94">
        <v>10</v>
      </c>
      <c r="B94" t="s">
        <v>164</v>
      </c>
      <c r="O94">
        <v>10</v>
      </c>
      <c r="P94" t="s">
        <v>164</v>
      </c>
      <c r="AC94">
        <v>10</v>
      </c>
      <c r="AD94" t="s">
        <v>164</v>
      </c>
      <c r="AQ94">
        <v>10</v>
      </c>
      <c r="AR94" t="s">
        <v>297</v>
      </c>
      <c r="BE94">
        <v>10</v>
      </c>
      <c r="BF94" t="s">
        <v>297</v>
      </c>
      <c r="BS94">
        <v>10</v>
      </c>
      <c r="BT94" t="s">
        <v>297</v>
      </c>
      <c r="CG94">
        <v>10</v>
      </c>
      <c r="CH94" t="s">
        <v>413</v>
      </c>
      <c r="CU94">
        <v>10</v>
      </c>
      <c r="CV94" t="s">
        <v>413</v>
      </c>
      <c r="DI94">
        <v>10</v>
      </c>
      <c r="DJ94" t="s">
        <v>413</v>
      </c>
      <c r="DX94" t="s">
        <v>496</v>
      </c>
      <c r="DY94" t="s">
        <v>72</v>
      </c>
      <c r="DZ94">
        <v>1</v>
      </c>
      <c r="EA94" t="s">
        <v>81</v>
      </c>
      <c r="EB94">
        <v>2.5135000000000001E-2</v>
      </c>
      <c r="EC94" t="s">
        <v>74</v>
      </c>
      <c r="ED94">
        <v>25.134899999999998</v>
      </c>
      <c r="EE94" t="s">
        <v>75</v>
      </c>
      <c r="EF94">
        <v>25134.901000000002</v>
      </c>
      <c r="EG94" t="s">
        <v>76</v>
      </c>
      <c r="EH94" t="s">
        <v>82</v>
      </c>
      <c r="EI94">
        <v>39.785317499999998</v>
      </c>
      <c r="EL94" t="s">
        <v>496</v>
      </c>
      <c r="EM94" t="s">
        <v>72</v>
      </c>
      <c r="EN94">
        <v>1</v>
      </c>
      <c r="EO94" t="s">
        <v>81</v>
      </c>
      <c r="EP94">
        <v>2.9051E-2</v>
      </c>
      <c r="EQ94" t="s">
        <v>74</v>
      </c>
      <c r="ER94">
        <v>29.050799999999999</v>
      </c>
      <c r="ES94" t="s">
        <v>75</v>
      </c>
      <c r="ET94">
        <v>29050.798999999999</v>
      </c>
      <c r="EU94" t="s">
        <v>76</v>
      </c>
      <c r="EV94" t="s">
        <v>82</v>
      </c>
      <c r="EW94">
        <v>34.422460999999998</v>
      </c>
      <c r="EZ94" t="s">
        <v>496</v>
      </c>
      <c r="FA94" t="s">
        <v>72</v>
      </c>
      <c r="FB94">
        <v>1</v>
      </c>
      <c r="FC94" t="s">
        <v>81</v>
      </c>
      <c r="FD94">
        <v>9.7970000000000002E-3</v>
      </c>
      <c r="FE94" t="s">
        <v>74</v>
      </c>
      <c r="FF94">
        <v>9.7970000000000006</v>
      </c>
      <c r="FG94" t="s">
        <v>75</v>
      </c>
      <c r="FH94">
        <v>9797</v>
      </c>
      <c r="FI94" t="s">
        <v>76</v>
      </c>
      <c r="FJ94" t="s">
        <v>82</v>
      </c>
      <c r="FK94">
        <v>102.07205949999999</v>
      </c>
    </row>
    <row r="95" spans="1:167" x14ac:dyDescent="0.3">
      <c r="B95" t="s">
        <v>72</v>
      </c>
      <c r="C95">
        <v>1</v>
      </c>
      <c r="D95" t="s">
        <v>81</v>
      </c>
      <c r="E95">
        <v>0.47010039999999997</v>
      </c>
      <c r="F95" t="s">
        <v>74</v>
      </c>
      <c r="G95">
        <v>470.10039999999998</v>
      </c>
      <c r="H95" t="s">
        <v>75</v>
      </c>
      <c r="I95">
        <v>470100.40299999999</v>
      </c>
      <c r="J95" t="s">
        <v>76</v>
      </c>
      <c r="K95" t="s">
        <v>82</v>
      </c>
      <c r="L95">
        <v>2.1272052000000001</v>
      </c>
      <c r="P95" t="s">
        <v>72</v>
      </c>
      <c r="Q95">
        <v>1</v>
      </c>
      <c r="R95" t="s">
        <v>81</v>
      </c>
      <c r="S95">
        <v>0.46697949999999999</v>
      </c>
      <c r="T95" t="s">
        <v>74</v>
      </c>
      <c r="U95">
        <v>466.97949999999997</v>
      </c>
      <c r="V95" t="s">
        <v>75</v>
      </c>
      <c r="W95">
        <v>466979.50400000002</v>
      </c>
      <c r="X95" t="s">
        <v>76</v>
      </c>
      <c r="Y95" t="s">
        <v>82</v>
      </c>
      <c r="Z95">
        <v>2.1414216000000001</v>
      </c>
      <c r="AD95" t="s">
        <v>72</v>
      </c>
      <c r="AE95">
        <v>1</v>
      </c>
      <c r="AF95" t="s">
        <v>81</v>
      </c>
      <c r="AG95">
        <v>0.45941269000000001</v>
      </c>
      <c r="AH95" t="s">
        <v>74</v>
      </c>
      <c r="AI95">
        <v>459.41269</v>
      </c>
      <c r="AJ95" t="s">
        <v>75</v>
      </c>
      <c r="AK95">
        <v>459412.69400000002</v>
      </c>
      <c r="AL95" t="s">
        <v>76</v>
      </c>
      <c r="AM95" t="s">
        <v>82</v>
      </c>
      <c r="AN95">
        <v>2.1766920999999999</v>
      </c>
      <c r="AR95" t="s">
        <v>72</v>
      </c>
      <c r="AS95">
        <v>1</v>
      </c>
      <c r="AT95" t="s">
        <v>81</v>
      </c>
      <c r="AU95">
        <v>0.22535089999999999</v>
      </c>
      <c r="AV95" t="s">
        <v>74</v>
      </c>
      <c r="AW95">
        <v>225.3509</v>
      </c>
      <c r="AX95" t="s">
        <v>75</v>
      </c>
      <c r="AY95">
        <v>225350.90100000001</v>
      </c>
      <c r="AZ95" t="s">
        <v>76</v>
      </c>
      <c r="BA95" t="s">
        <v>82</v>
      </c>
      <c r="BB95">
        <v>4.4375239000000004</v>
      </c>
      <c r="BF95" t="s">
        <v>72</v>
      </c>
      <c r="BG95">
        <v>1</v>
      </c>
      <c r="BH95" t="s">
        <v>81</v>
      </c>
      <c r="BI95">
        <v>0.2238522</v>
      </c>
      <c r="BJ95" t="s">
        <v>74</v>
      </c>
      <c r="BK95">
        <v>223.85220000000001</v>
      </c>
      <c r="BL95" t="s">
        <v>75</v>
      </c>
      <c r="BM95">
        <v>223852.20199999999</v>
      </c>
      <c r="BN95" t="s">
        <v>76</v>
      </c>
      <c r="BO95" t="s">
        <v>82</v>
      </c>
      <c r="BP95">
        <v>4.4672331999999999</v>
      </c>
      <c r="BT95" t="s">
        <v>72</v>
      </c>
      <c r="BU95">
        <v>1</v>
      </c>
      <c r="BV95" t="s">
        <v>81</v>
      </c>
      <c r="BW95">
        <v>0.22142559000000001</v>
      </c>
      <c r="BX95" t="s">
        <v>74</v>
      </c>
      <c r="BY95">
        <v>221.42559</v>
      </c>
      <c r="BZ95" t="s">
        <v>75</v>
      </c>
      <c r="CA95">
        <v>221425.59299999999</v>
      </c>
      <c r="CB95" t="s">
        <v>76</v>
      </c>
      <c r="CC95" t="s">
        <v>82</v>
      </c>
      <c r="CD95">
        <v>4.5161898000000003</v>
      </c>
      <c r="CH95" t="s">
        <v>72</v>
      </c>
      <c r="CI95">
        <v>1</v>
      </c>
      <c r="CJ95" t="s">
        <v>81</v>
      </c>
      <c r="CK95">
        <v>0.2308384</v>
      </c>
      <c r="CL95" t="s">
        <v>74</v>
      </c>
      <c r="CM95">
        <v>230.83840000000001</v>
      </c>
      <c r="CN95" t="s">
        <v>75</v>
      </c>
      <c r="CO95">
        <v>230838.40299999999</v>
      </c>
      <c r="CP95" t="s">
        <v>76</v>
      </c>
      <c r="CQ95" t="s">
        <v>82</v>
      </c>
      <c r="CR95">
        <v>4.3320347999999997</v>
      </c>
      <c r="CV95" t="s">
        <v>72</v>
      </c>
      <c r="CW95">
        <v>1</v>
      </c>
      <c r="CX95" t="s">
        <v>81</v>
      </c>
      <c r="CY95">
        <v>0.23139778999999999</v>
      </c>
      <c r="CZ95" t="s">
        <v>74</v>
      </c>
      <c r="DA95">
        <v>231.39778999999999</v>
      </c>
      <c r="DB95" t="s">
        <v>75</v>
      </c>
      <c r="DC95">
        <v>231397.79300000001</v>
      </c>
      <c r="DD95" t="s">
        <v>76</v>
      </c>
      <c r="DE95" t="s">
        <v>82</v>
      </c>
      <c r="DF95">
        <v>4.3215624000000004</v>
      </c>
      <c r="DJ95" t="s">
        <v>72</v>
      </c>
      <c r="DK95">
        <v>1</v>
      </c>
      <c r="DL95" t="s">
        <v>81</v>
      </c>
      <c r="DM95">
        <v>0.23023440000000001</v>
      </c>
      <c r="DN95" t="s">
        <v>74</v>
      </c>
      <c r="DO95">
        <v>230.23439999999999</v>
      </c>
      <c r="DP95" t="s">
        <v>75</v>
      </c>
      <c r="DQ95">
        <v>230234.399</v>
      </c>
      <c r="DR95" t="s">
        <v>76</v>
      </c>
      <c r="DS95" t="s">
        <v>82</v>
      </c>
      <c r="DT95">
        <v>4.3433995999999997</v>
      </c>
      <c r="DX95" t="s">
        <v>496</v>
      </c>
      <c r="DY95" t="s">
        <v>83</v>
      </c>
      <c r="DZ95">
        <v>627</v>
      </c>
      <c r="EA95" t="s">
        <v>81</v>
      </c>
      <c r="EB95">
        <v>7.1970000000000003E-3</v>
      </c>
      <c r="EC95" t="s">
        <v>74</v>
      </c>
      <c r="ED95">
        <v>7.1965700000000004</v>
      </c>
      <c r="EE95" t="s">
        <v>75</v>
      </c>
      <c r="EF95">
        <v>7196.5709999999999</v>
      </c>
      <c r="EG95" t="s">
        <v>76</v>
      </c>
      <c r="EH95" t="s">
        <v>82</v>
      </c>
      <c r="EI95">
        <v>138.95506839999999</v>
      </c>
      <c r="EL95" t="s">
        <v>496</v>
      </c>
      <c r="EM95" t="s">
        <v>83</v>
      </c>
      <c r="EN95">
        <v>529</v>
      </c>
      <c r="EO95" t="s">
        <v>81</v>
      </c>
      <c r="EP95">
        <v>4.5649999999999996E-3</v>
      </c>
      <c r="EQ95" t="s">
        <v>74</v>
      </c>
      <c r="ER95">
        <v>4.5651099999999998</v>
      </c>
      <c r="ES95" t="s">
        <v>75</v>
      </c>
      <c r="ET95">
        <v>4565.107</v>
      </c>
      <c r="EU95" t="s">
        <v>76</v>
      </c>
      <c r="EV95" t="s">
        <v>82</v>
      </c>
      <c r="EW95">
        <v>219.05289920000001</v>
      </c>
      <c r="EZ95" t="s">
        <v>496</v>
      </c>
      <c r="FA95" t="s">
        <v>83</v>
      </c>
      <c r="FB95">
        <v>538</v>
      </c>
      <c r="FC95" t="s">
        <v>81</v>
      </c>
      <c r="FD95">
        <v>8.4239999999999992E-3</v>
      </c>
      <c r="FE95" t="s">
        <v>74</v>
      </c>
      <c r="FF95">
        <v>8.4242000000000008</v>
      </c>
      <c r="FG95" t="s">
        <v>75</v>
      </c>
      <c r="FH95">
        <v>8424.2019999999993</v>
      </c>
      <c r="FI95" t="s">
        <v>76</v>
      </c>
      <c r="FJ95" t="s">
        <v>82</v>
      </c>
      <c r="FK95">
        <v>118.7056013</v>
      </c>
    </row>
    <row r="96" spans="1:167" x14ac:dyDescent="0.3">
      <c r="B96" t="s">
        <v>83</v>
      </c>
      <c r="C96">
        <v>1000</v>
      </c>
      <c r="D96" t="s">
        <v>81</v>
      </c>
      <c r="E96">
        <v>1.06057E-3</v>
      </c>
      <c r="F96" t="s">
        <v>74</v>
      </c>
      <c r="G96">
        <v>1.06057</v>
      </c>
      <c r="H96" t="s">
        <v>75</v>
      </c>
      <c r="I96">
        <v>1060.567</v>
      </c>
      <c r="J96" t="s">
        <v>76</v>
      </c>
      <c r="K96" t="s">
        <v>82</v>
      </c>
      <c r="L96">
        <v>942.89206119999994</v>
      </c>
      <c r="P96" t="s">
        <v>83</v>
      </c>
      <c r="Q96">
        <v>1000</v>
      </c>
      <c r="R96" t="s">
        <v>81</v>
      </c>
      <c r="S96">
        <v>1.636802E-2</v>
      </c>
      <c r="T96" t="s">
        <v>74</v>
      </c>
      <c r="U96">
        <v>16.368020000000001</v>
      </c>
      <c r="V96" t="s">
        <v>75</v>
      </c>
      <c r="W96">
        <v>16368.014999999999</v>
      </c>
      <c r="X96" t="s">
        <v>76</v>
      </c>
      <c r="Y96" t="s">
        <v>82</v>
      </c>
      <c r="Z96">
        <v>61.094762099999997</v>
      </c>
      <c r="AD96" t="s">
        <v>83</v>
      </c>
      <c r="AE96">
        <v>1000</v>
      </c>
      <c r="AF96" t="s">
        <v>81</v>
      </c>
      <c r="AG96">
        <v>1.6674439999999999E-2</v>
      </c>
      <c r="AH96" t="s">
        <v>74</v>
      </c>
      <c r="AI96">
        <v>16.674440000000001</v>
      </c>
      <c r="AJ96" t="s">
        <v>75</v>
      </c>
      <c r="AK96">
        <v>16674.441999999999</v>
      </c>
      <c r="AL96" t="s">
        <v>76</v>
      </c>
      <c r="AM96" t="s">
        <v>82</v>
      </c>
      <c r="AN96">
        <v>59.972020800000003</v>
      </c>
      <c r="AR96" t="s">
        <v>83</v>
      </c>
      <c r="AS96">
        <v>1000</v>
      </c>
      <c r="AT96" t="s">
        <v>81</v>
      </c>
      <c r="AU96">
        <v>1.23112E-3</v>
      </c>
      <c r="AV96" t="s">
        <v>74</v>
      </c>
      <c r="AW96">
        <v>1.23112</v>
      </c>
      <c r="AX96" t="s">
        <v>75</v>
      </c>
      <c r="AY96">
        <v>1231.116</v>
      </c>
      <c r="AZ96" t="s">
        <v>76</v>
      </c>
      <c r="BA96" t="s">
        <v>82</v>
      </c>
      <c r="BB96">
        <v>812.27142000000003</v>
      </c>
      <c r="BF96" t="s">
        <v>83</v>
      </c>
      <c r="BG96">
        <v>1000</v>
      </c>
      <c r="BH96" t="s">
        <v>81</v>
      </c>
      <c r="BI96">
        <v>1.711855E-2</v>
      </c>
      <c r="BJ96" t="s">
        <v>74</v>
      </c>
      <c r="BK96">
        <v>17.118549999999999</v>
      </c>
      <c r="BL96" t="s">
        <v>75</v>
      </c>
      <c r="BM96">
        <v>17118.553</v>
      </c>
      <c r="BN96" t="s">
        <v>76</v>
      </c>
      <c r="BO96" t="s">
        <v>82</v>
      </c>
      <c r="BP96">
        <v>58.416151800000002</v>
      </c>
      <c r="BT96" t="s">
        <v>83</v>
      </c>
      <c r="BU96">
        <v>1000</v>
      </c>
      <c r="BV96" t="s">
        <v>81</v>
      </c>
      <c r="BW96">
        <v>1.7194310000000001E-2</v>
      </c>
      <c r="BX96" t="s">
        <v>74</v>
      </c>
      <c r="BY96">
        <v>17.194310000000002</v>
      </c>
      <c r="BZ96" t="s">
        <v>75</v>
      </c>
      <c r="CA96">
        <v>17194.305</v>
      </c>
      <c r="CB96" t="s">
        <v>76</v>
      </c>
      <c r="CC96" t="s">
        <v>82</v>
      </c>
      <c r="CD96">
        <v>58.158790099999997</v>
      </c>
      <c r="CH96" t="s">
        <v>83</v>
      </c>
      <c r="CI96">
        <v>1000</v>
      </c>
      <c r="CJ96" t="s">
        <v>81</v>
      </c>
      <c r="CK96">
        <v>1.1985800000000001E-3</v>
      </c>
      <c r="CL96" t="s">
        <v>74</v>
      </c>
      <c r="CM96">
        <v>1.19858</v>
      </c>
      <c r="CN96" t="s">
        <v>75</v>
      </c>
      <c r="CO96">
        <v>1198.58</v>
      </c>
      <c r="CP96" t="s">
        <v>76</v>
      </c>
      <c r="CQ96" t="s">
        <v>82</v>
      </c>
      <c r="CR96">
        <v>834.32034520000002</v>
      </c>
      <c r="CV96" t="s">
        <v>83</v>
      </c>
      <c r="CW96">
        <v>1000</v>
      </c>
      <c r="CX96" t="s">
        <v>81</v>
      </c>
      <c r="CY96">
        <v>1.7006770000000001E-2</v>
      </c>
      <c r="CZ96" t="s">
        <v>74</v>
      </c>
      <c r="DA96">
        <v>17.006769999999999</v>
      </c>
      <c r="DB96" t="s">
        <v>75</v>
      </c>
      <c r="DC96">
        <v>17006.775000000001</v>
      </c>
      <c r="DD96" t="s">
        <v>76</v>
      </c>
      <c r="DE96" t="s">
        <v>82</v>
      </c>
      <c r="DF96">
        <v>58.800096199999999</v>
      </c>
      <c r="DJ96" t="s">
        <v>83</v>
      </c>
      <c r="DK96">
        <v>1000</v>
      </c>
      <c r="DL96" t="s">
        <v>81</v>
      </c>
      <c r="DM96">
        <v>1.770511E-2</v>
      </c>
      <c r="DN96" t="s">
        <v>74</v>
      </c>
      <c r="DO96">
        <v>17.705110000000001</v>
      </c>
      <c r="DP96" t="s">
        <v>75</v>
      </c>
      <c r="DQ96">
        <v>17705.111000000001</v>
      </c>
      <c r="DR96" t="s">
        <v>76</v>
      </c>
      <c r="DS96" t="s">
        <v>82</v>
      </c>
      <c r="DT96">
        <v>56.4808673</v>
      </c>
      <c r="DX96" t="s">
        <v>496</v>
      </c>
      <c r="DY96" t="s">
        <v>84</v>
      </c>
      <c r="DZ96">
        <v>628</v>
      </c>
      <c r="EA96" t="s">
        <v>81</v>
      </c>
      <c r="EB96">
        <v>7.2249999999999997E-3</v>
      </c>
      <c r="EC96" t="s">
        <v>74</v>
      </c>
      <c r="ED96">
        <v>7.2251399999999997</v>
      </c>
      <c r="EE96" t="s">
        <v>75</v>
      </c>
      <c r="EF96">
        <v>7225.1350000000002</v>
      </c>
      <c r="EG96" t="s">
        <v>76</v>
      </c>
      <c r="EH96" t="s">
        <v>82</v>
      </c>
      <c r="EI96">
        <v>138.40571209999999</v>
      </c>
      <c r="EL96" t="s">
        <v>496</v>
      </c>
      <c r="EM96" t="s">
        <v>84</v>
      </c>
      <c r="EN96">
        <v>530</v>
      </c>
      <c r="EO96" t="s">
        <v>81</v>
      </c>
      <c r="EP96">
        <v>4.6109999999999996E-3</v>
      </c>
      <c r="EQ96" t="s">
        <v>74</v>
      </c>
      <c r="ER96">
        <v>4.6113099999999996</v>
      </c>
      <c r="ES96" t="s">
        <v>75</v>
      </c>
      <c r="ET96">
        <v>4611.3069999999998</v>
      </c>
      <c r="EU96" t="s">
        <v>76</v>
      </c>
      <c r="EV96" t="s">
        <v>82</v>
      </c>
      <c r="EW96">
        <v>216.85824460000001</v>
      </c>
      <c r="EZ96" t="s">
        <v>496</v>
      </c>
      <c r="FA96" t="s">
        <v>84</v>
      </c>
      <c r="FB96">
        <v>539</v>
      </c>
      <c r="FC96" t="s">
        <v>81</v>
      </c>
      <c r="FD96">
        <v>8.4270000000000005E-3</v>
      </c>
      <c r="FE96" t="s">
        <v>74</v>
      </c>
      <c r="FF96">
        <v>8.4267500000000002</v>
      </c>
      <c r="FG96" t="s">
        <v>75</v>
      </c>
      <c r="FH96">
        <v>8426.75</v>
      </c>
      <c r="FI96" t="s">
        <v>76</v>
      </c>
      <c r="FJ96" t="s">
        <v>82</v>
      </c>
      <c r="FK96">
        <v>118.6697082</v>
      </c>
    </row>
    <row r="97" spans="1:167" x14ac:dyDescent="0.3">
      <c r="B97" t="s">
        <v>85</v>
      </c>
      <c r="C97">
        <v>1001</v>
      </c>
      <c r="D97" t="s">
        <v>86</v>
      </c>
      <c r="E97">
        <v>1.5292700000000001E-3</v>
      </c>
      <c r="F97" t="s">
        <v>74</v>
      </c>
      <c r="G97">
        <v>1.5292699999999999</v>
      </c>
      <c r="H97" t="s">
        <v>75</v>
      </c>
      <c r="I97">
        <v>1529.27</v>
      </c>
      <c r="J97" t="s">
        <v>76</v>
      </c>
      <c r="K97" t="s">
        <v>82</v>
      </c>
      <c r="L97">
        <v>653.9066133</v>
      </c>
      <c r="P97" t="s">
        <v>85</v>
      </c>
      <c r="Q97">
        <v>1001</v>
      </c>
      <c r="R97" t="s">
        <v>86</v>
      </c>
      <c r="S97">
        <v>1.6818389999999999E-2</v>
      </c>
      <c r="T97" t="s">
        <v>74</v>
      </c>
      <c r="U97">
        <v>16.818390000000001</v>
      </c>
      <c r="V97" t="s">
        <v>75</v>
      </c>
      <c r="W97">
        <v>16818.388999999999</v>
      </c>
      <c r="X97" t="s">
        <v>76</v>
      </c>
      <c r="Y97" t="s">
        <v>82</v>
      </c>
      <c r="Z97">
        <v>59.458728399999998</v>
      </c>
      <c r="AD97" t="s">
        <v>85</v>
      </c>
      <c r="AE97">
        <v>1001</v>
      </c>
      <c r="AF97" t="s">
        <v>86</v>
      </c>
      <c r="AG97">
        <v>1.7116940000000001E-2</v>
      </c>
      <c r="AH97" t="s">
        <v>74</v>
      </c>
      <c r="AI97">
        <v>17.11694</v>
      </c>
      <c r="AJ97" t="s">
        <v>75</v>
      </c>
      <c r="AK97">
        <v>17116.935000000001</v>
      </c>
      <c r="AL97" t="s">
        <v>76</v>
      </c>
      <c r="AM97" t="s">
        <v>82</v>
      </c>
      <c r="AN97">
        <v>58.421672999999998</v>
      </c>
      <c r="AR97" t="s">
        <v>85</v>
      </c>
      <c r="AS97">
        <v>1001</v>
      </c>
      <c r="AT97" t="s">
        <v>86</v>
      </c>
      <c r="AU97">
        <v>1.4551500000000001E-3</v>
      </c>
      <c r="AV97" t="s">
        <v>74</v>
      </c>
      <c r="AW97">
        <v>1.4551499999999999</v>
      </c>
      <c r="AX97" t="s">
        <v>75</v>
      </c>
      <c r="AY97">
        <v>1455.1510000000001</v>
      </c>
      <c r="AZ97" t="s">
        <v>76</v>
      </c>
      <c r="BA97" t="s">
        <v>82</v>
      </c>
      <c r="BB97">
        <v>687.21412989999999</v>
      </c>
      <c r="BF97" t="s">
        <v>85</v>
      </c>
      <c r="BG97">
        <v>1001</v>
      </c>
      <c r="BH97" t="s">
        <v>86</v>
      </c>
      <c r="BI97">
        <v>1.7325360000000001E-2</v>
      </c>
      <c r="BJ97" t="s">
        <v>74</v>
      </c>
      <c r="BK97">
        <v>17.32536</v>
      </c>
      <c r="BL97" t="s">
        <v>75</v>
      </c>
      <c r="BM97">
        <v>17325.364000000001</v>
      </c>
      <c r="BN97" t="s">
        <v>76</v>
      </c>
      <c r="BO97" t="s">
        <v>82</v>
      </c>
      <c r="BP97">
        <v>57.718844500000003</v>
      </c>
      <c r="BT97" t="s">
        <v>85</v>
      </c>
      <c r="BU97">
        <v>1001</v>
      </c>
      <c r="BV97" t="s">
        <v>86</v>
      </c>
      <c r="BW97">
        <v>1.73986E-2</v>
      </c>
      <c r="BX97" t="s">
        <v>74</v>
      </c>
      <c r="BY97">
        <v>17.398599999999998</v>
      </c>
      <c r="BZ97" t="s">
        <v>75</v>
      </c>
      <c r="CA97">
        <v>17398.601999999999</v>
      </c>
      <c r="CB97" t="s">
        <v>76</v>
      </c>
      <c r="CC97" t="s">
        <v>82</v>
      </c>
      <c r="CD97">
        <v>57.475883000000003</v>
      </c>
      <c r="CH97" t="s">
        <v>85</v>
      </c>
      <c r="CI97">
        <v>1001</v>
      </c>
      <c r="CJ97" t="s">
        <v>86</v>
      </c>
      <c r="CK97">
        <v>1.4281999999999999E-3</v>
      </c>
      <c r="CL97" t="s">
        <v>74</v>
      </c>
      <c r="CM97">
        <v>1.4281999999999999</v>
      </c>
      <c r="CN97" t="s">
        <v>75</v>
      </c>
      <c r="CO97">
        <v>1428.2049999999999</v>
      </c>
      <c r="CP97" t="s">
        <v>76</v>
      </c>
      <c r="CQ97" t="s">
        <v>82</v>
      </c>
      <c r="CR97">
        <v>700.1797444</v>
      </c>
      <c r="CV97" t="s">
        <v>85</v>
      </c>
      <c r="CW97">
        <v>1001</v>
      </c>
      <c r="CX97" t="s">
        <v>86</v>
      </c>
      <c r="CY97">
        <v>1.722131E-2</v>
      </c>
      <c r="CZ97" t="s">
        <v>74</v>
      </c>
      <c r="DA97">
        <v>17.221309999999999</v>
      </c>
      <c r="DB97" t="s">
        <v>75</v>
      </c>
      <c r="DC97">
        <v>17221.313999999998</v>
      </c>
      <c r="DD97" t="s">
        <v>76</v>
      </c>
      <c r="DE97" t="s">
        <v>82</v>
      </c>
      <c r="DF97">
        <v>58.067579700000003</v>
      </c>
      <c r="DJ97" t="s">
        <v>85</v>
      </c>
      <c r="DK97">
        <v>1001</v>
      </c>
      <c r="DL97" t="s">
        <v>86</v>
      </c>
      <c r="DM97">
        <v>1.7917700000000002E-2</v>
      </c>
      <c r="DN97" t="s">
        <v>74</v>
      </c>
      <c r="DO97">
        <v>17.9177</v>
      </c>
      <c r="DP97" t="s">
        <v>75</v>
      </c>
      <c r="DQ97">
        <v>17917.702000000001</v>
      </c>
      <c r="DR97" t="s">
        <v>76</v>
      </c>
      <c r="DS97" t="s">
        <v>82</v>
      </c>
      <c r="DT97">
        <v>55.810729500000001</v>
      </c>
      <c r="DX97" t="s">
        <v>497</v>
      </c>
      <c r="DY97" t="s">
        <v>72</v>
      </c>
      <c r="DZ97">
        <v>1</v>
      </c>
      <c r="EA97" t="s">
        <v>81</v>
      </c>
      <c r="EB97">
        <v>9.3939999999999996E-3</v>
      </c>
      <c r="EC97" t="s">
        <v>74</v>
      </c>
      <c r="ED97">
        <v>9.3942999999999994</v>
      </c>
      <c r="EE97" t="s">
        <v>75</v>
      </c>
      <c r="EF97">
        <v>9394.2999999999993</v>
      </c>
      <c r="EG97" t="s">
        <v>76</v>
      </c>
      <c r="EH97" t="s">
        <v>82</v>
      </c>
      <c r="EI97">
        <v>106.4475248</v>
      </c>
      <c r="EL97" t="s">
        <v>497</v>
      </c>
      <c r="EM97" t="s">
        <v>72</v>
      </c>
      <c r="EN97">
        <v>1</v>
      </c>
      <c r="EO97" t="s">
        <v>81</v>
      </c>
      <c r="EP97">
        <v>9.6410000000000003E-3</v>
      </c>
      <c r="EQ97" t="s">
        <v>74</v>
      </c>
      <c r="ER97">
        <v>9.6414000000000009</v>
      </c>
      <c r="ES97" t="s">
        <v>75</v>
      </c>
      <c r="ET97">
        <v>9641.4</v>
      </c>
      <c r="EU97" t="s">
        <v>76</v>
      </c>
      <c r="EV97" t="s">
        <v>82</v>
      </c>
      <c r="EW97">
        <v>103.71938110000001</v>
      </c>
      <c r="EZ97" t="s">
        <v>497</v>
      </c>
      <c r="FA97" t="s">
        <v>72</v>
      </c>
      <c r="FB97">
        <v>1</v>
      </c>
      <c r="FC97" t="s">
        <v>81</v>
      </c>
      <c r="FD97">
        <v>3.0616999999999998E-2</v>
      </c>
      <c r="FE97" t="s">
        <v>74</v>
      </c>
      <c r="FF97">
        <v>30.617000000000001</v>
      </c>
      <c r="FG97" t="s">
        <v>75</v>
      </c>
      <c r="FH97">
        <v>30617.001</v>
      </c>
      <c r="FI97" t="s">
        <v>76</v>
      </c>
      <c r="FJ97" t="s">
        <v>82</v>
      </c>
      <c r="FK97">
        <v>32.6615927</v>
      </c>
    </row>
    <row r="98" spans="1:167" x14ac:dyDescent="0.3">
      <c r="DX98" t="s">
        <v>497</v>
      </c>
      <c r="DY98" t="s">
        <v>83</v>
      </c>
      <c r="DZ98">
        <v>372</v>
      </c>
      <c r="EA98" t="s">
        <v>81</v>
      </c>
      <c r="EB98">
        <v>1.2151E-2</v>
      </c>
      <c r="EC98" t="s">
        <v>74</v>
      </c>
      <c r="ED98">
        <v>12.15123</v>
      </c>
      <c r="EE98" t="s">
        <v>75</v>
      </c>
      <c r="EF98">
        <v>12151.232</v>
      </c>
      <c r="EG98" t="s">
        <v>76</v>
      </c>
      <c r="EH98" t="s">
        <v>82</v>
      </c>
      <c r="EI98">
        <v>82.296179800000004</v>
      </c>
      <c r="EL98" t="s">
        <v>497</v>
      </c>
      <c r="EM98" t="s">
        <v>83</v>
      </c>
      <c r="EN98">
        <v>470</v>
      </c>
      <c r="EO98" t="s">
        <v>81</v>
      </c>
      <c r="EP98">
        <v>5.1529999999999996E-3</v>
      </c>
      <c r="EQ98" t="s">
        <v>74</v>
      </c>
      <c r="ER98">
        <v>5.1532999999999998</v>
      </c>
      <c r="ES98" t="s">
        <v>75</v>
      </c>
      <c r="ET98">
        <v>5153.2960000000003</v>
      </c>
      <c r="EU98" t="s">
        <v>76</v>
      </c>
      <c r="EV98" t="s">
        <v>82</v>
      </c>
      <c r="EW98">
        <v>194.0505709</v>
      </c>
      <c r="EZ98" t="s">
        <v>497</v>
      </c>
      <c r="FA98" t="s">
        <v>83</v>
      </c>
      <c r="FB98">
        <v>461</v>
      </c>
      <c r="FC98" t="s">
        <v>81</v>
      </c>
      <c r="FD98">
        <v>9.7640000000000001E-3</v>
      </c>
      <c r="FE98" t="s">
        <v>74</v>
      </c>
      <c r="FF98">
        <v>9.7642500000000005</v>
      </c>
      <c r="FG98" t="s">
        <v>75</v>
      </c>
      <c r="FH98">
        <v>9764.2469999999994</v>
      </c>
      <c r="FI98" t="s">
        <v>76</v>
      </c>
      <c r="FJ98" t="s">
        <v>82</v>
      </c>
      <c r="FK98">
        <v>102.4144489</v>
      </c>
    </row>
    <row r="99" spans="1:167" x14ac:dyDescent="0.3">
      <c r="B99" t="s">
        <v>165</v>
      </c>
      <c r="P99" t="s">
        <v>165</v>
      </c>
      <c r="AD99" t="s">
        <v>165</v>
      </c>
      <c r="AR99" t="s">
        <v>298</v>
      </c>
      <c r="BF99" t="s">
        <v>298</v>
      </c>
      <c r="BT99" t="s">
        <v>298</v>
      </c>
      <c r="CH99" t="s">
        <v>414</v>
      </c>
      <c r="CV99" t="s">
        <v>414</v>
      </c>
      <c r="DJ99" t="s">
        <v>414</v>
      </c>
      <c r="DX99" t="s">
        <v>497</v>
      </c>
      <c r="DY99" t="s">
        <v>84</v>
      </c>
      <c r="DZ99">
        <v>373</v>
      </c>
      <c r="EA99" t="s">
        <v>81</v>
      </c>
      <c r="EB99">
        <v>1.2144E-2</v>
      </c>
      <c r="EC99" t="s">
        <v>74</v>
      </c>
      <c r="ED99">
        <v>12.143840000000001</v>
      </c>
      <c r="EE99" t="s">
        <v>75</v>
      </c>
      <c r="EF99">
        <v>12143.842000000001</v>
      </c>
      <c r="EG99" t="s">
        <v>76</v>
      </c>
      <c r="EH99" t="s">
        <v>82</v>
      </c>
      <c r="EI99">
        <v>82.346262300000006</v>
      </c>
      <c r="EL99" t="s">
        <v>497</v>
      </c>
      <c r="EM99" t="s">
        <v>84</v>
      </c>
      <c r="EN99">
        <v>471</v>
      </c>
      <c r="EO99" t="s">
        <v>81</v>
      </c>
      <c r="EP99">
        <v>5.1630000000000001E-3</v>
      </c>
      <c r="EQ99" t="s">
        <v>74</v>
      </c>
      <c r="ER99">
        <v>5.16282</v>
      </c>
      <c r="ES99" t="s">
        <v>75</v>
      </c>
      <c r="ET99">
        <v>5162.8249999999998</v>
      </c>
      <c r="EU99" t="s">
        <v>76</v>
      </c>
      <c r="EV99" t="s">
        <v>82</v>
      </c>
      <c r="EW99">
        <v>193.69241640000001</v>
      </c>
      <c r="EZ99" t="s">
        <v>497</v>
      </c>
      <c r="FA99" t="s">
        <v>84</v>
      </c>
      <c r="FB99">
        <v>462</v>
      </c>
      <c r="FC99" t="s">
        <v>81</v>
      </c>
      <c r="FD99">
        <v>9.809E-3</v>
      </c>
      <c r="FE99" t="s">
        <v>74</v>
      </c>
      <c r="FF99">
        <v>9.8093800000000009</v>
      </c>
      <c r="FG99" t="s">
        <v>75</v>
      </c>
      <c r="FH99">
        <v>9809.3829999999998</v>
      </c>
      <c r="FI99" t="s">
        <v>76</v>
      </c>
      <c r="FJ99" t="s">
        <v>82</v>
      </c>
      <c r="FK99">
        <v>101.9432156</v>
      </c>
    </row>
    <row r="100" spans="1:167" x14ac:dyDescent="0.3">
      <c r="B100" t="s">
        <v>72</v>
      </c>
      <c r="C100">
        <v>1</v>
      </c>
      <c r="D100" t="s">
        <v>81</v>
      </c>
      <c r="E100">
        <v>3.0298200000000001E-2</v>
      </c>
      <c r="F100" t="s">
        <v>74</v>
      </c>
      <c r="G100">
        <v>30.298200000000001</v>
      </c>
      <c r="H100" t="s">
        <v>75</v>
      </c>
      <c r="I100">
        <v>30298.2</v>
      </c>
      <c r="J100" t="s">
        <v>76</v>
      </c>
      <c r="K100" t="s">
        <v>82</v>
      </c>
      <c r="L100">
        <v>33.005261599999997</v>
      </c>
      <c r="P100" t="s">
        <v>72</v>
      </c>
      <c r="Q100">
        <v>1</v>
      </c>
      <c r="R100" t="s">
        <v>81</v>
      </c>
      <c r="S100">
        <v>3.0432000000000001E-2</v>
      </c>
      <c r="T100" t="s">
        <v>74</v>
      </c>
      <c r="U100">
        <v>30.431999999999999</v>
      </c>
      <c r="V100" t="s">
        <v>75</v>
      </c>
      <c r="W100">
        <v>30432.001</v>
      </c>
      <c r="X100" t="s">
        <v>76</v>
      </c>
      <c r="Y100" t="s">
        <v>82</v>
      </c>
      <c r="Z100">
        <v>32.860146399999998</v>
      </c>
      <c r="AD100" t="s">
        <v>72</v>
      </c>
      <c r="AE100">
        <v>1</v>
      </c>
      <c r="AF100" t="s">
        <v>81</v>
      </c>
      <c r="AG100">
        <v>3.0106899999999999E-2</v>
      </c>
      <c r="AH100" t="s">
        <v>74</v>
      </c>
      <c r="AI100">
        <v>30.1069</v>
      </c>
      <c r="AJ100" t="s">
        <v>75</v>
      </c>
      <c r="AK100">
        <v>30106.9</v>
      </c>
      <c r="AL100" t="s">
        <v>76</v>
      </c>
      <c r="AM100" t="s">
        <v>82</v>
      </c>
      <c r="AN100">
        <v>33.214976999999998</v>
      </c>
      <c r="AR100" t="s">
        <v>72</v>
      </c>
      <c r="AS100">
        <v>1</v>
      </c>
      <c r="AT100" t="s">
        <v>81</v>
      </c>
      <c r="AU100">
        <v>3.60404E-2</v>
      </c>
      <c r="AV100" t="s">
        <v>74</v>
      </c>
      <c r="AW100">
        <v>36.040399999999998</v>
      </c>
      <c r="AX100" t="s">
        <v>75</v>
      </c>
      <c r="AY100">
        <v>36040.398999999998</v>
      </c>
      <c r="AZ100" t="s">
        <v>76</v>
      </c>
      <c r="BA100" t="s">
        <v>82</v>
      </c>
      <c r="BB100">
        <v>27.746640500000002</v>
      </c>
      <c r="BF100" t="s">
        <v>72</v>
      </c>
      <c r="BG100">
        <v>1</v>
      </c>
      <c r="BH100" t="s">
        <v>81</v>
      </c>
      <c r="BI100">
        <v>3.7095999999999997E-2</v>
      </c>
      <c r="BJ100" t="s">
        <v>74</v>
      </c>
      <c r="BK100">
        <v>37.095999999999997</v>
      </c>
      <c r="BL100" t="s">
        <v>75</v>
      </c>
      <c r="BM100">
        <v>37096.000999999997</v>
      </c>
      <c r="BN100" t="s">
        <v>76</v>
      </c>
      <c r="BO100" t="s">
        <v>82</v>
      </c>
      <c r="BP100">
        <v>26.957083399999998</v>
      </c>
      <c r="BT100" t="s">
        <v>72</v>
      </c>
      <c r="BU100">
        <v>1</v>
      </c>
      <c r="BV100" t="s">
        <v>81</v>
      </c>
      <c r="BW100">
        <v>3.6611200000000003E-2</v>
      </c>
      <c r="BX100" t="s">
        <v>74</v>
      </c>
      <c r="BY100">
        <v>36.611199999999997</v>
      </c>
      <c r="BZ100" t="s">
        <v>75</v>
      </c>
      <c r="CA100">
        <v>36611.199000000001</v>
      </c>
      <c r="CB100" t="s">
        <v>76</v>
      </c>
      <c r="CC100" t="s">
        <v>82</v>
      </c>
      <c r="CD100">
        <v>27.314046399999999</v>
      </c>
      <c r="CH100" t="s">
        <v>72</v>
      </c>
      <c r="CI100">
        <v>1</v>
      </c>
      <c r="CJ100" t="s">
        <v>81</v>
      </c>
      <c r="CK100">
        <v>2.9975399999999999E-2</v>
      </c>
      <c r="CL100" t="s">
        <v>74</v>
      </c>
      <c r="CM100">
        <v>29.9754</v>
      </c>
      <c r="CN100" t="s">
        <v>75</v>
      </c>
      <c r="CO100">
        <v>29975.399000000001</v>
      </c>
      <c r="CP100" t="s">
        <v>76</v>
      </c>
      <c r="CQ100" t="s">
        <v>82</v>
      </c>
      <c r="CR100">
        <v>33.360689800000003</v>
      </c>
      <c r="CV100" t="s">
        <v>72</v>
      </c>
      <c r="CW100">
        <v>1</v>
      </c>
      <c r="CX100" t="s">
        <v>81</v>
      </c>
      <c r="CY100">
        <v>3.0376899999999998E-2</v>
      </c>
      <c r="CZ100" t="s">
        <v>74</v>
      </c>
      <c r="DA100">
        <v>30.376899999999999</v>
      </c>
      <c r="DB100" t="s">
        <v>75</v>
      </c>
      <c r="DC100">
        <v>30376.9</v>
      </c>
      <c r="DD100" t="s">
        <v>76</v>
      </c>
      <c r="DE100" t="s">
        <v>82</v>
      </c>
      <c r="DF100">
        <v>32.919751499999997</v>
      </c>
      <c r="DJ100" t="s">
        <v>72</v>
      </c>
      <c r="DK100">
        <v>1</v>
      </c>
      <c r="DL100" t="s">
        <v>81</v>
      </c>
      <c r="DM100">
        <v>3.0224299999999999E-2</v>
      </c>
      <c r="DN100" t="s">
        <v>74</v>
      </c>
      <c r="DO100">
        <v>30.224299999999999</v>
      </c>
      <c r="DP100" t="s">
        <v>75</v>
      </c>
      <c r="DQ100">
        <v>30224.300999999999</v>
      </c>
      <c r="DR100" t="s">
        <v>76</v>
      </c>
      <c r="DS100" t="s">
        <v>82</v>
      </c>
      <c r="DT100">
        <v>33.085959600000002</v>
      </c>
      <c r="DX100" t="s">
        <v>498</v>
      </c>
      <c r="DY100" t="s">
        <v>72</v>
      </c>
      <c r="DZ100">
        <v>2</v>
      </c>
      <c r="EA100" t="s">
        <v>86</v>
      </c>
      <c r="EB100">
        <v>1.257E-2</v>
      </c>
      <c r="EC100" t="s">
        <v>74</v>
      </c>
      <c r="ED100">
        <v>12.570449999999999</v>
      </c>
      <c r="EE100" t="s">
        <v>75</v>
      </c>
      <c r="EF100">
        <v>12570.45</v>
      </c>
      <c r="EG100" t="s">
        <v>76</v>
      </c>
      <c r="EH100" t="s">
        <v>82</v>
      </c>
      <c r="EI100">
        <v>79.551646399999996</v>
      </c>
      <c r="EL100" t="s">
        <v>498</v>
      </c>
      <c r="EM100" t="s">
        <v>72</v>
      </c>
      <c r="EN100">
        <v>2</v>
      </c>
      <c r="EO100" t="s">
        <v>86</v>
      </c>
      <c r="EP100">
        <v>1.4527999999999999E-2</v>
      </c>
      <c r="EQ100" t="s">
        <v>74</v>
      </c>
      <c r="ER100">
        <v>14.52825</v>
      </c>
      <c r="ES100" t="s">
        <v>75</v>
      </c>
      <c r="ET100">
        <v>14528.25</v>
      </c>
      <c r="EU100" t="s">
        <v>76</v>
      </c>
      <c r="EV100" t="s">
        <v>82</v>
      </c>
      <c r="EW100">
        <v>68.831413100000006</v>
      </c>
      <c r="EZ100" t="s">
        <v>498</v>
      </c>
      <c r="FA100" t="s">
        <v>72</v>
      </c>
      <c r="FB100">
        <v>2</v>
      </c>
      <c r="FC100" t="s">
        <v>86</v>
      </c>
      <c r="FD100">
        <v>1.5311999999999999E-2</v>
      </c>
      <c r="FE100" t="s">
        <v>74</v>
      </c>
      <c r="FF100">
        <v>15.3116</v>
      </c>
      <c r="FG100" t="s">
        <v>75</v>
      </c>
      <c r="FH100">
        <v>15311.6</v>
      </c>
      <c r="FI100" t="s">
        <v>76</v>
      </c>
      <c r="FJ100" t="s">
        <v>82</v>
      </c>
      <c r="FK100">
        <v>65.309962299999995</v>
      </c>
    </row>
    <row r="101" spans="1:167" x14ac:dyDescent="0.3">
      <c r="B101" t="s">
        <v>83</v>
      </c>
      <c r="C101">
        <v>1000</v>
      </c>
      <c r="D101" t="s">
        <v>81</v>
      </c>
      <c r="E101">
        <v>1.63068E-3</v>
      </c>
      <c r="F101" t="s">
        <v>74</v>
      </c>
      <c r="G101">
        <v>1.6306799999999999</v>
      </c>
      <c r="H101" t="s">
        <v>75</v>
      </c>
      <c r="I101">
        <v>1630.6790000000001</v>
      </c>
      <c r="J101" t="s">
        <v>76</v>
      </c>
      <c r="K101" t="s">
        <v>82</v>
      </c>
      <c r="L101">
        <v>613.24138400000004</v>
      </c>
      <c r="P101" t="s">
        <v>83</v>
      </c>
      <c r="Q101">
        <v>1000</v>
      </c>
      <c r="R101" t="s">
        <v>81</v>
      </c>
      <c r="S101">
        <v>2.447645E-2</v>
      </c>
      <c r="T101" t="s">
        <v>74</v>
      </c>
      <c r="U101">
        <v>24.47645</v>
      </c>
      <c r="V101" t="s">
        <v>75</v>
      </c>
      <c r="W101">
        <v>24476.45</v>
      </c>
      <c r="X101" t="s">
        <v>76</v>
      </c>
      <c r="Y101" t="s">
        <v>82</v>
      </c>
      <c r="Z101">
        <v>40.855598000000001</v>
      </c>
      <c r="AD101" t="s">
        <v>83</v>
      </c>
      <c r="AE101">
        <v>1000</v>
      </c>
      <c r="AF101" t="s">
        <v>81</v>
      </c>
      <c r="AG101">
        <v>2.4952530000000001E-2</v>
      </c>
      <c r="AH101" t="s">
        <v>74</v>
      </c>
      <c r="AI101">
        <v>24.952529999999999</v>
      </c>
      <c r="AJ101" t="s">
        <v>75</v>
      </c>
      <c r="AK101">
        <v>24952.531999999999</v>
      </c>
      <c r="AL101" t="s">
        <v>76</v>
      </c>
      <c r="AM101" t="s">
        <v>82</v>
      </c>
      <c r="AN101">
        <v>40.0760936</v>
      </c>
      <c r="AR101" t="s">
        <v>83</v>
      </c>
      <c r="AS101">
        <v>1000</v>
      </c>
      <c r="AT101" t="s">
        <v>81</v>
      </c>
      <c r="AU101">
        <v>1.9540199999999999E-3</v>
      </c>
      <c r="AV101" t="s">
        <v>74</v>
      </c>
      <c r="AW101">
        <v>1.9540200000000001</v>
      </c>
      <c r="AX101" t="s">
        <v>75</v>
      </c>
      <c r="AY101">
        <v>1954.0229999999999</v>
      </c>
      <c r="AZ101" t="s">
        <v>76</v>
      </c>
      <c r="BA101" t="s">
        <v>82</v>
      </c>
      <c r="BB101">
        <v>511.76470189999998</v>
      </c>
      <c r="BF101" t="s">
        <v>83</v>
      </c>
      <c r="BG101">
        <v>1000</v>
      </c>
      <c r="BH101" t="s">
        <v>81</v>
      </c>
      <c r="BI101">
        <v>2.6138330000000001E-2</v>
      </c>
      <c r="BJ101" t="s">
        <v>74</v>
      </c>
      <c r="BK101">
        <v>26.13833</v>
      </c>
      <c r="BL101" t="s">
        <v>75</v>
      </c>
      <c r="BM101">
        <v>26138.329000000002</v>
      </c>
      <c r="BN101" t="s">
        <v>76</v>
      </c>
      <c r="BO101" t="s">
        <v>82</v>
      </c>
      <c r="BP101">
        <v>38.257993399999997</v>
      </c>
      <c r="BT101" t="s">
        <v>83</v>
      </c>
      <c r="BU101">
        <v>1000</v>
      </c>
      <c r="BV101" t="s">
        <v>81</v>
      </c>
      <c r="BW101">
        <v>2.70729E-2</v>
      </c>
      <c r="BX101" t="s">
        <v>74</v>
      </c>
      <c r="BY101">
        <v>27.072900000000001</v>
      </c>
      <c r="BZ101" t="s">
        <v>75</v>
      </c>
      <c r="CA101">
        <v>27072.904999999999</v>
      </c>
      <c r="CB101" t="s">
        <v>76</v>
      </c>
      <c r="CC101" t="s">
        <v>82</v>
      </c>
      <c r="CD101">
        <v>36.937300100000002</v>
      </c>
      <c r="CH101" t="s">
        <v>83</v>
      </c>
      <c r="CI101">
        <v>1000</v>
      </c>
      <c r="CJ101" t="s">
        <v>81</v>
      </c>
      <c r="CK101">
        <v>2.0561199999999998E-3</v>
      </c>
      <c r="CL101" t="s">
        <v>74</v>
      </c>
      <c r="CM101">
        <v>2.0561199999999999</v>
      </c>
      <c r="CN101" t="s">
        <v>75</v>
      </c>
      <c r="CO101">
        <v>2056.1170000000002</v>
      </c>
      <c r="CP101" t="s">
        <v>76</v>
      </c>
      <c r="CQ101" t="s">
        <v>82</v>
      </c>
      <c r="CR101">
        <v>486.35368890000001</v>
      </c>
      <c r="CV101" t="s">
        <v>83</v>
      </c>
      <c r="CW101">
        <v>1000</v>
      </c>
      <c r="CX101" t="s">
        <v>81</v>
      </c>
      <c r="CY101">
        <v>2.675543E-2</v>
      </c>
      <c r="CZ101" t="s">
        <v>74</v>
      </c>
      <c r="DA101">
        <v>26.75543</v>
      </c>
      <c r="DB101" t="s">
        <v>75</v>
      </c>
      <c r="DC101">
        <v>26755.428</v>
      </c>
      <c r="DD101" t="s">
        <v>76</v>
      </c>
      <c r="DE101" t="s">
        <v>82</v>
      </c>
      <c r="DF101">
        <v>37.375593000000002</v>
      </c>
      <c r="DJ101" t="s">
        <v>83</v>
      </c>
      <c r="DK101">
        <v>1000</v>
      </c>
      <c r="DL101" t="s">
        <v>81</v>
      </c>
      <c r="DM101">
        <v>2.761624E-2</v>
      </c>
      <c r="DN101" t="s">
        <v>74</v>
      </c>
      <c r="DO101">
        <v>27.616240000000001</v>
      </c>
      <c r="DP101" t="s">
        <v>75</v>
      </c>
      <c r="DQ101">
        <v>27616.236000000001</v>
      </c>
      <c r="DR101" t="s">
        <v>76</v>
      </c>
      <c r="DS101" t="s">
        <v>82</v>
      </c>
      <c r="DT101">
        <v>36.210583100000001</v>
      </c>
      <c r="DX101" t="s">
        <v>498</v>
      </c>
      <c r="DY101" t="s">
        <v>83</v>
      </c>
      <c r="DZ101">
        <v>999</v>
      </c>
      <c r="EA101" t="s">
        <v>86</v>
      </c>
      <c r="EB101">
        <v>4.5450000000000004E-3</v>
      </c>
      <c r="EC101" t="s">
        <v>74</v>
      </c>
      <c r="ED101">
        <v>4.5450999999999997</v>
      </c>
      <c r="EE101" t="s">
        <v>75</v>
      </c>
      <c r="EF101">
        <v>4545.0990000000002</v>
      </c>
      <c r="EG101" t="s">
        <v>76</v>
      </c>
      <c r="EH101" t="s">
        <v>82</v>
      </c>
      <c r="EI101">
        <v>220.01720270000001</v>
      </c>
      <c r="EL101" t="s">
        <v>498</v>
      </c>
      <c r="EM101" t="s">
        <v>83</v>
      </c>
      <c r="EN101">
        <v>999</v>
      </c>
      <c r="EO101" t="s">
        <v>86</v>
      </c>
      <c r="EP101">
        <v>2.4450000000000001E-3</v>
      </c>
      <c r="EQ101" t="s">
        <v>74</v>
      </c>
      <c r="ER101">
        <v>2.44509</v>
      </c>
      <c r="ES101" t="s">
        <v>75</v>
      </c>
      <c r="ET101">
        <v>2445.09</v>
      </c>
      <c r="EU101" t="s">
        <v>76</v>
      </c>
      <c r="EV101" t="s">
        <v>82</v>
      </c>
      <c r="EW101">
        <v>408.98295300000001</v>
      </c>
      <c r="EZ101" t="s">
        <v>498</v>
      </c>
      <c r="FA101" t="s">
        <v>83</v>
      </c>
      <c r="FB101">
        <v>999</v>
      </c>
      <c r="FC101" t="s">
        <v>86</v>
      </c>
      <c r="FD101">
        <v>4.5459999999999997E-3</v>
      </c>
      <c r="FE101" t="s">
        <v>74</v>
      </c>
      <c r="FF101">
        <v>4.5463800000000001</v>
      </c>
      <c r="FG101" t="s">
        <v>75</v>
      </c>
      <c r="FH101">
        <v>4546.3779999999997</v>
      </c>
      <c r="FI101" t="s">
        <v>76</v>
      </c>
      <c r="FJ101" t="s">
        <v>82</v>
      </c>
      <c r="FK101">
        <v>219.955297</v>
      </c>
    </row>
    <row r="102" spans="1:167" x14ac:dyDescent="0.3">
      <c r="B102" t="s">
        <v>85</v>
      </c>
      <c r="C102">
        <v>1001</v>
      </c>
      <c r="D102" t="s">
        <v>86</v>
      </c>
      <c r="E102">
        <v>1.6595E-3</v>
      </c>
      <c r="F102" t="s">
        <v>74</v>
      </c>
      <c r="G102">
        <v>1.6595</v>
      </c>
      <c r="H102" t="s">
        <v>75</v>
      </c>
      <c r="I102">
        <v>1659.5029999999999</v>
      </c>
      <c r="J102" t="s">
        <v>76</v>
      </c>
      <c r="K102" t="s">
        <v>82</v>
      </c>
      <c r="L102">
        <v>602.5898823</v>
      </c>
      <c r="P102" t="s">
        <v>85</v>
      </c>
      <c r="Q102">
        <v>1001</v>
      </c>
      <c r="R102" t="s">
        <v>86</v>
      </c>
      <c r="S102">
        <v>2.4482770000000001E-2</v>
      </c>
      <c r="T102" t="s">
        <v>74</v>
      </c>
      <c r="U102">
        <v>24.482769999999999</v>
      </c>
      <c r="V102" t="s">
        <v>75</v>
      </c>
      <c r="W102">
        <v>24482.773000000001</v>
      </c>
      <c r="X102" t="s">
        <v>76</v>
      </c>
      <c r="Y102" t="s">
        <v>82</v>
      </c>
      <c r="Z102">
        <v>40.845046799999999</v>
      </c>
      <c r="AD102" t="s">
        <v>85</v>
      </c>
      <c r="AE102">
        <v>1001</v>
      </c>
      <c r="AF102" t="s">
        <v>86</v>
      </c>
      <c r="AG102">
        <v>2.4958040000000001E-2</v>
      </c>
      <c r="AH102" t="s">
        <v>74</v>
      </c>
      <c r="AI102">
        <v>24.95804</v>
      </c>
      <c r="AJ102" t="s">
        <v>75</v>
      </c>
      <c r="AK102">
        <v>24958.04</v>
      </c>
      <c r="AL102" t="s">
        <v>76</v>
      </c>
      <c r="AM102" t="s">
        <v>82</v>
      </c>
      <c r="AN102">
        <v>40.067249099999998</v>
      </c>
      <c r="AR102" t="s">
        <v>85</v>
      </c>
      <c r="AS102">
        <v>1001</v>
      </c>
      <c r="AT102" t="s">
        <v>86</v>
      </c>
      <c r="AU102">
        <v>1.9882799999999998E-3</v>
      </c>
      <c r="AV102" t="s">
        <v>74</v>
      </c>
      <c r="AW102">
        <v>1.98828</v>
      </c>
      <c r="AX102" t="s">
        <v>75</v>
      </c>
      <c r="AY102">
        <v>1988.28</v>
      </c>
      <c r="AZ102" t="s">
        <v>76</v>
      </c>
      <c r="BA102" t="s">
        <v>82</v>
      </c>
      <c r="BB102">
        <v>502.94716299999999</v>
      </c>
      <c r="BF102" t="s">
        <v>85</v>
      </c>
      <c r="BG102">
        <v>1001</v>
      </c>
      <c r="BH102" t="s">
        <v>86</v>
      </c>
      <c r="BI102">
        <v>2.614988E-2</v>
      </c>
      <c r="BJ102" t="s">
        <v>74</v>
      </c>
      <c r="BK102">
        <v>26.14988</v>
      </c>
      <c r="BL102" t="s">
        <v>75</v>
      </c>
      <c r="BM102">
        <v>26149.881000000001</v>
      </c>
      <c r="BN102" t="s">
        <v>76</v>
      </c>
      <c r="BO102" t="s">
        <v>82</v>
      </c>
      <c r="BP102">
        <v>38.241091500000003</v>
      </c>
      <c r="BT102" t="s">
        <v>85</v>
      </c>
      <c r="BU102">
        <v>1001</v>
      </c>
      <c r="BV102" t="s">
        <v>86</v>
      </c>
      <c r="BW102">
        <v>2.7083099999999999E-2</v>
      </c>
      <c r="BX102" t="s">
        <v>74</v>
      </c>
      <c r="BY102">
        <v>27.083100000000002</v>
      </c>
      <c r="BZ102" t="s">
        <v>75</v>
      </c>
      <c r="CA102">
        <v>27083.103999999999</v>
      </c>
      <c r="CB102" t="s">
        <v>76</v>
      </c>
      <c r="CC102" t="s">
        <v>82</v>
      </c>
      <c r="CD102">
        <v>36.923389</v>
      </c>
      <c r="CH102" t="s">
        <v>85</v>
      </c>
      <c r="CI102">
        <v>1001</v>
      </c>
      <c r="CJ102" t="s">
        <v>86</v>
      </c>
      <c r="CK102">
        <v>2.0842299999999999E-3</v>
      </c>
      <c r="CL102" t="s">
        <v>74</v>
      </c>
      <c r="CM102">
        <v>2.0842299999999998</v>
      </c>
      <c r="CN102" t="s">
        <v>75</v>
      </c>
      <c r="CO102">
        <v>2084.2330000000002</v>
      </c>
      <c r="CP102" t="s">
        <v>76</v>
      </c>
      <c r="CQ102" t="s">
        <v>82</v>
      </c>
      <c r="CR102">
        <v>479.79290029999999</v>
      </c>
      <c r="CV102" t="s">
        <v>85</v>
      </c>
      <c r="CW102">
        <v>1001</v>
      </c>
      <c r="CX102" t="s">
        <v>86</v>
      </c>
      <c r="CY102">
        <v>2.6759410000000001E-2</v>
      </c>
      <c r="CZ102" t="s">
        <v>74</v>
      </c>
      <c r="DA102">
        <v>26.759409999999999</v>
      </c>
      <c r="DB102" t="s">
        <v>75</v>
      </c>
      <c r="DC102">
        <v>26759.407999999999</v>
      </c>
      <c r="DD102" t="s">
        <v>76</v>
      </c>
      <c r="DE102" t="s">
        <v>82</v>
      </c>
      <c r="DF102">
        <v>37.3700349</v>
      </c>
      <c r="DJ102" t="s">
        <v>85</v>
      </c>
      <c r="DK102">
        <v>1001</v>
      </c>
      <c r="DL102" t="s">
        <v>86</v>
      </c>
      <c r="DM102">
        <v>2.761918E-2</v>
      </c>
      <c r="DN102" t="s">
        <v>74</v>
      </c>
      <c r="DO102">
        <v>27.61918</v>
      </c>
      <c r="DP102" t="s">
        <v>75</v>
      </c>
      <c r="DQ102">
        <v>27619.178</v>
      </c>
      <c r="DR102" t="s">
        <v>76</v>
      </c>
      <c r="DS102" t="s">
        <v>82</v>
      </c>
      <c r="DT102">
        <v>36.206725599999999</v>
      </c>
      <c r="DX102" t="s">
        <v>498</v>
      </c>
      <c r="DY102" t="s">
        <v>85</v>
      </c>
      <c r="DZ102">
        <v>1001</v>
      </c>
      <c r="EA102" t="s">
        <v>86</v>
      </c>
      <c r="EB102">
        <v>4.5510000000000004E-3</v>
      </c>
      <c r="EC102" t="s">
        <v>74</v>
      </c>
      <c r="ED102">
        <v>4.55098</v>
      </c>
      <c r="EE102" t="s">
        <v>75</v>
      </c>
      <c r="EF102">
        <v>4550.9809999999998</v>
      </c>
      <c r="EG102" t="s">
        <v>76</v>
      </c>
      <c r="EH102" t="s">
        <v>82</v>
      </c>
      <c r="EI102">
        <v>219.7328215</v>
      </c>
      <c r="EL102" t="s">
        <v>498</v>
      </c>
      <c r="EM102" t="s">
        <v>85</v>
      </c>
      <c r="EN102">
        <v>1001</v>
      </c>
      <c r="EO102" t="s">
        <v>86</v>
      </c>
      <c r="EP102">
        <v>2.4529999999999999E-3</v>
      </c>
      <c r="EQ102" t="s">
        <v>74</v>
      </c>
      <c r="ER102">
        <v>2.45282</v>
      </c>
      <c r="ES102" t="s">
        <v>75</v>
      </c>
      <c r="ET102">
        <v>2452.8180000000002</v>
      </c>
      <c r="EU102" t="s">
        <v>76</v>
      </c>
      <c r="EV102" t="s">
        <v>82</v>
      </c>
      <c r="EW102">
        <v>407.69426290000001</v>
      </c>
      <c r="EZ102" t="s">
        <v>498</v>
      </c>
      <c r="FA102" t="s">
        <v>85</v>
      </c>
      <c r="FB102">
        <v>1001</v>
      </c>
      <c r="FC102" t="s">
        <v>86</v>
      </c>
      <c r="FD102">
        <v>4.5529999999999998E-3</v>
      </c>
      <c r="FE102" t="s">
        <v>74</v>
      </c>
      <c r="FF102">
        <v>4.5525099999999998</v>
      </c>
      <c r="FG102" t="s">
        <v>75</v>
      </c>
      <c r="FH102">
        <v>4552.5150000000003</v>
      </c>
      <c r="FI102" t="s">
        <v>76</v>
      </c>
      <c r="FJ102" t="s">
        <v>82</v>
      </c>
      <c r="FK102">
        <v>219.6588098</v>
      </c>
    </row>
    <row r="104" spans="1:167" x14ac:dyDescent="0.3">
      <c r="A104">
        <v>11</v>
      </c>
      <c r="B104" t="s">
        <v>171</v>
      </c>
      <c r="O104">
        <v>11</v>
      </c>
      <c r="P104" t="s">
        <v>171</v>
      </c>
      <c r="AC104">
        <v>11</v>
      </c>
      <c r="AD104" t="s">
        <v>171</v>
      </c>
      <c r="AQ104">
        <v>11</v>
      </c>
      <c r="AR104" t="s">
        <v>302</v>
      </c>
      <c r="BE104">
        <v>11</v>
      </c>
      <c r="BF104" t="s">
        <v>302</v>
      </c>
      <c r="BS104">
        <v>11</v>
      </c>
      <c r="BT104" t="s">
        <v>302</v>
      </c>
      <c r="CG104">
        <v>11</v>
      </c>
      <c r="CH104" t="s">
        <v>418</v>
      </c>
      <c r="CU104">
        <v>11</v>
      </c>
      <c r="CV104" t="s">
        <v>418</v>
      </c>
      <c r="DI104">
        <v>11</v>
      </c>
      <c r="DJ104" t="s">
        <v>418</v>
      </c>
      <c r="DW104">
        <v>8</v>
      </c>
      <c r="DX104" t="s">
        <v>513</v>
      </c>
      <c r="EK104">
        <v>8</v>
      </c>
      <c r="EL104" t="s">
        <v>513</v>
      </c>
      <c r="EY104">
        <v>8</v>
      </c>
      <c r="EZ104" t="s">
        <v>513</v>
      </c>
    </row>
    <row r="105" spans="1:167" x14ac:dyDescent="0.3">
      <c r="B105" t="s">
        <v>72</v>
      </c>
      <c r="C105">
        <v>1</v>
      </c>
      <c r="D105" t="s">
        <v>81</v>
      </c>
      <c r="E105">
        <v>0.41506609</v>
      </c>
      <c r="F105" t="s">
        <v>74</v>
      </c>
      <c r="G105">
        <v>415.06608999999997</v>
      </c>
      <c r="H105" t="s">
        <v>75</v>
      </c>
      <c r="I105">
        <v>415066.09299999999</v>
      </c>
      <c r="J105" t="s">
        <v>76</v>
      </c>
      <c r="K105" t="s">
        <v>82</v>
      </c>
      <c r="L105">
        <v>2.4092549000000001</v>
      </c>
      <c r="P105" t="s">
        <v>72</v>
      </c>
      <c r="Q105">
        <v>1</v>
      </c>
      <c r="R105" t="s">
        <v>81</v>
      </c>
      <c r="S105">
        <v>0.41665839999999998</v>
      </c>
      <c r="T105" t="s">
        <v>74</v>
      </c>
      <c r="U105">
        <v>416.65839999999997</v>
      </c>
      <c r="V105" t="s">
        <v>75</v>
      </c>
      <c r="W105">
        <v>416658.40100000001</v>
      </c>
      <c r="X105" t="s">
        <v>76</v>
      </c>
      <c r="Y105" t="s">
        <v>82</v>
      </c>
      <c r="Z105">
        <v>2.4000476000000002</v>
      </c>
      <c r="AD105" t="s">
        <v>72</v>
      </c>
      <c r="AE105">
        <v>1</v>
      </c>
      <c r="AF105" t="s">
        <v>81</v>
      </c>
      <c r="AG105">
        <v>0.43546119</v>
      </c>
      <c r="AH105" t="s">
        <v>74</v>
      </c>
      <c r="AI105">
        <v>435.46118999999999</v>
      </c>
      <c r="AJ105" t="s">
        <v>75</v>
      </c>
      <c r="AK105">
        <v>435461.19300000003</v>
      </c>
      <c r="AL105" t="s">
        <v>76</v>
      </c>
      <c r="AM105" t="s">
        <v>82</v>
      </c>
      <c r="AN105">
        <v>2.2964159</v>
      </c>
      <c r="AR105" t="s">
        <v>72</v>
      </c>
      <c r="AS105">
        <v>1</v>
      </c>
      <c r="AT105" t="s">
        <v>81</v>
      </c>
      <c r="AU105">
        <v>0.68025267</v>
      </c>
      <c r="AV105" t="s">
        <v>74</v>
      </c>
      <c r="AW105">
        <v>680.25266999999997</v>
      </c>
      <c r="AX105" t="s">
        <v>75</v>
      </c>
      <c r="AY105">
        <v>680252.67099999997</v>
      </c>
      <c r="AZ105" t="s">
        <v>76</v>
      </c>
      <c r="BA105" t="s">
        <v>82</v>
      </c>
      <c r="BB105">
        <v>1.4700420000000001</v>
      </c>
      <c r="BF105" t="s">
        <v>72</v>
      </c>
      <c r="BG105">
        <v>1</v>
      </c>
      <c r="BH105" t="s">
        <v>81</v>
      </c>
      <c r="BI105">
        <v>0.22781180000000001</v>
      </c>
      <c r="BJ105" t="s">
        <v>74</v>
      </c>
      <c r="BK105">
        <v>227.81180000000001</v>
      </c>
      <c r="BL105" t="s">
        <v>75</v>
      </c>
      <c r="BM105">
        <v>227811.79800000001</v>
      </c>
      <c r="BN105" t="s">
        <v>76</v>
      </c>
      <c r="BO105" t="s">
        <v>82</v>
      </c>
      <c r="BP105">
        <v>4.3895882999999998</v>
      </c>
      <c r="BT105" t="s">
        <v>72</v>
      </c>
      <c r="BU105">
        <v>1</v>
      </c>
      <c r="BV105" t="s">
        <v>81</v>
      </c>
      <c r="BW105">
        <v>0.22190709</v>
      </c>
      <c r="BX105" t="s">
        <v>74</v>
      </c>
      <c r="BY105">
        <v>221.90709000000001</v>
      </c>
      <c r="BZ105" t="s">
        <v>75</v>
      </c>
      <c r="CA105">
        <v>221907.09400000001</v>
      </c>
      <c r="CB105" t="s">
        <v>76</v>
      </c>
      <c r="CC105" t="s">
        <v>82</v>
      </c>
      <c r="CD105">
        <v>4.5063903999999999</v>
      </c>
      <c r="CH105" t="s">
        <v>72</v>
      </c>
      <c r="CI105">
        <v>1</v>
      </c>
      <c r="CJ105" t="s">
        <v>81</v>
      </c>
      <c r="CK105">
        <v>0.22891590000000001</v>
      </c>
      <c r="CL105" t="s">
        <v>74</v>
      </c>
      <c r="CM105">
        <v>228.91589999999999</v>
      </c>
      <c r="CN105" t="s">
        <v>75</v>
      </c>
      <c r="CO105">
        <v>228915.9</v>
      </c>
      <c r="CP105" t="s">
        <v>76</v>
      </c>
      <c r="CQ105" t="s">
        <v>82</v>
      </c>
      <c r="CR105">
        <v>4.3684165000000004</v>
      </c>
      <c r="CV105" t="s">
        <v>72</v>
      </c>
      <c r="CW105">
        <v>1</v>
      </c>
      <c r="CX105" t="s">
        <v>81</v>
      </c>
      <c r="CY105">
        <v>0.23421539</v>
      </c>
      <c r="CZ105" t="s">
        <v>74</v>
      </c>
      <c r="DA105">
        <v>234.21539000000001</v>
      </c>
      <c r="DB105" t="s">
        <v>75</v>
      </c>
      <c r="DC105">
        <v>234215.394</v>
      </c>
      <c r="DD105" t="s">
        <v>76</v>
      </c>
      <c r="DE105" t="s">
        <v>82</v>
      </c>
      <c r="DF105">
        <v>4.2695742000000001</v>
      </c>
      <c r="DJ105" t="s">
        <v>72</v>
      </c>
      <c r="DK105">
        <v>1</v>
      </c>
      <c r="DL105" t="s">
        <v>81</v>
      </c>
      <c r="DM105">
        <v>0.23169200000000001</v>
      </c>
      <c r="DN105" t="s">
        <v>74</v>
      </c>
      <c r="DO105">
        <v>231.69200000000001</v>
      </c>
      <c r="DP105" t="s">
        <v>75</v>
      </c>
      <c r="DQ105">
        <v>231692.00099999999</v>
      </c>
      <c r="DR105" t="s">
        <v>76</v>
      </c>
      <c r="DS105" t="s">
        <v>82</v>
      </c>
      <c r="DT105">
        <v>4.3160748</v>
      </c>
      <c r="DX105" t="s">
        <v>496</v>
      </c>
      <c r="DY105" t="s">
        <v>72</v>
      </c>
      <c r="DZ105">
        <v>1</v>
      </c>
      <c r="EA105" t="s">
        <v>81</v>
      </c>
      <c r="EB105">
        <v>0.31413600000000003</v>
      </c>
      <c r="EC105" t="s">
        <v>74</v>
      </c>
      <c r="ED105">
        <v>314.13600000000002</v>
      </c>
      <c r="EE105" t="s">
        <v>75</v>
      </c>
      <c r="EF105">
        <v>314135.99800000002</v>
      </c>
      <c r="EG105" t="s">
        <v>76</v>
      </c>
      <c r="EH105" t="s">
        <v>82</v>
      </c>
      <c r="EI105">
        <v>3.1833345999999998</v>
      </c>
      <c r="EL105" t="s">
        <v>496</v>
      </c>
      <c r="EM105" t="s">
        <v>72</v>
      </c>
      <c r="EN105">
        <v>1</v>
      </c>
      <c r="EO105" t="s">
        <v>81</v>
      </c>
      <c r="EP105">
        <v>0.43059199999999997</v>
      </c>
      <c r="EQ105" t="s">
        <v>74</v>
      </c>
      <c r="ER105">
        <v>430.59179</v>
      </c>
      <c r="ES105" t="s">
        <v>75</v>
      </c>
      <c r="ET105">
        <v>430591.79200000002</v>
      </c>
      <c r="EU105" t="s">
        <v>76</v>
      </c>
      <c r="EV105" t="s">
        <v>82</v>
      </c>
      <c r="EW105">
        <v>2.3223851999999998</v>
      </c>
      <c r="EZ105" t="s">
        <v>496</v>
      </c>
      <c r="FA105" t="s">
        <v>72</v>
      </c>
      <c r="FB105">
        <v>1</v>
      </c>
      <c r="FC105" t="s">
        <v>81</v>
      </c>
      <c r="FD105">
        <v>0.31801499999999999</v>
      </c>
      <c r="FE105" t="s">
        <v>74</v>
      </c>
      <c r="FF105">
        <v>318.01459</v>
      </c>
      <c r="FG105" t="s">
        <v>75</v>
      </c>
      <c r="FH105">
        <v>318014.592</v>
      </c>
      <c r="FI105" t="s">
        <v>76</v>
      </c>
      <c r="FJ105" t="s">
        <v>82</v>
      </c>
      <c r="FK105">
        <v>3.1445097999999998</v>
      </c>
    </row>
    <row r="106" spans="1:167" x14ac:dyDescent="0.3">
      <c r="B106" t="s">
        <v>83</v>
      </c>
      <c r="C106">
        <v>1000</v>
      </c>
      <c r="D106" t="s">
        <v>81</v>
      </c>
      <c r="E106">
        <v>1.0625400000000001E-3</v>
      </c>
      <c r="F106" t="s">
        <v>74</v>
      </c>
      <c r="G106">
        <v>1.06254</v>
      </c>
      <c r="H106" t="s">
        <v>75</v>
      </c>
      <c r="I106">
        <v>1062.5409999999999</v>
      </c>
      <c r="J106" t="s">
        <v>76</v>
      </c>
      <c r="K106" t="s">
        <v>82</v>
      </c>
      <c r="L106">
        <v>941.140041</v>
      </c>
      <c r="P106" t="s">
        <v>83</v>
      </c>
      <c r="Q106">
        <v>1000</v>
      </c>
      <c r="R106" t="s">
        <v>81</v>
      </c>
      <c r="S106">
        <v>6.2102999999999995E-4</v>
      </c>
      <c r="T106" t="s">
        <v>74</v>
      </c>
      <c r="U106">
        <v>0.62102999999999997</v>
      </c>
      <c r="V106" t="s">
        <v>75</v>
      </c>
      <c r="W106">
        <v>621.03200000000004</v>
      </c>
      <c r="X106" t="s">
        <v>76</v>
      </c>
      <c r="Y106" t="s">
        <v>82</v>
      </c>
      <c r="Z106">
        <v>1610.2228302000001</v>
      </c>
      <c r="AD106" t="s">
        <v>83</v>
      </c>
      <c r="AE106">
        <v>1000</v>
      </c>
      <c r="AF106" t="s">
        <v>81</v>
      </c>
      <c r="AG106">
        <v>1.29061E-3</v>
      </c>
      <c r="AH106" t="s">
        <v>74</v>
      </c>
      <c r="AI106">
        <v>1.29061</v>
      </c>
      <c r="AJ106" t="s">
        <v>75</v>
      </c>
      <c r="AK106">
        <v>1290.6130000000001</v>
      </c>
      <c r="AL106" t="s">
        <v>76</v>
      </c>
      <c r="AM106" t="s">
        <v>82</v>
      </c>
      <c r="AN106">
        <v>774.82557299999996</v>
      </c>
      <c r="AR106" t="s">
        <v>83</v>
      </c>
      <c r="AS106">
        <v>1000</v>
      </c>
      <c r="AT106" t="s">
        <v>81</v>
      </c>
      <c r="AU106">
        <v>1.2279599999999999E-3</v>
      </c>
      <c r="AV106" t="s">
        <v>74</v>
      </c>
      <c r="AW106">
        <v>1.2279599999999999</v>
      </c>
      <c r="AX106" t="s">
        <v>75</v>
      </c>
      <c r="AY106">
        <v>1227.9649999999999</v>
      </c>
      <c r="AZ106" t="s">
        <v>76</v>
      </c>
      <c r="BA106" t="s">
        <v>82</v>
      </c>
      <c r="BB106">
        <v>814.35577599999999</v>
      </c>
      <c r="BF106" t="s">
        <v>83</v>
      </c>
      <c r="BG106">
        <v>1000</v>
      </c>
      <c r="BH106" t="s">
        <v>81</v>
      </c>
      <c r="BI106">
        <v>1.6577850000000002E-2</v>
      </c>
      <c r="BJ106" t="s">
        <v>74</v>
      </c>
      <c r="BK106">
        <v>16.577850000000002</v>
      </c>
      <c r="BL106" t="s">
        <v>75</v>
      </c>
      <c r="BM106">
        <v>16577.853999999999</v>
      </c>
      <c r="BN106" t="s">
        <v>76</v>
      </c>
      <c r="BO106" t="s">
        <v>82</v>
      </c>
      <c r="BP106">
        <v>60.321437899999999</v>
      </c>
      <c r="BT106" t="s">
        <v>83</v>
      </c>
      <c r="BU106">
        <v>1000</v>
      </c>
      <c r="BV106" t="s">
        <v>81</v>
      </c>
      <c r="BW106">
        <v>1.720586E-2</v>
      </c>
      <c r="BX106" t="s">
        <v>74</v>
      </c>
      <c r="BY106">
        <v>17.205860000000001</v>
      </c>
      <c r="BZ106" t="s">
        <v>75</v>
      </c>
      <c r="CA106">
        <v>17205.862000000001</v>
      </c>
      <c r="CB106" t="s">
        <v>76</v>
      </c>
      <c r="CC106" t="s">
        <v>82</v>
      </c>
      <c r="CD106">
        <v>58.119726700000001</v>
      </c>
      <c r="CH106" t="s">
        <v>83</v>
      </c>
      <c r="CI106">
        <v>1000</v>
      </c>
      <c r="CJ106" t="s">
        <v>81</v>
      </c>
      <c r="CK106">
        <v>1.1959399999999999E-3</v>
      </c>
      <c r="CL106" t="s">
        <v>74</v>
      </c>
      <c r="CM106">
        <v>1.19594</v>
      </c>
      <c r="CN106" t="s">
        <v>75</v>
      </c>
      <c r="CO106">
        <v>1195.943</v>
      </c>
      <c r="CP106" t="s">
        <v>76</v>
      </c>
      <c r="CQ106" t="s">
        <v>82</v>
      </c>
      <c r="CR106">
        <v>836.15991980000001</v>
      </c>
      <c r="CV106" t="s">
        <v>83</v>
      </c>
      <c r="CW106">
        <v>1000</v>
      </c>
      <c r="CX106" t="s">
        <v>81</v>
      </c>
      <c r="CY106">
        <v>1.7048870000000001E-2</v>
      </c>
      <c r="CZ106" t="s">
        <v>74</v>
      </c>
      <c r="DA106">
        <v>17.048870000000001</v>
      </c>
      <c r="DB106" t="s">
        <v>75</v>
      </c>
      <c r="DC106">
        <v>17048.871999999999</v>
      </c>
      <c r="DD106" t="s">
        <v>76</v>
      </c>
      <c r="DE106" t="s">
        <v>82</v>
      </c>
      <c r="DF106">
        <v>58.6549069</v>
      </c>
      <c r="DJ106" t="s">
        <v>83</v>
      </c>
      <c r="DK106">
        <v>1000</v>
      </c>
      <c r="DL106" t="s">
        <v>81</v>
      </c>
      <c r="DM106">
        <v>1.7704299999999999E-2</v>
      </c>
      <c r="DN106" t="s">
        <v>74</v>
      </c>
      <c r="DO106">
        <v>17.7043</v>
      </c>
      <c r="DP106" t="s">
        <v>75</v>
      </c>
      <c r="DQ106">
        <v>17704.304</v>
      </c>
      <c r="DR106" t="s">
        <v>76</v>
      </c>
      <c r="DS106" t="s">
        <v>82</v>
      </c>
      <c r="DT106">
        <v>56.483441200000001</v>
      </c>
      <c r="DX106" t="s">
        <v>496</v>
      </c>
      <c r="DY106" t="s">
        <v>83</v>
      </c>
      <c r="DZ106">
        <v>541</v>
      </c>
      <c r="EA106" t="s">
        <v>81</v>
      </c>
      <c r="EB106">
        <v>9.0279999999999996E-3</v>
      </c>
      <c r="EC106" t="s">
        <v>74</v>
      </c>
      <c r="ED106">
        <v>9.0278500000000008</v>
      </c>
      <c r="EE106" t="s">
        <v>75</v>
      </c>
      <c r="EF106">
        <v>9027.8449999999993</v>
      </c>
      <c r="EG106" t="s">
        <v>76</v>
      </c>
      <c r="EH106" t="s">
        <v>82</v>
      </c>
      <c r="EI106">
        <v>110.7684048</v>
      </c>
      <c r="EL106" t="s">
        <v>496</v>
      </c>
      <c r="EM106" t="s">
        <v>83</v>
      </c>
      <c r="EN106">
        <v>432</v>
      </c>
      <c r="EO106" t="s">
        <v>81</v>
      </c>
      <c r="EP106">
        <v>5.0099999999999997E-3</v>
      </c>
      <c r="EQ106" t="s">
        <v>74</v>
      </c>
      <c r="ER106">
        <v>5.0100800000000003</v>
      </c>
      <c r="ES106" t="s">
        <v>75</v>
      </c>
      <c r="ET106">
        <v>5010.0789999999997</v>
      </c>
      <c r="EU106" t="s">
        <v>76</v>
      </c>
      <c r="EV106" t="s">
        <v>82</v>
      </c>
      <c r="EW106">
        <v>199.59765490000001</v>
      </c>
      <c r="EZ106" t="s">
        <v>496</v>
      </c>
      <c r="FA106" t="s">
        <v>83</v>
      </c>
      <c r="FB106">
        <v>533</v>
      </c>
      <c r="FC106" t="s">
        <v>81</v>
      </c>
      <c r="FD106">
        <v>9.2149999999999992E-3</v>
      </c>
      <c r="FE106" t="s">
        <v>74</v>
      </c>
      <c r="FF106">
        <v>9.2148400000000006</v>
      </c>
      <c r="FG106" t="s">
        <v>75</v>
      </c>
      <c r="FH106">
        <v>9214.8379999999997</v>
      </c>
      <c r="FI106" t="s">
        <v>76</v>
      </c>
      <c r="FJ106" t="s">
        <v>82</v>
      </c>
      <c r="FK106">
        <v>108.5206293</v>
      </c>
    </row>
    <row r="107" spans="1:167" x14ac:dyDescent="0.3">
      <c r="B107" t="s">
        <v>85</v>
      </c>
      <c r="C107">
        <v>1001</v>
      </c>
      <c r="D107" t="s">
        <v>86</v>
      </c>
      <c r="E107">
        <v>1.47627E-3</v>
      </c>
      <c r="F107" t="s">
        <v>74</v>
      </c>
      <c r="G107">
        <v>1.47627</v>
      </c>
      <c r="H107" t="s">
        <v>75</v>
      </c>
      <c r="I107">
        <v>1476.2660000000001</v>
      </c>
      <c r="J107" t="s">
        <v>76</v>
      </c>
      <c r="K107" t="s">
        <v>82</v>
      </c>
      <c r="L107">
        <v>677.3845129</v>
      </c>
      <c r="P107" t="s">
        <v>85</v>
      </c>
      <c r="Q107">
        <v>1001</v>
      </c>
      <c r="R107" t="s">
        <v>86</v>
      </c>
      <c r="S107">
        <v>1.0368700000000001E-3</v>
      </c>
      <c r="T107" t="s">
        <v>74</v>
      </c>
      <c r="U107">
        <v>1.03687</v>
      </c>
      <c r="V107" t="s">
        <v>75</v>
      </c>
      <c r="W107">
        <v>1036.873</v>
      </c>
      <c r="X107" t="s">
        <v>76</v>
      </c>
      <c r="Y107" t="s">
        <v>82</v>
      </c>
      <c r="Z107">
        <v>964.43794249999996</v>
      </c>
      <c r="AD107" t="s">
        <v>85</v>
      </c>
      <c r="AE107">
        <v>1001</v>
      </c>
      <c r="AF107" t="s">
        <v>86</v>
      </c>
      <c r="AG107">
        <v>1.7245800000000001E-3</v>
      </c>
      <c r="AH107" t="s">
        <v>74</v>
      </c>
      <c r="AI107">
        <v>1.72458</v>
      </c>
      <c r="AJ107" t="s">
        <v>75</v>
      </c>
      <c r="AK107">
        <v>1724.5820000000001</v>
      </c>
      <c r="AL107" t="s">
        <v>76</v>
      </c>
      <c r="AM107" t="s">
        <v>82</v>
      </c>
      <c r="AN107">
        <v>579.8507419</v>
      </c>
      <c r="AR107" t="s">
        <v>85</v>
      </c>
      <c r="AS107">
        <v>1001</v>
      </c>
      <c r="AT107" t="s">
        <v>86</v>
      </c>
      <c r="AU107">
        <v>1.9064500000000001E-3</v>
      </c>
      <c r="AV107" t="s">
        <v>74</v>
      </c>
      <c r="AW107">
        <v>1.90645</v>
      </c>
      <c r="AX107" t="s">
        <v>75</v>
      </c>
      <c r="AY107">
        <v>1906.451</v>
      </c>
      <c r="AZ107" t="s">
        <v>76</v>
      </c>
      <c r="BA107" t="s">
        <v>82</v>
      </c>
      <c r="BB107">
        <v>524.53494020000005</v>
      </c>
      <c r="BF107" t="s">
        <v>85</v>
      </c>
      <c r="BG107">
        <v>1001</v>
      </c>
      <c r="BH107" t="s">
        <v>86</v>
      </c>
      <c r="BI107">
        <v>1.6789209999999999E-2</v>
      </c>
      <c r="BJ107" t="s">
        <v>74</v>
      </c>
      <c r="BK107">
        <v>16.789210000000001</v>
      </c>
      <c r="BL107" t="s">
        <v>75</v>
      </c>
      <c r="BM107">
        <v>16789.206999999999</v>
      </c>
      <c r="BN107" t="s">
        <v>76</v>
      </c>
      <c r="BO107" t="s">
        <v>82</v>
      </c>
      <c r="BP107">
        <v>59.5620756</v>
      </c>
      <c r="BT107" t="s">
        <v>85</v>
      </c>
      <c r="BU107">
        <v>1001</v>
      </c>
      <c r="BV107" t="s">
        <v>86</v>
      </c>
      <c r="BW107">
        <v>1.741067E-2</v>
      </c>
      <c r="BX107" t="s">
        <v>74</v>
      </c>
      <c r="BY107">
        <v>17.41067</v>
      </c>
      <c r="BZ107" t="s">
        <v>75</v>
      </c>
      <c r="CA107">
        <v>17410.669000000002</v>
      </c>
      <c r="CB107" t="s">
        <v>76</v>
      </c>
      <c r="CC107" t="s">
        <v>82</v>
      </c>
      <c r="CD107">
        <v>57.436047000000002</v>
      </c>
      <c r="CH107" t="s">
        <v>85</v>
      </c>
      <c r="CI107">
        <v>1001</v>
      </c>
      <c r="CJ107" t="s">
        <v>86</v>
      </c>
      <c r="CK107">
        <v>1.4237099999999999E-3</v>
      </c>
      <c r="CL107" t="s">
        <v>74</v>
      </c>
      <c r="CM107">
        <v>1.42371</v>
      </c>
      <c r="CN107" t="s">
        <v>75</v>
      </c>
      <c r="CO107">
        <v>1423.7149999999999</v>
      </c>
      <c r="CP107" t="s">
        <v>76</v>
      </c>
      <c r="CQ107" t="s">
        <v>82</v>
      </c>
      <c r="CR107">
        <v>702.38800370000001</v>
      </c>
      <c r="CV107" t="s">
        <v>85</v>
      </c>
      <c r="CW107">
        <v>1001</v>
      </c>
      <c r="CX107" t="s">
        <v>86</v>
      </c>
      <c r="CY107">
        <v>1.7266239999999999E-2</v>
      </c>
      <c r="CZ107" t="s">
        <v>74</v>
      </c>
      <c r="DA107">
        <v>17.26624</v>
      </c>
      <c r="DB107" t="s">
        <v>75</v>
      </c>
      <c r="DC107">
        <v>17266.243999999999</v>
      </c>
      <c r="DD107" t="s">
        <v>76</v>
      </c>
      <c r="DE107" t="s">
        <v>82</v>
      </c>
      <c r="DF107">
        <v>57.916475800000001</v>
      </c>
      <c r="DJ107" t="s">
        <v>85</v>
      </c>
      <c r="DK107">
        <v>1001</v>
      </c>
      <c r="DL107" t="s">
        <v>86</v>
      </c>
      <c r="DM107">
        <v>1.7918440000000001E-2</v>
      </c>
      <c r="DN107" t="s">
        <v>74</v>
      </c>
      <c r="DO107">
        <v>17.91844</v>
      </c>
      <c r="DP107" t="s">
        <v>75</v>
      </c>
      <c r="DQ107">
        <v>17918.435000000001</v>
      </c>
      <c r="DR107" t="s">
        <v>76</v>
      </c>
      <c r="DS107" t="s">
        <v>82</v>
      </c>
      <c r="DT107">
        <v>55.808444600000001</v>
      </c>
      <c r="DX107" t="s">
        <v>496</v>
      </c>
      <c r="DY107" t="s">
        <v>84</v>
      </c>
      <c r="DZ107">
        <v>542</v>
      </c>
      <c r="EA107" t="s">
        <v>81</v>
      </c>
      <c r="EB107">
        <v>9.5910000000000006E-3</v>
      </c>
      <c r="EC107" t="s">
        <v>74</v>
      </c>
      <c r="ED107">
        <v>9.5907800000000005</v>
      </c>
      <c r="EE107" t="s">
        <v>75</v>
      </c>
      <c r="EF107">
        <v>9590.7759999999998</v>
      </c>
      <c r="EG107" t="s">
        <v>76</v>
      </c>
      <c r="EH107" t="s">
        <v>82</v>
      </c>
      <c r="EI107">
        <v>104.2668475</v>
      </c>
      <c r="EL107" t="s">
        <v>496</v>
      </c>
      <c r="EM107" t="s">
        <v>84</v>
      </c>
      <c r="EN107">
        <v>433</v>
      </c>
      <c r="EO107" t="s">
        <v>81</v>
      </c>
      <c r="EP107">
        <v>5.9930000000000001E-3</v>
      </c>
      <c r="EQ107" t="s">
        <v>74</v>
      </c>
      <c r="ER107">
        <v>5.9929500000000004</v>
      </c>
      <c r="ES107" t="s">
        <v>75</v>
      </c>
      <c r="ET107">
        <v>5992.9489999999996</v>
      </c>
      <c r="EU107" t="s">
        <v>76</v>
      </c>
      <c r="EV107" t="s">
        <v>82</v>
      </c>
      <c r="EW107">
        <v>166.86276179999999</v>
      </c>
      <c r="EZ107" t="s">
        <v>496</v>
      </c>
      <c r="FA107" t="s">
        <v>84</v>
      </c>
      <c r="FB107">
        <v>534</v>
      </c>
      <c r="FC107" t="s">
        <v>81</v>
      </c>
      <c r="FD107">
        <v>9.7929999999999996E-3</v>
      </c>
      <c r="FE107" t="s">
        <v>74</v>
      </c>
      <c r="FF107">
        <v>9.7931100000000004</v>
      </c>
      <c r="FG107" t="s">
        <v>75</v>
      </c>
      <c r="FH107">
        <v>9793.1119999999992</v>
      </c>
      <c r="FI107" t="s">
        <v>76</v>
      </c>
      <c r="FJ107" t="s">
        <v>82</v>
      </c>
      <c r="FK107">
        <v>102.112588</v>
      </c>
    </row>
    <row r="108" spans="1:167" x14ac:dyDescent="0.3">
      <c r="DX108" t="s">
        <v>497</v>
      </c>
      <c r="DY108" t="s">
        <v>72</v>
      </c>
      <c r="DZ108">
        <v>1</v>
      </c>
      <c r="EA108" t="s">
        <v>81</v>
      </c>
      <c r="EB108">
        <v>0.119128</v>
      </c>
      <c r="EC108" t="s">
        <v>74</v>
      </c>
      <c r="ED108">
        <v>119.1284</v>
      </c>
      <c r="EE108" t="s">
        <v>75</v>
      </c>
      <c r="EF108">
        <v>119128.399</v>
      </c>
      <c r="EG108" t="s">
        <v>76</v>
      </c>
      <c r="EH108" t="s">
        <v>82</v>
      </c>
      <c r="EI108">
        <v>8.3943040999999994</v>
      </c>
      <c r="EL108" t="s">
        <v>497</v>
      </c>
      <c r="EM108" t="s">
        <v>72</v>
      </c>
      <c r="EN108">
        <v>1</v>
      </c>
      <c r="EO108" t="s">
        <v>81</v>
      </c>
      <c r="EP108">
        <v>0.121299</v>
      </c>
      <c r="EQ108" t="s">
        <v>74</v>
      </c>
      <c r="ER108">
        <v>121.29949999999999</v>
      </c>
      <c r="ES108" t="s">
        <v>75</v>
      </c>
      <c r="ET108">
        <v>121299.49800000001</v>
      </c>
      <c r="EU108" t="s">
        <v>76</v>
      </c>
      <c r="EV108" t="s">
        <v>82</v>
      </c>
      <c r="EW108">
        <v>8.2440572000000003</v>
      </c>
      <c r="EZ108" t="s">
        <v>497</v>
      </c>
      <c r="FA108" t="s">
        <v>72</v>
      </c>
      <c r="FB108">
        <v>1</v>
      </c>
      <c r="FC108" t="s">
        <v>81</v>
      </c>
      <c r="FD108">
        <v>0.120736</v>
      </c>
      <c r="FE108" t="s">
        <v>74</v>
      </c>
      <c r="FF108">
        <v>120.736</v>
      </c>
      <c r="FG108" t="s">
        <v>75</v>
      </c>
      <c r="FH108">
        <v>120736.003</v>
      </c>
      <c r="FI108" t="s">
        <v>76</v>
      </c>
      <c r="FJ108" t="s">
        <v>82</v>
      </c>
      <c r="FK108">
        <v>8.2825336000000007</v>
      </c>
    </row>
    <row r="109" spans="1:167" x14ac:dyDescent="0.3">
      <c r="B109" t="s">
        <v>172</v>
      </c>
      <c r="P109" t="s">
        <v>172</v>
      </c>
      <c r="AD109" t="s">
        <v>172</v>
      </c>
      <c r="AR109" t="s">
        <v>303</v>
      </c>
      <c r="BF109" t="s">
        <v>303</v>
      </c>
      <c r="BT109" t="s">
        <v>303</v>
      </c>
      <c r="CH109" t="s">
        <v>419</v>
      </c>
      <c r="CV109" t="s">
        <v>419</v>
      </c>
      <c r="DJ109" t="s">
        <v>419</v>
      </c>
      <c r="DX109" t="s">
        <v>497</v>
      </c>
      <c r="DY109" t="s">
        <v>83</v>
      </c>
      <c r="DZ109">
        <v>458</v>
      </c>
      <c r="EA109" t="s">
        <v>81</v>
      </c>
      <c r="EB109">
        <v>1.1011E-2</v>
      </c>
      <c r="EC109" t="s">
        <v>74</v>
      </c>
      <c r="ED109">
        <v>11.011240000000001</v>
      </c>
      <c r="EE109" t="s">
        <v>75</v>
      </c>
      <c r="EF109">
        <v>11011.243</v>
      </c>
      <c r="EG109" t="s">
        <v>76</v>
      </c>
      <c r="EH109" t="s">
        <v>82</v>
      </c>
      <c r="EI109">
        <v>90.816265200000004</v>
      </c>
      <c r="EL109" t="s">
        <v>497</v>
      </c>
      <c r="EM109" t="s">
        <v>83</v>
      </c>
      <c r="EN109">
        <v>567</v>
      </c>
      <c r="EO109" t="s">
        <v>81</v>
      </c>
      <c r="EP109">
        <v>4.3579999999999999E-3</v>
      </c>
      <c r="EQ109" t="s">
        <v>74</v>
      </c>
      <c r="ER109">
        <v>4.3581899999999996</v>
      </c>
      <c r="ES109" t="s">
        <v>75</v>
      </c>
      <c r="ET109">
        <v>4358.1899999999996</v>
      </c>
      <c r="EU109" t="s">
        <v>76</v>
      </c>
      <c r="EV109" t="s">
        <v>82</v>
      </c>
      <c r="EW109">
        <v>229.45305980000001</v>
      </c>
      <c r="EZ109" t="s">
        <v>497</v>
      </c>
      <c r="FA109" t="s">
        <v>83</v>
      </c>
      <c r="FB109">
        <v>466</v>
      </c>
      <c r="FC109" t="s">
        <v>81</v>
      </c>
      <c r="FD109">
        <v>1.0867E-2</v>
      </c>
      <c r="FE109" t="s">
        <v>74</v>
      </c>
      <c r="FF109">
        <v>10.86665</v>
      </c>
      <c r="FG109" t="s">
        <v>75</v>
      </c>
      <c r="FH109">
        <v>10866.645</v>
      </c>
      <c r="FI109" t="s">
        <v>76</v>
      </c>
      <c r="FJ109" t="s">
        <v>82</v>
      </c>
      <c r="FK109">
        <v>92.024722800000006</v>
      </c>
    </row>
    <row r="110" spans="1:167" x14ac:dyDescent="0.3">
      <c r="B110" t="s">
        <v>72</v>
      </c>
      <c r="C110">
        <v>1</v>
      </c>
      <c r="D110" t="s">
        <v>81</v>
      </c>
      <c r="E110">
        <v>7.3305999999999996E-3</v>
      </c>
      <c r="F110" t="s">
        <v>74</v>
      </c>
      <c r="G110">
        <v>7.3305999999999996</v>
      </c>
      <c r="H110" t="s">
        <v>75</v>
      </c>
      <c r="I110">
        <v>7330.6</v>
      </c>
      <c r="J110" t="s">
        <v>76</v>
      </c>
      <c r="K110" t="s">
        <v>82</v>
      </c>
      <c r="L110">
        <v>136.4144786</v>
      </c>
      <c r="P110" t="s">
        <v>72</v>
      </c>
      <c r="Q110">
        <v>1</v>
      </c>
      <c r="R110" t="s">
        <v>81</v>
      </c>
      <c r="S110">
        <v>7.0368000000000002E-3</v>
      </c>
      <c r="T110" t="s">
        <v>74</v>
      </c>
      <c r="U110">
        <v>7.0368000000000004</v>
      </c>
      <c r="V110" t="s">
        <v>75</v>
      </c>
      <c r="W110">
        <v>7036.8</v>
      </c>
      <c r="X110" t="s">
        <v>76</v>
      </c>
      <c r="Y110" t="s">
        <v>82</v>
      </c>
      <c r="Z110">
        <v>142.11004940000001</v>
      </c>
      <c r="AD110" t="s">
        <v>72</v>
      </c>
      <c r="AE110">
        <v>1</v>
      </c>
      <c r="AF110" t="s">
        <v>81</v>
      </c>
      <c r="AG110">
        <v>7.2145999999999998E-3</v>
      </c>
      <c r="AH110" t="s">
        <v>74</v>
      </c>
      <c r="AI110">
        <v>7.2145999999999999</v>
      </c>
      <c r="AJ110" t="s">
        <v>75</v>
      </c>
      <c r="AK110">
        <v>7214.6</v>
      </c>
      <c r="AL110" t="s">
        <v>76</v>
      </c>
      <c r="AM110" t="s">
        <v>82</v>
      </c>
      <c r="AN110">
        <v>138.60781879999999</v>
      </c>
      <c r="AR110" t="s">
        <v>72</v>
      </c>
      <c r="AS110">
        <v>1</v>
      </c>
      <c r="AT110" t="s">
        <v>81</v>
      </c>
      <c r="AU110">
        <v>3.7726200000000001E-2</v>
      </c>
      <c r="AV110" t="s">
        <v>74</v>
      </c>
      <c r="AW110">
        <v>37.726199999999999</v>
      </c>
      <c r="AX110" t="s">
        <v>75</v>
      </c>
      <c r="AY110">
        <v>37726.201000000001</v>
      </c>
      <c r="AZ110" t="s">
        <v>76</v>
      </c>
      <c r="BA110" t="s">
        <v>82</v>
      </c>
      <c r="BB110">
        <v>26.506777</v>
      </c>
      <c r="BF110" t="s">
        <v>72</v>
      </c>
      <c r="BG110">
        <v>1</v>
      </c>
      <c r="BH110" t="s">
        <v>81</v>
      </c>
      <c r="BI110">
        <v>3.7063899999999997E-2</v>
      </c>
      <c r="BJ110" t="s">
        <v>74</v>
      </c>
      <c r="BK110">
        <v>37.063899999999997</v>
      </c>
      <c r="BL110" t="s">
        <v>75</v>
      </c>
      <c r="BM110">
        <v>37063.9</v>
      </c>
      <c r="BN110" t="s">
        <v>76</v>
      </c>
      <c r="BO110" t="s">
        <v>82</v>
      </c>
      <c r="BP110">
        <v>26.980430800000001</v>
      </c>
      <c r="BT110" t="s">
        <v>72</v>
      </c>
      <c r="BU110">
        <v>1</v>
      </c>
      <c r="BV110" t="s">
        <v>81</v>
      </c>
      <c r="BW110">
        <v>3.6729600000000001E-2</v>
      </c>
      <c r="BX110" t="s">
        <v>74</v>
      </c>
      <c r="BY110">
        <v>36.729599999999998</v>
      </c>
      <c r="BZ110" t="s">
        <v>75</v>
      </c>
      <c r="CA110">
        <v>36729.599999999999</v>
      </c>
      <c r="CB110" t="s">
        <v>76</v>
      </c>
      <c r="CC110" t="s">
        <v>82</v>
      </c>
      <c r="CD110">
        <v>27.225997400000001</v>
      </c>
      <c r="CH110" t="s">
        <v>72</v>
      </c>
      <c r="CI110">
        <v>1</v>
      </c>
      <c r="CJ110" t="s">
        <v>81</v>
      </c>
      <c r="CK110">
        <v>2.98701E-2</v>
      </c>
      <c r="CL110" t="s">
        <v>74</v>
      </c>
      <c r="CM110">
        <v>29.870100000000001</v>
      </c>
      <c r="CN110" t="s">
        <v>75</v>
      </c>
      <c r="CO110">
        <v>29870.1</v>
      </c>
      <c r="CP110" t="s">
        <v>76</v>
      </c>
      <c r="CQ110" t="s">
        <v>82</v>
      </c>
      <c r="CR110">
        <v>33.478293999999998</v>
      </c>
      <c r="CV110" t="s">
        <v>72</v>
      </c>
      <c r="CW110">
        <v>1</v>
      </c>
      <c r="CX110" t="s">
        <v>81</v>
      </c>
      <c r="CY110">
        <v>3.0161500000000001E-2</v>
      </c>
      <c r="CZ110" t="s">
        <v>74</v>
      </c>
      <c r="DA110">
        <v>30.1615</v>
      </c>
      <c r="DB110" t="s">
        <v>75</v>
      </c>
      <c r="DC110">
        <v>30161.5</v>
      </c>
      <c r="DD110" t="s">
        <v>76</v>
      </c>
      <c r="DE110" t="s">
        <v>82</v>
      </c>
      <c r="DF110">
        <v>33.154849800000001</v>
      </c>
      <c r="DJ110" t="s">
        <v>72</v>
      </c>
      <c r="DK110">
        <v>1</v>
      </c>
      <c r="DL110" t="s">
        <v>81</v>
      </c>
      <c r="DM110">
        <v>2.99519E-2</v>
      </c>
      <c r="DN110" t="s">
        <v>74</v>
      </c>
      <c r="DO110">
        <v>29.951899999999998</v>
      </c>
      <c r="DP110" t="s">
        <v>75</v>
      </c>
      <c r="DQ110">
        <v>29951.9</v>
      </c>
      <c r="DR110" t="s">
        <v>76</v>
      </c>
      <c r="DS110" t="s">
        <v>82</v>
      </c>
      <c r="DT110">
        <v>33.386863300000002</v>
      </c>
      <c r="DX110" t="s">
        <v>497</v>
      </c>
      <c r="DY110" t="s">
        <v>84</v>
      </c>
      <c r="DZ110">
        <v>459</v>
      </c>
      <c r="EA110" t="s">
        <v>81</v>
      </c>
      <c r="EB110">
        <v>1.1247E-2</v>
      </c>
      <c r="EC110" t="s">
        <v>74</v>
      </c>
      <c r="ED110">
        <v>11.246790000000001</v>
      </c>
      <c r="EE110" t="s">
        <v>75</v>
      </c>
      <c r="EF110">
        <v>11246.793</v>
      </c>
      <c r="EG110" t="s">
        <v>76</v>
      </c>
      <c r="EH110" t="s">
        <v>82</v>
      </c>
      <c r="EI110">
        <v>88.914232100000007</v>
      </c>
      <c r="EL110" t="s">
        <v>497</v>
      </c>
      <c r="EM110" t="s">
        <v>84</v>
      </c>
      <c r="EN110">
        <v>568</v>
      </c>
      <c r="EO110" t="s">
        <v>81</v>
      </c>
      <c r="EP110">
        <v>4.5640000000000003E-3</v>
      </c>
      <c r="EQ110" t="s">
        <v>74</v>
      </c>
      <c r="ER110">
        <v>4.5640700000000001</v>
      </c>
      <c r="ES110" t="s">
        <v>75</v>
      </c>
      <c r="ET110">
        <v>4564.0730000000003</v>
      </c>
      <c r="EU110" t="s">
        <v>76</v>
      </c>
      <c r="EV110" t="s">
        <v>82</v>
      </c>
      <c r="EW110">
        <v>219.10254839999999</v>
      </c>
      <c r="EZ110" t="s">
        <v>497</v>
      </c>
      <c r="FA110" t="s">
        <v>84</v>
      </c>
      <c r="FB110">
        <v>467</v>
      </c>
      <c r="FC110" t="s">
        <v>81</v>
      </c>
      <c r="FD110">
        <v>1.1102000000000001E-2</v>
      </c>
      <c r="FE110" t="s">
        <v>74</v>
      </c>
      <c r="FF110">
        <v>11.10191</v>
      </c>
      <c r="FG110" t="s">
        <v>75</v>
      </c>
      <c r="FH110">
        <v>11101.91</v>
      </c>
      <c r="FI110" t="s">
        <v>76</v>
      </c>
      <c r="FJ110" t="s">
        <v>82</v>
      </c>
      <c r="FK110">
        <v>90.074594200000007</v>
      </c>
    </row>
    <row r="111" spans="1:167" x14ac:dyDescent="0.3">
      <c r="B111" t="s">
        <v>83</v>
      </c>
      <c r="C111">
        <v>1000</v>
      </c>
      <c r="D111" t="s">
        <v>81</v>
      </c>
      <c r="E111">
        <v>1.6353299999999999E-3</v>
      </c>
      <c r="F111" t="s">
        <v>74</v>
      </c>
      <c r="G111">
        <v>1.63533</v>
      </c>
      <c r="H111" t="s">
        <v>75</v>
      </c>
      <c r="I111">
        <v>1635.327</v>
      </c>
      <c r="J111" t="s">
        <v>76</v>
      </c>
      <c r="K111" t="s">
        <v>82</v>
      </c>
      <c r="L111">
        <v>611.49854689999995</v>
      </c>
      <c r="P111" t="s">
        <v>83</v>
      </c>
      <c r="Q111">
        <v>1000</v>
      </c>
      <c r="R111" t="s">
        <v>81</v>
      </c>
      <c r="S111">
        <v>1.29565E-3</v>
      </c>
      <c r="T111" t="s">
        <v>74</v>
      </c>
      <c r="U111">
        <v>1.29565</v>
      </c>
      <c r="V111" t="s">
        <v>75</v>
      </c>
      <c r="W111">
        <v>1295.652</v>
      </c>
      <c r="X111" t="s">
        <v>76</v>
      </c>
      <c r="Y111" t="s">
        <v>82</v>
      </c>
      <c r="Z111">
        <v>771.81237820000001</v>
      </c>
      <c r="AD111" t="s">
        <v>83</v>
      </c>
      <c r="AE111">
        <v>1000</v>
      </c>
      <c r="AF111" t="s">
        <v>81</v>
      </c>
      <c r="AG111">
        <v>1.8341099999999999E-3</v>
      </c>
      <c r="AH111" t="s">
        <v>74</v>
      </c>
      <c r="AI111">
        <v>1.8341099999999999</v>
      </c>
      <c r="AJ111" t="s">
        <v>75</v>
      </c>
      <c r="AK111">
        <v>1834.1079999999999</v>
      </c>
      <c r="AL111" t="s">
        <v>76</v>
      </c>
      <c r="AM111" t="s">
        <v>82</v>
      </c>
      <c r="AN111">
        <v>545.22427130000005</v>
      </c>
      <c r="AR111" t="s">
        <v>83</v>
      </c>
      <c r="AS111">
        <v>1000</v>
      </c>
      <c r="AT111" t="s">
        <v>81</v>
      </c>
      <c r="AU111">
        <v>1.9541799999999998E-3</v>
      </c>
      <c r="AV111" t="s">
        <v>74</v>
      </c>
      <c r="AW111">
        <v>1.95418</v>
      </c>
      <c r="AX111" t="s">
        <v>75</v>
      </c>
      <c r="AY111">
        <v>1954.1849999999999</v>
      </c>
      <c r="AZ111" t="s">
        <v>76</v>
      </c>
      <c r="BA111" t="s">
        <v>82</v>
      </c>
      <c r="BB111">
        <v>511.72240060000001</v>
      </c>
      <c r="BF111" t="s">
        <v>83</v>
      </c>
      <c r="BG111">
        <v>1000</v>
      </c>
      <c r="BH111" t="s">
        <v>81</v>
      </c>
      <c r="BI111">
        <v>2.6094059999999999E-2</v>
      </c>
      <c r="BJ111" t="s">
        <v>74</v>
      </c>
      <c r="BK111">
        <v>26.094059999999999</v>
      </c>
      <c r="BL111" t="s">
        <v>75</v>
      </c>
      <c r="BM111">
        <v>26094.057000000001</v>
      </c>
      <c r="BN111" t="s">
        <v>76</v>
      </c>
      <c r="BO111" t="s">
        <v>82</v>
      </c>
      <c r="BP111">
        <v>38.322902300000003</v>
      </c>
      <c r="BT111" t="s">
        <v>83</v>
      </c>
      <c r="BU111">
        <v>1000</v>
      </c>
      <c r="BV111" t="s">
        <v>81</v>
      </c>
      <c r="BW111">
        <v>2.705699E-2</v>
      </c>
      <c r="BX111" t="s">
        <v>74</v>
      </c>
      <c r="BY111">
        <v>27.056989999999999</v>
      </c>
      <c r="BZ111" t="s">
        <v>75</v>
      </c>
      <c r="CA111">
        <v>27056.992999999999</v>
      </c>
      <c r="CB111" t="s">
        <v>76</v>
      </c>
      <c r="CC111" t="s">
        <v>82</v>
      </c>
      <c r="CD111">
        <v>36.959021399999997</v>
      </c>
      <c r="CH111" t="s">
        <v>83</v>
      </c>
      <c r="CI111">
        <v>1000</v>
      </c>
      <c r="CJ111" t="s">
        <v>81</v>
      </c>
      <c r="CK111">
        <v>2.0851099999999998E-3</v>
      </c>
      <c r="CL111" t="s">
        <v>74</v>
      </c>
      <c r="CM111">
        <v>2.0851099999999998</v>
      </c>
      <c r="CN111" t="s">
        <v>75</v>
      </c>
      <c r="CO111">
        <v>2085.1129999999998</v>
      </c>
      <c r="CP111" t="s">
        <v>76</v>
      </c>
      <c r="CQ111" t="s">
        <v>82</v>
      </c>
      <c r="CR111">
        <v>479.59035840000001</v>
      </c>
      <c r="CV111" t="s">
        <v>83</v>
      </c>
      <c r="CW111">
        <v>1000</v>
      </c>
      <c r="CX111" t="s">
        <v>81</v>
      </c>
      <c r="CY111">
        <v>2.676951E-2</v>
      </c>
      <c r="CZ111" t="s">
        <v>74</v>
      </c>
      <c r="DA111">
        <v>26.76951</v>
      </c>
      <c r="DB111" t="s">
        <v>75</v>
      </c>
      <c r="DC111">
        <v>26769.513999999999</v>
      </c>
      <c r="DD111" t="s">
        <v>76</v>
      </c>
      <c r="DE111" t="s">
        <v>82</v>
      </c>
      <c r="DF111">
        <v>37.355926500000002</v>
      </c>
      <c r="DJ111" t="s">
        <v>83</v>
      </c>
      <c r="DK111">
        <v>1000</v>
      </c>
      <c r="DL111" t="s">
        <v>81</v>
      </c>
      <c r="DM111">
        <v>2.76606E-2</v>
      </c>
      <c r="DN111" t="s">
        <v>74</v>
      </c>
      <c r="DO111">
        <v>27.660599999999999</v>
      </c>
      <c r="DP111" t="s">
        <v>75</v>
      </c>
      <c r="DQ111">
        <v>27660.598999999998</v>
      </c>
      <c r="DR111" t="s">
        <v>76</v>
      </c>
      <c r="DS111" t="s">
        <v>82</v>
      </c>
      <c r="DT111">
        <v>36.152507399999998</v>
      </c>
      <c r="DX111" t="s">
        <v>498</v>
      </c>
      <c r="DY111" t="s">
        <v>72</v>
      </c>
      <c r="DZ111">
        <v>2</v>
      </c>
      <c r="EA111" t="s">
        <v>86</v>
      </c>
      <c r="EB111">
        <v>0.15708900000000001</v>
      </c>
      <c r="EC111" t="s">
        <v>74</v>
      </c>
      <c r="ED111">
        <v>157.08865</v>
      </c>
      <c r="EE111" t="s">
        <v>75</v>
      </c>
      <c r="EF111">
        <v>157088.652</v>
      </c>
      <c r="EG111" t="s">
        <v>76</v>
      </c>
      <c r="EH111" t="s">
        <v>82</v>
      </c>
      <c r="EI111">
        <v>6.3658321999999998</v>
      </c>
      <c r="EL111" t="s">
        <v>498</v>
      </c>
      <c r="EM111" t="s">
        <v>72</v>
      </c>
      <c r="EN111">
        <v>2</v>
      </c>
      <c r="EO111" t="s">
        <v>86</v>
      </c>
      <c r="EP111">
        <v>0.21531700000000001</v>
      </c>
      <c r="EQ111" t="s">
        <v>74</v>
      </c>
      <c r="ER111">
        <v>215.31658999999999</v>
      </c>
      <c r="ES111" t="s">
        <v>75</v>
      </c>
      <c r="ET111">
        <v>215316.59400000001</v>
      </c>
      <c r="EU111" t="s">
        <v>76</v>
      </c>
      <c r="EV111" t="s">
        <v>82</v>
      </c>
      <c r="EW111">
        <v>4.6443238999999998</v>
      </c>
      <c r="EZ111" t="s">
        <v>498</v>
      </c>
      <c r="FA111" t="s">
        <v>72</v>
      </c>
      <c r="FB111">
        <v>2</v>
      </c>
      <c r="FC111" t="s">
        <v>86</v>
      </c>
      <c r="FD111">
        <v>0.15903300000000001</v>
      </c>
      <c r="FE111" t="s">
        <v>74</v>
      </c>
      <c r="FF111">
        <v>159.03290000000001</v>
      </c>
      <c r="FG111" t="s">
        <v>75</v>
      </c>
      <c r="FH111">
        <v>159032.89600000001</v>
      </c>
      <c r="FI111" t="s">
        <v>76</v>
      </c>
      <c r="FJ111" t="s">
        <v>82</v>
      </c>
      <c r="FK111">
        <v>6.2880072</v>
      </c>
    </row>
    <row r="112" spans="1:167" x14ac:dyDescent="0.3">
      <c r="B112" t="s">
        <v>85</v>
      </c>
      <c r="C112">
        <v>1001</v>
      </c>
      <c r="D112" t="s">
        <v>86</v>
      </c>
      <c r="E112">
        <v>1.6412499999999999E-3</v>
      </c>
      <c r="F112" t="s">
        <v>74</v>
      </c>
      <c r="G112">
        <v>1.6412500000000001</v>
      </c>
      <c r="H112" t="s">
        <v>75</v>
      </c>
      <c r="I112">
        <v>1641.252</v>
      </c>
      <c r="J112" t="s">
        <v>76</v>
      </c>
      <c r="K112" t="s">
        <v>82</v>
      </c>
      <c r="L112">
        <v>609.29106539999998</v>
      </c>
      <c r="P112" t="s">
        <v>85</v>
      </c>
      <c r="Q112">
        <v>1001</v>
      </c>
      <c r="R112" t="s">
        <v>86</v>
      </c>
      <c r="S112">
        <v>1.3016099999999999E-3</v>
      </c>
      <c r="T112" t="s">
        <v>74</v>
      </c>
      <c r="U112">
        <v>1.3016099999999999</v>
      </c>
      <c r="V112" t="s">
        <v>75</v>
      </c>
      <c r="W112">
        <v>1301.6079999999999</v>
      </c>
      <c r="X112" t="s">
        <v>76</v>
      </c>
      <c r="Y112" t="s">
        <v>82</v>
      </c>
      <c r="Z112">
        <v>768.28053290000003</v>
      </c>
      <c r="AD112" t="s">
        <v>85</v>
      </c>
      <c r="AE112">
        <v>1001</v>
      </c>
      <c r="AF112" t="s">
        <v>86</v>
      </c>
      <c r="AG112">
        <v>1.8397400000000001E-3</v>
      </c>
      <c r="AH112" t="s">
        <v>74</v>
      </c>
      <c r="AI112">
        <v>1.8397399999999999</v>
      </c>
      <c r="AJ112" t="s">
        <v>75</v>
      </c>
      <c r="AK112">
        <v>1839.7349999999999</v>
      </c>
      <c r="AL112" t="s">
        <v>76</v>
      </c>
      <c r="AM112" t="s">
        <v>82</v>
      </c>
      <c r="AN112">
        <v>543.55645879999997</v>
      </c>
      <c r="AR112" t="s">
        <v>85</v>
      </c>
      <c r="AS112">
        <v>1001</v>
      </c>
      <c r="AT112" t="s">
        <v>86</v>
      </c>
      <c r="AU112">
        <v>1.9901799999999998E-3</v>
      </c>
      <c r="AV112" t="s">
        <v>74</v>
      </c>
      <c r="AW112">
        <v>1.9901800000000001</v>
      </c>
      <c r="AX112" t="s">
        <v>75</v>
      </c>
      <c r="AY112">
        <v>1990.183</v>
      </c>
      <c r="AZ112" t="s">
        <v>76</v>
      </c>
      <c r="BA112" t="s">
        <v>82</v>
      </c>
      <c r="BB112">
        <v>502.4662629</v>
      </c>
      <c r="BF112" t="s">
        <v>85</v>
      </c>
      <c r="BG112">
        <v>1001</v>
      </c>
      <c r="BH112" t="s">
        <v>86</v>
      </c>
      <c r="BI112">
        <v>2.610581E-2</v>
      </c>
      <c r="BJ112" t="s">
        <v>74</v>
      </c>
      <c r="BK112">
        <v>26.105810000000002</v>
      </c>
      <c r="BL112" t="s">
        <v>75</v>
      </c>
      <c r="BM112">
        <v>26105.812000000002</v>
      </c>
      <c r="BN112" t="s">
        <v>76</v>
      </c>
      <c r="BO112" t="s">
        <v>82</v>
      </c>
      <c r="BP112">
        <v>38.305646099999997</v>
      </c>
      <c r="BT112" t="s">
        <v>85</v>
      </c>
      <c r="BU112">
        <v>1001</v>
      </c>
      <c r="BV112" t="s">
        <v>86</v>
      </c>
      <c r="BW112">
        <v>2.7067580000000001E-2</v>
      </c>
      <c r="BX112" t="s">
        <v>74</v>
      </c>
      <c r="BY112">
        <v>27.06758</v>
      </c>
      <c r="BZ112" t="s">
        <v>75</v>
      </c>
      <c r="CA112">
        <v>27067.575000000001</v>
      </c>
      <c r="CB112" t="s">
        <v>76</v>
      </c>
      <c r="CC112" t="s">
        <v>82</v>
      </c>
      <c r="CD112">
        <v>36.944572899999997</v>
      </c>
      <c r="CH112" t="s">
        <v>85</v>
      </c>
      <c r="CI112">
        <v>1001</v>
      </c>
      <c r="CJ112" t="s">
        <v>86</v>
      </c>
      <c r="CK112">
        <v>2.11319E-3</v>
      </c>
      <c r="CL112" t="s">
        <v>74</v>
      </c>
      <c r="CM112">
        <v>2.1131899999999999</v>
      </c>
      <c r="CN112" t="s">
        <v>75</v>
      </c>
      <c r="CO112">
        <v>2113.1930000000002</v>
      </c>
      <c r="CP112" t="s">
        <v>76</v>
      </c>
      <c r="CQ112" t="s">
        <v>82</v>
      </c>
      <c r="CR112">
        <v>473.21750209999999</v>
      </c>
      <c r="CV112" t="s">
        <v>85</v>
      </c>
      <c r="CW112">
        <v>1001</v>
      </c>
      <c r="CX112" t="s">
        <v>86</v>
      </c>
      <c r="CY112">
        <v>2.677326E-2</v>
      </c>
      <c r="CZ112" t="s">
        <v>74</v>
      </c>
      <c r="DA112">
        <v>26.773260000000001</v>
      </c>
      <c r="DB112" t="s">
        <v>75</v>
      </c>
      <c r="DC112">
        <v>26773.26</v>
      </c>
      <c r="DD112" t="s">
        <v>76</v>
      </c>
      <c r="DE112" t="s">
        <v>82</v>
      </c>
      <c r="DF112">
        <v>37.350699499999997</v>
      </c>
      <c r="DJ112" t="s">
        <v>85</v>
      </c>
      <c r="DK112">
        <v>1001</v>
      </c>
      <c r="DL112" t="s">
        <v>86</v>
      </c>
      <c r="DM112">
        <v>2.7663210000000001E-2</v>
      </c>
      <c r="DN112" t="s">
        <v>74</v>
      </c>
      <c r="DO112">
        <v>27.663209999999999</v>
      </c>
      <c r="DP112" t="s">
        <v>75</v>
      </c>
      <c r="DQ112">
        <v>27663.213</v>
      </c>
      <c r="DR112" t="s">
        <v>76</v>
      </c>
      <c r="DS112" t="s">
        <v>82</v>
      </c>
      <c r="DT112">
        <v>36.1490911</v>
      </c>
      <c r="DX112" t="s">
        <v>498</v>
      </c>
      <c r="DY112" t="s">
        <v>83</v>
      </c>
      <c r="DZ112">
        <v>999</v>
      </c>
      <c r="EA112" t="s">
        <v>86</v>
      </c>
      <c r="EB112">
        <v>5.0959999999999998E-3</v>
      </c>
      <c r="EC112" t="s">
        <v>74</v>
      </c>
      <c r="ED112">
        <v>5.0960200000000002</v>
      </c>
      <c r="EE112" t="s">
        <v>75</v>
      </c>
      <c r="EF112">
        <v>5096.0169999999998</v>
      </c>
      <c r="EG112" t="s">
        <v>76</v>
      </c>
      <c r="EH112" t="s">
        <v>82</v>
      </c>
      <c r="EI112">
        <v>196.23168670000001</v>
      </c>
      <c r="EL112" t="s">
        <v>498</v>
      </c>
      <c r="EM112" t="s">
        <v>83</v>
      </c>
      <c r="EN112">
        <v>999</v>
      </c>
      <c r="EO112" t="s">
        <v>86</v>
      </c>
      <c r="EP112">
        <v>2.4870000000000001E-3</v>
      </c>
      <c r="EQ112" t="s">
        <v>74</v>
      </c>
      <c r="ER112">
        <v>2.4874700000000001</v>
      </c>
      <c r="ES112" t="s">
        <v>75</v>
      </c>
      <c r="ET112">
        <v>2487.473</v>
      </c>
      <c r="EU112" t="s">
        <v>76</v>
      </c>
      <c r="EV112" t="s">
        <v>82</v>
      </c>
      <c r="EW112">
        <v>402.01444220000002</v>
      </c>
      <c r="EZ112" t="s">
        <v>498</v>
      </c>
      <c r="FA112" t="s">
        <v>83</v>
      </c>
      <c r="FB112">
        <v>999</v>
      </c>
      <c r="FC112" t="s">
        <v>86</v>
      </c>
      <c r="FD112">
        <v>5.1149999999999998E-3</v>
      </c>
      <c r="FE112" t="s">
        <v>74</v>
      </c>
      <c r="FF112">
        <v>5.1145800000000001</v>
      </c>
      <c r="FG112" t="s">
        <v>75</v>
      </c>
      <c r="FH112">
        <v>5114.5770000000002</v>
      </c>
      <c r="FI112" t="s">
        <v>76</v>
      </c>
      <c r="FJ112" t="s">
        <v>82</v>
      </c>
      <c r="FK112">
        <v>195.51957830000001</v>
      </c>
    </row>
    <row r="113" spans="1:167" x14ac:dyDescent="0.3">
      <c r="DX113" t="s">
        <v>498</v>
      </c>
      <c r="DY113" t="s">
        <v>85</v>
      </c>
      <c r="DZ113">
        <v>1001</v>
      </c>
      <c r="EA113" t="s">
        <v>86</v>
      </c>
      <c r="EB113">
        <v>5.2110000000000004E-3</v>
      </c>
      <c r="EC113" t="s">
        <v>74</v>
      </c>
      <c r="ED113">
        <v>5.2113500000000004</v>
      </c>
      <c r="EE113" t="s">
        <v>75</v>
      </c>
      <c r="EF113">
        <v>5211.3450000000003</v>
      </c>
      <c r="EG113" t="s">
        <v>76</v>
      </c>
      <c r="EH113" t="s">
        <v>82</v>
      </c>
      <c r="EI113">
        <v>191.8890346</v>
      </c>
      <c r="EL113" t="s">
        <v>498</v>
      </c>
      <c r="EM113" t="s">
        <v>85</v>
      </c>
      <c r="EN113">
        <v>1001</v>
      </c>
      <c r="EO113" t="s">
        <v>86</v>
      </c>
      <c r="EP113">
        <v>2.6069999999999999E-3</v>
      </c>
      <c r="EQ113" t="s">
        <v>74</v>
      </c>
      <c r="ER113">
        <v>2.6069100000000001</v>
      </c>
      <c r="ES113" t="s">
        <v>75</v>
      </c>
      <c r="ET113">
        <v>2606.91</v>
      </c>
      <c r="EU113" t="s">
        <v>76</v>
      </c>
      <c r="EV113" t="s">
        <v>82</v>
      </c>
      <c r="EW113">
        <v>383.59594729999998</v>
      </c>
      <c r="EZ113" t="s">
        <v>498</v>
      </c>
      <c r="FA113" t="s">
        <v>85</v>
      </c>
      <c r="FB113">
        <v>1001</v>
      </c>
      <c r="FC113" t="s">
        <v>86</v>
      </c>
      <c r="FD113">
        <v>5.2319999999999997E-3</v>
      </c>
      <c r="FE113" t="s">
        <v>74</v>
      </c>
      <c r="FF113">
        <v>5.23156</v>
      </c>
      <c r="FG113" t="s">
        <v>75</v>
      </c>
      <c r="FH113">
        <v>5231.5590000000002</v>
      </c>
      <c r="FI113" t="s">
        <v>76</v>
      </c>
      <c r="FJ113" t="s">
        <v>82</v>
      </c>
      <c r="FK113">
        <v>191.14762390000001</v>
      </c>
    </row>
    <row r="114" spans="1:167" x14ac:dyDescent="0.3">
      <c r="A114">
        <v>12</v>
      </c>
      <c r="B114" t="s">
        <v>176</v>
      </c>
      <c r="O114">
        <v>12</v>
      </c>
      <c r="P114" t="s">
        <v>176</v>
      </c>
      <c r="AC114">
        <v>12</v>
      </c>
      <c r="AD114" t="s">
        <v>176</v>
      </c>
      <c r="AQ114">
        <v>12</v>
      </c>
      <c r="AR114" t="s">
        <v>306</v>
      </c>
      <c r="BE114">
        <v>12</v>
      </c>
      <c r="BF114" t="s">
        <v>306</v>
      </c>
      <c r="BS114">
        <v>12</v>
      </c>
      <c r="BT114" t="s">
        <v>306</v>
      </c>
      <c r="CG114">
        <v>12</v>
      </c>
      <c r="CH114" t="s">
        <v>422</v>
      </c>
      <c r="CU114">
        <v>12</v>
      </c>
      <c r="CV114" t="s">
        <v>422</v>
      </c>
      <c r="DI114">
        <v>12</v>
      </c>
      <c r="DJ114" t="s">
        <v>422</v>
      </c>
    </row>
    <row r="115" spans="1:167" x14ac:dyDescent="0.3">
      <c r="B115" t="s">
        <v>72</v>
      </c>
      <c r="C115">
        <v>1</v>
      </c>
      <c r="D115" t="s">
        <v>81</v>
      </c>
      <c r="E115">
        <v>0.30781828999999999</v>
      </c>
      <c r="F115" t="s">
        <v>74</v>
      </c>
      <c r="G115">
        <v>307.81828999999999</v>
      </c>
      <c r="H115" t="s">
        <v>75</v>
      </c>
      <c r="I115">
        <v>307818.29399999999</v>
      </c>
      <c r="J115" t="s">
        <v>76</v>
      </c>
      <c r="K115" t="s">
        <v>82</v>
      </c>
      <c r="L115">
        <v>3.2486698000000001</v>
      </c>
      <c r="P115" t="s">
        <v>72</v>
      </c>
      <c r="Q115">
        <v>1</v>
      </c>
      <c r="R115" t="s">
        <v>81</v>
      </c>
      <c r="S115">
        <v>0.30658629999999998</v>
      </c>
      <c r="T115" t="s">
        <v>74</v>
      </c>
      <c r="U115">
        <v>306.58629999999999</v>
      </c>
      <c r="V115" t="s">
        <v>75</v>
      </c>
      <c r="W115">
        <v>306586.29499999998</v>
      </c>
      <c r="X115" t="s">
        <v>76</v>
      </c>
      <c r="Y115" t="s">
        <v>82</v>
      </c>
      <c r="Z115">
        <v>3.2617243999999999</v>
      </c>
      <c r="AD115" t="s">
        <v>72</v>
      </c>
      <c r="AE115">
        <v>1</v>
      </c>
      <c r="AF115" t="s">
        <v>81</v>
      </c>
      <c r="AG115">
        <v>0.30519789000000003</v>
      </c>
      <c r="AH115" t="s">
        <v>74</v>
      </c>
      <c r="AI115">
        <v>305.19788999999997</v>
      </c>
      <c r="AJ115" t="s">
        <v>75</v>
      </c>
      <c r="AK115">
        <v>305197.89500000002</v>
      </c>
      <c r="AL115" t="s">
        <v>76</v>
      </c>
      <c r="AM115" t="s">
        <v>82</v>
      </c>
      <c r="AN115">
        <v>3.2765626000000001</v>
      </c>
      <c r="AR115" t="s">
        <v>72</v>
      </c>
      <c r="AS115">
        <v>1</v>
      </c>
      <c r="AT115" t="s">
        <v>81</v>
      </c>
      <c r="AU115">
        <v>0.1198486</v>
      </c>
      <c r="AV115" t="s">
        <v>74</v>
      </c>
      <c r="AW115">
        <v>119.8486</v>
      </c>
      <c r="AX115" t="s">
        <v>75</v>
      </c>
      <c r="AY115">
        <v>119848.602</v>
      </c>
      <c r="AZ115" t="s">
        <v>76</v>
      </c>
      <c r="BA115" t="s">
        <v>82</v>
      </c>
      <c r="BB115">
        <v>8.3438604000000005</v>
      </c>
      <c r="BF115" t="s">
        <v>72</v>
      </c>
      <c r="BG115">
        <v>1</v>
      </c>
      <c r="BH115" t="s">
        <v>81</v>
      </c>
      <c r="BI115">
        <v>0.1203857</v>
      </c>
      <c r="BJ115" t="s">
        <v>74</v>
      </c>
      <c r="BK115">
        <v>120.3857</v>
      </c>
      <c r="BL115" t="s">
        <v>75</v>
      </c>
      <c r="BM115">
        <v>120385.69899999999</v>
      </c>
      <c r="BN115" t="s">
        <v>76</v>
      </c>
      <c r="BO115" t="s">
        <v>82</v>
      </c>
      <c r="BP115">
        <v>8.3066344999999995</v>
      </c>
      <c r="BT115" t="s">
        <v>72</v>
      </c>
      <c r="BU115">
        <v>1</v>
      </c>
      <c r="BV115" t="s">
        <v>81</v>
      </c>
      <c r="BW115">
        <v>0.1212985</v>
      </c>
      <c r="BX115" t="s">
        <v>74</v>
      </c>
      <c r="BY115">
        <v>121.2985</v>
      </c>
      <c r="BZ115" t="s">
        <v>75</v>
      </c>
      <c r="CA115">
        <v>121298.499</v>
      </c>
      <c r="CB115" t="s">
        <v>76</v>
      </c>
      <c r="CC115" t="s">
        <v>82</v>
      </c>
      <c r="CD115">
        <v>8.2441250999999998</v>
      </c>
      <c r="CH115" t="s">
        <v>72</v>
      </c>
      <c r="CI115">
        <v>1</v>
      </c>
      <c r="CJ115" t="s">
        <v>81</v>
      </c>
      <c r="CK115">
        <v>0.1224609</v>
      </c>
      <c r="CL115" t="s">
        <v>74</v>
      </c>
      <c r="CM115">
        <v>122.4609</v>
      </c>
      <c r="CN115" t="s">
        <v>75</v>
      </c>
      <c r="CO115">
        <v>122460.902</v>
      </c>
      <c r="CP115" t="s">
        <v>76</v>
      </c>
      <c r="CQ115" t="s">
        <v>82</v>
      </c>
      <c r="CR115">
        <v>8.1658715999999991</v>
      </c>
      <c r="CV115" t="s">
        <v>72</v>
      </c>
      <c r="CW115">
        <v>1</v>
      </c>
      <c r="CX115" t="s">
        <v>81</v>
      </c>
      <c r="CY115">
        <v>0.12479179999999999</v>
      </c>
      <c r="CZ115" t="s">
        <v>74</v>
      </c>
      <c r="DA115">
        <v>124.79179999999999</v>
      </c>
      <c r="DB115" t="s">
        <v>75</v>
      </c>
      <c r="DC115">
        <v>124791.80100000001</v>
      </c>
      <c r="DD115" t="s">
        <v>76</v>
      </c>
      <c r="DE115" t="s">
        <v>82</v>
      </c>
      <c r="DF115">
        <v>8.0133469999999996</v>
      </c>
      <c r="DJ115" t="s">
        <v>72</v>
      </c>
      <c r="DK115">
        <v>1</v>
      </c>
      <c r="DL115" t="s">
        <v>81</v>
      </c>
      <c r="DM115">
        <v>0.12650629999999999</v>
      </c>
      <c r="DN115" t="s">
        <v>74</v>
      </c>
      <c r="DO115">
        <v>126.5063</v>
      </c>
      <c r="DP115" t="s">
        <v>75</v>
      </c>
      <c r="DQ115">
        <v>126506.299</v>
      </c>
      <c r="DR115" t="s">
        <v>76</v>
      </c>
      <c r="DS115" t="s">
        <v>82</v>
      </c>
      <c r="DT115">
        <v>7.9047447000000002</v>
      </c>
      <c r="DX115" t="s">
        <v>514</v>
      </c>
      <c r="EL115" t="s">
        <v>514</v>
      </c>
      <c r="EZ115" t="s">
        <v>514</v>
      </c>
    </row>
    <row r="116" spans="1:167" x14ac:dyDescent="0.3">
      <c r="B116" t="s">
        <v>83</v>
      </c>
      <c r="C116">
        <v>1000</v>
      </c>
      <c r="D116" t="s">
        <v>81</v>
      </c>
      <c r="E116">
        <v>4.3638499999999998E-3</v>
      </c>
      <c r="F116" t="s">
        <v>74</v>
      </c>
      <c r="G116">
        <v>4.3638500000000002</v>
      </c>
      <c r="H116" t="s">
        <v>75</v>
      </c>
      <c r="I116">
        <v>4363.8490000000002</v>
      </c>
      <c r="J116" t="s">
        <v>76</v>
      </c>
      <c r="K116" t="s">
        <v>82</v>
      </c>
      <c r="L116">
        <v>229.1555166</v>
      </c>
      <c r="P116" t="s">
        <v>83</v>
      </c>
      <c r="Q116">
        <v>1000</v>
      </c>
      <c r="R116" t="s">
        <v>81</v>
      </c>
      <c r="S116">
        <v>2.7322399999999999E-3</v>
      </c>
      <c r="T116" t="s">
        <v>74</v>
      </c>
      <c r="U116">
        <v>2.73224</v>
      </c>
      <c r="V116" t="s">
        <v>75</v>
      </c>
      <c r="W116">
        <v>2732.241</v>
      </c>
      <c r="X116" t="s">
        <v>76</v>
      </c>
      <c r="Y116" t="s">
        <v>82</v>
      </c>
      <c r="Z116">
        <v>365.99990400000002</v>
      </c>
      <c r="AD116" t="s">
        <v>83</v>
      </c>
      <c r="AE116">
        <v>1000</v>
      </c>
      <c r="AF116" t="s">
        <v>81</v>
      </c>
      <c r="AG116">
        <v>4.3628399999999998E-3</v>
      </c>
      <c r="AH116" t="s">
        <v>74</v>
      </c>
      <c r="AI116">
        <v>4.3628400000000003</v>
      </c>
      <c r="AJ116" t="s">
        <v>75</v>
      </c>
      <c r="AK116">
        <v>4362.8370000000004</v>
      </c>
      <c r="AL116" t="s">
        <v>76</v>
      </c>
      <c r="AM116" t="s">
        <v>82</v>
      </c>
      <c r="AN116">
        <v>229.20863829999999</v>
      </c>
      <c r="AR116" t="s">
        <v>83</v>
      </c>
      <c r="AS116">
        <v>1000</v>
      </c>
      <c r="AT116" t="s">
        <v>81</v>
      </c>
      <c r="AU116">
        <v>4.5047300000000002E-3</v>
      </c>
      <c r="AV116" t="s">
        <v>74</v>
      </c>
      <c r="AW116">
        <v>4.5047300000000003</v>
      </c>
      <c r="AX116" t="s">
        <v>75</v>
      </c>
      <c r="AY116">
        <v>4504.7349999999997</v>
      </c>
      <c r="AZ116" t="s">
        <v>76</v>
      </c>
      <c r="BA116" t="s">
        <v>82</v>
      </c>
      <c r="BB116">
        <v>221.98866469999999</v>
      </c>
      <c r="BF116" t="s">
        <v>83</v>
      </c>
      <c r="BG116">
        <v>1000</v>
      </c>
      <c r="BH116" t="s">
        <v>81</v>
      </c>
      <c r="BI116">
        <v>2.78035E-3</v>
      </c>
      <c r="BJ116" t="s">
        <v>74</v>
      </c>
      <c r="BK116">
        <v>2.7803499999999999</v>
      </c>
      <c r="BL116" t="s">
        <v>75</v>
      </c>
      <c r="BM116">
        <v>2780.3470000000002</v>
      </c>
      <c r="BN116" t="s">
        <v>76</v>
      </c>
      <c r="BO116" t="s">
        <v>82</v>
      </c>
      <c r="BP116">
        <v>359.66732239999999</v>
      </c>
      <c r="BT116" t="s">
        <v>83</v>
      </c>
      <c r="BU116">
        <v>1000</v>
      </c>
      <c r="BV116" t="s">
        <v>81</v>
      </c>
      <c r="BW116">
        <v>4.4248400000000002E-3</v>
      </c>
      <c r="BX116" t="s">
        <v>74</v>
      </c>
      <c r="BY116">
        <v>4.4248399999999997</v>
      </c>
      <c r="BZ116" t="s">
        <v>75</v>
      </c>
      <c r="CA116">
        <v>4424.8389999999999</v>
      </c>
      <c r="CB116" t="s">
        <v>76</v>
      </c>
      <c r="CC116" t="s">
        <v>82</v>
      </c>
      <c r="CD116">
        <v>225.99689789999999</v>
      </c>
      <c r="CH116" t="s">
        <v>83</v>
      </c>
      <c r="CI116">
        <v>1000</v>
      </c>
      <c r="CJ116" t="s">
        <v>81</v>
      </c>
      <c r="CK116">
        <v>4.4891000000000002E-3</v>
      </c>
      <c r="CL116" t="s">
        <v>74</v>
      </c>
      <c r="CM116">
        <v>4.4890999999999996</v>
      </c>
      <c r="CN116" t="s">
        <v>75</v>
      </c>
      <c r="CO116">
        <v>4489.0959999999995</v>
      </c>
      <c r="CP116" t="s">
        <v>76</v>
      </c>
      <c r="CQ116" t="s">
        <v>82</v>
      </c>
      <c r="CR116">
        <v>222.7620148</v>
      </c>
      <c r="CV116" t="s">
        <v>83</v>
      </c>
      <c r="CW116">
        <v>1000</v>
      </c>
      <c r="CX116" t="s">
        <v>81</v>
      </c>
      <c r="CY116">
        <v>2.80058E-3</v>
      </c>
      <c r="CZ116" t="s">
        <v>74</v>
      </c>
      <c r="DA116">
        <v>2.8005800000000001</v>
      </c>
      <c r="DB116" t="s">
        <v>75</v>
      </c>
      <c r="DC116">
        <v>2800.576</v>
      </c>
      <c r="DD116" t="s">
        <v>76</v>
      </c>
      <c r="DE116" t="s">
        <v>82</v>
      </c>
      <c r="DF116">
        <v>357.06934569999999</v>
      </c>
      <c r="DJ116" t="s">
        <v>83</v>
      </c>
      <c r="DK116">
        <v>1000</v>
      </c>
      <c r="DL116" t="s">
        <v>81</v>
      </c>
      <c r="DM116">
        <v>4.5304300000000002E-3</v>
      </c>
      <c r="DN116" t="s">
        <v>74</v>
      </c>
      <c r="DO116">
        <v>4.53043</v>
      </c>
      <c r="DP116" t="s">
        <v>75</v>
      </c>
      <c r="DQ116">
        <v>4530.43</v>
      </c>
      <c r="DR116" t="s">
        <v>76</v>
      </c>
      <c r="DS116" t="s">
        <v>82</v>
      </c>
      <c r="DT116">
        <v>220.72960739999999</v>
      </c>
      <c r="DX116" t="s">
        <v>496</v>
      </c>
      <c r="DY116" t="s">
        <v>72</v>
      </c>
      <c r="DZ116">
        <v>1</v>
      </c>
      <c r="EA116" t="s">
        <v>81</v>
      </c>
      <c r="EB116">
        <v>1.1982E-2</v>
      </c>
      <c r="EC116" t="s">
        <v>74</v>
      </c>
      <c r="ED116">
        <v>11.9818</v>
      </c>
      <c r="EE116" t="s">
        <v>75</v>
      </c>
      <c r="EF116">
        <v>11981.8</v>
      </c>
      <c r="EG116" t="s">
        <v>76</v>
      </c>
      <c r="EH116" t="s">
        <v>82</v>
      </c>
      <c r="EI116">
        <v>83.459912799999998</v>
      </c>
      <c r="EL116" t="s">
        <v>496</v>
      </c>
      <c r="EM116" t="s">
        <v>72</v>
      </c>
      <c r="EN116">
        <v>1</v>
      </c>
      <c r="EO116" t="s">
        <v>81</v>
      </c>
      <c r="EP116">
        <v>3.0485999999999999E-2</v>
      </c>
      <c r="EQ116" t="s">
        <v>74</v>
      </c>
      <c r="ER116">
        <v>30.4863</v>
      </c>
      <c r="ES116" t="s">
        <v>75</v>
      </c>
      <c r="ET116">
        <v>30486.300999999999</v>
      </c>
      <c r="EU116" t="s">
        <v>76</v>
      </c>
      <c r="EV116" t="s">
        <v>82</v>
      </c>
      <c r="EW116">
        <v>32.801618499999996</v>
      </c>
      <c r="EZ116" t="s">
        <v>496</v>
      </c>
      <c r="FA116" t="s">
        <v>72</v>
      </c>
      <c r="FB116">
        <v>1</v>
      </c>
      <c r="FC116" t="s">
        <v>81</v>
      </c>
      <c r="FD116">
        <v>1.1613E-2</v>
      </c>
      <c r="FE116" t="s">
        <v>74</v>
      </c>
      <c r="FF116">
        <v>11.613</v>
      </c>
      <c r="FG116" t="s">
        <v>75</v>
      </c>
      <c r="FH116">
        <v>11613</v>
      </c>
      <c r="FI116" t="s">
        <v>76</v>
      </c>
      <c r="FJ116" t="s">
        <v>82</v>
      </c>
      <c r="FK116">
        <v>86.110392200000007</v>
      </c>
    </row>
    <row r="117" spans="1:167" x14ac:dyDescent="0.3">
      <c r="B117" t="s">
        <v>85</v>
      </c>
      <c r="C117">
        <v>1001</v>
      </c>
      <c r="D117" t="s">
        <v>86</v>
      </c>
      <c r="E117">
        <v>4.6672800000000002E-3</v>
      </c>
      <c r="F117" t="s">
        <v>74</v>
      </c>
      <c r="G117">
        <v>4.6672799999999999</v>
      </c>
      <c r="H117" t="s">
        <v>75</v>
      </c>
      <c r="I117">
        <v>4667.2839999999997</v>
      </c>
      <c r="J117" t="s">
        <v>76</v>
      </c>
      <c r="K117" t="s">
        <v>82</v>
      </c>
      <c r="L117">
        <v>214.25734879999999</v>
      </c>
      <c r="P117" t="s">
        <v>85</v>
      </c>
      <c r="Q117">
        <v>1001</v>
      </c>
      <c r="R117" t="s">
        <v>86</v>
      </c>
      <c r="S117">
        <v>3.03601E-3</v>
      </c>
      <c r="T117" t="s">
        <v>74</v>
      </c>
      <c r="U117">
        <v>3.0360100000000001</v>
      </c>
      <c r="V117" t="s">
        <v>75</v>
      </c>
      <c r="W117">
        <v>3036.011</v>
      </c>
      <c r="X117" t="s">
        <v>76</v>
      </c>
      <c r="Y117" t="s">
        <v>82</v>
      </c>
      <c r="Z117">
        <v>329.37957160000002</v>
      </c>
      <c r="AD117" t="s">
        <v>85</v>
      </c>
      <c r="AE117">
        <v>1001</v>
      </c>
      <c r="AF117" t="s">
        <v>86</v>
      </c>
      <c r="AG117">
        <v>4.66367E-3</v>
      </c>
      <c r="AH117" t="s">
        <v>74</v>
      </c>
      <c r="AI117">
        <v>4.6636699999999998</v>
      </c>
      <c r="AJ117" t="s">
        <v>75</v>
      </c>
      <c r="AK117">
        <v>4663.67</v>
      </c>
      <c r="AL117" t="s">
        <v>76</v>
      </c>
      <c r="AM117" t="s">
        <v>82</v>
      </c>
      <c r="AN117">
        <v>214.4233893</v>
      </c>
      <c r="AR117" t="s">
        <v>85</v>
      </c>
      <c r="AS117">
        <v>1001</v>
      </c>
      <c r="AT117" t="s">
        <v>86</v>
      </c>
      <c r="AU117">
        <v>4.62028E-3</v>
      </c>
      <c r="AV117" t="s">
        <v>74</v>
      </c>
      <c r="AW117">
        <v>4.6202800000000002</v>
      </c>
      <c r="AX117" t="s">
        <v>75</v>
      </c>
      <c r="AY117">
        <v>4620.2759999999998</v>
      </c>
      <c r="AZ117" t="s">
        <v>76</v>
      </c>
      <c r="BA117" t="s">
        <v>82</v>
      </c>
      <c r="BB117">
        <v>216.437297</v>
      </c>
      <c r="BF117" t="s">
        <v>85</v>
      </c>
      <c r="BG117">
        <v>1001</v>
      </c>
      <c r="BH117" t="s">
        <v>86</v>
      </c>
      <c r="BI117">
        <v>2.89807E-3</v>
      </c>
      <c r="BJ117" t="s">
        <v>74</v>
      </c>
      <c r="BK117">
        <v>2.8980700000000001</v>
      </c>
      <c r="BL117" t="s">
        <v>75</v>
      </c>
      <c r="BM117">
        <v>2898.067</v>
      </c>
      <c r="BN117" t="s">
        <v>76</v>
      </c>
      <c r="BO117" t="s">
        <v>82</v>
      </c>
      <c r="BP117">
        <v>345.05753909999999</v>
      </c>
      <c r="BT117" t="s">
        <v>85</v>
      </c>
      <c r="BU117">
        <v>1001</v>
      </c>
      <c r="BV117" t="s">
        <v>86</v>
      </c>
      <c r="BW117">
        <v>4.5418899999999998E-3</v>
      </c>
      <c r="BX117" t="s">
        <v>74</v>
      </c>
      <c r="BY117">
        <v>4.5418900000000004</v>
      </c>
      <c r="BZ117" t="s">
        <v>75</v>
      </c>
      <c r="CA117">
        <v>4541.8940000000002</v>
      </c>
      <c r="CB117" t="s">
        <v>76</v>
      </c>
      <c r="CC117" t="s">
        <v>82</v>
      </c>
      <c r="CD117">
        <v>220.17244539999999</v>
      </c>
      <c r="CH117" t="s">
        <v>85</v>
      </c>
      <c r="CI117">
        <v>1001</v>
      </c>
      <c r="CJ117" t="s">
        <v>86</v>
      </c>
      <c r="CK117">
        <v>4.6072600000000002E-3</v>
      </c>
      <c r="CL117" t="s">
        <v>74</v>
      </c>
      <c r="CM117">
        <v>4.6072600000000001</v>
      </c>
      <c r="CN117" t="s">
        <v>75</v>
      </c>
      <c r="CO117">
        <v>4607.259</v>
      </c>
      <c r="CP117" t="s">
        <v>76</v>
      </c>
      <c r="CQ117" t="s">
        <v>82</v>
      </c>
      <c r="CR117">
        <v>217.04880420000001</v>
      </c>
      <c r="CV117" t="s">
        <v>85</v>
      </c>
      <c r="CW117">
        <v>1001</v>
      </c>
      <c r="CX117" t="s">
        <v>86</v>
      </c>
      <c r="CY117">
        <v>2.9226600000000001E-3</v>
      </c>
      <c r="CZ117" t="s">
        <v>74</v>
      </c>
      <c r="DA117">
        <v>2.92266</v>
      </c>
      <c r="DB117" t="s">
        <v>75</v>
      </c>
      <c r="DC117">
        <v>2922.6550000000002</v>
      </c>
      <c r="DD117" t="s">
        <v>76</v>
      </c>
      <c r="DE117" t="s">
        <v>82</v>
      </c>
      <c r="DF117">
        <v>342.15462430000002</v>
      </c>
      <c r="DJ117" t="s">
        <v>85</v>
      </c>
      <c r="DK117">
        <v>1001</v>
      </c>
      <c r="DL117" t="s">
        <v>86</v>
      </c>
      <c r="DM117">
        <v>4.6526500000000004E-3</v>
      </c>
      <c r="DN117" t="s">
        <v>74</v>
      </c>
      <c r="DO117">
        <v>4.6526500000000004</v>
      </c>
      <c r="DP117" t="s">
        <v>75</v>
      </c>
      <c r="DQ117">
        <v>4652.6499999999996</v>
      </c>
      <c r="DR117" t="s">
        <v>76</v>
      </c>
      <c r="DS117" t="s">
        <v>82</v>
      </c>
      <c r="DT117">
        <v>214.93126620000001</v>
      </c>
      <c r="DX117" t="s">
        <v>496</v>
      </c>
      <c r="DY117" t="s">
        <v>83</v>
      </c>
      <c r="DZ117">
        <v>557</v>
      </c>
      <c r="EA117" t="s">
        <v>81</v>
      </c>
      <c r="EB117">
        <v>9.9109999999999997E-3</v>
      </c>
      <c r="EC117" t="s">
        <v>74</v>
      </c>
      <c r="ED117">
        <v>9.9109200000000008</v>
      </c>
      <c r="EE117" t="s">
        <v>75</v>
      </c>
      <c r="EF117">
        <v>9910.9210000000003</v>
      </c>
      <c r="EG117" t="s">
        <v>76</v>
      </c>
      <c r="EH117" t="s">
        <v>82</v>
      </c>
      <c r="EI117">
        <v>100.8987985</v>
      </c>
      <c r="EL117" t="s">
        <v>496</v>
      </c>
      <c r="EM117" t="s">
        <v>83</v>
      </c>
      <c r="EN117">
        <v>285</v>
      </c>
      <c r="EO117" t="s">
        <v>81</v>
      </c>
      <c r="EP117">
        <v>8.3809999999999996E-3</v>
      </c>
      <c r="EQ117" t="s">
        <v>74</v>
      </c>
      <c r="ER117">
        <v>8.3808000000000007</v>
      </c>
      <c r="ES117" t="s">
        <v>75</v>
      </c>
      <c r="ET117">
        <v>8380.7950000000001</v>
      </c>
      <c r="EU117" t="s">
        <v>76</v>
      </c>
      <c r="EV117" t="s">
        <v>82</v>
      </c>
      <c r="EW117">
        <v>119.3204173</v>
      </c>
      <c r="EZ117" t="s">
        <v>496</v>
      </c>
      <c r="FA117" t="s">
        <v>83</v>
      </c>
      <c r="FB117">
        <v>553</v>
      </c>
      <c r="FC117" t="s">
        <v>81</v>
      </c>
      <c r="FD117">
        <v>9.9170000000000005E-3</v>
      </c>
      <c r="FE117" t="s">
        <v>74</v>
      </c>
      <c r="FF117">
        <v>9.9174799999999994</v>
      </c>
      <c r="FG117" t="s">
        <v>75</v>
      </c>
      <c r="FH117">
        <v>9917.4840000000004</v>
      </c>
      <c r="FI117" t="s">
        <v>76</v>
      </c>
      <c r="FJ117" t="s">
        <v>82</v>
      </c>
      <c r="FK117">
        <v>100.8320228</v>
      </c>
    </row>
    <row r="118" spans="1:167" x14ac:dyDescent="0.3">
      <c r="DX118" t="s">
        <v>496</v>
      </c>
      <c r="DY118" t="s">
        <v>84</v>
      </c>
      <c r="DZ118">
        <v>558</v>
      </c>
      <c r="EA118" t="s">
        <v>81</v>
      </c>
      <c r="EB118">
        <v>9.9150000000000002E-3</v>
      </c>
      <c r="EC118" t="s">
        <v>74</v>
      </c>
      <c r="ED118">
        <v>9.9146300000000007</v>
      </c>
      <c r="EE118" t="s">
        <v>75</v>
      </c>
      <c r="EF118">
        <v>9914.6309999999994</v>
      </c>
      <c r="EG118" t="s">
        <v>76</v>
      </c>
      <c r="EH118" t="s">
        <v>82</v>
      </c>
      <c r="EI118">
        <v>100.8610357</v>
      </c>
      <c r="EL118" t="s">
        <v>496</v>
      </c>
      <c r="EM118" t="s">
        <v>84</v>
      </c>
      <c r="EN118">
        <v>286</v>
      </c>
      <c r="EO118" t="s">
        <v>81</v>
      </c>
      <c r="EP118">
        <v>8.4580000000000002E-3</v>
      </c>
      <c r="EQ118" t="s">
        <v>74</v>
      </c>
      <c r="ER118">
        <v>8.4580900000000003</v>
      </c>
      <c r="ES118" t="s">
        <v>75</v>
      </c>
      <c r="ET118">
        <v>8458.0879999999997</v>
      </c>
      <c r="EU118" t="s">
        <v>76</v>
      </c>
      <c r="EV118" t="s">
        <v>82</v>
      </c>
      <c r="EW118">
        <v>118.2300257</v>
      </c>
      <c r="EZ118" t="s">
        <v>496</v>
      </c>
      <c r="FA118" t="s">
        <v>84</v>
      </c>
      <c r="FB118">
        <v>554</v>
      </c>
      <c r="FC118" t="s">
        <v>81</v>
      </c>
      <c r="FD118">
        <v>9.9209999999999993E-3</v>
      </c>
      <c r="FE118" t="s">
        <v>74</v>
      </c>
      <c r="FF118">
        <v>9.9205400000000008</v>
      </c>
      <c r="FG118" t="s">
        <v>75</v>
      </c>
      <c r="FH118">
        <v>9920.5450000000001</v>
      </c>
      <c r="FI118" t="s">
        <v>76</v>
      </c>
      <c r="FJ118" t="s">
        <v>82</v>
      </c>
      <c r="FK118">
        <v>100.800918</v>
      </c>
    </row>
    <row r="119" spans="1:167" x14ac:dyDescent="0.3">
      <c r="A119">
        <v>13</v>
      </c>
      <c r="B119" t="s">
        <v>182</v>
      </c>
      <c r="O119">
        <v>13</v>
      </c>
      <c r="P119" t="s">
        <v>182</v>
      </c>
      <c r="AC119">
        <v>13</v>
      </c>
      <c r="AD119" t="s">
        <v>182</v>
      </c>
      <c r="AQ119">
        <v>13</v>
      </c>
      <c r="AR119" t="s">
        <v>310</v>
      </c>
      <c r="BE119">
        <v>13</v>
      </c>
      <c r="BF119" t="s">
        <v>310</v>
      </c>
      <c r="BS119">
        <v>13</v>
      </c>
      <c r="BT119" t="s">
        <v>310</v>
      </c>
      <c r="CG119">
        <v>13</v>
      </c>
      <c r="CH119" t="s">
        <v>426</v>
      </c>
      <c r="CU119">
        <v>13</v>
      </c>
      <c r="CV119" t="s">
        <v>426</v>
      </c>
      <c r="DI119">
        <v>13</v>
      </c>
      <c r="DJ119" t="s">
        <v>426</v>
      </c>
      <c r="DX119" t="s">
        <v>497</v>
      </c>
      <c r="DY119" t="s">
        <v>72</v>
      </c>
      <c r="DZ119">
        <v>1</v>
      </c>
      <c r="EA119" t="s">
        <v>81</v>
      </c>
      <c r="EB119">
        <v>3.5120999999999999E-2</v>
      </c>
      <c r="EC119" t="s">
        <v>74</v>
      </c>
      <c r="ED119">
        <v>35.120800000000003</v>
      </c>
      <c r="EE119" t="s">
        <v>75</v>
      </c>
      <c r="EF119">
        <v>35120.800000000003</v>
      </c>
      <c r="EG119" t="s">
        <v>76</v>
      </c>
      <c r="EH119" t="s">
        <v>82</v>
      </c>
      <c r="EI119">
        <v>28.4731554</v>
      </c>
      <c r="EL119" t="s">
        <v>497</v>
      </c>
      <c r="EM119" t="s">
        <v>72</v>
      </c>
      <c r="EN119">
        <v>1</v>
      </c>
      <c r="EO119" t="s">
        <v>81</v>
      </c>
      <c r="EP119">
        <v>9.9179999999999997E-3</v>
      </c>
      <c r="EQ119" t="s">
        <v>74</v>
      </c>
      <c r="ER119">
        <v>9.9176000000000002</v>
      </c>
      <c r="ES119" t="s">
        <v>75</v>
      </c>
      <c r="ET119">
        <v>9917.6</v>
      </c>
      <c r="EU119" t="s">
        <v>76</v>
      </c>
      <c r="EV119" t="s">
        <v>82</v>
      </c>
      <c r="EW119">
        <v>100.8308454</v>
      </c>
      <c r="EZ119" t="s">
        <v>497</v>
      </c>
      <c r="FA119" t="s">
        <v>72</v>
      </c>
      <c r="FB119">
        <v>1</v>
      </c>
      <c r="FC119" t="s">
        <v>81</v>
      </c>
      <c r="FD119">
        <v>3.0450999999999999E-2</v>
      </c>
      <c r="FE119" t="s">
        <v>74</v>
      </c>
      <c r="FF119">
        <v>30.451000000000001</v>
      </c>
      <c r="FG119" t="s">
        <v>75</v>
      </c>
      <c r="FH119">
        <v>30451</v>
      </c>
      <c r="FI119" t="s">
        <v>76</v>
      </c>
      <c r="FJ119" t="s">
        <v>82</v>
      </c>
      <c r="FK119">
        <v>32.839644300000003</v>
      </c>
    </row>
    <row r="120" spans="1:167" x14ac:dyDescent="0.3">
      <c r="B120" t="s">
        <v>72</v>
      </c>
      <c r="C120">
        <v>1</v>
      </c>
      <c r="D120" t="s">
        <v>81</v>
      </c>
      <c r="E120">
        <v>0.29793730000000002</v>
      </c>
      <c r="F120" t="s">
        <v>74</v>
      </c>
      <c r="G120">
        <v>297.93729999999999</v>
      </c>
      <c r="H120" t="s">
        <v>75</v>
      </c>
      <c r="I120">
        <v>297937.304</v>
      </c>
      <c r="J120" t="s">
        <v>76</v>
      </c>
      <c r="K120" t="s">
        <v>82</v>
      </c>
      <c r="L120">
        <v>3.3564109000000002</v>
      </c>
      <c r="P120" t="s">
        <v>72</v>
      </c>
      <c r="Q120">
        <v>1</v>
      </c>
      <c r="R120" t="s">
        <v>81</v>
      </c>
      <c r="S120">
        <v>0.2825937</v>
      </c>
      <c r="T120" t="s">
        <v>74</v>
      </c>
      <c r="U120">
        <v>282.59370000000001</v>
      </c>
      <c r="V120" t="s">
        <v>75</v>
      </c>
      <c r="W120">
        <v>282593.69699999999</v>
      </c>
      <c r="X120" t="s">
        <v>76</v>
      </c>
      <c r="Y120" t="s">
        <v>82</v>
      </c>
      <c r="Z120">
        <v>3.5386492999999999</v>
      </c>
      <c r="AD120" t="s">
        <v>72</v>
      </c>
      <c r="AE120">
        <v>1</v>
      </c>
      <c r="AF120" t="s">
        <v>81</v>
      </c>
      <c r="AG120">
        <v>0.29400429</v>
      </c>
      <c r="AH120" t="s">
        <v>74</v>
      </c>
      <c r="AI120">
        <v>294.00429000000003</v>
      </c>
      <c r="AJ120" t="s">
        <v>75</v>
      </c>
      <c r="AK120">
        <v>294004.29100000003</v>
      </c>
      <c r="AL120" t="s">
        <v>76</v>
      </c>
      <c r="AM120" t="s">
        <v>82</v>
      </c>
      <c r="AN120">
        <v>3.4013108999999999</v>
      </c>
      <c r="AR120" t="s">
        <v>72</v>
      </c>
      <c r="AS120">
        <v>1</v>
      </c>
      <c r="AT120" t="s">
        <v>81</v>
      </c>
      <c r="AU120">
        <v>0.1188959</v>
      </c>
      <c r="AV120" t="s">
        <v>74</v>
      </c>
      <c r="AW120">
        <v>118.8959</v>
      </c>
      <c r="AX120" t="s">
        <v>75</v>
      </c>
      <c r="AY120">
        <v>118895.90300000001</v>
      </c>
      <c r="AZ120" t="s">
        <v>76</v>
      </c>
      <c r="BA120" t="s">
        <v>82</v>
      </c>
      <c r="BB120">
        <v>8.4107187000000003</v>
      </c>
      <c r="BF120" t="s">
        <v>72</v>
      </c>
      <c r="BG120">
        <v>1</v>
      </c>
      <c r="BH120" t="s">
        <v>81</v>
      </c>
      <c r="BI120">
        <v>0.1181764</v>
      </c>
      <c r="BJ120" t="s">
        <v>74</v>
      </c>
      <c r="BK120">
        <v>118.1764</v>
      </c>
      <c r="BL120" t="s">
        <v>75</v>
      </c>
      <c r="BM120">
        <v>118176.401</v>
      </c>
      <c r="BN120" t="s">
        <v>76</v>
      </c>
      <c r="BO120" t="s">
        <v>82</v>
      </c>
      <c r="BP120">
        <v>8.4619263999999994</v>
      </c>
      <c r="BT120" t="s">
        <v>72</v>
      </c>
      <c r="BU120">
        <v>1</v>
      </c>
      <c r="BV120" t="s">
        <v>81</v>
      </c>
      <c r="BW120">
        <v>0.1191034</v>
      </c>
      <c r="BX120" t="s">
        <v>74</v>
      </c>
      <c r="BY120">
        <v>119.10339999999999</v>
      </c>
      <c r="BZ120" t="s">
        <v>75</v>
      </c>
      <c r="CA120">
        <v>119103.402</v>
      </c>
      <c r="CB120" t="s">
        <v>76</v>
      </c>
      <c r="CC120" t="s">
        <v>82</v>
      </c>
      <c r="CD120">
        <v>8.3960658000000006</v>
      </c>
      <c r="CH120" t="s">
        <v>72</v>
      </c>
      <c r="CI120">
        <v>1</v>
      </c>
      <c r="CJ120" t="s">
        <v>81</v>
      </c>
      <c r="CK120">
        <v>0.1224581</v>
      </c>
      <c r="CL120" t="s">
        <v>74</v>
      </c>
      <c r="CM120">
        <v>122.4581</v>
      </c>
      <c r="CN120" t="s">
        <v>75</v>
      </c>
      <c r="CO120">
        <v>122458.1</v>
      </c>
      <c r="CP120" t="s">
        <v>76</v>
      </c>
      <c r="CQ120" t="s">
        <v>82</v>
      </c>
      <c r="CR120">
        <v>8.1660584000000007</v>
      </c>
      <c r="CV120" t="s">
        <v>72</v>
      </c>
      <c r="CW120">
        <v>1</v>
      </c>
      <c r="CX120" t="s">
        <v>81</v>
      </c>
      <c r="CY120">
        <v>0.12300030000000001</v>
      </c>
      <c r="CZ120" t="s">
        <v>74</v>
      </c>
      <c r="DA120">
        <v>123.0003</v>
      </c>
      <c r="DB120" t="s">
        <v>75</v>
      </c>
      <c r="DC120">
        <v>123000.30100000001</v>
      </c>
      <c r="DD120" t="s">
        <v>76</v>
      </c>
      <c r="DE120" t="s">
        <v>82</v>
      </c>
      <c r="DF120">
        <v>8.1300614000000007</v>
      </c>
      <c r="DJ120" t="s">
        <v>72</v>
      </c>
      <c r="DK120">
        <v>1</v>
      </c>
      <c r="DL120" t="s">
        <v>81</v>
      </c>
      <c r="DM120">
        <v>0.12208140000000001</v>
      </c>
      <c r="DN120" t="s">
        <v>74</v>
      </c>
      <c r="DO120">
        <v>122.0814</v>
      </c>
      <c r="DP120" t="s">
        <v>75</v>
      </c>
      <c r="DQ120">
        <v>122081.399</v>
      </c>
      <c r="DR120" t="s">
        <v>76</v>
      </c>
      <c r="DS120" t="s">
        <v>82</v>
      </c>
      <c r="DT120">
        <v>8.1912561000000004</v>
      </c>
      <c r="DX120" t="s">
        <v>497</v>
      </c>
      <c r="DY120" t="s">
        <v>83</v>
      </c>
      <c r="DZ120">
        <v>442</v>
      </c>
      <c r="EA120" t="s">
        <v>81</v>
      </c>
      <c r="EB120">
        <v>1.2330000000000001E-2</v>
      </c>
      <c r="EC120" t="s">
        <v>74</v>
      </c>
      <c r="ED120">
        <v>12.32962</v>
      </c>
      <c r="EE120" t="s">
        <v>75</v>
      </c>
      <c r="EF120">
        <v>12329.619000000001</v>
      </c>
      <c r="EG120" t="s">
        <v>76</v>
      </c>
      <c r="EH120" t="s">
        <v>82</v>
      </c>
      <c r="EI120">
        <v>81.105504400000001</v>
      </c>
      <c r="EL120" t="s">
        <v>497</v>
      </c>
      <c r="EM120" t="s">
        <v>83</v>
      </c>
      <c r="EN120">
        <v>714</v>
      </c>
      <c r="EO120" t="s">
        <v>81</v>
      </c>
      <c r="EP120">
        <v>3.3630000000000001E-3</v>
      </c>
      <c r="EQ120" t="s">
        <v>74</v>
      </c>
      <c r="ER120">
        <v>3.3625799999999999</v>
      </c>
      <c r="ES120" t="s">
        <v>75</v>
      </c>
      <c r="ET120">
        <v>3362.5749999999998</v>
      </c>
      <c r="EU120" t="s">
        <v>76</v>
      </c>
      <c r="EV120" t="s">
        <v>82</v>
      </c>
      <c r="EW120">
        <v>297.39112169999999</v>
      </c>
      <c r="EZ120" t="s">
        <v>497</v>
      </c>
      <c r="FA120" t="s">
        <v>83</v>
      </c>
      <c r="FB120">
        <v>446</v>
      </c>
      <c r="FC120" t="s">
        <v>81</v>
      </c>
      <c r="FD120">
        <v>1.2182999999999999E-2</v>
      </c>
      <c r="FE120" t="s">
        <v>74</v>
      </c>
      <c r="FF120">
        <v>12.183160000000001</v>
      </c>
      <c r="FG120" t="s">
        <v>75</v>
      </c>
      <c r="FH120">
        <v>12183.164000000001</v>
      </c>
      <c r="FI120" t="s">
        <v>76</v>
      </c>
      <c r="FJ120" t="s">
        <v>82</v>
      </c>
      <c r="FK120">
        <v>82.080485999999993</v>
      </c>
    </row>
    <row r="121" spans="1:167" x14ac:dyDescent="0.3">
      <c r="B121" t="s">
        <v>83</v>
      </c>
      <c r="C121">
        <v>1000</v>
      </c>
      <c r="D121" t="s">
        <v>81</v>
      </c>
      <c r="E121">
        <v>3.2052399999999998E-3</v>
      </c>
      <c r="F121" t="s">
        <v>74</v>
      </c>
      <c r="G121">
        <v>3.2052399999999999</v>
      </c>
      <c r="H121" t="s">
        <v>75</v>
      </c>
      <c r="I121">
        <v>3205.2359999999999</v>
      </c>
      <c r="J121" t="s">
        <v>76</v>
      </c>
      <c r="K121" t="s">
        <v>82</v>
      </c>
      <c r="L121">
        <v>311.98948799999999</v>
      </c>
      <c r="P121" t="s">
        <v>83</v>
      </c>
      <c r="Q121">
        <v>1000</v>
      </c>
      <c r="R121" t="s">
        <v>81</v>
      </c>
      <c r="S121">
        <v>2.74807E-3</v>
      </c>
      <c r="T121" t="s">
        <v>74</v>
      </c>
      <c r="U121">
        <v>2.7480699999999998</v>
      </c>
      <c r="V121" t="s">
        <v>75</v>
      </c>
      <c r="W121">
        <v>2748.0740000000001</v>
      </c>
      <c r="X121" t="s">
        <v>76</v>
      </c>
      <c r="Y121" t="s">
        <v>82</v>
      </c>
      <c r="Z121">
        <v>363.89127569999999</v>
      </c>
      <c r="AD121" t="s">
        <v>83</v>
      </c>
      <c r="AE121">
        <v>1000</v>
      </c>
      <c r="AF121" t="s">
        <v>81</v>
      </c>
      <c r="AG121">
        <v>3.3282799999999999E-3</v>
      </c>
      <c r="AH121" t="s">
        <v>74</v>
      </c>
      <c r="AI121">
        <v>3.3282799999999999</v>
      </c>
      <c r="AJ121" t="s">
        <v>75</v>
      </c>
      <c r="AK121">
        <v>3328.2779999999998</v>
      </c>
      <c r="AL121" t="s">
        <v>76</v>
      </c>
      <c r="AM121" t="s">
        <v>82</v>
      </c>
      <c r="AN121">
        <v>300.4556437</v>
      </c>
      <c r="AR121" t="s">
        <v>83</v>
      </c>
      <c r="AS121">
        <v>1000</v>
      </c>
      <c r="AT121" t="s">
        <v>81</v>
      </c>
      <c r="AU121">
        <v>3.2464600000000001E-3</v>
      </c>
      <c r="AV121" t="s">
        <v>74</v>
      </c>
      <c r="AW121">
        <v>3.2464599999999999</v>
      </c>
      <c r="AX121" t="s">
        <v>75</v>
      </c>
      <c r="AY121">
        <v>3246.462</v>
      </c>
      <c r="AZ121" t="s">
        <v>76</v>
      </c>
      <c r="BA121" t="s">
        <v>82</v>
      </c>
      <c r="BB121">
        <v>308.0276212</v>
      </c>
      <c r="BF121" t="s">
        <v>83</v>
      </c>
      <c r="BG121">
        <v>1000</v>
      </c>
      <c r="BH121" t="s">
        <v>81</v>
      </c>
      <c r="BI121">
        <v>2.79175E-3</v>
      </c>
      <c r="BJ121" t="s">
        <v>74</v>
      </c>
      <c r="BK121">
        <v>2.79175</v>
      </c>
      <c r="BL121" t="s">
        <v>75</v>
      </c>
      <c r="BM121">
        <v>2791.748</v>
      </c>
      <c r="BN121" t="s">
        <v>76</v>
      </c>
      <c r="BO121" t="s">
        <v>82</v>
      </c>
      <c r="BP121">
        <v>358.19857450000001</v>
      </c>
      <c r="BT121" t="s">
        <v>83</v>
      </c>
      <c r="BU121">
        <v>1000</v>
      </c>
      <c r="BV121" t="s">
        <v>81</v>
      </c>
      <c r="BW121">
        <v>3.3225500000000001E-3</v>
      </c>
      <c r="BX121" t="s">
        <v>74</v>
      </c>
      <c r="BY121">
        <v>3.3225500000000001</v>
      </c>
      <c r="BZ121" t="s">
        <v>75</v>
      </c>
      <c r="CA121">
        <v>3322.5540000000001</v>
      </c>
      <c r="CB121" t="s">
        <v>76</v>
      </c>
      <c r="CC121" t="s">
        <v>82</v>
      </c>
      <c r="CD121">
        <v>300.97327730000001</v>
      </c>
      <c r="CH121" t="s">
        <v>83</v>
      </c>
      <c r="CI121">
        <v>1000</v>
      </c>
      <c r="CJ121" t="s">
        <v>81</v>
      </c>
      <c r="CK121">
        <v>3.3062500000000002E-3</v>
      </c>
      <c r="CL121" t="s">
        <v>74</v>
      </c>
      <c r="CM121">
        <v>3.3062499999999999</v>
      </c>
      <c r="CN121" t="s">
        <v>75</v>
      </c>
      <c r="CO121">
        <v>3306.2510000000002</v>
      </c>
      <c r="CP121" t="s">
        <v>76</v>
      </c>
      <c r="CQ121" t="s">
        <v>82</v>
      </c>
      <c r="CR121">
        <v>302.45741459999999</v>
      </c>
      <c r="CV121" t="s">
        <v>83</v>
      </c>
      <c r="CW121">
        <v>1000</v>
      </c>
      <c r="CX121" t="s">
        <v>81</v>
      </c>
      <c r="CY121">
        <v>2.7862799999999999E-3</v>
      </c>
      <c r="CZ121" t="s">
        <v>74</v>
      </c>
      <c r="DA121">
        <v>2.7862800000000001</v>
      </c>
      <c r="DB121" t="s">
        <v>75</v>
      </c>
      <c r="DC121">
        <v>2786.2820000000002</v>
      </c>
      <c r="DD121" t="s">
        <v>76</v>
      </c>
      <c r="DE121" t="s">
        <v>82</v>
      </c>
      <c r="DF121">
        <v>358.90117800000002</v>
      </c>
      <c r="DJ121" t="s">
        <v>83</v>
      </c>
      <c r="DK121">
        <v>1000</v>
      </c>
      <c r="DL121" t="s">
        <v>81</v>
      </c>
      <c r="DM121">
        <v>3.3676000000000001E-3</v>
      </c>
      <c r="DN121" t="s">
        <v>74</v>
      </c>
      <c r="DO121">
        <v>3.3675999999999999</v>
      </c>
      <c r="DP121" t="s">
        <v>75</v>
      </c>
      <c r="DQ121">
        <v>3367.6</v>
      </c>
      <c r="DR121" t="s">
        <v>76</v>
      </c>
      <c r="DS121" t="s">
        <v>82</v>
      </c>
      <c r="DT121">
        <v>296.94740510000003</v>
      </c>
      <c r="DX121" t="s">
        <v>497</v>
      </c>
      <c r="DY121" t="s">
        <v>84</v>
      </c>
      <c r="DZ121">
        <v>443</v>
      </c>
      <c r="EA121" t="s">
        <v>81</v>
      </c>
      <c r="EB121">
        <v>1.2381E-2</v>
      </c>
      <c r="EC121" t="s">
        <v>74</v>
      </c>
      <c r="ED121">
        <v>12.38106</v>
      </c>
      <c r="EE121" t="s">
        <v>75</v>
      </c>
      <c r="EF121">
        <v>12381.065000000001</v>
      </c>
      <c r="EG121" t="s">
        <v>76</v>
      </c>
      <c r="EH121" t="s">
        <v>82</v>
      </c>
      <c r="EI121">
        <v>80.768496299999995</v>
      </c>
      <c r="EL121" t="s">
        <v>497</v>
      </c>
      <c r="EM121" t="s">
        <v>84</v>
      </c>
      <c r="EN121">
        <v>715</v>
      </c>
      <c r="EO121" t="s">
        <v>81</v>
      </c>
      <c r="EP121">
        <v>3.372E-3</v>
      </c>
      <c r="EQ121" t="s">
        <v>74</v>
      </c>
      <c r="ER121">
        <v>3.37174</v>
      </c>
      <c r="ES121" t="s">
        <v>75</v>
      </c>
      <c r="ET121">
        <v>3371.7429999999999</v>
      </c>
      <c r="EU121" t="s">
        <v>76</v>
      </c>
      <c r="EV121" t="s">
        <v>82</v>
      </c>
      <c r="EW121">
        <v>296.58248989999998</v>
      </c>
      <c r="EZ121" t="s">
        <v>497</v>
      </c>
      <c r="FA121" t="s">
        <v>84</v>
      </c>
      <c r="FB121">
        <v>447</v>
      </c>
      <c r="FC121" t="s">
        <v>81</v>
      </c>
      <c r="FD121">
        <v>1.2224E-2</v>
      </c>
      <c r="FE121" t="s">
        <v>74</v>
      </c>
      <c r="FF121">
        <v>12.224030000000001</v>
      </c>
      <c r="FG121" t="s">
        <v>75</v>
      </c>
      <c r="FH121">
        <v>12224.032999999999</v>
      </c>
      <c r="FI121" t="s">
        <v>76</v>
      </c>
      <c r="FJ121" t="s">
        <v>82</v>
      </c>
      <c r="FK121">
        <v>81.806061200000002</v>
      </c>
    </row>
    <row r="122" spans="1:167" x14ac:dyDescent="0.3">
      <c r="B122" t="s">
        <v>85</v>
      </c>
      <c r="C122">
        <v>1001</v>
      </c>
      <c r="D122" t="s">
        <v>86</v>
      </c>
      <c r="E122">
        <v>3.4998799999999999E-3</v>
      </c>
      <c r="F122" t="s">
        <v>74</v>
      </c>
      <c r="G122">
        <v>3.4998800000000001</v>
      </c>
      <c r="H122" t="s">
        <v>75</v>
      </c>
      <c r="I122">
        <v>3499.8780000000002</v>
      </c>
      <c r="J122" t="s">
        <v>76</v>
      </c>
      <c r="K122" t="s">
        <v>82</v>
      </c>
      <c r="L122">
        <v>285.72424230000001</v>
      </c>
      <c r="P122" t="s">
        <v>85</v>
      </c>
      <c r="Q122">
        <v>1001</v>
      </c>
      <c r="R122" t="s">
        <v>86</v>
      </c>
      <c r="S122">
        <v>3.0278200000000001E-3</v>
      </c>
      <c r="T122" t="s">
        <v>74</v>
      </c>
      <c r="U122">
        <v>3.0278200000000002</v>
      </c>
      <c r="V122" t="s">
        <v>75</v>
      </c>
      <c r="W122">
        <v>3027.8159999999998</v>
      </c>
      <c r="X122" t="s">
        <v>76</v>
      </c>
      <c r="Y122" t="s">
        <v>82</v>
      </c>
      <c r="Z122">
        <v>330.27106889999999</v>
      </c>
      <c r="AD122" t="s">
        <v>85</v>
      </c>
      <c r="AE122">
        <v>1001</v>
      </c>
      <c r="AF122" t="s">
        <v>86</v>
      </c>
      <c r="AG122">
        <v>3.6188700000000002E-3</v>
      </c>
      <c r="AH122" t="s">
        <v>74</v>
      </c>
      <c r="AI122">
        <v>3.6188699999999998</v>
      </c>
      <c r="AJ122" t="s">
        <v>75</v>
      </c>
      <c r="AK122">
        <v>3618.8739999999998</v>
      </c>
      <c r="AL122" t="s">
        <v>76</v>
      </c>
      <c r="AM122" t="s">
        <v>82</v>
      </c>
      <c r="AN122">
        <v>276.32905240000002</v>
      </c>
      <c r="AR122" t="s">
        <v>85</v>
      </c>
      <c r="AS122">
        <v>1001</v>
      </c>
      <c r="AT122" t="s">
        <v>86</v>
      </c>
      <c r="AU122">
        <v>3.3621900000000001E-3</v>
      </c>
      <c r="AV122" t="s">
        <v>74</v>
      </c>
      <c r="AW122">
        <v>3.36219</v>
      </c>
      <c r="AX122" t="s">
        <v>75</v>
      </c>
      <c r="AY122">
        <v>3362.192</v>
      </c>
      <c r="AZ122" t="s">
        <v>76</v>
      </c>
      <c r="BA122" t="s">
        <v>82</v>
      </c>
      <c r="BB122">
        <v>297.42502180000002</v>
      </c>
      <c r="BF122" t="s">
        <v>85</v>
      </c>
      <c r="BG122">
        <v>1001</v>
      </c>
      <c r="BH122" t="s">
        <v>86</v>
      </c>
      <c r="BI122">
        <v>2.9072199999999999E-3</v>
      </c>
      <c r="BJ122" t="s">
        <v>74</v>
      </c>
      <c r="BK122">
        <v>2.9072200000000001</v>
      </c>
      <c r="BL122" t="s">
        <v>75</v>
      </c>
      <c r="BM122">
        <v>2907.223</v>
      </c>
      <c r="BN122" t="s">
        <v>76</v>
      </c>
      <c r="BO122" t="s">
        <v>82</v>
      </c>
      <c r="BP122">
        <v>343.97088509999998</v>
      </c>
      <c r="BT122" t="s">
        <v>85</v>
      </c>
      <c r="BU122">
        <v>1001</v>
      </c>
      <c r="BV122" t="s">
        <v>86</v>
      </c>
      <c r="BW122">
        <v>3.43838E-3</v>
      </c>
      <c r="BX122" t="s">
        <v>74</v>
      </c>
      <c r="BY122">
        <v>3.43838</v>
      </c>
      <c r="BZ122" t="s">
        <v>75</v>
      </c>
      <c r="CA122">
        <v>3438.375</v>
      </c>
      <c r="CB122" t="s">
        <v>76</v>
      </c>
      <c r="CC122" t="s">
        <v>82</v>
      </c>
      <c r="CD122">
        <v>290.83505220000001</v>
      </c>
      <c r="CH122" t="s">
        <v>85</v>
      </c>
      <c r="CI122">
        <v>1001</v>
      </c>
      <c r="CJ122" t="s">
        <v>86</v>
      </c>
      <c r="CK122">
        <v>3.4254899999999998E-3</v>
      </c>
      <c r="CL122" t="s">
        <v>74</v>
      </c>
      <c r="CM122">
        <v>3.4254899999999999</v>
      </c>
      <c r="CN122" t="s">
        <v>75</v>
      </c>
      <c r="CO122">
        <v>3425.4859999999999</v>
      </c>
      <c r="CP122" t="s">
        <v>76</v>
      </c>
      <c r="CQ122" t="s">
        <v>82</v>
      </c>
      <c r="CR122">
        <v>291.92936179999998</v>
      </c>
      <c r="CV122" t="s">
        <v>85</v>
      </c>
      <c r="CW122">
        <v>1001</v>
      </c>
      <c r="CX122" t="s">
        <v>86</v>
      </c>
      <c r="CY122">
        <v>2.9065800000000002E-3</v>
      </c>
      <c r="CZ122" t="s">
        <v>74</v>
      </c>
      <c r="DA122">
        <v>2.9065799999999999</v>
      </c>
      <c r="DB122" t="s">
        <v>75</v>
      </c>
      <c r="DC122">
        <v>2906.5790000000002</v>
      </c>
      <c r="DD122" t="s">
        <v>76</v>
      </c>
      <c r="DE122" t="s">
        <v>82</v>
      </c>
      <c r="DF122">
        <v>344.0470176</v>
      </c>
      <c r="DJ122" t="s">
        <v>85</v>
      </c>
      <c r="DK122">
        <v>1001</v>
      </c>
      <c r="DL122" t="s">
        <v>86</v>
      </c>
      <c r="DM122">
        <v>3.4864000000000002E-3</v>
      </c>
      <c r="DN122" t="s">
        <v>74</v>
      </c>
      <c r="DO122">
        <v>3.4864000000000002</v>
      </c>
      <c r="DP122" t="s">
        <v>75</v>
      </c>
      <c r="DQ122">
        <v>3486.4050000000002</v>
      </c>
      <c r="DR122" t="s">
        <v>76</v>
      </c>
      <c r="DS122" t="s">
        <v>82</v>
      </c>
      <c r="DT122">
        <v>286.82841860000002</v>
      </c>
      <c r="DX122" t="s">
        <v>498</v>
      </c>
      <c r="DY122" t="s">
        <v>72</v>
      </c>
      <c r="DZ122">
        <v>2</v>
      </c>
      <c r="EA122" t="s">
        <v>86</v>
      </c>
      <c r="EB122">
        <v>1.7562999999999999E-2</v>
      </c>
      <c r="EC122" t="s">
        <v>74</v>
      </c>
      <c r="ED122">
        <v>17.56305</v>
      </c>
      <c r="EE122" t="s">
        <v>75</v>
      </c>
      <c r="EF122">
        <v>17563.050999999999</v>
      </c>
      <c r="EG122" t="s">
        <v>76</v>
      </c>
      <c r="EH122" t="s">
        <v>82</v>
      </c>
      <c r="EI122">
        <v>56.937716700000003</v>
      </c>
      <c r="EL122" t="s">
        <v>498</v>
      </c>
      <c r="EM122" t="s">
        <v>72</v>
      </c>
      <c r="EN122">
        <v>2</v>
      </c>
      <c r="EO122" t="s">
        <v>86</v>
      </c>
      <c r="EP122">
        <v>1.5245999999999999E-2</v>
      </c>
      <c r="EQ122" t="s">
        <v>74</v>
      </c>
      <c r="ER122">
        <v>15.24605</v>
      </c>
      <c r="ES122" t="s">
        <v>75</v>
      </c>
      <c r="ET122">
        <v>15246.05</v>
      </c>
      <c r="EU122" t="s">
        <v>76</v>
      </c>
      <c r="EV122" t="s">
        <v>82</v>
      </c>
      <c r="EW122">
        <v>65.590757699999997</v>
      </c>
      <c r="EZ122" t="s">
        <v>498</v>
      </c>
      <c r="FA122" t="s">
        <v>72</v>
      </c>
      <c r="FB122">
        <v>2</v>
      </c>
      <c r="FC122" t="s">
        <v>86</v>
      </c>
      <c r="FD122">
        <v>1.5228999999999999E-2</v>
      </c>
      <c r="FE122" t="s">
        <v>74</v>
      </c>
      <c r="FF122">
        <v>15.2293</v>
      </c>
      <c r="FG122" t="s">
        <v>75</v>
      </c>
      <c r="FH122">
        <v>15229.3</v>
      </c>
      <c r="FI122" t="s">
        <v>76</v>
      </c>
      <c r="FJ122" t="s">
        <v>82</v>
      </c>
      <c r="FK122">
        <v>65.662901300000001</v>
      </c>
    </row>
    <row r="123" spans="1:167" x14ac:dyDescent="0.3">
      <c r="DX123" t="s">
        <v>498</v>
      </c>
      <c r="DY123" t="s">
        <v>83</v>
      </c>
      <c r="DZ123">
        <v>999</v>
      </c>
      <c r="EA123" t="s">
        <v>86</v>
      </c>
      <c r="EB123">
        <v>5.5259999999999997E-3</v>
      </c>
      <c r="EC123" t="s">
        <v>74</v>
      </c>
      <c r="ED123">
        <v>5.5259099999999997</v>
      </c>
      <c r="EE123" t="s">
        <v>75</v>
      </c>
      <c r="EF123">
        <v>5525.91</v>
      </c>
      <c r="EG123" t="s">
        <v>76</v>
      </c>
      <c r="EH123" t="s">
        <v>82</v>
      </c>
      <c r="EI123">
        <v>180.9656617</v>
      </c>
      <c r="EL123" t="s">
        <v>498</v>
      </c>
      <c r="EM123" t="s">
        <v>83</v>
      </c>
      <c r="EN123">
        <v>999</v>
      </c>
      <c r="EO123" t="s">
        <v>86</v>
      </c>
      <c r="EP123">
        <v>2.4199999999999998E-3</v>
      </c>
      <c r="EQ123" t="s">
        <v>74</v>
      </c>
      <c r="ER123">
        <v>2.41967</v>
      </c>
      <c r="ES123" t="s">
        <v>75</v>
      </c>
      <c r="ET123">
        <v>2419.6660000000002</v>
      </c>
      <c r="EU123" t="s">
        <v>76</v>
      </c>
      <c r="EV123" t="s">
        <v>82</v>
      </c>
      <c r="EW123">
        <v>413.28021940000002</v>
      </c>
      <c r="EZ123" t="s">
        <v>498</v>
      </c>
      <c r="FA123" t="s">
        <v>83</v>
      </c>
      <c r="FB123">
        <v>999</v>
      </c>
      <c r="FC123" t="s">
        <v>86</v>
      </c>
      <c r="FD123">
        <v>5.4949999999999999E-3</v>
      </c>
      <c r="FE123" t="s">
        <v>74</v>
      </c>
      <c r="FF123">
        <v>5.4952399999999999</v>
      </c>
      <c r="FG123" t="s">
        <v>75</v>
      </c>
      <c r="FH123">
        <v>5495.2359999999999</v>
      </c>
      <c r="FI123" t="s">
        <v>76</v>
      </c>
      <c r="FJ123" t="s">
        <v>82</v>
      </c>
      <c r="FK123">
        <v>181.9758032</v>
      </c>
    </row>
    <row r="124" spans="1:167" x14ac:dyDescent="0.3">
      <c r="B124" t="s">
        <v>183</v>
      </c>
      <c r="P124" t="s">
        <v>183</v>
      </c>
      <c r="AD124" t="s">
        <v>183</v>
      </c>
      <c r="AR124" t="s">
        <v>311</v>
      </c>
      <c r="BF124" t="s">
        <v>311</v>
      </c>
      <c r="BT124" t="s">
        <v>311</v>
      </c>
      <c r="CH124" t="s">
        <v>427</v>
      </c>
      <c r="CV124" t="s">
        <v>427</v>
      </c>
      <c r="DJ124" t="s">
        <v>427</v>
      </c>
      <c r="DX124" t="s">
        <v>498</v>
      </c>
      <c r="DY124" t="s">
        <v>85</v>
      </c>
      <c r="DZ124">
        <v>1001</v>
      </c>
      <c r="EA124" t="s">
        <v>86</v>
      </c>
      <c r="EB124">
        <v>5.5339999999999999E-3</v>
      </c>
      <c r="EC124" t="s">
        <v>74</v>
      </c>
      <c r="ED124">
        <v>5.5338900000000004</v>
      </c>
      <c r="EE124" t="s">
        <v>75</v>
      </c>
      <c r="EF124">
        <v>5533.8860000000004</v>
      </c>
      <c r="EG124" t="s">
        <v>76</v>
      </c>
      <c r="EH124" t="s">
        <v>82</v>
      </c>
      <c r="EI124">
        <v>180.704835</v>
      </c>
      <c r="EL124" t="s">
        <v>498</v>
      </c>
      <c r="EM124" t="s">
        <v>85</v>
      </c>
      <c r="EN124">
        <v>1001</v>
      </c>
      <c r="EO124" t="s">
        <v>86</v>
      </c>
      <c r="EP124">
        <v>2.428E-3</v>
      </c>
      <c r="EQ124" t="s">
        <v>74</v>
      </c>
      <c r="ER124">
        <v>2.4276599999999999</v>
      </c>
      <c r="ES124" t="s">
        <v>75</v>
      </c>
      <c r="ET124">
        <v>2427.6640000000002</v>
      </c>
      <c r="EU124" t="s">
        <v>76</v>
      </c>
      <c r="EV124" t="s">
        <v>82</v>
      </c>
      <c r="EW124">
        <v>411.91862559999998</v>
      </c>
      <c r="EZ124" t="s">
        <v>498</v>
      </c>
      <c r="FA124" t="s">
        <v>85</v>
      </c>
      <c r="FB124">
        <v>1001</v>
      </c>
      <c r="FC124" t="s">
        <v>86</v>
      </c>
      <c r="FD124">
        <v>5.5030000000000001E-3</v>
      </c>
      <c r="FE124" t="s">
        <v>74</v>
      </c>
      <c r="FF124">
        <v>5.50305</v>
      </c>
      <c r="FG124" t="s">
        <v>75</v>
      </c>
      <c r="FH124">
        <v>5503.0540000000001</v>
      </c>
      <c r="FI124" t="s">
        <v>76</v>
      </c>
      <c r="FJ124" t="s">
        <v>82</v>
      </c>
      <c r="FK124">
        <v>181.71727039999999</v>
      </c>
    </row>
    <row r="125" spans="1:167" x14ac:dyDescent="0.3">
      <c r="B125" t="s">
        <v>72</v>
      </c>
      <c r="C125">
        <v>1</v>
      </c>
      <c r="D125" t="s">
        <v>81</v>
      </c>
      <c r="E125">
        <v>7.0451000000000003E-3</v>
      </c>
      <c r="F125" t="s">
        <v>74</v>
      </c>
      <c r="G125">
        <v>7.0450999999999997</v>
      </c>
      <c r="H125" t="s">
        <v>75</v>
      </c>
      <c r="I125">
        <v>7045.1</v>
      </c>
      <c r="J125" t="s">
        <v>76</v>
      </c>
      <c r="K125" t="s">
        <v>82</v>
      </c>
      <c r="L125">
        <v>141.9426272</v>
      </c>
      <c r="P125" t="s">
        <v>72</v>
      </c>
      <c r="Q125">
        <v>1</v>
      </c>
      <c r="R125" t="s">
        <v>81</v>
      </c>
      <c r="S125">
        <v>6.9686000000000001E-3</v>
      </c>
      <c r="T125" t="s">
        <v>74</v>
      </c>
      <c r="U125">
        <v>6.9686000000000003</v>
      </c>
      <c r="V125" t="s">
        <v>75</v>
      </c>
      <c r="W125">
        <v>6968.6</v>
      </c>
      <c r="X125" t="s">
        <v>76</v>
      </c>
      <c r="Y125" t="s">
        <v>82</v>
      </c>
      <c r="Z125">
        <v>143.50084229999999</v>
      </c>
      <c r="AD125" t="s">
        <v>72</v>
      </c>
      <c r="AE125">
        <v>1</v>
      </c>
      <c r="AF125" t="s">
        <v>81</v>
      </c>
      <c r="AG125">
        <v>6.9715000000000003E-3</v>
      </c>
      <c r="AH125" t="s">
        <v>74</v>
      </c>
      <c r="AI125">
        <v>6.9714999999999998</v>
      </c>
      <c r="AJ125" t="s">
        <v>75</v>
      </c>
      <c r="AK125">
        <v>6971.5</v>
      </c>
      <c r="AL125" t="s">
        <v>76</v>
      </c>
      <c r="AM125" t="s">
        <v>82</v>
      </c>
      <c r="AN125">
        <v>143.4411557</v>
      </c>
      <c r="AR125" t="s">
        <v>72</v>
      </c>
      <c r="AS125">
        <v>1</v>
      </c>
      <c r="AT125" t="s">
        <v>81</v>
      </c>
      <c r="AU125">
        <v>5.6552E-3</v>
      </c>
      <c r="AV125" t="s">
        <v>74</v>
      </c>
      <c r="AW125">
        <v>5.6551999999999998</v>
      </c>
      <c r="AX125" t="s">
        <v>75</v>
      </c>
      <c r="AY125">
        <v>5655.2</v>
      </c>
      <c r="AZ125" t="s">
        <v>76</v>
      </c>
      <c r="BA125" t="s">
        <v>82</v>
      </c>
      <c r="BB125">
        <v>176.8283988</v>
      </c>
      <c r="BF125" t="s">
        <v>72</v>
      </c>
      <c r="BG125">
        <v>1</v>
      </c>
      <c r="BH125" t="s">
        <v>81</v>
      </c>
      <c r="BI125">
        <v>0.36916118999999997</v>
      </c>
      <c r="BJ125" t="s">
        <v>74</v>
      </c>
      <c r="BK125">
        <v>369.16118999999998</v>
      </c>
      <c r="BL125" t="s">
        <v>75</v>
      </c>
      <c r="BM125">
        <v>369161.18900000001</v>
      </c>
      <c r="BN125" t="s">
        <v>76</v>
      </c>
      <c r="BO125" t="s">
        <v>82</v>
      </c>
      <c r="BP125">
        <v>2.7088437999999999</v>
      </c>
      <c r="BT125" t="s">
        <v>72</v>
      </c>
      <c r="BU125">
        <v>1</v>
      </c>
      <c r="BV125" t="s">
        <v>81</v>
      </c>
      <c r="BW125">
        <v>5.8646999999999996E-3</v>
      </c>
      <c r="BX125" t="s">
        <v>74</v>
      </c>
      <c r="BY125">
        <v>5.8647</v>
      </c>
      <c r="BZ125" t="s">
        <v>75</v>
      </c>
      <c r="CA125">
        <v>5864.7</v>
      </c>
      <c r="CB125" t="s">
        <v>76</v>
      </c>
      <c r="CC125" t="s">
        <v>82</v>
      </c>
      <c r="CD125">
        <v>170.5117104</v>
      </c>
      <c r="CH125" t="s">
        <v>72</v>
      </c>
      <c r="CI125">
        <v>1</v>
      </c>
      <c r="CJ125" t="s">
        <v>81</v>
      </c>
      <c r="CK125">
        <v>5.2429E-3</v>
      </c>
      <c r="CL125" t="s">
        <v>74</v>
      </c>
      <c r="CM125">
        <v>5.2428999999999997</v>
      </c>
      <c r="CN125" t="s">
        <v>75</v>
      </c>
      <c r="CO125">
        <v>5242.9</v>
      </c>
      <c r="CP125" t="s">
        <v>76</v>
      </c>
      <c r="CQ125" t="s">
        <v>82</v>
      </c>
      <c r="CR125">
        <v>190.73413600000001</v>
      </c>
      <c r="CV125" t="s">
        <v>72</v>
      </c>
      <c r="CW125">
        <v>1</v>
      </c>
      <c r="CX125" t="s">
        <v>81</v>
      </c>
      <c r="CY125">
        <v>5.1933999999999999E-3</v>
      </c>
      <c r="CZ125" t="s">
        <v>74</v>
      </c>
      <c r="DA125">
        <v>5.1933999999999996</v>
      </c>
      <c r="DB125" t="s">
        <v>75</v>
      </c>
      <c r="DC125">
        <v>5193.3999999999996</v>
      </c>
      <c r="DD125" t="s">
        <v>76</v>
      </c>
      <c r="DE125" t="s">
        <v>82</v>
      </c>
      <c r="DF125">
        <v>192.55207799999999</v>
      </c>
      <c r="DJ125" t="s">
        <v>72</v>
      </c>
      <c r="DK125">
        <v>1</v>
      </c>
      <c r="DL125" t="s">
        <v>81</v>
      </c>
      <c r="DM125">
        <v>5.2732999999999999E-3</v>
      </c>
      <c r="DN125" t="s">
        <v>74</v>
      </c>
      <c r="DO125">
        <v>5.2732999999999999</v>
      </c>
      <c r="DP125" t="s">
        <v>75</v>
      </c>
      <c r="DQ125">
        <v>5273.3</v>
      </c>
      <c r="DR125" t="s">
        <v>76</v>
      </c>
      <c r="DS125" t="s">
        <v>82</v>
      </c>
      <c r="DT125">
        <v>189.63456619999999</v>
      </c>
    </row>
    <row r="126" spans="1:167" x14ac:dyDescent="0.3">
      <c r="B126" t="s">
        <v>83</v>
      </c>
      <c r="C126">
        <v>1000</v>
      </c>
      <c r="D126" t="s">
        <v>81</v>
      </c>
      <c r="E126">
        <v>3.5351900000000001E-3</v>
      </c>
      <c r="F126" t="s">
        <v>74</v>
      </c>
      <c r="G126">
        <v>3.5351900000000001</v>
      </c>
      <c r="H126" t="s">
        <v>75</v>
      </c>
      <c r="I126">
        <v>3535.1849999999999</v>
      </c>
      <c r="J126" t="s">
        <v>76</v>
      </c>
      <c r="K126" t="s">
        <v>82</v>
      </c>
      <c r="L126">
        <v>282.87060070000001</v>
      </c>
      <c r="P126" t="s">
        <v>83</v>
      </c>
      <c r="Q126">
        <v>1000</v>
      </c>
      <c r="R126" t="s">
        <v>81</v>
      </c>
      <c r="S126">
        <v>2.7459699999999999E-3</v>
      </c>
      <c r="T126" t="s">
        <v>74</v>
      </c>
      <c r="U126">
        <v>2.7459699999999998</v>
      </c>
      <c r="V126" t="s">
        <v>75</v>
      </c>
      <c r="W126">
        <v>2745.9749999999999</v>
      </c>
      <c r="X126" t="s">
        <v>76</v>
      </c>
      <c r="Y126" t="s">
        <v>82</v>
      </c>
      <c r="Z126">
        <v>364.16940449999998</v>
      </c>
      <c r="AD126" t="s">
        <v>83</v>
      </c>
      <c r="AE126">
        <v>1000</v>
      </c>
      <c r="AF126" t="s">
        <v>81</v>
      </c>
      <c r="AG126">
        <v>3.6180000000000001E-3</v>
      </c>
      <c r="AH126" t="s">
        <v>74</v>
      </c>
      <c r="AI126">
        <v>3.6179999999999999</v>
      </c>
      <c r="AJ126" t="s">
        <v>75</v>
      </c>
      <c r="AK126">
        <v>3618.0039999999999</v>
      </c>
      <c r="AL126" t="s">
        <v>76</v>
      </c>
      <c r="AM126" t="s">
        <v>82</v>
      </c>
      <c r="AN126">
        <v>276.39552320000001</v>
      </c>
      <c r="AR126" t="s">
        <v>83</v>
      </c>
      <c r="AS126">
        <v>1000</v>
      </c>
      <c r="AT126" t="s">
        <v>81</v>
      </c>
      <c r="AU126">
        <v>3.84805E-3</v>
      </c>
      <c r="AV126" t="s">
        <v>74</v>
      </c>
      <c r="AW126">
        <v>3.8480500000000002</v>
      </c>
      <c r="AX126" t="s">
        <v>75</v>
      </c>
      <c r="AY126">
        <v>3848.0450000000001</v>
      </c>
      <c r="AZ126" t="s">
        <v>76</v>
      </c>
      <c r="BA126" t="s">
        <v>82</v>
      </c>
      <c r="BB126">
        <v>259.87221340000002</v>
      </c>
      <c r="BF126" t="s">
        <v>83</v>
      </c>
      <c r="BG126">
        <v>1000</v>
      </c>
      <c r="BH126" t="s">
        <v>81</v>
      </c>
      <c r="BI126">
        <v>2.7579800000000002E-3</v>
      </c>
      <c r="BJ126" t="s">
        <v>74</v>
      </c>
      <c r="BK126">
        <v>2.7579799999999999</v>
      </c>
      <c r="BL126" t="s">
        <v>75</v>
      </c>
      <c r="BM126">
        <v>2757.9810000000002</v>
      </c>
      <c r="BN126" t="s">
        <v>76</v>
      </c>
      <c r="BO126" t="s">
        <v>82</v>
      </c>
      <c r="BP126">
        <v>362.58403920000001</v>
      </c>
      <c r="BT126" t="s">
        <v>83</v>
      </c>
      <c r="BU126">
        <v>1000</v>
      </c>
      <c r="BV126" t="s">
        <v>81</v>
      </c>
      <c r="BW126">
        <v>3.8159000000000001E-3</v>
      </c>
      <c r="BX126" t="s">
        <v>74</v>
      </c>
      <c r="BY126">
        <v>3.8159000000000001</v>
      </c>
      <c r="BZ126" t="s">
        <v>75</v>
      </c>
      <c r="CA126">
        <v>3815.8980000000001</v>
      </c>
      <c r="CB126" t="s">
        <v>76</v>
      </c>
      <c r="CC126" t="s">
        <v>82</v>
      </c>
      <c r="CD126">
        <v>262.06149979999998</v>
      </c>
      <c r="CH126" t="s">
        <v>83</v>
      </c>
      <c r="CI126">
        <v>1000</v>
      </c>
      <c r="CJ126" t="s">
        <v>81</v>
      </c>
      <c r="CK126">
        <v>3.8169499999999999E-3</v>
      </c>
      <c r="CL126" t="s">
        <v>74</v>
      </c>
      <c r="CM126">
        <v>3.8169499999999998</v>
      </c>
      <c r="CN126" t="s">
        <v>75</v>
      </c>
      <c r="CO126">
        <v>3816.95</v>
      </c>
      <c r="CP126" t="s">
        <v>76</v>
      </c>
      <c r="CQ126" t="s">
        <v>82</v>
      </c>
      <c r="CR126">
        <v>261.98927900000001</v>
      </c>
      <c r="CV126" t="s">
        <v>83</v>
      </c>
      <c r="CW126">
        <v>1000</v>
      </c>
      <c r="CX126" t="s">
        <v>81</v>
      </c>
      <c r="CY126">
        <v>2.7698900000000001E-3</v>
      </c>
      <c r="CZ126" t="s">
        <v>74</v>
      </c>
      <c r="DA126">
        <v>2.7698900000000002</v>
      </c>
      <c r="DB126" t="s">
        <v>75</v>
      </c>
      <c r="DC126">
        <v>2769.8879999999999</v>
      </c>
      <c r="DD126" t="s">
        <v>76</v>
      </c>
      <c r="DE126" t="s">
        <v>82</v>
      </c>
      <c r="DF126">
        <v>361.02543759999998</v>
      </c>
      <c r="DJ126" t="s">
        <v>83</v>
      </c>
      <c r="DK126">
        <v>1000</v>
      </c>
      <c r="DL126" t="s">
        <v>81</v>
      </c>
      <c r="DM126">
        <v>3.9113999999999998E-3</v>
      </c>
      <c r="DN126" t="s">
        <v>74</v>
      </c>
      <c r="DO126">
        <v>3.9114</v>
      </c>
      <c r="DP126" t="s">
        <v>75</v>
      </c>
      <c r="DQ126">
        <v>3911.4009999999998</v>
      </c>
      <c r="DR126" t="s">
        <v>76</v>
      </c>
      <c r="DS126" t="s">
        <v>82</v>
      </c>
      <c r="DT126">
        <v>255.662882</v>
      </c>
      <c r="DW126">
        <v>9</v>
      </c>
      <c r="DX126" t="s">
        <v>518</v>
      </c>
      <c r="EK126">
        <v>9</v>
      </c>
      <c r="EL126" t="s">
        <v>518</v>
      </c>
      <c r="EY126">
        <v>9</v>
      </c>
      <c r="EZ126" t="s">
        <v>518</v>
      </c>
    </row>
    <row r="127" spans="1:167" x14ac:dyDescent="0.3">
      <c r="B127" t="s">
        <v>85</v>
      </c>
      <c r="C127">
        <v>1001</v>
      </c>
      <c r="D127" t="s">
        <v>86</v>
      </c>
      <c r="E127">
        <v>3.5388699999999999E-3</v>
      </c>
      <c r="F127" t="s">
        <v>74</v>
      </c>
      <c r="G127">
        <v>3.5388700000000002</v>
      </c>
      <c r="H127" t="s">
        <v>75</v>
      </c>
      <c r="I127">
        <v>3538.8710000000001</v>
      </c>
      <c r="J127" t="s">
        <v>76</v>
      </c>
      <c r="K127" t="s">
        <v>82</v>
      </c>
      <c r="L127">
        <v>282.57603269999998</v>
      </c>
      <c r="P127" t="s">
        <v>85</v>
      </c>
      <c r="Q127">
        <v>1001</v>
      </c>
      <c r="R127" t="s">
        <v>86</v>
      </c>
      <c r="S127">
        <v>2.7503499999999999E-3</v>
      </c>
      <c r="T127" t="s">
        <v>74</v>
      </c>
      <c r="U127">
        <v>2.7503500000000001</v>
      </c>
      <c r="V127" t="s">
        <v>75</v>
      </c>
      <c r="W127">
        <v>2750.3510000000001</v>
      </c>
      <c r="X127" t="s">
        <v>76</v>
      </c>
      <c r="Y127" t="s">
        <v>82</v>
      </c>
      <c r="Z127">
        <v>363.58992510000002</v>
      </c>
      <c r="AD127" t="s">
        <v>85</v>
      </c>
      <c r="AE127">
        <v>1001</v>
      </c>
      <c r="AF127" t="s">
        <v>86</v>
      </c>
      <c r="AG127">
        <v>3.6215599999999998E-3</v>
      </c>
      <c r="AH127" t="s">
        <v>74</v>
      </c>
      <c r="AI127">
        <v>3.6215600000000001</v>
      </c>
      <c r="AJ127" t="s">
        <v>75</v>
      </c>
      <c r="AK127">
        <v>3621.5619999999999</v>
      </c>
      <c r="AL127" t="s">
        <v>76</v>
      </c>
      <c r="AM127" t="s">
        <v>82</v>
      </c>
      <c r="AN127">
        <v>276.12396530000001</v>
      </c>
      <c r="AR127" t="s">
        <v>85</v>
      </c>
      <c r="AS127">
        <v>1001</v>
      </c>
      <c r="AT127" t="s">
        <v>86</v>
      </c>
      <c r="AU127">
        <v>3.8501E-3</v>
      </c>
      <c r="AV127" t="s">
        <v>74</v>
      </c>
      <c r="AW127">
        <v>3.8500999999999999</v>
      </c>
      <c r="AX127" t="s">
        <v>75</v>
      </c>
      <c r="AY127">
        <v>3850.098</v>
      </c>
      <c r="AZ127" t="s">
        <v>76</v>
      </c>
      <c r="BA127" t="s">
        <v>82</v>
      </c>
      <c r="BB127">
        <v>259.73367919999998</v>
      </c>
      <c r="BF127" t="s">
        <v>85</v>
      </c>
      <c r="BG127">
        <v>1001</v>
      </c>
      <c r="BH127" t="s">
        <v>86</v>
      </c>
      <c r="BI127">
        <v>3.1242000000000002E-3</v>
      </c>
      <c r="BJ127" t="s">
        <v>74</v>
      </c>
      <c r="BK127">
        <v>3.1242000000000001</v>
      </c>
      <c r="BL127" t="s">
        <v>75</v>
      </c>
      <c r="BM127">
        <v>3124.1979999999999</v>
      </c>
      <c r="BN127" t="s">
        <v>76</v>
      </c>
      <c r="BO127" t="s">
        <v>82</v>
      </c>
      <c r="BP127">
        <v>320.08219480000002</v>
      </c>
      <c r="BT127" t="s">
        <v>85</v>
      </c>
      <c r="BU127">
        <v>1001</v>
      </c>
      <c r="BV127" t="s">
        <v>86</v>
      </c>
      <c r="BW127">
        <v>3.81819E-3</v>
      </c>
      <c r="BX127" t="s">
        <v>74</v>
      </c>
      <c r="BY127">
        <v>3.81819</v>
      </c>
      <c r="BZ127" t="s">
        <v>75</v>
      </c>
      <c r="CA127">
        <v>3818.19</v>
      </c>
      <c r="CB127" t="s">
        <v>76</v>
      </c>
      <c r="CC127" t="s">
        <v>82</v>
      </c>
      <c r="CD127">
        <v>261.90422089999998</v>
      </c>
      <c r="CH127" t="s">
        <v>85</v>
      </c>
      <c r="CI127">
        <v>1001</v>
      </c>
      <c r="CJ127" t="s">
        <v>86</v>
      </c>
      <c r="CK127">
        <v>3.8185900000000002E-3</v>
      </c>
      <c r="CL127" t="s">
        <v>74</v>
      </c>
      <c r="CM127">
        <v>3.8185899999999999</v>
      </c>
      <c r="CN127" t="s">
        <v>75</v>
      </c>
      <c r="CO127">
        <v>3818.585</v>
      </c>
      <c r="CP127" t="s">
        <v>76</v>
      </c>
      <c r="CQ127" t="s">
        <v>82</v>
      </c>
      <c r="CR127">
        <v>261.8771031</v>
      </c>
      <c r="CV127" t="s">
        <v>85</v>
      </c>
      <c r="CW127">
        <v>1001</v>
      </c>
      <c r="CX127" t="s">
        <v>86</v>
      </c>
      <c r="CY127">
        <v>2.7724799999999999E-3</v>
      </c>
      <c r="CZ127" t="s">
        <v>74</v>
      </c>
      <c r="DA127">
        <v>2.7724799999999998</v>
      </c>
      <c r="DB127" t="s">
        <v>75</v>
      </c>
      <c r="DC127">
        <v>2772.4780000000001</v>
      </c>
      <c r="DD127" t="s">
        <v>76</v>
      </c>
      <c r="DE127" t="s">
        <v>82</v>
      </c>
      <c r="DF127">
        <v>360.6882008</v>
      </c>
      <c r="DJ127" t="s">
        <v>85</v>
      </c>
      <c r="DK127">
        <v>1001</v>
      </c>
      <c r="DL127" t="s">
        <v>86</v>
      </c>
      <c r="DM127">
        <v>3.9129500000000001E-3</v>
      </c>
      <c r="DN127" t="s">
        <v>74</v>
      </c>
      <c r="DO127">
        <v>3.9129499999999999</v>
      </c>
      <c r="DP127" t="s">
        <v>75</v>
      </c>
      <c r="DQ127">
        <v>3912.953</v>
      </c>
      <c r="DR127" t="s">
        <v>76</v>
      </c>
      <c r="DS127" t="s">
        <v>82</v>
      </c>
      <c r="DT127">
        <v>255.56144190000001</v>
      </c>
      <c r="DX127" t="s">
        <v>496</v>
      </c>
      <c r="DY127" t="s">
        <v>72</v>
      </c>
      <c r="DZ127">
        <v>1</v>
      </c>
      <c r="EA127" t="s">
        <v>81</v>
      </c>
      <c r="EB127">
        <v>0.48987799999999998</v>
      </c>
      <c r="EC127" t="s">
        <v>74</v>
      </c>
      <c r="ED127">
        <v>489.8777</v>
      </c>
      <c r="EE127" t="s">
        <v>75</v>
      </c>
      <c r="EF127">
        <v>489877.701</v>
      </c>
      <c r="EG127" t="s">
        <v>76</v>
      </c>
      <c r="EH127" t="s">
        <v>82</v>
      </c>
      <c r="EI127">
        <v>2.0413258000000001</v>
      </c>
      <c r="EL127" t="s">
        <v>496</v>
      </c>
      <c r="EM127" t="s">
        <v>72</v>
      </c>
      <c r="EN127">
        <v>1</v>
      </c>
      <c r="EO127" t="s">
        <v>81</v>
      </c>
      <c r="EP127">
        <v>0.49325000000000002</v>
      </c>
      <c r="EQ127" t="s">
        <v>74</v>
      </c>
      <c r="ER127">
        <v>493.25018999999998</v>
      </c>
      <c r="ES127" t="s">
        <v>75</v>
      </c>
      <c r="ET127">
        <v>493250.19099999999</v>
      </c>
      <c r="EU127" t="s">
        <v>76</v>
      </c>
      <c r="EV127" t="s">
        <v>82</v>
      </c>
      <c r="EW127">
        <v>2.0273686999999998</v>
      </c>
      <c r="EZ127" t="s">
        <v>496</v>
      </c>
      <c r="FA127" t="s">
        <v>72</v>
      </c>
      <c r="FB127">
        <v>1</v>
      </c>
      <c r="FC127" t="s">
        <v>81</v>
      </c>
      <c r="FD127">
        <v>0.49360199999999999</v>
      </c>
      <c r="FE127" t="s">
        <v>74</v>
      </c>
      <c r="FF127">
        <v>493.60210000000001</v>
      </c>
      <c r="FG127" t="s">
        <v>75</v>
      </c>
      <c r="FH127">
        <v>493602.09700000001</v>
      </c>
      <c r="FI127" t="s">
        <v>76</v>
      </c>
      <c r="FJ127" t="s">
        <v>82</v>
      </c>
      <c r="FK127">
        <v>2.0259233000000001</v>
      </c>
    </row>
    <row r="128" spans="1:167" x14ac:dyDescent="0.3">
      <c r="DX128" t="s">
        <v>496</v>
      </c>
      <c r="DY128" t="s">
        <v>83</v>
      </c>
      <c r="DZ128">
        <v>539</v>
      </c>
      <c r="EA128" t="s">
        <v>81</v>
      </c>
      <c r="EB128">
        <v>1.993E-3</v>
      </c>
      <c r="EC128" t="s">
        <v>74</v>
      </c>
      <c r="ED128">
        <v>1.9931000000000001</v>
      </c>
      <c r="EE128" t="s">
        <v>75</v>
      </c>
      <c r="EF128">
        <v>1993.1010000000001</v>
      </c>
      <c r="EG128" t="s">
        <v>76</v>
      </c>
      <c r="EH128" t="s">
        <v>82</v>
      </c>
      <c r="EI128">
        <v>501.7307131</v>
      </c>
      <c r="EL128" t="s">
        <v>496</v>
      </c>
      <c r="EM128" t="s">
        <v>83</v>
      </c>
      <c r="EN128">
        <v>621</v>
      </c>
      <c r="EO128" t="s">
        <v>81</v>
      </c>
      <c r="EP128">
        <v>1.7016E-2</v>
      </c>
      <c r="EQ128" t="s">
        <v>74</v>
      </c>
      <c r="ER128">
        <v>17.015709999999999</v>
      </c>
      <c r="ES128" t="s">
        <v>75</v>
      </c>
      <c r="ET128">
        <v>17015.708999999999</v>
      </c>
      <c r="EU128" t="s">
        <v>76</v>
      </c>
      <c r="EV128" t="s">
        <v>82</v>
      </c>
      <c r="EW128">
        <v>58.769223199999999</v>
      </c>
      <c r="EZ128" t="s">
        <v>496</v>
      </c>
      <c r="FA128" t="s">
        <v>83</v>
      </c>
      <c r="FB128">
        <v>620</v>
      </c>
      <c r="FC128" t="s">
        <v>81</v>
      </c>
      <c r="FD128">
        <v>1.5845000000000001E-2</v>
      </c>
      <c r="FE128" t="s">
        <v>74</v>
      </c>
      <c r="FF128">
        <v>15.84484</v>
      </c>
      <c r="FG128" t="s">
        <v>75</v>
      </c>
      <c r="FH128">
        <v>15844.839</v>
      </c>
      <c r="FI128" t="s">
        <v>76</v>
      </c>
      <c r="FJ128" t="s">
        <v>82</v>
      </c>
      <c r="FK128">
        <v>63.112033500000003</v>
      </c>
    </row>
    <row r="129" spans="1:167" x14ac:dyDescent="0.3">
      <c r="A129">
        <v>14</v>
      </c>
      <c r="B129" t="s">
        <v>189</v>
      </c>
      <c r="O129">
        <v>14</v>
      </c>
      <c r="P129" t="s">
        <v>189</v>
      </c>
      <c r="AC129">
        <v>14</v>
      </c>
      <c r="AD129" t="s">
        <v>189</v>
      </c>
      <c r="AQ129">
        <v>14</v>
      </c>
      <c r="AR129" t="s">
        <v>315</v>
      </c>
      <c r="BE129">
        <v>14</v>
      </c>
      <c r="BF129" t="s">
        <v>315</v>
      </c>
      <c r="BS129">
        <v>14</v>
      </c>
      <c r="BT129" t="s">
        <v>315</v>
      </c>
      <c r="CG129">
        <v>14</v>
      </c>
      <c r="CH129" t="s">
        <v>431</v>
      </c>
      <c r="CU129">
        <v>14</v>
      </c>
      <c r="CV129" t="s">
        <v>431</v>
      </c>
      <c r="DI129">
        <v>14</v>
      </c>
      <c r="DJ129" t="s">
        <v>431</v>
      </c>
      <c r="DX129" t="s">
        <v>496</v>
      </c>
      <c r="DY129" t="s">
        <v>84</v>
      </c>
      <c r="DZ129">
        <v>540</v>
      </c>
      <c r="EA129" t="s">
        <v>81</v>
      </c>
      <c r="EB129">
        <v>2.8969999999999998E-3</v>
      </c>
      <c r="EC129" t="s">
        <v>74</v>
      </c>
      <c r="ED129">
        <v>2.8965900000000002</v>
      </c>
      <c r="EE129" t="s">
        <v>75</v>
      </c>
      <c r="EF129">
        <v>2896.5920000000001</v>
      </c>
      <c r="EG129" t="s">
        <v>76</v>
      </c>
      <c r="EH129" t="s">
        <v>82</v>
      </c>
      <c r="EI129">
        <v>345.23330549999997</v>
      </c>
      <c r="EL129" t="s">
        <v>496</v>
      </c>
      <c r="EM129" t="s">
        <v>84</v>
      </c>
      <c r="EN129">
        <v>622</v>
      </c>
      <c r="EO129" t="s">
        <v>81</v>
      </c>
      <c r="EP129">
        <v>1.7781000000000002E-2</v>
      </c>
      <c r="EQ129" t="s">
        <v>74</v>
      </c>
      <c r="ER129">
        <v>17.781359999999999</v>
      </c>
      <c r="ES129" t="s">
        <v>75</v>
      </c>
      <c r="ET129">
        <v>17781.363000000001</v>
      </c>
      <c r="EU129" t="s">
        <v>76</v>
      </c>
      <c r="EV129" t="s">
        <v>82</v>
      </c>
      <c r="EW129">
        <v>56.238657099999998</v>
      </c>
      <c r="EZ129" t="s">
        <v>496</v>
      </c>
      <c r="FA129" t="s">
        <v>84</v>
      </c>
      <c r="FB129">
        <v>621</v>
      </c>
      <c r="FC129" t="s">
        <v>81</v>
      </c>
      <c r="FD129">
        <v>1.6614E-2</v>
      </c>
      <c r="FE129" t="s">
        <v>74</v>
      </c>
      <c r="FF129">
        <v>16.614170000000001</v>
      </c>
      <c r="FG129" t="s">
        <v>75</v>
      </c>
      <c r="FH129">
        <v>16614.169000000002</v>
      </c>
      <c r="FI129" t="s">
        <v>76</v>
      </c>
      <c r="FJ129" t="s">
        <v>82</v>
      </c>
      <c r="FK129">
        <v>60.189588299999997</v>
      </c>
    </row>
    <row r="130" spans="1:167" x14ac:dyDescent="0.3">
      <c r="B130" t="s">
        <v>72</v>
      </c>
      <c r="C130">
        <v>1</v>
      </c>
      <c r="D130" t="s">
        <v>81</v>
      </c>
      <c r="E130">
        <v>0.36319818999999998</v>
      </c>
      <c r="F130" t="s">
        <v>74</v>
      </c>
      <c r="G130">
        <v>363.19819000000001</v>
      </c>
      <c r="H130" t="s">
        <v>75</v>
      </c>
      <c r="I130">
        <v>363198.19099999999</v>
      </c>
      <c r="J130" t="s">
        <v>76</v>
      </c>
      <c r="K130" t="s">
        <v>82</v>
      </c>
      <c r="L130">
        <v>2.7533177000000002</v>
      </c>
      <c r="P130" t="s">
        <v>72</v>
      </c>
      <c r="Q130">
        <v>1</v>
      </c>
      <c r="R130" t="s">
        <v>81</v>
      </c>
      <c r="S130">
        <v>0.37512451000000002</v>
      </c>
      <c r="T130" t="s">
        <v>74</v>
      </c>
      <c r="U130">
        <v>375.12450999999999</v>
      </c>
      <c r="V130" t="s">
        <v>75</v>
      </c>
      <c r="W130">
        <v>375124.51400000002</v>
      </c>
      <c r="X130" t="s">
        <v>76</v>
      </c>
      <c r="Y130" t="s">
        <v>82</v>
      </c>
      <c r="Z130">
        <v>2.6657815</v>
      </c>
      <c r="AD130" t="s">
        <v>72</v>
      </c>
      <c r="AE130">
        <v>1</v>
      </c>
      <c r="AF130" t="s">
        <v>81</v>
      </c>
      <c r="AG130">
        <v>0.36690381</v>
      </c>
      <c r="AH130" t="s">
        <v>74</v>
      </c>
      <c r="AI130">
        <v>366.90381000000002</v>
      </c>
      <c r="AJ130" t="s">
        <v>75</v>
      </c>
      <c r="AK130">
        <v>366903.81199999998</v>
      </c>
      <c r="AL130" t="s">
        <v>76</v>
      </c>
      <c r="AM130" t="s">
        <v>82</v>
      </c>
      <c r="AN130">
        <v>2.7255099999999999</v>
      </c>
      <c r="AR130" t="s">
        <v>72</v>
      </c>
      <c r="AS130">
        <v>1</v>
      </c>
      <c r="AT130" t="s">
        <v>81</v>
      </c>
      <c r="AU130">
        <v>0.1397303</v>
      </c>
      <c r="AV130" t="s">
        <v>74</v>
      </c>
      <c r="AW130">
        <v>139.7303</v>
      </c>
      <c r="AX130" t="s">
        <v>75</v>
      </c>
      <c r="AY130">
        <v>139730.304</v>
      </c>
      <c r="AZ130" t="s">
        <v>76</v>
      </c>
      <c r="BA130" t="s">
        <v>82</v>
      </c>
      <c r="BB130">
        <v>7.1566437000000001</v>
      </c>
      <c r="BF130" t="s">
        <v>72</v>
      </c>
      <c r="BG130">
        <v>1</v>
      </c>
      <c r="BH130" t="s">
        <v>81</v>
      </c>
      <c r="BI130">
        <v>0.13988819999999999</v>
      </c>
      <c r="BJ130" t="s">
        <v>74</v>
      </c>
      <c r="BK130">
        <v>139.88820000000001</v>
      </c>
      <c r="BL130" t="s">
        <v>75</v>
      </c>
      <c r="BM130">
        <v>139888.19699999999</v>
      </c>
      <c r="BN130" t="s">
        <v>76</v>
      </c>
      <c r="BO130" t="s">
        <v>82</v>
      </c>
      <c r="BP130">
        <v>7.1485659000000004</v>
      </c>
      <c r="BT130" t="s">
        <v>72</v>
      </c>
      <c r="BU130">
        <v>1</v>
      </c>
      <c r="BV130" t="s">
        <v>81</v>
      </c>
      <c r="BW130">
        <v>0.1392186</v>
      </c>
      <c r="BX130" t="s">
        <v>74</v>
      </c>
      <c r="BY130">
        <v>139.21860000000001</v>
      </c>
      <c r="BZ130" t="s">
        <v>75</v>
      </c>
      <c r="CA130">
        <v>139218.59899999999</v>
      </c>
      <c r="CB130" t="s">
        <v>76</v>
      </c>
      <c r="CC130" t="s">
        <v>82</v>
      </c>
      <c r="CD130">
        <v>7.1829482999999996</v>
      </c>
      <c r="CH130" t="s">
        <v>72</v>
      </c>
      <c r="CI130">
        <v>1</v>
      </c>
      <c r="CJ130" t="s">
        <v>81</v>
      </c>
      <c r="CK130">
        <v>0.14360118999999999</v>
      </c>
      <c r="CL130" t="s">
        <v>74</v>
      </c>
      <c r="CM130">
        <v>143.60119</v>
      </c>
      <c r="CN130" t="s">
        <v>75</v>
      </c>
      <c r="CO130">
        <v>143601.19399999999</v>
      </c>
      <c r="CP130" t="s">
        <v>76</v>
      </c>
      <c r="CQ130" t="s">
        <v>82</v>
      </c>
      <c r="CR130">
        <v>6.9637304000000002</v>
      </c>
      <c r="CV130" t="s">
        <v>72</v>
      </c>
      <c r="CW130">
        <v>1</v>
      </c>
      <c r="CX130" t="s">
        <v>81</v>
      </c>
      <c r="CY130">
        <v>0.145285</v>
      </c>
      <c r="CZ130" t="s">
        <v>74</v>
      </c>
      <c r="DA130">
        <v>145.285</v>
      </c>
      <c r="DB130" t="s">
        <v>75</v>
      </c>
      <c r="DC130">
        <v>145284.995</v>
      </c>
      <c r="DD130" t="s">
        <v>76</v>
      </c>
      <c r="DE130" t="s">
        <v>82</v>
      </c>
      <c r="DF130">
        <v>6.8830232000000002</v>
      </c>
      <c r="DJ130" t="s">
        <v>72</v>
      </c>
      <c r="DK130">
        <v>1</v>
      </c>
      <c r="DL130" t="s">
        <v>81</v>
      </c>
      <c r="DM130">
        <v>0.14673248999999999</v>
      </c>
      <c r="DN130" t="s">
        <v>74</v>
      </c>
      <c r="DO130">
        <v>146.73249000000001</v>
      </c>
      <c r="DP130" t="s">
        <v>75</v>
      </c>
      <c r="DQ130">
        <v>146732.49400000001</v>
      </c>
      <c r="DR130" t="s">
        <v>76</v>
      </c>
      <c r="DS130" t="s">
        <v>82</v>
      </c>
      <c r="DT130">
        <v>6.8151229999999998</v>
      </c>
      <c r="DX130" t="s">
        <v>497</v>
      </c>
      <c r="DY130" t="s">
        <v>72</v>
      </c>
      <c r="DZ130">
        <v>1</v>
      </c>
      <c r="EA130" t="s">
        <v>81</v>
      </c>
      <c r="EB130">
        <v>0.19337099999999999</v>
      </c>
      <c r="EC130" t="s">
        <v>74</v>
      </c>
      <c r="ED130">
        <v>193.37120999999999</v>
      </c>
      <c r="EE130" t="s">
        <v>75</v>
      </c>
      <c r="EF130">
        <v>193371.20699999999</v>
      </c>
      <c r="EG130" t="s">
        <v>76</v>
      </c>
      <c r="EH130" t="s">
        <v>82</v>
      </c>
      <c r="EI130">
        <v>5.1714007000000004</v>
      </c>
      <c r="EL130" t="s">
        <v>497</v>
      </c>
      <c r="EM130" t="s">
        <v>72</v>
      </c>
      <c r="EN130">
        <v>1</v>
      </c>
      <c r="EO130" t="s">
        <v>81</v>
      </c>
      <c r="EP130">
        <v>0.18823899999999999</v>
      </c>
      <c r="EQ130" t="s">
        <v>74</v>
      </c>
      <c r="ER130">
        <v>188.23920000000001</v>
      </c>
      <c r="ES130" t="s">
        <v>75</v>
      </c>
      <c r="ET130">
        <v>188239.20199999999</v>
      </c>
      <c r="EU130" t="s">
        <v>76</v>
      </c>
      <c r="EV130" t="s">
        <v>82</v>
      </c>
      <c r="EW130">
        <v>5.3123896999999998</v>
      </c>
      <c r="EZ130" t="s">
        <v>497</v>
      </c>
      <c r="FA130" t="s">
        <v>72</v>
      </c>
      <c r="FB130">
        <v>1</v>
      </c>
      <c r="FC130" t="s">
        <v>81</v>
      </c>
      <c r="FD130">
        <v>0.192187</v>
      </c>
      <c r="FE130" t="s">
        <v>74</v>
      </c>
      <c r="FF130">
        <v>192.18700000000001</v>
      </c>
      <c r="FG130" t="s">
        <v>75</v>
      </c>
      <c r="FH130">
        <v>192186.99600000001</v>
      </c>
      <c r="FI130" t="s">
        <v>76</v>
      </c>
      <c r="FJ130" t="s">
        <v>82</v>
      </c>
      <c r="FK130">
        <v>5.2032657000000002</v>
      </c>
    </row>
    <row r="131" spans="1:167" x14ac:dyDescent="0.3">
      <c r="B131" t="s">
        <v>83</v>
      </c>
      <c r="C131">
        <v>1000</v>
      </c>
      <c r="D131" t="s">
        <v>81</v>
      </c>
      <c r="E131">
        <v>5.3507700000000004E-3</v>
      </c>
      <c r="F131" t="s">
        <v>74</v>
      </c>
      <c r="G131">
        <v>5.3507699999999998</v>
      </c>
      <c r="H131" t="s">
        <v>75</v>
      </c>
      <c r="I131">
        <v>5350.7709999999997</v>
      </c>
      <c r="J131" t="s">
        <v>76</v>
      </c>
      <c r="K131" t="s">
        <v>82</v>
      </c>
      <c r="L131">
        <v>186.8889566</v>
      </c>
      <c r="P131" t="s">
        <v>83</v>
      </c>
      <c r="Q131">
        <v>1000</v>
      </c>
      <c r="R131" t="s">
        <v>81</v>
      </c>
      <c r="S131">
        <v>2.7647399999999999E-3</v>
      </c>
      <c r="T131" t="s">
        <v>74</v>
      </c>
      <c r="U131">
        <v>2.7647400000000002</v>
      </c>
      <c r="V131" t="s">
        <v>75</v>
      </c>
      <c r="W131">
        <v>2764.7440000000001</v>
      </c>
      <c r="X131" t="s">
        <v>76</v>
      </c>
      <c r="Y131" t="s">
        <v>82</v>
      </c>
      <c r="Z131">
        <v>361.69713519999999</v>
      </c>
      <c r="AD131" t="s">
        <v>83</v>
      </c>
      <c r="AE131">
        <v>1000</v>
      </c>
      <c r="AF131" t="s">
        <v>81</v>
      </c>
      <c r="AG131">
        <v>5.3046500000000002E-3</v>
      </c>
      <c r="AH131" t="s">
        <v>74</v>
      </c>
      <c r="AI131">
        <v>5.3046499999999996</v>
      </c>
      <c r="AJ131" t="s">
        <v>75</v>
      </c>
      <c r="AK131">
        <v>5304.6490000000003</v>
      </c>
      <c r="AL131" t="s">
        <v>76</v>
      </c>
      <c r="AM131" t="s">
        <v>82</v>
      </c>
      <c r="AN131">
        <v>188.513891</v>
      </c>
      <c r="AR131" t="s">
        <v>83</v>
      </c>
      <c r="AS131">
        <v>1000</v>
      </c>
      <c r="AT131" t="s">
        <v>81</v>
      </c>
      <c r="AU131">
        <v>4.8287199999999999E-3</v>
      </c>
      <c r="AV131" t="s">
        <v>74</v>
      </c>
      <c r="AW131">
        <v>4.8287199999999997</v>
      </c>
      <c r="AX131" t="s">
        <v>75</v>
      </c>
      <c r="AY131">
        <v>4828.72</v>
      </c>
      <c r="AZ131" t="s">
        <v>76</v>
      </c>
      <c r="BA131" t="s">
        <v>82</v>
      </c>
      <c r="BB131">
        <v>207.09423609999999</v>
      </c>
      <c r="BF131" t="s">
        <v>83</v>
      </c>
      <c r="BG131">
        <v>1000</v>
      </c>
      <c r="BH131" t="s">
        <v>81</v>
      </c>
      <c r="BI131">
        <v>2.7860699999999999E-3</v>
      </c>
      <c r="BJ131" t="s">
        <v>74</v>
      </c>
      <c r="BK131">
        <v>2.78607</v>
      </c>
      <c r="BL131" t="s">
        <v>75</v>
      </c>
      <c r="BM131">
        <v>2786.0740000000001</v>
      </c>
      <c r="BN131" t="s">
        <v>76</v>
      </c>
      <c r="BO131" t="s">
        <v>82</v>
      </c>
      <c r="BP131">
        <v>358.92805190000001</v>
      </c>
      <c r="BT131" t="s">
        <v>83</v>
      </c>
      <c r="BU131">
        <v>1000</v>
      </c>
      <c r="BV131" t="s">
        <v>81</v>
      </c>
      <c r="BW131">
        <v>4.9647700000000003E-3</v>
      </c>
      <c r="BX131" t="s">
        <v>74</v>
      </c>
      <c r="BY131">
        <v>4.9647699999999997</v>
      </c>
      <c r="BZ131" t="s">
        <v>75</v>
      </c>
      <c r="CA131">
        <v>4964.7700000000004</v>
      </c>
      <c r="CB131" t="s">
        <v>76</v>
      </c>
      <c r="CC131" t="s">
        <v>82</v>
      </c>
      <c r="CD131">
        <v>201.41918680000001</v>
      </c>
      <c r="CH131" t="s">
        <v>83</v>
      </c>
      <c r="CI131">
        <v>1000</v>
      </c>
      <c r="CJ131" t="s">
        <v>81</v>
      </c>
      <c r="CK131">
        <v>4.8934499999999997E-3</v>
      </c>
      <c r="CL131" t="s">
        <v>74</v>
      </c>
      <c r="CM131">
        <v>4.8934499999999996</v>
      </c>
      <c r="CN131" t="s">
        <v>75</v>
      </c>
      <c r="CO131">
        <v>4893.4459999999999</v>
      </c>
      <c r="CP131" t="s">
        <v>76</v>
      </c>
      <c r="CQ131" t="s">
        <v>82</v>
      </c>
      <c r="CR131">
        <v>204.35494919999999</v>
      </c>
      <c r="CV131" t="s">
        <v>83</v>
      </c>
      <c r="CW131">
        <v>1000</v>
      </c>
      <c r="CX131" t="s">
        <v>81</v>
      </c>
      <c r="CY131">
        <v>2.7991299999999999E-3</v>
      </c>
      <c r="CZ131" t="s">
        <v>74</v>
      </c>
      <c r="DA131">
        <v>2.7991299999999999</v>
      </c>
      <c r="DB131" t="s">
        <v>75</v>
      </c>
      <c r="DC131">
        <v>2799.13</v>
      </c>
      <c r="DD131" t="s">
        <v>76</v>
      </c>
      <c r="DE131" t="s">
        <v>82</v>
      </c>
      <c r="DF131">
        <v>357.25380489999998</v>
      </c>
      <c r="DJ131" t="s">
        <v>83</v>
      </c>
      <c r="DK131">
        <v>1000</v>
      </c>
      <c r="DL131" t="s">
        <v>81</v>
      </c>
      <c r="DM131">
        <v>4.96116E-3</v>
      </c>
      <c r="DN131" t="s">
        <v>74</v>
      </c>
      <c r="DO131">
        <v>4.9611599999999996</v>
      </c>
      <c r="DP131" t="s">
        <v>75</v>
      </c>
      <c r="DQ131">
        <v>4961.1639999999998</v>
      </c>
      <c r="DR131" t="s">
        <v>76</v>
      </c>
      <c r="DS131" t="s">
        <v>82</v>
      </c>
      <c r="DT131">
        <v>201.5655811</v>
      </c>
      <c r="DX131" t="s">
        <v>497</v>
      </c>
      <c r="DY131" t="s">
        <v>83</v>
      </c>
      <c r="DZ131">
        <v>460</v>
      </c>
      <c r="EA131" t="s">
        <v>81</v>
      </c>
      <c r="EB131">
        <v>2.947E-3</v>
      </c>
      <c r="EC131" t="s">
        <v>74</v>
      </c>
      <c r="ED131">
        <v>2.9473400000000001</v>
      </c>
      <c r="EE131" t="s">
        <v>75</v>
      </c>
      <c r="EF131">
        <v>2947.3389999999999</v>
      </c>
      <c r="EG131" t="s">
        <v>76</v>
      </c>
      <c r="EH131" t="s">
        <v>82</v>
      </c>
      <c r="EI131">
        <v>339.28906819999997</v>
      </c>
      <c r="EL131" t="s">
        <v>497</v>
      </c>
      <c r="EM131" t="s">
        <v>83</v>
      </c>
      <c r="EN131">
        <v>378</v>
      </c>
      <c r="EO131" t="s">
        <v>81</v>
      </c>
      <c r="EP131">
        <v>2.8761999999999999E-2</v>
      </c>
      <c r="EQ131" t="s">
        <v>74</v>
      </c>
      <c r="ER131">
        <v>28.761700000000001</v>
      </c>
      <c r="ES131" t="s">
        <v>75</v>
      </c>
      <c r="ET131">
        <v>28761.705000000002</v>
      </c>
      <c r="EU131" t="s">
        <v>76</v>
      </c>
      <c r="EV131" t="s">
        <v>82</v>
      </c>
      <c r="EW131">
        <v>34.768453700000002</v>
      </c>
      <c r="EZ131" t="s">
        <v>497</v>
      </c>
      <c r="FA131" t="s">
        <v>83</v>
      </c>
      <c r="FB131">
        <v>379</v>
      </c>
      <c r="FC131" t="s">
        <v>81</v>
      </c>
      <c r="FD131">
        <v>2.6634999999999999E-2</v>
      </c>
      <c r="FE131" t="s">
        <v>74</v>
      </c>
      <c r="FF131">
        <v>26.634640000000001</v>
      </c>
      <c r="FG131" t="s">
        <v>75</v>
      </c>
      <c r="FH131">
        <v>26634.638999999999</v>
      </c>
      <c r="FI131" t="s">
        <v>76</v>
      </c>
      <c r="FJ131" t="s">
        <v>82</v>
      </c>
      <c r="FK131">
        <v>37.545093000000001</v>
      </c>
    </row>
    <row r="132" spans="1:167" x14ac:dyDescent="0.3">
      <c r="B132" t="s">
        <v>85</v>
      </c>
      <c r="C132">
        <v>1001</v>
      </c>
      <c r="D132" t="s">
        <v>86</v>
      </c>
      <c r="E132">
        <v>5.7084600000000003E-3</v>
      </c>
      <c r="F132" t="s">
        <v>74</v>
      </c>
      <c r="G132">
        <v>5.7084599999999996</v>
      </c>
      <c r="H132" t="s">
        <v>75</v>
      </c>
      <c r="I132">
        <v>5708.4629999999997</v>
      </c>
      <c r="J132" t="s">
        <v>76</v>
      </c>
      <c r="K132" t="s">
        <v>82</v>
      </c>
      <c r="L132">
        <v>175.17848950000001</v>
      </c>
      <c r="P132" t="s">
        <v>85</v>
      </c>
      <c r="Q132">
        <v>1001</v>
      </c>
      <c r="R132" t="s">
        <v>86</v>
      </c>
      <c r="S132">
        <v>3.1369599999999998E-3</v>
      </c>
      <c r="T132" t="s">
        <v>74</v>
      </c>
      <c r="U132">
        <v>3.1369600000000002</v>
      </c>
      <c r="V132" t="s">
        <v>75</v>
      </c>
      <c r="W132">
        <v>3136.9609999999998</v>
      </c>
      <c r="X132" t="s">
        <v>76</v>
      </c>
      <c r="Y132" t="s">
        <v>82</v>
      </c>
      <c r="Z132">
        <v>318.77987430000002</v>
      </c>
      <c r="AD132" t="s">
        <v>85</v>
      </c>
      <c r="AE132">
        <v>1001</v>
      </c>
      <c r="AF132" t="s">
        <v>86</v>
      </c>
      <c r="AG132">
        <v>5.6660900000000004E-3</v>
      </c>
      <c r="AH132" t="s">
        <v>74</v>
      </c>
      <c r="AI132">
        <v>5.6660899999999996</v>
      </c>
      <c r="AJ132" t="s">
        <v>75</v>
      </c>
      <c r="AK132">
        <v>5666.0870000000004</v>
      </c>
      <c r="AL132" t="s">
        <v>76</v>
      </c>
      <c r="AM132" t="s">
        <v>82</v>
      </c>
      <c r="AN132">
        <v>176.488632</v>
      </c>
      <c r="AR132" t="s">
        <v>85</v>
      </c>
      <c r="AS132">
        <v>1001</v>
      </c>
      <c r="AT132" t="s">
        <v>86</v>
      </c>
      <c r="AU132">
        <v>4.9636899999999998E-3</v>
      </c>
      <c r="AV132" t="s">
        <v>74</v>
      </c>
      <c r="AW132">
        <v>4.9636899999999997</v>
      </c>
      <c r="AX132" t="s">
        <v>75</v>
      </c>
      <c r="AY132">
        <v>4963.6909999999998</v>
      </c>
      <c r="AZ132" t="s">
        <v>76</v>
      </c>
      <c r="BA132" t="s">
        <v>82</v>
      </c>
      <c r="BB132">
        <v>201.46298630000001</v>
      </c>
      <c r="BF132" t="s">
        <v>85</v>
      </c>
      <c r="BG132">
        <v>1001</v>
      </c>
      <c r="BH132" t="s">
        <v>86</v>
      </c>
      <c r="BI132">
        <v>2.9232699999999999E-3</v>
      </c>
      <c r="BJ132" t="s">
        <v>74</v>
      </c>
      <c r="BK132">
        <v>2.92327</v>
      </c>
      <c r="BL132" t="s">
        <v>75</v>
      </c>
      <c r="BM132">
        <v>2923.2710000000002</v>
      </c>
      <c r="BN132" t="s">
        <v>76</v>
      </c>
      <c r="BO132" t="s">
        <v>82</v>
      </c>
      <c r="BP132">
        <v>342.08256</v>
      </c>
      <c r="BT132" t="s">
        <v>85</v>
      </c>
      <c r="BU132">
        <v>1001</v>
      </c>
      <c r="BV132" t="s">
        <v>86</v>
      </c>
      <c r="BW132">
        <v>5.0990999999999996E-3</v>
      </c>
      <c r="BX132" t="s">
        <v>74</v>
      </c>
      <c r="BY132">
        <v>5.0991</v>
      </c>
      <c r="BZ132" t="s">
        <v>75</v>
      </c>
      <c r="CA132">
        <v>5099.1030000000001</v>
      </c>
      <c r="CB132" t="s">
        <v>76</v>
      </c>
      <c r="CC132" t="s">
        <v>82</v>
      </c>
      <c r="CD132">
        <v>196.1129177</v>
      </c>
      <c r="CH132" t="s">
        <v>85</v>
      </c>
      <c r="CI132">
        <v>1001</v>
      </c>
      <c r="CJ132" t="s">
        <v>86</v>
      </c>
      <c r="CK132">
        <v>5.0322199999999996E-3</v>
      </c>
      <c r="CL132" t="s">
        <v>74</v>
      </c>
      <c r="CM132">
        <v>5.0322199999999997</v>
      </c>
      <c r="CN132" t="s">
        <v>75</v>
      </c>
      <c r="CO132">
        <v>5032.2190000000001</v>
      </c>
      <c r="CP132" t="s">
        <v>76</v>
      </c>
      <c r="CQ132" t="s">
        <v>82</v>
      </c>
      <c r="CR132">
        <v>198.71948130000001</v>
      </c>
      <c r="CV132" t="s">
        <v>85</v>
      </c>
      <c r="CW132">
        <v>1001</v>
      </c>
      <c r="CX132" t="s">
        <v>86</v>
      </c>
      <c r="CY132">
        <v>2.9417100000000002E-3</v>
      </c>
      <c r="CZ132" t="s">
        <v>74</v>
      </c>
      <c r="DA132">
        <v>2.94171</v>
      </c>
      <c r="DB132" t="s">
        <v>75</v>
      </c>
      <c r="DC132">
        <v>2941.7069999999999</v>
      </c>
      <c r="DD132" t="s">
        <v>76</v>
      </c>
      <c r="DE132" t="s">
        <v>82</v>
      </c>
      <c r="DF132">
        <v>339.93867770000003</v>
      </c>
      <c r="DJ132" t="s">
        <v>85</v>
      </c>
      <c r="DK132">
        <v>1001</v>
      </c>
      <c r="DL132" t="s">
        <v>86</v>
      </c>
      <c r="DM132">
        <v>5.10298E-3</v>
      </c>
      <c r="DN132" t="s">
        <v>74</v>
      </c>
      <c r="DO132">
        <v>5.1029799999999996</v>
      </c>
      <c r="DP132" t="s">
        <v>75</v>
      </c>
      <c r="DQ132">
        <v>5102.9809999999998</v>
      </c>
      <c r="DR132" t="s">
        <v>76</v>
      </c>
      <c r="DS132" t="s">
        <v>82</v>
      </c>
      <c r="DT132">
        <v>195.96388010000001</v>
      </c>
      <c r="DX132" t="s">
        <v>497</v>
      </c>
      <c r="DY132" t="s">
        <v>84</v>
      </c>
      <c r="DZ132">
        <v>461</v>
      </c>
      <c r="EA132" t="s">
        <v>81</v>
      </c>
      <c r="EB132">
        <v>3.3600000000000001E-3</v>
      </c>
      <c r="EC132" t="s">
        <v>74</v>
      </c>
      <c r="ED132">
        <v>3.3604099999999999</v>
      </c>
      <c r="EE132" t="s">
        <v>75</v>
      </c>
      <c r="EF132">
        <v>3360.4070000000002</v>
      </c>
      <c r="EG132" t="s">
        <v>76</v>
      </c>
      <c r="EH132" t="s">
        <v>82</v>
      </c>
      <c r="EI132">
        <v>297.5830052</v>
      </c>
      <c r="EL132" t="s">
        <v>497</v>
      </c>
      <c r="EM132" t="s">
        <v>84</v>
      </c>
      <c r="EN132">
        <v>379</v>
      </c>
      <c r="EO132" t="s">
        <v>81</v>
      </c>
      <c r="EP132">
        <v>2.9182E-2</v>
      </c>
      <c r="EQ132" t="s">
        <v>74</v>
      </c>
      <c r="ER132">
        <v>29.182480000000002</v>
      </c>
      <c r="ES132" t="s">
        <v>75</v>
      </c>
      <c r="ET132">
        <v>29182.484</v>
      </c>
      <c r="EU132" t="s">
        <v>76</v>
      </c>
      <c r="EV132" t="s">
        <v>82</v>
      </c>
      <c r="EW132">
        <v>34.267130399999999</v>
      </c>
      <c r="EZ132" t="s">
        <v>497</v>
      </c>
      <c r="FA132" t="s">
        <v>84</v>
      </c>
      <c r="FB132">
        <v>380</v>
      </c>
      <c r="FC132" t="s">
        <v>81</v>
      </c>
      <c r="FD132">
        <v>2.707E-2</v>
      </c>
      <c r="FE132" t="s">
        <v>74</v>
      </c>
      <c r="FF132">
        <v>27.0703</v>
      </c>
      <c r="FG132" t="s">
        <v>75</v>
      </c>
      <c r="FH132">
        <v>27070.300999999999</v>
      </c>
      <c r="FI132" t="s">
        <v>76</v>
      </c>
      <c r="FJ132" t="s">
        <v>82</v>
      </c>
      <c r="FK132">
        <v>36.940852</v>
      </c>
    </row>
    <row r="133" spans="1:167" x14ac:dyDescent="0.3">
      <c r="DX133" t="s">
        <v>498</v>
      </c>
      <c r="DY133" t="s">
        <v>72</v>
      </c>
      <c r="DZ133">
        <v>2</v>
      </c>
      <c r="EA133" t="s">
        <v>86</v>
      </c>
      <c r="EB133">
        <v>0.24496000000000001</v>
      </c>
      <c r="EC133" t="s">
        <v>74</v>
      </c>
      <c r="ED133">
        <v>244.9597</v>
      </c>
      <c r="EE133" t="s">
        <v>75</v>
      </c>
      <c r="EF133">
        <v>244959.69699999999</v>
      </c>
      <c r="EG133" t="s">
        <v>76</v>
      </c>
      <c r="EH133" t="s">
        <v>82</v>
      </c>
      <c r="EI133">
        <v>4.0823042000000003</v>
      </c>
      <c r="EL133" t="s">
        <v>498</v>
      </c>
      <c r="EM133" t="s">
        <v>72</v>
      </c>
      <c r="EN133">
        <v>2</v>
      </c>
      <c r="EO133" t="s">
        <v>86</v>
      </c>
      <c r="EP133">
        <v>0.24665300000000001</v>
      </c>
      <c r="EQ133" t="s">
        <v>74</v>
      </c>
      <c r="ER133">
        <v>246.65334999999999</v>
      </c>
      <c r="ES133" t="s">
        <v>75</v>
      </c>
      <c r="ET133">
        <v>246653.348</v>
      </c>
      <c r="EU133" t="s">
        <v>76</v>
      </c>
      <c r="EV133" t="s">
        <v>82</v>
      </c>
      <c r="EW133">
        <v>4.0542730000000002</v>
      </c>
      <c r="EZ133" t="s">
        <v>498</v>
      </c>
      <c r="FA133" t="s">
        <v>72</v>
      </c>
      <c r="FB133">
        <v>2</v>
      </c>
      <c r="FC133" t="s">
        <v>86</v>
      </c>
      <c r="FD133">
        <v>0.24682899999999999</v>
      </c>
      <c r="FE133" t="s">
        <v>74</v>
      </c>
      <c r="FF133">
        <v>246.8289</v>
      </c>
      <c r="FG133" t="s">
        <v>75</v>
      </c>
      <c r="FH133">
        <v>246828.899</v>
      </c>
      <c r="FI133" t="s">
        <v>76</v>
      </c>
      <c r="FJ133" t="s">
        <v>82</v>
      </c>
      <c r="FK133">
        <v>4.0513895</v>
      </c>
    </row>
    <row r="134" spans="1:167" x14ac:dyDescent="0.3">
      <c r="B134" t="s">
        <v>190</v>
      </c>
      <c r="P134" t="s">
        <v>190</v>
      </c>
      <c r="AD134" t="s">
        <v>190</v>
      </c>
      <c r="AR134" t="s">
        <v>316</v>
      </c>
      <c r="BF134" t="s">
        <v>316</v>
      </c>
      <c r="BT134" t="s">
        <v>316</v>
      </c>
      <c r="CH134" t="s">
        <v>432</v>
      </c>
      <c r="CV134" t="s">
        <v>432</v>
      </c>
      <c r="DJ134" t="s">
        <v>432</v>
      </c>
      <c r="DX134" t="s">
        <v>498</v>
      </c>
      <c r="DY134" t="s">
        <v>83</v>
      </c>
      <c r="DZ134">
        <v>999</v>
      </c>
      <c r="EA134" t="s">
        <v>86</v>
      </c>
      <c r="EB134">
        <v>1.377E-3</v>
      </c>
      <c r="EC134" t="s">
        <v>74</v>
      </c>
      <c r="ED134">
        <v>1.3767499999999999</v>
      </c>
      <c r="EE134" t="s">
        <v>75</v>
      </c>
      <c r="EF134">
        <v>1376.748</v>
      </c>
      <c r="EG134" t="s">
        <v>76</v>
      </c>
      <c r="EH134" t="s">
        <v>82</v>
      </c>
      <c r="EI134">
        <v>726.34942020000005</v>
      </c>
      <c r="EL134" t="s">
        <v>498</v>
      </c>
      <c r="EM134" t="s">
        <v>83</v>
      </c>
      <c r="EN134">
        <v>999</v>
      </c>
      <c r="EO134" t="s">
        <v>86</v>
      </c>
      <c r="EP134">
        <v>1.0884E-2</v>
      </c>
      <c r="EQ134" t="s">
        <v>74</v>
      </c>
      <c r="ER134">
        <v>10.88372</v>
      </c>
      <c r="ES134" t="s">
        <v>75</v>
      </c>
      <c r="ET134">
        <v>10883.722</v>
      </c>
      <c r="EU134" t="s">
        <v>76</v>
      </c>
      <c r="EV134" t="s">
        <v>82</v>
      </c>
      <c r="EW134">
        <v>91.880335000000002</v>
      </c>
      <c r="EZ134" t="s">
        <v>498</v>
      </c>
      <c r="FA134" t="s">
        <v>83</v>
      </c>
      <c r="FB134">
        <v>999</v>
      </c>
      <c r="FC134" t="s">
        <v>86</v>
      </c>
      <c r="FD134">
        <v>1.0123E-2</v>
      </c>
      <c r="FE134" t="s">
        <v>74</v>
      </c>
      <c r="FF134">
        <v>10.122920000000001</v>
      </c>
      <c r="FG134" t="s">
        <v>75</v>
      </c>
      <c r="FH134">
        <v>10122.918</v>
      </c>
      <c r="FI134" t="s">
        <v>76</v>
      </c>
      <c r="FJ134" t="s">
        <v>82</v>
      </c>
      <c r="FK134">
        <v>98.785747400000005</v>
      </c>
    </row>
    <row r="135" spans="1:167" x14ac:dyDescent="0.3">
      <c r="B135" t="s">
        <v>72</v>
      </c>
      <c r="C135">
        <v>1</v>
      </c>
      <c r="D135" t="s">
        <v>81</v>
      </c>
      <c r="E135">
        <v>9.4566000000000008E-3</v>
      </c>
      <c r="F135" t="s">
        <v>74</v>
      </c>
      <c r="G135">
        <v>9.4565999999999999</v>
      </c>
      <c r="H135" t="s">
        <v>75</v>
      </c>
      <c r="I135">
        <v>9456.6</v>
      </c>
      <c r="J135" t="s">
        <v>76</v>
      </c>
      <c r="K135" t="s">
        <v>82</v>
      </c>
      <c r="L135">
        <v>105.7462506</v>
      </c>
      <c r="P135" t="s">
        <v>72</v>
      </c>
      <c r="Q135">
        <v>1</v>
      </c>
      <c r="R135" t="s">
        <v>81</v>
      </c>
      <c r="S135">
        <v>9.2260999999999992E-3</v>
      </c>
      <c r="T135" t="s">
        <v>74</v>
      </c>
      <c r="U135">
        <v>9.2261000000000006</v>
      </c>
      <c r="V135" t="s">
        <v>75</v>
      </c>
      <c r="W135">
        <v>9226.1</v>
      </c>
      <c r="X135" t="s">
        <v>76</v>
      </c>
      <c r="Y135" t="s">
        <v>82</v>
      </c>
      <c r="Z135">
        <v>108.3881645</v>
      </c>
      <c r="AD135" t="s">
        <v>72</v>
      </c>
      <c r="AE135">
        <v>1</v>
      </c>
      <c r="AF135" t="s">
        <v>81</v>
      </c>
      <c r="AG135">
        <v>9.1149999999999998E-3</v>
      </c>
      <c r="AH135" t="s">
        <v>74</v>
      </c>
      <c r="AI135">
        <v>9.1150000000000002</v>
      </c>
      <c r="AJ135" t="s">
        <v>75</v>
      </c>
      <c r="AK135">
        <v>9115</v>
      </c>
      <c r="AL135" t="s">
        <v>76</v>
      </c>
      <c r="AM135" t="s">
        <v>82</v>
      </c>
      <c r="AN135">
        <v>109.7092674</v>
      </c>
      <c r="AR135" t="s">
        <v>72</v>
      </c>
      <c r="AS135">
        <v>1</v>
      </c>
      <c r="AT135" t="s">
        <v>81</v>
      </c>
      <c r="AU135">
        <v>7.3271999999999999E-3</v>
      </c>
      <c r="AV135" t="s">
        <v>74</v>
      </c>
      <c r="AW135">
        <v>7.3272000000000004</v>
      </c>
      <c r="AX135" t="s">
        <v>75</v>
      </c>
      <c r="AY135">
        <v>7327.2</v>
      </c>
      <c r="AZ135" t="s">
        <v>76</v>
      </c>
      <c r="BA135" t="s">
        <v>82</v>
      </c>
      <c r="BB135">
        <v>136.47778299999999</v>
      </c>
      <c r="BF135" t="s">
        <v>72</v>
      </c>
      <c r="BG135">
        <v>1</v>
      </c>
      <c r="BH135" t="s">
        <v>81</v>
      </c>
      <c r="BI135">
        <v>0.14708909000000001</v>
      </c>
      <c r="BJ135" t="s">
        <v>74</v>
      </c>
      <c r="BK135">
        <v>147.08909</v>
      </c>
      <c r="BL135" t="s">
        <v>75</v>
      </c>
      <c r="BM135">
        <v>147089.09400000001</v>
      </c>
      <c r="BN135" t="s">
        <v>76</v>
      </c>
      <c r="BO135" t="s">
        <v>82</v>
      </c>
      <c r="BP135">
        <v>6.7986006000000003</v>
      </c>
      <c r="BT135" t="s">
        <v>72</v>
      </c>
      <c r="BU135">
        <v>1</v>
      </c>
      <c r="BV135" t="s">
        <v>81</v>
      </c>
      <c r="BW135">
        <v>7.1634999999999997E-3</v>
      </c>
      <c r="BX135" t="s">
        <v>74</v>
      </c>
      <c r="BY135">
        <v>7.1635</v>
      </c>
      <c r="BZ135" t="s">
        <v>75</v>
      </c>
      <c r="CA135">
        <v>7163.5</v>
      </c>
      <c r="CB135" t="s">
        <v>76</v>
      </c>
      <c r="CC135" t="s">
        <v>82</v>
      </c>
      <c r="CD135">
        <v>139.5965669</v>
      </c>
      <c r="CH135" t="s">
        <v>72</v>
      </c>
      <c r="CI135">
        <v>1</v>
      </c>
      <c r="CJ135" t="s">
        <v>81</v>
      </c>
      <c r="CK135">
        <v>6.9106000000000002E-3</v>
      </c>
      <c r="CL135" t="s">
        <v>74</v>
      </c>
      <c r="CM135">
        <v>6.9105999999999996</v>
      </c>
      <c r="CN135" t="s">
        <v>75</v>
      </c>
      <c r="CO135">
        <v>6910.6</v>
      </c>
      <c r="CP135" t="s">
        <v>76</v>
      </c>
      <c r="CQ135" t="s">
        <v>82</v>
      </c>
      <c r="CR135">
        <v>144.70524030000001</v>
      </c>
      <c r="CV135" t="s">
        <v>72</v>
      </c>
      <c r="CW135">
        <v>1</v>
      </c>
      <c r="CX135" t="s">
        <v>81</v>
      </c>
      <c r="CY135">
        <v>6.6942E-3</v>
      </c>
      <c r="CZ135" t="s">
        <v>74</v>
      </c>
      <c r="DA135">
        <v>6.6942000000000004</v>
      </c>
      <c r="DB135" t="s">
        <v>75</v>
      </c>
      <c r="DC135">
        <v>6694.2</v>
      </c>
      <c r="DD135" t="s">
        <v>76</v>
      </c>
      <c r="DE135" t="s">
        <v>82</v>
      </c>
      <c r="DF135">
        <v>149.38304840000001</v>
      </c>
      <c r="DJ135" t="s">
        <v>72</v>
      </c>
      <c r="DK135">
        <v>1</v>
      </c>
      <c r="DL135" t="s">
        <v>81</v>
      </c>
      <c r="DM135">
        <v>6.7238000000000003E-3</v>
      </c>
      <c r="DN135" t="s">
        <v>74</v>
      </c>
      <c r="DO135">
        <v>6.7237999999999998</v>
      </c>
      <c r="DP135" t="s">
        <v>75</v>
      </c>
      <c r="DQ135">
        <v>6723.8</v>
      </c>
      <c r="DR135" t="s">
        <v>76</v>
      </c>
      <c r="DS135" t="s">
        <v>82</v>
      </c>
      <c r="DT135">
        <v>148.72541849999999</v>
      </c>
      <c r="DX135" t="s">
        <v>498</v>
      </c>
      <c r="DY135" t="s">
        <v>85</v>
      </c>
      <c r="DZ135">
        <v>1001</v>
      </c>
      <c r="EA135" t="s">
        <v>86</v>
      </c>
      <c r="EB135">
        <v>1.57E-3</v>
      </c>
      <c r="EC135" t="s">
        <v>74</v>
      </c>
      <c r="ED135">
        <v>1.56985</v>
      </c>
      <c r="EE135" t="s">
        <v>75</v>
      </c>
      <c r="EF135">
        <v>1569.85</v>
      </c>
      <c r="EG135" t="s">
        <v>76</v>
      </c>
      <c r="EH135" t="s">
        <v>82</v>
      </c>
      <c r="EI135">
        <v>637.00349310000001</v>
      </c>
      <c r="EL135" t="s">
        <v>498</v>
      </c>
      <c r="EM135" t="s">
        <v>85</v>
      </c>
      <c r="EN135">
        <v>1001</v>
      </c>
      <c r="EO135" t="s">
        <v>86</v>
      </c>
      <c r="EP135">
        <v>1.1069000000000001E-2</v>
      </c>
      <c r="EQ135" t="s">
        <v>74</v>
      </c>
      <c r="ER135">
        <v>11.06894</v>
      </c>
      <c r="ES135" t="s">
        <v>75</v>
      </c>
      <c r="ET135">
        <v>11068.942999999999</v>
      </c>
      <c r="EU135" t="s">
        <v>76</v>
      </c>
      <c r="EV135" t="s">
        <v>82</v>
      </c>
      <c r="EW135">
        <v>90.342859799999999</v>
      </c>
      <c r="EZ135" t="s">
        <v>498</v>
      </c>
      <c r="FA135" t="s">
        <v>85</v>
      </c>
      <c r="FB135">
        <v>1001</v>
      </c>
      <c r="FC135" t="s">
        <v>86</v>
      </c>
      <c r="FD135">
        <v>1.0314E-2</v>
      </c>
      <c r="FE135" t="s">
        <v>74</v>
      </c>
      <c r="FF135">
        <v>10.314019999999999</v>
      </c>
      <c r="FG135" t="s">
        <v>75</v>
      </c>
      <c r="FH135">
        <v>10314.016</v>
      </c>
      <c r="FI135" t="s">
        <v>76</v>
      </c>
      <c r="FJ135" t="s">
        <v>82</v>
      </c>
      <c r="FK135">
        <v>96.955440999999993</v>
      </c>
    </row>
    <row r="136" spans="1:167" x14ac:dyDescent="0.3">
      <c r="B136" t="s">
        <v>83</v>
      </c>
      <c r="C136">
        <v>1000</v>
      </c>
      <c r="D136" t="s">
        <v>81</v>
      </c>
      <c r="E136">
        <v>5.4673899999999999E-3</v>
      </c>
      <c r="F136" t="s">
        <v>74</v>
      </c>
      <c r="G136">
        <v>5.46739</v>
      </c>
      <c r="H136" t="s">
        <v>75</v>
      </c>
      <c r="I136">
        <v>5467.3890000000001</v>
      </c>
      <c r="J136" t="s">
        <v>76</v>
      </c>
      <c r="K136" t="s">
        <v>82</v>
      </c>
      <c r="L136">
        <v>182.90267399999999</v>
      </c>
      <c r="P136" t="s">
        <v>83</v>
      </c>
      <c r="Q136">
        <v>1000</v>
      </c>
      <c r="R136" t="s">
        <v>81</v>
      </c>
      <c r="S136">
        <v>2.77437E-3</v>
      </c>
      <c r="T136" t="s">
        <v>74</v>
      </c>
      <c r="U136">
        <v>2.7743699999999998</v>
      </c>
      <c r="V136" t="s">
        <v>75</v>
      </c>
      <c r="W136">
        <v>2774.3690000000001</v>
      </c>
      <c r="X136" t="s">
        <v>76</v>
      </c>
      <c r="Y136" t="s">
        <v>82</v>
      </c>
      <c r="Z136">
        <v>360.44235120000002</v>
      </c>
      <c r="AD136" t="s">
        <v>83</v>
      </c>
      <c r="AE136">
        <v>1000</v>
      </c>
      <c r="AF136" t="s">
        <v>81</v>
      </c>
      <c r="AG136">
        <v>5.3596299999999998E-3</v>
      </c>
      <c r="AH136" t="s">
        <v>74</v>
      </c>
      <c r="AI136">
        <v>5.3596300000000001</v>
      </c>
      <c r="AJ136" t="s">
        <v>75</v>
      </c>
      <c r="AK136">
        <v>5359.6329999999998</v>
      </c>
      <c r="AL136" t="s">
        <v>76</v>
      </c>
      <c r="AM136" t="s">
        <v>82</v>
      </c>
      <c r="AN136">
        <v>186.57992379999999</v>
      </c>
      <c r="AR136" t="s">
        <v>83</v>
      </c>
      <c r="AS136">
        <v>1000</v>
      </c>
      <c r="AT136" t="s">
        <v>81</v>
      </c>
      <c r="AU136">
        <v>5.2963999999999997E-3</v>
      </c>
      <c r="AV136" t="s">
        <v>74</v>
      </c>
      <c r="AW136">
        <v>5.2964000000000002</v>
      </c>
      <c r="AX136" t="s">
        <v>75</v>
      </c>
      <c r="AY136">
        <v>5296.3959999999997</v>
      </c>
      <c r="AZ136" t="s">
        <v>76</v>
      </c>
      <c r="BA136" t="s">
        <v>82</v>
      </c>
      <c r="BB136">
        <v>188.80764239999999</v>
      </c>
      <c r="BF136" t="s">
        <v>83</v>
      </c>
      <c r="BG136">
        <v>1000</v>
      </c>
      <c r="BH136" t="s">
        <v>81</v>
      </c>
      <c r="BI136">
        <v>2.7587599999999999E-3</v>
      </c>
      <c r="BJ136" t="s">
        <v>74</v>
      </c>
      <c r="BK136">
        <v>2.7587600000000001</v>
      </c>
      <c r="BL136" t="s">
        <v>75</v>
      </c>
      <c r="BM136">
        <v>2758.7559999999999</v>
      </c>
      <c r="BN136" t="s">
        <v>76</v>
      </c>
      <c r="BO136" t="s">
        <v>82</v>
      </c>
      <c r="BP136">
        <v>362.48223050000001</v>
      </c>
      <c r="BT136" t="s">
        <v>83</v>
      </c>
      <c r="BU136">
        <v>1000</v>
      </c>
      <c r="BV136" t="s">
        <v>81</v>
      </c>
      <c r="BW136">
        <v>5.3920699999999997E-3</v>
      </c>
      <c r="BX136" t="s">
        <v>74</v>
      </c>
      <c r="BY136">
        <v>5.3920700000000004</v>
      </c>
      <c r="BZ136" t="s">
        <v>75</v>
      </c>
      <c r="CA136">
        <v>5392.0730000000003</v>
      </c>
      <c r="CB136" t="s">
        <v>76</v>
      </c>
      <c r="CC136" t="s">
        <v>82</v>
      </c>
      <c r="CD136">
        <v>185.4574245</v>
      </c>
      <c r="CH136" t="s">
        <v>83</v>
      </c>
      <c r="CI136">
        <v>1000</v>
      </c>
      <c r="CJ136" t="s">
        <v>81</v>
      </c>
      <c r="CK136">
        <v>5.3188599999999999E-3</v>
      </c>
      <c r="CL136" t="s">
        <v>74</v>
      </c>
      <c r="CM136">
        <v>5.3188599999999999</v>
      </c>
      <c r="CN136" t="s">
        <v>75</v>
      </c>
      <c r="CO136">
        <v>5318.8590000000004</v>
      </c>
      <c r="CP136" t="s">
        <v>76</v>
      </c>
      <c r="CQ136" t="s">
        <v>82</v>
      </c>
      <c r="CR136">
        <v>188.01026139999999</v>
      </c>
      <c r="CV136" t="s">
        <v>83</v>
      </c>
      <c r="CW136">
        <v>1000</v>
      </c>
      <c r="CX136" t="s">
        <v>81</v>
      </c>
      <c r="CY136">
        <v>2.75531E-3</v>
      </c>
      <c r="CZ136" t="s">
        <v>74</v>
      </c>
      <c r="DA136">
        <v>2.7553100000000001</v>
      </c>
      <c r="DB136" t="s">
        <v>75</v>
      </c>
      <c r="DC136">
        <v>2755.3130000000001</v>
      </c>
      <c r="DD136" t="s">
        <v>76</v>
      </c>
      <c r="DE136" t="s">
        <v>82</v>
      </c>
      <c r="DF136">
        <v>362.93512070000003</v>
      </c>
      <c r="DJ136" t="s">
        <v>83</v>
      </c>
      <c r="DK136">
        <v>1000</v>
      </c>
      <c r="DL136" t="s">
        <v>81</v>
      </c>
      <c r="DM136">
        <v>5.3196099999999998E-3</v>
      </c>
      <c r="DN136" t="s">
        <v>74</v>
      </c>
      <c r="DO136">
        <v>5.3196099999999999</v>
      </c>
      <c r="DP136" t="s">
        <v>75</v>
      </c>
      <c r="DQ136">
        <v>5319.6109999999999</v>
      </c>
      <c r="DR136" t="s">
        <v>76</v>
      </c>
      <c r="DS136" t="s">
        <v>82</v>
      </c>
      <c r="DT136">
        <v>187.98368450000001</v>
      </c>
    </row>
    <row r="137" spans="1:167" x14ac:dyDescent="0.3">
      <c r="B137" t="s">
        <v>85</v>
      </c>
      <c r="C137">
        <v>1001</v>
      </c>
      <c r="D137" t="s">
        <v>86</v>
      </c>
      <c r="E137">
        <v>5.4715900000000001E-3</v>
      </c>
      <c r="F137" t="s">
        <v>74</v>
      </c>
      <c r="G137">
        <v>5.47159</v>
      </c>
      <c r="H137" t="s">
        <v>75</v>
      </c>
      <c r="I137">
        <v>5471.5929999999998</v>
      </c>
      <c r="J137" t="s">
        <v>76</v>
      </c>
      <c r="K137" t="s">
        <v>82</v>
      </c>
      <c r="L137">
        <v>182.7621311</v>
      </c>
      <c r="P137" t="s">
        <v>85</v>
      </c>
      <c r="Q137">
        <v>1001</v>
      </c>
      <c r="R137" t="s">
        <v>86</v>
      </c>
      <c r="S137">
        <v>2.78101E-3</v>
      </c>
      <c r="T137" t="s">
        <v>74</v>
      </c>
      <c r="U137">
        <v>2.7810100000000002</v>
      </c>
      <c r="V137" t="s">
        <v>75</v>
      </c>
      <c r="W137">
        <v>2781.0140000000001</v>
      </c>
      <c r="X137" t="s">
        <v>76</v>
      </c>
      <c r="Y137" t="s">
        <v>82</v>
      </c>
      <c r="Z137">
        <v>359.58109100000001</v>
      </c>
      <c r="AD137" t="s">
        <v>85</v>
      </c>
      <c r="AE137">
        <v>1001</v>
      </c>
      <c r="AF137" t="s">
        <v>86</v>
      </c>
      <c r="AG137">
        <v>5.3635799999999997E-3</v>
      </c>
      <c r="AH137" t="s">
        <v>74</v>
      </c>
      <c r="AI137">
        <v>5.3635799999999998</v>
      </c>
      <c r="AJ137" t="s">
        <v>75</v>
      </c>
      <c r="AK137">
        <v>5363.576</v>
      </c>
      <c r="AL137" t="s">
        <v>76</v>
      </c>
      <c r="AM137" t="s">
        <v>82</v>
      </c>
      <c r="AN137">
        <v>186.44276579999999</v>
      </c>
      <c r="AR137" t="s">
        <v>85</v>
      </c>
      <c r="AS137">
        <v>1001</v>
      </c>
      <c r="AT137" t="s">
        <v>86</v>
      </c>
      <c r="AU137">
        <v>5.2986999999999999E-3</v>
      </c>
      <c r="AV137" t="s">
        <v>74</v>
      </c>
      <c r="AW137">
        <v>5.2987000000000002</v>
      </c>
      <c r="AX137" t="s">
        <v>75</v>
      </c>
      <c r="AY137">
        <v>5298.7039999999997</v>
      </c>
      <c r="AZ137" t="s">
        <v>76</v>
      </c>
      <c r="BA137" t="s">
        <v>82</v>
      </c>
      <c r="BB137">
        <v>188.72540889999999</v>
      </c>
      <c r="BF137" t="s">
        <v>85</v>
      </c>
      <c r="BG137">
        <v>1001</v>
      </c>
      <c r="BH137" t="s">
        <v>86</v>
      </c>
      <c r="BI137">
        <v>2.9031199999999999E-3</v>
      </c>
      <c r="BJ137" t="s">
        <v>74</v>
      </c>
      <c r="BK137">
        <v>2.9031199999999999</v>
      </c>
      <c r="BL137" t="s">
        <v>75</v>
      </c>
      <c r="BM137">
        <v>2903.123</v>
      </c>
      <c r="BN137" t="s">
        <v>76</v>
      </c>
      <c r="BO137" t="s">
        <v>82</v>
      </c>
      <c r="BP137">
        <v>344.4566418</v>
      </c>
      <c r="BT137" t="s">
        <v>85</v>
      </c>
      <c r="BU137">
        <v>1001</v>
      </c>
      <c r="BV137" t="s">
        <v>86</v>
      </c>
      <c r="BW137">
        <v>5.3940799999999999E-3</v>
      </c>
      <c r="BX137" t="s">
        <v>74</v>
      </c>
      <c r="BY137">
        <v>5.3940799999999998</v>
      </c>
      <c r="BZ137" t="s">
        <v>75</v>
      </c>
      <c r="CA137">
        <v>5394.08</v>
      </c>
      <c r="CB137" t="s">
        <v>76</v>
      </c>
      <c r="CC137" t="s">
        <v>82</v>
      </c>
      <c r="CD137">
        <v>185.38842360000001</v>
      </c>
      <c r="CH137" t="s">
        <v>85</v>
      </c>
      <c r="CI137">
        <v>1001</v>
      </c>
      <c r="CJ137" t="s">
        <v>86</v>
      </c>
      <c r="CK137">
        <v>5.3206599999999996E-3</v>
      </c>
      <c r="CL137" t="s">
        <v>74</v>
      </c>
      <c r="CM137">
        <v>5.3206600000000002</v>
      </c>
      <c r="CN137" t="s">
        <v>75</v>
      </c>
      <c r="CO137">
        <v>5320.6559999999999</v>
      </c>
      <c r="CP137" t="s">
        <v>76</v>
      </c>
      <c r="CQ137" t="s">
        <v>82</v>
      </c>
      <c r="CR137">
        <v>187.94674259999999</v>
      </c>
      <c r="CV137" t="s">
        <v>85</v>
      </c>
      <c r="CW137">
        <v>1001</v>
      </c>
      <c r="CX137" t="s">
        <v>86</v>
      </c>
      <c r="CY137">
        <v>2.7594500000000001E-3</v>
      </c>
      <c r="CZ137" t="s">
        <v>74</v>
      </c>
      <c r="DA137">
        <v>2.7594500000000002</v>
      </c>
      <c r="DB137" t="s">
        <v>75</v>
      </c>
      <c r="DC137">
        <v>2759.4479999999999</v>
      </c>
      <c r="DD137" t="s">
        <v>76</v>
      </c>
      <c r="DE137" t="s">
        <v>82</v>
      </c>
      <c r="DF137">
        <v>362.39131099999997</v>
      </c>
      <c r="DJ137" t="s">
        <v>85</v>
      </c>
      <c r="DK137">
        <v>1001</v>
      </c>
      <c r="DL137" t="s">
        <v>86</v>
      </c>
      <c r="DM137">
        <v>5.3212600000000004E-3</v>
      </c>
      <c r="DN137" t="s">
        <v>74</v>
      </c>
      <c r="DO137">
        <v>5.3212599999999997</v>
      </c>
      <c r="DP137" t="s">
        <v>75</v>
      </c>
      <c r="DQ137">
        <v>5321.2560000000003</v>
      </c>
      <c r="DR137" t="s">
        <v>76</v>
      </c>
      <c r="DS137" t="s">
        <v>82</v>
      </c>
      <c r="DT137">
        <v>187.9255431</v>
      </c>
      <c r="DX137" t="s">
        <v>519</v>
      </c>
      <c r="EL137" t="s">
        <v>519</v>
      </c>
      <c r="EZ137" t="s">
        <v>519</v>
      </c>
    </row>
    <row r="138" spans="1:167" x14ac:dyDescent="0.3">
      <c r="DX138" t="s">
        <v>496</v>
      </c>
      <c r="DY138" t="s">
        <v>72</v>
      </c>
      <c r="DZ138">
        <v>1</v>
      </c>
      <c r="EA138" t="s">
        <v>81</v>
      </c>
      <c r="EB138">
        <v>3.9241999999999999E-2</v>
      </c>
      <c r="EC138" t="s">
        <v>74</v>
      </c>
      <c r="ED138">
        <v>39.2423</v>
      </c>
      <c r="EE138" t="s">
        <v>75</v>
      </c>
      <c r="EF138">
        <v>39242.300999999999</v>
      </c>
      <c r="EG138" t="s">
        <v>76</v>
      </c>
      <c r="EH138" t="s">
        <v>82</v>
      </c>
      <c r="EI138">
        <v>25.4827054</v>
      </c>
      <c r="EL138" t="s">
        <v>496</v>
      </c>
      <c r="EM138" t="s">
        <v>72</v>
      </c>
      <c r="EN138">
        <v>1</v>
      </c>
      <c r="EO138" t="s">
        <v>81</v>
      </c>
      <c r="EP138">
        <v>5.6064999999999997E-2</v>
      </c>
      <c r="EQ138" t="s">
        <v>74</v>
      </c>
      <c r="ER138">
        <v>56.064700000000002</v>
      </c>
      <c r="ES138" t="s">
        <v>75</v>
      </c>
      <c r="ET138">
        <v>56064.699000000001</v>
      </c>
      <c r="EU138" t="s">
        <v>76</v>
      </c>
      <c r="EV138" t="s">
        <v>82</v>
      </c>
      <c r="EW138">
        <v>17.836535699999999</v>
      </c>
      <c r="EZ138" t="s">
        <v>496</v>
      </c>
      <c r="FA138" t="s">
        <v>72</v>
      </c>
      <c r="FB138">
        <v>1</v>
      </c>
      <c r="FC138" t="s">
        <v>81</v>
      </c>
      <c r="FD138">
        <v>3.6109000000000002E-2</v>
      </c>
      <c r="FE138" t="s">
        <v>74</v>
      </c>
      <c r="FF138">
        <v>36.109000000000002</v>
      </c>
      <c r="FG138" t="s">
        <v>75</v>
      </c>
      <c r="FH138">
        <v>36109</v>
      </c>
      <c r="FI138" t="s">
        <v>76</v>
      </c>
      <c r="FJ138" t="s">
        <v>82</v>
      </c>
      <c r="FK138">
        <v>27.693926399999999</v>
      </c>
    </row>
    <row r="139" spans="1:167" x14ac:dyDescent="0.3">
      <c r="A139">
        <v>15</v>
      </c>
      <c r="B139" t="s">
        <v>196</v>
      </c>
      <c r="O139">
        <v>15</v>
      </c>
      <c r="P139" t="s">
        <v>196</v>
      </c>
      <c r="AC139">
        <v>15</v>
      </c>
      <c r="AD139" t="s">
        <v>196</v>
      </c>
      <c r="AQ139">
        <v>15</v>
      </c>
      <c r="AR139" t="s">
        <v>320</v>
      </c>
      <c r="BE139">
        <v>15</v>
      </c>
      <c r="BF139" t="s">
        <v>320</v>
      </c>
      <c r="BS139">
        <v>15</v>
      </c>
      <c r="BT139" t="s">
        <v>320</v>
      </c>
      <c r="CG139">
        <v>15</v>
      </c>
      <c r="CH139" t="s">
        <v>436</v>
      </c>
      <c r="CU139">
        <v>15</v>
      </c>
      <c r="CV139" t="s">
        <v>436</v>
      </c>
      <c r="DI139">
        <v>15</v>
      </c>
      <c r="DJ139" t="s">
        <v>436</v>
      </c>
      <c r="DX139" t="s">
        <v>496</v>
      </c>
      <c r="DY139" t="s">
        <v>83</v>
      </c>
      <c r="DZ139">
        <v>615</v>
      </c>
      <c r="EA139" t="s">
        <v>81</v>
      </c>
      <c r="EB139">
        <v>2.751E-3</v>
      </c>
      <c r="EC139" t="s">
        <v>74</v>
      </c>
      <c r="ED139">
        <v>2.7507799999999998</v>
      </c>
      <c r="EE139" t="s">
        <v>75</v>
      </c>
      <c r="EF139">
        <v>2750.78</v>
      </c>
      <c r="EG139" t="s">
        <v>76</v>
      </c>
      <c r="EH139" t="s">
        <v>82</v>
      </c>
      <c r="EI139">
        <v>363.53320869999999</v>
      </c>
      <c r="EL139" t="s">
        <v>496</v>
      </c>
      <c r="EM139" t="s">
        <v>83</v>
      </c>
      <c r="EN139">
        <v>764</v>
      </c>
      <c r="EO139" t="s">
        <v>81</v>
      </c>
      <c r="EP139">
        <v>2.5826999999999999E-2</v>
      </c>
      <c r="EQ139" t="s">
        <v>74</v>
      </c>
      <c r="ER139">
        <v>25.827439999999999</v>
      </c>
      <c r="ES139" t="s">
        <v>75</v>
      </c>
      <c r="ET139">
        <v>25827.437999999998</v>
      </c>
      <c r="EU139" t="s">
        <v>76</v>
      </c>
      <c r="EV139" t="s">
        <v>82</v>
      </c>
      <c r="EW139">
        <v>38.7185135</v>
      </c>
      <c r="EZ139" t="s">
        <v>496</v>
      </c>
      <c r="FA139" t="s">
        <v>83</v>
      </c>
      <c r="FB139">
        <v>753</v>
      </c>
      <c r="FC139" t="s">
        <v>81</v>
      </c>
      <c r="FD139">
        <v>2.6209E-2</v>
      </c>
      <c r="FE139" t="s">
        <v>74</v>
      </c>
      <c r="FF139">
        <v>26.209389999999999</v>
      </c>
      <c r="FG139" t="s">
        <v>75</v>
      </c>
      <c r="FH139">
        <v>26209.386999999999</v>
      </c>
      <c r="FI139" t="s">
        <v>76</v>
      </c>
      <c r="FJ139" t="s">
        <v>82</v>
      </c>
      <c r="FK139">
        <v>38.154269399999997</v>
      </c>
    </row>
    <row r="140" spans="1:167" x14ac:dyDescent="0.3">
      <c r="B140" t="s">
        <v>72</v>
      </c>
      <c r="C140">
        <v>1</v>
      </c>
      <c r="D140" t="s">
        <v>81</v>
      </c>
      <c r="E140">
        <v>0.29750969999999999</v>
      </c>
      <c r="F140" t="s">
        <v>74</v>
      </c>
      <c r="G140">
        <v>297.50970000000001</v>
      </c>
      <c r="H140" t="s">
        <v>75</v>
      </c>
      <c r="I140">
        <v>297509.7</v>
      </c>
      <c r="J140" t="s">
        <v>76</v>
      </c>
      <c r="K140" t="s">
        <v>82</v>
      </c>
      <c r="L140">
        <v>3.3612348999999999</v>
      </c>
      <c r="P140" t="s">
        <v>72</v>
      </c>
      <c r="Q140">
        <v>1</v>
      </c>
      <c r="R140" t="s">
        <v>81</v>
      </c>
      <c r="S140">
        <v>0.29564648999999998</v>
      </c>
      <c r="T140" t="s">
        <v>74</v>
      </c>
      <c r="U140">
        <v>295.64648999999997</v>
      </c>
      <c r="V140" t="s">
        <v>75</v>
      </c>
      <c r="W140">
        <v>295646.489</v>
      </c>
      <c r="X140" t="s">
        <v>76</v>
      </c>
      <c r="Y140" t="s">
        <v>82</v>
      </c>
      <c r="Z140">
        <v>3.3824179999999999</v>
      </c>
      <c r="AD140" t="s">
        <v>72</v>
      </c>
      <c r="AE140">
        <v>1</v>
      </c>
      <c r="AF140" t="s">
        <v>81</v>
      </c>
      <c r="AG140">
        <v>0.29645210999999999</v>
      </c>
      <c r="AH140" t="s">
        <v>74</v>
      </c>
      <c r="AI140">
        <v>296.45211</v>
      </c>
      <c r="AJ140" t="s">
        <v>75</v>
      </c>
      <c r="AK140">
        <v>296452.10499999998</v>
      </c>
      <c r="AL140" t="s">
        <v>76</v>
      </c>
      <c r="AM140" t="s">
        <v>82</v>
      </c>
      <c r="AN140">
        <v>3.3732262</v>
      </c>
      <c r="AR140" t="s">
        <v>72</v>
      </c>
      <c r="AS140">
        <v>1</v>
      </c>
      <c r="AT140" t="s">
        <v>81</v>
      </c>
      <c r="AU140">
        <v>0.48055368999999998</v>
      </c>
      <c r="AV140" t="s">
        <v>74</v>
      </c>
      <c r="AW140">
        <v>480.55369000000002</v>
      </c>
      <c r="AX140" t="s">
        <v>75</v>
      </c>
      <c r="AY140">
        <v>480553.68699999998</v>
      </c>
      <c r="AZ140" t="s">
        <v>76</v>
      </c>
      <c r="BA140" t="s">
        <v>82</v>
      </c>
      <c r="BB140">
        <v>2.0809329000000001</v>
      </c>
      <c r="BF140" t="s">
        <v>72</v>
      </c>
      <c r="BG140">
        <v>1</v>
      </c>
      <c r="BH140" t="s">
        <v>81</v>
      </c>
      <c r="BI140">
        <v>0.1124935</v>
      </c>
      <c r="BJ140" t="s">
        <v>74</v>
      </c>
      <c r="BK140">
        <v>112.4935</v>
      </c>
      <c r="BL140" t="s">
        <v>75</v>
      </c>
      <c r="BM140">
        <v>112493.5</v>
      </c>
      <c r="BN140" t="s">
        <v>76</v>
      </c>
      <c r="BO140" t="s">
        <v>82</v>
      </c>
      <c r="BP140">
        <v>8.8894024999999992</v>
      </c>
      <c r="BT140" t="s">
        <v>72</v>
      </c>
      <c r="BU140">
        <v>1</v>
      </c>
      <c r="BV140" t="s">
        <v>81</v>
      </c>
      <c r="BW140">
        <v>0.11021739999999999</v>
      </c>
      <c r="BX140" t="s">
        <v>74</v>
      </c>
      <c r="BY140">
        <v>110.2174</v>
      </c>
      <c r="BZ140" t="s">
        <v>75</v>
      </c>
      <c r="CA140">
        <v>110217.4</v>
      </c>
      <c r="CB140" t="s">
        <v>76</v>
      </c>
      <c r="CC140" t="s">
        <v>82</v>
      </c>
      <c r="CD140">
        <v>9.0729775999999998</v>
      </c>
      <c r="CH140" t="s">
        <v>72</v>
      </c>
      <c r="CI140">
        <v>1</v>
      </c>
      <c r="CJ140" t="s">
        <v>81</v>
      </c>
      <c r="CK140">
        <v>0.1142591</v>
      </c>
      <c r="CL140" t="s">
        <v>74</v>
      </c>
      <c r="CM140">
        <v>114.2591</v>
      </c>
      <c r="CN140" t="s">
        <v>75</v>
      </c>
      <c r="CO140">
        <v>114259.101</v>
      </c>
      <c r="CP140" t="s">
        <v>76</v>
      </c>
      <c r="CQ140" t="s">
        <v>82</v>
      </c>
      <c r="CR140">
        <v>8.7520380000000007</v>
      </c>
      <c r="CV140" t="s">
        <v>72</v>
      </c>
      <c r="CW140">
        <v>1</v>
      </c>
      <c r="CX140" t="s">
        <v>81</v>
      </c>
      <c r="CY140">
        <v>0.1140188</v>
      </c>
      <c r="CZ140" t="s">
        <v>74</v>
      </c>
      <c r="DA140">
        <v>114.0188</v>
      </c>
      <c r="DB140" t="s">
        <v>75</v>
      </c>
      <c r="DC140">
        <v>114018.798</v>
      </c>
      <c r="DD140" t="s">
        <v>76</v>
      </c>
      <c r="DE140" t="s">
        <v>82</v>
      </c>
      <c r="DF140">
        <v>8.7704836000000004</v>
      </c>
      <c r="DJ140" t="s">
        <v>72</v>
      </c>
      <c r="DK140">
        <v>1</v>
      </c>
      <c r="DL140" t="s">
        <v>81</v>
      </c>
      <c r="DM140">
        <v>0.11377809999999999</v>
      </c>
      <c r="DN140" t="s">
        <v>74</v>
      </c>
      <c r="DO140">
        <v>113.77809999999999</v>
      </c>
      <c r="DP140" t="s">
        <v>75</v>
      </c>
      <c r="DQ140">
        <v>113778.099</v>
      </c>
      <c r="DR140" t="s">
        <v>76</v>
      </c>
      <c r="DS140" t="s">
        <v>82</v>
      </c>
      <c r="DT140">
        <v>8.7890376999999997</v>
      </c>
      <c r="DX140" t="s">
        <v>496</v>
      </c>
      <c r="DY140" t="s">
        <v>84</v>
      </c>
      <c r="DZ140">
        <v>616</v>
      </c>
      <c r="EA140" t="s">
        <v>81</v>
      </c>
      <c r="EB140">
        <v>2.81E-3</v>
      </c>
      <c r="EC140" t="s">
        <v>74</v>
      </c>
      <c r="ED140">
        <v>2.8100200000000002</v>
      </c>
      <c r="EE140" t="s">
        <v>75</v>
      </c>
      <c r="EF140">
        <v>2810.02</v>
      </c>
      <c r="EG140" t="s">
        <v>76</v>
      </c>
      <c r="EH140" t="s">
        <v>82</v>
      </c>
      <c r="EI140">
        <v>355.86933490000001</v>
      </c>
      <c r="EL140" t="s">
        <v>496</v>
      </c>
      <c r="EM140" t="s">
        <v>84</v>
      </c>
      <c r="EN140">
        <v>765</v>
      </c>
      <c r="EO140" t="s">
        <v>81</v>
      </c>
      <c r="EP140">
        <v>2.5867000000000001E-2</v>
      </c>
      <c r="EQ140" t="s">
        <v>74</v>
      </c>
      <c r="ER140">
        <v>25.866959999999999</v>
      </c>
      <c r="ES140" t="s">
        <v>75</v>
      </c>
      <c r="ET140">
        <v>25866.958999999999</v>
      </c>
      <c r="EU140" t="s">
        <v>76</v>
      </c>
      <c r="EV140" t="s">
        <v>82</v>
      </c>
      <c r="EW140">
        <v>38.6593576</v>
      </c>
      <c r="EZ140" t="s">
        <v>496</v>
      </c>
      <c r="FA140" t="s">
        <v>84</v>
      </c>
      <c r="FB140">
        <v>754</v>
      </c>
      <c r="FC140" t="s">
        <v>81</v>
      </c>
      <c r="FD140">
        <v>2.6223E-2</v>
      </c>
      <c r="FE140" t="s">
        <v>74</v>
      </c>
      <c r="FF140">
        <v>26.222519999999999</v>
      </c>
      <c r="FG140" t="s">
        <v>75</v>
      </c>
      <c r="FH140">
        <v>26222.517</v>
      </c>
      <c r="FI140" t="s">
        <v>76</v>
      </c>
      <c r="FJ140" t="s">
        <v>82</v>
      </c>
      <c r="FK140">
        <v>38.135164000000003</v>
      </c>
    </row>
    <row r="141" spans="1:167" x14ac:dyDescent="0.3">
      <c r="B141" t="s">
        <v>83</v>
      </c>
      <c r="C141">
        <v>1000</v>
      </c>
      <c r="D141" t="s">
        <v>81</v>
      </c>
      <c r="E141">
        <v>6.1302800000000001E-3</v>
      </c>
      <c r="F141" t="s">
        <v>74</v>
      </c>
      <c r="G141">
        <v>6.13028</v>
      </c>
      <c r="H141" t="s">
        <v>75</v>
      </c>
      <c r="I141">
        <v>6130.277</v>
      </c>
      <c r="J141" t="s">
        <v>76</v>
      </c>
      <c r="K141" t="s">
        <v>82</v>
      </c>
      <c r="L141">
        <v>163.12477430000001</v>
      </c>
      <c r="P141" t="s">
        <v>83</v>
      </c>
      <c r="Q141">
        <v>1000</v>
      </c>
      <c r="R141" t="s">
        <v>81</v>
      </c>
      <c r="S141">
        <v>2.74595E-3</v>
      </c>
      <c r="T141" t="s">
        <v>74</v>
      </c>
      <c r="U141">
        <v>2.7459500000000001</v>
      </c>
      <c r="V141" t="s">
        <v>75</v>
      </c>
      <c r="W141">
        <v>2745.9490000000001</v>
      </c>
      <c r="X141" t="s">
        <v>76</v>
      </c>
      <c r="Y141" t="s">
        <v>82</v>
      </c>
      <c r="Z141">
        <v>364.17288259999998</v>
      </c>
      <c r="AD141" t="s">
        <v>83</v>
      </c>
      <c r="AE141">
        <v>1000</v>
      </c>
      <c r="AF141" t="s">
        <v>81</v>
      </c>
      <c r="AG141">
        <v>6.2581800000000003E-3</v>
      </c>
      <c r="AH141" t="s">
        <v>74</v>
      </c>
      <c r="AI141">
        <v>6.2581800000000003</v>
      </c>
      <c r="AJ141" t="s">
        <v>75</v>
      </c>
      <c r="AK141">
        <v>6258.18</v>
      </c>
      <c r="AL141" t="s">
        <v>76</v>
      </c>
      <c r="AM141" t="s">
        <v>82</v>
      </c>
      <c r="AN141">
        <v>159.79087430000001</v>
      </c>
      <c r="AR141" t="s">
        <v>83</v>
      </c>
      <c r="AS141">
        <v>1000</v>
      </c>
      <c r="AT141" t="s">
        <v>81</v>
      </c>
      <c r="AU141">
        <v>5.2227000000000003E-3</v>
      </c>
      <c r="AV141" t="s">
        <v>74</v>
      </c>
      <c r="AW141">
        <v>5.2226999999999997</v>
      </c>
      <c r="AX141" t="s">
        <v>75</v>
      </c>
      <c r="AY141">
        <v>5222.7049999999999</v>
      </c>
      <c r="AZ141" t="s">
        <v>76</v>
      </c>
      <c r="BA141" t="s">
        <v>82</v>
      </c>
      <c r="BB141">
        <v>191.47166490000001</v>
      </c>
      <c r="BF141" t="s">
        <v>83</v>
      </c>
      <c r="BG141">
        <v>1000</v>
      </c>
      <c r="BH141" t="s">
        <v>81</v>
      </c>
      <c r="BI141">
        <v>2.7753700000000001E-3</v>
      </c>
      <c r="BJ141" t="s">
        <v>74</v>
      </c>
      <c r="BK141">
        <v>2.7753700000000001</v>
      </c>
      <c r="BL141" t="s">
        <v>75</v>
      </c>
      <c r="BM141">
        <v>2775.3719999999998</v>
      </c>
      <c r="BN141" t="s">
        <v>76</v>
      </c>
      <c r="BO141" t="s">
        <v>82</v>
      </c>
      <c r="BP141">
        <v>360.31208629999998</v>
      </c>
      <c r="BT141" t="s">
        <v>83</v>
      </c>
      <c r="BU141">
        <v>1000</v>
      </c>
      <c r="BV141" t="s">
        <v>81</v>
      </c>
      <c r="BW141">
        <v>5.3664799999999999E-3</v>
      </c>
      <c r="BX141" t="s">
        <v>74</v>
      </c>
      <c r="BY141">
        <v>5.3664800000000001</v>
      </c>
      <c r="BZ141" t="s">
        <v>75</v>
      </c>
      <c r="CA141">
        <v>5366.4830000000002</v>
      </c>
      <c r="CB141" t="s">
        <v>76</v>
      </c>
      <c r="CC141" t="s">
        <v>82</v>
      </c>
      <c r="CD141">
        <v>186.34179019999999</v>
      </c>
      <c r="CH141" t="s">
        <v>83</v>
      </c>
      <c r="CI141">
        <v>1000</v>
      </c>
      <c r="CJ141" t="s">
        <v>81</v>
      </c>
      <c r="CK141">
        <v>5.2846999999999998E-3</v>
      </c>
      <c r="CL141" t="s">
        <v>74</v>
      </c>
      <c r="CM141">
        <v>5.2847</v>
      </c>
      <c r="CN141" t="s">
        <v>75</v>
      </c>
      <c r="CO141">
        <v>5284.6959999999999</v>
      </c>
      <c r="CP141" t="s">
        <v>76</v>
      </c>
      <c r="CQ141" t="s">
        <v>82</v>
      </c>
      <c r="CR141">
        <v>189.22563959999999</v>
      </c>
      <c r="CV141" t="s">
        <v>83</v>
      </c>
      <c r="CW141">
        <v>1000</v>
      </c>
      <c r="CX141" t="s">
        <v>81</v>
      </c>
      <c r="CY141">
        <v>2.7933799999999998E-3</v>
      </c>
      <c r="CZ141" t="s">
        <v>74</v>
      </c>
      <c r="DA141">
        <v>2.79338</v>
      </c>
      <c r="DB141" t="s">
        <v>75</v>
      </c>
      <c r="DC141">
        <v>2793.3809999999999</v>
      </c>
      <c r="DD141" t="s">
        <v>76</v>
      </c>
      <c r="DE141" t="s">
        <v>82</v>
      </c>
      <c r="DF141">
        <v>357.98909040000001</v>
      </c>
      <c r="DJ141" t="s">
        <v>83</v>
      </c>
      <c r="DK141">
        <v>1000</v>
      </c>
      <c r="DL141" t="s">
        <v>81</v>
      </c>
      <c r="DM141">
        <v>5.3613000000000003E-3</v>
      </c>
      <c r="DN141" t="s">
        <v>74</v>
      </c>
      <c r="DO141">
        <v>5.3613</v>
      </c>
      <c r="DP141" t="s">
        <v>75</v>
      </c>
      <c r="DQ141">
        <v>5361.299</v>
      </c>
      <c r="DR141" t="s">
        <v>76</v>
      </c>
      <c r="DS141" t="s">
        <v>82</v>
      </c>
      <c r="DT141">
        <v>186.52197570000001</v>
      </c>
      <c r="DX141" t="s">
        <v>497</v>
      </c>
      <c r="DY141" t="s">
        <v>72</v>
      </c>
      <c r="DZ141">
        <v>1</v>
      </c>
      <c r="EA141" t="s">
        <v>81</v>
      </c>
      <c r="EB141">
        <v>7.0698999999999998E-2</v>
      </c>
      <c r="EC141" t="s">
        <v>74</v>
      </c>
      <c r="ED141">
        <v>70.698599999999999</v>
      </c>
      <c r="EE141" t="s">
        <v>75</v>
      </c>
      <c r="EF141">
        <v>70698.596999999994</v>
      </c>
      <c r="EG141" t="s">
        <v>76</v>
      </c>
      <c r="EH141" t="s">
        <v>82</v>
      </c>
      <c r="EI141">
        <v>14.1445524</v>
      </c>
      <c r="EL141" t="s">
        <v>497</v>
      </c>
      <c r="EM141" t="s">
        <v>72</v>
      </c>
      <c r="EN141">
        <v>1</v>
      </c>
      <c r="EO141" t="s">
        <v>81</v>
      </c>
      <c r="EP141">
        <v>8.3024000000000001E-2</v>
      </c>
      <c r="EQ141" t="s">
        <v>74</v>
      </c>
      <c r="ER141">
        <v>83.023899999999998</v>
      </c>
      <c r="ES141" t="s">
        <v>75</v>
      </c>
      <c r="ET141">
        <v>83023.898000000001</v>
      </c>
      <c r="EU141" t="s">
        <v>76</v>
      </c>
      <c r="EV141" t="s">
        <v>82</v>
      </c>
      <c r="EW141">
        <v>12.0447247</v>
      </c>
      <c r="EZ141" t="s">
        <v>497</v>
      </c>
      <c r="FA141" t="s">
        <v>72</v>
      </c>
      <c r="FB141">
        <v>1</v>
      </c>
      <c r="FC141" t="s">
        <v>81</v>
      </c>
      <c r="FD141">
        <v>0.114291</v>
      </c>
      <c r="FE141" t="s">
        <v>74</v>
      </c>
      <c r="FF141">
        <v>114.29130000000001</v>
      </c>
      <c r="FG141" t="s">
        <v>75</v>
      </c>
      <c r="FH141">
        <v>114291.303</v>
      </c>
      <c r="FI141" t="s">
        <v>76</v>
      </c>
      <c r="FJ141" t="s">
        <v>82</v>
      </c>
      <c r="FK141">
        <v>8.7495721</v>
      </c>
    </row>
    <row r="142" spans="1:167" x14ac:dyDescent="0.3">
      <c r="B142" t="s">
        <v>85</v>
      </c>
      <c r="C142">
        <v>1001</v>
      </c>
      <c r="D142" t="s">
        <v>86</v>
      </c>
      <c r="E142">
        <v>6.4215599999999998E-3</v>
      </c>
      <c r="F142" t="s">
        <v>74</v>
      </c>
      <c r="G142">
        <v>6.4215600000000004</v>
      </c>
      <c r="H142" t="s">
        <v>75</v>
      </c>
      <c r="I142">
        <v>6421.5559999999996</v>
      </c>
      <c r="J142" t="s">
        <v>76</v>
      </c>
      <c r="K142" t="s">
        <v>82</v>
      </c>
      <c r="L142">
        <v>155.7254854</v>
      </c>
      <c r="P142" t="s">
        <v>85</v>
      </c>
      <c r="Q142">
        <v>1001</v>
      </c>
      <c r="R142" t="s">
        <v>86</v>
      </c>
      <c r="S142">
        <v>3.0387600000000002E-3</v>
      </c>
      <c r="T142" t="s">
        <v>74</v>
      </c>
      <c r="U142">
        <v>3.0387599999999999</v>
      </c>
      <c r="V142" t="s">
        <v>75</v>
      </c>
      <c r="W142">
        <v>3038.7570000000001</v>
      </c>
      <c r="X142" t="s">
        <v>76</v>
      </c>
      <c r="Y142" t="s">
        <v>82</v>
      </c>
      <c r="Z142">
        <v>329.08190100000002</v>
      </c>
      <c r="AD142" t="s">
        <v>85</v>
      </c>
      <c r="AE142">
        <v>1001</v>
      </c>
      <c r="AF142" t="s">
        <v>86</v>
      </c>
      <c r="AG142">
        <v>6.5482800000000001E-3</v>
      </c>
      <c r="AH142" t="s">
        <v>74</v>
      </c>
      <c r="AI142">
        <v>6.5482800000000001</v>
      </c>
      <c r="AJ142" t="s">
        <v>75</v>
      </c>
      <c r="AK142">
        <v>6548.2809999999999</v>
      </c>
      <c r="AL142" t="s">
        <v>76</v>
      </c>
      <c r="AM142" t="s">
        <v>82</v>
      </c>
      <c r="AN142">
        <v>152.7118265</v>
      </c>
      <c r="AR142" t="s">
        <v>85</v>
      </c>
      <c r="AS142">
        <v>1001</v>
      </c>
      <c r="AT142" t="s">
        <v>86</v>
      </c>
      <c r="AU142">
        <v>5.6977699999999996E-3</v>
      </c>
      <c r="AV142" t="s">
        <v>74</v>
      </c>
      <c r="AW142">
        <v>5.6977700000000002</v>
      </c>
      <c r="AX142" t="s">
        <v>75</v>
      </c>
      <c r="AY142">
        <v>5697.7730000000001</v>
      </c>
      <c r="AZ142" t="s">
        <v>76</v>
      </c>
      <c r="BA142" t="s">
        <v>82</v>
      </c>
      <c r="BB142">
        <v>175.5071548</v>
      </c>
      <c r="BF142" t="s">
        <v>85</v>
      </c>
      <c r="BG142">
        <v>1001</v>
      </c>
      <c r="BH142" t="s">
        <v>86</v>
      </c>
      <c r="BI142">
        <v>2.88522E-3</v>
      </c>
      <c r="BJ142" t="s">
        <v>74</v>
      </c>
      <c r="BK142">
        <v>2.8852199999999999</v>
      </c>
      <c r="BL142" t="s">
        <v>75</v>
      </c>
      <c r="BM142">
        <v>2885.2179999999998</v>
      </c>
      <c r="BN142" t="s">
        <v>76</v>
      </c>
      <c r="BO142" t="s">
        <v>82</v>
      </c>
      <c r="BP142">
        <v>346.5942288</v>
      </c>
      <c r="BT142" t="s">
        <v>85</v>
      </c>
      <c r="BU142">
        <v>1001</v>
      </c>
      <c r="BV142" t="s">
        <v>86</v>
      </c>
      <c r="BW142">
        <v>5.4714400000000002E-3</v>
      </c>
      <c r="BX142" t="s">
        <v>74</v>
      </c>
      <c r="BY142">
        <v>5.4714400000000003</v>
      </c>
      <c r="BZ142" t="s">
        <v>75</v>
      </c>
      <c r="CA142">
        <v>5471.4440000000004</v>
      </c>
      <c r="CB142" t="s">
        <v>76</v>
      </c>
      <c r="CC142" t="s">
        <v>82</v>
      </c>
      <c r="CD142">
        <v>182.7670956</v>
      </c>
      <c r="CH142" t="s">
        <v>85</v>
      </c>
      <c r="CI142">
        <v>1001</v>
      </c>
      <c r="CJ142" t="s">
        <v>86</v>
      </c>
      <c r="CK142">
        <v>5.3937500000000001E-3</v>
      </c>
      <c r="CL142" t="s">
        <v>74</v>
      </c>
      <c r="CM142">
        <v>5.3937499999999998</v>
      </c>
      <c r="CN142" t="s">
        <v>75</v>
      </c>
      <c r="CO142">
        <v>5393.7529999999997</v>
      </c>
      <c r="CP142" t="s">
        <v>76</v>
      </c>
      <c r="CQ142" t="s">
        <v>82</v>
      </c>
      <c r="CR142">
        <v>185.39965549999999</v>
      </c>
      <c r="CV142" t="s">
        <v>85</v>
      </c>
      <c r="CW142">
        <v>1001</v>
      </c>
      <c r="CX142" t="s">
        <v>86</v>
      </c>
      <c r="CY142">
        <v>2.90472E-3</v>
      </c>
      <c r="CZ142" t="s">
        <v>74</v>
      </c>
      <c r="DA142">
        <v>2.9047200000000002</v>
      </c>
      <c r="DB142" t="s">
        <v>75</v>
      </c>
      <c r="DC142">
        <v>2904.7190000000001</v>
      </c>
      <c r="DD142" t="s">
        <v>76</v>
      </c>
      <c r="DE142" t="s">
        <v>82</v>
      </c>
      <c r="DF142">
        <v>344.2673461</v>
      </c>
      <c r="DJ142" t="s">
        <v>85</v>
      </c>
      <c r="DK142">
        <v>1001</v>
      </c>
      <c r="DL142" t="s">
        <v>86</v>
      </c>
      <c r="DM142">
        <v>5.4698000000000004E-3</v>
      </c>
      <c r="DN142" t="s">
        <v>74</v>
      </c>
      <c r="DO142">
        <v>5.4698000000000002</v>
      </c>
      <c r="DP142" t="s">
        <v>75</v>
      </c>
      <c r="DQ142">
        <v>5469.8040000000001</v>
      </c>
      <c r="DR142" t="s">
        <v>76</v>
      </c>
      <c r="DS142" t="s">
        <v>82</v>
      </c>
      <c r="DT142">
        <v>182.8219138</v>
      </c>
      <c r="DX142" t="s">
        <v>497</v>
      </c>
      <c r="DY142" t="s">
        <v>83</v>
      </c>
      <c r="DZ142">
        <v>384</v>
      </c>
      <c r="EA142" t="s">
        <v>81</v>
      </c>
      <c r="EB142">
        <v>4.1859999999999996E-3</v>
      </c>
      <c r="EC142" t="s">
        <v>74</v>
      </c>
      <c r="ED142">
        <v>4.1860499999999998</v>
      </c>
      <c r="EE142" t="s">
        <v>75</v>
      </c>
      <c r="EF142">
        <v>4186.0529999999999</v>
      </c>
      <c r="EG142" t="s">
        <v>76</v>
      </c>
      <c r="EH142" t="s">
        <v>82</v>
      </c>
      <c r="EI142">
        <v>238.88854610000001</v>
      </c>
      <c r="EL142" t="s">
        <v>497</v>
      </c>
      <c r="EM142" t="s">
        <v>83</v>
      </c>
      <c r="EN142">
        <v>235</v>
      </c>
      <c r="EO142" t="s">
        <v>81</v>
      </c>
      <c r="EP142">
        <v>8.2281000000000007E-2</v>
      </c>
      <c r="EQ142" t="s">
        <v>74</v>
      </c>
      <c r="ER142">
        <v>82.280799999999999</v>
      </c>
      <c r="ES142" t="s">
        <v>75</v>
      </c>
      <c r="ET142">
        <v>82280.796000000002</v>
      </c>
      <c r="EU142" t="s">
        <v>76</v>
      </c>
      <c r="EV142" t="s">
        <v>82</v>
      </c>
      <c r="EW142">
        <v>12.1535042</v>
      </c>
      <c r="EZ142" t="s">
        <v>497</v>
      </c>
      <c r="FA142" t="s">
        <v>83</v>
      </c>
      <c r="FB142">
        <v>246</v>
      </c>
      <c r="FC142" t="s">
        <v>81</v>
      </c>
      <c r="FD142">
        <v>7.9066999999999998E-2</v>
      </c>
      <c r="FE142" t="s">
        <v>74</v>
      </c>
      <c r="FF142">
        <v>79.067009999999996</v>
      </c>
      <c r="FG142" t="s">
        <v>75</v>
      </c>
      <c r="FH142">
        <v>79067.005000000005</v>
      </c>
      <c r="FI142" t="s">
        <v>76</v>
      </c>
      <c r="FJ142" t="s">
        <v>82</v>
      </c>
      <c r="FK142">
        <v>12.647500600000001</v>
      </c>
    </row>
    <row r="143" spans="1:167" x14ac:dyDescent="0.3">
      <c r="DX143" t="s">
        <v>497</v>
      </c>
      <c r="DY143" t="s">
        <v>84</v>
      </c>
      <c r="DZ143">
        <v>385</v>
      </c>
      <c r="EA143" t="s">
        <v>81</v>
      </c>
      <c r="EB143">
        <v>4.359E-3</v>
      </c>
      <c r="EC143" t="s">
        <v>74</v>
      </c>
      <c r="ED143">
        <v>4.3588100000000001</v>
      </c>
      <c r="EE143" t="s">
        <v>75</v>
      </c>
      <c r="EF143">
        <v>4358.8130000000001</v>
      </c>
      <c r="EG143" t="s">
        <v>76</v>
      </c>
      <c r="EH143" t="s">
        <v>82</v>
      </c>
      <c r="EI143">
        <v>229.42027089999999</v>
      </c>
      <c r="EL143" t="s">
        <v>497</v>
      </c>
      <c r="EM143" t="s">
        <v>84</v>
      </c>
      <c r="EN143">
        <v>236</v>
      </c>
      <c r="EO143" t="s">
        <v>81</v>
      </c>
      <c r="EP143">
        <v>8.2283999999999996E-2</v>
      </c>
      <c r="EQ143" t="s">
        <v>74</v>
      </c>
      <c r="ER143">
        <v>82.283940000000001</v>
      </c>
      <c r="ES143" t="s">
        <v>75</v>
      </c>
      <c r="ET143">
        <v>82283.941000000006</v>
      </c>
      <c r="EU143" t="s">
        <v>76</v>
      </c>
      <c r="EV143" t="s">
        <v>82</v>
      </c>
      <c r="EW143">
        <v>12.1530396</v>
      </c>
      <c r="EZ143" t="s">
        <v>497</v>
      </c>
      <c r="FA143" t="s">
        <v>84</v>
      </c>
      <c r="FB143">
        <v>247</v>
      </c>
      <c r="FC143" t="s">
        <v>81</v>
      </c>
      <c r="FD143">
        <v>7.9210000000000003E-2</v>
      </c>
      <c r="FE143" t="s">
        <v>74</v>
      </c>
      <c r="FF143">
        <v>79.209620000000001</v>
      </c>
      <c r="FG143" t="s">
        <v>75</v>
      </c>
      <c r="FH143">
        <v>79209.616999999998</v>
      </c>
      <c r="FI143" t="s">
        <v>76</v>
      </c>
      <c r="FJ143" t="s">
        <v>82</v>
      </c>
      <c r="FK143">
        <v>12.6247296</v>
      </c>
    </row>
    <row r="144" spans="1:167" x14ac:dyDescent="0.3">
      <c r="B144" t="s">
        <v>197</v>
      </c>
      <c r="P144" t="s">
        <v>197</v>
      </c>
      <c r="AD144" t="s">
        <v>197</v>
      </c>
      <c r="AR144" t="s">
        <v>321</v>
      </c>
      <c r="BF144" t="s">
        <v>321</v>
      </c>
      <c r="BT144" t="s">
        <v>321</v>
      </c>
      <c r="CH144" t="s">
        <v>437</v>
      </c>
      <c r="CV144" t="s">
        <v>437</v>
      </c>
      <c r="DJ144" t="s">
        <v>437</v>
      </c>
      <c r="DX144" t="s">
        <v>498</v>
      </c>
      <c r="DY144" t="s">
        <v>72</v>
      </c>
      <c r="DZ144">
        <v>2</v>
      </c>
      <c r="EA144" t="s">
        <v>86</v>
      </c>
      <c r="EB144">
        <v>3.5353000000000002E-2</v>
      </c>
      <c r="EC144" t="s">
        <v>74</v>
      </c>
      <c r="ED144">
        <v>35.352550000000001</v>
      </c>
      <c r="EE144" t="s">
        <v>75</v>
      </c>
      <c r="EF144">
        <v>35352.550000000003</v>
      </c>
      <c r="EG144" t="s">
        <v>76</v>
      </c>
      <c r="EH144" t="s">
        <v>82</v>
      </c>
      <c r="EI144">
        <v>28.286502299999999</v>
      </c>
      <c r="EL144" t="s">
        <v>498</v>
      </c>
      <c r="EM144" t="s">
        <v>72</v>
      </c>
      <c r="EN144">
        <v>2</v>
      </c>
      <c r="EO144" t="s">
        <v>86</v>
      </c>
      <c r="EP144">
        <v>4.1515000000000003E-2</v>
      </c>
      <c r="EQ144" t="s">
        <v>74</v>
      </c>
      <c r="ER144">
        <v>41.515300000000003</v>
      </c>
      <c r="ES144" t="s">
        <v>75</v>
      </c>
      <c r="ET144">
        <v>41515.298000000003</v>
      </c>
      <c r="EU144" t="s">
        <v>76</v>
      </c>
      <c r="EV144" t="s">
        <v>82</v>
      </c>
      <c r="EW144">
        <v>24.087506099999999</v>
      </c>
      <c r="EZ144" t="s">
        <v>498</v>
      </c>
      <c r="FA144" t="s">
        <v>72</v>
      </c>
      <c r="FB144">
        <v>2</v>
      </c>
      <c r="FC144" t="s">
        <v>86</v>
      </c>
      <c r="FD144">
        <v>5.7148999999999998E-2</v>
      </c>
      <c r="FE144" t="s">
        <v>74</v>
      </c>
      <c r="FF144">
        <v>57.1492</v>
      </c>
      <c r="FG144" t="s">
        <v>75</v>
      </c>
      <c r="FH144">
        <v>57149.201999999997</v>
      </c>
      <c r="FI144" t="s">
        <v>76</v>
      </c>
      <c r="FJ144" t="s">
        <v>82</v>
      </c>
      <c r="FK144">
        <v>17.498057200000002</v>
      </c>
    </row>
    <row r="145" spans="1:167" x14ac:dyDescent="0.3">
      <c r="B145" t="s">
        <v>72</v>
      </c>
      <c r="C145">
        <v>1</v>
      </c>
      <c r="D145" t="s">
        <v>81</v>
      </c>
      <c r="E145">
        <v>9.4850000000000004E-3</v>
      </c>
      <c r="F145" t="s">
        <v>74</v>
      </c>
      <c r="G145">
        <v>9.4849999999999994</v>
      </c>
      <c r="H145" t="s">
        <v>75</v>
      </c>
      <c r="I145">
        <v>9485</v>
      </c>
      <c r="J145" t="s">
        <v>76</v>
      </c>
      <c r="K145" t="s">
        <v>82</v>
      </c>
      <c r="L145">
        <v>105.42962780000001</v>
      </c>
      <c r="P145" t="s">
        <v>72</v>
      </c>
      <c r="Q145">
        <v>1</v>
      </c>
      <c r="R145" t="s">
        <v>81</v>
      </c>
      <c r="S145">
        <v>9.6255999999999998E-3</v>
      </c>
      <c r="T145" t="s">
        <v>74</v>
      </c>
      <c r="U145">
        <v>9.6256000000000004</v>
      </c>
      <c r="V145" t="s">
        <v>75</v>
      </c>
      <c r="W145">
        <v>9625.6</v>
      </c>
      <c r="X145" t="s">
        <v>76</v>
      </c>
      <c r="Y145" t="s">
        <v>82</v>
      </c>
      <c r="Z145">
        <v>103.8896307</v>
      </c>
      <c r="AD145" t="s">
        <v>72</v>
      </c>
      <c r="AE145">
        <v>1</v>
      </c>
      <c r="AF145" t="s">
        <v>81</v>
      </c>
      <c r="AG145">
        <v>9.5782000000000003E-3</v>
      </c>
      <c r="AH145" t="s">
        <v>74</v>
      </c>
      <c r="AI145">
        <v>9.5782000000000007</v>
      </c>
      <c r="AJ145" t="s">
        <v>75</v>
      </c>
      <c r="AK145">
        <v>9578.2000000000007</v>
      </c>
      <c r="AL145" t="s">
        <v>76</v>
      </c>
      <c r="AM145" t="s">
        <v>82</v>
      </c>
      <c r="AN145">
        <v>104.4037496</v>
      </c>
      <c r="AR145" t="s">
        <v>72</v>
      </c>
      <c r="AS145">
        <v>1</v>
      </c>
      <c r="AT145" t="s">
        <v>81</v>
      </c>
      <c r="AU145">
        <v>7.7016000000000003E-3</v>
      </c>
      <c r="AV145" t="s">
        <v>74</v>
      </c>
      <c r="AW145">
        <v>7.7016</v>
      </c>
      <c r="AX145" t="s">
        <v>75</v>
      </c>
      <c r="AY145">
        <v>7701.6</v>
      </c>
      <c r="AZ145" t="s">
        <v>76</v>
      </c>
      <c r="BA145" t="s">
        <v>82</v>
      </c>
      <c r="BB145">
        <v>129.84315000000001</v>
      </c>
      <c r="BF145" t="s">
        <v>72</v>
      </c>
      <c r="BG145">
        <v>1</v>
      </c>
      <c r="BH145" t="s">
        <v>81</v>
      </c>
      <c r="BI145">
        <v>0.27927551</v>
      </c>
      <c r="BJ145" t="s">
        <v>74</v>
      </c>
      <c r="BK145">
        <v>279.27551</v>
      </c>
      <c r="BL145" t="s">
        <v>75</v>
      </c>
      <c r="BM145">
        <v>279275.50699999998</v>
      </c>
      <c r="BN145" t="s">
        <v>76</v>
      </c>
      <c r="BO145" t="s">
        <v>82</v>
      </c>
      <c r="BP145">
        <v>3.5806935000000002</v>
      </c>
      <c r="BT145" t="s">
        <v>72</v>
      </c>
      <c r="BU145">
        <v>1</v>
      </c>
      <c r="BV145" t="s">
        <v>81</v>
      </c>
      <c r="BW145">
        <v>8.0084000000000006E-3</v>
      </c>
      <c r="BX145" t="s">
        <v>74</v>
      </c>
      <c r="BY145">
        <v>8.0084</v>
      </c>
      <c r="BZ145" t="s">
        <v>75</v>
      </c>
      <c r="CA145">
        <v>8008.4</v>
      </c>
      <c r="CB145" t="s">
        <v>76</v>
      </c>
      <c r="CC145" t="s">
        <v>82</v>
      </c>
      <c r="CD145">
        <v>124.868888</v>
      </c>
      <c r="CH145" t="s">
        <v>72</v>
      </c>
      <c r="CI145">
        <v>1</v>
      </c>
      <c r="CJ145" t="s">
        <v>81</v>
      </c>
      <c r="CK145">
        <v>7.4022999999999997E-3</v>
      </c>
      <c r="CL145" t="s">
        <v>74</v>
      </c>
      <c r="CM145">
        <v>7.4023000000000003</v>
      </c>
      <c r="CN145" t="s">
        <v>75</v>
      </c>
      <c r="CO145">
        <v>7402.3</v>
      </c>
      <c r="CP145" t="s">
        <v>76</v>
      </c>
      <c r="CQ145" t="s">
        <v>82</v>
      </c>
      <c r="CR145">
        <v>135.09314850000001</v>
      </c>
      <c r="CV145" t="s">
        <v>72</v>
      </c>
      <c r="CW145">
        <v>1</v>
      </c>
      <c r="CX145" t="s">
        <v>81</v>
      </c>
      <c r="CY145">
        <v>7.3076E-3</v>
      </c>
      <c r="CZ145" t="s">
        <v>74</v>
      </c>
      <c r="DA145">
        <v>7.3075999999999999</v>
      </c>
      <c r="DB145" t="s">
        <v>75</v>
      </c>
      <c r="DC145">
        <v>7307.6</v>
      </c>
      <c r="DD145" t="s">
        <v>76</v>
      </c>
      <c r="DE145" t="s">
        <v>82</v>
      </c>
      <c r="DF145">
        <v>136.8438295</v>
      </c>
      <c r="DJ145" t="s">
        <v>72</v>
      </c>
      <c r="DK145">
        <v>1</v>
      </c>
      <c r="DL145" t="s">
        <v>81</v>
      </c>
      <c r="DM145">
        <v>7.1704000000000004E-3</v>
      </c>
      <c r="DN145" t="s">
        <v>74</v>
      </c>
      <c r="DO145">
        <v>7.1703999999999999</v>
      </c>
      <c r="DP145" t="s">
        <v>75</v>
      </c>
      <c r="DQ145">
        <v>7170.4</v>
      </c>
      <c r="DR145" t="s">
        <v>76</v>
      </c>
      <c r="DS145" t="s">
        <v>82</v>
      </c>
      <c r="DT145">
        <v>139.46223140000001</v>
      </c>
      <c r="DX145" t="s">
        <v>498</v>
      </c>
      <c r="DY145" t="s">
        <v>83</v>
      </c>
      <c r="DZ145">
        <v>999</v>
      </c>
      <c r="EA145" t="s">
        <v>86</v>
      </c>
      <c r="EB145">
        <v>1.6969999999999999E-3</v>
      </c>
      <c r="EC145" t="s">
        <v>74</v>
      </c>
      <c r="ED145">
        <v>1.69736</v>
      </c>
      <c r="EE145" t="s">
        <v>75</v>
      </c>
      <c r="EF145">
        <v>1697.3630000000001</v>
      </c>
      <c r="EG145" t="s">
        <v>76</v>
      </c>
      <c r="EH145" t="s">
        <v>82</v>
      </c>
      <c r="EI145">
        <v>589.14905780000004</v>
      </c>
      <c r="EL145" t="s">
        <v>498</v>
      </c>
      <c r="EM145" t="s">
        <v>83</v>
      </c>
      <c r="EN145">
        <v>999</v>
      </c>
      <c r="EO145" t="s">
        <v>86</v>
      </c>
      <c r="EP145">
        <v>1.9786000000000002E-2</v>
      </c>
      <c r="EQ145" t="s">
        <v>74</v>
      </c>
      <c r="ER145">
        <v>19.786020000000001</v>
      </c>
      <c r="ES145" t="s">
        <v>75</v>
      </c>
      <c r="ET145">
        <v>19786.021000000001</v>
      </c>
      <c r="EU145" t="s">
        <v>76</v>
      </c>
      <c r="EV145" t="s">
        <v>82</v>
      </c>
      <c r="EW145">
        <v>50.540731800000003</v>
      </c>
      <c r="EZ145" t="s">
        <v>498</v>
      </c>
      <c r="FA145" t="s">
        <v>83</v>
      </c>
      <c r="FB145">
        <v>999</v>
      </c>
      <c r="FC145" t="s">
        <v>86</v>
      </c>
      <c r="FD145">
        <v>1.9789000000000001E-2</v>
      </c>
      <c r="FE145" t="s">
        <v>74</v>
      </c>
      <c r="FF145">
        <v>19.788640000000001</v>
      </c>
      <c r="FG145" t="s">
        <v>75</v>
      </c>
      <c r="FH145">
        <v>19788.645</v>
      </c>
      <c r="FI145" t="s">
        <v>76</v>
      </c>
      <c r="FJ145" t="s">
        <v>82</v>
      </c>
      <c r="FK145">
        <v>50.534031800000001</v>
      </c>
    </row>
    <row r="146" spans="1:167" x14ac:dyDescent="0.3">
      <c r="B146" t="s">
        <v>83</v>
      </c>
      <c r="C146">
        <v>1000</v>
      </c>
      <c r="D146" t="s">
        <v>81</v>
      </c>
      <c r="E146">
        <v>6.4590899999999998E-3</v>
      </c>
      <c r="F146" t="s">
        <v>74</v>
      </c>
      <c r="G146">
        <v>6.4590899999999998</v>
      </c>
      <c r="H146" t="s">
        <v>75</v>
      </c>
      <c r="I146">
        <v>6459.0910000000003</v>
      </c>
      <c r="J146" t="s">
        <v>76</v>
      </c>
      <c r="K146" t="s">
        <v>82</v>
      </c>
      <c r="L146">
        <v>154.8205423</v>
      </c>
      <c r="P146" t="s">
        <v>83</v>
      </c>
      <c r="Q146">
        <v>1000</v>
      </c>
      <c r="R146" t="s">
        <v>81</v>
      </c>
      <c r="S146">
        <v>2.7473599999999999E-3</v>
      </c>
      <c r="T146" t="s">
        <v>74</v>
      </c>
      <c r="U146">
        <v>2.74736</v>
      </c>
      <c r="V146" t="s">
        <v>75</v>
      </c>
      <c r="W146">
        <v>2747.357</v>
      </c>
      <c r="X146" t="s">
        <v>76</v>
      </c>
      <c r="Y146" t="s">
        <v>82</v>
      </c>
      <c r="Z146">
        <v>363.9862334</v>
      </c>
      <c r="AD146" t="s">
        <v>83</v>
      </c>
      <c r="AE146">
        <v>1000</v>
      </c>
      <c r="AF146" t="s">
        <v>81</v>
      </c>
      <c r="AG146">
        <v>6.5401900000000004E-3</v>
      </c>
      <c r="AH146" t="s">
        <v>74</v>
      </c>
      <c r="AI146">
        <v>6.5401899999999999</v>
      </c>
      <c r="AJ146" t="s">
        <v>75</v>
      </c>
      <c r="AK146">
        <v>6540.1930000000002</v>
      </c>
      <c r="AL146" t="s">
        <v>76</v>
      </c>
      <c r="AM146" t="s">
        <v>82</v>
      </c>
      <c r="AN146">
        <v>152.9006847</v>
      </c>
      <c r="AR146" t="s">
        <v>83</v>
      </c>
      <c r="AS146">
        <v>1000</v>
      </c>
      <c r="AT146" t="s">
        <v>81</v>
      </c>
      <c r="AU146">
        <v>5.8548100000000002E-3</v>
      </c>
      <c r="AV146" t="s">
        <v>74</v>
      </c>
      <c r="AW146">
        <v>5.8548099999999996</v>
      </c>
      <c r="AX146" t="s">
        <v>75</v>
      </c>
      <c r="AY146">
        <v>5854.8119999999999</v>
      </c>
      <c r="AZ146" t="s">
        <v>76</v>
      </c>
      <c r="BA146" t="s">
        <v>82</v>
      </c>
      <c r="BB146">
        <v>170.79967300000001</v>
      </c>
      <c r="BF146" t="s">
        <v>83</v>
      </c>
      <c r="BG146">
        <v>1000</v>
      </c>
      <c r="BH146" t="s">
        <v>81</v>
      </c>
      <c r="BI146">
        <v>2.75632E-3</v>
      </c>
      <c r="BJ146" t="s">
        <v>74</v>
      </c>
      <c r="BK146">
        <v>2.7563200000000001</v>
      </c>
      <c r="BL146" t="s">
        <v>75</v>
      </c>
      <c r="BM146">
        <v>2756.3220000000001</v>
      </c>
      <c r="BN146" t="s">
        <v>76</v>
      </c>
      <c r="BO146" t="s">
        <v>82</v>
      </c>
      <c r="BP146">
        <v>362.80229500000002</v>
      </c>
      <c r="BT146" t="s">
        <v>83</v>
      </c>
      <c r="BU146">
        <v>1000</v>
      </c>
      <c r="BV146" t="s">
        <v>81</v>
      </c>
      <c r="BW146">
        <v>5.9308599999999996E-3</v>
      </c>
      <c r="BX146" t="s">
        <v>74</v>
      </c>
      <c r="BY146">
        <v>5.93086</v>
      </c>
      <c r="BZ146" t="s">
        <v>75</v>
      </c>
      <c r="CA146">
        <v>5930.8630000000003</v>
      </c>
      <c r="CB146" t="s">
        <v>76</v>
      </c>
      <c r="CC146" t="s">
        <v>82</v>
      </c>
      <c r="CD146">
        <v>168.6095153</v>
      </c>
      <c r="CH146" t="s">
        <v>83</v>
      </c>
      <c r="CI146">
        <v>1000</v>
      </c>
      <c r="CJ146" t="s">
        <v>81</v>
      </c>
      <c r="CK146">
        <v>5.7964100000000001E-3</v>
      </c>
      <c r="CL146" t="s">
        <v>74</v>
      </c>
      <c r="CM146">
        <v>5.7964099999999998</v>
      </c>
      <c r="CN146" t="s">
        <v>75</v>
      </c>
      <c r="CO146">
        <v>5796.4080000000004</v>
      </c>
      <c r="CP146" t="s">
        <v>76</v>
      </c>
      <c r="CQ146" t="s">
        <v>82</v>
      </c>
      <c r="CR146">
        <v>172.52064590000001</v>
      </c>
      <c r="CV146" t="s">
        <v>83</v>
      </c>
      <c r="CW146">
        <v>1000</v>
      </c>
      <c r="CX146" t="s">
        <v>81</v>
      </c>
      <c r="CY146">
        <v>2.77852E-3</v>
      </c>
      <c r="CZ146" t="s">
        <v>74</v>
      </c>
      <c r="DA146">
        <v>2.7785199999999999</v>
      </c>
      <c r="DB146" t="s">
        <v>75</v>
      </c>
      <c r="DC146">
        <v>2778.5169999999998</v>
      </c>
      <c r="DD146" t="s">
        <v>76</v>
      </c>
      <c r="DE146" t="s">
        <v>82</v>
      </c>
      <c r="DF146">
        <v>359.90428300000002</v>
      </c>
      <c r="DJ146" t="s">
        <v>83</v>
      </c>
      <c r="DK146">
        <v>1000</v>
      </c>
      <c r="DL146" t="s">
        <v>81</v>
      </c>
      <c r="DM146">
        <v>5.8004199999999997E-3</v>
      </c>
      <c r="DN146" t="s">
        <v>74</v>
      </c>
      <c r="DO146">
        <v>5.8004199999999999</v>
      </c>
      <c r="DP146" t="s">
        <v>75</v>
      </c>
      <c r="DQ146">
        <v>5800.4219999999996</v>
      </c>
      <c r="DR146" t="s">
        <v>76</v>
      </c>
      <c r="DS146" t="s">
        <v>82</v>
      </c>
      <c r="DT146">
        <v>172.40124370000001</v>
      </c>
      <c r="DX146" t="s">
        <v>498</v>
      </c>
      <c r="DY146" t="s">
        <v>85</v>
      </c>
      <c r="DZ146">
        <v>1001</v>
      </c>
      <c r="EA146" t="s">
        <v>86</v>
      </c>
      <c r="EB146">
        <v>1.74E-3</v>
      </c>
      <c r="EC146" t="s">
        <v>74</v>
      </c>
      <c r="ED146">
        <v>1.7402599999999999</v>
      </c>
      <c r="EE146" t="s">
        <v>75</v>
      </c>
      <c r="EF146">
        <v>1740.2570000000001</v>
      </c>
      <c r="EG146" t="s">
        <v>76</v>
      </c>
      <c r="EH146" t="s">
        <v>82</v>
      </c>
      <c r="EI146">
        <v>574.62781480000001</v>
      </c>
      <c r="EL146" t="s">
        <v>498</v>
      </c>
      <c r="EM146" t="s">
        <v>85</v>
      </c>
      <c r="EN146">
        <v>1001</v>
      </c>
      <c r="EO146" t="s">
        <v>86</v>
      </c>
      <c r="EP146">
        <v>1.9803999999999999E-2</v>
      </c>
      <c r="EQ146" t="s">
        <v>74</v>
      </c>
      <c r="ER146">
        <v>19.80433</v>
      </c>
      <c r="ES146" t="s">
        <v>75</v>
      </c>
      <c r="ET146">
        <v>19804.333999999999</v>
      </c>
      <c r="EU146" t="s">
        <v>76</v>
      </c>
      <c r="EV146" t="s">
        <v>82</v>
      </c>
      <c r="EW146">
        <v>50.493997100000001</v>
      </c>
      <c r="EZ146" t="s">
        <v>498</v>
      </c>
      <c r="FA146" t="s">
        <v>85</v>
      </c>
      <c r="FB146">
        <v>1001</v>
      </c>
      <c r="FC146" t="s">
        <v>86</v>
      </c>
      <c r="FD146">
        <v>1.9792000000000001E-2</v>
      </c>
      <c r="FE146" t="s">
        <v>74</v>
      </c>
      <c r="FF146">
        <v>19.792079999999999</v>
      </c>
      <c r="FG146" t="s">
        <v>75</v>
      </c>
      <c r="FH146">
        <v>19792.080000000002</v>
      </c>
      <c r="FI146" t="s">
        <v>76</v>
      </c>
      <c r="FJ146" t="s">
        <v>82</v>
      </c>
      <c r="FK146">
        <v>50.525259599999998</v>
      </c>
    </row>
    <row r="147" spans="1:167" x14ac:dyDescent="0.3">
      <c r="B147" t="s">
        <v>85</v>
      </c>
      <c r="C147">
        <v>1001</v>
      </c>
      <c r="D147" t="s">
        <v>86</v>
      </c>
      <c r="E147">
        <v>6.4623299999999996E-3</v>
      </c>
      <c r="F147" t="s">
        <v>74</v>
      </c>
      <c r="G147">
        <v>6.4623299999999997</v>
      </c>
      <c r="H147" t="s">
        <v>75</v>
      </c>
      <c r="I147">
        <v>6462.3339999999998</v>
      </c>
      <c r="J147" t="s">
        <v>76</v>
      </c>
      <c r="K147" t="s">
        <v>82</v>
      </c>
      <c r="L147">
        <v>154.7428549</v>
      </c>
      <c r="P147" t="s">
        <v>85</v>
      </c>
      <c r="Q147">
        <v>1001</v>
      </c>
      <c r="R147" t="s">
        <v>86</v>
      </c>
      <c r="S147">
        <v>2.7543899999999998E-3</v>
      </c>
      <c r="T147" t="s">
        <v>74</v>
      </c>
      <c r="U147">
        <v>2.7543899999999999</v>
      </c>
      <c r="V147" t="s">
        <v>75</v>
      </c>
      <c r="W147">
        <v>2754.386</v>
      </c>
      <c r="X147" t="s">
        <v>76</v>
      </c>
      <c r="Y147" t="s">
        <v>82</v>
      </c>
      <c r="Z147">
        <v>363.05728720000002</v>
      </c>
      <c r="AD147" t="s">
        <v>85</v>
      </c>
      <c r="AE147">
        <v>1001</v>
      </c>
      <c r="AF147" t="s">
        <v>86</v>
      </c>
      <c r="AG147">
        <v>6.5434100000000004E-3</v>
      </c>
      <c r="AH147" t="s">
        <v>74</v>
      </c>
      <c r="AI147">
        <v>6.5434099999999997</v>
      </c>
      <c r="AJ147" t="s">
        <v>75</v>
      </c>
      <c r="AK147">
        <v>6543.4089999999997</v>
      </c>
      <c r="AL147" t="s">
        <v>76</v>
      </c>
      <c r="AM147" t="s">
        <v>82</v>
      </c>
      <c r="AN147">
        <v>152.82554669999999</v>
      </c>
      <c r="AR147" t="s">
        <v>85</v>
      </c>
      <c r="AS147">
        <v>1001</v>
      </c>
      <c r="AT147" t="s">
        <v>86</v>
      </c>
      <c r="AU147">
        <v>5.8569E-3</v>
      </c>
      <c r="AV147" t="s">
        <v>74</v>
      </c>
      <c r="AW147">
        <v>5.8569000000000004</v>
      </c>
      <c r="AX147" t="s">
        <v>75</v>
      </c>
      <c r="AY147">
        <v>5856.8990000000003</v>
      </c>
      <c r="AZ147" t="s">
        <v>76</v>
      </c>
      <c r="BA147" t="s">
        <v>82</v>
      </c>
      <c r="BB147">
        <v>170.73880560000001</v>
      </c>
      <c r="BF147" t="s">
        <v>85</v>
      </c>
      <c r="BG147">
        <v>1001</v>
      </c>
      <c r="BH147" t="s">
        <v>86</v>
      </c>
      <c r="BI147">
        <v>3.0327599999999998E-3</v>
      </c>
      <c r="BJ147" t="s">
        <v>74</v>
      </c>
      <c r="BK147">
        <v>3.0327600000000001</v>
      </c>
      <c r="BL147" t="s">
        <v>75</v>
      </c>
      <c r="BM147">
        <v>3032.7629999999999</v>
      </c>
      <c r="BN147" t="s">
        <v>76</v>
      </c>
      <c r="BO147" t="s">
        <v>82</v>
      </c>
      <c r="BP147">
        <v>329.73236059999999</v>
      </c>
      <c r="BT147" t="s">
        <v>85</v>
      </c>
      <c r="BU147">
        <v>1001</v>
      </c>
      <c r="BV147" t="s">
        <v>86</v>
      </c>
      <c r="BW147">
        <v>5.9332400000000002E-3</v>
      </c>
      <c r="BX147" t="s">
        <v>74</v>
      </c>
      <c r="BY147">
        <v>5.9332399999999996</v>
      </c>
      <c r="BZ147" t="s">
        <v>75</v>
      </c>
      <c r="CA147">
        <v>5933.2439999999997</v>
      </c>
      <c r="CB147" t="s">
        <v>76</v>
      </c>
      <c r="CC147" t="s">
        <v>82</v>
      </c>
      <c r="CD147">
        <v>168.5418693</v>
      </c>
      <c r="CH147" t="s">
        <v>85</v>
      </c>
      <c r="CI147">
        <v>1001</v>
      </c>
      <c r="CJ147" t="s">
        <v>86</v>
      </c>
      <c r="CK147">
        <v>5.7981700000000001E-3</v>
      </c>
      <c r="CL147" t="s">
        <v>74</v>
      </c>
      <c r="CM147">
        <v>5.7981699999999998</v>
      </c>
      <c r="CN147" t="s">
        <v>75</v>
      </c>
      <c r="CO147">
        <v>5798.174</v>
      </c>
      <c r="CP147" t="s">
        <v>76</v>
      </c>
      <c r="CQ147" t="s">
        <v>82</v>
      </c>
      <c r="CR147">
        <v>172.46808870000001</v>
      </c>
      <c r="CV147" t="s">
        <v>85</v>
      </c>
      <c r="CW147">
        <v>1001</v>
      </c>
      <c r="CX147" t="s">
        <v>86</v>
      </c>
      <c r="CY147">
        <v>2.7832400000000002E-3</v>
      </c>
      <c r="CZ147" t="s">
        <v>74</v>
      </c>
      <c r="DA147">
        <v>2.7832400000000002</v>
      </c>
      <c r="DB147" t="s">
        <v>75</v>
      </c>
      <c r="DC147">
        <v>2783.2379999999998</v>
      </c>
      <c r="DD147" t="s">
        <v>76</v>
      </c>
      <c r="DE147" t="s">
        <v>82</v>
      </c>
      <c r="DF147">
        <v>359.29377490000002</v>
      </c>
      <c r="DJ147" t="s">
        <v>85</v>
      </c>
      <c r="DK147">
        <v>1001</v>
      </c>
      <c r="DL147" t="s">
        <v>86</v>
      </c>
      <c r="DM147">
        <v>5.8019500000000002E-3</v>
      </c>
      <c r="DN147" t="s">
        <v>74</v>
      </c>
      <c r="DO147">
        <v>5.8019499999999997</v>
      </c>
      <c r="DP147" t="s">
        <v>75</v>
      </c>
      <c r="DQ147">
        <v>5801.9539999999997</v>
      </c>
      <c r="DR147" t="s">
        <v>76</v>
      </c>
      <c r="DS147" t="s">
        <v>82</v>
      </c>
      <c r="DT147">
        <v>172.35572730000001</v>
      </c>
    </row>
    <row r="148" spans="1:167" x14ac:dyDescent="0.3">
      <c r="DW148">
        <v>10</v>
      </c>
      <c r="DX148" t="s">
        <v>523</v>
      </c>
      <c r="EK148">
        <v>10</v>
      </c>
      <c r="EL148" t="s">
        <v>523</v>
      </c>
      <c r="EY148">
        <v>10</v>
      </c>
      <c r="EZ148" t="s">
        <v>523</v>
      </c>
    </row>
    <row r="149" spans="1:167" x14ac:dyDescent="0.3">
      <c r="A149">
        <v>16</v>
      </c>
      <c r="B149" t="s">
        <v>203</v>
      </c>
      <c r="O149">
        <v>16</v>
      </c>
      <c r="P149" t="s">
        <v>203</v>
      </c>
      <c r="AC149">
        <v>16</v>
      </c>
      <c r="AD149" t="s">
        <v>203</v>
      </c>
      <c r="AQ149">
        <v>16</v>
      </c>
      <c r="AR149" t="s">
        <v>325</v>
      </c>
      <c r="BE149">
        <v>16</v>
      </c>
      <c r="BF149" t="s">
        <v>325</v>
      </c>
      <c r="BS149">
        <v>16</v>
      </c>
      <c r="BT149" t="s">
        <v>325</v>
      </c>
      <c r="CG149">
        <v>16</v>
      </c>
      <c r="CH149" t="s">
        <v>441</v>
      </c>
      <c r="CU149">
        <v>16</v>
      </c>
      <c r="CV149" t="s">
        <v>441</v>
      </c>
      <c r="DI149">
        <v>16</v>
      </c>
      <c r="DJ149" t="s">
        <v>441</v>
      </c>
      <c r="DX149" t="s">
        <v>496</v>
      </c>
      <c r="DY149" t="s">
        <v>72</v>
      </c>
      <c r="DZ149">
        <v>1</v>
      </c>
      <c r="EA149" t="s">
        <v>81</v>
      </c>
      <c r="EB149">
        <v>0.52940600000000004</v>
      </c>
      <c r="EC149" t="s">
        <v>74</v>
      </c>
      <c r="ED149">
        <v>529.40630999999996</v>
      </c>
      <c r="EE149" t="s">
        <v>75</v>
      </c>
      <c r="EF149">
        <v>529406.30900000001</v>
      </c>
      <c r="EG149" t="s">
        <v>76</v>
      </c>
      <c r="EH149" t="s">
        <v>82</v>
      </c>
      <c r="EI149">
        <v>1.8889084</v>
      </c>
      <c r="EL149" t="s">
        <v>496</v>
      </c>
      <c r="EM149" t="s">
        <v>72</v>
      </c>
      <c r="EN149">
        <v>1</v>
      </c>
      <c r="EO149" t="s">
        <v>81</v>
      </c>
      <c r="EP149">
        <v>0.50708900000000001</v>
      </c>
      <c r="EQ149" t="s">
        <v>74</v>
      </c>
      <c r="ER149">
        <v>507.08859999999999</v>
      </c>
      <c r="ES149" t="s">
        <v>75</v>
      </c>
      <c r="ET149">
        <v>507088.60200000001</v>
      </c>
      <c r="EU149" t="s">
        <v>76</v>
      </c>
      <c r="EV149" t="s">
        <v>82</v>
      </c>
      <c r="EW149">
        <v>1.9720420000000001</v>
      </c>
      <c r="EZ149" t="s">
        <v>496</v>
      </c>
      <c r="FA149" t="s">
        <v>72</v>
      </c>
      <c r="FB149">
        <v>1</v>
      </c>
      <c r="FC149" t="s">
        <v>81</v>
      </c>
      <c r="FD149">
        <v>0.51269100000000001</v>
      </c>
      <c r="FE149" t="s">
        <v>74</v>
      </c>
      <c r="FF149">
        <v>512.69090000000006</v>
      </c>
      <c r="FG149" t="s">
        <v>75</v>
      </c>
      <c r="FH149">
        <v>512690.902</v>
      </c>
      <c r="FI149" t="s">
        <v>76</v>
      </c>
      <c r="FJ149" t="s">
        <v>82</v>
      </c>
      <c r="FK149">
        <v>1.950493</v>
      </c>
    </row>
    <row r="150" spans="1:167" x14ac:dyDescent="0.3">
      <c r="B150" t="s">
        <v>72</v>
      </c>
      <c r="C150">
        <v>1</v>
      </c>
      <c r="D150" t="s">
        <v>81</v>
      </c>
      <c r="E150">
        <v>0.38681518999999998</v>
      </c>
      <c r="F150" t="s">
        <v>74</v>
      </c>
      <c r="G150">
        <v>386.81518999999997</v>
      </c>
      <c r="H150" t="s">
        <v>75</v>
      </c>
      <c r="I150">
        <v>386815.19</v>
      </c>
      <c r="J150" t="s">
        <v>76</v>
      </c>
      <c r="K150" t="s">
        <v>82</v>
      </c>
      <c r="L150">
        <v>2.5852138999999998</v>
      </c>
      <c r="P150" t="s">
        <v>72</v>
      </c>
      <c r="Q150">
        <v>1</v>
      </c>
      <c r="R150" t="s">
        <v>81</v>
      </c>
      <c r="S150">
        <v>0.37442790999999997</v>
      </c>
      <c r="T150" t="s">
        <v>74</v>
      </c>
      <c r="U150">
        <v>374.42791</v>
      </c>
      <c r="V150" t="s">
        <v>75</v>
      </c>
      <c r="W150">
        <v>374427.91499999998</v>
      </c>
      <c r="X150" t="s">
        <v>76</v>
      </c>
      <c r="Y150" t="s">
        <v>82</v>
      </c>
      <c r="Z150">
        <v>2.670741</v>
      </c>
      <c r="AD150" t="s">
        <v>72</v>
      </c>
      <c r="AE150">
        <v>1</v>
      </c>
      <c r="AF150" t="s">
        <v>81</v>
      </c>
      <c r="AG150">
        <v>0.3867411</v>
      </c>
      <c r="AH150" t="s">
        <v>74</v>
      </c>
      <c r="AI150">
        <v>386.74110000000002</v>
      </c>
      <c r="AJ150" t="s">
        <v>75</v>
      </c>
      <c r="AK150">
        <v>386741.10200000001</v>
      </c>
      <c r="AL150" t="s">
        <v>76</v>
      </c>
      <c r="AM150" t="s">
        <v>82</v>
      </c>
      <c r="AN150">
        <v>2.5857090999999999</v>
      </c>
      <c r="AR150" t="s">
        <v>72</v>
      </c>
      <c r="AS150">
        <v>1</v>
      </c>
      <c r="AT150" t="s">
        <v>81</v>
      </c>
      <c r="AU150">
        <v>0.49351709999999999</v>
      </c>
      <c r="AV150" t="s">
        <v>74</v>
      </c>
      <c r="AW150">
        <v>493.51710000000003</v>
      </c>
      <c r="AX150" t="s">
        <v>75</v>
      </c>
      <c r="AY150">
        <v>493517.10100000002</v>
      </c>
      <c r="AZ150" t="s">
        <v>76</v>
      </c>
      <c r="BA150" t="s">
        <v>82</v>
      </c>
      <c r="BB150">
        <v>2.0262722000000002</v>
      </c>
      <c r="BF150" t="s">
        <v>72</v>
      </c>
      <c r="BG150">
        <v>1</v>
      </c>
      <c r="BH150" t="s">
        <v>81</v>
      </c>
      <c r="BI150">
        <v>0.15162249999999999</v>
      </c>
      <c r="BJ150" t="s">
        <v>74</v>
      </c>
      <c r="BK150">
        <v>151.6225</v>
      </c>
      <c r="BL150" t="s">
        <v>75</v>
      </c>
      <c r="BM150">
        <v>151622.50399999999</v>
      </c>
      <c r="BN150" t="s">
        <v>76</v>
      </c>
      <c r="BO150" t="s">
        <v>82</v>
      </c>
      <c r="BP150">
        <v>6.5953270000000002</v>
      </c>
      <c r="BT150" t="s">
        <v>72</v>
      </c>
      <c r="BU150">
        <v>1</v>
      </c>
      <c r="BV150" t="s">
        <v>81</v>
      </c>
      <c r="BW150">
        <v>0.15319070000000001</v>
      </c>
      <c r="BX150" t="s">
        <v>74</v>
      </c>
      <c r="BY150">
        <v>153.19069999999999</v>
      </c>
      <c r="BZ150" t="s">
        <v>75</v>
      </c>
      <c r="CA150">
        <v>153190.70199999999</v>
      </c>
      <c r="CB150" t="s">
        <v>76</v>
      </c>
      <c r="CC150" t="s">
        <v>82</v>
      </c>
      <c r="CD150">
        <v>6.5278112999999998</v>
      </c>
      <c r="CH150" t="s">
        <v>72</v>
      </c>
      <c r="CI150">
        <v>1</v>
      </c>
      <c r="CJ150" t="s">
        <v>81</v>
      </c>
      <c r="CK150">
        <v>0.15956308999999999</v>
      </c>
      <c r="CL150" t="s">
        <v>74</v>
      </c>
      <c r="CM150">
        <v>159.56308999999999</v>
      </c>
      <c r="CN150" t="s">
        <v>75</v>
      </c>
      <c r="CO150">
        <v>159563.09400000001</v>
      </c>
      <c r="CP150" t="s">
        <v>76</v>
      </c>
      <c r="CQ150" t="s">
        <v>82</v>
      </c>
      <c r="CR150">
        <v>6.2671134000000004</v>
      </c>
      <c r="CV150" t="s">
        <v>72</v>
      </c>
      <c r="CW150">
        <v>1</v>
      </c>
      <c r="CX150" t="s">
        <v>81</v>
      </c>
      <c r="CY150">
        <v>0.15615899999999999</v>
      </c>
      <c r="CZ150" t="s">
        <v>74</v>
      </c>
      <c r="DA150">
        <v>156.15899999999999</v>
      </c>
      <c r="DB150" t="s">
        <v>75</v>
      </c>
      <c r="DC150">
        <v>156158.99900000001</v>
      </c>
      <c r="DD150" t="s">
        <v>76</v>
      </c>
      <c r="DE150" t="s">
        <v>82</v>
      </c>
      <c r="DF150">
        <v>6.4037296000000001</v>
      </c>
      <c r="DJ150" t="s">
        <v>72</v>
      </c>
      <c r="DK150">
        <v>1</v>
      </c>
      <c r="DL150" t="s">
        <v>81</v>
      </c>
      <c r="DM150">
        <v>0.15881790000000001</v>
      </c>
      <c r="DN150" t="s">
        <v>74</v>
      </c>
      <c r="DO150">
        <v>158.81790000000001</v>
      </c>
      <c r="DP150" t="s">
        <v>75</v>
      </c>
      <c r="DQ150">
        <v>158817.902</v>
      </c>
      <c r="DR150" t="s">
        <v>76</v>
      </c>
      <c r="DS150" t="s">
        <v>82</v>
      </c>
      <c r="DT150">
        <v>6.2965194000000002</v>
      </c>
      <c r="DX150" t="s">
        <v>496</v>
      </c>
      <c r="DY150" t="s">
        <v>83</v>
      </c>
      <c r="DZ150">
        <v>402</v>
      </c>
      <c r="EA150" t="s">
        <v>81</v>
      </c>
      <c r="EB150">
        <v>2.0890000000000001E-3</v>
      </c>
      <c r="EC150" t="s">
        <v>74</v>
      </c>
      <c r="ED150">
        <v>2.08935</v>
      </c>
      <c r="EE150" t="s">
        <v>75</v>
      </c>
      <c r="EF150">
        <v>2089.3519999999999</v>
      </c>
      <c r="EG150" t="s">
        <v>76</v>
      </c>
      <c r="EH150" t="s">
        <v>82</v>
      </c>
      <c r="EI150">
        <v>478.6173258</v>
      </c>
      <c r="EL150" t="s">
        <v>496</v>
      </c>
      <c r="EM150" t="s">
        <v>83</v>
      </c>
      <c r="EN150">
        <v>631</v>
      </c>
      <c r="EO150" t="s">
        <v>81</v>
      </c>
      <c r="EP150">
        <v>1.6237999999999999E-2</v>
      </c>
      <c r="EQ150" t="s">
        <v>74</v>
      </c>
      <c r="ER150">
        <v>16.237860000000001</v>
      </c>
      <c r="ES150" t="s">
        <v>75</v>
      </c>
      <c r="ET150">
        <v>16237.86</v>
      </c>
      <c r="EU150" t="s">
        <v>76</v>
      </c>
      <c r="EV150" t="s">
        <v>82</v>
      </c>
      <c r="EW150">
        <v>61.584468200000003</v>
      </c>
      <c r="EZ150" t="s">
        <v>496</v>
      </c>
      <c r="FA150" t="s">
        <v>83</v>
      </c>
      <c r="FB150">
        <v>642</v>
      </c>
      <c r="FC150" t="s">
        <v>81</v>
      </c>
      <c r="FD150">
        <v>1.6653000000000001E-2</v>
      </c>
      <c r="FE150" t="s">
        <v>74</v>
      </c>
      <c r="FF150">
        <v>16.652650000000001</v>
      </c>
      <c r="FG150" t="s">
        <v>75</v>
      </c>
      <c r="FH150">
        <v>16652.649000000001</v>
      </c>
      <c r="FI150" t="s">
        <v>76</v>
      </c>
      <c r="FJ150" t="s">
        <v>82</v>
      </c>
      <c r="FK150">
        <v>60.050504500000002</v>
      </c>
    </row>
    <row r="151" spans="1:167" x14ac:dyDescent="0.3">
      <c r="B151" t="s">
        <v>83</v>
      </c>
      <c r="C151">
        <v>1000</v>
      </c>
      <c r="D151" t="s">
        <v>81</v>
      </c>
      <c r="E151">
        <v>1.4649000000000001E-3</v>
      </c>
      <c r="F151" t="s">
        <v>74</v>
      </c>
      <c r="G151">
        <v>1.4649000000000001</v>
      </c>
      <c r="H151" t="s">
        <v>75</v>
      </c>
      <c r="I151">
        <v>1464.895</v>
      </c>
      <c r="J151" t="s">
        <v>76</v>
      </c>
      <c r="K151" t="s">
        <v>82</v>
      </c>
      <c r="L151">
        <v>682.64261199999999</v>
      </c>
      <c r="P151" t="s">
        <v>83</v>
      </c>
      <c r="Q151">
        <v>1000</v>
      </c>
      <c r="R151" t="s">
        <v>81</v>
      </c>
      <c r="S151">
        <v>1.7154900000000001E-2</v>
      </c>
      <c r="T151" t="s">
        <v>74</v>
      </c>
      <c r="U151">
        <v>17.154900000000001</v>
      </c>
      <c r="V151" t="s">
        <v>75</v>
      </c>
      <c r="W151">
        <v>17154.902999999998</v>
      </c>
      <c r="X151" t="s">
        <v>76</v>
      </c>
      <c r="Y151" t="s">
        <v>82</v>
      </c>
      <c r="Z151">
        <v>58.292371299999999</v>
      </c>
      <c r="AD151" t="s">
        <v>83</v>
      </c>
      <c r="AE151">
        <v>1000</v>
      </c>
      <c r="AF151" t="s">
        <v>81</v>
      </c>
      <c r="AG151">
        <v>1.719321E-2</v>
      </c>
      <c r="AH151" t="s">
        <v>74</v>
      </c>
      <c r="AI151">
        <v>17.193210000000001</v>
      </c>
      <c r="AJ151" t="s">
        <v>75</v>
      </c>
      <c r="AK151">
        <v>17193.206999999999</v>
      </c>
      <c r="AL151" t="s">
        <v>76</v>
      </c>
      <c r="AM151" t="s">
        <v>82</v>
      </c>
      <c r="AN151">
        <v>58.162506399999998</v>
      </c>
      <c r="AR151" t="s">
        <v>83</v>
      </c>
      <c r="AS151">
        <v>1000</v>
      </c>
      <c r="AT151" t="s">
        <v>81</v>
      </c>
      <c r="AU151">
        <v>2.2380099999999999E-3</v>
      </c>
      <c r="AV151" t="s">
        <v>74</v>
      </c>
      <c r="AW151">
        <v>2.2380100000000001</v>
      </c>
      <c r="AX151" t="s">
        <v>75</v>
      </c>
      <c r="AY151">
        <v>2238.0100000000002</v>
      </c>
      <c r="AZ151" t="s">
        <v>76</v>
      </c>
      <c r="BA151" t="s">
        <v>82</v>
      </c>
      <c r="BB151">
        <v>446.82554210000001</v>
      </c>
      <c r="BF151" t="s">
        <v>83</v>
      </c>
      <c r="BG151">
        <v>1000</v>
      </c>
      <c r="BH151" t="s">
        <v>81</v>
      </c>
      <c r="BI151">
        <v>1.788505E-2</v>
      </c>
      <c r="BJ151" t="s">
        <v>74</v>
      </c>
      <c r="BK151">
        <v>17.88505</v>
      </c>
      <c r="BL151" t="s">
        <v>75</v>
      </c>
      <c r="BM151">
        <v>17885.052</v>
      </c>
      <c r="BN151" t="s">
        <v>76</v>
      </c>
      <c r="BO151" t="s">
        <v>82</v>
      </c>
      <c r="BP151">
        <v>55.912614400000002</v>
      </c>
      <c r="BT151" t="s">
        <v>83</v>
      </c>
      <c r="BU151">
        <v>1000</v>
      </c>
      <c r="BV151" t="s">
        <v>81</v>
      </c>
      <c r="BW151">
        <v>1.864236E-2</v>
      </c>
      <c r="BX151" t="s">
        <v>74</v>
      </c>
      <c r="BY151">
        <v>18.64236</v>
      </c>
      <c r="BZ151" t="s">
        <v>75</v>
      </c>
      <c r="CA151">
        <v>18642.357</v>
      </c>
      <c r="CB151" t="s">
        <v>76</v>
      </c>
      <c r="CC151" t="s">
        <v>82</v>
      </c>
      <c r="CD151">
        <v>53.641286200000003</v>
      </c>
      <c r="CH151" t="s">
        <v>83</v>
      </c>
      <c r="CI151">
        <v>1000</v>
      </c>
      <c r="CJ151" t="s">
        <v>81</v>
      </c>
      <c r="CK151">
        <v>2.2423500000000002E-3</v>
      </c>
      <c r="CL151" t="s">
        <v>74</v>
      </c>
      <c r="CM151">
        <v>2.2423500000000001</v>
      </c>
      <c r="CN151" t="s">
        <v>75</v>
      </c>
      <c r="CO151">
        <v>2242.3530000000001</v>
      </c>
      <c r="CP151" t="s">
        <v>76</v>
      </c>
      <c r="CQ151" t="s">
        <v>82</v>
      </c>
      <c r="CR151">
        <v>445.96016909999997</v>
      </c>
      <c r="CV151" t="s">
        <v>83</v>
      </c>
      <c r="CW151">
        <v>1000</v>
      </c>
      <c r="CX151" t="s">
        <v>81</v>
      </c>
      <c r="CY151">
        <v>1.8091610000000001E-2</v>
      </c>
      <c r="CZ151" t="s">
        <v>74</v>
      </c>
      <c r="DA151">
        <v>18.091609999999999</v>
      </c>
      <c r="DB151" t="s">
        <v>75</v>
      </c>
      <c r="DC151">
        <v>18091.61</v>
      </c>
      <c r="DD151" t="s">
        <v>76</v>
      </c>
      <c r="DE151" t="s">
        <v>82</v>
      </c>
      <c r="DF151">
        <v>55.274240499999998</v>
      </c>
      <c r="DJ151" t="s">
        <v>83</v>
      </c>
      <c r="DK151">
        <v>1000</v>
      </c>
      <c r="DL151" t="s">
        <v>81</v>
      </c>
      <c r="DM151">
        <v>1.8211249999999998E-2</v>
      </c>
      <c r="DN151" t="s">
        <v>74</v>
      </c>
      <c r="DO151">
        <v>18.21125</v>
      </c>
      <c r="DP151" t="s">
        <v>75</v>
      </c>
      <c r="DQ151">
        <v>18211.252</v>
      </c>
      <c r="DR151" t="s">
        <v>76</v>
      </c>
      <c r="DS151" t="s">
        <v>82</v>
      </c>
      <c r="DT151">
        <v>54.911105999999997</v>
      </c>
      <c r="DX151" t="s">
        <v>496</v>
      </c>
      <c r="DY151" t="s">
        <v>84</v>
      </c>
      <c r="DZ151">
        <v>403</v>
      </c>
      <c r="EA151" t="s">
        <v>81</v>
      </c>
      <c r="EB151">
        <v>3.398E-3</v>
      </c>
      <c r="EC151" t="s">
        <v>74</v>
      </c>
      <c r="ED151">
        <v>3.3978299999999999</v>
      </c>
      <c r="EE151" t="s">
        <v>75</v>
      </c>
      <c r="EF151">
        <v>3397.8290000000002</v>
      </c>
      <c r="EG151" t="s">
        <v>76</v>
      </c>
      <c r="EH151" t="s">
        <v>82</v>
      </c>
      <c r="EI151">
        <v>294.30552829999999</v>
      </c>
      <c r="EL151" t="s">
        <v>496</v>
      </c>
      <c r="EM151" t="s">
        <v>84</v>
      </c>
      <c r="EN151">
        <v>632</v>
      </c>
      <c r="EO151" t="s">
        <v>81</v>
      </c>
      <c r="EP151">
        <v>1.7014999999999999E-2</v>
      </c>
      <c r="EQ151" t="s">
        <v>74</v>
      </c>
      <c r="ER151">
        <v>17.014520000000001</v>
      </c>
      <c r="ES151" t="s">
        <v>75</v>
      </c>
      <c r="ET151">
        <v>17014.519</v>
      </c>
      <c r="EU151" t="s">
        <v>76</v>
      </c>
      <c r="EV151" t="s">
        <v>82</v>
      </c>
      <c r="EW151">
        <v>58.773335000000003</v>
      </c>
      <c r="EZ151" t="s">
        <v>496</v>
      </c>
      <c r="FA151" t="s">
        <v>84</v>
      </c>
      <c r="FB151">
        <v>643</v>
      </c>
      <c r="FC151" t="s">
        <v>81</v>
      </c>
      <c r="FD151">
        <v>1.7423999999999999E-2</v>
      </c>
      <c r="FE151" t="s">
        <v>74</v>
      </c>
      <c r="FF151">
        <v>17.42409</v>
      </c>
      <c r="FG151" t="s">
        <v>75</v>
      </c>
      <c r="FH151">
        <v>17424.088</v>
      </c>
      <c r="FI151" t="s">
        <v>76</v>
      </c>
      <c r="FJ151" t="s">
        <v>82</v>
      </c>
      <c r="FK151">
        <v>57.391812799999997</v>
      </c>
    </row>
    <row r="152" spans="1:167" x14ac:dyDescent="0.3">
      <c r="B152" t="s">
        <v>85</v>
      </c>
      <c r="C152">
        <v>1001</v>
      </c>
      <c r="D152" t="s">
        <v>86</v>
      </c>
      <c r="E152">
        <v>1.85013E-3</v>
      </c>
      <c r="F152" t="s">
        <v>74</v>
      </c>
      <c r="G152">
        <v>1.8501300000000001</v>
      </c>
      <c r="H152" t="s">
        <v>75</v>
      </c>
      <c r="I152">
        <v>1850.134</v>
      </c>
      <c r="J152" t="s">
        <v>76</v>
      </c>
      <c r="K152" t="s">
        <v>82</v>
      </c>
      <c r="L152">
        <v>540.50138800000002</v>
      </c>
      <c r="P152" t="s">
        <v>85</v>
      </c>
      <c r="Q152">
        <v>1001</v>
      </c>
      <c r="R152" t="s">
        <v>86</v>
      </c>
      <c r="S152">
        <v>1.7512E-2</v>
      </c>
      <c r="T152" t="s">
        <v>74</v>
      </c>
      <c r="U152">
        <v>17.512</v>
      </c>
      <c r="V152" t="s">
        <v>75</v>
      </c>
      <c r="W152">
        <v>17512.004000000001</v>
      </c>
      <c r="X152" t="s">
        <v>76</v>
      </c>
      <c r="Y152" t="s">
        <v>82</v>
      </c>
      <c r="Z152">
        <v>57.103686600000003</v>
      </c>
      <c r="AD152" t="s">
        <v>85</v>
      </c>
      <c r="AE152">
        <v>1001</v>
      </c>
      <c r="AF152" t="s">
        <v>86</v>
      </c>
      <c r="AG152">
        <v>1.7562580000000001E-2</v>
      </c>
      <c r="AH152" t="s">
        <v>74</v>
      </c>
      <c r="AI152">
        <v>17.562580000000001</v>
      </c>
      <c r="AJ152" t="s">
        <v>75</v>
      </c>
      <c r="AK152">
        <v>17562.577000000001</v>
      </c>
      <c r="AL152" t="s">
        <v>76</v>
      </c>
      <c r="AM152" t="s">
        <v>82</v>
      </c>
      <c r="AN152">
        <v>56.9392535</v>
      </c>
      <c r="AR152" t="s">
        <v>85</v>
      </c>
      <c r="AS152">
        <v>1001</v>
      </c>
      <c r="AT152" t="s">
        <v>86</v>
      </c>
      <c r="AU152">
        <v>2.72901E-3</v>
      </c>
      <c r="AV152" t="s">
        <v>74</v>
      </c>
      <c r="AW152">
        <v>2.7290100000000002</v>
      </c>
      <c r="AX152" t="s">
        <v>75</v>
      </c>
      <c r="AY152">
        <v>2729.0070000000001</v>
      </c>
      <c r="AZ152" t="s">
        <v>76</v>
      </c>
      <c r="BA152" t="s">
        <v>82</v>
      </c>
      <c r="BB152">
        <v>366.43369180000002</v>
      </c>
      <c r="BF152" t="s">
        <v>85</v>
      </c>
      <c r="BG152">
        <v>1001</v>
      </c>
      <c r="BH152" t="s">
        <v>86</v>
      </c>
      <c r="BI152">
        <v>1.8019E-2</v>
      </c>
      <c r="BJ152" t="s">
        <v>74</v>
      </c>
      <c r="BK152">
        <v>18.018999999999998</v>
      </c>
      <c r="BL152" t="s">
        <v>75</v>
      </c>
      <c r="BM152">
        <v>18018.996999999999</v>
      </c>
      <c r="BN152" t="s">
        <v>76</v>
      </c>
      <c r="BO152" t="s">
        <v>82</v>
      </c>
      <c r="BP152">
        <v>55.496984900000001</v>
      </c>
      <c r="BT152" t="s">
        <v>85</v>
      </c>
      <c r="BU152">
        <v>1001</v>
      </c>
      <c r="BV152" t="s">
        <v>86</v>
      </c>
      <c r="BW152">
        <v>1.8777080000000002E-2</v>
      </c>
      <c r="BX152" t="s">
        <v>74</v>
      </c>
      <c r="BY152">
        <v>18.777080000000002</v>
      </c>
      <c r="BZ152" t="s">
        <v>75</v>
      </c>
      <c r="CA152">
        <v>18777.082999999999</v>
      </c>
      <c r="CB152" t="s">
        <v>76</v>
      </c>
      <c r="CC152" t="s">
        <v>82</v>
      </c>
      <c r="CD152">
        <v>53.256407799999998</v>
      </c>
      <c r="CH152" t="s">
        <v>85</v>
      </c>
      <c r="CI152">
        <v>1001</v>
      </c>
      <c r="CJ152" t="s">
        <v>86</v>
      </c>
      <c r="CK152">
        <v>2.39968E-3</v>
      </c>
      <c r="CL152" t="s">
        <v>74</v>
      </c>
      <c r="CM152">
        <v>2.39968</v>
      </c>
      <c r="CN152" t="s">
        <v>75</v>
      </c>
      <c r="CO152">
        <v>2399.6790000000001</v>
      </c>
      <c r="CP152" t="s">
        <v>76</v>
      </c>
      <c r="CQ152" t="s">
        <v>82</v>
      </c>
      <c r="CR152">
        <v>416.72245340000001</v>
      </c>
      <c r="CV152" t="s">
        <v>85</v>
      </c>
      <c r="CW152">
        <v>1001</v>
      </c>
      <c r="CX152" t="s">
        <v>86</v>
      </c>
      <c r="CY152">
        <v>1.8229800000000001E-2</v>
      </c>
      <c r="CZ152" t="s">
        <v>74</v>
      </c>
      <c r="DA152">
        <v>18.229800000000001</v>
      </c>
      <c r="DB152" t="s">
        <v>75</v>
      </c>
      <c r="DC152">
        <v>18229.802</v>
      </c>
      <c r="DD152" t="s">
        <v>76</v>
      </c>
      <c r="DE152" t="s">
        <v>82</v>
      </c>
      <c r="DF152">
        <v>54.855231600000003</v>
      </c>
      <c r="DJ152" t="s">
        <v>85</v>
      </c>
      <c r="DK152">
        <v>1001</v>
      </c>
      <c r="DL152" t="s">
        <v>86</v>
      </c>
      <c r="DM152">
        <v>1.8352090000000001E-2</v>
      </c>
      <c r="DN152" t="s">
        <v>74</v>
      </c>
      <c r="DO152">
        <v>18.35209</v>
      </c>
      <c r="DP152" t="s">
        <v>75</v>
      </c>
      <c r="DQ152">
        <v>18352.093000000001</v>
      </c>
      <c r="DR152" t="s">
        <v>76</v>
      </c>
      <c r="DS152" t="s">
        <v>82</v>
      </c>
      <c r="DT152">
        <v>54.489697200000002</v>
      </c>
      <c r="DX152" t="s">
        <v>497</v>
      </c>
      <c r="DY152" t="s">
        <v>72</v>
      </c>
      <c r="DZ152">
        <v>1</v>
      </c>
      <c r="EA152" t="s">
        <v>81</v>
      </c>
      <c r="EB152">
        <v>0.24485199999999999</v>
      </c>
      <c r="EC152" t="s">
        <v>74</v>
      </c>
      <c r="ED152">
        <v>244.85220000000001</v>
      </c>
      <c r="EE152" t="s">
        <v>75</v>
      </c>
      <c r="EF152">
        <v>244852.2</v>
      </c>
      <c r="EG152" t="s">
        <v>76</v>
      </c>
      <c r="EH152" t="s">
        <v>82</v>
      </c>
      <c r="EI152">
        <v>4.0840964</v>
      </c>
      <c r="EL152" t="s">
        <v>497</v>
      </c>
      <c r="EM152" t="s">
        <v>72</v>
      </c>
      <c r="EN152">
        <v>1</v>
      </c>
      <c r="EO152" t="s">
        <v>81</v>
      </c>
      <c r="EP152">
        <v>0.238012</v>
      </c>
      <c r="EQ152" t="s">
        <v>74</v>
      </c>
      <c r="ER152">
        <v>238.01219</v>
      </c>
      <c r="ES152" t="s">
        <v>75</v>
      </c>
      <c r="ET152">
        <v>238012.19500000001</v>
      </c>
      <c r="EU152" t="s">
        <v>76</v>
      </c>
      <c r="EV152" t="s">
        <v>82</v>
      </c>
      <c r="EW152">
        <v>4.2014654</v>
      </c>
      <c r="EZ152" t="s">
        <v>497</v>
      </c>
      <c r="FA152" t="s">
        <v>72</v>
      </c>
      <c r="FB152">
        <v>1</v>
      </c>
      <c r="FC152" t="s">
        <v>81</v>
      </c>
      <c r="FD152">
        <v>0.23968900000000001</v>
      </c>
      <c r="FE152" t="s">
        <v>74</v>
      </c>
      <c r="FF152">
        <v>239.68901</v>
      </c>
      <c r="FG152" t="s">
        <v>75</v>
      </c>
      <c r="FH152">
        <v>239689.00700000001</v>
      </c>
      <c r="FI152" t="s">
        <v>76</v>
      </c>
      <c r="FJ152" t="s">
        <v>82</v>
      </c>
      <c r="FK152">
        <v>4.1720727999999996</v>
      </c>
    </row>
    <row r="153" spans="1:167" x14ac:dyDescent="0.3">
      <c r="DX153" t="s">
        <v>497</v>
      </c>
      <c r="DY153" t="s">
        <v>83</v>
      </c>
      <c r="DZ153">
        <v>597</v>
      </c>
      <c r="EA153" t="s">
        <v>81</v>
      </c>
      <c r="EB153">
        <v>1.843E-3</v>
      </c>
      <c r="EC153" t="s">
        <v>74</v>
      </c>
      <c r="ED153">
        <v>1.8433200000000001</v>
      </c>
      <c r="EE153" t="s">
        <v>75</v>
      </c>
      <c r="EF153">
        <v>1843.3209999999999</v>
      </c>
      <c r="EG153" t="s">
        <v>76</v>
      </c>
      <c r="EH153" t="s">
        <v>82</v>
      </c>
      <c r="EI153">
        <v>542.4989726</v>
      </c>
      <c r="EL153" t="s">
        <v>497</v>
      </c>
      <c r="EM153" t="s">
        <v>83</v>
      </c>
      <c r="EN153">
        <v>368</v>
      </c>
      <c r="EO153" t="s">
        <v>81</v>
      </c>
      <c r="EP153">
        <v>2.8566999999999999E-2</v>
      </c>
      <c r="EQ153" t="s">
        <v>74</v>
      </c>
      <c r="ER153">
        <v>28.566749999999999</v>
      </c>
      <c r="ES153" t="s">
        <v>75</v>
      </c>
      <c r="ET153">
        <v>28566.754000000001</v>
      </c>
      <c r="EU153" t="s">
        <v>76</v>
      </c>
      <c r="EV153" t="s">
        <v>82</v>
      </c>
      <c r="EW153">
        <v>35.005726799999998</v>
      </c>
      <c r="EZ153" t="s">
        <v>497</v>
      </c>
      <c r="FA153" t="s">
        <v>83</v>
      </c>
      <c r="FB153">
        <v>357</v>
      </c>
      <c r="FC153" t="s">
        <v>81</v>
      </c>
      <c r="FD153">
        <v>3.0707999999999999E-2</v>
      </c>
      <c r="FE153" t="s">
        <v>74</v>
      </c>
      <c r="FF153">
        <v>30.708379999999998</v>
      </c>
      <c r="FG153" t="s">
        <v>75</v>
      </c>
      <c r="FH153">
        <v>30708.382000000001</v>
      </c>
      <c r="FI153" t="s">
        <v>76</v>
      </c>
      <c r="FJ153" t="s">
        <v>82</v>
      </c>
      <c r="FK153">
        <v>32.564398400000002</v>
      </c>
    </row>
    <row r="154" spans="1:167" x14ac:dyDescent="0.3">
      <c r="B154" t="s">
        <v>204</v>
      </c>
      <c r="P154" t="s">
        <v>204</v>
      </c>
      <c r="AD154" t="s">
        <v>204</v>
      </c>
      <c r="AR154" t="s">
        <v>326</v>
      </c>
      <c r="BF154" t="s">
        <v>326</v>
      </c>
      <c r="BT154" t="s">
        <v>326</v>
      </c>
      <c r="CH154" t="s">
        <v>442</v>
      </c>
      <c r="CV154" t="s">
        <v>442</v>
      </c>
      <c r="DJ154" t="s">
        <v>442</v>
      </c>
      <c r="DX154" t="s">
        <v>497</v>
      </c>
      <c r="DY154" t="s">
        <v>84</v>
      </c>
      <c r="DZ154">
        <v>598</v>
      </c>
      <c r="EA154" t="s">
        <v>81</v>
      </c>
      <c r="EB154">
        <v>2.2499999999999998E-3</v>
      </c>
      <c r="EC154" t="s">
        <v>74</v>
      </c>
      <c r="ED154">
        <v>2.2496900000000002</v>
      </c>
      <c r="EE154" t="s">
        <v>75</v>
      </c>
      <c r="EF154">
        <v>2249.692</v>
      </c>
      <c r="EG154" t="s">
        <v>76</v>
      </c>
      <c r="EH154" t="s">
        <v>82</v>
      </c>
      <c r="EI154">
        <v>444.50533230000002</v>
      </c>
      <c r="EL154" t="s">
        <v>497</v>
      </c>
      <c r="EM154" t="s">
        <v>84</v>
      </c>
      <c r="EN154">
        <v>369</v>
      </c>
      <c r="EO154" t="s">
        <v>81</v>
      </c>
      <c r="EP154">
        <v>2.9134E-2</v>
      </c>
      <c r="EQ154" t="s">
        <v>74</v>
      </c>
      <c r="ER154">
        <v>29.134360000000001</v>
      </c>
      <c r="ES154" t="s">
        <v>75</v>
      </c>
      <c r="ET154">
        <v>29134.363000000001</v>
      </c>
      <c r="EU154" t="s">
        <v>76</v>
      </c>
      <c r="EV154" t="s">
        <v>82</v>
      </c>
      <c r="EW154">
        <v>34.323729999999998</v>
      </c>
      <c r="EZ154" t="s">
        <v>497</v>
      </c>
      <c r="FA154" t="s">
        <v>84</v>
      </c>
      <c r="FB154">
        <v>358</v>
      </c>
      <c r="FC154" t="s">
        <v>81</v>
      </c>
      <c r="FD154">
        <v>3.1292E-2</v>
      </c>
      <c r="FE154" t="s">
        <v>74</v>
      </c>
      <c r="FF154">
        <v>31.29213</v>
      </c>
      <c r="FG154" t="s">
        <v>75</v>
      </c>
      <c r="FH154">
        <v>31292.129000000001</v>
      </c>
      <c r="FI154" t="s">
        <v>76</v>
      </c>
      <c r="FJ154" t="s">
        <v>82</v>
      </c>
      <c r="FK154">
        <v>31.956917499999999</v>
      </c>
    </row>
    <row r="155" spans="1:167" x14ac:dyDescent="0.3">
      <c r="B155" t="s">
        <v>72</v>
      </c>
      <c r="C155">
        <v>1</v>
      </c>
      <c r="D155" t="s">
        <v>81</v>
      </c>
      <c r="E155">
        <v>0.15811621000000001</v>
      </c>
      <c r="F155" t="s">
        <v>74</v>
      </c>
      <c r="G155">
        <v>158.11621</v>
      </c>
      <c r="H155" t="s">
        <v>75</v>
      </c>
      <c r="I155">
        <v>158116.20699999999</v>
      </c>
      <c r="J155" t="s">
        <v>76</v>
      </c>
      <c r="K155" t="s">
        <v>82</v>
      </c>
      <c r="L155">
        <v>6.3244623999999998</v>
      </c>
      <c r="P155" t="s">
        <v>72</v>
      </c>
      <c r="Q155">
        <v>1</v>
      </c>
      <c r="R155" t="s">
        <v>81</v>
      </c>
      <c r="S155">
        <v>0.15046780000000001</v>
      </c>
      <c r="T155" t="s">
        <v>74</v>
      </c>
      <c r="U155">
        <v>150.46780000000001</v>
      </c>
      <c r="V155" t="s">
        <v>75</v>
      </c>
      <c r="W155">
        <v>150467.79800000001</v>
      </c>
      <c r="X155" t="s">
        <v>76</v>
      </c>
      <c r="Y155" t="s">
        <v>82</v>
      </c>
      <c r="Z155">
        <v>6.6459403000000004</v>
      </c>
      <c r="AD155" t="s">
        <v>72</v>
      </c>
      <c r="AE155">
        <v>1</v>
      </c>
      <c r="AF155" t="s">
        <v>81</v>
      </c>
      <c r="AG155">
        <v>0.15353439999999999</v>
      </c>
      <c r="AH155" t="s">
        <v>74</v>
      </c>
      <c r="AI155">
        <v>153.53440000000001</v>
      </c>
      <c r="AJ155" t="s">
        <v>75</v>
      </c>
      <c r="AK155">
        <v>153534.397</v>
      </c>
      <c r="AL155" t="s">
        <v>76</v>
      </c>
      <c r="AM155" t="s">
        <v>82</v>
      </c>
      <c r="AN155">
        <v>6.5131984999999997</v>
      </c>
      <c r="AR155" t="s">
        <v>72</v>
      </c>
      <c r="AS155">
        <v>1</v>
      </c>
      <c r="AT155" t="s">
        <v>81</v>
      </c>
      <c r="AU155">
        <v>0.1229137</v>
      </c>
      <c r="AV155" t="s">
        <v>74</v>
      </c>
      <c r="AW155">
        <v>122.91370000000001</v>
      </c>
      <c r="AX155" t="s">
        <v>75</v>
      </c>
      <c r="AY155">
        <v>122913.70299999999</v>
      </c>
      <c r="AZ155" t="s">
        <v>76</v>
      </c>
      <c r="BA155" t="s">
        <v>82</v>
      </c>
      <c r="BB155">
        <v>8.1357894000000002</v>
      </c>
      <c r="BF155" t="s">
        <v>72</v>
      </c>
      <c r="BG155">
        <v>1</v>
      </c>
      <c r="BH155" t="s">
        <v>81</v>
      </c>
      <c r="BI155">
        <v>0.1196849</v>
      </c>
      <c r="BJ155" t="s">
        <v>74</v>
      </c>
      <c r="BK155">
        <v>119.6849</v>
      </c>
      <c r="BL155" t="s">
        <v>75</v>
      </c>
      <c r="BM155">
        <v>119684.897</v>
      </c>
      <c r="BN155" t="s">
        <v>76</v>
      </c>
      <c r="BO155" t="s">
        <v>82</v>
      </c>
      <c r="BP155">
        <v>8.3552730999999998</v>
      </c>
      <c r="BT155" t="s">
        <v>72</v>
      </c>
      <c r="BU155">
        <v>1</v>
      </c>
      <c r="BV155" t="s">
        <v>81</v>
      </c>
      <c r="BW155">
        <v>0.12226819999999999</v>
      </c>
      <c r="BX155" t="s">
        <v>74</v>
      </c>
      <c r="BY155">
        <v>122.26819999999999</v>
      </c>
      <c r="BZ155" t="s">
        <v>75</v>
      </c>
      <c r="CA155">
        <v>122268.2</v>
      </c>
      <c r="CB155" t="s">
        <v>76</v>
      </c>
      <c r="CC155" t="s">
        <v>82</v>
      </c>
      <c r="CD155">
        <v>8.1787414999999992</v>
      </c>
      <c r="CH155" t="s">
        <v>72</v>
      </c>
      <c r="CI155">
        <v>1</v>
      </c>
      <c r="CJ155" t="s">
        <v>81</v>
      </c>
      <c r="CK155">
        <v>0.122117</v>
      </c>
      <c r="CL155" t="s">
        <v>74</v>
      </c>
      <c r="CM155">
        <v>122.117</v>
      </c>
      <c r="CN155" t="s">
        <v>75</v>
      </c>
      <c r="CO155">
        <v>122116.99800000001</v>
      </c>
      <c r="CP155" t="s">
        <v>76</v>
      </c>
      <c r="CQ155" t="s">
        <v>82</v>
      </c>
      <c r="CR155">
        <v>8.1888681999999999</v>
      </c>
      <c r="CV155" t="s">
        <v>72</v>
      </c>
      <c r="CW155">
        <v>1</v>
      </c>
      <c r="CX155" t="s">
        <v>81</v>
      </c>
      <c r="CY155">
        <v>0.12028369999999999</v>
      </c>
      <c r="CZ155" t="s">
        <v>74</v>
      </c>
      <c r="DA155">
        <v>120.2837</v>
      </c>
      <c r="DB155" t="s">
        <v>75</v>
      </c>
      <c r="DC155">
        <v>120283.701</v>
      </c>
      <c r="DD155" t="s">
        <v>76</v>
      </c>
      <c r="DE155" t="s">
        <v>82</v>
      </c>
      <c r="DF155">
        <v>8.3136784000000006</v>
      </c>
      <c r="DJ155" t="s">
        <v>72</v>
      </c>
      <c r="DK155">
        <v>1</v>
      </c>
      <c r="DL155" t="s">
        <v>81</v>
      </c>
      <c r="DM155">
        <v>0.1201797</v>
      </c>
      <c r="DN155" t="s">
        <v>74</v>
      </c>
      <c r="DO155">
        <v>120.1797</v>
      </c>
      <c r="DP155" t="s">
        <v>75</v>
      </c>
      <c r="DQ155">
        <v>120179.698</v>
      </c>
      <c r="DR155" t="s">
        <v>76</v>
      </c>
      <c r="DS155" t="s">
        <v>82</v>
      </c>
      <c r="DT155">
        <v>8.3208730000000006</v>
      </c>
      <c r="DX155" t="s">
        <v>498</v>
      </c>
      <c r="DY155" t="s">
        <v>72</v>
      </c>
      <c r="DZ155">
        <v>2</v>
      </c>
      <c r="EA155" t="s">
        <v>86</v>
      </c>
      <c r="EB155">
        <v>0.26472600000000002</v>
      </c>
      <c r="EC155" t="s">
        <v>74</v>
      </c>
      <c r="ED155">
        <v>264.72645999999997</v>
      </c>
      <c r="EE155" t="s">
        <v>75</v>
      </c>
      <c r="EF155">
        <v>264726.46000000002</v>
      </c>
      <c r="EG155" t="s">
        <v>76</v>
      </c>
      <c r="EH155" t="s">
        <v>82</v>
      </c>
      <c r="EI155">
        <v>3.7774841000000001</v>
      </c>
      <c r="EL155" t="s">
        <v>498</v>
      </c>
      <c r="EM155" t="s">
        <v>72</v>
      </c>
      <c r="EN155">
        <v>2</v>
      </c>
      <c r="EO155" t="s">
        <v>86</v>
      </c>
      <c r="EP155">
        <v>0.25357099999999999</v>
      </c>
      <c r="EQ155" t="s">
        <v>74</v>
      </c>
      <c r="ER155">
        <v>253.57065</v>
      </c>
      <c r="ES155" t="s">
        <v>75</v>
      </c>
      <c r="ET155">
        <v>253570.64600000001</v>
      </c>
      <c r="EU155" t="s">
        <v>76</v>
      </c>
      <c r="EV155" t="s">
        <v>82</v>
      </c>
      <c r="EW155">
        <v>3.9436741</v>
      </c>
      <c r="EZ155" t="s">
        <v>498</v>
      </c>
      <c r="FA155" t="s">
        <v>72</v>
      </c>
      <c r="FB155">
        <v>2</v>
      </c>
      <c r="FC155" t="s">
        <v>86</v>
      </c>
      <c r="FD155">
        <v>0.25636500000000001</v>
      </c>
      <c r="FE155" t="s">
        <v>74</v>
      </c>
      <c r="FF155">
        <v>256.36529999999999</v>
      </c>
      <c r="FG155" t="s">
        <v>75</v>
      </c>
      <c r="FH155">
        <v>256365.299</v>
      </c>
      <c r="FI155" t="s">
        <v>76</v>
      </c>
      <c r="FJ155" t="s">
        <v>82</v>
      </c>
      <c r="FK155">
        <v>3.9006839000000002</v>
      </c>
    </row>
    <row r="156" spans="1:167" x14ac:dyDescent="0.3">
      <c r="B156" t="s">
        <v>83</v>
      </c>
      <c r="C156">
        <v>1000</v>
      </c>
      <c r="D156" t="s">
        <v>81</v>
      </c>
      <c r="E156">
        <v>2.0511499999999998E-3</v>
      </c>
      <c r="F156" t="s">
        <v>74</v>
      </c>
      <c r="G156">
        <v>2.0511499999999998</v>
      </c>
      <c r="H156" t="s">
        <v>75</v>
      </c>
      <c r="I156">
        <v>2051.1480000000001</v>
      </c>
      <c r="J156" t="s">
        <v>76</v>
      </c>
      <c r="K156" t="s">
        <v>82</v>
      </c>
      <c r="L156">
        <v>487.53187500000001</v>
      </c>
      <c r="P156" t="s">
        <v>83</v>
      </c>
      <c r="Q156">
        <v>1000</v>
      </c>
      <c r="R156" t="s">
        <v>81</v>
      </c>
      <c r="S156">
        <v>2.4877900000000001E-2</v>
      </c>
      <c r="T156" t="s">
        <v>74</v>
      </c>
      <c r="U156">
        <v>24.8779</v>
      </c>
      <c r="V156" t="s">
        <v>75</v>
      </c>
      <c r="W156">
        <v>24877.899000000001</v>
      </c>
      <c r="X156" t="s">
        <v>76</v>
      </c>
      <c r="Y156" t="s">
        <v>82</v>
      </c>
      <c r="Z156">
        <v>40.196320200000002</v>
      </c>
      <c r="AD156" t="s">
        <v>83</v>
      </c>
      <c r="AE156">
        <v>1000</v>
      </c>
      <c r="AF156" t="s">
        <v>81</v>
      </c>
      <c r="AG156">
        <v>2.5209789999999999E-2</v>
      </c>
      <c r="AH156" t="s">
        <v>74</v>
      </c>
      <c r="AI156">
        <v>25.209790000000002</v>
      </c>
      <c r="AJ156" t="s">
        <v>75</v>
      </c>
      <c r="AK156">
        <v>25209.794999999998</v>
      </c>
      <c r="AL156" t="s">
        <v>76</v>
      </c>
      <c r="AM156" t="s">
        <v>82</v>
      </c>
      <c r="AN156">
        <v>39.6671215</v>
      </c>
      <c r="AR156" t="s">
        <v>83</v>
      </c>
      <c r="AS156">
        <v>1000</v>
      </c>
      <c r="AT156" t="s">
        <v>81</v>
      </c>
      <c r="AU156">
        <v>2.9601900000000001E-3</v>
      </c>
      <c r="AV156" t="s">
        <v>74</v>
      </c>
      <c r="AW156">
        <v>2.9601899999999999</v>
      </c>
      <c r="AX156" t="s">
        <v>75</v>
      </c>
      <c r="AY156">
        <v>2960.192</v>
      </c>
      <c r="AZ156" t="s">
        <v>76</v>
      </c>
      <c r="BA156" t="s">
        <v>82</v>
      </c>
      <c r="BB156">
        <v>337.81590219999998</v>
      </c>
      <c r="BF156" t="s">
        <v>83</v>
      </c>
      <c r="BG156">
        <v>1000</v>
      </c>
      <c r="BH156" t="s">
        <v>81</v>
      </c>
      <c r="BI156">
        <v>2.6123360000000002E-2</v>
      </c>
      <c r="BJ156" t="s">
        <v>74</v>
      </c>
      <c r="BK156">
        <v>26.123360000000002</v>
      </c>
      <c r="BL156" t="s">
        <v>75</v>
      </c>
      <c r="BM156">
        <v>26123.356</v>
      </c>
      <c r="BN156" t="s">
        <v>76</v>
      </c>
      <c r="BO156" t="s">
        <v>82</v>
      </c>
      <c r="BP156">
        <v>38.279921000000002</v>
      </c>
      <c r="BT156" t="s">
        <v>83</v>
      </c>
      <c r="BU156">
        <v>1000</v>
      </c>
      <c r="BV156" t="s">
        <v>81</v>
      </c>
      <c r="BW156">
        <v>2.6890560000000001E-2</v>
      </c>
      <c r="BX156" t="s">
        <v>74</v>
      </c>
      <c r="BY156">
        <v>26.890560000000001</v>
      </c>
      <c r="BZ156" t="s">
        <v>75</v>
      </c>
      <c r="CA156">
        <v>26890.563999999998</v>
      </c>
      <c r="CB156" t="s">
        <v>76</v>
      </c>
      <c r="CC156" t="s">
        <v>82</v>
      </c>
      <c r="CD156">
        <v>37.187766000000003</v>
      </c>
      <c r="CH156" t="s">
        <v>83</v>
      </c>
      <c r="CI156">
        <v>1000</v>
      </c>
      <c r="CJ156" t="s">
        <v>81</v>
      </c>
      <c r="CK156">
        <v>3.0872899999999999E-3</v>
      </c>
      <c r="CL156" t="s">
        <v>74</v>
      </c>
      <c r="CM156">
        <v>3.0872899999999999</v>
      </c>
      <c r="CN156" t="s">
        <v>75</v>
      </c>
      <c r="CO156">
        <v>3087.29</v>
      </c>
      <c r="CP156" t="s">
        <v>76</v>
      </c>
      <c r="CQ156" t="s">
        <v>82</v>
      </c>
      <c r="CR156">
        <v>323.90866560000001</v>
      </c>
      <c r="CV156" t="s">
        <v>83</v>
      </c>
      <c r="CW156">
        <v>1000</v>
      </c>
      <c r="CX156" t="s">
        <v>81</v>
      </c>
      <c r="CY156">
        <v>2.7841189999999998E-2</v>
      </c>
      <c r="CZ156" t="s">
        <v>74</v>
      </c>
      <c r="DA156">
        <v>27.841190000000001</v>
      </c>
      <c r="DB156" t="s">
        <v>75</v>
      </c>
      <c r="DC156">
        <v>27841.19</v>
      </c>
      <c r="DD156" t="s">
        <v>76</v>
      </c>
      <c r="DE156" t="s">
        <v>82</v>
      </c>
      <c r="DF156">
        <v>35.918004500000002</v>
      </c>
      <c r="DJ156" t="s">
        <v>83</v>
      </c>
      <c r="DK156">
        <v>1000</v>
      </c>
      <c r="DL156" t="s">
        <v>81</v>
      </c>
      <c r="DM156">
        <v>2.846106E-2</v>
      </c>
      <c r="DN156" t="s">
        <v>74</v>
      </c>
      <c r="DO156">
        <v>28.46106</v>
      </c>
      <c r="DP156" t="s">
        <v>75</v>
      </c>
      <c r="DQ156">
        <v>28461.061000000002</v>
      </c>
      <c r="DR156" t="s">
        <v>76</v>
      </c>
      <c r="DS156" t="s">
        <v>82</v>
      </c>
      <c r="DT156">
        <v>35.135724000000003</v>
      </c>
      <c r="DX156" t="s">
        <v>498</v>
      </c>
      <c r="DY156" t="s">
        <v>83</v>
      </c>
      <c r="DZ156">
        <v>999</v>
      </c>
      <c r="EA156" t="s">
        <v>86</v>
      </c>
      <c r="EB156">
        <v>1.129E-3</v>
      </c>
      <c r="EC156" t="s">
        <v>74</v>
      </c>
      <c r="ED156">
        <v>1.1293800000000001</v>
      </c>
      <c r="EE156" t="s">
        <v>75</v>
      </c>
      <c r="EF156">
        <v>1129.384</v>
      </c>
      <c r="EG156" t="s">
        <v>76</v>
      </c>
      <c r="EH156" t="s">
        <v>82</v>
      </c>
      <c r="EI156">
        <v>885.43877959999998</v>
      </c>
      <c r="EL156" t="s">
        <v>498</v>
      </c>
      <c r="EM156" t="s">
        <v>83</v>
      </c>
      <c r="EN156">
        <v>999</v>
      </c>
      <c r="EO156" t="s">
        <v>86</v>
      </c>
      <c r="EP156">
        <v>1.0526000000000001E-2</v>
      </c>
      <c r="EQ156" t="s">
        <v>74</v>
      </c>
      <c r="ER156">
        <v>10.52627</v>
      </c>
      <c r="ES156" t="s">
        <v>75</v>
      </c>
      <c r="ET156">
        <v>10526.273999999999</v>
      </c>
      <c r="EU156" t="s">
        <v>76</v>
      </c>
      <c r="EV156" t="s">
        <v>82</v>
      </c>
      <c r="EW156">
        <v>95.000374500000007</v>
      </c>
      <c r="EZ156" t="s">
        <v>498</v>
      </c>
      <c r="FA156" t="s">
        <v>83</v>
      </c>
      <c r="FB156">
        <v>999</v>
      </c>
      <c r="FC156" t="s">
        <v>86</v>
      </c>
      <c r="FD156">
        <v>1.0977000000000001E-2</v>
      </c>
      <c r="FE156" t="s">
        <v>74</v>
      </c>
      <c r="FF156">
        <v>10.97673</v>
      </c>
      <c r="FG156" t="s">
        <v>75</v>
      </c>
      <c r="FH156">
        <v>10976.726000000001</v>
      </c>
      <c r="FI156" t="s">
        <v>76</v>
      </c>
      <c r="FJ156" t="s">
        <v>82</v>
      </c>
      <c r="FK156">
        <v>91.101849900000005</v>
      </c>
    </row>
    <row r="157" spans="1:167" x14ac:dyDescent="0.3">
      <c r="B157" t="s">
        <v>85</v>
      </c>
      <c r="C157">
        <v>1001</v>
      </c>
      <c r="D157" t="s">
        <v>86</v>
      </c>
      <c r="E157">
        <v>2.2073100000000001E-3</v>
      </c>
      <c r="F157" t="s">
        <v>74</v>
      </c>
      <c r="G157">
        <v>2.2073100000000001</v>
      </c>
      <c r="H157" t="s">
        <v>75</v>
      </c>
      <c r="I157">
        <v>2207.3069999999998</v>
      </c>
      <c r="J157" t="s">
        <v>76</v>
      </c>
      <c r="K157" t="s">
        <v>82</v>
      </c>
      <c r="L157">
        <v>453.04072660000003</v>
      </c>
      <c r="P157" t="s">
        <v>85</v>
      </c>
      <c r="Q157">
        <v>1001</v>
      </c>
      <c r="R157" t="s">
        <v>86</v>
      </c>
      <c r="S157">
        <v>2.500366E-2</v>
      </c>
      <c r="T157" t="s">
        <v>74</v>
      </c>
      <c r="U157">
        <v>25.00366</v>
      </c>
      <c r="V157" t="s">
        <v>75</v>
      </c>
      <c r="W157">
        <v>25003.657999999999</v>
      </c>
      <c r="X157" t="s">
        <v>76</v>
      </c>
      <c r="Y157" t="s">
        <v>82</v>
      </c>
      <c r="Z157">
        <v>39.994147900000002</v>
      </c>
      <c r="AD157" t="s">
        <v>85</v>
      </c>
      <c r="AE157">
        <v>1001</v>
      </c>
      <c r="AF157" t="s">
        <v>86</v>
      </c>
      <c r="AG157">
        <v>2.533823E-2</v>
      </c>
      <c r="AH157" t="s">
        <v>74</v>
      </c>
      <c r="AI157">
        <v>25.338229999999999</v>
      </c>
      <c r="AJ157" t="s">
        <v>75</v>
      </c>
      <c r="AK157">
        <v>25338.231</v>
      </c>
      <c r="AL157" t="s">
        <v>76</v>
      </c>
      <c r="AM157" t="s">
        <v>82</v>
      </c>
      <c r="AN157">
        <v>39.466054200000002</v>
      </c>
      <c r="AR157" t="s">
        <v>85</v>
      </c>
      <c r="AS157">
        <v>1001</v>
      </c>
      <c r="AT157" t="s">
        <v>86</v>
      </c>
      <c r="AU157">
        <v>3.0801800000000001E-3</v>
      </c>
      <c r="AV157" t="s">
        <v>74</v>
      </c>
      <c r="AW157">
        <v>3.0801799999999999</v>
      </c>
      <c r="AX157" t="s">
        <v>75</v>
      </c>
      <c r="AY157">
        <v>3080.1790000000001</v>
      </c>
      <c r="AZ157" t="s">
        <v>76</v>
      </c>
      <c r="BA157" t="s">
        <v>82</v>
      </c>
      <c r="BB157">
        <v>324.6564644</v>
      </c>
      <c r="BF157" t="s">
        <v>85</v>
      </c>
      <c r="BG157">
        <v>1001</v>
      </c>
      <c r="BH157" t="s">
        <v>86</v>
      </c>
      <c r="BI157">
        <v>2.6217580000000001E-2</v>
      </c>
      <c r="BJ157" t="s">
        <v>74</v>
      </c>
      <c r="BK157">
        <v>26.217580000000002</v>
      </c>
      <c r="BL157" t="s">
        <v>75</v>
      </c>
      <c r="BM157">
        <v>26217.581999999999</v>
      </c>
      <c r="BN157" t="s">
        <v>76</v>
      </c>
      <c r="BO157" t="s">
        <v>82</v>
      </c>
      <c r="BP157">
        <v>38.1423433</v>
      </c>
      <c r="BT157" t="s">
        <v>85</v>
      </c>
      <c r="BU157">
        <v>1001</v>
      </c>
      <c r="BV157" t="s">
        <v>86</v>
      </c>
      <c r="BW157">
        <v>2.6986420000000001E-2</v>
      </c>
      <c r="BX157" t="s">
        <v>74</v>
      </c>
      <c r="BY157">
        <v>26.986419999999999</v>
      </c>
      <c r="BZ157" t="s">
        <v>75</v>
      </c>
      <c r="CA157">
        <v>26986.423999999999</v>
      </c>
      <c r="CB157" t="s">
        <v>76</v>
      </c>
      <c r="CC157" t="s">
        <v>82</v>
      </c>
      <c r="CD157">
        <v>37.055669000000002</v>
      </c>
      <c r="CH157" t="s">
        <v>85</v>
      </c>
      <c r="CI157">
        <v>1001</v>
      </c>
      <c r="CJ157" t="s">
        <v>86</v>
      </c>
      <c r="CK157">
        <v>3.2063999999999999E-3</v>
      </c>
      <c r="CL157" t="s">
        <v>74</v>
      </c>
      <c r="CM157">
        <v>3.2063999999999999</v>
      </c>
      <c r="CN157" t="s">
        <v>75</v>
      </c>
      <c r="CO157">
        <v>3206.3980000000001</v>
      </c>
      <c r="CP157" t="s">
        <v>76</v>
      </c>
      <c r="CQ157" t="s">
        <v>82</v>
      </c>
      <c r="CR157">
        <v>311.87647829999997</v>
      </c>
      <c r="CV157" t="s">
        <v>85</v>
      </c>
      <c r="CW157">
        <v>1001</v>
      </c>
      <c r="CX157" t="s">
        <v>86</v>
      </c>
      <c r="CY157">
        <v>2.7933929999999999E-2</v>
      </c>
      <c r="CZ157" t="s">
        <v>74</v>
      </c>
      <c r="DA157">
        <v>27.93393</v>
      </c>
      <c r="DB157" t="s">
        <v>75</v>
      </c>
      <c r="DC157">
        <v>27933.931</v>
      </c>
      <c r="DD157" t="s">
        <v>76</v>
      </c>
      <c r="DE157" t="s">
        <v>82</v>
      </c>
      <c r="DF157">
        <v>35.798757299999998</v>
      </c>
      <c r="DJ157" t="s">
        <v>85</v>
      </c>
      <c r="DK157">
        <v>1001</v>
      </c>
      <c r="DL157" t="s">
        <v>86</v>
      </c>
      <c r="DM157">
        <v>2.855303E-2</v>
      </c>
      <c r="DN157" t="s">
        <v>74</v>
      </c>
      <c r="DO157">
        <v>28.55303</v>
      </c>
      <c r="DP157" t="s">
        <v>75</v>
      </c>
      <c r="DQ157">
        <v>28553.034</v>
      </c>
      <c r="DR157" t="s">
        <v>76</v>
      </c>
      <c r="DS157" t="s">
        <v>82</v>
      </c>
      <c r="DT157">
        <v>35.022548100000002</v>
      </c>
      <c r="DX157" t="s">
        <v>498</v>
      </c>
      <c r="DY157" t="s">
        <v>85</v>
      </c>
      <c r="DZ157">
        <v>1001</v>
      </c>
      <c r="EA157" t="s">
        <v>86</v>
      </c>
      <c r="EB157">
        <v>1.3730000000000001E-3</v>
      </c>
      <c r="EC157" t="s">
        <v>74</v>
      </c>
      <c r="ED157">
        <v>1.37314</v>
      </c>
      <c r="EE157" t="s">
        <v>75</v>
      </c>
      <c r="EF157">
        <v>1373.1369999999999</v>
      </c>
      <c r="EG157" t="s">
        <v>76</v>
      </c>
      <c r="EH157" t="s">
        <v>82</v>
      </c>
      <c r="EI157">
        <v>728.25949879999996</v>
      </c>
      <c r="EL157" t="s">
        <v>498</v>
      </c>
      <c r="EM157" t="s">
        <v>85</v>
      </c>
      <c r="EN157">
        <v>1001</v>
      </c>
      <c r="EO157" t="s">
        <v>86</v>
      </c>
      <c r="EP157">
        <v>1.0761E-2</v>
      </c>
      <c r="EQ157" t="s">
        <v>74</v>
      </c>
      <c r="ER157">
        <v>10.76099</v>
      </c>
      <c r="ES157" t="s">
        <v>75</v>
      </c>
      <c r="ET157">
        <v>10760.99</v>
      </c>
      <c r="EU157" t="s">
        <v>76</v>
      </c>
      <c r="EV157" t="s">
        <v>82</v>
      </c>
      <c r="EW157">
        <v>92.928249300000004</v>
      </c>
      <c r="EZ157" t="s">
        <v>498</v>
      </c>
      <c r="FA157" t="s">
        <v>85</v>
      </c>
      <c r="FB157">
        <v>1001</v>
      </c>
      <c r="FC157" t="s">
        <v>86</v>
      </c>
      <c r="FD157">
        <v>1.1212E-2</v>
      </c>
      <c r="FE157" t="s">
        <v>74</v>
      </c>
      <c r="FF157">
        <v>11.21237</v>
      </c>
      <c r="FG157" t="s">
        <v>75</v>
      </c>
      <c r="FH157">
        <v>11212.366</v>
      </c>
      <c r="FI157" t="s">
        <v>76</v>
      </c>
      <c r="FJ157" t="s">
        <v>82</v>
      </c>
      <c r="FK157">
        <v>89.187241299999997</v>
      </c>
    </row>
    <row r="159" spans="1:167" x14ac:dyDescent="0.3">
      <c r="A159">
        <v>17</v>
      </c>
      <c r="B159" t="s">
        <v>210</v>
      </c>
      <c r="O159">
        <v>17</v>
      </c>
      <c r="P159" t="s">
        <v>210</v>
      </c>
      <c r="AC159">
        <v>17</v>
      </c>
      <c r="AD159" t="s">
        <v>210</v>
      </c>
      <c r="AQ159">
        <v>17</v>
      </c>
      <c r="AR159" t="s">
        <v>330</v>
      </c>
      <c r="BE159">
        <v>17</v>
      </c>
      <c r="BF159" t="s">
        <v>330</v>
      </c>
      <c r="BS159">
        <v>17</v>
      </c>
      <c r="BT159" t="s">
        <v>330</v>
      </c>
      <c r="CG159">
        <v>17</v>
      </c>
      <c r="CH159" t="s">
        <v>446</v>
      </c>
      <c r="CU159">
        <v>17</v>
      </c>
      <c r="CV159" t="s">
        <v>446</v>
      </c>
      <c r="DI159">
        <v>17</v>
      </c>
      <c r="DJ159" t="s">
        <v>446</v>
      </c>
      <c r="DX159" t="s">
        <v>524</v>
      </c>
      <c r="EL159" t="s">
        <v>524</v>
      </c>
      <c r="EZ159" t="s">
        <v>524</v>
      </c>
    </row>
    <row r="160" spans="1:167" x14ac:dyDescent="0.3">
      <c r="B160" t="s">
        <v>72</v>
      </c>
      <c r="C160">
        <v>1</v>
      </c>
      <c r="D160" t="s">
        <v>81</v>
      </c>
      <c r="E160">
        <v>0.41158699999999998</v>
      </c>
      <c r="F160" t="s">
        <v>74</v>
      </c>
      <c r="G160">
        <v>411.58699999999999</v>
      </c>
      <c r="H160" t="s">
        <v>75</v>
      </c>
      <c r="I160">
        <v>411587</v>
      </c>
      <c r="J160" t="s">
        <v>76</v>
      </c>
      <c r="K160" t="s">
        <v>82</v>
      </c>
      <c r="L160">
        <v>2.4296199999999999</v>
      </c>
      <c r="P160" t="s">
        <v>72</v>
      </c>
      <c r="Q160">
        <v>1</v>
      </c>
      <c r="R160" t="s">
        <v>81</v>
      </c>
      <c r="S160">
        <v>0.39288381</v>
      </c>
      <c r="T160" t="s">
        <v>74</v>
      </c>
      <c r="U160">
        <v>392.88380999999998</v>
      </c>
      <c r="V160" t="s">
        <v>75</v>
      </c>
      <c r="W160">
        <v>392883.80699999997</v>
      </c>
      <c r="X160" t="s">
        <v>76</v>
      </c>
      <c r="Y160" t="s">
        <v>82</v>
      </c>
      <c r="Z160">
        <v>2.5452818000000001</v>
      </c>
      <c r="AD160" t="s">
        <v>72</v>
      </c>
      <c r="AE160">
        <v>1</v>
      </c>
      <c r="AF160" t="s">
        <v>81</v>
      </c>
      <c r="AG160">
        <v>0.40786591</v>
      </c>
      <c r="AH160" t="s">
        <v>74</v>
      </c>
      <c r="AI160">
        <v>407.86590999999999</v>
      </c>
      <c r="AJ160" t="s">
        <v>75</v>
      </c>
      <c r="AK160">
        <v>407865.91200000001</v>
      </c>
      <c r="AL160" t="s">
        <v>76</v>
      </c>
      <c r="AM160" t="s">
        <v>82</v>
      </c>
      <c r="AN160">
        <v>2.4517861999999999</v>
      </c>
      <c r="AR160" t="s">
        <v>72</v>
      </c>
      <c r="AS160">
        <v>1</v>
      </c>
      <c r="AT160" t="s">
        <v>81</v>
      </c>
      <c r="AU160">
        <v>0.1527268</v>
      </c>
      <c r="AV160" t="s">
        <v>74</v>
      </c>
      <c r="AW160">
        <v>152.7268</v>
      </c>
      <c r="AX160" t="s">
        <v>75</v>
      </c>
      <c r="AY160">
        <v>152726.799</v>
      </c>
      <c r="AZ160" t="s">
        <v>76</v>
      </c>
      <c r="BA160" t="s">
        <v>82</v>
      </c>
      <c r="BB160">
        <v>6.5476393000000002</v>
      </c>
      <c r="BF160" t="s">
        <v>72</v>
      </c>
      <c r="BG160">
        <v>1</v>
      </c>
      <c r="BH160" t="s">
        <v>81</v>
      </c>
      <c r="BI160">
        <v>0.45569921000000002</v>
      </c>
      <c r="BJ160" t="s">
        <v>74</v>
      </c>
      <c r="BK160">
        <v>455.69920999999999</v>
      </c>
      <c r="BL160" t="s">
        <v>75</v>
      </c>
      <c r="BM160">
        <v>455699.20500000002</v>
      </c>
      <c r="BN160" t="s">
        <v>76</v>
      </c>
      <c r="BO160" t="s">
        <v>82</v>
      </c>
      <c r="BP160">
        <v>2.1944300000000001</v>
      </c>
      <c r="BT160" t="s">
        <v>72</v>
      </c>
      <c r="BU160">
        <v>1</v>
      </c>
      <c r="BV160" t="s">
        <v>81</v>
      </c>
      <c r="BW160">
        <v>0.15688270000000001</v>
      </c>
      <c r="BX160" t="s">
        <v>74</v>
      </c>
      <c r="BY160">
        <v>156.8827</v>
      </c>
      <c r="BZ160" t="s">
        <v>75</v>
      </c>
      <c r="CA160">
        <v>156882.70300000001</v>
      </c>
      <c r="CB160" t="s">
        <v>76</v>
      </c>
      <c r="CC160" t="s">
        <v>82</v>
      </c>
      <c r="CD160">
        <v>6.3741890000000003</v>
      </c>
      <c r="CH160" t="s">
        <v>72</v>
      </c>
      <c r="CI160">
        <v>1</v>
      </c>
      <c r="CJ160" t="s">
        <v>81</v>
      </c>
      <c r="CK160">
        <v>0.16068510999999999</v>
      </c>
      <c r="CL160" t="s">
        <v>74</v>
      </c>
      <c r="CM160">
        <v>160.68511000000001</v>
      </c>
      <c r="CN160" t="s">
        <v>75</v>
      </c>
      <c r="CO160">
        <v>160685.10699999999</v>
      </c>
      <c r="CP160" t="s">
        <v>76</v>
      </c>
      <c r="CQ160" t="s">
        <v>82</v>
      </c>
      <c r="CR160">
        <v>6.2233520999999996</v>
      </c>
      <c r="CV160" t="s">
        <v>72</v>
      </c>
      <c r="CW160">
        <v>1</v>
      </c>
      <c r="CX160" t="s">
        <v>81</v>
      </c>
      <c r="CY160">
        <v>0.15997159</v>
      </c>
      <c r="CZ160" t="s">
        <v>74</v>
      </c>
      <c r="DA160">
        <v>159.97158999999999</v>
      </c>
      <c r="DB160" t="s">
        <v>75</v>
      </c>
      <c r="DC160">
        <v>159971.595</v>
      </c>
      <c r="DD160" t="s">
        <v>76</v>
      </c>
      <c r="DE160" t="s">
        <v>82</v>
      </c>
      <c r="DF160">
        <v>6.2511098</v>
      </c>
      <c r="DJ160" t="s">
        <v>72</v>
      </c>
      <c r="DK160">
        <v>1</v>
      </c>
      <c r="DL160" t="s">
        <v>81</v>
      </c>
      <c r="DM160">
        <v>0.16361010000000001</v>
      </c>
      <c r="DN160" t="s">
        <v>74</v>
      </c>
      <c r="DO160">
        <v>163.61009999999999</v>
      </c>
      <c r="DP160" t="s">
        <v>75</v>
      </c>
      <c r="DQ160">
        <v>163610.101</v>
      </c>
      <c r="DR160" t="s">
        <v>76</v>
      </c>
      <c r="DS160" t="s">
        <v>82</v>
      </c>
      <c r="DT160">
        <v>6.1120920999999999</v>
      </c>
      <c r="DX160" t="s">
        <v>496</v>
      </c>
      <c r="DY160" t="s">
        <v>72</v>
      </c>
      <c r="DZ160">
        <v>1</v>
      </c>
      <c r="EA160" t="s">
        <v>81</v>
      </c>
      <c r="EB160">
        <v>3.8831999999999998E-2</v>
      </c>
      <c r="EC160" t="s">
        <v>74</v>
      </c>
      <c r="ED160">
        <v>38.831699999999998</v>
      </c>
      <c r="EE160" t="s">
        <v>75</v>
      </c>
      <c r="EF160">
        <v>38831.699999999997</v>
      </c>
      <c r="EG160" t="s">
        <v>76</v>
      </c>
      <c r="EH160" t="s">
        <v>82</v>
      </c>
      <c r="EI160">
        <v>25.752156299999999</v>
      </c>
      <c r="EL160" t="s">
        <v>496</v>
      </c>
      <c r="EM160" t="s">
        <v>72</v>
      </c>
      <c r="EN160">
        <v>1</v>
      </c>
      <c r="EO160" t="s">
        <v>81</v>
      </c>
      <c r="EP160">
        <v>3.2182000000000002E-2</v>
      </c>
      <c r="EQ160" t="s">
        <v>74</v>
      </c>
      <c r="ER160">
        <v>32.181800000000003</v>
      </c>
      <c r="ES160" t="s">
        <v>75</v>
      </c>
      <c r="ET160">
        <v>32181.798999999999</v>
      </c>
      <c r="EU160" t="s">
        <v>76</v>
      </c>
      <c r="EV160" t="s">
        <v>82</v>
      </c>
      <c r="EW160">
        <v>31.0734645</v>
      </c>
      <c r="EZ160" t="s">
        <v>496</v>
      </c>
      <c r="FA160" t="s">
        <v>72</v>
      </c>
      <c r="FB160">
        <v>1</v>
      </c>
      <c r="FC160" t="s">
        <v>81</v>
      </c>
      <c r="FD160">
        <v>3.3169999999999998E-2</v>
      </c>
      <c r="FE160" t="s">
        <v>74</v>
      </c>
      <c r="FF160">
        <v>33.169899999999998</v>
      </c>
      <c r="FG160" t="s">
        <v>75</v>
      </c>
      <c r="FH160">
        <v>33169.898999999998</v>
      </c>
      <c r="FI160" t="s">
        <v>76</v>
      </c>
      <c r="FJ160" t="s">
        <v>82</v>
      </c>
      <c r="FK160">
        <v>30.1478155</v>
      </c>
    </row>
    <row r="161" spans="1:167" x14ac:dyDescent="0.3">
      <c r="B161" t="s">
        <v>83</v>
      </c>
      <c r="C161">
        <v>1000</v>
      </c>
      <c r="D161" t="s">
        <v>81</v>
      </c>
      <c r="E161">
        <v>1.0499400000000001E-3</v>
      </c>
      <c r="F161" t="s">
        <v>74</v>
      </c>
      <c r="G161">
        <v>1.0499400000000001</v>
      </c>
      <c r="H161" t="s">
        <v>75</v>
      </c>
      <c r="I161">
        <v>1049.942</v>
      </c>
      <c r="J161" t="s">
        <v>76</v>
      </c>
      <c r="K161" t="s">
        <v>82</v>
      </c>
      <c r="L161">
        <v>952.43387240000004</v>
      </c>
      <c r="P161" t="s">
        <v>83</v>
      </c>
      <c r="Q161">
        <v>1000</v>
      </c>
      <c r="R161" t="s">
        <v>81</v>
      </c>
      <c r="S161">
        <v>1.6539000000000002E-2</v>
      </c>
      <c r="T161" t="s">
        <v>74</v>
      </c>
      <c r="U161">
        <v>16.539000000000001</v>
      </c>
      <c r="V161" t="s">
        <v>75</v>
      </c>
      <c r="W161">
        <v>16538.998</v>
      </c>
      <c r="X161" t="s">
        <v>76</v>
      </c>
      <c r="Y161" t="s">
        <v>82</v>
      </c>
      <c r="Z161">
        <v>60.463156300000001</v>
      </c>
      <c r="AD161" t="s">
        <v>83</v>
      </c>
      <c r="AE161">
        <v>1000</v>
      </c>
      <c r="AF161" t="s">
        <v>81</v>
      </c>
      <c r="AG161">
        <v>1.6797739999999999E-2</v>
      </c>
      <c r="AH161" t="s">
        <v>74</v>
      </c>
      <c r="AI161">
        <v>16.797740000000001</v>
      </c>
      <c r="AJ161" t="s">
        <v>75</v>
      </c>
      <c r="AK161">
        <v>16797.735000000001</v>
      </c>
      <c r="AL161" t="s">
        <v>76</v>
      </c>
      <c r="AM161" t="s">
        <v>82</v>
      </c>
      <c r="AN161">
        <v>59.5318349</v>
      </c>
      <c r="AR161" t="s">
        <v>83</v>
      </c>
      <c r="AS161">
        <v>1000</v>
      </c>
      <c r="AT161" t="s">
        <v>81</v>
      </c>
      <c r="AU161">
        <v>1.12203E-3</v>
      </c>
      <c r="AV161" t="s">
        <v>74</v>
      </c>
      <c r="AW161">
        <v>1.1220300000000001</v>
      </c>
      <c r="AX161" t="s">
        <v>75</v>
      </c>
      <c r="AY161">
        <v>1122.0329999999999</v>
      </c>
      <c r="AZ161" t="s">
        <v>76</v>
      </c>
      <c r="BA161" t="s">
        <v>82</v>
      </c>
      <c r="BB161">
        <v>891.23938420000002</v>
      </c>
      <c r="BF161" t="s">
        <v>83</v>
      </c>
      <c r="BG161">
        <v>1000</v>
      </c>
      <c r="BH161" t="s">
        <v>81</v>
      </c>
      <c r="BI161">
        <v>1.6445319999999999E-2</v>
      </c>
      <c r="BJ161" t="s">
        <v>74</v>
      </c>
      <c r="BK161">
        <v>16.445319999999999</v>
      </c>
      <c r="BL161" t="s">
        <v>75</v>
      </c>
      <c r="BM161">
        <v>16445.322</v>
      </c>
      <c r="BN161" t="s">
        <v>76</v>
      </c>
      <c r="BO161" t="s">
        <v>82</v>
      </c>
      <c r="BP161">
        <v>60.807565699999998</v>
      </c>
      <c r="BT161" t="s">
        <v>83</v>
      </c>
      <c r="BU161">
        <v>1000</v>
      </c>
      <c r="BV161" t="s">
        <v>81</v>
      </c>
      <c r="BW161">
        <v>1.8136490000000002E-2</v>
      </c>
      <c r="BX161" t="s">
        <v>74</v>
      </c>
      <c r="BY161">
        <v>18.136489999999998</v>
      </c>
      <c r="BZ161" t="s">
        <v>75</v>
      </c>
      <c r="CA161">
        <v>18136.491999999998</v>
      </c>
      <c r="CB161" t="s">
        <v>76</v>
      </c>
      <c r="CC161" t="s">
        <v>82</v>
      </c>
      <c r="CD161">
        <v>55.137455000000003</v>
      </c>
      <c r="CH161" t="s">
        <v>83</v>
      </c>
      <c r="CI161">
        <v>1000</v>
      </c>
      <c r="CJ161" t="s">
        <v>81</v>
      </c>
      <c r="CK161">
        <v>1.11166E-3</v>
      </c>
      <c r="CL161" t="s">
        <v>74</v>
      </c>
      <c r="CM161">
        <v>1.1116600000000001</v>
      </c>
      <c r="CN161" t="s">
        <v>75</v>
      </c>
      <c r="CO161">
        <v>1111.663</v>
      </c>
      <c r="CP161" t="s">
        <v>76</v>
      </c>
      <c r="CQ161" t="s">
        <v>82</v>
      </c>
      <c r="CR161">
        <v>899.55281909999997</v>
      </c>
      <c r="CV161" t="s">
        <v>83</v>
      </c>
      <c r="CW161">
        <v>1000</v>
      </c>
      <c r="CX161" t="s">
        <v>81</v>
      </c>
      <c r="CY161">
        <v>1.661866E-2</v>
      </c>
      <c r="CZ161" t="s">
        <v>74</v>
      </c>
      <c r="DA161">
        <v>16.618659999999998</v>
      </c>
      <c r="DB161" t="s">
        <v>75</v>
      </c>
      <c r="DC161">
        <v>16618.664000000001</v>
      </c>
      <c r="DD161" t="s">
        <v>76</v>
      </c>
      <c r="DE161" t="s">
        <v>82</v>
      </c>
      <c r="DF161">
        <v>60.173309500000002</v>
      </c>
      <c r="DJ161" t="s">
        <v>83</v>
      </c>
      <c r="DK161">
        <v>1000</v>
      </c>
      <c r="DL161" t="s">
        <v>81</v>
      </c>
      <c r="DM161">
        <v>1.7014399999999999E-2</v>
      </c>
      <c r="DN161" t="s">
        <v>74</v>
      </c>
      <c r="DO161">
        <v>17.014399999999998</v>
      </c>
      <c r="DP161" t="s">
        <v>75</v>
      </c>
      <c r="DQ161">
        <v>17014.397000000001</v>
      </c>
      <c r="DR161" t="s">
        <v>76</v>
      </c>
      <c r="DS161" t="s">
        <v>82</v>
      </c>
      <c r="DT161">
        <v>58.7737561</v>
      </c>
      <c r="DX161" t="s">
        <v>496</v>
      </c>
      <c r="DY161" t="s">
        <v>83</v>
      </c>
      <c r="DZ161">
        <v>594</v>
      </c>
      <c r="EA161" t="s">
        <v>81</v>
      </c>
      <c r="EB161">
        <v>2.5249999999999999E-3</v>
      </c>
      <c r="EC161" t="s">
        <v>74</v>
      </c>
      <c r="ED161">
        <v>2.5254799999999999</v>
      </c>
      <c r="EE161" t="s">
        <v>75</v>
      </c>
      <c r="EF161">
        <v>2525.4810000000002</v>
      </c>
      <c r="EG161" t="s">
        <v>76</v>
      </c>
      <c r="EH161" t="s">
        <v>82</v>
      </c>
      <c r="EI161">
        <v>395.9641575</v>
      </c>
      <c r="EL161" t="s">
        <v>496</v>
      </c>
      <c r="EM161" t="s">
        <v>83</v>
      </c>
      <c r="EN161">
        <v>750</v>
      </c>
      <c r="EO161" t="s">
        <v>81</v>
      </c>
      <c r="EP161">
        <v>2.6224000000000001E-2</v>
      </c>
      <c r="EQ161" t="s">
        <v>74</v>
      </c>
      <c r="ER161">
        <v>26.223929999999999</v>
      </c>
      <c r="ES161" t="s">
        <v>75</v>
      </c>
      <c r="ET161">
        <v>26223.933000000001</v>
      </c>
      <c r="EU161" t="s">
        <v>76</v>
      </c>
      <c r="EV161" t="s">
        <v>82</v>
      </c>
      <c r="EW161">
        <v>38.133105499999999</v>
      </c>
      <c r="EZ161" t="s">
        <v>496</v>
      </c>
      <c r="FA161" t="s">
        <v>83</v>
      </c>
      <c r="FB161">
        <v>761</v>
      </c>
      <c r="FC161" t="s">
        <v>81</v>
      </c>
      <c r="FD161">
        <v>2.699E-2</v>
      </c>
      <c r="FE161" t="s">
        <v>74</v>
      </c>
      <c r="FF161">
        <v>26.989719999999998</v>
      </c>
      <c r="FG161" t="s">
        <v>75</v>
      </c>
      <c r="FH161">
        <v>26989.718000000001</v>
      </c>
      <c r="FI161" t="s">
        <v>76</v>
      </c>
      <c r="FJ161" t="s">
        <v>82</v>
      </c>
      <c r="FK161">
        <v>37.051147299999997</v>
      </c>
    </row>
    <row r="162" spans="1:167" x14ac:dyDescent="0.3">
      <c r="B162" t="s">
        <v>85</v>
      </c>
      <c r="C162">
        <v>1001</v>
      </c>
      <c r="D162" t="s">
        <v>86</v>
      </c>
      <c r="E162">
        <v>1.46021E-3</v>
      </c>
      <c r="F162" t="s">
        <v>74</v>
      </c>
      <c r="G162">
        <v>1.46021</v>
      </c>
      <c r="H162" t="s">
        <v>75</v>
      </c>
      <c r="I162">
        <v>1460.2149999999999</v>
      </c>
      <c r="J162" t="s">
        <v>76</v>
      </c>
      <c r="K162" t="s">
        <v>82</v>
      </c>
      <c r="L162">
        <v>684.83073679999995</v>
      </c>
      <c r="P162" t="s">
        <v>85</v>
      </c>
      <c r="Q162">
        <v>1001</v>
      </c>
      <c r="R162" t="s">
        <v>86</v>
      </c>
      <c r="S162">
        <v>1.6915159999999999E-2</v>
      </c>
      <c r="T162" t="s">
        <v>74</v>
      </c>
      <c r="U162">
        <v>16.91516</v>
      </c>
      <c r="V162" t="s">
        <v>75</v>
      </c>
      <c r="W162">
        <v>16915.16</v>
      </c>
      <c r="X162" t="s">
        <v>76</v>
      </c>
      <c r="Y162" t="s">
        <v>82</v>
      </c>
      <c r="Z162">
        <v>59.118564599999999</v>
      </c>
      <c r="AD162" t="s">
        <v>85</v>
      </c>
      <c r="AE162">
        <v>1001</v>
      </c>
      <c r="AF162" t="s">
        <v>86</v>
      </c>
      <c r="AG162">
        <v>1.7188559999999999E-2</v>
      </c>
      <c r="AH162" t="s">
        <v>74</v>
      </c>
      <c r="AI162">
        <v>17.188559999999999</v>
      </c>
      <c r="AJ162" t="s">
        <v>75</v>
      </c>
      <c r="AK162">
        <v>17188.555</v>
      </c>
      <c r="AL162" t="s">
        <v>76</v>
      </c>
      <c r="AM162" t="s">
        <v>82</v>
      </c>
      <c r="AN162">
        <v>58.178246299999998</v>
      </c>
      <c r="AR162" t="s">
        <v>85</v>
      </c>
      <c r="AS162">
        <v>1001</v>
      </c>
      <c r="AT162" t="s">
        <v>86</v>
      </c>
      <c r="AU162">
        <v>1.27362E-3</v>
      </c>
      <c r="AV162" t="s">
        <v>74</v>
      </c>
      <c r="AW162">
        <v>1.27362</v>
      </c>
      <c r="AX162" t="s">
        <v>75</v>
      </c>
      <c r="AY162">
        <v>1273.6210000000001</v>
      </c>
      <c r="AZ162" t="s">
        <v>76</v>
      </c>
      <c r="BA162" t="s">
        <v>82</v>
      </c>
      <c r="BB162">
        <v>785.16309579999995</v>
      </c>
      <c r="BF162" t="s">
        <v>85</v>
      </c>
      <c r="BG162">
        <v>1001</v>
      </c>
      <c r="BH162" t="s">
        <v>86</v>
      </c>
      <c r="BI162">
        <v>1.6884400000000001E-2</v>
      </c>
      <c r="BJ162" t="s">
        <v>74</v>
      </c>
      <c r="BK162">
        <v>16.884399999999999</v>
      </c>
      <c r="BL162" t="s">
        <v>75</v>
      </c>
      <c r="BM162">
        <v>16884.395</v>
      </c>
      <c r="BN162" t="s">
        <v>76</v>
      </c>
      <c r="BO162" t="s">
        <v>82</v>
      </c>
      <c r="BP162">
        <v>59.226285400000002</v>
      </c>
      <c r="BT162" t="s">
        <v>85</v>
      </c>
      <c r="BU162">
        <v>1001</v>
      </c>
      <c r="BV162" t="s">
        <v>86</v>
      </c>
      <c r="BW162">
        <v>1.827548E-2</v>
      </c>
      <c r="BX162" t="s">
        <v>74</v>
      </c>
      <c r="BY162">
        <v>18.275480000000002</v>
      </c>
      <c r="BZ162" t="s">
        <v>75</v>
      </c>
      <c r="CA162">
        <v>18275.478999999999</v>
      </c>
      <c r="CB162" t="s">
        <v>76</v>
      </c>
      <c r="CC162" t="s">
        <v>82</v>
      </c>
      <c r="CD162">
        <v>54.718127699999997</v>
      </c>
      <c r="CH162" t="s">
        <v>85</v>
      </c>
      <c r="CI162">
        <v>1001</v>
      </c>
      <c r="CJ162" t="s">
        <v>86</v>
      </c>
      <c r="CK162">
        <v>1.27125E-3</v>
      </c>
      <c r="CL162" t="s">
        <v>74</v>
      </c>
      <c r="CM162">
        <v>1.27125</v>
      </c>
      <c r="CN162" t="s">
        <v>75</v>
      </c>
      <c r="CO162">
        <v>1271.2539999999999</v>
      </c>
      <c r="CP162" t="s">
        <v>76</v>
      </c>
      <c r="CQ162" t="s">
        <v>82</v>
      </c>
      <c r="CR162">
        <v>786.62460420000002</v>
      </c>
      <c r="CV162" t="s">
        <v>85</v>
      </c>
      <c r="CW162">
        <v>1001</v>
      </c>
      <c r="CX162" t="s">
        <v>86</v>
      </c>
      <c r="CY162">
        <v>1.6762269999999999E-2</v>
      </c>
      <c r="CZ162" t="s">
        <v>74</v>
      </c>
      <c r="DA162">
        <v>16.762270000000001</v>
      </c>
      <c r="DB162" t="s">
        <v>75</v>
      </c>
      <c r="DC162">
        <v>16762.269</v>
      </c>
      <c r="DD162" t="s">
        <v>76</v>
      </c>
      <c r="DE162" t="s">
        <v>82</v>
      </c>
      <c r="DF162">
        <v>59.657792800000003</v>
      </c>
      <c r="DJ162" t="s">
        <v>85</v>
      </c>
      <c r="DK162">
        <v>1001</v>
      </c>
      <c r="DL162" t="s">
        <v>86</v>
      </c>
      <c r="DM162">
        <v>1.7161119999999998E-2</v>
      </c>
      <c r="DN162" t="s">
        <v>74</v>
      </c>
      <c r="DO162">
        <v>17.16112</v>
      </c>
      <c r="DP162" t="s">
        <v>75</v>
      </c>
      <c r="DQ162">
        <v>17161.116999999998</v>
      </c>
      <c r="DR162" t="s">
        <v>76</v>
      </c>
      <c r="DS162" t="s">
        <v>82</v>
      </c>
      <c r="DT162">
        <v>58.271265700000001</v>
      </c>
      <c r="DX162" t="s">
        <v>496</v>
      </c>
      <c r="DY162" t="s">
        <v>84</v>
      </c>
      <c r="DZ162">
        <v>595</v>
      </c>
      <c r="EA162" t="s">
        <v>81</v>
      </c>
      <c r="EB162">
        <v>2.5869999999999999E-3</v>
      </c>
      <c r="EC162" t="s">
        <v>74</v>
      </c>
      <c r="ED162">
        <v>2.5865</v>
      </c>
      <c r="EE162" t="s">
        <v>75</v>
      </c>
      <c r="EF162">
        <v>2586.5</v>
      </c>
      <c r="EG162" t="s">
        <v>76</v>
      </c>
      <c r="EH162" t="s">
        <v>82</v>
      </c>
      <c r="EI162">
        <v>386.62282190000002</v>
      </c>
      <c r="EL162" t="s">
        <v>496</v>
      </c>
      <c r="EM162" t="s">
        <v>84</v>
      </c>
      <c r="EN162">
        <v>751</v>
      </c>
      <c r="EO162" t="s">
        <v>81</v>
      </c>
      <c r="EP162">
        <v>2.6231999999999998E-2</v>
      </c>
      <c r="EQ162" t="s">
        <v>74</v>
      </c>
      <c r="ER162">
        <v>26.231860000000001</v>
      </c>
      <c r="ES162" t="s">
        <v>75</v>
      </c>
      <c r="ET162">
        <v>26231.865000000002</v>
      </c>
      <c r="EU162" t="s">
        <v>76</v>
      </c>
      <c r="EV162" t="s">
        <v>82</v>
      </c>
      <c r="EW162">
        <v>38.121575</v>
      </c>
      <c r="EZ162" t="s">
        <v>496</v>
      </c>
      <c r="FA162" t="s">
        <v>84</v>
      </c>
      <c r="FB162">
        <v>762</v>
      </c>
      <c r="FC162" t="s">
        <v>81</v>
      </c>
      <c r="FD162">
        <v>2.6998000000000001E-2</v>
      </c>
      <c r="FE162" t="s">
        <v>74</v>
      </c>
      <c r="FF162">
        <v>26.99783</v>
      </c>
      <c r="FG162" t="s">
        <v>75</v>
      </c>
      <c r="FH162">
        <v>26997.829000000002</v>
      </c>
      <c r="FI162" t="s">
        <v>76</v>
      </c>
      <c r="FJ162" t="s">
        <v>82</v>
      </c>
      <c r="FK162">
        <v>37.0400153</v>
      </c>
    </row>
    <row r="163" spans="1:167" x14ac:dyDescent="0.3">
      <c r="DX163" t="s">
        <v>497</v>
      </c>
      <c r="DY163" t="s">
        <v>72</v>
      </c>
      <c r="DZ163">
        <v>1</v>
      </c>
      <c r="EA163" t="s">
        <v>81</v>
      </c>
      <c r="EB163">
        <v>7.0942000000000005E-2</v>
      </c>
      <c r="EC163" t="s">
        <v>74</v>
      </c>
      <c r="ED163">
        <v>70.942300000000003</v>
      </c>
      <c r="EE163" t="s">
        <v>75</v>
      </c>
      <c r="EF163">
        <v>70942.297999999995</v>
      </c>
      <c r="EG163" t="s">
        <v>76</v>
      </c>
      <c r="EH163" t="s">
        <v>82</v>
      </c>
      <c r="EI163">
        <v>14.095962999999999</v>
      </c>
      <c r="EL163" t="s">
        <v>497</v>
      </c>
      <c r="EM163" t="s">
        <v>72</v>
      </c>
      <c r="EN163">
        <v>1</v>
      </c>
      <c r="EO163" t="s">
        <v>81</v>
      </c>
      <c r="EP163">
        <v>0.12071900000000001</v>
      </c>
      <c r="EQ163" t="s">
        <v>74</v>
      </c>
      <c r="ER163">
        <v>120.7195</v>
      </c>
      <c r="ES163" t="s">
        <v>75</v>
      </c>
      <c r="ET163">
        <v>120719.5</v>
      </c>
      <c r="EU163" t="s">
        <v>76</v>
      </c>
      <c r="EV163" t="s">
        <v>82</v>
      </c>
      <c r="EW163">
        <v>8.2836659000000008</v>
      </c>
      <c r="EZ163" t="s">
        <v>497</v>
      </c>
      <c r="FA163" t="s">
        <v>72</v>
      </c>
      <c r="FB163">
        <v>1</v>
      </c>
      <c r="FC163" t="s">
        <v>81</v>
      </c>
      <c r="FD163">
        <v>0.114261</v>
      </c>
      <c r="FE163" t="s">
        <v>74</v>
      </c>
      <c r="FF163">
        <v>114.26130000000001</v>
      </c>
      <c r="FG163" t="s">
        <v>75</v>
      </c>
      <c r="FH163">
        <v>114261.299</v>
      </c>
      <c r="FI163" t="s">
        <v>76</v>
      </c>
      <c r="FJ163" t="s">
        <v>82</v>
      </c>
      <c r="FK163">
        <v>8.7518697000000003</v>
      </c>
    </row>
    <row r="164" spans="1:167" x14ac:dyDescent="0.3">
      <c r="B164" t="s">
        <v>211</v>
      </c>
      <c r="P164" t="s">
        <v>211</v>
      </c>
      <c r="AD164" t="s">
        <v>211</v>
      </c>
      <c r="AR164" t="s">
        <v>331</v>
      </c>
      <c r="BF164" t="s">
        <v>331</v>
      </c>
      <c r="BT164" t="s">
        <v>331</v>
      </c>
      <c r="CH164" t="s">
        <v>447</v>
      </c>
      <c r="CV164" t="s">
        <v>447</v>
      </c>
      <c r="DJ164" t="s">
        <v>447</v>
      </c>
      <c r="DX164" t="s">
        <v>497</v>
      </c>
      <c r="DY164" t="s">
        <v>83</v>
      </c>
      <c r="DZ164">
        <v>405</v>
      </c>
      <c r="EA164" t="s">
        <v>81</v>
      </c>
      <c r="EB164">
        <v>3.5170000000000002E-3</v>
      </c>
      <c r="EC164" t="s">
        <v>74</v>
      </c>
      <c r="ED164">
        <v>3.51688</v>
      </c>
      <c r="EE164" t="s">
        <v>75</v>
      </c>
      <c r="EF164">
        <v>3516.8820000000001</v>
      </c>
      <c r="EG164" t="s">
        <v>76</v>
      </c>
      <c r="EH164" t="s">
        <v>82</v>
      </c>
      <c r="EI164">
        <v>284.34281470000002</v>
      </c>
      <c r="EL164" t="s">
        <v>497</v>
      </c>
      <c r="EM164" t="s">
        <v>83</v>
      </c>
      <c r="EN164">
        <v>249</v>
      </c>
      <c r="EO164" t="s">
        <v>81</v>
      </c>
      <c r="EP164">
        <v>7.5957999999999998E-2</v>
      </c>
      <c r="EQ164" t="s">
        <v>74</v>
      </c>
      <c r="ER164">
        <v>75.957689999999999</v>
      </c>
      <c r="ES164" t="s">
        <v>75</v>
      </c>
      <c r="ET164">
        <v>75957.684999999998</v>
      </c>
      <c r="EU164" t="s">
        <v>76</v>
      </c>
      <c r="EV164" t="s">
        <v>82</v>
      </c>
      <c r="EW164">
        <v>13.165224800000001</v>
      </c>
      <c r="EZ164" t="s">
        <v>497</v>
      </c>
      <c r="FA164" t="s">
        <v>83</v>
      </c>
      <c r="FB164">
        <v>238</v>
      </c>
      <c r="FC164" t="s">
        <v>81</v>
      </c>
      <c r="FD164">
        <v>8.5073999999999997E-2</v>
      </c>
      <c r="FE164" t="s">
        <v>74</v>
      </c>
      <c r="FF164">
        <v>85.073800000000006</v>
      </c>
      <c r="FG164" t="s">
        <v>75</v>
      </c>
      <c r="FH164">
        <v>85073.8</v>
      </c>
      <c r="FI164" t="s">
        <v>76</v>
      </c>
      <c r="FJ164" t="s">
        <v>82</v>
      </c>
      <c r="FK164">
        <v>11.7545003</v>
      </c>
    </row>
    <row r="165" spans="1:167" x14ac:dyDescent="0.3">
      <c r="B165" t="s">
        <v>72</v>
      </c>
      <c r="C165">
        <v>1</v>
      </c>
      <c r="D165" t="s">
        <v>81</v>
      </c>
      <c r="E165">
        <v>3.3793799999999999E-2</v>
      </c>
      <c r="F165" t="s">
        <v>74</v>
      </c>
      <c r="G165">
        <v>33.793799999999997</v>
      </c>
      <c r="H165" t="s">
        <v>75</v>
      </c>
      <c r="I165">
        <v>33793.800000000003</v>
      </c>
      <c r="J165" t="s">
        <v>76</v>
      </c>
      <c r="K165" t="s">
        <v>82</v>
      </c>
      <c r="L165">
        <v>29.591227199999999</v>
      </c>
      <c r="P165" t="s">
        <v>72</v>
      </c>
      <c r="Q165">
        <v>1</v>
      </c>
      <c r="R165" t="s">
        <v>81</v>
      </c>
      <c r="S165">
        <v>3.1770600000000003E-2</v>
      </c>
      <c r="T165" t="s">
        <v>74</v>
      </c>
      <c r="U165">
        <v>31.770600000000002</v>
      </c>
      <c r="V165" t="s">
        <v>75</v>
      </c>
      <c r="W165">
        <v>31770.598000000002</v>
      </c>
      <c r="X165" t="s">
        <v>76</v>
      </c>
      <c r="Y165" t="s">
        <v>82</v>
      </c>
      <c r="Z165">
        <v>31.475642799999999</v>
      </c>
      <c r="AD165" t="s">
        <v>72</v>
      </c>
      <c r="AE165">
        <v>1</v>
      </c>
      <c r="AF165" t="s">
        <v>81</v>
      </c>
      <c r="AG165">
        <v>3.1641000000000002E-2</v>
      </c>
      <c r="AH165" t="s">
        <v>74</v>
      </c>
      <c r="AI165">
        <v>31.640999999999998</v>
      </c>
      <c r="AJ165" t="s">
        <v>75</v>
      </c>
      <c r="AK165">
        <v>31640.999</v>
      </c>
      <c r="AL165" t="s">
        <v>76</v>
      </c>
      <c r="AM165" t="s">
        <v>82</v>
      </c>
      <c r="AN165">
        <v>31.604564700000001</v>
      </c>
      <c r="AR165" t="s">
        <v>72</v>
      </c>
      <c r="AS165">
        <v>1</v>
      </c>
      <c r="AT165" t="s">
        <v>81</v>
      </c>
      <c r="AU165">
        <v>3.7292499999999999E-2</v>
      </c>
      <c r="AV165" t="s">
        <v>74</v>
      </c>
      <c r="AW165">
        <v>37.292499999999997</v>
      </c>
      <c r="AX165" t="s">
        <v>75</v>
      </c>
      <c r="AY165">
        <v>37292.499000000003</v>
      </c>
      <c r="AZ165" t="s">
        <v>76</v>
      </c>
      <c r="BA165" t="s">
        <v>82</v>
      </c>
      <c r="BB165">
        <v>26.815043899999999</v>
      </c>
      <c r="BF165" t="s">
        <v>72</v>
      </c>
      <c r="BG165">
        <v>1</v>
      </c>
      <c r="BH165" t="s">
        <v>81</v>
      </c>
      <c r="BI165">
        <v>3.8131600000000002E-2</v>
      </c>
      <c r="BJ165" t="s">
        <v>74</v>
      </c>
      <c r="BK165">
        <v>38.131599999999999</v>
      </c>
      <c r="BL165" t="s">
        <v>75</v>
      </c>
      <c r="BM165">
        <v>38131.597999999998</v>
      </c>
      <c r="BN165" t="s">
        <v>76</v>
      </c>
      <c r="BO165" t="s">
        <v>82</v>
      </c>
      <c r="BP165">
        <v>26.224969399999999</v>
      </c>
      <c r="BT165" t="s">
        <v>72</v>
      </c>
      <c r="BU165">
        <v>1</v>
      </c>
      <c r="BV165" t="s">
        <v>81</v>
      </c>
      <c r="BW165">
        <v>3.7737600000000003E-2</v>
      </c>
      <c r="BX165" t="s">
        <v>74</v>
      </c>
      <c r="BY165">
        <v>37.7376</v>
      </c>
      <c r="BZ165" t="s">
        <v>75</v>
      </c>
      <c r="CA165">
        <v>37737.601000000002</v>
      </c>
      <c r="CB165" t="s">
        <v>76</v>
      </c>
      <c r="CC165" t="s">
        <v>82</v>
      </c>
      <c r="CD165">
        <v>26.498770100000002</v>
      </c>
      <c r="CH165" t="s">
        <v>72</v>
      </c>
      <c r="CI165">
        <v>1</v>
      </c>
      <c r="CJ165" t="s">
        <v>81</v>
      </c>
      <c r="CK165">
        <v>3.01131E-2</v>
      </c>
      <c r="CL165" t="s">
        <v>74</v>
      </c>
      <c r="CM165">
        <v>30.113099999999999</v>
      </c>
      <c r="CN165" t="s">
        <v>75</v>
      </c>
      <c r="CO165">
        <v>30113.098999999998</v>
      </c>
      <c r="CP165" t="s">
        <v>76</v>
      </c>
      <c r="CQ165" t="s">
        <v>82</v>
      </c>
      <c r="CR165">
        <v>33.208139600000003</v>
      </c>
      <c r="CV165" t="s">
        <v>72</v>
      </c>
      <c r="CW165">
        <v>1</v>
      </c>
      <c r="CX165" t="s">
        <v>81</v>
      </c>
      <c r="CY165">
        <v>3.0263999999999999E-2</v>
      </c>
      <c r="CZ165" t="s">
        <v>74</v>
      </c>
      <c r="DA165">
        <v>30.263999999999999</v>
      </c>
      <c r="DB165" t="s">
        <v>75</v>
      </c>
      <c r="DC165">
        <v>30263.999</v>
      </c>
      <c r="DD165" t="s">
        <v>76</v>
      </c>
      <c r="DE165" t="s">
        <v>82</v>
      </c>
      <c r="DF165">
        <v>33.042559400000002</v>
      </c>
      <c r="DJ165" t="s">
        <v>72</v>
      </c>
      <c r="DK165">
        <v>1</v>
      </c>
      <c r="DL165" t="s">
        <v>81</v>
      </c>
      <c r="DM165">
        <v>3.0256700000000001E-2</v>
      </c>
      <c r="DN165" t="s">
        <v>74</v>
      </c>
      <c r="DO165">
        <v>30.256699999999999</v>
      </c>
      <c r="DP165" t="s">
        <v>75</v>
      </c>
      <c r="DQ165">
        <v>30256.7</v>
      </c>
      <c r="DR165" t="s">
        <v>76</v>
      </c>
      <c r="DS165" t="s">
        <v>82</v>
      </c>
      <c r="DT165">
        <v>33.050531200000002</v>
      </c>
      <c r="DX165" t="s">
        <v>497</v>
      </c>
      <c r="DY165" t="s">
        <v>84</v>
      </c>
      <c r="DZ165">
        <v>406</v>
      </c>
      <c r="EA165" t="s">
        <v>81</v>
      </c>
      <c r="EB165">
        <v>3.6830000000000001E-3</v>
      </c>
      <c r="EC165" t="s">
        <v>74</v>
      </c>
      <c r="ED165">
        <v>3.6829499999999999</v>
      </c>
      <c r="EE165" t="s">
        <v>75</v>
      </c>
      <c r="EF165">
        <v>3682.9540000000002</v>
      </c>
      <c r="EG165" t="s">
        <v>76</v>
      </c>
      <c r="EH165" t="s">
        <v>82</v>
      </c>
      <c r="EI165">
        <v>271.52115620000001</v>
      </c>
      <c r="EL165" t="s">
        <v>497</v>
      </c>
      <c r="EM165" t="s">
        <v>84</v>
      </c>
      <c r="EN165">
        <v>250</v>
      </c>
      <c r="EO165" t="s">
        <v>81</v>
      </c>
      <c r="EP165">
        <v>7.6136999999999996E-2</v>
      </c>
      <c r="EQ165" t="s">
        <v>74</v>
      </c>
      <c r="ER165">
        <v>76.13673</v>
      </c>
      <c r="ES165" t="s">
        <v>75</v>
      </c>
      <c r="ET165">
        <v>76136.733999999997</v>
      </c>
      <c r="EU165" t="s">
        <v>76</v>
      </c>
      <c r="EV165" t="s">
        <v>82</v>
      </c>
      <c r="EW165">
        <v>13.1342645</v>
      </c>
      <c r="EZ165" t="s">
        <v>497</v>
      </c>
      <c r="FA165" t="s">
        <v>84</v>
      </c>
      <c r="FB165">
        <v>239</v>
      </c>
      <c r="FC165" t="s">
        <v>81</v>
      </c>
      <c r="FD165">
        <v>8.5195999999999994E-2</v>
      </c>
      <c r="FE165" t="s">
        <v>74</v>
      </c>
      <c r="FF165">
        <v>85.195920000000001</v>
      </c>
      <c r="FG165" t="s">
        <v>75</v>
      </c>
      <c r="FH165">
        <v>85195.923999999999</v>
      </c>
      <c r="FI165" t="s">
        <v>76</v>
      </c>
      <c r="FJ165" t="s">
        <v>82</v>
      </c>
      <c r="FK165">
        <v>11.7376507</v>
      </c>
    </row>
    <row r="166" spans="1:167" x14ac:dyDescent="0.3">
      <c r="B166" t="s">
        <v>83</v>
      </c>
      <c r="C166">
        <v>1000</v>
      </c>
      <c r="D166" t="s">
        <v>81</v>
      </c>
      <c r="E166">
        <v>1.5947299999999999E-3</v>
      </c>
      <c r="F166" t="s">
        <v>74</v>
      </c>
      <c r="G166">
        <v>1.59473</v>
      </c>
      <c r="H166" t="s">
        <v>75</v>
      </c>
      <c r="I166">
        <v>1594.7260000000001</v>
      </c>
      <c r="J166" t="s">
        <v>76</v>
      </c>
      <c r="K166" t="s">
        <v>82</v>
      </c>
      <c r="L166">
        <v>627.06693580000001</v>
      </c>
      <c r="P166" t="s">
        <v>83</v>
      </c>
      <c r="Q166">
        <v>1000</v>
      </c>
      <c r="R166" t="s">
        <v>81</v>
      </c>
      <c r="S166">
        <v>2.4424999999999999E-2</v>
      </c>
      <c r="T166" t="s">
        <v>74</v>
      </c>
      <c r="U166">
        <v>24.425000000000001</v>
      </c>
      <c r="V166" t="s">
        <v>75</v>
      </c>
      <c r="W166">
        <v>24425.005000000001</v>
      </c>
      <c r="X166" t="s">
        <v>76</v>
      </c>
      <c r="Y166" t="s">
        <v>82</v>
      </c>
      <c r="Z166">
        <v>40.9416498</v>
      </c>
      <c r="AD166" t="s">
        <v>83</v>
      </c>
      <c r="AE166">
        <v>1000</v>
      </c>
      <c r="AF166" t="s">
        <v>81</v>
      </c>
      <c r="AG166">
        <v>2.4858689999999999E-2</v>
      </c>
      <c r="AH166" t="s">
        <v>74</v>
      </c>
      <c r="AI166">
        <v>24.858689999999999</v>
      </c>
      <c r="AJ166" t="s">
        <v>75</v>
      </c>
      <c r="AK166">
        <v>24858.694</v>
      </c>
      <c r="AL166" t="s">
        <v>76</v>
      </c>
      <c r="AM166" t="s">
        <v>82</v>
      </c>
      <c r="AN166">
        <v>40.227374699999999</v>
      </c>
      <c r="AR166" t="s">
        <v>83</v>
      </c>
      <c r="AS166">
        <v>1000</v>
      </c>
      <c r="AT166" t="s">
        <v>81</v>
      </c>
      <c r="AU166">
        <v>1.84417E-3</v>
      </c>
      <c r="AV166" t="s">
        <v>74</v>
      </c>
      <c r="AW166">
        <v>1.8441700000000001</v>
      </c>
      <c r="AX166" t="s">
        <v>75</v>
      </c>
      <c r="AY166">
        <v>1844.1669999999999</v>
      </c>
      <c r="AZ166" t="s">
        <v>76</v>
      </c>
      <c r="BA166" t="s">
        <v>82</v>
      </c>
      <c r="BB166">
        <v>542.25038280000001</v>
      </c>
      <c r="BF166" t="s">
        <v>83</v>
      </c>
      <c r="BG166">
        <v>1000</v>
      </c>
      <c r="BH166" t="s">
        <v>81</v>
      </c>
      <c r="BI166">
        <v>2.6106310000000001E-2</v>
      </c>
      <c r="BJ166" t="s">
        <v>74</v>
      </c>
      <c r="BK166">
        <v>26.106310000000001</v>
      </c>
      <c r="BL166" t="s">
        <v>75</v>
      </c>
      <c r="BM166">
        <v>26106.308000000001</v>
      </c>
      <c r="BN166" t="s">
        <v>76</v>
      </c>
      <c r="BO166" t="s">
        <v>82</v>
      </c>
      <c r="BP166">
        <v>38.304918499999999</v>
      </c>
      <c r="BT166" t="s">
        <v>83</v>
      </c>
      <c r="BU166">
        <v>1000</v>
      </c>
      <c r="BV166" t="s">
        <v>81</v>
      </c>
      <c r="BW166">
        <v>2.7014150000000001E-2</v>
      </c>
      <c r="BX166" t="s">
        <v>74</v>
      </c>
      <c r="BY166">
        <v>27.014150000000001</v>
      </c>
      <c r="BZ166" t="s">
        <v>75</v>
      </c>
      <c r="CA166">
        <v>27014.147000000001</v>
      </c>
      <c r="CB166" t="s">
        <v>76</v>
      </c>
      <c r="CC166" t="s">
        <v>82</v>
      </c>
      <c r="CD166">
        <v>37.017641400000002</v>
      </c>
      <c r="CH166" t="s">
        <v>83</v>
      </c>
      <c r="CI166">
        <v>1000</v>
      </c>
      <c r="CJ166" t="s">
        <v>81</v>
      </c>
      <c r="CK166">
        <v>2.0038600000000001E-3</v>
      </c>
      <c r="CL166" t="s">
        <v>74</v>
      </c>
      <c r="CM166">
        <v>2.00386</v>
      </c>
      <c r="CN166" t="s">
        <v>75</v>
      </c>
      <c r="CO166">
        <v>2003.864</v>
      </c>
      <c r="CP166" t="s">
        <v>76</v>
      </c>
      <c r="CQ166" t="s">
        <v>82</v>
      </c>
      <c r="CR166">
        <v>499.03585029999999</v>
      </c>
      <c r="CV166" t="s">
        <v>83</v>
      </c>
      <c r="CW166">
        <v>1000</v>
      </c>
      <c r="CX166" t="s">
        <v>81</v>
      </c>
      <c r="CY166">
        <v>2.684624E-2</v>
      </c>
      <c r="CZ166" t="s">
        <v>74</v>
      </c>
      <c r="DA166">
        <v>26.846240000000002</v>
      </c>
      <c r="DB166" t="s">
        <v>75</v>
      </c>
      <c r="DC166">
        <v>26846.244999999999</v>
      </c>
      <c r="DD166" t="s">
        <v>76</v>
      </c>
      <c r="DE166" t="s">
        <v>82</v>
      </c>
      <c r="DF166">
        <v>37.249157500000003</v>
      </c>
      <c r="DJ166" t="s">
        <v>83</v>
      </c>
      <c r="DK166">
        <v>1000</v>
      </c>
      <c r="DL166" t="s">
        <v>81</v>
      </c>
      <c r="DM166">
        <v>2.7518460000000002E-2</v>
      </c>
      <c r="DN166" t="s">
        <v>74</v>
      </c>
      <c r="DO166">
        <v>27.518460000000001</v>
      </c>
      <c r="DP166" t="s">
        <v>75</v>
      </c>
      <c r="DQ166">
        <v>27518.463</v>
      </c>
      <c r="DR166" t="s">
        <v>76</v>
      </c>
      <c r="DS166" t="s">
        <v>82</v>
      </c>
      <c r="DT166">
        <v>36.339238700000003</v>
      </c>
      <c r="DX166" t="s">
        <v>498</v>
      </c>
      <c r="DY166" t="s">
        <v>72</v>
      </c>
      <c r="DZ166">
        <v>2</v>
      </c>
      <c r="EA166" t="s">
        <v>86</v>
      </c>
      <c r="EB166">
        <v>3.5475E-2</v>
      </c>
      <c r="EC166" t="s">
        <v>74</v>
      </c>
      <c r="ED166">
        <v>35.474800000000002</v>
      </c>
      <c r="EE166" t="s">
        <v>75</v>
      </c>
      <c r="EF166">
        <v>35474.800000000003</v>
      </c>
      <c r="EG166" t="s">
        <v>76</v>
      </c>
      <c r="EH166" t="s">
        <v>82</v>
      </c>
      <c r="EI166">
        <v>28.189024700000001</v>
      </c>
      <c r="EL166" t="s">
        <v>498</v>
      </c>
      <c r="EM166" t="s">
        <v>72</v>
      </c>
      <c r="EN166">
        <v>2</v>
      </c>
      <c r="EO166" t="s">
        <v>86</v>
      </c>
      <c r="EP166">
        <v>6.0363E-2</v>
      </c>
      <c r="EQ166" t="s">
        <v>74</v>
      </c>
      <c r="ER166">
        <v>60.363149999999997</v>
      </c>
      <c r="ES166" t="s">
        <v>75</v>
      </c>
      <c r="ET166">
        <v>60363.150999999998</v>
      </c>
      <c r="EU166" t="s">
        <v>76</v>
      </c>
      <c r="EV166" t="s">
        <v>82</v>
      </c>
      <c r="EW166">
        <v>16.566398199999998</v>
      </c>
      <c r="EZ166" t="s">
        <v>498</v>
      </c>
      <c r="FA166" t="s">
        <v>72</v>
      </c>
      <c r="FB166">
        <v>2</v>
      </c>
      <c r="FC166" t="s">
        <v>86</v>
      </c>
      <c r="FD166">
        <v>5.7133999999999997E-2</v>
      </c>
      <c r="FE166" t="s">
        <v>74</v>
      </c>
      <c r="FF166">
        <v>57.133949999999999</v>
      </c>
      <c r="FG166" t="s">
        <v>75</v>
      </c>
      <c r="FH166">
        <v>57133.95</v>
      </c>
      <c r="FI166" t="s">
        <v>76</v>
      </c>
      <c r="FJ166" t="s">
        <v>82</v>
      </c>
      <c r="FK166">
        <v>17.502728099999999</v>
      </c>
    </row>
    <row r="167" spans="1:167" x14ac:dyDescent="0.3">
      <c r="B167" t="s">
        <v>85</v>
      </c>
      <c r="C167">
        <v>1001</v>
      </c>
      <c r="D167" t="s">
        <v>86</v>
      </c>
      <c r="E167">
        <v>1.6270900000000001E-3</v>
      </c>
      <c r="F167" t="s">
        <v>74</v>
      </c>
      <c r="G167">
        <v>1.6270899999999999</v>
      </c>
      <c r="H167" t="s">
        <v>75</v>
      </c>
      <c r="I167">
        <v>1627.0920000000001</v>
      </c>
      <c r="J167" t="s">
        <v>76</v>
      </c>
      <c r="K167" t="s">
        <v>82</v>
      </c>
      <c r="L167">
        <v>614.5932176</v>
      </c>
      <c r="P167" t="s">
        <v>85</v>
      </c>
      <c r="Q167">
        <v>1001</v>
      </c>
      <c r="R167" t="s">
        <v>86</v>
      </c>
      <c r="S167">
        <v>2.443267E-2</v>
      </c>
      <c r="T167" t="s">
        <v>74</v>
      </c>
      <c r="U167">
        <v>24.432670000000002</v>
      </c>
      <c r="V167" t="s">
        <v>75</v>
      </c>
      <c r="W167">
        <v>24432.674999999999</v>
      </c>
      <c r="X167" t="s">
        <v>76</v>
      </c>
      <c r="Y167" t="s">
        <v>82</v>
      </c>
      <c r="Z167">
        <v>40.928797400000001</v>
      </c>
      <c r="AD167" t="s">
        <v>85</v>
      </c>
      <c r="AE167">
        <v>1001</v>
      </c>
      <c r="AF167" t="s">
        <v>86</v>
      </c>
      <c r="AG167">
        <v>2.4865720000000001E-2</v>
      </c>
      <c r="AH167" t="s">
        <v>74</v>
      </c>
      <c r="AI167">
        <v>24.86572</v>
      </c>
      <c r="AJ167" t="s">
        <v>75</v>
      </c>
      <c r="AK167">
        <v>24865.719000000001</v>
      </c>
      <c r="AL167" t="s">
        <v>76</v>
      </c>
      <c r="AM167" t="s">
        <v>82</v>
      </c>
      <c r="AN167">
        <v>40.216009499999998</v>
      </c>
      <c r="AR167" t="s">
        <v>85</v>
      </c>
      <c r="AS167">
        <v>1001</v>
      </c>
      <c r="AT167" t="s">
        <v>86</v>
      </c>
      <c r="AU167">
        <v>1.8798599999999999E-3</v>
      </c>
      <c r="AV167" t="s">
        <v>74</v>
      </c>
      <c r="AW167">
        <v>1.8798600000000001</v>
      </c>
      <c r="AX167" t="s">
        <v>75</v>
      </c>
      <c r="AY167">
        <v>1879.857</v>
      </c>
      <c r="AZ167" t="s">
        <v>76</v>
      </c>
      <c r="BA167" t="s">
        <v>82</v>
      </c>
      <c r="BB167">
        <v>531.95531749999998</v>
      </c>
      <c r="BF167" t="s">
        <v>85</v>
      </c>
      <c r="BG167">
        <v>1001</v>
      </c>
      <c r="BH167" t="s">
        <v>86</v>
      </c>
      <c r="BI167">
        <v>2.611923E-2</v>
      </c>
      <c r="BJ167" t="s">
        <v>74</v>
      </c>
      <c r="BK167">
        <v>26.119230000000002</v>
      </c>
      <c r="BL167" t="s">
        <v>75</v>
      </c>
      <c r="BM167">
        <v>26119.234</v>
      </c>
      <c r="BN167" t="s">
        <v>76</v>
      </c>
      <c r="BO167" t="s">
        <v>82</v>
      </c>
      <c r="BP167">
        <v>38.285961899999997</v>
      </c>
      <c r="BT167" t="s">
        <v>85</v>
      </c>
      <c r="BU167">
        <v>1001</v>
      </c>
      <c r="BV167" t="s">
        <v>86</v>
      </c>
      <c r="BW167">
        <v>2.7025739999999999E-2</v>
      </c>
      <c r="BX167" t="s">
        <v>74</v>
      </c>
      <c r="BY167">
        <v>27.025739999999999</v>
      </c>
      <c r="BZ167" t="s">
        <v>75</v>
      </c>
      <c r="CA167">
        <v>27025.741000000002</v>
      </c>
      <c r="CB167" t="s">
        <v>76</v>
      </c>
      <c r="CC167" t="s">
        <v>82</v>
      </c>
      <c r="CD167">
        <v>37.001760599999997</v>
      </c>
      <c r="CH167" t="s">
        <v>85</v>
      </c>
      <c r="CI167">
        <v>1001</v>
      </c>
      <c r="CJ167" t="s">
        <v>86</v>
      </c>
      <c r="CK167">
        <v>2.0321900000000001E-3</v>
      </c>
      <c r="CL167" t="s">
        <v>74</v>
      </c>
      <c r="CM167">
        <v>2.0321899999999999</v>
      </c>
      <c r="CN167" t="s">
        <v>75</v>
      </c>
      <c r="CO167">
        <v>2032.1890000000001</v>
      </c>
      <c r="CP167" t="s">
        <v>76</v>
      </c>
      <c r="CQ167" t="s">
        <v>82</v>
      </c>
      <c r="CR167">
        <v>492.08016129999999</v>
      </c>
      <c r="CV167" t="s">
        <v>85</v>
      </c>
      <c r="CW167">
        <v>1001</v>
      </c>
      <c r="CX167" t="s">
        <v>86</v>
      </c>
      <c r="CY167">
        <v>2.685003E-2</v>
      </c>
      <c r="CZ167" t="s">
        <v>74</v>
      </c>
      <c r="DA167">
        <v>26.85003</v>
      </c>
      <c r="DB167" t="s">
        <v>75</v>
      </c>
      <c r="DC167">
        <v>26850.032999999999</v>
      </c>
      <c r="DD167" t="s">
        <v>76</v>
      </c>
      <c r="DE167" t="s">
        <v>82</v>
      </c>
      <c r="DF167">
        <v>37.2439027</v>
      </c>
      <c r="DJ167" t="s">
        <v>85</v>
      </c>
      <c r="DK167">
        <v>1001</v>
      </c>
      <c r="DL167" t="s">
        <v>86</v>
      </c>
      <c r="DM167">
        <v>2.7521549999999999E-2</v>
      </c>
      <c r="DN167" t="s">
        <v>74</v>
      </c>
      <c r="DO167">
        <v>27.521550000000001</v>
      </c>
      <c r="DP167" t="s">
        <v>75</v>
      </c>
      <c r="DQ167">
        <v>27521.550999999999</v>
      </c>
      <c r="DR167" t="s">
        <v>76</v>
      </c>
      <c r="DS167" t="s">
        <v>82</v>
      </c>
      <c r="DT167">
        <v>36.335161900000003</v>
      </c>
      <c r="DX167" t="s">
        <v>498</v>
      </c>
      <c r="DY167" t="s">
        <v>83</v>
      </c>
      <c r="DZ167">
        <v>999</v>
      </c>
      <c r="EA167" t="s">
        <v>86</v>
      </c>
      <c r="EB167">
        <v>1.503E-3</v>
      </c>
      <c r="EC167" t="s">
        <v>74</v>
      </c>
      <c r="ED167">
        <v>1.5033399999999999</v>
      </c>
      <c r="EE167" t="s">
        <v>75</v>
      </c>
      <c r="EF167">
        <v>1503.3409999999999</v>
      </c>
      <c r="EG167" t="s">
        <v>76</v>
      </c>
      <c r="EH167" t="s">
        <v>82</v>
      </c>
      <c r="EI167">
        <v>665.18525729999999</v>
      </c>
      <c r="EL167" t="s">
        <v>498</v>
      </c>
      <c r="EM167" t="s">
        <v>83</v>
      </c>
      <c r="EN167">
        <v>999</v>
      </c>
      <c r="EO167" t="s">
        <v>86</v>
      </c>
      <c r="EP167">
        <v>1.9724999999999999E-2</v>
      </c>
      <c r="EQ167" t="s">
        <v>74</v>
      </c>
      <c r="ER167">
        <v>19.725380000000001</v>
      </c>
      <c r="ES167" t="s">
        <v>75</v>
      </c>
      <c r="ET167">
        <v>19725.381000000001</v>
      </c>
      <c r="EU167" t="s">
        <v>76</v>
      </c>
      <c r="EV167" t="s">
        <v>82</v>
      </c>
      <c r="EW167">
        <v>50.696104599999998</v>
      </c>
      <c r="EZ167" t="s">
        <v>498</v>
      </c>
      <c r="FA167" t="s">
        <v>83</v>
      </c>
      <c r="FB167">
        <v>999</v>
      </c>
      <c r="FC167" t="s">
        <v>86</v>
      </c>
      <c r="FD167">
        <v>2.0594000000000001E-2</v>
      </c>
      <c r="FE167" t="s">
        <v>74</v>
      </c>
      <c r="FF167">
        <v>20.593820000000001</v>
      </c>
      <c r="FG167" t="s">
        <v>75</v>
      </c>
      <c r="FH167">
        <v>20593.825000000001</v>
      </c>
      <c r="FI167" t="s">
        <v>76</v>
      </c>
      <c r="FJ167" t="s">
        <v>82</v>
      </c>
      <c r="FK167">
        <v>48.558245999999997</v>
      </c>
    </row>
    <row r="168" spans="1:167" x14ac:dyDescent="0.3">
      <c r="DX168" t="s">
        <v>498</v>
      </c>
      <c r="DY168" t="s">
        <v>85</v>
      </c>
      <c r="DZ168">
        <v>1001</v>
      </c>
      <c r="EA168" t="s">
        <v>86</v>
      </c>
      <c r="EB168">
        <v>1.5460000000000001E-3</v>
      </c>
      <c r="EC168" t="s">
        <v>74</v>
      </c>
      <c r="ED168">
        <v>1.5456399999999999</v>
      </c>
      <c r="EE168" t="s">
        <v>75</v>
      </c>
      <c r="EF168">
        <v>1545.6389999999999</v>
      </c>
      <c r="EG168" t="s">
        <v>76</v>
      </c>
      <c r="EH168" t="s">
        <v>82</v>
      </c>
      <c r="EI168">
        <v>646.98167620000004</v>
      </c>
      <c r="EL168" t="s">
        <v>498</v>
      </c>
      <c r="EM168" t="s">
        <v>85</v>
      </c>
      <c r="EN168">
        <v>1001</v>
      </c>
      <c r="EO168" t="s">
        <v>86</v>
      </c>
      <c r="EP168">
        <v>1.9719E-2</v>
      </c>
      <c r="EQ168" t="s">
        <v>74</v>
      </c>
      <c r="ER168">
        <v>19.71942</v>
      </c>
      <c r="ES168" t="s">
        <v>75</v>
      </c>
      <c r="ET168">
        <v>19719.419999999998</v>
      </c>
      <c r="EU168" t="s">
        <v>76</v>
      </c>
      <c r="EV168" t="s">
        <v>82</v>
      </c>
      <c r="EW168">
        <v>50.711430300000004</v>
      </c>
      <c r="EZ168" t="s">
        <v>498</v>
      </c>
      <c r="FA168" t="s">
        <v>85</v>
      </c>
      <c r="FB168">
        <v>1001</v>
      </c>
      <c r="FC168" t="s">
        <v>86</v>
      </c>
      <c r="FD168">
        <v>2.0587999999999999E-2</v>
      </c>
      <c r="FE168" t="s">
        <v>74</v>
      </c>
      <c r="FF168">
        <v>20.587980000000002</v>
      </c>
      <c r="FG168" t="s">
        <v>75</v>
      </c>
      <c r="FH168">
        <v>20587.975999999999</v>
      </c>
      <c r="FI168" t="s">
        <v>76</v>
      </c>
      <c r="FJ168" t="s">
        <v>82</v>
      </c>
      <c r="FK168">
        <v>48.572039400000001</v>
      </c>
    </row>
    <row r="169" spans="1:167" x14ac:dyDescent="0.3">
      <c r="A169">
        <v>18</v>
      </c>
      <c r="B169" t="s">
        <v>217</v>
      </c>
      <c r="O169">
        <v>18</v>
      </c>
      <c r="P169" t="s">
        <v>217</v>
      </c>
      <c r="AC169">
        <v>18</v>
      </c>
      <c r="AD169" t="s">
        <v>217</v>
      </c>
      <c r="AQ169">
        <v>18</v>
      </c>
      <c r="AR169" t="s">
        <v>335</v>
      </c>
      <c r="BE169">
        <v>18</v>
      </c>
      <c r="BF169" t="s">
        <v>335</v>
      </c>
      <c r="BS169">
        <v>18</v>
      </c>
      <c r="BT169" t="s">
        <v>335</v>
      </c>
      <c r="CG169">
        <v>18</v>
      </c>
      <c r="CH169" t="s">
        <v>451</v>
      </c>
      <c r="CU169">
        <v>18</v>
      </c>
      <c r="CV169" t="s">
        <v>451</v>
      </c>
      <c r="DI169">
        <v>18</v>
      </c>
      <c r="DJ169" t="s">
        <v>451</v>
      </c>
    </row>
    <row r="170" spans="1:167" x14ac:dyDescent="0.3">
      <c r="B170" t="s">
        <v>72</v>
      </c>
      <c r="C170">
        <v>1</v>
      </c>
      <c r="D170" t="s">
        <v>81</v>
      </c>
      <c r="E170">
        <v>0.35967969999999999</v>
      </c>
      <c r="F170" t="s">
        <v>74</v>
      </c>
      <c r="G170">
        <v>359.67970000000003</v>
      </c>
      <c r="H170" t="s">
        <v>75</v>
      </c>
      <c r="I170">
        <v>359679.69900000002</v>
      </c>
      <c r="J170" t="s">
        <v>76</v>
      </c>
      <c r="K170" t="s">
        <v>82</v>
      </c>
      <c r="L170">
        <v>2.7802514</v>
      </c>
      <c r="P170" t="s">
        <v>72</v>
      </c>
      <c r="Q170">
        <v>1</v>
      </c>
      <c r="R170" t="s">
        <v>81</v>
      </c>
      <c r="S170">
        <v>0.37964179999999997</v>
      </c>
      <c r="T170" t="s">
        <v>74</v>
      </c>
      <c r="U170">
        <v>379.64179999999999</v>
      </c>
      <c r="V170" t="s">
        <v>75</v>
      </c>
      <c r="W170">
        <v>379641.80099999998</v>
      </c>
      <c r="X170" t="s">
        <v>76</v>
      </c>
      <c r="Y170" t="s">
        <v>82</v>
      </c>
      <c r="Z170">
        <v>2.6340618999999998</v>
      </c>
      <c r="AD170" t="s">
        <v>72</v>
      </c>
      <c r="AE170">
        <v>1</v>
      </c>
      <c r="AF170" t="s">
        <v>81</v>
      </c>
      <c r="AG170">
        <v>0.37411730999999998</v>
      </c>
      <c r="AH170" t="s">
        <v>74</v>
      </c>
      <c r="AI170">
        <v>374.11730999999997</v>
      </c>
      <c r="AJ170" t="s">
        <v>75</v>
      </c>
      <c r="AK170">
        <v>374117.315</v>
      </c>
      <c r="AL170" t="s">
        <v>76</v>
      </c>
      <c r="AM170" t="s">
        <v>82</v>
      </c>
      <c r="AN170">
        <v>2.6729582999999999</v>
      </c>
      <c r="AR170" t="s">
        <v>72</v>
      </c>
      <c r="AS170">
        <v>1</v>
      </c>
      <c r="AT170" t="s">
        <v>81</v>
      </c>
      <c r="AU170">
        <v>0.1539963</v>
      </c>
      <c r="AV170" t="s">
        <v>74</v>
      </c>
      <c r="AW170">
        <v>153.99629999999999</v>
      </c>
      <c r="AX170" t="s">
        <v>75</v>
      </c>
      <c r="AY170">
        <v>153996.304</v>
      </c>
      <c r="AZ170" t="s">
        <v>76</v>
      </c>
      <c r="BA170" t="s">
        <v>82</v>
      </c>
      <c r="BB170">
        <v>6.4936623999999998</v>
      </c>
      <c r="BF170" t="s">
        <v>72</v>
      </c>
      <c r="BG170">
        <v>1</v>
      </c>
      <c r="BH170" t="s">
        <v>81</v>
      </c>
      <c r="BI170">
        <v>0.51422608000000003</v>
      </c>
      <c r="BJ170" t="s">
        <v>74</v>
      </c>
      <c r="BK170">
        <v>514.22608000000002</v>
      </c>
      <c r="BL170" t="s">
        <v>75</v>
      </c>
      <c r="BM170">
        <v>514226.07900000003</v>
      </c>
      <c r="BN170" t="s">
        <v>76</v>
      </c>
      <c r="BO170" t="s">
        <v>82</v>
      </c>
      <c r="BP170">
        <v>1.9446699000000001</v>
      </c>
      <c r="BT170" t="s">
        <v>72</v>
      </c>
      <c r="BU170">
        <v>1</v>
      </c>
      <c r="BV170" t="s">
        <v>81</v>
      </c>
      <c r="BW170">
        <v>0.15512210000000001</v>
      </c>
      <c r="BX170" t="s">
        <v>74</v>
      </c>
      <c r="BY170">
        <v>155.12209999999999</v>
      </c>
      <c r="BZ170" t="s">
        <v>75</v>
      </c>
      <c r="CA170">
        <v>155122.101</v>
      </c>
      <c r="CB170" t="s">
        <v>76</v>
      </c>
      <c r="CC170" t="s">
        <v>82</v>
      </c>
      <c r="CD170">
        <v>6.4465345999999997</v>
      </c>
      <c r="CH170" t="s">
        <v>72</v>
      </c>
      <c r="CI170">
        <v>1</v>
      </c>
      <c r="CJ170" t="s">
        <v>81</v>
      </c>
      <c r="CK170">
        <v>0.16101471000000001</v>
      </c>
      <c r="CL170" t="s">
        <v>74</v>
      </c>
      <c r="CM170">
        <v>161.01471000000001</v>
      </c>
      <c r="CN170" t="s">
        <v>75</v>
      </c>
      <c r="CO170">
        <v>161014.70600000001</v>
      </c>
      <c r="CP170" t="s">
        <v>76</v>
      </c>
      <c r="CQ170" t="s">
        <v>82</v>
      </c>
      <c r="CR170">
        <v>6.2106127999999998</v>
      </c>
      <c r="CV170" t="s">
        <v>72</v>
      </c>
      <c r="CW170">
        <v>1</v>
      </c>
      <c r="CX170" t="s">
        <v>81</v>
      </c>
      <c r="CY170">
        <v>0.16146940000000001</v>
      </c>
      <c r="CZ170" t="s">
        <v>74</v>
      </c>
      <c r="DA170">
        <v>161.46940000000001</v>
      </c>
      <c r="DB170" t="s">
        <v>75</v>
      </c>
      <c r="DC170">
        <v>161469.4</v>
      </c>
      <c r="DD170" t="s">
        <v>76</v>
      </c>
      <c r="DE170" t="s">
        <v>82</v>
      </c>
      <c r="DF170">
        <v>6.1931238999999998</v>
      </c>
      <c r="DJ170" t="s">
        <v>72</v>
      </c>
      <c r="DK170">
        <v>1</v>
      </c>
      <c r="DL170" t="s">
        <v>81</v>
      </c>
      <c r="DM170">
        <v>0.15800020000000001</v>
      </c>
      <c r="DN170" t="s">
        <v>74</v>
      </c>
      <c r="DO170">
        <v>158.00020000000001</v>
      </c>
      <c r="DP170" t="s">
        <v>75</v>
      </c>
      <c r="DQ170">
        <v>158000.201</v>
      </c>
      <c r="DR170" t="s">
        <v>76</v>
      </c>
      <c r="DS170" t="s">
        <v>82</v>
      </c>
      <c r="DT170">
        <v>6.3291059000000001</v>
      </c>
      <c r="DW170">
        <v>11</v>
      </c>
      <c r="DX170" t="s">
        <v>528</v>
      </c>
      <c r="EK170">
        <v>11</v>
      </c>
      <c r="EL170" t="s">
        <v>528</v>
      </c>
      <c r="EY170">
        <v>11</v>
      </c>
      <c r="EZ170" t="s">
        <v>528</v>
      </c>
    </row>
    <row r="171" spans="1:167" x14ac:dyDescent="0.3">
      <c r="B171" t="s">
        <v>83</v>
      </c>
      <c r="C171">
        <v>1000</v>
      </c>
      <c r="D171" t="s">
        <v>81</v>
      </c>
      <c r="E171">
        <v>1.03765E-3</v>
      </c>
      <c r="F171" t="s">
        <v>74</v>
      </c>
      <c r="G171">
        <v>1.03765</v>
      </c>
      <c r="H171" t="s">
        <v>75</v>
      </c>
      <c r="I171">
        <v>1037.6479999999999</v>
      </c>
      <c r="J171" t="s">
        <v>76</v>
      </c>
      <c r="K171" t="s">
        <v>82</v>
      </c>
      <c r="L171">
        <v>963.71753860000001</v>
      </c>
      <c r="P171" t="s">
        <v>83</v>
      </c>
      <c r="Q171">
        <v>1000</v>
      </c>
      <c r="R171" t="s">
        <v>81</v>
      </c>
      <c r="S171">
        <v>6.2912999999999999E-4</v>
      </c>
      <c r="T171" t="s">
        <v>74</v>
      </c>
      <c r="U171">
        <v>0.62912999999999997</v>
      </c>
      <c r="V171" t="s">
        <v>75</v>
      </c>
      <c r="W171">
        <v>629.12900000000002</v>
      </c>
      <c r="X171" t="s">
        <v>76</v>
      </c>
      <c r="Y171" t="s">
        <v>82</v>
      </c>
      <c r="Z171">
        <v>1589.5003565</v>
      </c>
      <c r="AD171" t="s">
        <v>83</v>
      </c>
      <c r="AE171">
        <v>1000</v>
      </c>
      <c r="AF171" t="s">
        <v>81</v>
      </c>
      <c r="AG171">
        <v>1.27052E-3</v>
      </c>
      <c r="AH171" t="s">
        <v>74</v>
      </c>
      <c r="AI171">
        <v>1.2705200000000001</v>
      </c>
      <c r="AJ171" t="s">
        <v>75</v>
      </c>
      <c r="AK171">
        <v>1270.5219999999999</v>
      </c>
      <c r="AL171" t="s">
        <v>76</v>
      </c>
      <c r="AM171" t="s">
        <v>82</v>
      </c>
      <c r="AN171">
        <v>787.07792040000004</v>
      </c>
      <c r="AR171" t="s">
        <v>83</v>
      </c>
      <c r="AS171">
        <v>1000</v>
      </c>
      <c r="AT171" t="s">
        <v>81</v>
      </c>
      <c r="AU171">
        <v>1.1540299999999999E-3</v>
      </c>
      <c r="AV171" t="s">
        <v>74</v>
      </c>
      <c r="AW171">
        <v>1.1540299999999999</v>
      </c>
      <c r="AX171" t="s">
        <v>75</v>
      </c>
      <c r="AY171">
        <v>1154.0319999999999</v>
      </c>
      <c r="AZ171" t="s">
        <v>76</v>
      </c>
      <c r="BA171" t="s">
        <v>82</v>
      </c>
      <c r="BB171">
        <v>866.52683549999995</v>
      </c>
      <c r="BF171" t="s">
        <v>83</v>
      </c>
      <c r="BG171">
        <v>1000</v>
      </c>
      <c r="BH171" t="s">
        <v>81</v>
      </c>
      <c r="BI171">
        <v>1.660733E-2</v>
      </c>
      <c r="BJ171" t="s">
        <v>74</v>
      </c>
      <c r="BK171">
        <v>16.607330000000001</v>
      </c>
      <c r="BL171" t="s">
        <v>75</v>
      </c>
      <c r="BM171">
        <v>16607.330000000002</v>
      </c>
      <c r="BN171" t="s">
        <v>76</v>
      </c>
      <c r="BO171" t="s">
        <v>82</v>
      </c>
      <c r="BP171">
        <v>60.214374100000001</v>
      </c>
      <c r="BT171" t="s">
        <v>83</v>
      </c>
      <c r="BU171">
        <v>1000</v>
      </c>
      <c r="BV171" t="s">
        <v>81</v>
      </c>
      <c r="BW171">
        <v>1.682117E-2</v>
      </c>
      <c r="BX171" t="s">
        <v>74</v>
      </c>
      <c r="BY171">
        <v>16.821169999999999</v>
      </c>
      <c r="BZ171" t="s">
        <v>75</v>
      </c>
      <c r="CA171">
        <v>16821.170999999998</v>
      </c>
      <c r="CB171" t="s">
        <v>76</v>
      </c>
      <c r="CC171" t="s">
        <v>82</v>
      </c>
      <c r="CD171">
        <v>59.448894000000003</v>
      </c>
      <c r="CH171" t="s">
        <v>83</v>
      </c>
      <c r="CI171">
        <v>1000</v>
      </c>
      <c r="CJ171" t="s">
        <v>81</v>
      </c>
      <c r="CK171">
        <v>1.12312E-3</v>
      </c>
      <c r="CL171" t="s">
        <v>74</v>
      </c>
      <c r="CM171">
        <v>1.1231199999999999</v>
      </c>
      <c r="CN171" t="s">
        <v>75</v>
      </c>
      <c r="CO171">
        <v>1123.117</v>
      </c>
      <c r="CP171" t="s">
        <v>76</v>
      </c>
      <c r="CQ171" t="s">
        <v>82</v>
      </c>
      <c r="CR171">
        <v>890.3792095</v>
      </c>
      <c r="CV171" t="s">
        <v>83</v>
      </c>
      <c r="CW171">
        <v>1000</v>
      </c>
      <c r="CX171" t="s">
        <v>81</v>
      </c>
      <c r="CY171">
        <v>1.677128E-2</v>
      </c>
      <c r="CZ171" t="s">
        <v>74</v>
      </c>
      <c r="DA171">
        <v>16.771280000000001</v>
      </c>
      <c r="DB171" t="s">
        <v>75</v>
      </c>
      <c r="DC171">
        <v>16771.281999999999</v>
      </c>
      <c r="DD171" t="s">
        <v>76</v>
      </c>
      <c r="DE171" t="s">
        <v>82</v>
      </c>
      <c r="DF171">
        <v>59.6257333</v>
      </c>
      <c r="DJ171" t="s">
        <v>83</v>
      </c>
      <c r="DK171">
        <v>1000</v>
      </c>
      <c r="DL171" t="s">
        <v>81</v>
      </c>
      <c r="DM171">
        <v>1.698827E-2</v>
      </c>
      <c r="DN171" t="s">
        <v>74</v>
      </c>
      <c r="DO171">
        <v>16.98827</v>
      </c>
      <c r="DP171" t="s">
        <v>75</v>
      </c>
      <c r="DQ171">
        <v>16988.272000000001</v>
      </c>
      <c r="DR171" t="s">
        <v>76</v>
      </c>
      <c r="DS171" t="s">
        <v>82</v>
      </c>
      <c r="DT171">
        <v>58.864139700000003</v>
      </c>
      <c r="DX171" t="s">
        <v>496</v>
      </c>
      <c r="DY171" t="s">
        <v>72</v>
      </c>
      <c r="DZ171">
        <v>1</v>
      </c>
      <c r="EA171" t="s">
        <v>81</v>
      </c>
      <c r="EB171">
        <v>0.47316999999999998</v>
      </c>
      <c r="EC171" t="s">
        <v>74</v>
      </c>
      <c r="ED171">
        <v>473.1696</v>
      </c>
      <c r="EE171" t="s">
        <v>75</v>
      </c>
      <c r="EF171">
        <v>473169.59499999997</v>
      </c>
      <c r="EG171" t="s">
        <v>76</v>
      </c>
      <c r="EH171" t="s">
        <v>82</v>
      </c>
      <c r="EI171">
        <v>2.1134070999999999</v>
      </c>
      <c r="EL171" t="s">
        <v>496</v>
      </c>
      <c r="EM171" t="s">
        <v>72</v>
      </c>
      <c r="EN171">
        <v>1</v>
      </c>
      <c r="EO171" t="s">
        <v>81</v>
      </c>
      <c r="EP171">
        <v>0.45386900000000002</v>
      </c>
      <c r="EQ171" t="s">
        <v>74</v>
      </c>
      <c r="ER171">
        <v>453.86869000000002</v>
      </c>
      <c r="ES171" t="s">
        <v>75</v>
      </c>
      <c r="ET171">
        <v>453868.68699999998</v>
      </c>
      <c r="EU171" t="s">
        <v>76</v>
      </c>
      <c r="EV171" t="s">
        <v>82</v>
      </c>
      <c r="EW171">
        <v>2.2032804000000001</v>
      </c>
      <c r="EZ171" t="s">
        <v>496</v>
      </c>
      <c r="FA171" t="s">
        <v>72</v>
      </c>
      <c r="FB171">
        <v>1</v>
      </c>
      <c r="FC171" t="s">
        <v>81</v>
      </c>
      <c r="FD171">
        <v>0.46185599999999999</v>
      </c>
      <c r="FE171" t="s">
        <v>74</v>
      </c>
      <c r="FF171">
        <v>461.85619000000003</v>
      </c>
      <c r="FG171" t="s">
        <v>75</v>
      </c>
      <c r="FH171">
        <v>461856.18599999999</v>
      </c>
      <c r="FI171" t="s">
        <v>76</v>
      </c>
      <c r="FJ171" t="s">
        <v>82</v>
      </c>
      <c r="FK171">
        <v>2.1651761999999999</v>
      </c>
    </row>
    <row r="172" spans="1:167" x14ac:dyDescent="0.3">
      <c r="B172" t="s">
        <v>85</v>
      </c>
      <c r="C172">
        <v>1001</v>
      </c>
      <c r="D172" t="s">
        <v>86</v>
      </c>
      <c r="E172">
        <v>1.39612E-3</v>
      </c>
      <c r="F172" t="s">
        <v>74</v>
      </c>
      <c r="G172">
        <v>1.39612</v>
      </c>
      <c r="H172" t="s">
        <v>75</v>
      </c>
      <c r="I172">
        <v>1396.116</v>
      </c>
      <c r="J172" t="s">
        <v>76</v>
      </c>
      <c r="K172" t="s">
        <v>82</v>
      </c>
      <c r="L172">
        <v>716.27263479999999</v>
      </c>
      <c r="P172" t="s">
        <v>85</v>
      </c>
      <c r="Q172">
        <v>1001</v>
      </c>
      <c r="R172" t="s">
        <v>86</v>
      </c>
      <c r="S172">
        <v>1.00796E-3</v>
      </c>
      <c r="T172" t="s">
        <v>74</v>
      </c>
      <c r="U172">
        <v>1.00796</v>
      </c>
      <c r="V172" t="s">
        <v>75</v>
      </c>
      <c r="W172">
        <v>1007.962</v>
      </c>
      <c r="X172" t="s">
        <v>76</v>
      </c>
      <c r="Y172" t="s">
        <v>82</v>
      </c>
      <c r="Z172">
        <v>992.10130240000001</v>
      </c>
      <c r="AD172" t="s">
        <v>85</v>
      </c>
      <c r="AE172">
        <v>1001</v>
      </c>
      <c r="AF172" t="s">
        <v>86</v>
      </c>
      <c r="AG172">
        <v>1.6431900000000001E-3</v>
      </c>
      <c r="AH172" t="s">
        <v>74</v>
      </c>
      <c r="AI172">
        <v>1.6431899999999999</v>
      </c>
      <c r="AJ172" t="s">
        <v>75</v>
      </c>
      <c r="AK172">
        <v>1643.1869999999999</v>
      </c>
      <c r="AL172" t="s">
        <v>76</v>
      </c>
      <c r="AM172" t="s">
        <v>82</v>
      </c>
      <c r="AN172">
        <v>608.5734023</v>
      </c>
      <c r="AR172" t="s">
        <v>85</v>
      </c>
      <c r="AS172">
        <v>1001</v>
      </c>
      <c r="AT172" t="s">
        <v>86</v>
      </c>
      <c r="AU172">
        <v>1.30685E-3</v>
      </c>
      <c r="AV172" t="s">
        <v>74</v>
      </c>
      <c r="AW172">
        <v>1.3068500000000001</v>
      </c>
      <c r="AX172" t="s">
        <v>75</v>
      </c>
      <c r="AY172">
        <v>1306.847</v>
      </c>
      <c r="AZ172" t="s">
        <v>76</v>
      </c>
      <c r="BA172" t="s">
        <v>82</v>
      </c>
      <c r="BB172">
        <v>765.20078379999995</v>
      </c>
      <c r="BF172" t="s">
        <v>85</v>
      </c>
      <c r="BG172">
        <v>1001</v>
      </c>
      <c r="BH172" t="s">
        <v>86</v>
      </c>
      <c r="BI172">
        <v>1.710474E-2</v>
      </c>
      <c r="BJ172" t="s">
        <v>74</v>
      </c>
      <c r="BK172">
        <v>17.10474</v>
      </c>
      <c r="BL172" t="s">
        <v>75</v>
      </c>
      <c r="BM172">
        <v>17104.743999999999</v>
      </c>
      <c r="BN172" t="s">
        <v>76</v>
      </c>
      <c r="BO172" t="s">
        <v>82</v>
      </c>
      <c r="BP172">
        <v>58.4633118</v>
      </c>
      <c r="BT172" t="s">
        <v>85</v>
      </c>
      <c r="BU172">
        <v>1001</v>
      </c>
      <c r="BV172" t="s">
        <v>86</v>
      </c>
      <c r="BW172">
        <v>1.695957E-2</v>
      </c>
      <c r="BX172" t="s">
        <v>74</v>
      </c>
      <c r="BY172">
        <v>16.959569999999999</v>
      </c>
      <c r="BZ172" t="s">
        <v>75</v>
      </c>
      <c r="CA172">
        <v>16959.571</v>
      </c>
      <c r="CB172" t="s">
        <v>76</v>
      </c>
      <c r="CC172" t="s">
        <v>82</v>
      </c>
      <c r="CD172">
        <v>58.963757399999999</v>
      </c>
      <c r="CH172" t="s">
        <v>85</v>
      </c>
      <c r="CI172">
        <v>1001</v>
      </c>
      <c r="CJ172" t="s">
        <v>86</v>
      </c>
      <c r="CK172">
        <v>1.28298E-3</v>
      </c>
      <c r="CL172" t="s">
        <v>74</v>
      </c>
      <c r="CM172">
        <v>1.28298</v>
      </c>
      <c r="CN172" t="s">
        <v>75</v>
      </c>
      <c r="CO172">
        <v>1282.9849999999999</v>
      </c>
      <c r="CP172" t="s">
        <v>76</v>
      </c>
      <c r="CQ172" t="s">
        <v>82</v>
      </c>
      <c r="CR172">
        <v>779.43246190000002</v>
      </c>
      <c r="CV172" t="s">
        <v>85</v>
      </c>
      <c r="CW172">
        <v>1001</v>
      </c>
      <c r="CX172" t="s">
        <v>86</v>
      </c>
      <c r="CY172">
        <v>1.6916069999999998E-2</v>
      </c>
      <c r="CZ172" t="s">
        <v>74</v>
      </c>
      <c r="DA172">
        <v>16.916070000000001</v>
      </c>
      <c r="DB172" t="s">
        <v>75</v>
      </c>
      <c r="DC172">
        <v>16916.071</v>
      </c>
      <c r="DD172" t="s">
        <v>76</v>
      </c>
      <c r="DE172" t="s">
        <v>82</v>
      </c>
      <c r="DF172">
        <v>59.115381599999999</v>
      </c>
      <c r="DJ172" t="s">
        <v>85</v>
      </c>
      <c r="DK172">
        <v>1001</v>
      </c>
      <c r="DL172" t="s">
        <v>86</v>
      </c>
      <c r="DM172">
        <v>1.7129479999999999E-2</v>
      </c>
      <c r="DN172" t="s">
        <v>74</v>
      </c>
      <c r="DO172">
        <v>17.129480000000001</v>
      </c>
      <c r="DP172" t="s">
        <v>75</v>
      </c>
      <c r="DQ172">
        <v>17129.478999999999</v>
      </c>
      <c r="DR172" t="s">
        <v>76</v>
      </c>
      <c r="DS172" t="s">
        <v>82</v>
      </c>
      <c r="DT172">
        <v>58.378892200000003</v>
      </c>
      <c r="DX172" t="s">
        <v>496</v>
      </c>
      <c r="DY172" t="s">
        <v>83</v>
      </c>
      <c r="DZ172">
        <v>422</v>
      </c>
      <c r="EA172" t="s">
        <v>81</v>
      </c>
      <c r="EB172">
        <v>2.1029999999999998E-3</v>
      </c>
      <c r="EC172" t="s">
        <v>74</v>
      </c>
      <c r="ED172">
        <v>2.1033200000000001</v>
      </c>
      <c r="EE172" t="s">
        <v>75</v>
      </c>
      <c r="EF172">
        <v>2103.3220000000001</v>
      </c>
      <c r="EG172" t="s">
        <v>76</v>
      </c>
      <c r="EH172" t="s">
        <v>82</v>
      </c>
      <c r="EI172">
        <v>475.43833100000001</v>
      </c>
      <c r="EL172" t="s">
        <v>496</v>
      </c>
      <c r="EM172" t="s">
        <v>83</v>
      </c>
      <c r="EN172">
        <v>935</v>
      </c>
      <c r="EO172" t="s">
        <v>81</v>
      </c>
      <c r="EP172">
        <v>8.7000000000000001E-4</v>
      </c>
      <c r="EQ172" t="s">
        <v>74</v>
      </c>
      <c r="ER172">
        <v>0.86975000000000002</v>
      </c>
      <c r="ES172" t="s">
        <v>75</v>
      </c>
      <c r="ET172">
        <v>869.75199999999995</v>
      </c>
      <c r="EU172" t="s">
        <v>76</v>
      </c>
      <c r="EV172" t="s">
        <v>82</v>
      </c>
      <c r="EW172">
        <v>1149.7530376</v>
      </c>
      <c r="EZ172" t="s">
        <v>496</v>
      </c>
      <c r="FA172" t="s">
        <v>83</v>
      </c>
      <c r="FB172">
        <v>912</v>
      </c>
      <c r="FC172" t="s">
        <v>81</v>
      </c>
      <c r="FD172">
        <v>1.611E-3</v>
      </c>
      <c r="FE172" t="s">
        <v>74</v>
      </c>
      <c r="FF172">
        <v>1.6112200000000001</v>
      </c>
      <c r="FG172" t="s">
        <v>75</v>
      </c>
      <c r="FH172">
        <v>1611.2180000000001</v>
      </c>
      <c r="FI172" t="s">
        <v>76</v>
      </c>
      <c r="FJ172" t="s">
        <v>82</v>
      </c>
      <c r="FK172">
        <v>620.64843299999995</v>
      </c>
    </row>
    <row r="173" spans="1:167" x14ac:dyDescent="0.3">
      <c r="DX173" t="s">
        <v>496</v>
      </c>
      <c r="DY173" t="s">
        <v>84</v>
      </c>
      <c r="DZ173">
        <v>423</v>
      </c>
      <c r="EA173" t="s">
        <v>81</v>
      </c>
      <c r="EB173">
        <v>3.2169999999999998E-3</v>
      </c>
      <c r="EC173" t="s">
        <v>74</v>
      </c>
      <c r="ED173">
        <v>3.2169599999999998</v>
      </c>
      <c r="EE173" t="s">
        <v>75</v>
      </c>
      <c r="EF173">
        <v>3216.9569999999999</v>
      </c>
      <c r="EG173" t="s">
        <v>76</v>
      </c>
      <c r="EH173" t="s">
        <v>82</v>
      </c>
      <c r="EI173">
        <v>310.8528177</v>
      </c>
      <c r="EL173" t="s">
        <v>496</v>
      </c>
      <c r="EM173" t="s">
        <v>84</v>
      </c>
      <c r="EN173">
        <v>936</v>
      </c>
      <c r="EO173" t="s">
        <v>81</v>
      </c>
      <c r="EP173">
        <v>1.354E-3</v>
      </c>
      <c r="EQ173" t="s">
        <v>74</v>
      </c>
      <c r="ER173">
        <v>1.3537300000000001</v>
      </c>
      <c r="ES173" t="s">
        <v>75</v>
      </c>
      <c r="ET173">
        <v>1353.7249999999999</v>
      </c>
      <c r="EU173" t="s">
        <v>76</v>
      </c>
      <c r="EV173" t="s">
        <v>82</v>
      </c>
      <c r="EW173">
        <v>738.70245450000004</v>
      </c>
      <c r="EZ173" t="s">
        <v>496</v>
      </c>
      <c r="FA173" t="s">
        <v>84</v>
      </c>
      <c r="FB173">
        <v>913</v>
      </c>
      <c r="FC173" t="s">
        <v>81</v>
      </c>
      <c r="FD173">
        <v>2.1150000000000001E-3</v>
      </c>
      <c r="FE173" t="s">
        <v>74</v>
      </c>
      <c r="FF173">
        <v>2.1153200000000001</v>
      </c>
      <c r="FG173" t="s">
        <v>75</v>
      </c>
      <c r="FH173">
        <v>2115.3200000000002</v>
      </c>
      <c r="FI173" t="s">
        <v>76</v>
      </c>
      <c r="FJ173" t="s">
        <v>82</v>
      </c>
      <c r="FK173">
        <v>472.74173969999998</v>
      </c>
    </row>
    <row r="174" spans="1:167" x14ac:dyDescent="0.3">
      <c r="B174" t="s">
        <v>218</v>
      </c>
      <c r="P174" t="s">
        <v>218</v>
      </c>
      <c r="AD174" t="s">
        <v>218</v>
      </c>
      <c r="AR174" t="s">
        <v>336</v>
      </c>
      <c r="BF174" t="s">
        <v>336</v>
      </c>
      <c r="BT174" t="s">
        <v>336</v>
      </c>
      <c r="CH174" t="s">
        <v>452</v>
      </c>
      <c r="CV174" t="s">
        <v>452</v>
      </c>
      <c r="DJ174" t="s">
        <v>452</v>
      </c>
      <c r="DX174" t="s">
        <v>497</v>
      </c>
      <c r="DY174" t="s">
        <v>72</v>
      </c>
      <c r="DZ174">
        <v>1</v>
      </c>
      <c r="EA174" t="s">
        <v>81</v>
      </c>
      <c r="EB174">
        <v>0.24008499999999999</v>
      </c>
      <c r="EC174" t="s">
        <v>74</v>
      </c>
      <c r="ED174">
        <v>240.0848</v>
      </c>
      <c r="EE174" t="s">
        <v>75</v>
      </c>
      <c r="EF174">
        <v>240084.79699999999</v>
      </c>
      <c r="EG174" t="s">
        <v>76</v>
      </c>
      <c r="EH174" t="s">
        <v>82</v>
      </c>
      <c r="EI174">
        <v>4.1651949999999998</v>
      </c>
      <c r="EL174" t="s">
        <v>497</v>
      </c>
      <c r="EM174" t="s">
        <v>72</v>
      </c>
      <c r="EN174">
        <v>1</v>
      </c>
      <c r="EO174" t="s">
        <v>81</v>
      </c>
      <c r="EP174">
        <v>0.235848</v>
      </c>
      <c r="EQ174" t="s">
        <v>74</v>
      </c>
      <c r="ER174">
        <v>235.84809999999999</v>
      </c>
      <c r="ES174" t="s">
        <v>75</v>
      </c>
      <c r="ET174">
        <v>235848.09899999999</v>
      </c>
      <c r="EU174" t="s">
        <v>76</v>
      </c>
      <c r="EV174" t="s">
        <v>82</v>
      </c>
      <c r="EW174">
        <v>4.2400171999999996</v>
      </c>
      <c r="EZ174" t="s">
        <v>497</v>
      </c>
      <c r="FA174" t="s">
        <v>72</v>
      </c>
      <c r="FB174">
        <v>1</v>
      </c>
      <c r="FC174" t="s">
        <v>81</v>
      </c>
      <c r="FD174">
        <v>0.23796999999999999</v>
      </c>
      <c r="FE174" t="s">
        <v>74</v>
      </c>
      <c r="FF174">
        <v>237.96950000000001</v>
      </c>
      <c r="FG174" t="s">
        <v>75</v>
      </c>
      <c r="FH174">
        <v>237969.503</v>
      </c>
      <c r="FI174" t="s">
        <v>76</v>
      </c>
      <c r="FJ174" t="s">
        <v>82</v>
      </c>
      <c r="FK174">
        <v>4.2022190999999998</v>
      </c>
    </row>
    <row r="175" spans="1:167" x14ac:dyDescent="0.3">
      <c r="B175" t="s">
        <v>72</v>
      </c>
      <c r="C175">
        <v>1</v>
      </c>
      <c r="D175" t="s">
        <v>81</v>
      </c>
      <c r="E175">
        <v>9.0528999999999991E-3</v>
      </c>
      <c r="F175" t="s">
        <v>74</v>
      </c>
      <c r="G175">
        <v>9.0528999999999993</v>
      </c>
      <c r="H175" t="s">
        <v>75</v>
      </c>
      <c r="I175">
        <v>9052.9</v>
      </c>
      <c r="J175" t="s">
        <v>76</v>
      </c>
      <c r="K175" t="s">
        <v>82</v>
      </c>
      <c r="L175">
        <v>110.461845</v>
      </c>
      <c r="P175" t="s">
        <v>72</v>
      </c>
      <c r="Q175">
        <v>1</v>
      </c>
      <c r="R175" t="s">
        <v>81</v>
      </c>
      <c r="S175">
        <v>8.9578000000000001E-3</v>
      </c>
      <c r="T175" t="s">
        <v>74</v>
      </c>
      <c r="U175">
        <v>8.9578000000000007</v>
      </c>
      <c r="V175" t="s">
        <v>75</v>
      </c>
      <c r="W175">
        <v>8957.7999999999993</v>
      </c>
      <c r="X175" t="s">
        <v>76</v>
      </c>
      <c r="Y175" t="s">
        <v>82</v>
      </c>
      <c r="Z175">
        <v>111.6345475</v>
      </c>
      <c r="AD175" t="s">
        <v>72</v>
      </c>
      <c r="AE175">
        <v>1</v>
      </c>
      <c r="AF175" t="s">
        <v>81</v>
      </c>
      <c r="AG175">
        <v>8.9172999999999995E-3</v>
      </c>
      <c r="AH175" t="s">
        <v>74</v>
      </c>
      <c r="AI175">
        <v>8.9172999999999991</v>
      </c>
      <c r="AJ175" t="s">
        <v>75</v>
      </c>
      <c r="AK175">
        <v>8917.2999999999993</v>
      </c>
      <c r="AL175" t="s">
        <v>76</v>
      </c>
      <c r="AM175" t="s">
        <v>82</v>
      </c>
      <c r="AN175">
        <v>112.1415671</v>
      </c>
      <c r="AR175" t="s">
        <v>72</v>
      </c>
      <c r="AS175">
        <v>1</v>
      </c>
      <c r="AT175" t="s">
        <v>81</v>
      </c>
      <c r="AU175">
        <v>3.78473E-2</v>
      </c>
      <c r="AV175" t="s">
        <v>74</v>
      </c>
      <c r="AW175">
        <v>37.847299999999997</v>
      </c>
      <c r="AX175" t="s">
        <v>75</v>
      </c>
      <c r="AY175">
        <v>37847.298999999999</v>
      </c>
      <c r="AZ175" t="s">
        <v>76</v>
      </c>
      <c r="BA175" t="s">
        <v>82</v>
      </c>
      <c r="BB175">
        <v>26.4219647</v>
      </c>
      <c r="BF175" t="s">
        <v>72</v>
      </c>
      <c r="BG175">
        <v>1</v>
      </c>
      <c r="BH175" t="s">
        <v>81</v>
      </c>
      <c r="BI175">
        <v>3.6053300000000003E-2</v>
      </c>
      <c r="BJ175" t="s">
        <v>74</v>
      </c>
      <c r="BK175">
        <v>36.0533</v>
      </c>
      <c r="BL175" t="s">
        <v>75</v>
      </c>
      <c r="BM175">
        <v>36053.300000000003</v>
      </c>
      <c r="BN175" t="s">
        <v>76</v>
      </c>
      <c r="BO175" t="s">
        <v>82</v>
      </c>
      <c r="BP175">
        <v>27.736712099999998</v>
      </c>
      <c r="BT175" t="s">
        <v>72</v>
      </c>
      <c r="BU175">
        <v>1</v>
      </c>
      <c r="BV175" t="s">
        <v>81</v>
      </c>
      <c r="BW175">
        <v>3.7841800000000002E-2</v>
      </c>
      <c r="BX175" t="s">
        <v>74</v>
      </c>
      <c r="BY175">
        <v>37.841799999999999</v>
      </c>
      <c r="BZ175" t="s">
        <v>75</v>
      </c>
      <c r="CA175">
        <v>37841.800999999999</v>
      </c>
      <c r="CB175" t="s">
        <v>76</v>
      </c>
      <c r="CC175" t="s">
        <v>82</v>
      </c>
      <c r="CD175">
        <v>26.425803899999998</v>
      </c>
      <c r="CH175" t="s">
        <v>72</v>
      </c>
      <c r="CI175">
        <v>1</v>
      </c>
      <c r="CJ175" t="s">
        <v>81</v>
      </c>
      <c r="CK175">
        <v>3.0336499999999999E-2</v>
      </c>
      <c r="CL175" t="s">
        <v>74</v>
      </c>
      <c r="CM175">
        <v>30.336500000000001</v>
      </c>
      <c r="CN175" t="s">
        <v>75</v>
      </c>
      <c r="CO175">
        <v>30336.499</v>
      </c>
      <c r="CP175" t="s">
        <v>76</v>
      </c>
      <c r="CQ175" t="s">
        <v>82</v>
      </c>
      <c r="CR175">
        <v>32.963592599999998</v>
      </c>
      <c r="CV175" t="s">
        <v>72</v>
      </c>
      <c r="CW175">
        <v>1</v>
      </c>
      <c r="CX175" t="s">
        <v>81</v>
      </c>
      <c r="CY175">
        <v>3.1303900000000003E-2</v>
      </c>
      <c r="CZ175" t="s">
        <v>74</v>
      </c>
      <c r="DA175">
        <v>31.303899999999999</v>
      </c>
      <c r="DB175" t="s">
        <v>75</v>
      </c>
      <c r="DC175">
        <v>31303.901000000002</v>
      </c>
      <c r="DD175" t="s">
        <v>76</v>
      </c>
      <c r="DE175" t="s">
        <v>82</v>
      </c>
      <c r="DF175">
        <v>31.944900199999999</v>
      </c>
      <c r="DJ175" t="s">
        <v>72</v>
      </c>
      <c r="DK175">
        <v>1</v>
      </c>
      <c r="DL175" t="s">
        <v>81</v>
      </c>
      <c r="DM175">
        <v>3.0307000000000001E-2</v>
      </c>
      <c r="DN175" t="s">
        <v>74</v>
      </c>
      <c r="DO175">
        <v>30.306999999999999</v>
      </c>
      <c r="DP175" t="s">
        <v>75</v>
      </c>
      <c r="DQ175">
        <v>30307.001</v>
      </c>
      <c r="DR175" t="s">
        <v>76</v>
      </c>
      <c r="DS175" t="s">
        <v>82</v>
      </c>
      <c r="DT175">
        <v>32.995677000000001</v>
      </c>
      <c r="DX175" t="s">
        <v>497</v>
      </c>
      <c r="DY175" t="s">
        <v>83</v>
      </c>
      <c r="DZ175">
        <v>577</v>
      </c>
      <c r="EA175" t="s">
        <v>81</v>
      </c>
      <c r="EB175">
        <v>1.902E-3</v>
      </c>
      <c r="EC175" t="s">
        <v>74</v>
      </c>
      <c r="ED175">
        <v>1.90198</v>
      </c>
      <c r="EE175" t="s">
        <v>75</v>
      </c>
      <c r="EF175">
        <v>1901.9780000000001</v>
      </c>
      <c r="EG175" t="s">
        <v>76</v>
      </c>
      <c r="EH175" t="s">
        <v>82</v>
      </c>
      <c r="EI175">
        <v>525.76854649999996</v>
      </c>
      <c r="EL175" t="s">
        <v>497</v>
      </c>
      <c r="EM175" t="s">
        <v>83</v>
      </c>
      <c r="EN175">
        <v>64</v>
      </c>
      <c r="EO175" t="s">
        <v>81</v>
      </c>
      <c r="EP175">
        <v>1.6404999999999999E-2</v>
      </c>
      <c r="EQ175" t="s">
        <v>74</v>
      </c>
      <c r="ER175">
        <v>16.404879999999999</v>
      </c>
      <c r="ES175" t="s">
        <v>75</v>
      </c>
      <c r="ET175">
        <v>16404.876</v>
      </c>
      <c r="EU175" t="s">
        <v>76</v>
      </c>
      <c r="EV175" t="s">
        <v>82</v>
      </c>
      <c r="EW175">
        <v>60.957484299999997</v>
      </c>
      <c r="EZ175" t="s">
        <v>497</v>
      </c>
      <c r="FA175" t="s">
        <v>83</v>
      </c>
      <c r="FB175">
        <v>87</v>
      </c>
      <c r="FC175" t="s">
        <v>81</v>
      </c>
      <c r="FD175">
        <v>1.9601E-2</v>
      </c>
      <c r="FE175" t="s">
        <v>74</v>
      </c>
      <c r="FF175">
        <v>19.600719999999999</v>
      </c>
      <c r="FG175" t="s">
        <v>75</v>
      </c>
      <c r="FH175">
        <v>19600.722000000002</v>
      </c>
      <c r="FI175" t="s">
        <v>76</v>
      </c>
      <c r="FJ175" t="s">
        <v>82</v>
      </c>
      <c r="FK175">
        <v>51.018529800000003</v>
      </c>
    </row>
    <row r="176" spans="1:167" x14ac:dyDescent="0.3">
      <c r="B176" t="s">
        <v>83</v>
      </c>
      <c r="C176">
        <v>1000</v>
      </c>
      <c r="D176" t="s">
        <v>81</v>
      </c>
      <c r="E176">
        <v>1.6125899999999999E-3</v>
      </c>
      <c r="F176" t="s">
        <v>74</v>
      </c>
      <c r="G176">
        <v>1.61259</v>
      </c>
      <c r="H176" t="s">
        <v>75</v>
      </c>
      <c r="I176">
        <v>1612.59</v>
      </c>
      <c r="J176" t="s">
        <v>76</v>
      </c>
      <c r="K176" t="s">
        <v>82</v>
      </c>
      <c r="L176">
        <v>620.12058209999998</v>
      </c>
      <c r="P176" t="s">
        <v>83</v>
      </c>
      <c r="Q176">
        <v>1000</v>
      </c>
      <c r="R176" t="s">
        <v>81</v>
      </c>
      <c r="S176">
        <v>1.24905E-3</v>
      </c>
      <c r="T176" t="s">
        <v>74</v>
      </c>
      <c r="U176">
        <v>1.24905</v>
      </c>
      <c r="V176" t="s">
        <v>75</v>
      </c>
      <c r="W176">
        <v>1249.0519999999999</v>
      </c>
      <c r="X176" t="s">
        <v>76</v>
      </c>
      <c r="Y176" t="s">
        <v>82</v>
      </c>
      <c r="Z176">
        <v>800.6073791</v>
      </c>
      <c r="AD176" t="s">
        <v>83</v>
      </c>
      <c r="AE176">
        <v>1000</v>
      </c>
      <c r="AF176" t="s">
        <v>81</v>
      </c>
      <c r="AG176">
        <v>1.8166499999999999E-3</v>
      </c>
      <c r="AH176" t="s">
        <v>74</v>
      </c>
      <c r="AI176">
        <v>1.8166500000000001</v>
      </c>
      <c r="AJ176" t="s">
        <v>75</v>
      </c>
      <c r="AK176">
        <v>1816.653</v>
      </c>
      <c r="AL176" t="s">
        <v>76</v>
      </c>
      <c r="AM176" t="s">
        <v>82</v>
      </c>
      <c r="AN176">
        <v>550.46299720000002</v>
      </c>
      <c r="AR176" t="s">
        <v>83</v>
      </c>
      <c r="AS176">
        <v>1000</v>
      </c>
      <c r="AT176" t="s">
        <v>81</v>
      </c>
      <c r="AU176">
        <v>1.86174E-3</v>
      </c>
      <c r="AV176" t="s">
        <v>74</v>
      </c>
      <c r="AW176">
        <v>1.86174</v>
      </c>
      <c r="AX176" t="s">
        <v>75</v>
      </c>
      <c r="AY176">
        <v>1861.7439999999999</v>
      </c>
      <c r="AZ176" t="s">
        <v>76</v>
      </c>
      <c r="BA176" t="s">
        <v>82</v>
      </c>
      <c r="BB176">
        <v>537.13069419999999</v>
      </c>
      <c r="BF176" t="s">
        <v>83</v>
      </c>
      <c r="BG176">
        <v>1000</v>
      </c>
      <c r="BH176" t="s">
        <v>81</v>
      </c>
      <c r="BI176">
        <v>2.6134290000000001E-2</v>
      </c>
      <c r="BJ176" t="s">
        <v>74</v>
      </c>
      <c r="BK176">
        <v>26.13429</v>
      </c>
      <c r="BL176" t="s">
        <v>75</v>
      </c>
      <c r="BM176">
        <v>26134.294999999998</v>
      </c>
      <c r="BN176" t="s">
        <v>76</v>
      </c>
      <c r="BO176" t="s">
        <v>82</v>
      </c>
      <c r="BP176">
        <v>38.2638988</v>
      </c>
      <c r="BT176" t="s">
        <v>83</v>
      </c>
      <c r="BU176">
        <v>1000</v>
      </c>
      <c r="BV176" t="s">
        <v>81</v>
      </c>
      <c r="BW176">
        <v>2.694773E-2</v>
      </c>
      <c r="BX176" t="s">
        <v>74</v>
      </c>
      <c r="BY176">
        <v>26.94773</v>
      </c>
      <c r="BZ176" t="s">
        <v>75</v>
      </c>
      <c r="CA176">
        <v>26947.733</v>
      </c>
      <c r="CB176" t="s">
        <v>76</v>
      </c>
      <c r="CC176" t="s">
        <v>82</v>
      </c>
      <c r="CD176">
        <v>37.108873000000003</v>
      </c>
      <c r="CH176" t="s">
        <v>83</v>
      </c>
      <c r="CI176">
        <v>1000</v>
      </c>
      <c r="CJ176" t="s">
        <v>81</v>
      </c>
      <c r="CK176">
        <v>1.9736300000000001E-3</v>
      </c>
      <c r="CL176" t="s">
        <v>74</v>
      </c>
      <c r="CM176">
        <v>1.97363</v>
      </c>
      <c r="CN176" t="s">
        <v>75</v>
      </c>
      <c r="CO176">
        <v>1973.627</v>
      </c>
      <c r="CP176" t="s">
        <v>76</v>
      </c>
      <c r="CQ176" t="s">
        <v>82</v>
      </c>
      <c r="CR176">
        <v>506.68145290000001</v>
      </c>
      <c r="CV176" t="s">
        <v>83</v>
      </c>
      <c r="CW176">
        <v>1000</v>
      </c>
      <c r="CX176" t="s">
        <v>81</v>
      </c>
      <c r="CY176">
        <v>2.6820610000000002E-2</v>
      </c>
      <c r="CZ176" t="s">
        <v>74</v>
      </c>
      <c r="DA176">
        <v>26.820609999999999</v>
      </c>
      <c r="DB176" t="s">
        <v>75</v>
      </c>
      <c r="DC176">
        <v>26820.614000000001</v>
      </c>
      <c r="DD176" t="s">
        <v>76</v>
      </c>
      <c r="DE176" t="s">
        <v>82</v>
      </c>
      <c r="DF176">
        <v>37.284754399999997</v>
      </c>
      <c r="DJ176" t="s">
        <v>83</v>
      </c>
      <c r="DK176">
        <v>1000</v>
      </c>
      <c r="DL176" t="s">
        <v>81</v>
      </c>
      <c r="DM176">
        <v>2.755281E-2</v>
      </c>
      <c r="DN176" t="s">
        <v>74</v>
      </c>
      <c r="DO176">
        <v>27.552810000000001</v>
      </c>
      <c r="DP176" t="s">
        <v>75</v>
      </c>
      <c r="DQ176">
        <v>27552.807000000001</v>
      </c>
      <c r="DR176" t="s">
        <v>76</v>
      </c>
      <c r="DS176" t="s">
        <v>82</v>
      </c>
      <c r="DT176">
        <v>36.293942899999998</v>
      </c>
      <c r="DX176" t="s">
        <v>497</v>
      </c>
      <c r="DY176" t="s">
        <v>84</v>
      </c>
      <c r="DZ176">
        <v>578</v>
      </c>
      <c r="EA176" t="s">
        <v>81</v>
      </c>
      <c r="EB176">
        <v>2.3140000000000001E-3</v>
      </c>
      <c r="EC176" t="s">
        <v>74</v>
      </c>
      <c r="ED176">
        <v>2.31406</v>
      </c>
      <c r="EE176" t="s">
        <v>75</v>
      </c>
      <c r="EF176">
        <v>2314.0569999999998</v>
      </c>
      <c r="EG176" t="s">
        <v>76</v>
      </c>
      <c r="EH176" t="s">
        <v>82</v>
      </c>
      <c r="EI176">
        <v>432.14145200000002</v>
      </c>
      <c r="EL176" t="s">
        <v>497</v>
      </c>
      <c r="EM176" t="s">
        <v>84</v>
      </c>
      <c r="EN176">
        <v>65</v>
      </c>
      <c r="EO176" t="s">
        <v>81</v>
      </c>
      <c r="EP176">
        <v>1.9781E-2</v>
      </c>
      <c r="EQ176" t="s">
        <v>74</v>
      </c>
      <c r="ER176">
        <v>19.780919999999998</v>
      </c>
      <c r="ES176" t="s">
        <v>75</v>
      </c>
      <c r="ET176">
        <v>19780.923999999999</v>
      </c>
      <c r="EU176" t="s">
        <v>76</v>
      </c>
      <c r="EV176" t="s">
        <v>82</v>
      </c>
      <c r="EW176">
        <v>50.553756300000003</v>
      </c>
      <c r="EZ176" t="s">
        <v>497</v>
      </c>
      <c r="FA176" t="s">
        <v>84</v>
      </c>
      <c r="FB176">
        <v>88</v>
      </c>
      <c r="FC176" t="s">
        <v>81</v>
      </c>
      <c r="FD176">
        <v>2.2082000000000001E-2</v>
      </c>
      <c r="FE176" t="s">
        <v>74</v>
      </c>
      <c r="FF176">
        <v>22.082180000000001</v>
      </c>
      <c r="FG176" t="s">
        <v>75</v>
      </c>
      <c r="FH176">
        <v>22082.182000000001</v>
      </c>
      <c r="FI176" t="s">
        <v>76</v>
      </c>
      <c r="FJ176" t="s">
        <v>82</v>
      </c>
      <c r="FK176">
        <v>45.285378799999997</v>
      </c>
    </row>
    <row r="177" spans="2:167" x14ac:dyDescent="0.3">
      <c r="B177" t="s">
        <v>85</v>
      </c>
      <c r="C177">
        <v>1001</v>
      </c>
      <c r="D177" t="s">
        <v>86</v>
      </c>
      <c r="E177">
        <v>1.6202300000000001E-3</v>
      </c>
      <c r="F177" t="s">
        <v>74</v>
      </c>
      <c r="G177">
        <v>1.6202300000000001</v>
      </c>
      <c r="H177" t="s">
        <v>75</v>
      </c>
      <c r="I177">
        <v>1620.2270000000001</v>
      </c>
      <c r="J177" t="s">
        <v>76</v>
      </c>
      <c r="K177" t="s">
        <v>82</v>
      </c>
      <c r="L177">
        <v>617.19744969999999</v>
      </c>
      <c r="P177" t="s">
        <v>85</v>
      </c>
      <c r="Q177">
        <v>1001</v>
      </c>
      <c r="R177" t="s">
        <v>86</v>
      </c>
      <c r="S177">
        <v>1.2570599999999999E-3</v>
      </c>
      <c r="T177" t="s">
        <v>74</v>
      </c>
      <c r="U177">
        <v>1.2570600000000001</v>
      </c>
      <c r="V177" t="s">
        <v>75</v>
      </c>
      <c r="W177">
        <v>1257.0619999999999</v>
      </c>
      <c r="X177" t="s">
        <v>76</v>
      </c>
      <c r="Y177" t="s">
        <v>82</v>
      </c>
      <c r="Z177">
        <v>795.50558660000002</v>
      </c>
      <c r="AD177" t="s">
        <v>85</v>
      </c>
      <c r="AE177">
        <v>1001</v>
      </c>
      <c r="AF177" t="s">
        <v>86</v>
      </c>
      <c r="AG177">
        <v>1.82398E-3</v>
      </c>
      <c r="AH177" t="s">
        <v>74</v>
      </c>
      <c r="AI177">
        <v>1.8239799999999999</v>
      </c>
      <c r="AJ177" t="s">
        <v>75</v>
      </c>
      <c r="AK177">
        <v>1823.9749999999999</v>
      </c>
      <c r="AL177" t="s">
        <v>76</v>
      </c>
      <c r="AM177" t="s">
        <v>82</v>
      </c>
      <c r="AN177">
        <v>548.25301709999997</v>
      </c>
      <c r="AR177" t="s">
        <v>85</v>
      </c>
      <c r="AS177">
        <v>1001</v>
      </c>
      <c r="AT177" t="s">
        <v>86</v>
      </c>
      <c r="AU177">
        <v>1.89795E-3</v>
      </c>
      <c r="AV177" t="s">
        <v>74</v>
      </c>
      <c r="AW177">
        <v>1.89795</v>
      </c>
      <c r="AX177" t="s">
        <v>75</v>
      </c>
      <c r="AY177">
        <v>1897.95</v>
      </c>
      <c r="AZ177" t="s">
        <v>76</v>
      </c>
      <c r="BA177" t="s">
        <v>82</v>
      </c>
      <c r="BB177">
        <v>526.88422730000002</v>
      </c>
      <c r="BF177" t="s">
        <v>85</v>
      </c>
      <c r="BG177">
        <v>1001</v>
      </c>
      <c r="BH177" t="s">
        <v>86</v>
      </c>
      <c r="BI177">
        <v>2.6144819999999999E-2</v>
      </c>
      <c r="BJ177" t="s">
        <v>74</v>
      </c>
      <c r="BK177">
        <v>26.144819999999999</v>
      </c>
      <c r="BL177" t="s">
        <v>75</v>
      </c>
      <c r="BM177">
        <v>26144.82</v>
      </c>
      <c r="BN177" t="s">
        <v>76</v>
      </c>
      <c r="BO177" t="s">
        <v>82</v>
      </c>
      <c r="BP177">
        <v>38.248493799999999</v>
      </c>
      <c r="BT177" t="s">
        <v>85</v>
      </c>
      <c r="BU177">
        <v>1001</v>
      </c>
      <c r="BV177" t="s">
        <v>86</v>
      </c>
      <c r="BW177">
        <v>2.6959420000000001E-2</v>
      </c>
      <c r="BX177" t="s">
        <v>74</v>
      </c>
      <c r="BY177">
        <v>26.959420000000001</v>
      </c>
      <c r="BZ177" t="s">
        <v>75</v>
      </c>
      <c r="CA177">
        <v>26959.423999999999</v>
      </c>
      <c r="CB177" t="s">
        <v>76</v>
      </c>
      <c r="CC177" t="s">
        <v>82</v>
      </c>
      <c r="CD177">
        <v>37.092780599999998</v>
      </c>
      <c r="CH177" t="s">
        <v>85</v>
      </c>
      <c r="CI177">
        <v>1001</v>
      </c>
      <c r="CJ177" t="s">
        <v>86</v>
      </c>
      <c r="CK177">
        <v>2.0022099999999999E-3</v>
      </c>
      <c r="CL177" t="s">
        <v>74</v>
      </c>
      <c r="CM177">
        <v>2.0022099999999998</v>
      </c>
      <c r="CN177" t="s">
        <v>75</v>
      </c>
      <c r="CO177">
        <v>2002.213</v>
      </c>
      <c r="CP177" t="s">
        <v>76</v>
      </c>
      <c r="CQ177" t="s">
        <v>82</v>
      </c>
      <c r="CR177">
        <v>499.4474141</v>
      </c>
      <c r="CV177" t="s">
        <v>85</v>
      </c>
      <c r="CW177">
        <v>1001</v>
      </c>
      <c r="CX177" t="s">
        <v>86</v>
      </c>
      <c r="CY177">
        <v>2.6825450000000001E-2</v>
      </c>
      <c r="CZ177" t="s">
        <v>74</v>
      </c>
      <c r="DA177">
        <v>26.82545</v>
      </c>
      <c r="DB177" t="s">
        <v>75</v>
      </c>
      <c r="DC177">
        <v>26825.454000000002</v>
      </c>
      <c r="DD177" t="s">
        <v>76</v>
      </c>
      <c r="DE177" t="s">
        <v>82</v>
      </c>
      <c r="DF177">
        <v>37.278026799999999</v>
      </c>
      <c r="DJ177" t="s">
        <v>85</v>
      </c>
      <c r="DK177">
        <v>1001</v>
      </c>
      <c r="DL177" t="s">
        <v>86</v>
      </c>
      <c r="DM177">
        <v>2.7556000000000001E-2</v>
      </c>
      <c r="DN177" t="s">
        <v>74</v>
      </c>
      <c r="DO177">
        <v>27.556000000000001</v>
      </c>
      <c r="DP177" t="s">
        <v>75</v>
      </c>
      <c r="DQ177">
        <v>27555.996999999999</v>
      </c>
      <c r="DR177" t="s">
        <v>76</v>
      </c>
      <c r="DS177" t="s">
        <v>82</v>
      </c>
      <c r="DT177">
        <v>36.289740799999997</v>
      </c>
      <c r="DX177" t="s">
        <v>498</v>
      </c>
      <c r="DY177" t="s">
        <v>72</v>
      </c>
      <c r="DZ177">
        <v>2</v>
      </c>
      <c r="EA177" t="s">
        <v>86</v>
      </c>
      <c r="EB177">
        <v>0.23660999999999999</v>
      </c>
      <c r="EC177" t="s">
        <v>74</v>
      </c>
      <c r="ED177">
        <v>236.61009999999999</v>
      </c>
      <c r="EE177" t="s">
        <v>75</v>
      </c>
      <c r="EF177">
        <v>236610.1</v>
      </c>
      <c r="EG177" t="s">
        <v>76</v>
      </c>
      <c r="EH177" t="s">
        <v>82</v>
      </c>
      <c r="EI177">
        <v>4.2263622999999999</v>
      </c>
      <c r="EL177" t="s">
        <v>498</v>
      </c>
      <c r="EM177" t="s">
        <v>72</v>
      </c>
      <c r="EN177">
        <v>2</v>
      </c>
      <c r="EO177" t="s">
        <v>86</v>
      </c>
      <c r="EP177">
        <v>0.22695399999999999</v>
      </c>
      <c r="EQ177" t="s">
        <v>74</v>
      </c>
      <c r="ER177">
        <v>226.95425</v>
      </c>
      <c r="ES177" t="s">
        <v>75</v>
      </c>
      <c r="ET177">
        <v>226954.25200000001</v>
      </c>
      <c r="EU177" t="s">
        <v>76</v>
      </c>
      <c r="EV177" t="s">
        <v>82</v>
      </c>
      <c r="EW177">
        <v>4.4061743</v>
      </c>
      <c r="EZ177" t="s">
        <v>498</v>
      </c>
      <c r="FA177" t="s">
        <v>72</v>
      </c>
      <c r="FB177">
        <v>2</v>
      </c>
      <c r="FC177" t="s">
        <v>86</v>
      </c>
      <c r="FD177">
        <v>0.23095599999999999</v>
      </c>
      <c r="FE177" t="s">
        <v>74</v>
      </c>
      <c r="FF177">
        <v>230.9563</v>
      </c>
      <c r="FG177" t="s">
        <v>75</v>
      </c>
      <c r="FH177">
        <v>230956.30100000001</v>
      </c>
      <c r="FI177" t="s">
        <v>76</v>
      </c>
      <c r="FJ177" t="s">
        <v>82</v>
      </c>
      <c r="FK177">
        <v>4.3298234000000004</v>
      </c>
    </row>
    <row r="178" spans="2:167" x14ac:dyDescent="0.3">
      <c r="DX178" t="s">
        <v>498</v>
      </c>
      <c r="DY178" t="s">
        <v>83</v>
      </c>
      <c r="DZ178">
        <v>999</v>
      </c>
      <c r="EA178" t="s">
        <v>86</v>
      </c>
      <c r="EB178">
        <v>1.124E-3</v>
      </c>
      <c r="EC178" t="s">
        <v>74</v>
      </c>
      <c r="ED178">
        <v>1.1240699999999999</v>
      </c>
      <c r="EE178" t="s">
        <v>75</v>
      </c>
      <c r="EF178">
        <v>1124.066</v>
      </c>
      <c r="EG178" t="s">
        <v>76</v>
      </c>
      <c r="EH178" t="s">
        <v>82</v>
      </c>
      <c r="EI178">
        <v>889.62773149999998</v>
      </c>
      <c r="EL178" t="s">
        <v>498</v>
      </c>
      <c r="EM178" t="s">
        <v>83</v>
      </c>
      <c r="EN178">
        <v>999</v>
      </c>
      <c r="EO178" t="s">
        <v>86</v>
      </c>
      <c r="EP178">
        <v>1.0369999999999999E-3</v>
      </c>
      <c r="EQ178" t="s">
        <v>74</v>
      </c>
      <c r="ER178">
        <v>1.0375000000000001</v>
      </c>
      <c r="ES178" t="s">
        <v>75</v>
      </c>
      <c r="ET178">
        <v>1037.498</v>
      </c>
      <c r="EU178" t="s">
        <v>76</v>
      </c>
      <c r="EV178" t="s">
        <v>82</v>
      </c>
      <c r="EW178">
        <v>963.85737489999997</v>
      </c>
      <c r="EZ178" t="s">
        <v>498</v>
      </c>
      <c r="FA178" t="s">
        <v>83</v>
      </c>
      <c r="FB178">
        <v>999</v>
      </c>
      <c r="FC178" t="s">
        <v>86</v>
      </c>
      <c r="FD178">
        <v>1.694E-3</v>
      </c>
      <c r="FE178" t="s">
        <v>74</v>
      </c>
      <c r="FF178">
        <v>1.6941299999999999</v>
      </c>
      <c r="FG178" t="s">
        <v>75</v>
      </c>
      <c r="FH178">
        <v>1694.1289999999999</v>
      </c>
      <c r="FI178" t="s">
        <v>76</v>
      </c>
      <c r="FJ178" t="s">
        <v>82</v>
      </c>
      <c r="FK178">
        <v>590.27372639999999</v>
      </c>
    </row>
    <row r="179" spans="2:167" x14ac:dyDescent="0.3">
      <c r="DX179" t="s">
        <v>498</v>
      </c>
      <c r="DY179" t="s">
        <v>85</v>
      </c>
      <c r="DZ179">
        <v>1001</v>
      </c>
      <c r="EA179" t="s">
        <v>86</v>
      </c>
      <c r="EB179">
        <v>1.3630000000000001E-3</v>
      </c>
      <c r="EC179" t="s">
        <v>74</v>
      </c>
      <c r="ED179">
        <v>1.3631599999999999</v>
      </c>
      <c r="EE179" t="s">
        <v>75</v>
      </c>
      <c r="EF179">
        <v>1363.16</v>
      </c>
      <c r="EG179" t="s">
        <v>76</v>
      </c>
      <c r="EH179" t="s">
        <v>82</v>
      </c>
      <c r="EI179">
        <v>733.58965809999995</v>
      </c>
      <c r="EL179" t="s">
        <v>498</v>
      </c>
      <c r="EM179" t="s">
        <v>85</v>
      </c>
      <c r="EN179">
        <v>1001</v>
      </c>
      <c r="EO179" t="s">
        <v>86</v>
      </c>
      <c r="EP179">
        <v>1.289E-3</v>
      </c>
      <c r="EQ179" t="s">
        <v>74</v>
      </c>
      <c r="ER179">
        <v>1.28898</v>
      </c>
      <c r="ES179" t="s">
        <v>75</v>
      </c>
      <c r="ET179">
        <v>1288.9760000000001</v>
      </c>
      <c r="EU179" t="s">
        <v>76</v>
      </c>
      <c r="EV179" t="s">
        <v>82</v>
      </c>
      <c r="EW179">
        <v>775.80964210000002</v>
      </c>
      <c r="EZ179" t="s">
        <v>498</v>
      </c>
      <c r="FA179" t="s">
        <v>85</v>
      </c>
      <c r="FB179">
        <v>1001</v>
      </c>
      <c r="FC179" t="s">
        <v>86</v>
      </c>
      <c r="FD179">
        <v>1.9469999999999999E-3</v>
      </c>
      <c r="FE179" t="s">
        <v>74</v>
      </c>
      <c r="FF179">
        <v>1.9473800000000001</v>
      </c>
      <c r="FG179" t="s">
        <v>75</v>
      </c>
      <c r="FH179">
        <v>1947.3779999999999</v>
      </c>
      <c r="FI179" t="s">
        <v>76</v>
      </c>
      <c r="FJ179" t="s">
        <v>82</v>
      </c>
      <c r="FK179">
        <v>513.51090780000004</v>
      </c>
    </row>
    <row r="181" spans="2:167" x14ac:dyDescent="0.3">
      <c r="K181" t="s">
        <v>595</v>
      </c>
      <c r="L181">
        <f>MIN(L$1:L178)</f>
        <v>0.93573669999999998</v>
      </c>
      <c r="Y181" t="s">
        <v>595</v>
      </c>
      <c r="Z181">
        <f>MIN(Z$1:Z178)</f>
        <v>0.90538280000000004</v>
      </c>
      <c r="AM181" t="s">
        <v>595</v>
      </c>
      <c r="AN181">
        <f>MIN(AN$1:AN178)</f>
        <v>0.9371429</v>
      </c>
      <c r="BA181" t="s">
        <v>595</v>
      </c>
      <c r="BB181">
        <f>MIN(BB$1:BB178)</f>
        <v>0.93539419999999995</v>
      </c>
      <c r="BO181" t="s">
        <v>595</v>
      </c>
      <c r="BP181">
        <f>MIN(BP$1:BP178)</f>
        <v>0.9364285</v>
      </c>
      <c r="CC181" t="s">
        <v>595</v>
      </c>
      <c r="CD181">
        <f>MIN(CD$1:CD178)</f>
        <v>3.30931E-2</v>
      </c>
      <c r="CQ181" t="s">
        <v>595</v>
      </c>
      <c r="CR181">
        <f>MIN(CR$1:CR178)</f>
        <v>0.9385443</v>
      </c>
      <c r="DE181" t="s">
        <v>595</v>
      </c>
      <c r="DF181">
        <f>MIN(DF$1:DF178)</f>
        <v>0.93566210000000005</v>
      </c>
      <c r="DS181" t="s">
        <v>595</v>
      </c>
      <c r="DT181">
        <f>MIN(DT$1:DT178)</f>
        <v>0.9264194</v>
      </c>
      <c r="DX181" t="s">
        <v>529</v>
      </c>
      <c r="EL181" t="s">
        <v>529</v>
      </c>
      <c r="EZ181" t="s">
        <v>529</v>
      </c>
    </row>
    <row r="182" spans="2:167" x14ac:dyDescent="0.3">
      <c r="K182" t="s">
        <v>596</v>
      </c>
      <c r="L182">
        <f>MAX(L$1:L180)</f>
        <v>963.71753860000001</v>
      </c>
      <c r="Y182" t="s">
        <v>596</v>
      </c>
      <c r="Z182">
        <f>MAX(Z$1:Z180)</f>
        <v>1610.2228302000001</v>
      </c>
      <c r="AM182" t="s">
        <v>596</v>
      </c>
      <c r="AN182">
        <f>MAX(AN$1:AN180)</f>
        <v>787.07792040000004</v>
      </c>
      <c r="BA182" t="s">
        <v>596</v>
      </c>
      <c r="BB182">
        <f>MAX(BB$1:BB180)</f>
        <v>891.23938420000002</v>
      </c>
      <c r="BO182" t="s">
        <v>596</v>
      </c>
      <c r="BP182">
        <f>MAX(BP$1:BP180)</f>
        <v>368.6186424</v>
      </c>
      <c r="CC182" t="s">
        <v>596</v>
      </c>
      <c r="CD182">
        <f>MAX(CD$1:CD180)</f>
        <v>300.97327730000001</v>
      </c>
      <c r="CQ182" t="s">
        <v>596</v>
      </c>
      <c r="CR182">
        <f>MAX(CR$1:CR180)</f>
        <v>899.55281909999997</v>
      </c>
      <c r="DE182" t="s">
        <v>596</v>
      </c>
      <c r="DF182">
        <f>MAX(DF$1:DF180)</f>
        <v>364.32335879999999</v>
      </c>
      <c r="DS182" t="s">
        <v>596</v>
      </c>
      <c r="DT182">
        <f>MAX(DT$1:DT180)</f>
        <v>296.94740510000003</v>
      </c>
      <c r="DX182" t="s">
        <v>496</v>
      </c>
      <c r="DY182" t="s">
        <v>72</v>
      </c>
      <c r="DZ182">
        <v>1</v>
      </c>
      <c r="EA182" t="s">
        <v>81</v>
      </c>
      <c r="EB182">
        <v>1.0728E-2</v>
      </c>
      <c r="EC182" t="s">
        <v>74</v>
      </c>
      <c r="ED182">
        <v>10.7278</v>
      </c>
      <c r="EE182" t="s">
        <v>75</v>
      </c>
      <c r="EF182">
        <v>10727.8</v>
      </c>
      <c r="EG182" t="s">
        <v>76</v>
      </c>
      <c r="EH182" t="s">
        <v>82</v>
      </c>
      <c r="EI182">
        <v>93.215753500000005</v>
      </c>
      <c r="EL182" t="s">
        <v>496</v>
      </c>
      <c r="EM182" t="s">
        <v>72</v>
      </c>
      <c r="EN182">
        <v>1</v>
      </c>
      <c r="EO182" t="s">
        <v>81</v>
      </c>
      <c r="EP182">
        <v>1.0315E-2</v>
      </c>
      <c r="EQ182" t="s">
        <v>74</v>
      </c>
      <c r="ER182">
        <v>10.315099999999999</v>
      </c>
      <c r="ES182" t="s">
        <v>75</v>
      </c>
      <c r="ET182">
        <v>10315.1</v>
      </c>
      <c r="EU182" t="s">
        <v>76</v>
      </c>
      <c r="EV182" t="s">
        <v>82</v>
      </c>
      <c r="EW182">
        <v>96.945257499999997</v>
      </c>
      <c r="EZ182" t="s">
        <v>496</v>
      </c>
      <c r="FA182" t="s">
        <v>72</v>
      </c>
      <c r="FB182">
        <v>1</v>
      </c>
      <c r="FC182" t="s">
        <v>81</v>
      </c>
      <c r="FD182">
        <v>1.0887000000000001E-2</v>
      </c>
      <c r="FE182" t="s">
        <v>74</v>
      </c>
      <c r="FF182">
        <v>10.8871</v>
      </c>
      <c r="FG182" t="s">
        <v>75</v>
      </c>
      <c r="FH182">
        <v>10887.1</v>
      </c>
      <c r="FI182" t="s">
        <v>76</v>
      </c>
      <c r="FJ182" t="s">
        <v>82</v>
      </c>
      <c r="FK182">
        <v>91.851821599999994</v>
      </c>
    </row>
    <row r="183" spans="2:167" x14ac:dyDescent="0.3">
      <c r="K183" t="s">
        <v>597</v>
      </c>
      <c r="L183">
        <f>L182/L181</f>
        <v>1029.9024700003752</v>
      </c>
      <c r="Y183" t="s">
        <v>597</v>
      </c>
      <c r="Z183">
        <f>Z182/Z181</f>
        <v>1778.4994702793117</v>
      </c>
      <c r="AM183" t="s">
        <v>597</v>
      </c>
      <c r="AN183">
        <f>AN182/AN181</f>
        <v>839.86969372547139</v>
      </c>
      <c r="BA183" t="s">
        <v>597</v>
      </c>
      <c r="BB183">
        <f>BB182/BB181</f>
        <v>952.79549969413972</v>
      </c>
      <c r="BO183" t="s">
        <v>597</v>
      </c>
      <c r="BP183">
        <f>BP182/BP181</f>
        <v>393.64312641061224</v>
      </c>
      <c r="CC183" t="s">
        <v>597</v>
      </c>
      <c r="CD183">
        <f>CD182/CD181</f>
        <v>9094.7441400171028</v>
      </c>
      <c r="CQ183" t="s">
        <v>597</v>
      </c>
      <c r="CR183">
        <f>CR182/CR181</f>
        <v>958.45536444044251</v>
      </c>
      <c r="DE183" t="s">
        <v>597</v>
      </c>
      <c r="DF183">
        <f>DF182/DF181</f>
        <v>389.37492370376015</v>
      </c>
      <c r="DS183" t="s">
        <v>597</v>
      </c>
      <c r="DT183">
        <f>DT182/DT181</f>
        <v>320.53236914080168</v>
      </c>
      <c r="DX183" t="s">
        <v>496</v>
      </c>
      <c r="DY183" t="s">
        <v>83</v>
      </c>
      <c r="DZ183">
        <v>590</v>
      </c>
      <c r="EA183" t="s">
        <v>81</v>
      </c>
      <c r="EB183">
        <v>2.5690000000000001E-3</v>
      </c>
      <c r="EC183" t="s">
        <v>74</v>
      </c>
      <c r="ED183">
        <v>2.5686100000000001</v>
      </c>
      <c r="EE183" t="s">
        <v>75</v>
      </c>
      <c r="EF183">
        <v>2568.6060000000002</v>
      </c>
      <c r="EG183" t="s">
        <v>76</v>
      </c>
      <c r="EH183" t="s">
        <v>82</v>
      </c>
      <c r="EI183">
        <v>389.31622879999998</v>
      </c>
      <c r="EL183" t="s">
        <v>496</v>
      </c>
      <c r="EM183" t="s">
        <v>83</v>
      </c>
      <c r="EN183">
        <v>925</v>
      </c>
      <c r="EO183" t="s">
        <v>81</v>
      </c>
      <c r="EP183">
        <v>2.3310000000000002E-3</v>
      </c>
      <c r="EQ183" t="s">
        <v>74</v>
      </c>
      <c r="ER183">
        <v>2.3305799999999999</v>
      </c>
      <c r="ES183" t="s">
        <v>75</v>
      </c>
      <c r="ET183">
        <v>2330.5830000000001</v>
      </c>
      <c r="EU183" t="s">
        <v>76</v>
      </c>
      <c r="EV183" t="s">
        <v>82</v>
      </c>
      <c r="EW183">
        <v>429.07721550000002</v>
      </c>
      <c r="EZ183" t="s">
        <v>496</v>
      </c>
      <c r="FA183" t="s">
        <v>83</v>
      </c>
      <c r="FB183">
        <v>875</v>
      </c>
      <c r="FC183" t="s">
        <v>81</v>
      </c>
      <c r="FD183">
        <v>3.2699999999999999E-3</v>
      </c>
      <c r="FE183" t="s">
        <v>74</v>
      </c>
      <c r="FF183">
        <v>3.2704800000000001</v>
      </c>
      <c r="FG183" t="s">
        <v>75</v>
      </c>
      <c r="FH183">
        <v>3270.4769999999999</v>
      </c>
      <c r="FI183" t="s">
        <v>76</v>
      </c>
      <c r="FJ183" t="s">
        <v>82</v>
      </c>
      <c r="FK183">
        <v>305.76579290000001</v>
      </c>
    </row>
    <row r="184" spans="2:167" x14ac:dyDescent="0.3">
      <c r="DX184" t="s">
        <v>496</v>
      </c>
      <c r="DY184" t="s">
        <v>84</v>
      </c>
      <c r="DZ184">
        <v>591</v>
      </c>
      <c r="EA184" t="s">
        <v>81</v>
      </c>
      <c r="EB184">
        <v>2.5820000000000001E-3</v>
      </c>
      <c r="EC184" t="s">
        <v>74</v>
      </c>
      <c r="ED184">
        <v>2.5824099999999999</v>
      </c>
      <c r="EE184" t="s">
        <v>75</v>
      </c>
      <c r="EF184">
        <v>2582.4119999999998</v>
      </c>
      <c r="EG184" t="s">
        <v>76</v>
      </c>
      <c r="EH184" t="s">
        <v>82</v>
      </c>
      <c r="EI184">
        <v>387.23492800000002</v>
      </c>
      <c r="EL184" t="s">
        <v>496</v>
      </c>
      <c r="EM184" t="s">
        <v>84</v>
      </c>
      <c r="EN184">
        <v>926</v>
      </c>
      <c r="EO184" t="s">
        <v>81</v>
      </c>
      <c r="EP184">
        <v>2.3389999999999999E-3</v>
      </c>
      <c r="EQ184" t="s">
        <v>74</v>
      </c>
      <c r="ER184">
        <v>2.33921</v>
      </c>
      <c r="ES184" t="s">
        <v>75</v>
      </c>
      <c r="ET184">
        <v>2339.2049999999999</v>
      </c>
      <c r="EU184" t="s">
        <v>76</v>
      </c>
      <c r="EV184" t="s">
        <v>82</v>
      </c>
      <c r="EW184">
        <v>427.49561729999999</v>
      </c>
      <c r="EZ184" t="s">
        <v>496</v>
      </c>
      <c r="FA184" t="s">
        <v>84</v>
      </c>
      <c r="FB184">
        <v>876</v>
      </c>
      <c r="FC184" t="s">
        <v>81</v>
      </c>
      <c r="FD184">
        <v>3.2789999999999998E-3</v>
      </c>
      <c r="FE184" t="s">
        <v>74</v>
      </c>
      <c r="FF184">
        <v>3.2791700000000001</v>
      </c>
      <c r="FG184" t="s">
        <v>75</v>
      </c>
      <c r="FH184">
        <v>3279.172</v>
      </c>
      <c r="FI184" t="s">
        <v>76</v>
      </c>
      <c r="FJ184" t="s">
        <v>82</v>
      </c>
      <c r="FK184">
        <v>304.95504529999999</v>
      </c>
    </row>
    <row r="185" spans="2:167" x14ac:dyDescent="0.3">
      <c r="DX185" t="s">
        <v>497</v>
      </c>
      <c r="DY185" t="s">
        <v>72</v>
      </c>
      <c r="DZ185">
        <v>1</v>
      </c>
      <c r="EA185" t="s">
        <v>81</v>
      </c>
      <c r="EB185">
        <v>4.9367000000000001E-2</v>
      </c>
      <c r="EC185" t="s">
        <v>74</v>
      </c>
      <c r="ED185">
        <v>49.366999999999997</v>
      </c>
      <c r="EE185" t="s">
        <v>75</v>
      </c>
      <c r="EF185">
        <v>49366.999000000003</v>
      </c>
      <c r="EG185" t="s">
        <v>76</v>
      </c>
      <c r="EH185" t="s">
        <v>82</v>
      </c>
      <c r="EI185">
        <v>20.2564469</v>
      </c>
      <c r="EL185" t="s">
        <v>497</v>
      </c>
      <c r="EM185" t="s">
        <v>72</v>
      </c>
      <c r="EN185">
        <v>1</v>
      </c>
      <c r="EO185" t="s">
        <v>81</v>
      </c>
      <c r="EP185">
        <v>5.2229999999999999E-2</v>
      </c>
      <c r="EQ185" t="s">
        <v>74</v>
      </c>
      <c r="ER185">
        <v>52.229799999999997</v>
      </c>
      <c r="ES185" t="s">
        <v>75</v>
      </c>
      <c r="ET185">
        <v>52229.798999999999</v>
      </c>
      <c r="EU185" t="s">
        <v>76</v>
      </c>
      <c r="EV185" t="s">
        <v>82</v>
      </c>
      <c r="EW185">
        <v>19.146158199999999</v>
      </c>
      <c r="EZ185" t="s">
        <v>497</v>
      </c>
      <c r="FA185" t="s">
        <v>72</v>
      </c>
      <c r="FB185">
        <v>1</v>
      </c>
      <c r="FC185" t="s">
        <v>81</v>
      </c>
      <c r="FD185">
        <v>5.3194999999999999E-2</v>
      </c>
      <c r="FE185" t="s">
        <v>74</v>
      </c>
      <c r="FF185">
        <v>53.195099999999996</v>
      </c>
      <c r="FG185" t="s">
        <v>75</v>
      </c>
      <c r="FH185">
        <v>53195.1</v>
      </c>
      <c r="FI185" t="s">
        <v>76</v>
      </c>
      <c r="FJ185" t="s">
        <v>82</v>
      </c>
      <c r="FK185">
        <v>18.798723800000001</v>
      </c>
    </row>
    <row r="186" spans="2:167" x14ac:dyDescent="0.3">
      <c r="DX186" t="s">
        <v>497</v>
      </c>
      <c r="DY186" t="s">
        <v>83</v>
      </c>
      <c r="DZ186">
        <v>409</v>
      </c>
      <c r="EA186" t="s">
        <v>81</v>
      </c>
      <c r="EB186">
        <v>3.493E-3</v>
      </c>
      <c r="EC186" t="s">
        <v>74</v>
      </c>
      <c r="ED186">
        <v>3.4928699999999999</v>
      </c>
      <c r="EE186" t="s">
        <v>75</v>
      </c>
      <c r="EF186">
        <v>3492.8719999999998</v>
      </c>
      <c r="EG186" t="s">
        <v>76</v>
      </c>
      <c r="EH186" t="s">
        <v>82</v>
      </c>
      <c r="EI186">
        <v>286.2973652</v>
      </c>
      <c r="EL186" t="s">
        <v>497</v>
      </c>
      <c r="EM186" t="s">
        <v>83</v>
      </c>
      <c r="EN186">
        <v>74</v>
      </c>
      <c r="EO186" t="s">
        <v>81</v>
      </c>
      <c r="EP186">
        <v>2.8754999999999999E-2</v>
      </c>
      <c r="EQ186" t="s">
        <v>74</v>
      </c>
      <c r="ER186">
        <v>28.754629999999999</v>
      </c>
      <c r="ES186" t="s">
        <v>75</v>
      </c>
      <c r="ET186">
        <v>28754.627</v>
      </c>
      <c r="EU186" t="s">
        <v>76</v>
      </c>
      <c r="EV186" t="s">
        <v>82</v>
      </c>
      <c r="EW186">
        <v>34.777011299999998</v>
      </c>
      <c r="EZ186" t="s">
        <v>497</v>
      </c>
      <c r="FA186" t="s">
        <v>83</v>
      </c>
      <c r="FB186">
        <v>124</v>
      </c>
      <c r="FC186" t="s">
        <v>81</v>
      </c>
      <c r="FD186">
        <v>2.2811000000000001E-2</v>
      </c>
      <c r="FE186" t="s">
        <v>74</v>
      </c>
      <c r="FF186">
        <v>22.81146</v>
      </c>
      <c r="FG186" t="s">
        <v>75</v>
      </c>
      <c r="FH186">
        <v>22811.465</v>
      </c>
      <c r="FI186" t="s">
        <v>76</v>
      </c>
      <c r="FJ186" t="s">
        <v>82</v>
      </c>
      <c r="FK186">
        <v>43.8376059</v>
      </c>
    </row>
    <row r="187" spans="2:167" x14ac:dyDescent="0.3">
      <c r="DX187" t="s">
        <v>497</v>
      </c>
      <c r="DY187" t="s">
        <v>84</v>
      </c>
      <c r="DZ187">
        <v>410</v>
      </c>
      <c r="EA187" t="s">
        <v>81</v>
      </c>
      <c r="EB187">
        <v>3.6050000000000001E-3</v>
      </c>
      <c r="EC187" t="s">
        <v>74</v>
      </c>
      <c r="ED187">
        <v>3.6047600000000002</v>
      </c>
      <c r="EE187" t="s">
        <v>75</v>
      </c>
      <c r="EF187">
        <v>3604.76</v>
      </c>
      <c r="EG187" t="s">
        <v>76</v>
      </c>
      <c r="EH187" t="s">
        <v>82</v>
      </c>
      <c r="EI187">
        <v>277.41099259999999</v>
      </c>
      <c r="EL187" t="s">
        <v>497</v>
      </c>
      <c r="EM187" t="s">
        <v>84</v>
      </c>
      <c r="EN187">
        <v>75</v>
      </c>
      <c r="EO187" t="s">
        <v>81</v>
      </c>
      <c r="EP187">
        <v>2.9068E-2</v>
      </c>
      <c r="EQ187" t="s">
        <v>74</v>
      </c>
      <c r="ER187">
        <v>29.067620000000002</v>
      </c>
      <c r="ES187" t="s">
        <v>75</v>
      </c>
      <c r="ET187">
        <v>29067.620999999999</v>
      </c>
      <c r="EU187" t="s">
        <v>76</v>
      </c>
      <c r="EV187" t="s">
        <v>82</v>
      </c>
      <c r="EW187">
        <v>34.402539900000001</v>
      </c>
      <c r="EZ187" t="s">
        <v>497</v>
      </c>
      <c r="FA187" t="s">
        <v>84</v>
      </c>
      <c r="FB187">
        <v>125</v>
      </c>
      <c r="FC187" t="s">
        <v>81</v>
      </c>
      <c r="FD187">
        <v>2.3054999999999999E-2</v>
      </c>
      <c r="FE187" t="s">
        <v>74</v>
      </c>
      <c r="FF187">
        <v>23.05453</v>
      </c>
      <c r="FG187" t="s">
        <v>75</v>
      </c>
      <c r="FH187">
        <v>23054.535</v>
      </c>
      <c r="FI187" t="s">
        <v>76</v>
      </c>
      <c r="FJ187" t="s">
        <v>82</v>
      </c>
      <c r="FK187">
        <v>43.375414200000002</v>
      </c>
    </row>
    <row r="188" spans="2:167" x14ac:dyDescent="0.3">
      <c r="DX188" t="s">
        <v>498</v>
      </c>
      <c r="DY188" t="s">
        <v>72</v>
      </c>
      <c r="DZ188">
        <v>2</v>
      </c>
      <c r="EA188" t="s">
        <v>86</v>
      </c>
      <c r="EB188">
        <v>2.4688000000000002E-2</v>
      </c>
      <c r="EC188" t="s">
        <v>74</v>
      </c>
      <c r="ED188">
        <v>24.6875</v>
      </c>
      <c r="EE188" t="s">
        <v>75</v>
      </c>
      <c r="EF188">
        <v>24687.501</v>
      </c>
      <c r="EG188" t="s">
        <v>76</v>
      </c>
      <c r="EH188" t="s">
        <v>82</v>
      </c>
      <c r="EI188">
        <v>40.506328000000003</v>
      </c>
      <c r="EL188" t="s">
        <v>498</v>
      </c>
      <c r="EM188" t="s">
        <v>72</v>
      </c>
      <c r="EN188">
        <v>2</v>
      </c>
      <c r="EO188" t="s">
        <v>86</v>
      </c>
      <c r="EP188">
        <v>2.6117999999999999E-2</v>
      </c>
      <c r="EQ188" t="s">
        <v>74</v>
      </c>
      <c r="ER188">
        <v>26.118400000000001</v>
      </c>
      <c r="ES188" t="s">
        <v>75</v>
      </c>
      <c r="ET188">
        <v>26118.400000000001</v>
      </c>
      <c r="EU188" t="s">
        <v>76</v>
      </c>
      <c r="EV188" t="s">
        <v>82</v>
      </c>
      <c r="EW188">
        <v>38.287185100000002</v>
      </c>
      <c r="EZ188" t="s">
        <v>498</v>
      </c>
      <c r="FA188" t="s">
        <v>72</v>
      </c>
      <c r="FB188">
        <v>2</v>
      </c>
      <c r="FC188" t="s">
        <v>86</v>
      </c>
      <c r="FD188">
        <v>2.6602000000000001E-2</v>
      </c>
      <c r="FE188" t="s">
        <v>74</v>
      </c>
      <c r="FF188">
        <v>26.601600000000001</v>
      </c>
      <c r="FG188" t="s">
        <v>75</v>
      </c>
      <c r="FH188">
        <v>26601.599999999999</v>
      </c>
      <c r="FI188" t="s">
        <v>76</v>
      </c>
      <c r="FJ188" t="s">
        <v>82</v>
      </c>
      <c r="FK188">
        <v>37.591724499999998</v>
      </c>
    </row>
    <row r="189" spans="2:167" x14ac:dyDescent="0.3">
      <c r="DX189" t="s">
        <v>498</v>
      </c>
      <c r="DY189" t="s">
        <v>83</v>
      </c>
      <c r="DZ189">
        <v>999</v>
      </c>
      <c r="EA189" t="s">
        <v>86</v>
      </c>
      <c r="EB189">
        <v>1.523E-3</v>
      </c>
      <c r="EC189" t="s">
        <v>74</v>
      </c>
      <c r="ED189">
        <v>1.5229600000000001</v>
      </c>
      <c r="EE189" t="s">
        <v>75</v>
      </c>
      <c r="EF189">
        <v>1522.9549999999999</v>
      </c>
      <c r="EG189" t="s">
        <v>76</v>
      </c>
      <c r="EH189" t="s">
        <v>82</v>
      </c>
      <c r="EI189">
        <v>656.61811750000004</v>
      </c>
      <c r="EL189" t="s">
        <v>498</v>
      </c>
      <c r="EM189" t="s">
        <v>83</v>
      </c>
      <c r="EN189">
        <v>999</v>
      </c>
      <c r="EO189" t="s">
        <v>86</v>
      </c>
      <c r="EP189">
        <v>2.1779999999999998E-3</v>
      </c>
      <c r="EQ189" t="s">
        <v>74</v>
      </c>
      <c r="ER189">
        <v>2.1780499999999998</v>
      </c>
      <c r="ES189" t="s">
        <v>75</v>
      </c>
      <c r="ET189">
        <v>2178.0509999999999</v>
      </c>
      <c r="EU189" t="s">
        <v>76</v>
      </c>
      <c r="EV189" t="s">
        <v>82</v>
      </c>
      <c r="EW189">
        <v>459.12600209999999</v>
      </c>
      <c r="EZ189" t="s">
        <v>498</v>
      </c>
      <c r="FA189" t="s">
        <v>83</v>
      </c>
      <c r="FB189">
        <v>999</v>
      </c>
      <c r="FC189" t="s">
        <v>86</v>
      </c>
      <c r="FD189">
        <v>2.8890000000000001E-3</v>
      </c>
      <c r="FE189" t="s">
        <v>74</v>
      </c>
      <c r="FF189">
        <v>2.8888600000000002</v>
      </c>
      <c r="FG189" t="s">
        <v>75</v>
      </c>
      <c r="FH189">
        <v>2888.8629999999998</v>
      </c>
      <c r="FI189" t="s">
        <v>76</v>
      </c>
      <c r="FJ189" t="s">
        <v>82</v>
      </c>
      <c r="FK189">
        <v>346.1570016</v>
      </c>
    </row>
    <row r="190" spans="2:167" x14ac:dyDescent="0.3">
      <c r="DX190" t="s">
        <v>498</v>
      </c>
      <c r="DY190" t="s">
        <v>85</v>
      </c>
      <c r="DZ190">
        <v>1001</v>
      </c>
      <c r="EA190" t="s">
        <v>86</v>
      </c>
      <c r="EB190">
        <v>1.5330000000000001E-3</v>
      </c>
      <c r="EC190" t="s">
        <v>74</v>
      </c>
      <c r="ED190">
        <v>1.5325299999999999</v>
      </c>
      <c r="EE190" t="s">
        <v>75</v>
      </c>
      <c r="EF190">
        <v>1532.5260000000001</v>
      </c>
      <c r="EG190" t="s">
        <v>76</v>
      </c>
      <c r="EH190" t="s">
        <v>82</v>
      </c>
      <c r="EI190">
        <v>652.51766139999995</v>
      </c>
      <c r="EL190" t="s">
        <v>498</v>
      </c>
      <c r="EM190" t="s">
        <v>85</v>
      </c>
      <c r="EN190">
        <v>1001</v>
      </c>
      <c r="EO190" t="s">
        <v>86</v>
      </c>
      <c r="EP190">
        <v>2.1849999999999999E-3</v>
      </c>
      <c r="EQ190" t="s">
        <v>74</v>
      </c>
      <c r="ER190">
        <v>2.1853099999999999</v>
      </c>
      <c r="ES190" t="s">
        <v>75</v>
      </c>
      <c r="ET190">
        <v>2185.3110000000001</v>
      </c>
      <c r="EU190" t="s">
        <v>76</v>
      </c>
      <c r="EV190" t="s">
        <v>82</v>
      </c>
      <c r="EW190">
        <v>457.600798</v>
      </c>
      <c r="EZ190" t="s">
        <v>498</v>
      </c>
      <c r="FA190" t="s">
        <v>85</v>
      </c>
      <c r="FB190">
        <v>1001</v>
      </c>
      <c r="FC190" t="s">
        <v>86</v>
      </c>
      <c r="FD190">
        <v>2.8960000000000001E-3</v>
      </c>
      <c r="FE190" t="s">
        <v>74</v>
      </c>
      <c r="FF190">
        <v>2.8960400000000002</v>
      </c>
      <c r="FG190" t="s">
        <v>75</v>
      </c>
      <c r="FH190">
        <v>2896.0349999999999</v>
      </c>
      <c r="FI190" t="s">
        <v>76</v>
      </c>
      <c r="FJ190" t="s">
        <v>82</v>
      </c>
      <c r="FK190">
        <v>345.29963850000001</v>
      </c>
    </row>
    <row r="192" spans="2:167" x14ac:dyDescent="0.3">
      <c r="DW192">
        <v>12</v>
      </c>
      <c r="DX192" t="s">
        <v>532</v>
      </c>
      <c r="EK192">
        <v>12</v>
      </c>
      <c r="EL192" t="s">
        <v>532</v>
      </c>
      <c r="EY192">
        <v>12</v>
      </c>
      <c r="EZ192" t="s">
        <v>532</v>
      </c>
    </row>
    <row r="193" spans="127:167" x14ac:dyDescent="0.3">
      <c r="DX193" t="s">
        <v>496</v>
      </c>
      <c r="DY193" t="s">
        <v>72</v>
      </c>
      <c r="DZ193">
        <v>1</v>
      </c>
      <c r="EA193" t="s">
        <v>81</v>
      </c>
      <c r="EB193">
        <v>0.36605900000000002</v>
      </c>
      <c r="EC193" t="s">
        <v>74</v>
      </c>
      <c r="ED193">
        <v>366.05880000000002</v>
      </c>
      <c r="EE193" t="s">
        <v>75</v>
      </c>
      <c r="EF193">
        <v>366058.79700000002</v>
      </c>
      <c r="EG193" t="s">
        <v>76</v>
      </c>
      <c r="EH193" t="s">
        <v>82</v>
      </c>
      <c r="EI193">
        <v>2.7318015999999998</v>
      </c>
      <c r="EL193" t="s">
        <v>496</v>
      </c>
      <c r="EM193" t="s">
        <v>72</v>
      </c>
      <c r="EN193">
        <v>1</v>
      </c>
      <c r="EO193" t="s">
        <v>81</v>
      </c>
      <c r="EP193">
        <v>0.43870999999999999</v>
      </c>
      <c r="EQ193" t="s">
        <v>74</v>
      </c>
      <c r="ER193">
        <v>438.71030000000002</v>
      </c>
      <c r="ES193" t="s">
        <v>75</v>
      </c>
      <c r="ET193">
        <v>438710.30200000003</v>
      </c>
      <c r="EU193" t="s">
        <v>76</v>
      </c>
      <c r="EV193" t="s">
        <v>82</v>
      </c>
      <c r="EW193">
        <v>2.2794085000000002</v>
      </c>
      <c r="EZ193" t="s">
        <v>496</v>
      </c>
      <c r="FA193" t="s">
        <v>72</v>
      </c>
      <c r="FB193">
        <v>1</v>
      </c>
      <c r="FC193" t="s">
        <v>81</v>
      </c>
      <c r="FD193">
        <v>0.35427599999999998</v>
      </c>
      <c r="FE193" t="s">
        <v>74</v>
      </c>
      <c r="FF193">
        <v>354.27569999999997</v>
      </c>
      <c r="FG193" t="s">
        <v>75</v>
      </c>
      <c r="FH193">
        <v>354275.70299999998</v>
      </c>
      <c r="FI193" t="s">
        <v>76</v>
      </c>
      <c r="FJ193" t="s">
        <v>82</v>
      </c>
      <c r="FK193">
        <v>2.8226604000000002</v>
      </c>
    </row>
    <row r="194" spans="127:167" x14ac:dyDescent="0.3">
      <c r="DX194" t="s">
        <v>496</v>
      </c>
      <c r="DY194" t="s">
        <v>83</v>
      </c>
      <c r="DZ194">
        <v>545</v>
      </c>
      <c r="EA194" t="s">
        <v>81</v>
      </c>
      <c r="EB194">
        <v>6.8320000000000004E-3</v>
      </c>
      <c r="EC194" t="s">
        <v>74</v>
      </c>
      <c r="ED194">
        <v>6.8322200000000004</v>
      </c>
      <c r="EE194" t="s">
        <v>75</v>
      </c>
      <c r="EF194">
        <v>6832.2169999999996</v>
      </c>
      <c r="EG194" t="s">
        <v>76</v>
      </c>
      <c r="EH194" t="s">
        <v>82</v>
      </c>
      <c r="EI194">
        <v>146.36537759999999</v>
      </c>
      <c r="EL194" t="s">
        <v>496</v>
      </c>
      <c r="EM194" t="s">
        <v>83</v>
      </c>
      <c r="EN194">
        <v>578</v>
      </c>
      <c r="EO194" t="s">
        <v>81</v>
      </c>
      <c r="EP194">
        <v>3.6800000000000001E-3</v>
      </c>
      <c r="EQ194" t="s">
        <v>74</v>
      </c>
      <c r="ER194">
        <v>3.6796500000000001</v>
      </c>
      <c r="ES194" t="s">
        <v>75</v>
      </c>
      <c r="ET194">
        <v>3679.654</v>
      </c>
      <c r="EU194" t="s">
        <v>76</v>
      </c>
      <c r="EV194" t="s">
        <v>82</v>
      </c>
      <c r="EW194">
        <v>271.76469959999997</v>
      </c>
      <c r="EZ194" t="s">
        <v>496</v>
      </c>
      <c r="FA194" t="s">
        <v>83</v>
      </c>
      <c r="FB194">
        <v>531</v>
      </c>
      <c r="FC194" t="s">
        <v>81</v>
      </c>
      <c r="FD194">
        <v>7.0520000000000001E-3</v>
      </c>
      <c r="FE194" t="s">
        <v>74</v>
      </c>
      <c r="FF194">
        <v>7.0518900000000002</v>
      </c>
      <c r="FG194" t="s">
        <v>75</v>
      </c>
      <c r="FH194">
        <v>7051.8869999999997</v>
      </c>
      <c r="FI194" t="s">
        <v>76</v>
      </c>
      <c r="FJ194" t="s">
        <v>82</v>
      </c>
      <c r="FK194">
        <v>141.80601060000001</v>
      </c>
    </row>
    <row r="195" spans="127:167" x14ac:dyDescent="0.3">
      <c r="DX195" t="s">
        <v>496</v>
      </c>
      <c r="DY195" t="s">
        <v>84</v>
      </c>
      <c r="DZ195">
        <v>546</v>
      </c>
      <c r="EA195" t="s">
        <v>81</v>
      </c>
      <c r="EB195">
        <v>7.4900000000000001E-3</v>
      </c>
      <c r="EC195" t="s">
        <v>74</v>
      </c>
      <c r="ED195">
        <v>7.4901400000000002</v>
      </c>
      <c r="EE195" t="s">
        <v>75</v>
      </c>
      <c r="EF195">
        <v>7490.1440000000002</v>
      </c>
      <c r="EG195" t="s">
        <v>76</v>
      </c>
      <c r="EH195" t="s">
        <v>82</v>
      </c>
      <c r="EI195">
        <v>133.50877980000001</v>
      </c>
      <c r="EL195" t="s">
        <v>496</v>
      </c>
      <c r="EM195" t="s">
        <v>84</v>
      </c>
      <c r="EN195">
        <v>579</v>
      </c>
      <c r="EO195" t="s">
        <v>81</v>
      </c>
      <c r="EP195">
        <v>4.431E-3</v>
      </c>
      <c r="EQ195" t="s">
        <v>74</v>
      </c>
      <c r="ER195">
        <v>4.431</v>
      </c>
      <c r="ES195" t="s">
        <v>75</v>
      </c>
      <c r="ET195">
        <v>4431.0010000000002</v>
      </c>
      <c r="EU195" t="s">
        <v>76</v>
      </c>
      <c r="EV195" t="s">
        <v>82</v>
      </c>
      <c r="EW195">
        <v>225.68265729999999</v>
      </c>
      <c r="EZ195" t="s">
        <v>496</v>
      </c>
      <c r="FA195" t="s">
        <v>84</v>
      </c>
      <c r="FB195">
        <v>532</v>
      </c>
      <c r="FC195" t="s">
        <v>81</v>
      </c>
      <c r="FD195">
        <v>7.705E-3</v>
      </c>
      <c r="FE195" t="s">
        <v>74</v>
      </c>
      <c r="FF195">
        <v>7.7045599999999999</v>
      </c>
      <c r="FG195" t="s">
        <v>75</v>
      </c>
      <c r="FH195">
        <v>7704.5619999999999</v>
      </c>
      <c r="FI195" t="s">
        <v>76</v>
      </c>
      <c r="FJ195" t="s">
        <v>82</v>
      </c>
      <c r="FK195">
        <v>129.7932347</v>
      </c>
    </row>
    <row r="196" spans="127:167" x14ac:dyDescent="0.3">
      <c r="DX196" t="s">
        <v>497</v>
      </c>
      <c r="DY196" t="s">
        <v>72</v>
      </c>
      <c r="DZ196">
        <v>1</v>
      </c>
      <c r="EA196" t="s">
        <v>81</v>
      </c>
      <c r="EB196">
        <v>0.132572</v>
      </c>
      <c r="EC196" t="s">
        <v>74</v>
      </c>
      <c r="ED196">
        <v>132.57239999999999</v>
      </c>
      <c r="EE196" t="s">
        <v>75</v>
      </c>
      <c r="EF196">
        <v>132572.39799999999</v>
      </c>
      <c r="EG196" t="s">
        <v>76</v>
      </c>
      <c r="EH196" t="s">
        <v>82</v>
      </c>
      <c r="EI196">
        <v>7.5430482999999997</v>
      </c>
      <c r="EL196" t="s">
        <v>497</v>
      </c>
      <c r="EM196" t="s">
        <v>72</v>
      </c>
      <c r="EN196">
        <v>1</v>
      </c>
      <c r="EO196" t="s">
        <v>81</v>
      </c>
      <c r="EP196">
        <v>0.126416</v>
      </c>
      <c r="EQ196" t="s">
        <v>74</v>
      </c>
      <c r="ER196">
        <v>126.41551</v>
      </c>
      <c r="ES196" t="s">
        <v>75</v>
      </c>
      <c r="ET196">
        <v>126415.50599999999</v>
      </c>
      <c r="EU196" t="s">
        <v>76</v>
      </c>
      <c r="EV196" t="s">
        <v>82</v>
      </c>
      <c r="EW196">
        <v>7.9104219999999996</v>
      </c>
      <c r="EZ196" t="s">
        <v>497</v>
      </c>
      <c r="FA196" t="s">
        <v>72</v>
      </c>
      <c r="FB196">
        <v>1</v>
      </c>
      <c r="FC196" t="s">
        <v>81</v>
      </c>
      <c r="FD196">
        <v>0.129136</v>
      </c>
      <c r="FE196" t="s">
        <v>74</v>
      </c>
      <c r="FF196">
        <v>129.13579999999999</v>
      </c>
      <c r="FG196" t="s">
        <v>75</v>
      </c>
      <c r="FH196">
        <v>129135.802</v>
      </c>
      <c r="FI196" t="s">
        <v>76</v>
      </c>
      <c r="FJ196" t="s">
        <v>82</v>
      </c>
      <c r="FK196">
        <v>7.7437858999999998</v>
      </c>
    </row>
    <row r="197" spans="127:167" x14ac:dyDescent="0.3">
      <c r="DX197" t="s">
        <v>497</v>
      </c>
      <c r="DY197" t="s">
        <v>83</v>
      </c>
      <c r="DZ197">
        <v>454</v>
      </c>
      <c r="EA197" t="s">
        <v>81</v>
      </c>
      <c r="EB197">
        <v>8.7290000000000006E-3</v>
      </c>
      <c r="EC197" t="s">
        <v>74</v>
      </c>
      <c r="ED197">
        <v>8.7290600000000005</v>
      </c>
      <c r="EE197" t="s">
        <v>75</v>
      </c>
      <c r="EF197">
        <v>8729.06</v>
      </c>
      <c r="EG197" t="s">
        <v>76</v>
      </c>
      <c r="EH197" t="s">
        <v>82</v>
      </c>
      <c r="EI197">
        <v>114.55986830000001</v>
      </c>
      <c r="EL197" t="s">
        <v>497</v>
      </c>
      <c r="EM197" t="s">
        <v>83</v>
      </c>
      <c r="EN197">
        <v>421</v>
      </c>
      <c r="EO197" t="s">
        <v>81</v>
      </c>
      <c r="EP197">
        <v>5.8199999999999997E-3</v>
      </c>
      <c r="EQ197" t="s">
        <v>74</v>
      </c>
      <c r="ER197">
        <v>5.8204500000000001</v>
      </c>
      <c r="ES197" t="s">
        <v>75</v>
      </c>
      <c r="ET197">
        <v>5820.45</v>
      </c>
      <c r="EU197" t="s">
        <v>76</v>
      </c>
      <c r="EV197" t="s">
        <v>82</v>
      </c>
      <c r="EW197">
        <v>171.8080076</v>
      </c>
      <c r="EZ197" t="s">
        <v>497</v>
      </c>
      <c r="FA197" t="s">
        <v>83</v>
      </c>
      <c r="FB197">
        <v>468</v>
      </c>
      <c r="FC197" t="s">
        <v>81</v>
      </c>
      <c r="FD197">
        <v>8.4989999999999996E-3</v>
      </c>
      <c r="FE197" t="s">
        <v>74</v>
      </c>
      <c r="FF197">
        <v>8.4985199999999992</v>
      </c>
      <c r="FG197" t="s">
        <v>75</v>
      </c>
      <c r="FH197">
        <v>8498.518</v>
      </c>
      <c r="FI197" t="s">
        <v>76</v>
      </c>
      <c r="FJ197" t="s">
        <v>82</v>
      </c>
      <c r="FK197">
        <v>117.6675762</v>
      </c>
    </row>
    <row r="198" spans="127:167" x14ac:dyDescent="0.3">
      <c r="DX198" t="s">
        <v>497</v>
      </c>
      <c r="DY198" t="s">
        <v>84</v>
      </c>
      <c r="DZ198">
        <v>455</v>
      </c>
      <c r="EA198" t="s">
        <v>81</v>
      </c>
      <c r="EB198">
        <v>9.0010000000000003E-3</v>
      </c>
      <c r="EC198" t="s">
        <v>74</v>
      </c>
      <c r="ED198">
        <v>9.0012500000000006</v>
      </c>
      <c r="EE198" t="s">
        <v>75</v>
      </c>
      <c r="EF198">
        <v>9001.2469999999994</v>
      </c>
      <c r="EG198" t="s">
        <v>76</v>
      </c>
      <c r="EH198" t="s">
        <v>82</v>
      </c>
      <c r="EI198">
        <v>111.09572249999999</v>
      </c>
      <c r="EL198" t="s">
        <v>497</v>
      </c>
      <c r="EM198" t="s">
        <v>84</v>
      </c>
      <c r="EN198">
        <v>422</v>
      </c>
      <c r="EO198" t="s">
        <v>81</v>
      </c>
      <c r="EP198">
        <v>6.1060000000000003E-3</v>
      </c>
      <c r="EQ198" t="s">
        <v>74</v>
      </c>
      <c r="ER198">
        <v>6.1062200000000004</v>
      </c>
      <c r="ES198" t="s">
        <v>75</v>
      </c>
      <c r="ET198">
        <v>6106.22</v>
      </c>
      <c r="EU198" t="s">
        <v>76</v>
      </c>
      <c r="EV198" t="s">
        <v>82</v>
      </c>
      <c r="EW198">
        <v>163.76743310000001</v>
      </c>
      <c r="EZ198" t="s">
        <v>497</v>
      </c>
      <c r="FA198" t="s">
        <v>84</v>
      </c>
      <c r="FB198">
        <v>469</v>
      </c>
      <c r="FC198" t="s">
        <v>81</v>
      </c>
      <c r="FD198">
        <v>8.7559999999999999E-3</v>
      </c>
      <c r="FE198" t="s">
        <v>74</v>
      </c>
      <c r="FF198">
        <v>8.7557399999999994</v>
      </c>
      <c r="FG198" t="s">
        <v>75</v>
      </c>
      <c r="FH198">
        <v>8755.7430000000004</v>
      </c>
      <c r="FI198" t="s">
        <v>76</v>
      </c>
      <c r="FJ198" t="s">
        <v>82</v>
      </c>
      <c r="FK198">
        <v>114.2107546</v>
      </c>
    </row>
    <row r="199" spans="127:167" x14ac:dyDescent="0.3">
      <c r="DX199" t="s">
        <v>498</v>
      </c>
      <c r="DY199" t="s">
        <v>72</v>
      </c>
      <c r="DZ199">
        <v>2</v>
      </c>
      <c r="EA199" t="s">
        <v>86</v>
      </c>
      <c r="EB199">
        <v>0.183058</v>
      </c>
      <c r="EC199" t="s">
        <v>74</v>
      </c>
      <c r="ED199">
        <v>183.05789999999999</v>
      </c>
      <c r="EE199" t="s">
        <v>75</v>
      </c>
      <c r="EF199">
        <v>183057.90400000001</v>
      </c>
      <c r="EG199" t="s">
        <v>76</v>
      </c>
      <c r="EH199" t="s">
        <v>82</v>
      </c>
      <c r="EI199">
        <v>5.4627524000000003</v>
      </c>
      <c r="EL199" t="s">
        <v>498</v>
      </c>
      <c r="EM199" t="s">
        <v>72</v>
      </c>
      <c r="EN199">
        <v>2</v>
      </c>
      <c r="EO199" t="s">
        <v>86</v>
      </c>
      <c r="EP199">
        <v>0.21937699999999999</v>
      </c>
      <c r="EQ199" t="s">
        <v>74</v>
      </c>
      <c r="ER199">
        <v>219.37715</v>
      </c>
      <c r="ES199" t="s">
        <v>75</v>
      </c>
      <c r="ET199">
        <v>219377.14499999999</v>
      </c>
      <c r="EU199" t="s">
        <v>76</v>
      </c>
      <c r="EV199" t="s">
        <v>82</v>
      </c>
      <c r="EW199">
        <v>4.5583600000000004</v>
      </c>
      <c r="EZ199" t="s">
        <v>498</v>
      </c>
      <c r="FA199" t="s">
        <v>72</v>
      </c>
      <c r="FB199">
        <v>2</v>
      </c>
      <c r="FC199" t="s">
        <v>86</v>
      </c>
      <c r="FD199">
        <v>0.17716399999999999</v>
      </c>
      <c r="FE199" t="s">
        <v>74</v>
      </c>
      <c r="FF199">
        <v>177.16435000000001</v>
      </c>
      <c r="FG199" t="s">
        <v>75</v>
      </c>
      <c r="FH199">
        <v>177164.34599999999</v>
      </c>
      <c r="FI199" t="s">
        <v>76</v>
      </c>
      <c r="FJ199" t="s">
        <v>82</v>
      </c>
      <c r="FK199">
        <v>5.6444766</v>
      </c>
    </row>
    <row r="200" spans="127:167" x14ac:dyDescent="0.3">
      <c r="DX200" t="s">
        <v>498</v>
      </c>
      <c r="DY200" t="s">
        <v>83</v>
      </c>
      <c r="DZ200">
        <v>999</v>
      </c>
      <c r="EA200" t="s">
        <v>86</v>
      </c>
      <c r="EB200">
        <v>3.9750000000000002E-3</v>
      </c>
      <c r="EC200" t="s">
        <v>74</v>
      </c>
      <c r="ED200">
        <v>3.9751699999999999</v>
      </c>
      <c r="EE200" t="s">
        <v>75</v>
      </c>
      <c r="EF200">
        <v>3975.1689999999999</v>
      </c>
      <c r="EG200" t="s">
        <v>76</v>
      </c>
      <c r="EH200" t="s">
        <v>82</v>
      </c>
      <c r="EI200">
        <v>251.56163430000001</v>
      </c>
      <c r="EL200" t="s">
        <v>498</v>
      </c>
      <c r="EM200" t="s">
        <v>83</v>
      </c>
      <c r="EN200">
        <v>999</v>
      </c>
      <c r="EO200" t="s">
        <v>86</v>
      </c>
      <c r="EP200">
        <v>2.4650000000000002E-3</v>
      </c>
      <c r="EQ200" t="s">
        <v>74</v>
      </c>
      <c r="ER200">
        <v>2.4646699999999999</v>
      </c>
      <c r="ES200" t="s">
        <v>75</v>
      </c>
      <c r="ET200">
        <v>2464.665</v>
      </c>
      <c r="EU200" t="s">
        <v>76</v>
      </c>
      <c r="EV200" t="s">
        <v>82</v>
      </c>
      <c r="EW200">
        <v>405.73460310000002</v>
      </c>
      <c r="EZ200" t="s">
        <v>498</v>
      </c>
      <c r="FA200" t="s">
        <v>83</v>
      </c>
      <c r="FB200">
        <v>999</v>
      </c>
      <c r="FC200" t="s">
        <v>86</v>
      </c>
      <c r="FD200">
        <v>3.9899999999999996E-3</v>
      </c>
      <c r="FE200" t="s">
        <v>74</v>
      </c>
      <c r="FF200">
        <v>3.9895100000000001</v>
      </c>
      <c r="FG200" t="s">
        <v>75</v>
      </c>
      <c r="FH200">
        <v>3989.5149999999999</v>
      </c>
      <c r="FI200" t="s">
        <v>76</v>
      </c>
      <c r="FJ200" t="s">
        <v>82</v>
      </c>
      <c r="FK200">
        <v>250.65704199999999</v>
      </c>
    </row>
    <row r="201" spans="127:167" x14ac:dyDescent="0.3">
      <c r="DX201" t="s">
        <v>498</v>
      </c>
      <c r="DY201" t="s">
        <v>85</v>
      </c>
      <c r="DZ201">
        <v>1001</v>
      </c>
      <c r="EA201" t="s">
        <v>86</v>
      </c>
      <c r="EB201">
        <v>4.1050000000000001E-3</v>
      </c>
      <c r="EC201" t="s">
        <v>74</v>
      </c>
      <c r="ED201">
        <v>4.1046800000000001</v>
      </c>
      <c r="EE201" t="s">
        <v>75</v>
      </c>
      <c r="EF201">
        <v>4104.6760000000004</v>
      </c>
      <c r="EG201" t="s">
        <v>76</v>
      </c>
      <c r="EH201" t="s">
        <v>82</v>
      </c>
      <c r="EI201">
        <v>243.6246055</v>
      </c>
      <c r="EL201" t="s">
        <v>498</v>
      </c>
      <c r="EM201" t="s">
        <v>85</v>
      </c>
      <c r="EN201">
        <v>1001</v>
      </c>
      <c r="EO201" t="s">
        <v>86</v>
      </c>
      <c r="EP201">
        <v>2.5890000000000002E-3</v>
      </c>
      <c r="EQ201" t="s">
        <v>74</v>
      </c>
      <c r="ER201">
        <v>2.5891000000000002</v>
      </c>
      <c r="ES201" t="s">
        <v>75</v>
      </c>
      <c r="ET201">
        <v>2589.1</v>
      </c>
      <c r="EU201" t="s">
        <v>76</v>
      </c>
      <c r="EV201" t="s">
        <v>82</v>
      </c>
      <c r="EW201">
        <v>386.23456190000002</v>
      </c>
      <c r="EZ201" t="s">
        <v>498</v>
      </c>
      <c r="FA201" t="s">
        <v>85</v>
      </c>
      <c r="FB201">
        <v>1001</v>
      </c>
      <c r="FC201" t="s">
        <v>86</v>
      </c>
      <c r="FD201">
        <v>4.1159999999999999E-3</v>
      </c>
      <c r="FE201" t="s">
        <v>74</v>
      </c>
      <c r="FF201">
        <v>4.1156800000000002</v>
      </c>
      <c r="FG201" t="s">
        <v>75</v>
      </c>
      <c r="FH201">
        <v>4115.6809999999996</v>
      </c>
      <c r="FI201" t="s">
        <v>76</v>
      </c>
      <c r="FJ201" t="s">
        <v>82</v>
      </c>
      <c r="FK201">
        <v>242.97317949999999</v>
      </c>
    </row>
    <row r="203" spans="127:167" x14ac:dyDescent="0.3">
      <c r="DW203">
        <v>13</v>
      </c>
      <c r="DX203" t="s">
        <v>536</v>
      </c>
      <c r="EK203">
        <v>13</v>
      </c>
      <c r="EL203" t="s">
        <v>536</v>
      </c>
      <c r="EY203">
        <v>13</v>
      </c>
      <c r="EZ203" t="s">
        <v>536</v>
      </c>
    </row>
    <row r="204" spans="127:167" x14ac:dyDescent="0.3">
      <c r="DX204" t="s">
        <v>496</v>
      </c>
      <c r="DY204" t="s">
        <v>72</v>
      </c>
      <c r="DZ204">
        <v>1</v>
      </c>
      <c r="EA204" t="s">
        <v>81</v>
      </c>
      <c r="EB204">
        <v>0.33038800000000001</v>
      </c>
      <c r="EC204" t="s">
        <v>74</v>
      </c>
      <c r="ED204">
        <v>330.38758999999999</v>
      </c>
      <c r="EE204" t="s">
        <v>75</v>
      </c>
      <c r="EF204">
        <v>330387.592</v>
      </c>
      <c r="EG204" t="s">
        <v>76</v>
      </c>
      <c r="EH204" t="s">
        <v>82</v>
      </c>
      <c r="EI204">
        <v>3.026748</v>
      </c>
      <c r="EL204" t="s">
        <v>496</v>
      </c>
      <c r="EM204" t="s">
        <v>72</v>
      </c>
      <c r="EN204">
        <v>1</v>
      </c>
      <c r="EO204" t="s">
        <v>81</v>
      </c>
      <c r="EP204">
        <v>0.38047900000000001</v>
      </c>
      <c r="EQ204" t="s">
        <v>74</v>
      </c>
      <c r="ER204">
        <v>380.47870999999998</v>
      </c>
      <c r="ES204" t="s">
        <v>75</v>
      </c>
      <c r="ET204">
        <v>380478.71</v>
      </c>
      <c r="EU204" t="s">
        <v>76</v>
      </c>
      <c r="EV204" t="s">
        <v>82</v>
      </c>
      <c r="EW204">
        <v>2.6282679999999998</v>
      </c>
      <c r="EZ204" t="s">
        <v>496</v>
      </c>
      <c r="FA204" t="s">
        <v>72</v>
      </c>
      <c r="FB204">
        <v>1</v>
      </c>
      <c r="FC204" t="s">
        <v>81</v>
      </c>
      <c r="FD204">
        <v>0.33420499999999997</v>
      </c>
      <c r="FE204" t="s">
        <v>74</v>
      </c>
      <c r="FF204">
        <v>334.20539000000002</v>
      </c>
      <c r="FG204" t="s">
        <v>75</v>
      </c>
      <c r="FH204">
        <v>334205.38900000002</v>
      </c>
      <c r="FI204" t="s">
        <v>76</v>
      </c>
      <c r="FJ204" t="s">
        <v>82</v>
      </c>
      <c r="FK204">
        <v>2.9921720000000001</v>
      </c>
    </row>
    <row r="205" spans="127:167" x14ac:dyDescent="0.3">
      <c r="DX205" t="s">
        <v>496</v>
      </c>
      <c r="DY205" t="s">
        <v>83</v>
      </c>
      <c r="DZ205">
        <v>596</v>
      </c>
      <c r="EA205" t="s">
        <v>81</v>
      </c>
      <c r="EB205">
        <v>4.4559999999999999E-3</v>
      </c>
      <c r="EC205" t="s">
        <v>74</v>
      </c>
      <c r="ED205">
        <v>4.4561299999999999</v>
      </c>
      <c r="EE205" t="s">
        <v>75</v>
      </c>
      <c r="EF205">
        <v>4456.1319999999996</v>
      </c>
      <c r="EG205" t="s">
        <v>76</v>
      </c>
      <c r="EH205" t="s">
        <v>82</v>
      </c>
      <c r="EI205">
        <v>224.409887</v>
      </c>
      <c r="EL205" t="s">
        <v>496</v>
      </c>
      <c r="EM205" t="s">
        <v>83</v>
      </c>
      <c r="EN205">
        <v>491</v>
      </c>
      <c r="EO205" t="s">
        <v>81</v>
      </c>
      <c r="EP205">
        <v>4.4669999999999996E-3</v>
      </c>
      <c r="EQ205" t="s">
        <v>74</v>
      </c>
      <c r="ER205">
        <v>4.4674500000000004</v>
      </c>
      <c r="ES205" t="s">
        <v>75</v>
      </c>
      <c r="ET205">
        <v>4467.4470000000001</v>
      </c>
      <c r="EU205" t="s">
        <v>76</v>
      </c>
      <c r="EV205" t="s">
        <v>82</v>
      </c>
      <c r="EW205">
        <v>223.8415143</v>
      </c>
      <c r="EZ205" t="s">
        <v>496</v>
      </c>
      <c r="FA205" t="s">
        <v>83</v>
      </c>
      <c r="FB205">
        <v>567</v>
      </c>
      <c r="FC205" t="s">
        <v>81</v>
      </c>
      <c r="FD205">
        <v>4.7790000000000003E-3</v>
      </c>
      <c r="FE205" t="s">
        <v>74</v>
      </c>
      <c r="FF205">
        <v>4.7790299999999997</v>
      </c>
      <c r="FG205" t="s">
        <v>75</v>
      </c>
      <c r="FH205">
        <v>4779.027</v>
      </c>
      <c r="FI205" t="s">
        <v>76</v>
      </c>
      <c r="FJ205" t="s">
        <v>82</v>
      </c>
      <c r="FK205">
        <v>209.24760359999999</v>
      </c>
    </row>
    <row r="206" spans="127:167" x14ac:dyDescent="0.3">
      <c r="DX206" t="s">
        <v>496</v>
      </c>
      <c r="DY206" t="s">
        <v>84</v>
      </c>
      <c r="DZ206">
        <v>597</v>
      </c>
      <c r="EA206" t="s">
        <v>81</v>
      </c>
      <c r="EB206">
        <v>5.0020000000000004E-3</v>
      </c>
      <c r="EC206" t="s">
        <v>74</v>
      </c>
      <c r="ED206">
        <v>5.0020800000000003</v>
      </c>
      <c r="EE206" t="s">
        <v>75</v>
      </c>
      <c r="EF206">
        <v>5002.0820000000003</v>
      </c>
      <c r="EG206" t="s">
        <v>76</v>
      </c>
      <c r="EH206" t="s">
        <v>82</v>
      </c>
      <c r="EI206">
        <v>199.91675090000001</v>
      </c>
      <c r="EL206" t="s">
        <v>496</v>
      </c>
      <c r="EM206" t="s">
        <v>84</v>
      </c>
      <c r="EN206">
        <v>492</v>
      </c>
      <c r="EO206" t="s">
        <v>81</v>
      </c>
      <c r="EP206">
        <v>5.2319999999999997E-3</v>
      </c>
      <c r="EQ206" t="s">
        <v>74</v>
      </c>
      <c r="ER206">
        <v>5.2317</v>
      </c>
      <c r="ES206" t="s">
        <v>75</v>
      </c>
      <c r="ET206">
        <v>5231.7</v>
      </c>
      <c r="EU206" t="s">
        <v>76</v>
      </c>
      <c r="EV206" t="s">
        <v>82</v>
      </c>
      <c r="EW206">
        <v>191.14244780000001</v>
      </c>
      <c r="EZ206" t="s">
        <v>496</v>
      </c>
      <c r="FA206" t="s">
        <v>84</v>
      </c>
      <c r="FB206">
        <v>568</v>
      </c>
      <c r="FC206" t="s">
        <v>81</v>
      </c>
      <c r="FD206">
        <v>5.359E-3</v>
      </c>
      <c r="FE206" t="s">
        <v>74</v>
      </c>
      <c r="FF206">
        <v>5.359</v>
      </c>
      <c r="FG206" t="s">
        <v>75</v>
      </c>
      <c r="FH206">
        <v>5359.0050000000001</v>
      </c>
      <c r="FI206" t="s">
        <v>76</v>
      </c>
      <c r="FJ206" t="s">
        <v>82</v>
      </c>
      <c r="FK206">
        <v>186.60182130000001</v>
      </c>
    </row>
    <row r="207" spans="127:167" x14ac:dyDescent="0.3">
      <c r="DX207" t="s">
        <v>497</v>
      </c>
      <c r="DY207" t="s">
        <v>72</v>
      </c>
      <c r="DZ207">
        <v>1</v>
      </c>
      <c r="EA207" t="s">
        <v>81</v>
      </c>
      <c r="EB207">
        <v>0.12785099999999999</v>
      </c>
      <c r="EC207" t="s">
        <v>74</v>
      </c>
      <c r="ED207">
        <v>127.85061</v>
      </c>
      <c r="EE207" t="s">
        <v>75</v>
      </c>
      <c r="EF207">
        <v>127850.607</v>
      </c>
      <c r="EG207" t="s">
        <v>76</v>
      </c>
      <c r="EH207" t="s">
        <v>82</v>
      </c>
      <c r="EI207">
        <v>7.8216289000000003</v>
      </c>
      <c r="EL207" t="s">
        <v>497</v>
      </c>
      <c r="EM207" t="s">
        <v>72</v>
      </c>
      <c r="EN207">
        <v>1</v>
      </c>
      <c r="EO207" t="s">
        <v>81</v>
      </c>
      <c r="EP207">
        <v>0.12463100000000001</v>
      </c>
      <c r="EQ207" t="s">
        <v>74</v>
      </c>
      <c r="ER207">
        <v>124.6313</v>
      </c>
      <c r="ES207" t="s">
        <v>75</v>
      </c>
      <c r="ET207">
        <v>124631.30100000001</v>
      </c>
      <c r="EU207" t="s">
        <v>76</v>
      </c>
      <c r="EV207" t="s">
        <v>82</v>
      </c>
      <c r="EW207">
        <v>8.0236666000000003</v>
      </c>
      <c r="EZ207" t="s">
        <v>497</v>
      </c>
      <c r="FA207" t="s">
        <v>72</v>
      </c>
      <c r="FB207">
        <v>1</v>
      </c>
      <c r="FC207" t="s">
        <v>81</v>
      </c>
      <c r="FD207">
        <v>0.128913</v>
      </c>
      <c r="FE207" t="s">
        <v>74</v>
      </c>
      <c r="FF207">
        <v>128.9127</v>
      </c>
      <c r="FG207" t="s">
        <v>75</v>
      </c>
      <c r="FH207">
        <v>128912.702</v>
      </c>
      <c r="FI207" t="s">
        <v>76</v>
      </c>
      <c r="FJ207" t="s">
        <v>82</v>
      </c>
      <c r="FK207">
        <v>7.7571874999999997</v>
      </c>
    </row>
    <row r="208" spans="127:167" x14ac:dyDescent="0.3">
      <c r="DX208" t="s">
        <v>497</v>
      </c>
      <c r="DY208" t="s">
        <v>83</v>
      </c>
      <c r="DZ208">
        <v>403</v>
      </c>
      <c r="EA208" t="s">
        <v>81</v>
      </c>
      <c r="EB208">
        <v>7.0590000000000002E-3</v>
      </c>
      <c r="EC208" t="s">
        <v>74</v>
      </c>
      <c r="ED208">
        <v>7.0590599999999997</v>
      </c>
      <c r="EE208" t="s">
        <v>75</v>
      </c>
      <c r="EF208">
        <v>7059.0569999999998</v>
      </c>
      <c r="EG208" t="s">
        <v>76</v>
      </c>
      <c r="EH208" t="s">
        <v>82</v>
      </c>
      <c r="EI208">
        <v>141.66198</v>
      </c>
      <c r="EL208" t="s">
        <v>497</v>
      </c>
      <c r="EM208" t="s">
        <v>83</v>
      </c>
      <c r="EN208">
        <v>508</v>
      </c>
      <c r="EO208" t="s">
        <v>81</v>
      </c>
      <c r="EP208">
        <v>4.8300000000000001E-3</v>
      </c>
      <c r="EQ208" t="s">
        <v>74</v>
      </c>
      <c r="ER208">
        <v>4.8299099999999999</v>
      </c>
      <c r="ES208" t="s">
        <v>75</v>
      </c>
      <c r="ET208">
        <v>4829.91</v>
      </c>
      <c r="EU208" t="s">
        <v>76</v>
      </c>
      <c r="EV208" t="s">
        <v>82</v>
      </c>
      <c r="EW208">
        <v>207.04318140000001</v>
      </c>
      <c r="EZ208" t="s">
        <v>497</v>
      </c>
      <c r="FA208" t="s">
        <v>83</v>
      </c>
      <c r="FB208">
        <v>432</v>
      </c>
      <c r="FC208" t="s">
        <v>81</v>
      </c>
      <c r="FD208">
        <v>6.7479999999999997E-3</v>
      </c>
      <c r="FE208" t="s">
        <v>74</v>
      </c>
      <c r="FF208">
        <v>6.7479899999999997</v>
      </c>
      <c r="FG208" t="s">
        <v>75</v>
      </c>
      <c r="FH208">
        <v>6747.9920000000002</v>
      </c>
      <c r="FI208" t="s">
        <v>76</v>
      </c>
      <c r="FJ208" t="s">
        <v>82</v>
      </c>
      <c r="FK208">
        <v>148.1922337</v>
      </c>
    </row>
    <row r="209" spans="128:167" x14ac:dyDescent="0.3">
      <c r="DX209" t="s">
        <v>497</v>
      </c>
      <c r="DY209" t="s">
        <v>84</v>
      </c>
      <c r="DZ209">
        <v>404</v>
      </c>
      <c r="EA209" t="s">
        <v>81</v>
      </c>
      <c r="EB209">
        <v>7.358E-3</v>
      </c>
      <c r="EC209" t="s">
        <v>74</v>
      </c>
      <c r="ED209">
        <v>7.3580500000000004</v>
      </c>
      <c r="EE209" t="s">
        <v>75</v>
      </c>
      <c r="EF209">
        <v>7358.0460000000003</v>
      </c>
      <c r="EG209" t="s">
        <v>76</v>
      </c>
      <c r="EH209" t="s">
        <v>82</v>
      </c>
      <c r="EI209">
        <v>135.90564929999999</v>
      </c>
      <c r="EL209" t="s">
        <v>497</v>
      </c>
      <c r="EM209" t="s">
        <v>84</v>
      </c>
      <c r="EN209">
        <v>509</v>
      </c>
      <c r="EO209" t="s">
        <v>81</v>
      </c>
      <c r="EP209">
        <v>5.0650000000000001E-3</v>
      </c>
      <c r="EQ209" t="s">
        <v>74</v>
      </c>
      <c r="ER209">
        <v>5.0652799999999996</v>
      </c>
      <c r="ES209" t="s">
        <v>75</v>
      </c>
      <c r="ET209">
        <v>5065.2759999999998</v>
      </c>
      <c r="EU209" t="s">
        <v>76</v>
      </c>
      <c r="EV209" t="s">
        <v>82</v>
      </c>
      <c r="EW209">
        <v>197.42259849999999</v>
      </c>
      <c r="EZ209" t="s">
        <v>497</v>
      </c>
      <c r="FA209" t="s">
        <v>84</v>
      </c>
      <c r="FB209">
        <v>433</v>
      </c>
      <c r="FC209" t="s">
        <v>81</v>
      </c>
      <c r="FD209">
        <v>7.0299999999999998E-3</v>
      </c>
      <c r="FE209" t="s">
        <v>74</v>
      </c>
      <c r="FF209">
        <v>7.0301299999999998</v>
      </c>
      <c r="FG209" t="s">
        <v>75</v>
      </c>
      <c r="FH209">
        <v>7030.1289999999999</v>
      </c>
      <c r="FI209" t="s">
        <v>76</v>
      </c>
      <c r="FJ209" t="s">
        <v>82</v>
      </c>
      <c r="FK209">
        <v>142.24489729999999</v>
      </c>
    </row>
    <row r="210" spans="128:167" x14ac:dyDescent="0.3">
      <c r="DX210" t="s">
        <v>498</v>
      </c>
      <c r="DY210" t="s">
        <v>72</v>
      </c>
      <c r="DZ210">
        <v>2</v>
      </c>
      <c r="EA210" t="s">
        <v>86</v>
      </c>
      <c r="EB210">
        <v>0.165219</v>
      </c>
      <c r="EC210" t="s">
        <v>74</v>
      </c>
      <c r="ED210">
        <v>165.21895000000001</v>
      </c>
      <c r="EE210" t="s">
        <v>75</v>
      </c>
      <c r="EF210">
        <v>165218.94899999999</v>
      </c>
      <c r="EG210" t="s">
        <v>76</v>
      </c>
      <c r="EH210" t="s">
        <v>82</v>
      </c>
      <c r="EI210">
        <v>6.0525745000000004</v>
      </c>
      <c r="EL210" t="s">
        <v>498</v>
      </c>
      <c r="EM210" t="s">
        <v>72</v>
      </c>
      <c r="EN210">
        <v>2</v>
      </c>
      <c r="EO210" t="s">
        <v>86</v>
      </c>
      <c r="EP210">
        <v>0.19026000000000001</v>
      </c>
      <c r="EQ210" t="s">
        <v>74</v>
      </c>
      <c r="ER210">
        <v>190.25995</v>
      </c>
      <c r="ES210" t="s">
        <v>75</v>
      </c>
      <c r="ET210">
        <v>190259.948</v>
      </c>
      <c r="EU210" t="s">
        <v>76</v>
      </c>
      <c r="EV210" t="s">
        <v>82</v>
      </c>
      <c r="EW210">
        <v>5.2559668999999998</v>
      </c>
      <c r="EZ210" t="s">
        <v>498</v>
      </c>
      <c r="FA210" t="s">
        <v>72</v>
      </c>
      <c r="FB210">
        <v>2</v>
      </c>
      <c r="FC210" t="s">
        <v>86</v>
      </c>
      <c r="FD210">
        <v>0.16712399999999999</v>
      </c>
      <c r="FE210" t="s">
        <v>74</v>
      </c>
      <c r="FF210">
        <v>167.12356</v>
      </c>
      <c r="FG210" t="s">
        <v>75</v>
      </c>
      <c r="FH210">
        <v>167123.55600000001</v>
      </c>
      <c r="FI210" t="s">
        <v>76</v>
      </c>
      <c r="FJ210" t="s">
        <v>82</v>
      </c>
      <c r="FK210">
        <v>5.9835969000000002</v>
      </c>
    </row>
    <row r="211" spans="128:167" x14ac:dyDescent="0.3">
      <c r="DX211" t="s">
        <v>498</v>
      </c>
      <c r="DY211" t="s">
        <v>83</v>
      </c>
      <c r="DZ211">
        <v>999</v>
      </c>
      <c r="EA211" t="s">
        <v>86</v>
      </c>
      <c r="EB211">
        <v>2.869E-3</v>
      </c>
      <c r="EC211" t="s">
        <v>74</v>
      </c>
      <c r="ED211">
        <v>2.8694799999999998</v>
      </c>
      <c r="EE211" t="s">
        <v>75</v>
      </c>
      <c r="EF211">
        <v>2869.4789999999998</v>
      </c>
      <c r="EG211" t="s">
        <v>76</v>
      </c>
      <c r="EH211" t="s">
        <v>82</v>
      </c>
      <c r="EI211">
        <v>348.49534180000001</v>
      </c>
      <c r="EL211" t="s">
        <v>498</v>
      </c>
      <c r="EM211" t="s">
        <v>83</v>
      </c>
      <c r="EN211">
        <v>999</v>
      </c>
      <c r="EO211" t="s">
        <v>86</v>
      </c>
      <c r="EP211">
        <v>2.4689999999999998E-3</v>
      </c>
      <c r="EQ211" t="s">
        <v>74</v>
      </c>
      <c r="ER211">
        <v>2.4685600000000001</v>
      </c>
      <c r="ES211" t="s">
        <v>75</v>
      </c>
      <c r="ET211">
        <v>2468.556</v>
      </c>
      <c r="EU211" t="s">
        <v>76</v>
      </c>
      <c r="EV211" t="s">
        <v>82</v>
      </c>
      <c r="EW211">
        <v>405.09518050000003</v>
      </c>
      <c r="EZ211" t="s">
        <v>498</v>
      </c>
      <c r="FA211" t="s">
        <v>83</v>
      </c>
      <c r="FB211">
        <v>999</v>
      </c>
      <c r="FC211" t="s">
        <v>86</v>
      </c>
      <c r="FD211">
        <v>2.934E-3</v>
      </c>
      <c r="FE211" t="s">
        <v>74</v>
      </c>
      <c r="FF211">
        <v>2.93425</v>
      </c>
      <c r="FG211" t="s">
        <v>75</v>
      </c>
      <c r="FH211">
        <v>2934.2539999999999</v>
      </c>
      <c r="FI211" t="s">
        <v>76</v>
      </c>
      <c r="FJ211" t="s">
        <v>82</v>
      </c>
      <c r="FK211">
        <v>340.80207380000002</v>
      </c>
    </row>
    <row r="212" spans="128:167" x14ac:dyDescent="0.3">
      <c r="DX212" t="s">
        <v>498</v>
      </c>
      <c r="DY212" t="s">
        <v>85</v>
      </c>
      <c r="DZ212">
        <v>1001</v>
      </c>
      <c r="EA212" t="s">
        <v>86</v>
      </c>
      <c r="EB212">
        <v>2.9949999999999998E-3</v>
      </c>
      <c r="EC212" t="s">
        <v>74</v>
      </c>
      <c r="ED212">
        <v>2.9952299999999998</v>
      </c>
      <c r="EE212" t="s">
        <v>75</v>
      </c>
      <c r="EF212">
        <v>2995.2339999999999</v>
      </c>
      <c r="EG212" t="s">
        <v>76</v>
      </c>
      <c r="EH212" t="s">
        <v>82</v>
      </c>
      <c r="EI212">
        <v>333.86372799999998</v>
      </c>
      <c r="EL212" t="s">
        <v>498</v>
      </c>
      <c r="EM212" t="s">
        <v>85</v>
      </c>
      <c r="EN212">
        <v>1001</v>
      </c>
      <c r="EO212" t="s">
        <v>86</v>
      </c>
      <c r="EP212">
        <v>2.591E-3</v>
      </c>
      <c r="EQ212" t="s">
        <v>74</v>
      </c>
      <c r="ER212">
        <v>2.5913499999999998</v>
      </c>
      <c r="ES212" t="s">
        <v>75</v>
      </c>
      <c r="ET212">
        <v>2591.35</v>
      </c>
      <c r="EU212" t="s">
        <v>76</v>
      </c>
      <c r="EV212" t="s">
        <v>82</v>
      </c>
      <c r="EW212">
        <v>385.89926229999998</v>
      </c>
      <c r="EZ212" t="s">
        <v>498</v>
      </c>
      <c r="FA212" t="s">
        <v>85</v>
      </c>
      <c r="FB212">
        <v>1001</v>
      </c>
      <c r="FC212" t="s">
        <v>86</v>
      </c>
      <c r="FD212">
        <v>3.0609999999999999E-3</v>
      </c>
      <c r="FE212" t="s">
        <v>74</v>
      </c>
      <c r="FF212">
        <v>3.0610200000000001</v>
      </c>
      <c r="FG212" t="s">
        <v>75</v>
      </c>
      <c r="FH212">
        <v>3061.02</v>
      </c>
      <c r="FI212" t="s">
        <v>76</v>
      </c>
      <c r="FJ212" t="s">
        <v>82</v>
      </c>
      <c r="FK212">
        <v>326.68844569999999</v>
      </c>
    </row>
    <row r="214" spans="128:167" x14ac:dyDescent="0.3">
      <c r="DX214" t="s">
        <v>537</v>
      </c>
      <c r="EL214" t="s">
        <v>537</v>
      </c>
      <c r="EZ214" t="s">
        <v>537</v>
      </c>
    </row>
    <row r="215" spans="128:167" x14ac:dyDescent="0.3">
      <c r="DX215" t="s">
        <v>496</v>
      </c>
      <c r="DY215" t="s">
        <v>72</v>
      </c>
      <c r="DZ215">
        <v>1</v>
      </c>
      <c r="EA215" t="s">
        <v>81</v>
      </c>
      <c r="EB215">
        <v>8.9519999999999999E-3</v>
      </c>
      <c r="EC215" t="s">
        <v>74</v>
      </c>
      <c r="ED215">
        <v>8.9518000000000004</v>
      </c>
      <c r="EE215" t="s">
        <v>75</v>
      </c>
      <c r="EF215">
        <v>8951.7999999999993</v>
      </c>
      <c r="EG215" t="s">
        <v>76</v>
      </c>
      <c r="EH215" t="s">
        <v>82</v>
      </c>
      <c r="EI215">
        <v>111.7093776</v>
      </c>
      <c r="EL215" t="s">
        <v>496</v>
      </c>
      <c r="EM215" t="s">
        <v>72</v>
      </c>
      <c r="EN215">
        <v>1</v>
      </c>
      <c r="EO215" t="s">
        <v>81</v>
      </c>
      <c r="EP215">
        <v>2.7732E-2</v>
      </c>
      <c r="EQ215" t="s">
        <v>74</v>
      </c>
      <c r="ER215">
        <v>27.7317</v>
      </c>
      <c r="ES215" t="s">
        <v>75</v>
      </c>
      <c r="ET215">
        <v>27731.7</v>
      </c>
      <c r="EU215" t="s">
        <v>76</v>
      </c>
      <c r="EV215" t="s">
        <v>82</v>
      </c>
      <c r="EW215">
        <v>36.0598162</v>
      </c>
      <c r="EZ215" t="s">
        <v>496</v>
      </c>
      <c r="FA215" t="s">
        <v>72</v>
      </c>
      <c r="FB215">
        <v>1</v>
      </c>
      <c r="FC215" t="s">
        <v>81</v>
      </c>
      <c r="FD215">
        <v>2.0247000000000001E-2</v>
      </c>
      <c r="FE215" t="s">
        <v>74</v>
      </c>
      <c r="FF215">
        <v>20.247</v>
      </c>
      <c r="FG215" t="s">
        <v>75</v>
      </c>
      <c r="FH215">
        <v>20246.999</v>
      </c>
      <c r="FI215" t="s">
        <v>76</v>
      </c>
      <c r="FJ215" t="s">
        <v>82</v>
      </c>
      <c r="FK215">
        <v>49.390034700000001</v>
      </c>
    </row>
    <row r="216" spans="128:167" x14ac:dyDescent="0.3">
      <c r="DX216" t="s">
        <v>496</v>
      </c>
      <c r="DY216" t="s">
        <v>83</v>
      </c>
      <c r="DZ216">
        <v>632</v>
      </c>
      <c r="EA216" t="s">
        <v>81</v>
      </c>
      <c r="EB216">
        <v>5.1279999999999997E-3</v>
      </c>
      <c r="EC216" t="s">
        <v>74</v>
      </c>
      <c r="ED216">
        <v>5.12812</v>
      </c>
      <c r="EE216" t="s">
        <v>75</v>
      </c>
      <c r="EF216">
        <v>5128.1170000000002</v>
      </c>
      <c r="EG216" t="s">
        <v>76</v>
      </c>
      <c r="EH216" t="s">
        <v>82</v>
      </c>
      <c r="EI216">
        <v>195.003354</v>
      </c>
      <c r="EL216" t="s">
        <v>496</v>
      </c>
      <c r="EM216" t="s">
        <v>83</v>
      </c>
      <c r="EN216">
        <v>291</v>
      </c>
      <c r="EO216" t="s">
        <v>81</v>
      </c>
      <c r="EP216">
        <v>8.3330000000000001E-3</v>
      </c>
      <c r="EQ216" t="s">
        <v>74</v>
      </c>
      <c r="ER216">
        <v>8.3334899999999994</v>
      </c>
      <c r="ES216" t="s">
        <v>75</v>
      </c>
      <c r="ET216">
        <v>8333.4889999999996</v>
      </c>
      <c r="EU216" t="s">
        <v>76</v>
      </c>
      <c r="EV216" t="s">
        <v>82</v>
      </c>
      <c r="EW216">
        <v>119.99776079999999</v>
      </c>
      <c r="EZ216" t="s">
        <v>496</v>
      </c>
      <c r="FA216" t="s">
        <v>83</v>
      </c>
      <c r="FB216">
        <v>623</v>
      </c>
      <c r="FC216" t="s">
        <v>81</v>
      </c>
      <c r="FD216">
        <v>5.228E-3</v>
      </c>
      <c r="FE216" t="s">
        <v>74</v>
      </c>
      <c r="FF216">
        <v>5.2278500000000001</v>
      </c>
      <c r="FG216" t="s">
        <v>75</v>
      </c>
      <c r="FH216">
        <v>5227.8469999999998</v>
      </c>
      <c r="FI216" t="s">
        <v>76</v>
      </c>
      <c r="FJ216" t="s">
        <v>82</v>
      </c>
      <c r="FK216">
        <v>191.28334559999999</v>
      </c>
    </row>
    <row r="217" spans="128:167" x14ac:dyDescent="0.3">
      <c r="DX217" t="s">
        <v>496</v>
      </c>
      <c r="DY217" t="s">
        <v>84</v>
      </c>
      <c r="DZ217">
        <v>633</v>
      </c>
      <c r="EA217" t="s">
        <v>81</v>
      </c>
      <c r="EB217">
        <v>5.1339999999999997E-3</v>
      </c>
      <c r="EC217" t="s">
        <v>74</v>
      </c>
      <c r="ED217">
        <v>5.1341599999999996</v>
      </c>
      <c r="EE217" t="s">
        <v>75</v>
      </c>
      <c r="EF217">
        <v>5134.1580000000004</v>
      </c>
      <c r="EG217" t="s">
        <v>76</v>
      </c>
      <c r="EH217" t="s">
        <v>82</v>
      </c>
      <c r="EI217">
        <v>194.77391739999999</v>
      </c>
      <c r="EL217" t="s">
        <v>496</v>
      </c>
      <c r="EM217" t="s">
        <v>84</v>
      </c>
      <c r="EN217">
        <v>292</v>
      </c>
      <c r="EO217" t="s">
        <v>81</v>
      </c>
      <c r="EP217">
        <v>8.3999999999999995E-3</v>
      </c>
      <c r="EQ217" t="s">
        <v>74</v>
      </c>
      <c r="ER217">
        <v>8.3999199999999998</v>
      </c>
      <c r="ES217" t="s">
        <v>75</v>
      </c>
      <c r="ET217">
        <v>8399.9210000000003</v>
      </c>
      <c r="EU217" t="s">
        <v>76</v>
      </c>
      <c r="EV217" t="s">
        <v>82</v>
      </c>
      <c r="EW217">
        <v>119.04873980000001</v>
      </c>
      <c r="EZ217" t="s">
        <v>496</v>
      </c>
      <c r="FA217" t="s">
        <v>84</v>
      </c>
      <c r="FB217">
        <v>624</v>
      </c>
      <c r="FC217" t="s">
        <v>81</v>
      </c>
      <c r="FD217">
        <v>5.2519999999999997E-3</v>
      </c>
      <c r="FE217" t="s">
        <v>74</v>
      </c>
      <c r="FF217">
        <v>5.2519200000000001</v>
      </c>
      <c r="FG217" t="s">
        <v>75</v>
      </c>
      <c r="FH217">
        <v>5251.9160000000002</v>
      </c>
      <c r="FI217" t="s">
        <v>76</v>
      </c>
      <c r="FJ217" t="s">
        <v>82</v>
      </c>
      <c r="FK217">
        <v>190.4067087</v>
      </c>
    </row>
    <row r="218" spans="128:167" x14ac:dyDescent="0.3">
      <c r="DX218" t="s">
        <v>497</v>
      </c>
      <c r="DY218" t="s">
        <v>72</v>
      </c>
      <c r="DZ218">
        <v>1</v>
      </c>
      <c r="EA218" t="s">
        <v>81</v>
      </c>
      <c r="EB218">
        <v>5.8250000000000003E-3</v>
      </c>
      <c r="EC218" t="s">
        <v>74</v>
      </c>
      <c r="ED218">
        <v>5.8249000000000004</v>
      </c>
      <c r="EE218" t="s">
        <v>75</v>
      </c>
      <c r="EF218">
        <v>5824.9</v>
      </c>
      <c r="EG218" t="s">
        <v>76</v>
      </c>
      <c r="EH218" t="s">
        <v>82</v>
      </c>
      <c r="EI218">
        <v>171.6767601</v>
      </c>
      <c r="EL218" t="s">
        <v>497</v>
      </c>
      <c r="EM218" t="s">
        <v>72</v>
      </c>
      <c r="EN218">
        <v>1</v>
      </c>
      <c r="EO218" t="s">
        <v>81</v>
      </c>
      <c r="EP218">
        <v>5.9379999999999997E-3</v>
      </c>
      <c r="EQ218" t="s">
        <v>74</v>
      </c>
      <c r="ER218">
        <v>5.9378000000000002</v>
      </c>
      <c r="ES218" t="s">
        <v>75</v>
      </c>
      <c r="ET218">
        <v>5937.8</v>
      </c>
      <c r="EU218" t="s">
        <v>76</v>
      </c>
      <c r="EV218" t="s">
        <v>82</v>
      </c>
      <c r="EW218">
        <v>168.4125487</v>
      </c>
      <c r="EZ218" t="s">
        <v>497</v>
      </c>
      <c r="FA218" t="s">
        <v>72</v>
      </c>
      <c r="FB218">
        <v>1</v>
      </c>
      <c r="FC218" t="s">
        <v>81</v>
      </c>
      <c r="FD218">
        <v>6.3870000000000003E-3</v>
      </c>
      <c r="FE218" t="s">
        <v>74</v>
      </c>
      <c r="FF218">
        <v>6.3872999999999998</v>
      </c>
      <c r="FG218" t="s">
        <v>75</v>
      </c>
      <c r="FH218">
        <v>6387.3</v>
      </c>
      <c r="FI218" t="s">
        <v>76</v>
      </c>
      <c r="FJ218" t="s">
        <v>82</v>
      </c>
      <c r="FK218">
        <v>156.56067859999999</v>
      </c>
    </row>
    <row r="219" spans="128:167" x14ac:dyDescent="0.3">
      <c r="DX219" t="s">
        <v>497</v>
      </c>
      <c r="DY219" t="s">
        <v>83</v>
      </c>
      <c r="DZ219">
        <v>367</v>
      </c>
      <c r="EA219" t="s">
        <v>81</v>
      </c>
      <c r="EB219">
        <v>8.8599999999999998E-3</v>
      </c>
      <c r="EC219" t="s">
        <v>74</v>
      </c>
      <c r="ED219">
        <v>8.8596800000000009</v>
      </c>
      <c r="EE219" t="s">
        <v>75</v>
      </c>
      <c r="EF219">
        <v>8859.68</v>
      </c>
      <c r="EG219" t="s">
        <v>76</v>
      </c>
      <c r="EH219" t="s">
        <v>82</v>
      </c>
      <c r="EI219">
        <v>112.87089539999999</v>
      </c>
      <c r="EL219" t="s">
        <v>497</v>
      </c>
      <c r="EM219" t="s">
        <v>83</v>
      </c>
      <c r="EN219">
        <v>708</v>
      </c>
      <c r="EO219" t="s">
        <v>81</v>
      </c>
      <c r="EP219">
        <v>3.4199999999999999E-3</v>
      </c>
      <c r="EQ219" t="s">
        <v>74</v>
      </c>
      <c r="ER219">
        <v>3.4199600000000001</v>
      </c>
      <c r="ES219" t="s">
        <v>75</v>
      </c>
      <c r="ET219">
        <v>3419.9609999999998</v>
      </c>
      <c r="EU219" t="s">
        <v>76</v>
      </c>
      <c r="EV219" t="s">
        <v>82</v>
      </c>
      <c r="EW219">
        <v>292.4009987</v>
      </c>
      <c r="EZ219" t="s">
        <v>497</v>
      </c>
      <c r="FA219" t="s">
        <v>83</v>
      </c>
      <c r="FB219">
        <v>376</v>
      </c>
      <c r="FC219" t="s">
        <v>81</v>
      </c>
      <c r="FD219">
        <v>8.6770000000000007E-3</v>
      </c>
      <c r="FE219" t="s">
        <v>74</v>
      </c>
      <c r="FF219">
        <v>8.6771799999999999</v>
      </c>
      <c r="FG219" t="s">
        <v>75</v>
      </c>
      <c r="FH219">
        <v>8677.1849999999995</v>
      </c>
      <c r="FI219" t="s">
        <v>76</v>
      </c>
      <c r="FJ219" t="s">
        <v>82</v>
      </c>
      <c r="FK219">
        <v>115.2447537</v>
      </c>
    </row>
    <row r="220" spans="128:167" x14ac:dyDescent="0.3">
      <c r="DX220" t="s">
        <v>497</v>
      </c>
      <c r="DY220" t="s">
        <v>84</v>
      </c>
      <c r="DZ220">
        <v>368</v>
      </c>
      <c r="EA220" t="s">
        <v>81</v>
      </c>
      <c r="EB220">
        <v>8.8509999999999995E-3</v>
      </c>
      <c r="EC220" t="s">
        <v>74</v>
      </c>
      <c r="ED220">
        <v>8.8514300000000006</v>
      </c>
      <c r="EE220" t="s">
        <v>75</v>
      </c>
      <c r="EF220">
        <v>8851.4339999999993</v>
      </c>
      <c r="EG220" t="s">
        <v>76</v>
      </c>
      <c r="EH220" t="s">
        <v>82</v>
      </c>
      <c r="EI220">
        <v>112.9760497</v>
      </c>
      <c r="EL220" t="s">
        <v>497</v>
      </c>
      <c r="EM220" t="s">
        <v>84</v>
      </c>
      <c r="EN220">
        <v>709</v>
      </c>
      <c r="EO220" t="s">
        <v>81</v>
      </c>
      <c r="EP220">
        <v>3.424E-3</v>
      </c>
      <c r="EQ220" t="s">
        <v>74</v>
      </c>
      <c r="ER220">
        <v>3.4235099999999998</v>
      </c>
      <c r="ES220" t="s">
        <v>75</v>
      </c>
      <c r="ET220">
        <v>3423.5129999999999</v>
      </c>
      <c r="EU220" t="s">
        <v>76</v>
      </c>
      <c r="EV220" t="s">
        <v>82</v>
      </c>
      <c r="EW220">
        <v>292.09765679999998</v>
      </c>
      <c r="EZ220" t="s">
        <v>497</v>
      </c>
      <c r="FA220" t="s">
        <v>84</v>
      </c>
      <c r="FB220">
        <v>377</v>
      </c>
      <c r="FC220" t="s">
        <v>81</v>
      </c>
      <c r="FD220">
        <v>8.6709999999999999E-3</v>
      </c>
      <c r="FE220" t="s">
        <v>74</v>
      </c>
      <c r="FF220">
        <v>8.6711100000000005</v>
      </c>
      <c r="FG220" t="s">
        <v>75</v>
      </c>
      <c r="FH220">
        <v>8671.11</v>
      </c>
      <c r="FI220" t="s">
        <v>76</v>
      </c>
      <c r="FJ220" t="s">
        <v>82</v>
      </c>
      <c r="FK220">
        <v>115.32548300000001</v>
      </c>
    </row>
    <row r="221" spans="128:167" x14ac:dyDescent="0.3">
      <c r="DX221" t="s">
        <v>498</v>
      </c>
      <c r="DY221" t="s">
        <v>72</v>
      </c>
      <c r="DZ221">
        <v>2</v>
      </c>
      <c r="EA221" t="s">
        <v>86</v>
      </c>
      <c r="EB221">
        <v>4.4790000000000003E-3</v>
      </c>
      <c r="EC221" t="s">
        <v>74</v>
      </c>
      <c r="ED221">
        <v>4.4790000000000001</v>
      </c>
      <c r="EE221" t="s">
        <v>75</v>
      </c>
      <c r="EF221">
        <v>4479</v>
      </c>
      <c r="EG221" t="s">
        <v>76</v>
      </c>
      <c r="EH221" t="s">
        <v>82</v>
      </c>
      <c r="EI221">
        <v>223.2641275</v>
      </c>
      <c r="EL221" t="s">
        <v>498</v>
      </c>
      <c r="EM221" t="s">
        <v>72</v>
      </c>
      <c r="EN221">
        <v>2</v>
      </c>
      <c r="EO221" t="s">
        <v>86</v>
      </c>
      <c r="EP221">
        <v>1.3868999999999999E-2</v>
      </c>
      <c r="EQ221" t="s">
        <v>74</v>
      </c>
      <c r="ER221">
        <v>13.869450000000001</v>
      </c>
      <c r="ES221" t="s">
        <v>75</v>
      </c>
      <c r="ET221">
        <v>13869.45</v>
      </c>
      <c r="EU221" t="s">
        <v>76</v>
      </c>
      <c r="EV221" t="s">
        <v>82</v>
      </c>
      <c r="EW221">
        <v>72.100910200000001</v>
      </c>
      <c r="EZ221" t="s">
        <v>498</v>
      </c>
      <c r="FA221" t="s">
        <v>72</v>
      </c>
      <c r="FB221">
        <v>2</v>
      </c>
      <c r="FC221" t="s">
        <v>86</v>
      </c>
      <c r="FD221">
        <v>1.0127000000000001E-2</v>
      </c>
      <c r="FE221" t="s">
        <v>74</v>
      </c>
      <c r="FF221">
        <v>10.1274</v>
      </c>
      <c r="FG221" t="s">
        <v>75</v>
      </c>
      <c r="FH221">
        <v>10127.4</v>
      </c>
      <c r="FI221" t="s">
        <v>76</v>
      </c>
      <c r="FJ221" t="s">
        <v>82</v>
      </c>
      <c r="FK221">
        <v>98.742026100000004</v>
      </c>
    </row>
    <row r="222" spans="128:167" x14ac:dyDescent="0.3">
      <c r="DX222" t="s">
        <v>498</v>
      </c>
      <c r="DY222" t="s">
        <v>83</v>
      </c>
      <c r="DZ222">
        <v>999</v>
      </c>
      <c r="EA222" t="s">
        <v>86</v>
      </c>
      <c r="EB222">
        <v>3.258E-3</v>
      </c>
      <c r="EC222" t="s">
        <v>74</v>
      </c>
      <c r="ED222">
        <v>3.2575599999999998</v>
      </c>
      <c r="EE222" t="s">
        <v>75</v>
      </c>
      <c r="EF222">
        <v>3257.558</v>
      </c>
      <c r="EG222" t="s">
        <v>76</v>
      </c>
      <c r="EH222" t="s">
        <v>82</v>
      </c>
      <c r="EI222">
        <v>306.9784032</v>
      </c>
      <c r="EL222" t="s">
        <v>498</v>
      </c>
      <c r="EM222" t="s">
        <v>83</v>
      </c>
      <c r="EN222">
        <v>999</v>
      </c>
      <c r="EO222" t="s">
        <v>86</v>
      </c>
      <c r="EP222">
        <v>2.4529999999999999E-3</v>
      </c>
      <c r="EQ222" t="s">
        <v>74</v>
      </c>
      <c r="ER222">
        <v>2.4532799999999999</v>
      </c>
      <c r="ES222" t="s">
        <v>75</v>
      </c>
      <c r="ET222">
        <v>2453.2779999999998</v>
      </c>
      <c r="EU222" t="s">
        <v>76</v>
      </c>
      <c r="EV222" t="s">
        <v>82</v>
      </c>
      <c r="EW222">
        <v>407.61780729999998</v>
      </c>
      <c r="EZ222" t="s">
        <v>498</v>
      </c>
      <c r="FA222" t="s">
        <v>83</v>
      </c>
      <c r="FB222">
        <v>999</v>
      </c>
      <c r="FC222" t="s">
        <v>86</v>
      </c>
      <c r="FD222">
        <v>3.2820000000000002E-3</v>
      </c>
      <c r="FE222" t="s">
        <v>74</v>
      </c>
      <c r="FF222">
        <v>3.2817099999999999</v>
      </c>
      <c r="FG222" t="s">
        <v>75</v>
      </c>
      <c r="FH222">
        <v>3281.712</v>
      </c>
      <c r="FI222" t="s">
        <v>76</v>
      </c>
      <c r="FJ222" t="s">
        <v>82</v>
      </c>
      <c r="FK222">
        <v>304.71896199999998</v>
      </c>
    </row>
    <row r="223" spans="128:167" x14ac:dyDescent="0.3">
      <c r="DX223" t="s">
        <v>498</v>
      </c>
      <c r="DY223" t="s">
        <v>85</v>
      </c>
      <c r="DZ223">
        <v>1001</v>
      </c>
      <c r="EA223" t="s">
        <v>86</v>
      </c>
      <c r="EB223">
        <v>3.264E-3</v>
      </c>
      <c r="EC223" t="s">
        <v>74</v>
      </c>
      <c r="ED223">
        <v>3.26396</v>
      </c>
      <c r="EE223" t="s">
        <v>75</v>
      </c>
      <c r="EF223">
        <v>3263.9589999999998</v>
      </c>
      <c r="EG223" t="s">
        <v>76</v>
      </c>
      <c r="EH223" t="s">
        <v>82</v>
      </c>
      <c r="EI223">
        <v>306.3764271</v>
      </c>
      <c r="EL223" t="s">
        <v>498</v>
      </c>
      <c r="EM223" t="s">
        <v>85</v>
      </c>
      <c r="EN223">
        <v>1001</v>
      </c>
      <c r="EO223" t="s">
        <v>86</v>
      </c>
      <c r="EP223">
        <v>2.457E-3</v>
      </c>
      <c r="EQ223" t="s">
        <v>74</v>
      </c>
      <c r="ER223">
        <v>2.45722</v>
      </c>
      <c r="ES223" t="s">
        <v>75</v>
      </c>
      <c r="ET223">
        <v>2457.2190000000001</v>
      </c>
      <c r="EU223" t="s">
        <v>76</v>
      </c>
      <c r="EV223" t="s">
        <v>82</v>
      </c>
      <c r="EW223">
        <v>406.96420419999998</v>
      </c>
      <c r="EZ223" t="s">
        <v>498</v>
      </c>
      <c r="FA223" t="s">
        <v>85</v>
      </c>
      <c r="FB223">
        <v>1001</v>
      </c>
      <c r="FC223" t="s">
        <v>86</v>
      </c>
      <c r="FD223">
        <v>3.2859999999999999E-3</v>
      </c>
      <c r="FE223" t="s">
        <v>74</v>
      </c>
      <c r="FF223">
        <v>3.28559</v>
      </c>
      <c r="FG223" t="s">
        <v>75</v>
      </c>
      <c r="FH223">
        <v>3285.5889999999999</v>
      </c>
      <c r="FI223" t="s">
        <v>76</v>
      </c>
      <c r="FJ223" t="s">
        <v>82</v>
      </c>
      <c r="FK223">
        <v>304.3594721</v>
      </c>
    </row>
    <row r="225" spans="127:167" x14ac:dyDescent="0.3">
      <c r="DW225">
        <v>14</v>
      </c>
      <c r="DX225" t="s">
        <v>541</v>
      </c>
      <c r="EK225">
        <v>14</v>
      </c>
      <c r="EL225" t="s">
        <v>541</v>
      </c>
      <c r="EY225">
        <v>14</v>
      </c>
      <c r="EZ225" t="s">
        <v>541</v>
      </c>
    </row>
    <row r="226" spans="127:167" x14ac:dyDescent="0.3">
      <c r="DX226" t="s">
        <v>496</v>
      </c>
      <c r="DY226" t="s">
        <v>72</v>
      </c>
      <c r="DZ226">
        <v>1</v>
      </c>
      <c r="EA226" t="s">
        <v>81</v>
      </c>
      <c r="EB226">
        <v>0.40683000000000002</v>
      </c>
      <c r="EC226" t="s">
        <v>74</v>
      </c>
      <c r="ED226">
        <v>406.83001000000002</v>
      </c>
      <c r="EE226" t="s">
        <v>75</v>
      </c>
      <c r="EF226">
        <v>406830.01299999998</v>
      </c>
      <c r="EG226" t="s">
        <v>76</v>
      </c>
      <c r="EH226" t="s">
        <v>82</v>
      </c>
      <c r="EI226">
        <v>2.4580291000000001</v>
      </c>
      <c r="EL226" t="s">
        <v>496</v>
      </c>
      <c r="EM226" t="s">
        <v>72</v>
      </c>
      <c r="EN226">
        <v>1</v>
      </c>
      <c r="EO226" t="s">
        <v>81</v>
      </c>
      <c r="EP226">
        <v>0.50394799999999995</v>
      </c>
      <c r="EQ226" t="s">
        <v>74</v>
      </c>
      <c r="ER226">
        <v>503.94797</v>
      </c>
      <c r="ES226" t="s">
        <v>75</v>
      </c>
      <c r="ET226">
        <v>503947.973</v>
      </c>
      <c r="EU226" t="s">
        <v>76</v>
      </c>
      <c r="EV226" t="s">
        <v>82</v>
      </c>
      <c r="EW226">
        <v>1.9843318000000001</v>
      </c>
      <c r="EZ226" t="s">
        <v>496</v>
      </c>
      <c r="FA226" t="s">
        <v>72</v>
      </c>
      <c r="FB226">
        <v>1</v>
      </c>
      <c r="FC226" t="s">
        <v>81</v>
      </c>
      <c r="FD226">
        <v>0.40780899999999998</v>
      </c>
      <c r="FE226" t="s">
        <v>74</v>
      </c>
      <c r="FF226">
        <v>407.80928999999998</v>
      </c>
      <c r="FG226" t="s">
        <v>75</v>
      </c>
      <c r="FH226">
        <v>407809.28700000001</v>
      </c>
      <c r="FI226" t="s">
        <v>76</v>
      </c>
      <c r="FJ226" t="s">
        <v>82</v>
      </c>
      <c r="FK226">
        <v>2.4521266000000002</v>
      </c>
    </row>
    <row r="227" spans="127:167" x14ac:dyDescent="0.3">
      <c r="DX227" t="s">
        <v>496</v>
      </c>
      <c r="DY227" t="s">
        <v>83</v>
      </c>
      <c r="DZ227">
        <v>604</v>
      </c>
      <c r="EA227" t="s">
        <v>81</v>
      </c>
      <c r="EB227">
        <v>6.7029999999999998E-3</v>
      </c>
      <c r="EC227" t="s">
        <v>74</v>
      </c>
      <c r="ED227">
        <v>6.7030700000000003</v>
      </c>
      <c r="EE227" t="s">
        <v>75</v>
      </c>
      <c r="EF227">
        <v>6703.0720000000001</v>
      </c>
      <c r="EG227" t="s">
        <v>76</v>
      </c>
      <c r="EH227" t="s">
        <v>82</v>
      </c>
      <c r="EI227">
        <v>149.1853279</v>
      </c>
      <c r="EL227" t="s">
        <v>496</v>
      </c>
      <c r="EM227" t="s">
        <v>83</v>
      </c>
      <c r="EN227">
        <v>306</v>
      </c>
      <c r="EO227" t="s">
        <v>81</v>
      </c>
      <c r="EP227">
        <v>6.9280000000000001E-3</v>
      </c>
      <c r="EQ227" t="s">
        <v>74</v>
      </c>
      <c r="ER227">
        <v>6.92781</v>
      </c>
      <c r="ES227" t="s">
        <v>75</v>
      </c>
      <c r="ET227">
        <v>6927.8069999999998</v>
      </c>
      <c r="EU227" t="s">
        <v>76</v>
      </c>
      <c r="EV227" t="s">
        <v>82</v>
      </c>
      <c r="EW227">
        <v>144.3458153</v>
      </c>
      <c r="EZ227" t="s">
        <v>496</v>
      </c>
      <c r="FA227" t="s">
        <v>83</v>
      </c>
      <c r="FB227">
        <v>569</v>
      </c>
      <c r="FC227" t="s">
        <v>81</v>
      </c>
      <c r="FD227">
        <v>7.1170000000000001E-3</v>
      </c>
      <c r="FE227" t="s">
        <v>74</v>
      </c>
      <c r="FF227">
        <v>7.1165399999999996</v>
      </c>
      <c r="FG227" t="s">
        <v>75</v>
      </c>
      <c r="FH227">
        <v>7116.5360000000001</v>
      </c>
      <c r="FI227" t="s">
        <v>76</v>
      </c>
      <c r="FJ227" t="s">
        <v>82</v>
      </c>
      <c r="FK227">
        <v>140.51779310000001</v>
      </c>
    </row>
    <row r="228" spans="127:167" x14ac:dyDescent="0.3">
      <c r="DX228" t="s">
        <v>496</v>
      </c>
      <c r="DY228" t="s">
        <v>84</v>
      </c>
      <c r="DZ228">
        <v>605</v>
      </c>
      <c r="EA228" t="s">
        <v>81</v>
      </c>
      <c r="EB228">
        <v>7.3639999999999999E-3</v>
      </c>
      <c r="EC228" t="s">
        <v>74</v>
      </c>
      <c r="ED228">
        <v>7.3644400000000001</v>
      </c>
      <c r="EE228" t="s">
        <v>75</v>
      </c>
      <c r="EF228">
        <v>7364.4380000000001</v>
      </c>
      <c r="EG228" t="s">
        <v>76</v>
      </c>
      <c r="EH228" t="s">
        <v>82</v>
      </c>
      <c r="EI228">
        <v>135.7876905</v>
      </c>
      <c r="EL228" t="s">
        <v>496</v>
      </c>
      <c r="EM228" t="s">
        <v>84</v>
      </c>
      <c r="EN228">
        <v>307</v>
      </c>
      <c r="EO228" t="s">
        <v>81</v>
      </c>
      <c r="EP228">
        <v>8.5470000000000008E-3</v>
      </c>
      <c r="EQ228" t="s">
        <v>74</v>
      </c>
      <c r="ER228">
        <v>8.5467700000000004</v>
      </c>
      <c r="ES228" t="s">
        <v>75</v>
      </c>
      <c r="ET228">
        <v>8546.7669999999998</v>
      </c>
      <c r="EU228" t="s">
        <v>76</v>
      </c>
      <c r="EV228" t="s">
        <v>82</v>
      </c>
      <c r="EW228">
        <v>117.00330529999999</v>
      </c>
      <c r="EZ228" t="s">
        <v>496</v>
      </c>
      <c r="FA228" t="s">
        <v>84</v>
      </c>
      <c r="FB228">
        <v>570</v>
      </c>
      <c r="FC228" t="s">
        <v>81</v>
      </c>
      <c r="FD228">
        <v>7.8200000000000006E-3</v>
      </c>
      <c r="FE228" t="s">
        <v>74</v>
      </c>
      <c r="FF228">
        <v>7.8195100000000002</v>
      </c>
      <c r="FG228" t="s">
        <v>75</v>
      </c>
      <c r="FH228">
        <v>7819.5050000000001</v>
      </c>
      <c r="FI228" t="s">
        <v>76</v>
      </c>
      <c r="FJ228" t="s">
        <v>82</v>
      </c>
      <c r="FK228">
        <v>127.8853276</v>
      </c>
    </row>
    <row r="229" spans="127:167" x14ac:dyDescent="0.3">
      <c r="DX229" t="s">
        <v>497</v>
      </c>
      <c r="DY229" t="s">
        <v>72</v>
      </c>
      <c r="DZ229">
        <v>1</v>
      </c>
      <c r="EA229" t="s">
        <v>81</v>
      </c>
      <c r="EB229">
        <v>0.15110599999999999</v>
      </c>
      <c r="EC229" t="s">
        <v>74</v>
      </c>
      <c r="ED229">
        <v>151.10619</v>
      </c>
      <c r="EE229" t="s">
        <v>75</v>
      </c>
      <c r="EF229">
        <v>151106.19399999999</v>
      </c>
      <c r="EG229" t="s">
        <v>76</v>
      </c>
      <c r="EH229" t="s">
        <v>82</v>
      </c>
      <c r="EI229">
        <v>6.6178623999999999</v>
      </c>
      <c r="EL229" t="s">
        <v>497</v>
      </c>
      <c r="EM229" t="s">
        <v>72</v>
      </c>
      <c r="EN229">
        <v>1</v>
      </c>
      <c r="EO229" t="s">
        <v>81</v>
      </c>
      <c r="EP229">
        <v>0.14830299999999999</v>
      </c>
      <c r="EQ229" t="s">
        <v>74</v>
      </c>
      <c r="ER229">
        <v>148.303</v>
      </c>
      <c r="ES229" t="s">
        <v>75</v>
      </c>
      <c r="ET229">
        <v>148303.00200000001</v>
      </c>
      <c r="EU229" t="s">
        <v>76</v>
      </c>
      <c r="EV229" t="s">
        <v>82</v>
      </c>
      <c r="EW229">
        <v>6.7429518000000002</v>
      </c>
      <c r="EZ229" t="s">
        <v>497</v>
      </c>
      <c r="FA229" t="s">
        <v>72</v>
      </c>
      <c r="FB229">
        <v>1</v>
      </c>
      <c r="FC229" t="s">
        <v>81</v>
      </c>
      <c r="FD229">
        <v>0.14754700000000001</v>
      </c>
      <c r="FE229" t="s">
        <v>74</v>
      </c>
      <c r="FF229">
        <v>147.54689999999999</v>
      </c>
      <c r="FG229" t="s">
        <v>75</v>
      </c>
      <c r="FH229">
        <v>147546.902</v>
      </c>
      <c r="FI229" t="s">
        <v>76</v>
      </c>
      <c r="FJ229" t="s">
        <v>82</v>
      </c>
      <c r="FK229">
        <v>6.7775059000000004</v>
      </c>
    </row>
    <row r="230" spans="127:167" x14ac:dyDescent="0.3">
      <c r="DX230" t="s">
        <v>497</v>
      </c>
      <c r="DY230" t="s">
        <v>83</v>
      </c>
      <c r="DZ230">
        <v>395</v>
      </c>
      <c r="EA230" t="s">
        <v>81</v>
      </c>
      <c r="EB230">
        <v>1.0843E-2</v>
      </c>
      <c r="EC230" t="s">
        <v>74</v>
      </c>
      <c r="ED230">
        <v>10.842650000000001</v>
      </c>
      <c r="EE230" t="s">
        <v>75</v>
      </c>
      <c r="EF230">
        <v>10842.648999999999</v>
      </c>
      <c r="EG230" t="s">
        <v>76</v>
      </c>
      <c r="EH230" t="s">
        <v>82</v>
      </c>
      <c r="EI230">
        <v>92.228382300000007</v>
      </c>
      <c r="EL230" t="s">
        <v>497</v>
      </c>
      <c r="EM230" t="s">
        <v>83</v>
      </c>
      <c r="EN230">
        <v>693</v>
      </c>
      <c r="EO230" t="s">
        <v>81</v>
      </c>
      <c r="EP230">
        <v>3.539E-3</v>
      </c>
      <c r="EQ230" t="s">
        <v>74</v>
      </c>
      <c r="ER230">
        <v>3.5386099999999998</v>
      </c>
      <c r="ES230" t="s">
        <v>75</v>
      </c>
      <c r="ET230">
        <v>3538.6129999999998</v>
      </c>
      <c r="EU230" t="s">
        <v>76</v>
      </c>
      <c r="EV230" t="s">
        <v>82</v>
      </c>
      <c r="EW230">
        <v>282.59662489999999</v>
      </c>
      <c r="EZ230" t="s">
        <v>497</v>
      </c>
      <c r="FA230" t="s">
        <v>83</v>
      </c>
      <c r="FB230">
        <v>430</v>
      </c>
      <c r="FC230" t="s">
        <v>81</v>
      </c>
      <c r="FD230">
        <v>9.9869999999999994E-3</v>
      </c>
      <c r="FE230" t="s">
        <v>74</v>
      </c>
      <c r="FF230">
        <v>9.9868900000000007</v>
      </c>
      <c r="FG230" t="s">
        <v>75</v>
      </c>
      <c r="FH230">
        <v>9986.8919999999998</v>
      </c>
      <c r="FI230" t="s">
        <v>76</v>
      </c>
      <c r="FJ230" t="s">
        <v>82</v>
      </c>
      <c r="FK230">
        <v>100.1312535</v>
      </c>
    </row>
    <row r="231" spans="127:167" x14ac:dyDescent="0.3">
      <c r="DX231" t="s">
        <v>497</v>
      </c>
      <c r="DY231" t="s">
        <v>84</v>
      </c>
      <c r="DZ231">
        <v>396</v>
      </c>
      <c r="EA231" t="s">
        <v>81</v>
      </c>
      <c r="EB231">
        <v>1.1197E-2</v>
      </c>
      <c r="EC231" t="s">
        <v>74</v>
      </c>
      <c r="ED231">
        <v>11.19685</v>
      </c>
      <c r="EE231" t="s">
        <v>75</v>
      </c>
      <c r="EF231">
        <v>11196.851000000001</v>
      </c>
      <c r="EG231" t="s">
        <v>76</v>
      </c>
      <c r="EH231" t="s">
        <v>82</v>
      </c>
      <c r="EI231">
        <v>89.310828799999996</v>
      </c>
      <c r="EL231" t="s">
        <v>497</v>
      </c>
      <c r="EM231" t="s">
        <v>84</v>
      </c>
      <c r="EN231">
        <v>694</v>
      </c>
      <c r="EO231" t="s">
        <v>81</v>
      </c>
      <c r="EP231">
        <v>3.7469999999999999E-3</v>
      </c>
      <c r="EQ231" t="s">
        <v>74</v>
      </c>
      <c r="ER231">
        <v>3.7472099999999999</v>
      </c>
      <c r="ES231" t="s">
        <v>75</v>
      </c>
      <c r="ET231">
        <v>3747.2089999999998</v>
      </c>
      <c r="EU231" t="s">
        <v>76</v>
      </c>
      <c r="EV231" t="s">
        <v>82</v>
      </c>
      <c r="EW231">
        <v>266.86530970000001</v>
      </c>
      <c r="EZ231" t="s">
        <v>497</v>
      </c>
      <c r="FA231" t="s">
        <v>84</v>
      </c>
      <c r="FB231">
        <v>431</v>
      </c>
      <c r="FC231" t="s">
        <v>81</v>
      </c>
      <c r="FD231">
        <v>1.0305999999999999E-2</v>
      </c>
      <c r="FE231" t="s">
        <v>74</v>
      </c>
      <c r="FF231">
        <v>10.30606</v>
      </c>
      <c r="FG231" t="s">
        <v>75</v>
      </c>
      <c r="FH231">
        <v>10306.055</v>
      </c>
      <c r="FI231" t="s">
        <v>76</v>
      </c>
      <c r="FJ231" t="s">
        <v>82</v>
      </c>
      <c r="FK231">
        <v>97.0303361</v>
      </c>
    </row>
    <row r="232" spans="127:167" x14ac:dyDescent="0.3">
      <c r="DX232" t="s">
        <v>498</v>
      </c>
      <c r="DY232" t="s">
        <v>72</v>
      </c>
      <c r="DZ232">
        <v>2</v>
      </c>
      <c r="EA232" t="s">
        <v>86</v>
      </c>
      <c r="EB232">
        <v>0.20343900000000001</v>
      </c>
      <c r="EC232" t="s">
        <v>74</v>
      </c>
      <c r="ED232">
        <v>203.43879999999999</v>
      </c>
      <c r="EE232" t="s">
        <v>75</v>
      </c>
      <c r="EF232">
        <v>203438.804</v>
      </c>
      <c r="EG232" t="s">
        <v>76</v>
      </c>
      <c r="EH232" t="s">
        <v>82</v>
      </c>
      <c r="EI232">
        <v>4.9154831000000003</v>
      </c>
      <c r="EL232" t="s">
        <v>498</v>
      </c>
      <c r="EM232" t="s">
        <v>72</v>
      </c>
      <c r="EN232">
        <v>2</v>
      </c>
      <c r="EO232" t="s">
        <v>86</v>
      </c>
      <c r="EP232">
        <v>0.25199500000000002</v>
      </c>
      <c r="EQ232" t="s">
        <v>74</v>
      </c>
      <c r="ER232">
        <v>251.99509</v>
      </c>
      <c r="ES232" t="s">
        <v>75</v>
      </c>
      <c r="ET232">
        <v>251995.087</v>
      </c>
      <c r="EU232" t="s">
        <v>76</v>
      </c>
      <c r="EV232" t="s">
        <v>82</v>
      </c>
      <c r="EW232">
        <v>3.9683313</v>
      </c>
      <c r="EZ232" t="s">
        <v>498</v>
      </c>
      <c r="FA232" t="s">
        <v>72</v>
      </c>
      <c r="FB232">
        <v>2</v>
      </c>
      <c r="FC232" t="s">
        <v>86</v>
      </c>
      <c r="FD232">
        <v>0.20393</v>
      </c>
      <c r="FE232" t="s">
        <v>74</v>
      </c>
      <c r="FF232">
        <v>203.9299</v>
      </c>
      <c r="FG232" t="s">
        <v>75</v>
      </c>
      <c r="FH232">
        <v>203929.90100000001</v>
      </c>
      <c r="FI232" t="s">
        <v>76</v>
      </c>
      <c r="FJ232" t="s">
        <v>82</v>
      </c>
      <c r="FK232">
        <v>4.9036457999999996</v>
      </c>
    </row>
    <row r="233" spans="127:167" x14ac:dyDescent="0.3">
      <c r="DX233" t="s">
        <v>498</v>
      </c>
      <c r="DY233" t="s">
        <v>83</v>
      </c>
      <c r="DZ233">
        <v>999</v>
      </c>
      <c r="EA233" t="s">
        <v>86</v>
      </c>
      <c r="EB233">
        <v>4.3189999999999999E-3</v>
      </c>
      <c r="EC233" t="s">
        <v>74</v>
      </c>
      <c r="ED233">
        <v>4.3193400000000004</v>
      </c>
      <c r="EE233" t="s">
        <v>75</v>
      </c>
      <c r="EF233">
        <v>4319.34</v>
      </c>
      <c r="EG233" t="s">
        <v>76</v>
      </c>
      <c r="EH233" t="s">
        <v>82</v>
      </c>
      <c r="EI233">
        <v>231.51685739999999</v>
      </c>
      <c r="EL233" t="s">
        <v>498</v>
      </c>
      <c r="EM233" t="s">
        <v>83</v>
      </c>
      <c r="EN233">
        <v>999</v>
      </c>
      <c r="EO233" t="s">
        <v>86</v>
      </c>
      <c r="EP233">
        <v>2.4810000000000001E-3</v>
      </c>
      <c r="EQ233" t="s">
        <v>74</v>
      </c>
      <c r="ER233">
        <v>2.4809000000000001</v>
      </c>
      <c r="ES233" t="s">
        <v>75</v>
      </c>
      <c r="ET233">
        <v>2480.9</v>
      </c>
      <c r="EU233" t="s">
        <v>76</v>
      </c>
      <c r="EV233" t="s">
        <v>82</v>
      </c>
      <c r="EW233">
        <v>403.07949439999999</v>
      </c>
      <c r="EZ233" t="s">
        <v>498</v>
      </c>
      <c r="FA233" t="s">
        <v>83</v>
      </c>
      <c r="FB233">
        <v>999</v>
      </c>
      <c r="FC233" t="s">
        <v>86</v>
      </c>
      <c r="FD233">
        <v>4.3249999999999999E-3</v>
      </c>
      <c r="FE233" t="s">
        <v>74</v>
      </c>
      <c r="FF233">
        <v>4.32538</v>
      </c>
      <c r="FG233" t="s">
        <v>75</v>
      </c>
      <c r="FH233">
        <v>4325.3779999999997</v>
      </c>
      <c r="FI233" t="s">
        <v>76</v>
      </c>
      <c r="FJ233" t="s">
        <v>82</v>
      </c>
      <c r="FK233">
        <v>231.193645</v>
      </c>
    </row>
    <row r="234" spans="127:167" x14ac:dyDescent="0.3">
      <c r="DX234" t="s">
        <v>498</v>
      </c>
      <c r="DY234" t="s">
        <v>85</v>
      </c>
      <c r="DZ234">
        <v>1001</v>
      </c>
      <c r="EA234" t="s">
        <v>86</v>
      </c>
      <c r="EB234">
        <v>4.4669999999999996E-3</v>
      </c>
      <c r="EC234" t="s">
        <v>74</v>
      </c>
      <c r="ED234">
        <v>4.4670800000000002</v>
      </c>
      <c r="EE234" t="s">
        <v>75</v>
      </c>
      <c r="EF234">
        <v>4467.08</v>
      </c>
      <c r="EG234" t="s">
        <v>76</v>
      </c>
      <c r="EH234" t="s">
        <v>82</v>
      </c>
      <c r="EI234">
        <v>223.85990319999999</v>
      </c>
      <c r="EL234" t="s">
        <v>498</v>
      </c>
      <c r="EM234" t="s">
        <v>85</v>
      </c>
      <c r="EN234">
        <v>1001</v>
      </c>
      <c r="EO234" t="s">
        <v>86</v>
      </c>
      <c r="EP234">
        <v>2.627E-3</v>
      </c>
      <c r="EQ234" t="s">
        <v>74</v>
      </c>
      <c r="ER234">
        <v>2.6271900000000001</v>
      </c>
      <c r="ES234" t="s">
        <v>75</v>
      </c>
      <c r="ET234">
        <v>2627.1860000000001</v>
      </c>
      <c r="EU234" t="s">
        <v>76</v>
      </c>
      <c r="EV234" t="s">
        <v>82</v>
      </c>
      <c r="EW234">
        <v>380.63547010000002</v>
      </c>
      <c r="EZ234" t="s">
        <v>498</v>
      </c>
      <c r="FA234" t="s">
        <v>85</v>
      </c>
      <c r="FB234">
        <v>1001</v>
      </c>
      <c r="FC234" t="s">
        <v>86</v>
      </c>
      <c r="FD234">
        <v>4.47E-3</v>
      </c>
      <c r="FE234" t="s">
        <v>74</v>
      </c>
      <c r="FF234">
        <v>4.4696100000000003</v>
      </c>
      <c r="FG234" t="s">
        <v>75</v>
      </c>
      <c r="FH234">
        <v>4469.607</v>
      </c>
      <c r="FI234" t="s">
        <v>76</v>
      </c>
      <c r="FJ234" t="s">
        <v>82</v>
      </c>
      <c r="FK234">
        <v>223.7333338</v>
      </c>
    </row>
    <row r="236" spans="127:167" x14ac:dyDescent="0.3">
      <c r="DX236" t="s">
        <v>542</v>
      </c>
      <c r="EL236" t="s">
        <v>542</v>
      </c>
      <c r="EZ236" t="s">
        <v>542</v>
      </c>
    </row>
    <row r="237" spans="127:167" x14ac:dyDescent="0.3">
      <c r="DX237" t="s">
        <v>496</v>
      </c>
      <c r="DY237" t="s">
        <v>72</v>
      </c>
      <c r="DZ237">
        <v>1</v>
      </c>
      <c r="EA237" t="s">
        <v>81</v>
      </c>
      <c r="EB237">
        <v>2.4743000000000001E-2</v>
      </c>
      <c r="EC237" t="s">
        <v>74</v>
      </c>
      <c r="ED237">
        <v>24.7425</v>
      </c>
      <c r="EE237" t="s">
        <v>75</v>
      </c>
      <c r="EF237">
        <v>24742.501</v>
      </c>
      <c r="EG237" t="s">
        <v>76</v>
      </c>
      <c r="EH237" t="s">
        <v>82</v>
      </c>
      <c r="EI237">
        <v>40.416286399999997</v>
      </c>
      <c r="EL237" t="s">
        <v>496</v>
      </c>
      <c r="EM237" t="s">
        <v>72</v>
      </c>
      <c r="EN237">
        <v>1</v>
      </c>
      <c r="EO237" t="s">
        <v>81</v>
      </c>
      <c r="EP237">
        <v>2.8476999999999999E-2</v>
      </c>
      <c r="EQ237" t="s">
        <v>74</v>
      </c>
      <c r="ER237">
        <v>28.4772</v>
      </c>
      <c r="ES237" t="s">
        <v>75</v>
      </c>
      <c r="ET237">
        <v>28477.199000000001</v>
      </c>
      <c r="EU237" t="s">
        <v>76</v>
      </c>
      <c r="EV237" t="s">
        <v>82</v>
      </c>
      <c r="EW237">
        <v>35.115812699999999</v>
      </c>
      <c r="EZ237" t="s">
        <v>496</v>
      </c>
      <c r="FA237" t="s">
        <v>72</v>
      </c>
      <c r="FB237">
        <v>1</v>
      </c>
      <c r="FC237" t="s">
        <v>81</v>
      </c>
      <c r="FD237">
        <v>2.5020000000000001E-2</v>
      </c>
      <c r="FE237" t="s">
        <v>74</v>
      </c>
      <c r="FF237">
        <v>25.02</v>
      </c>
      <c r="FG237" t="s">
        <v>75</v>
      </c>
      <c r="FH237">
        <v>25020</v>
      </c>
      <c r="FI237" t="s">
        <v>76</v>
      </c>
      <c r="FJ237" t="s">
        <v>82</v>
      </c>
      <c r="FK237">
        <v>39.968026199999997</v>
      </c>
    </row>
    <row r="238" spans="127:167" x14ac:dyDescent="0.3">
      <c r="DX238" t="s">
        <v>496</v>
      </c>
      <c r="DY238" t="s">
        <v>83</v>
      </c>
      <c r="DZ238">
        <v>608</v>
      </c>
      <c r="EA238" t="s">
        <v>81</v>
      </c>
      <c r="EB238">
        <v>7.326E-3</v>
      </c>
      <c r="EC238" t="s">
        <v>74</v>
      </c>
      <c r="ED238">
        <v>7.3262600000000004</v>
      </c>
      <c r="EE238" t="s">
        <v>75</v>
      </c>
      <c r="EF238">
        <v>7326.2579999999998</v>
      </c>
      <c r="EG238" t="s">
        <v>76</v>
      </c>
      <c r="EH238" t="s">
        <v>82</v>
      </c>
      <c r="EI238">
        <v>136.49533220000001</v>
      </c>
      <c r="EL238" t="s">
        <v>496</v>
      </c>
      <c r="EM238" t="s">
        <v>83</v>
      </c>
      <c r="EN238">
        <v>587</v>
      </c>
      <c r="EO238" t="s">
        <v>81</v>
      </c>
      <c r="EP238">
        <v>4.091E-3</v>
      </c>
      <c r="EQ238" t="s">
        <v>74</v>
      </c>
      <c r="ER238">
        <v>4.0906099999999999</v>
      </c>
      <c r="ES238" t="s">
        <v>75</v>
      </c>
      <c r="ET238">
        <v>4090.607</v>
      </c>
      <c r="EU238" t="s">
        <v>76</v>
      </c>
      <c r="EV238" t="s">
        <v>82</v>
      </c>
      <c r="EW238">
        <v>244.4625049</v>
      </c>
      <c r="EZ238" t="s">
        <v>496</v>
      </c>
      <c r="FA238" t="s">
        <v>83</v>
      </c>
      <c r="FB238">
        <v>567</v>
      </c>
      <c r="FC238" t="s">
        <v>81</v>
      </c>
      <c r="FD238">
        <v>7.9760000000000005E-3</v>
      </c>
      <c r="FE238" t="s">
        <v>74</v>
      </c>
      <c r="FF238">
        <v>7.9759399999999996</v>
      </c>
      <c r="FG238" t="s">
        <v>75</v>
      </c>
      <c r="FH238">
        <v>7975.942</v>
      </c>
      <c r="FI238" t="s">
        <v>76</v>
      </c>
      <c r="FJ238" t="s">
        <v>82</v>
      </c>
      <c r="FK238">
        <v>125.377033</v>
      </c>
    </row>
    <row r="239" spans="127:167" x14ac:dyDescent="0.3">
      <c r="DX239" t="s">
        <v>496</v>
      </c>
      <c r="DY239" t="s">
        <v>84</v>
      </c>
      <c r="DZ239">
        <v>609</v>
      </c>
      <c r="EA239" t="s">
        <v>81</v>
      </c>
      <c r="EB239">
        <v>7.3550000000000004E-3</v>
      </c>
      <c r="EC239" t="s">
        <v>74</v>
      </c>
      <c r="ED239">
        <v>7.3548499999999999</v>
      </c>
      <c r="EE239" t="s">
        <v>75</v>
      </c>
      <c r="EF239">
        <v>7354.8549999999996</v>
      </c>
      <c r="EG239" t="s">
        <v>76</v>
      </c>
      <c r="EH239" t="s">
        <v>82</v>
      </c>
      <c r="EI239">
        <v>135.96461930000001</v>
      </c>
      <c r="EL239" t="s">
        <v>496</v>
      </c>
      <c r="EM239" t="s">
        <v>84</v>
      </c>
      <c r="EN239">
        <v>588</v>
      </c>
      <c r="EO239" t="s">
        <v>81</v>
      </c>
      <c r="EP239">
        <v>4.1320000000000003E-3</v>
      </c>
      <c r="EQ239" t="s">
        <v>74</v>
      </c>
      <c r="ER239">
        <v>4.1320800000000002</v>
      </c>
      <c r="ES239" t="s">
        <v>75</v>
      </c>
      <c r="ET239">
        <v>4132.08</v>
      </c>
      <c r="EU239" t="s">
        <v>76</v>
      </c>
      <c r="EV239" t="s">
        <v>82</v>
      </c>
      <c r="EW239">
        <v>242.00885310000001</v>
      </c>
      <c r="EZ239" t="s">
        <v>496</v>
      </c>
      <c r="FA239" t="s">
        <v>84</v>
      </c>
      <c r="FB239">
        <v>568</v>
      </c>
      <c r="FC239" t="s">
        <v>81</v>
      </c>
      <c r="FD239">
        <v>8.0059999999999992E-3</v>
      </c>
      <c r="FE239" t="s">
        <v>74</v>
      </c>
      <c r="FF239">
        <v>8.0059500000000003</v>
      </c>
      <c r="FG239" t="s">
        <v>75</v>
      </c>
      <c r="FH239">
        <v>8005.9480000000003</v>
      </c>
      <c r="FI239" t="s">
        <v>76</v>
      </c>
      <c r="FJ239" t="s">
        <v>82</v>
      </c>
      <c r="FK239">
        <v>124.9071295</v>
      </c>
    </row>
    <row r="240" spans="127:167" x14ac:dyDescent="0.3">
      <c r="DX240" t="s">
        <v>497</v>
      </c>
      <c r="DY240" t="s">
        <v>72</v>
      </c>
      <c r="DZ240">
        <v>1</v>
      </c>
      <c r="EA240" t="s">
        <v>81</v>
      </c>
      <c r="EB240">
        <v>8.855E-3</v>
      </c>
      <c r="EC240" t="s">
        <v>74</v>
      </c>
      <c r="ED240">
        <v>8.8553999999999995</v>
      </c>
      <c r="EE240" t="s">
        <v>75</v>
      </c>
      <c r="EF240">
        <v>8855.4</v>
      </c>
      <c r="EG240" t="s">
        <v>76</v>
      </c>
      <c r="EH240" t="s">
        <v>82</v>
      </c>
      <c r="EI240">
        <v>112.92545079999999</v>
      </c>
      <c r="EL240" t="s">
        <v>497</v>
      </c>
      <c r="EM240" t="s">
        <v>72</v>
      </c>
      <c r="EN240">
        <v>1</v>
      </c>
      <c r="EO240" t="s">
        <v>81</v>
      </c>
      <c r="EP240">
        <v>9.3959999999999998E-3</v>
      </c>
      <c r="EQ240" t="s">
        <v>74</v>
      </c>
      <c r="ER240">
        <v>9.3956</v>
      </c>
      <c r="ES240" t="s">
        <v>75</v>
      </c>
      <c r="ET240">
        <v>9395.6</v>
      </c>
      <c r="EU240" t="s">
        <v>76</v>
      </c>
      <c r="EV240" t="s">
        <v>82</v>
      </c>
      <c r="EW240">
        <v>106.432795</v>
      </c>
      <c r="EZ240" t="s">
        <v>497</v>
      </c>
      <c r="FA240" t="s">
        <v>72</v>
      </c>
      <c r="FB240">
        <v>1</v>
      </c>
      <c r="FC240" t="s">
        <v>81</v>
      </c>
      <c r="FD240">
        <v>9.1940000000000008E-3</v>
      </c>
      <c r="FE240" t="s">
        <v>74</v>
      </c>
      <c r="FF240">
        <v>9.1943999999999999</v>
      </c>
      <c r="FG240" t="s">
        <v>75</v>
      </c>
      <c r="FH240">
        <v>9194.4</v>
      </c>
      <c r="FI240" t="s">
        <v>76</v>
      </c>
      <c r="FJ240" t="s">
        <v>82</v>
      </c>
      <c r="FK240">
        <v>108.7618531</v>
      </c>
    </row>
    <row r="241" spans="127:167" x14ac:dyDescent="0.3">
      <c r="DX241" t="s">
        <v>497</v>
      </c>
      <c r="DY241" t="s">
        <v>83</v>
      </c>
      <c r="DZ241">
        <v>391</v>
      </c>
      <c r="EA241" t="s">
        <v>81</v>
      </c>
      <c r="EB241">
        <v>1.1395000000000001E-2</v>
      </c>
      <c r="EC241" t="s">
        <v>74</v>
      </c>
      <c r="ED241">
        <v>11.39457</v>
      </c>
      <c r="EE241" t="s">
        <v>75</v>
      </c>
      <c r="EF241">
        <v>11394.573</v>
      </c>
      <c r="EG241" t="s">
        <v>76</v>
      </c>
      <c r="EH241" t="s">
        <v>82</v>
      </c>
      <c r="EI241">
        <v>87.761079600000002</v>
      </c>
      <c r="EL241" t="s">
        <v>497</v>
      </c>
      <c r="EM241" t="s">
        <v>83</v>
      </c>
      <c r="EN241">
        <v>412</v>
      </c>
      <c r="EO241" t="s">
        <v>81</v>
      </c>
      <c r="EP241">
        <v>5.8840000000000003E-3</v>
      </c>
      <c r="EQ241" t="s">
        <v>74</v>
      </c>
      <c r="ER241">
        <v>5.8840599999999998</v>
      </c>
      <c r="ES241" t="s">
        <v>75</v>
      </c>
      <c r="ET241">
        <v>5884.06</v>
      </c>
      <c r="EU241" t="s">
        <v>76</v>
      </c>
      <c r="EV241" t="s">
        <v>82</v>
      </c>
      <c r="EW241">
        <v>169.95068019999999</v>
      </c>
      <c r="EZ241" t="s">
        <v>497</v>
      </c>
      <c r="FA241" t="s">
        <v>83</v>
      </c>
      <c r="FB241">
        <v>432</v>
      </c>
      <c r="FC241" t="s">
        <v>81</v>
      </c>
      <c r="FD241">
        <v>1.0432E-2</v>
      </c>
      <c r="FE241" t="s">
        <v>74</v>
      </c>
      <c r="FF241">
        <v>10.43154</v>
      </c>
      <c r="FG241" t="s">
        <v>75</v>
      </c>
      <c r="FH241">
        <v>10431.540999999999</v>
      </c>
      <c r="FI241" t="s">
        <v>76</v>
      </c>
      <c r="FJ241" t="s">
        <v>82</v>
      </c>
      <c r="FK241">
        <v>95.863110500000005</v>
      </c>
    </row>
    <row r="242" spans="127:167" x14ac:dyDescent="0.3">
      <c r="DX242" t="s">
        <v>497</v>
      </c>
      <c r="DY242" t="s">
        <v>84</v>
      </c>
      <c r="DZ242">
        <v>392</v>
      </c>
      <c r="EA242" t="s">
        <v>81</v>
      </c>
      <c r="EB242">
        <v>1.1388000000000001E-2</v>
      </c>
      <c r="EC242" t="s">
        <v>74</v>
      </c>
      <c r="ED242">
        <v>11.3881</v>
      </c>
      <c r="EE242" t="s">
        <v>75</v>
      </c>
      <c r="EF242">
        <v>11388.094999999999</v>
      </c>
      <c r="EG242" t="s">
        <v>76</v>
      </c>
      <c r="EH242" t="s">
        <v>82</v>
      </c>
      <c r="EI242">
        <v>87.810998699999999</v>
      </c>
      <c r="EL242" t="s">
        <v>497</v>
      </c>
      <c r="EM242" t="s">
        <v>84</v>
      </c>
      <c r="EN242">
        <v>413</v>
      </c>
      <c r="EO242" t="s">
        <v>81</v>
      </c>
      <c r="EP242">
        <v>5.8929999999999998E-3</v>
      </c>
      <c r="EQ242" t="s">
        <v>74</v>
      </c>
      <c r="ER242">
        <v>5.8925599999999996</v>
      </c>
      <c r="ES242" t="s">
        <v>75</v>
      </c>
      <c r="ET242">
        <v>5892.5619999999999</v>
      </c>
      <c r="EU242" t="s">
        <v>76</v>
      </c>
      <c r="EV242" t="s">
        <v>82</v>
      </c>
      <c r="EW242">
        <v>169.70547099999999</v>
      </c>
      <c r="EZ242" t="s">
        <v>497</v>
      </c>
      <c r="FA242" t="s">
        <v>84</v>
      </c>
      <c r="FB242">
        <v>433</v>
      </c>
      <c r="FC242" t="s">
        <v>81</v>
      </c>
      <c r="FD242">
        <v>1.0429000000000001E-2</v>
      </c>
      <c r="FE242" t="s">
        <v>74</v>
      </c>
      <c r="FF242">
        <v>10.42868</v>
      </c>
      <c r="FG242" t="s">
        <v>75</v>
      </c>
      <c r="FH242">
        <v>10428.683999999999</v>
      </c>
      <c r="FI242" t="s">
        <v>76</v>
      </c>
      <c r="FJ242" t="s">
        <v>82</v>
      </c>
      <c r="FK242">
        <v>95.889374599999996</v>
      </c>
    </row>
    <row r="243" spans="127:167" x14ac:dyDescent="0.3">
      <c r="DX243" t="s">
        <v>498</v>
      </c>
      <c r="DY243" t="s">
        <v>72</v>
      </c>
      <c r="DZ243">
        <v>2</v>
      </c>
      <c r="EA243" t="s">
        <v>86</v>
      </c>
      <c r="EB243">
        <v>1.2375000000000001E-2</v>
      </c>
      <c r="EC243" t="s">
        <v>74</v>
      </c>
      <c r="ED243">
        <v>12.37495</v>
      </c>
      <c r="EE243" t="s">
        <v>75</v>
      </c>
      <c r="EF243">
        <v>12374.95</v>
      </c>
      <c r="EG243" t="s">
        <v>76</v>
      </c>
      <c r="EH243" t="s">
        <v>82</v>
      </c>
      <c r="EI243">
        <v>80.808409600000005</v>
      </c>
      <c r="EL243" t="s">
        <v>498</v>
      </c>
      <c r="EM243" t="s">
        <v>72</v>
      </c>
      <c r="EN243">
        <v>2</v>
      </c>
      <c r="EO243" t="s">
        <v>86</v>
      </c>
      <c r="EP243">
        <v>1.4241999999999999E-2</v>
      </c>
      <c r="EQ243" t="s">
        <v>74</v>
      </c>
      <c r="ER243">
        <v>14.2416</v>
      </c>
      <c r="ES243" t="s">
        <v>75</v>
      </c>
      <c r="ET243">
        <v>14241.6</v>
      </c>
      <c r="EU243" t="s">
        <v>76</v>
      </c>
      <c r="EV243" t="s">
        <v>82</v>
      </c>
      <c r="EW243">
        <v>70.216827600000002</v>
      </c>
      <c r="EZ243" t="s">
        <v>498</v>
      </c>
      <c r="FA243" t="s">
        <v>72</v>
      </c>
      <c r="FB243">
        <v>2</v>
      </c>
      <c r="FC243" t="s">
        <v>86</v>
      </c>
      <c r="FD243">
        <v>1.2513E-2</v>
      </c>
      <c r="FE243" t="s">
        <v>74</v>
      </c>
      <c r="FF243">
        <v>12.513299999999999</v>
      </c>
      <c r="FG243" t="s">
        <v>75</v>
      </c>
      <c r="FH243">
        <v>12513.3</v>
      </c>
      <c r="FI243" t="s">
        <v>76</v>
      </c>
      <c r="FJ243" t="s">
        <v>82</v>
      </c>
      <c r="FK243">
        <v>79.914967899999994</v>
      </c>
    </row>
    <row r="244" spans="127:167" x14ac:dyDescent="0.3">
      <c r="DX244" t="s">
        <v>498</v>
      </c>
      <c r="DY244" t="s">
        <v>83</v>
      </c>
      <c r="DZ244">
        <v>999</v>
      </c>
      <c r="EA244" t="s">
        <v>86</v>
      </c>
      <c r="EB244">
        <v>4.4799999999999996E-3</v>
      </c>
      <c r="EC244" t="s">
        <v>74</v>
      </c>
      <c r="ED244">
        <v>4.4802099999999996</v>
      </c>
      <c r="EE244" t="s">
        <v>75</v>
      </c>
      <c r="EF244">
        <v>4480.2070000000003</v>
      </c>
      <c r="EG244" t="s">
        <v>76</v>
      </c>
      <c r="EH244" t="s">
        <v>82</v>
      </c>
      <c r="EI244">
        <v>223.2039819</v>
      </c>
      <c r="EL244" t="s">
        <v>498</v>
      </c>
      <c r="EM244" t="s">
        <v>83</v>
      </c>
      <c r="EN244">
        <v>999</v>
      </c>
      <c r="EO244" t="s">
        <v>86</v>
      </c>
      <c r="EP244">
        <v>2.4350000000000001E-3</v>
      </c>
      <c r="EQ244" t="s">
        <v>74</v>
      </c>
      <c r="ER244">
        <v>2.4347799999999999</v>
      </c>
      <c r="ES244" t="s">
        <v>75</v>
      </c>
      <c r="ET244">
        <v>2434.7779999999998</v>
      </c>
      <c r="EU244" t="s">
        <v>76</v>
      </c>
      <c r="EV244" t="s">
        <v>82</v>
      </c>
      <c r="EW244">
        <v>410.71501910000001</v>
      </c>
      <c r="EZ244" t="s">
        <v>498</v>
      </c>
      <c r="FA244" t="s">
        <v>83</v>
      </c>
      <c r="FB244">
        <v>999</v>
      </c>
      <c r="FC244" t="s">
        <v>86</v>
      </c>
      <c r="FD244">
        <v>4.5469999999999998E-3</v>
      </c>
      <c r="FE244" t="s">
        <v>74</v>
      </c>
      <c r="FF244">
        <v>4.54671</v>
      </c>
      <c r="FG244" t="s">
        <v>75</v>
      </c>
      <c r="FH244">
        <v>4546.7129999999997</v>
      </c>
      <c r="FI244" t="s">
        <v>76</v>
      </c>
      <c r="FJ244" t="s">
        <v>82</v>
      </c>
      <c r="FK244">
        <v>219.93908719999999</v>
      </c>
    </row>
    <row r="245" spans="127:167" x14ac:dyDescent="0.3">
      <c r="DX245" t="s">
        <v>498</v>
      </c>
      <c r="DY245" t="s">
        <v>85</v>
      </c>
      <c r="DZ245">
        <v>1001</v>
      </c>
      <c r="EA245" t="s">
        <v>86</v>
      </c>
      <c r="EB245">
        <v>4.4860000000000004E-3</v>
      </c>
      <c r="EC245" t="s">
        <v>74</v>
      </c>
      <c r="ED245">
        <v>4.4856299999999996</v>
      </c>
      <c r="EE245" t="s">
        <v>75</v>
      </c>
      <c r="EF245">
        <v>4485.625</v>
      </c>
      <c r="EG245" t="s">
        <v>76</v>
      </c>
      <c r="EH245" t="s">
        <v>82</v>
      </c>
      <c r="EI245">
        <v>222.93436130000001</v>
      </c>
      <c r="EL245" t="s">
        <v>498</v>
      </c>
      <c r="EM245" t="s">
        <v>85</v>
      </c>
      <c r="EN245">
        <v>1001</v>
      </c>
      <c r="EO245" t="s">
        <v>86</v>
      </c>
      <c r="EP245">
        <v>2.4420000000000002E-3</v>
      </c>
      <c r="EQ245" t="s">
        <v>74</v>
      </c>
      <c r="ER245">
        <v>2.4422600000000001</v>
      </c>
      <c r="ES245" t="s">
        <v>75</v>
      </c>
      <c r="ET245">
        <v>2442.2640000000001</v>
      </c>
      <c r="EU245" t="s">
        <v>76</v>
      </c>
      <c r="EV245" t="s">
        <v>82</v>
      </c>
      <c r="EW245">
        <v>409.4561544</v>
      </c>
      <c r="EZ245" t="s">
        <v>498</v>
      </c>
      <c r="FA245" t="s">
        <v>85</v>
      </c>
      <c r="FB245">
        <v>1001</v>
      </c>
      <c r="FC245" t="s">
        <v>86</v>
      </c>
      <c r="FD245">
        <v>4.5519999999999996E-3</v>
      </c>
      <c r="FE245" t="s">
        <v>74</v>
      </c>
      <c r="FF245">
        <v>4.5523800000000003</v>
      </c>
      <c r="FG245" t="s">
        <v>75</v>
      </c>
      <c r="FH245">
        <v>4552.3789999999999</v>
      </c>
      <c r="FI245" t="s">
        <v>76</v>
      </c>
      <c r="FJ245" t="s">
        <v>82</v>
      </c>
      <c r="FK245">
        <v>219.66538349999999</v>
      </c>
    </row>
    <row r="247" spans="127:167" x14ac:dyDescent="0.3">
      <c r="DW247">
        <v>15</v>
      </c>
      <c r="DX247" t="s">
        <v>546</v>
      </c>
      <c r="EK247">
        <v>15</v>
      </c>
      <c r="EL247" t="s">
        <v>546</v>
      </c>
      <c r="EY247">
        <v>15</v>
      </c>
      <c r="EZ247" t="s">
        <v>546</v>
      </c>
    </row>
    <row r="248" spans="127:167" x14ac:dyDescent="0.3">
      <c r="DX248" t="s">
        <v>496</v>
      </c>
      <c r="DY248" t="s">
        <v>72</v>
      </c>
      <c r="DZ248">
        <v>1</v>
      </c>
      <c r="EA248" t="s">
        <v>81</v>
      </c>
      <c r="EB248">
        <v>0.33653499999999997</v>
      </c>
      <c r="EC248" t="s">
        <v>74</v>
      </c>
      <c r="ED248">
        <v>336.53530000000001</v>
      </c>
      <c r="EE248" t="s">
        <v>75</v>
      </c>
      <c r="EF248">
        <v>336535.30499999999</v>
      </c>
      <c r="EG248" t="s">
        <v>76</v>
      </c>
      <c r="EH248" t="s">
        <v>82</v>
      </c>
      <c r="EI248">
        <v>2.9714564000000001</v>
      </c>
      <c r="EL248" t="s">
        <v>496</v>
      </c>
      <c r="EM248" t="s">
        <v>72</v>
      </c>
      <c r="EN248">
        <v>1</v>
      </c>
      <c r="EO248" t="s">
        <v>81</v>
      </c>
      <c r="EP248">
        <v>0.40597</v>
      </c>
      <c r="EQ248" t="s">
        <v>74</v>
      </c>
      <c r="ER248">
        <v>405.97039000000001</v>
      </c>
      <c r="ES248" t="s">
        <v>75</v>
      </c>
      <c r="ET248">
        <v>405970.39500000002</v>
      </c>
      <c r="EU248" t="s">
        <v>76</v>
      </c>
      <c r="EV248" t="s">
        <v>82</v>
      </c>
      <c r="EW248">
        <v>2.4632337999999998</v>
      </c>
      <c r="EZ248" t="s">
        <v>496</v>
      </c>
      <c r="FA248" t="s">
        <v>72</v>
      </c>
      <c r="FB248">
        <v>1</v>
      </c>
      <c r="FC248" t="s">
        <v>81</v>
      </c>
      <c r="FD248">
        <v>0.33350099999999999</v>
      </c>
      <c r="FE248" t="s">
        <v>74</v>
      </c>
      <c r="FF248">
        <v>333.50049999999999</v>
      </c>
      <c r="FG248" t="s">
        <v>75</v>
      </c>
      <c r="FH248">
        <v>333500.50400000002</v>
      </c>
      <c r="FI248" t="s">
        <v>76</v>
      </c>
      <c r="FJ248" t="s">
        <v>82</v>
      </c>
      <c r="FK248">
        <v>2.9984961999999999</v>
      </c>
    </row>
    <row r="249" spans="127:167" x14ac:dyDescent="0.3">
      <c r="DX249" t="s">
        <v>496</v>
      </c>
      <c r="DY249" t="s">
        <v>83</v>
      </c>
      <c r="DZ249">
        <v>388</v>
      </c>
      <c r="EA249" t="s">
        <v>81</v>
      </c>
      <c r="EB249">
        <v>1.1814E-2</v>
      </c>
      <c r="EC249" t="s">
        <v>74</v>
      </c>
      <c r="ED249">
        <v>11.81432</v>
      </c>
      <c r="EE249" t="s">
        <v>75</v>
      </c>
      <c r="EF249">
        <v>11814.323</v>
      </c>
      <c r="EG249" t="s">
        <v>76</v>
      </c>
      <c r="EH249" t="s">
        <v>82</v>
      </c>
      <c r="EI249">
        <v>84.643024199999999</v>
      </c>
      <c r="EL249" t="s">
        <v>496</v>
      </c>
      <c r="EM249" t="s">
        <v>83</v>
      </c>
      <c r="EN249">
        <v>288</v>
      </c>
      <c r="EO249" t="s">
        <v>81</v>
      </c>
      <c r="EP249">
        <v>7.6899999999999998E-3</v>
      </c>
      <c r="EQ249" t="s">
        <v>74</v>
      </c>
      <c r="ER249">
        <v>7.6902100000000004</v>
      </c>
      <c r="ES249" t="s">
        <v>75</v>
      </c>
      <c r="ET249">
        <v>7690.2079999999996</v>
      </c>
      <c r="EU249" t="s">
        <v>76</v>
      </c>
      <c r="EV249" t="s">
        <v>82</v>
      </c>
      <c r="EW249">
        <v>130.0354974</v>
      </c>
      <c r="EZ249" t="s">
        <v>496</v>
      </c>
      <c r="FA249" t="s">
        <v>83</v>
      </c>
      <c r="FB249">
        <v>403</v>
      </c>
      <c r="FC249" t="s">
        <v>81</v>
      </c>
      <c r="FD249">
        <v>1.1417E-2</v>
      </c>
      <c r="FE249" t="s">
        <v>74</v>
      </c>
      <c r="FF249">
        <v>11.417070000000001</v>
      </c>
      <c r="FG249" t="s">
        <v>75</v>
      </c>
      <c r="FH249">
        <v>11417.066000000001</v>
      </c>
      <c r="FI249" t="s">
        <v>76</v>
      </c>
      <c r="FJ249" t="s">
        <v>82</v>
      </c>
      <c r="FK249">
        <v>87.588177999999999</v>
      </c>
    </row>
    <row r="250" spans="127:167" x14ac:dyDescent="0.3">
      <c r="DX250" t="s">
        <v>496</v>
      </c>
      <c r="DY250" t="s">
        <v>84</v>
      </c>
      <c r="DZ250">
        <v>389</v>
      </c>
      <c r="EA250" t="s">
        <v>81</v>
      </c>
      <c r="EB250">
        <v>1.2649000000000001E-2</v>
      </c>
      <c r="EC250" t="s">
        <v>74</v>
      </c>
      <c r="ED250">
        <v>12.64908</v>
      </c>
      <c r="EE250" t="s">
        <v>75</v>
      </c>
      <c r="EF250">
        <v>12649.075000000001</v>
      </c>
      <c r="EG250" t="s">
        <v>76</v>
      </c>
      <c r="EH250" t="s">
        <v>82</v>
      </c>
      <c r="EI250">
        <v>79.0571628</v>
      </c>
      <c r="EL250" t="s">
        <v>496</v>
      </c>
      <c r="EM250" t="s">
        <v>84</v>
      </c>
      <c r="EN250">
        <v>289</v>
      </c>
      <c r="EO250" t="s">
        <v>81</v>
      </c>
      <c r="EP250">
        <v>9.0679999999999997E-3</v>
      </c>
      <c r="EQ250" t="s">
        <v>74</v>
      </c>
      <c r="ER250">
        <v>9.0683399999999992</v>
      </c>
      <c r="ES250" t="s">
        <v>75</v>
      </c>
      <c r="ET250">
        <v>9068.3439999999991</v>
      </c>
      <c r="EU250" t="s">
        <v>76</v>
      </c>
      <c r="EV250" t="s">
        <v>82</v>
      </c>
      <c r="EW250">
        <v>110.2737185</v>
      </c>
      <c r="EZ250" t="s">
        <v>496</v>
      </c>
      <c r="FA250" t="s">
        <v>84</v>
      </c>
      <c r="FB250">
        <v>404</v>
      </c>
      <c r="FC250" t="s">
        <v>81</v>
      </c>
      <c r="FD250">
        <v>1.2213999999999999E-2</v>
      </c>
      <c r="FE250" t="s">
        <v>74</v>
      </c>
      <c r="FF250">
        <v>12.2143</v>
      </c>
      <c r="FG250" t="s">
        <v>75</v>
      </c>
      <c r="FH250">
        <v>12214.300999999999</v>
      </c>
      <c r="FI250" t="s">
        <v>76</v>
      </c>
      <c r="FJ250" t="s">
        <v>82</v>
      </c>
      <c r="FK250">
        <v>81.871244899999994</v>
      </c>
    </row>
    <row r="251" spans="127:167" x14ac:dyDescent="0.3">
      <c r="DX251" t="s">
        <v>497</v>
      </c>
      <c r="DY251" t="s">
        <v>72</v>
      </c>
      <c r="DZ251">
        <v>1</v>
      </c>
      <c r="EA251" t="s">
        <v>81</v>
      </c>
      <c r="EB251">
        <v>0.117441</v>
      </c>
      <c r="EC251" t="s">
        <v>74</v>
      </c>
      <c r="ED251">
        <v>117.4414</v>
      </c>
      <c r="EE251" t="s">
        <v>75</v>
      </c>
      <c r="EF251">
        <v>117441.401</v>
      </c>
      <c r="EG251" t="s">
        <v>76</v>
      </c>
      <c r="EH251" t="s">
        <v>82</v>
      </c>
      <c r="EI251">
        <v>8.5148848000000008</v>
      </c>
      <c r="EL251" t="s">
        <v>497</v>
      </c>
      <c r="EM251" t="s">
        <v>72</v>
      </c>
      <c r="EN251">
        <v>1</v>
      </c>
      <c r="EO251" t="s">
        <v>81</v>
      </c>
      <c r="EP251">
        <v>0.118801</v>
      </c>
      <c r="EQ251" t="s">
        <v>74</v>
      </c>
      <c r="ER251">
        <v>118.80070000000001</v>
      </c>
      <c r="ES251" t="s">
        <v>75</v>
      </c>
      <c r="ET251">
        <v>118800.7</v>
      </c>
      <c r="EU251" t="s">
        <v>76</v>
      </c>
      <c r="EV251" t="s">
        <v>82</v>
      </c>
      <c r="EW251">
        <v>8.4174588000000004</v>
      </c>
      <c r="EZ251" t="s">
        <v>497</v>
      </c>
      <c r="FA251" t="s">
        <v>72</v>
      </c>
      <c r="FB251">
        <v>1</v>
      </c>
      <c r="FC251" t="s">
        <v>81</v>
      </c>
      <c r="FD251">
        <v>0.122001</v>
      </c>
      <c r="FE251" t="s">
        <v>74</v>
      </c>
      <c r="FF251">
        <v>122.00069999999999</v>
      </c>
      <c r="FG251" t="s">
        <v>75</v>
      </c>
      <c r="FH251">
        <v>122000.702</v>
      </c>
      <c r="FI251" t="s">
        <v>76</v>
      </c>
      <c r="FJ251" t="s">
        <v>82</v>
      </c>
      <c r="FK251">
        <v>8.1966742000000004</v>
      </c>
    </row>
    <row r="252" spans="127:167" x14ac:dyDescent="0.3">
      <c r="DX252" t="s">
        <v>497</v>
      </c>
      <c r="DY252" t="s">
        <v>83</v>
      </c>
      <c r="DZ252">
        <v>611</v>
      </c>
      <c r="EA252" t="s">
        <v>81</v>
      </c>
      <c r="EB252">
        <v>7.7720000000000003E-3</v>
      </c>
      <c r="EC252" t="s">
        <v>74</v>
      </c>
      <c r="ED252">
        <v>7.7717700000000001</v>
      </c>
      <c r="EE252" t="s">
        <v>75</v>
      </c>
      <c r="EF252">
        <v>7771.7659999999996</v>
      </c>
      <c r="EG252" t="s">
        <v>76</v>
      </c>
      <c r="EH252" t="s">
        <v>82</v>
      </c>
      <c r="EI252">
        <v>128.6708849</v>
      </c>
      <c r="EL252" t="s">
        <v>497</v>
      </c>
      <c r="EM252" t="s">
        <v>83</v>
      </c>
      <c r="EN252">
        <v>711</v>
      </c>
      <c r="EO252" t="s">
        <v>81</v>
      </c>
      <c r="EP252">
        <v>3.4780000000000002E-3</v>
      </c>
      <c r="EQ252" t="s">
        <v>74</v>
      </c>
      <c r="ER252">
        <v>3.4784700000000002</v>
      </c>
      <c r="ES252" t="s">
        <v>75</v>
      </c>
      <c r="ET252">
        <v>3478.4670000000001</v>
      </c>
      <c r="EU252" t="s">
        <v>76</v>
      </c>
      <c r="EV252" t="s">
        <v>82</v>
      </c>
      <c r="EW252">
        <v>287.48298699999998</v>
      </c>
      <c r="EZ252" t="s">
        <v>497</v>
      </c>
      <c r="FA252" t="s">
        <v>83</v>
      </c>
      <c r="FB252">
        <v>596</v>
      </c>
      <c r="FC252" t="s">
        <v>81</v>
      </c>
      <c r="FD252">
        <v>8.0359999999999997E-3</v>
      </c>
      <c r="FE252" t="s">
        <v>74</v>
      </c>
      <c r="FF252">
        <v>8.0358699999999992</v>
      </c>
      <c r="FG252" t="s">
        <v>75</v>
      </c>
      <c r="FH252">
        <v>8035.8670000000002</v>
      </c>
      <c r="FI252" t="s">
        <v>76</v>
      </c>
      <c r="FJ252" t="s">
        <v>82</v>
      </c>
      <c r="FK252">
        <v>124.4420794</v>
      </c>
    </row>
    <row r="253" spans="127:167" x14ac:dyDescent="0.3">
      <c r="DX253" t="s">
        <v>497</v>
      </c>
      <c r="DY253" t="s">
        <v>84</v>
      </c>
      <c r="DZ253">
        <v>612</v>
      </c>
      <c r="EA253" t="s">
        <v>81</v>
      </c>
      <c r="EB253">
        <v>7.9509999999999997E-3</v>
      </c>
      <c r="EC253" t="s">
        <v>74</v>
      </c>
      <c r="ED253">
        <v>7.9509600000000002</v>
      </c>
      <c r="EE253" t="s">
        <v>75</v>
      </c>
      <c r="EF253">
        <v>7950.9639999999999</v>
      </c>
      <c r="EG253" t="s">
        <v>76</v>
      </c>
      <c r="EH253" t="s">
        <v>82</v>
      </c>
      <c r="EI253">
        <v>125.7709078</v>
      </c>
      <c r="EL253" t="s">
        <v>497</v>
      </c>
      <c r="EM253" t="s">
        <v>84</v>
      </c>
      <c r="EN253">
        <v>712</v>
      </c>
      <c r="EO253" t="s">
        <v>81</v>
      </c>
      <c r="EP253">
        <v>3.64E-3</v>
      </c>
      <c r="EQ253" t="s">
        <v>74</v>
      </c>
      <c r="ER253">
        <v>3.6404399999999999</v>
      </c>
      <c r="ES253" t="s">
        <v>75</v>
      </c>
      <c r="ET253">
        <v>3640.4369999999999</v>
      </c>
      <c r="EU253" t="s">
        <v>76</v>
      </c>
      <c r="EV253" t="s">
        <v>82</v>
      </c>
      <c r="EW253">
        <v>274.69231739999998</v>
      </c>
      <c r="EZ253" t="s">
        <v>497</v>
      </c>
      <c r="FA253" t="s">
        <v>84</v>
      </c>
      <c r="FB253">
        <v>597</v>
      </c>
      <c r="FC253" t="s">
        <v>81</v>
      </c>
      <c r="FD253">
        <v>8.2269999999999999E-3</v>
      </c>
      <c r="FE253" t="s">
        <v>74</v>
      </c>
      <c r="FF253">
        <v>8.2267600000000005</v>
      </c>
      <c r="FG253" t="s">
        <v>75</v>
      </c>
      <c r="FH253">
        <v>8226.7639999999992</v>
      </c>
      <c r="FI253" t="s">
        <v>76</v>
      </c>
      <c r="FJ253" t="s">
        <v>82</v>
      </c>
      <c r="FK253">
        <v>121.5544707</v>
      </c>
    </row>
    <row r="254" spans="127:167" x14ac:dyDescent="0.3">
      <c r="DX254" t="s">
        <v>498</v>
      </c>
      <c r="DY254" t="s">
        <v>72</v>
      </c>
      <c r="DZ254">
        <v>2</v>
      </c>
      <c r="EA254" t="s">
        <v>86</v>
      </c>
      <c r="EB254">
        <v>0.168295</v>
      </c>
      <c r="EC254" t="s">
        <v>74</v>
      </c>
      <c r="ED254">
        <v>168.29459</v>
      </c>
      <c r="EE254" t="s">
        <v>75</v>
      </c>
      <c r="EF254">
        <v>168294.59400000001</v>
      </c>
      <c r="EG254" t="s">
        <v>76</v>
      </c>
      <c r="EH254" t="s">
        <v>82</v>
      </c>
      <c r="EI254">
        <v>5.9419614999999997</v>
      </c>
      <c r="EL254" t="s">
        <v>498</v>
      </c>
      <c r="EM254" t="s">
        <v>72</v>
      </c>
      <c r="EN254">
        <v>2</v>
      </c>
      <c r="EO254" t="s">
        <v>86</v>
      </c>
      <c r="EP254">
        <v>0.203011</v>
      </c>
      <c r="EQ254" t="s">
        <v>74</v>
      </c>
      <c r="ER254">
        <v>203.01053999999999</v>
      </c>
      <c r="ES254" t="s">
        <v>75</v>
      </c>
      <c r="ET254">
        <v>203010.54399999999</v>
      </c>
      <c r="EU254" t="s">
        <v>76</v>
      </c>
      <c r="EV254" t="s">
        <v>82</v>
      </c>
      <c r="EW254">
        <v>4.9258525000000004</v>
      </c>
      <c r="EZ254" t="s">
        <v>498</v>
      </c>
      <c r="FA254" t="s">
        <v>72</v>
      </c>
      <c r="FB254">
        <v>2</v>
      </c>
      <c r="FC254" t="s">
        <v>86</v>
      </c>
      <c r="FD254">
        <v>0.16677500000000001</v>
      </c>
      <c r="FE254" t="s">
        <v>74</v>
      </c>
      <c r="FF254">
        <v>166.77475000000001</v>
      </c>
      <c r="FG254" t="s">
        <v>75</v>
      </c>
      <c r="FH254">
        <v>166774.75</v>
      </c>
      <c r="FI254" t="s">
        <v>76</v>
      </c>
      <c r="FJ254" t="s">
        <v>82</v>
      </c>
      <c r="FK254">
        <v>5.9961114999999996</v>
      </c>
    </row>
    <row r="255" spans="127:167" x14ac:dyDescent="0.3">
      <c r="DX255" t="s">
        <v>498</v>
      </c>
      <c r="DY255" t="s">
        <v>83</v>
      </c>
      <c r="DZ255">
        <v>999</v>
      </c>
      <c r="EA255" t="s">
        <v>86</v>
      </c>
      <c r="EB255">
        <v>4.8120000000000003E-3</v>
      </c>
      <c r="EC255" t="s">
        <v>74</v>
      </c>
      <c r="ED255">
        <v>4.8120799999999999</v>
      </c>
      <c r="EE255" t="s">
        <v>75</v>
      </c>
      <c r="EF255">
        <v>4812.0780000000004</v>
      </c>
      <c r="EG255" t="s">
        <v>76</v>
      </c>
      <c r="EH255" t="s">
        <v>82</v>
      </c>
      <c r="EI255">
        <v>207.81041680000001</v>
      </c>
      <c r="EL255" t="s">
        <v>498</v>
      </c>
      <c r="EM255" t="s">
        <v>83</v>
      </c>
      <c r="EN255">
        <v>999</v>
      </c>
      <c r="EO255" t="s">
        <v>86</v>
      </c>
      <c r="EP255">
        <v>2.513E-3</v>
      </c>
      <c r="EQ255" t="s">
        <v>74</v>
      </c>
      <c r="ER255">
        <v>2.5128699999999999</v>
      </c>
      <c r="ES255" t="s">
        <v>75</v>
      </c>
      <c r="ET255">
        <v>2512.8690000000001</v>
      </c>
      <c r="EU255" t="s">
        <v>76</v>
      </c>
      <c r="EV255" t="s">
        <v>82</v>
      </c>
      <c r="EW255">
        <v>397.951458</v>
      </c>
      <c r="EZ255" t="s">
        <v>498</v>
      </c>
      <c r="FA255" t="s">
        <v>83</v>
      </c>
      <c r="FB255">
        <v>999</v>
      </c>
      <c r="FC255" t="s">
        <v>86</v>
      </c>
      <c r="FD255">
        <v>4.8219999999999999E-3</v>
      </c>
      <c r="FE255" t="s">
        <v>74</v>
      </c>
      <c r="FF255">
        <v>4.82247</v>
      </c>
      <c r="FG255" t="s">
        <v>75</v>
      </c>
      <c r="FH255">
        <v>4822.4719999999998</v>
      </c>
      <c r="FI255" t="s">
        <v>76</v>
      </c>
      <c r="FJ255" t="s">
        <v>82</v>
      </c>
      <c r="FK255">
        <v>207.36251759999999</v>
      </c>
    </row>
    <row r="256" spans="127:167" x14ac:dyDescent="0.3">
      <c r="DX256" t="s">
        <v>498</v>
      </c>
      <c r="DY256" t="s">
        <v>85</v>
      </c>
      <c r="DZ256">
        <v>1001</v>
      </c>
      <c r="EA256" t="s">
        <v>86</v>
      </c>
      <c r="EB256">
        <v>4.9259999999999998E-3</v>
      </c>
      <c r="EC256" t="s">
        <v>74</v>
      </c>
      <c r="ED256">
        <v>4.9256099999999998</v>
      </c>
      <c r="EE256" t="s">
        <v>75</v>
      </c>
      <c r="EF256">
        <v>4925.6120000000001</v>
      </c>
      <c r="EG256" t="s">
        <v>76</v>
      </c>
      <c r="EH256" t="s">
        <v>82</v>
      </c>
      <c r="EI256">
        <v>203.0204535</v>
      </c>
      <c r="EL256" t="s">
        <v>498</v>
      </c>
      <c r="EM256" t="s">
        <v>85</v>
      </c>
      <c r="EN256">
        <v>1001</v>
      </c>
      <c r="EO256" t="s">
        <v>86</v>
      </c>
      <c r="EP256">
        <v>2.63E-3</v>
      </c>
      <c r="EQ256" t="s">
        <v>74</v>
      </c>
      <c r="ER256">
        <v>2.6297999999999999</v>
      </c>
      <c r="ES256" t="s">
        <v>75</v>
      </c>
      <c r="ET256">
        <v>2629.8029999999999</v>
      </c>
      <c r="EU256" t="s">
        <v>76</v>
      </c>
      <c r="EV256" t="s">
        <v>82</v>
      </c>
      <c r="EW256">
        <v>380.25666940000002</v>
      </c>
      <c r="EZ256" t="s">
        <v>498</v>
      </c>
      <c r="FA256" t="s">
        <v>85</v>
      </c>
      <c r="FB256">
        <v>1001</v>
      </c>
      <c r="FC256" t="s">
        <v>86</v>
      </c>
      <c r="FD256">
        <v>4.9410000000000001E-3</v>
      </c>
      <c r="FE256" t="s">
        <v>74</v>
      </c>
      <c r="FF256">
        <v>4.94055</v>
      </c>
      <c r="FG256" t="s">
        <v>75</v>
      </c>
      <c r="FH256">
        <v>4940.5510000000004</v>
      </c>
      <c r="FI256" t="s">
        <v>76</v>
      </c>
      <c r="FJ256" t="s">
        <v>82</v>
      </c>
      <c r="FK256">
        <v>202.40658339999999</v>
      </c>
    </row>
    <row r="258" spans="127:167" x14ac:dyDescent="0.3">
      <c r="DX258" t="s">
        <v>547</v>
      </c>
      <c r="EL258" t="s">
        <v>547</v>
      </c>
      <c r="EZ258" t="s">
        <v>547</v>
      </c>
    </row>
    <row r="259" spans="127:167" x14ac:dyDescent="0.3">
      <c r="DX259" t="s">
        <v>496</v>
      </c>
      <c r="DY259" t="s">
        <v>72</v>
      </c>
      <c r="DZ259">
        <v>1</v>
      </c>
      <c r="EA259" t="s">
        <v>81</v>
      </c>
      <c r="EB259">
        <v>2.4806999999999999E-2</v>
      </c>
      <c r="EC259" t="s">
        <v>74</v>
      </c>
      <c r="ED259">
        <v>24.807200000000002</v>
      </c>
      <c r="EE259" t="s">
        <v>75</v>
      </c>
      <c r="EF259">
        <v>24807.200000000001</v>
      </c>
      <c r="EG259" t="s">
        <v>76</v>
      </c>
      <c r="EH259" t="s">
        <v>82</v>
      </c>
      <c r="EI259">
        <v>40.3108778</v>
      </c>
      <c r="EL259" t="s">
        <v>496</v>
      </c>
      <c r="EM259" t="s">
        <v>72</v>
      </c>
      <c r="EN259">
        <v>1</v>
      </c>
      <c r="EO259" t="s">
        <v>81</v>
      </c>
      <c r="EP259">
        <v>2.4452000000000002E-2</v>
      </c>
      <c r="EQ259" t="s">
        <v>74</v>
      </c>
      <c r="ER259">
        <v>24.451699999999999</v>
      </c>
      <c r="ES259" t="s">
        <v>75</v>
      </c>
      <c r="ET259">
        <v>24451.699000000001</v>
      </c>
      <c r="EU259" t="s">
        <v>76</v>
      </c>
      <c r="EV259" t="s">
        <v>82</v>
      </c>
      <c r="EW259">
        <v>40.896953400000001</v>
      </c>
      <c r="EZ259" t="s">
        <v>496</v>
      </c>
      <c r="FA259" t="s">
        <v>72</v>
      </c>
      <c r="FB259">
        <v>1</v>
      </c>
      <c r="FC259" t="s">
        <v>81</v>
      </c>
      <c r="FD259">
        <v>2.5857000000000002E-2</v>
      </c>
      <c r="FE259" t="s">
        <v>74</v>
      </c>
      <c r="FF259">
        <v>25.857199999999999</v>
      </c>
      <c r="FG259" t="s">
        <v>75</v>
      </c>
      <c r="FH259">
        <v>25857.201000000001</v>
      </c>
      <c r="FI259" t="s">
        <v>76</v>
      </c>
      <c r="FJ259" t="s">
        <v>82</v>
      </c>
      <c r="FK259">
        <v>38.673946399999998</v>
      </c>
    </row>
    <row r="260" spans="127:167" x14ac:dyDescent="0.3">
      <c r="DX260" t="s">
        <v>496</v>
      </c>
      <c r="DY260" t="s">
        <v>83</v>
      </c>
      <c r="DZ260">
        <v>468</v>
      </c>
      <c r="EA260" t="s">
        <v>81</v>
      </c>
      <c r="EB260">
        <v>1.1126E-2</v>
      </c>
      <c r="EC260" t="s">
        <v>74</v>
      </c>
      <c r="ED260">
        <v>11.126329999999999</v>
      </c>
      <c r="EE260" t="s">
        <v>75</v>
      </c>
      <c r="EF260">
        <v>11126.333000000001</v>
      </c>
      <c r="EG260" t="s">
        <v>76</v>
      </c>
      <c r="EH260" t="s">
        <v>82</v>
      </c>
      <c r="EI260">
        <v>89.876872899999995</v>
      </c>
      <c r="EL260" t="s">
        <v>496</v>
      </c>
      <c r="EM260" t="s">
        <v>83</v>
      </c>
      <c r="EN260">
        <v>452</v>
      </c>
      <c r="EO260" t="s">
        <v>81</v>
      </c>
      <c r="EP260">
        <v>5.3309999999999998E-3</v>
      </c>
      <c r="EQ260" t="s">
        <v>74</v>
      </c>
      <c r="ER260">
        <v>5.3308799999999996</v>
      </c>
      <c r="ES260" t="s">
        <v>75</v>
      </c>
      <c r="ET260">
        <v>5330.8810000000003</v>
      </c>
      <c r="EU260" t="s">
        <v>76</v>
      </c>
      <c r="EV260" t="s">
        <v>82</v>
      </c>
      <c r="EW260">
        <v>187.58626649999999</v>
      </c>
      <c r="EZ260" t="s">
        <v>496</v>
      </c>
      <c r="FA260" t="s">
        <v>83</v>
      </c>
      <c r="FB260">
        <v>470</v>
      </c>
      <c r="FC260" t="s">
        <v>81</v>
      </c>
      <c r="FD260">
        <v>1.1089E-2</v>
      </c>
      <c r="FE260" t="s">
        <v>74</v>
      </c>
      <c r="FF260">
        <v>11.089079999999999</v>
      </c>
      <c r="FG260" t="s">
        <v>75</v>
      </c>
      <c r="FH260">
        <v>11089.078</v>
      </c>
      <c r="FI260" t="s">
        <v>76</v>
      </c>
      <c r="FJ260" t="s">
        <v>82</v>
      </c>
      <c r="FK260">
        <v>90.178819399999995</v>
      </c>
    </row>
    <row r="261" spans="127:167" x14ac:dyDescent="0.3">
      <c r="DX261" t="s">
        <v>496</v>
      </c>
      <c r="DY261" t="s">
        <v>84</v>
      </c>
      <c r="DZ261">
        <v>469</v>
      </c>
      <c r="EA261" t="s">
        <v>81</v>
      </c>
      <c r="EB261">
        <v>1.1155999999999999E-2</v>
      </c>
      <c r="EC261" t="s">
        <v>74</v>
      </c>
      <c r="ED261">
        <v>11.1555</v>
      </c>
      <c r="EE261" t="s">
        <v>75</v>
      </c>
      <c r="EF261">
        <v>11155.504999999999</v>
      </c>
      <c r="EG261" t="s">
        <v>76</v>
      </c>
      <c r="EH261" t="s">
        <v>82</v>
      </c>
      <c r="EI261">
        <v>89.641843199999997</v>
      </c>
      <c r="EL261" t="s">
        <v>496</v>
      </c>
      <c r="EM261" t="s">
        <v>84</v>
      </c>
      <c r="EN261">
        <v>453</v>
      </c>
      <c r="EO261" t="s">
        <v>81</v>
      </c>
      <c r="EP261">
        <v>5.3730000000000002E-3</v>
      </c>
      <c r="EQ261" t="s">
        <v>74</v>
      </c>
      <c r="ER261">
        <v>5.3730900000000004</v>
      </c>
      <c r="ES261" t="s">
        <v>75</v>
      </c>
      <c r="ET261">
        <v>5373.09</v>
      </c>
      <c r="EU261" t="s">
        <v>76</v>
      </c>
      <c r="EV261" t="s">
        <v>82</v>
      </c>
      <c r="EW261">
        <v>186.11264499999999</v>
      </c>
      <c r="EZ261" t="s">
        <v>496</v>
      </c>
      <c r="FA261" t="s">
        <v>84</v>
      </c>
      <c r="FB261">
        <v>471</v>
      </c>
      <c r="FC261" t="s">
        <v>81</v>
      </c>
      <c r="FD261">
        <v>1.112E-2</v>
      </c>
      <c r="FE261" t="s">
        <v>74</v>
      </c>
      <c r="FF261">
        <v>11.120430000000001</v>
      </c>
      <c r="FG261" t="s">
        <v>75</v>
      </c>
      <c r="FH261">
        <v>11120.434999999999</v>
      </c>
      <c r="FI261" t="s">
        <v>76</v>
      </c>
      <c r="FJ261" t="s">
        <v>82</v>
      </c>
      <c r="FK261">
        <v>89.924541599999998</v>
      </c>
    </row>
    <row r="262" spans="127:167" x14ac:dyDescent="0.3">
      <c r="DX262" t="s">
        <v>497</v>
      </c>
      <c r="DY262" t="s">
        <v>72</v>
      </c>
      <c r="DZ262">
        <v>1</v>
      </c>
      <c r="EA262" t="s">
        <v>81</v>
      </c>
      <c r="EB262">
        <v>9.8539999999999999E-3</v>
      </c>
      <c r="EC262" t="s">
        <v>74</v>
      </c>
      <c r="ED262">
        <v>9.8537999999999997</v>
      </c>
      <c r="EE262" t="s">
        <v>75</v>
      </c>
      <c r="EF262">
        <v>9853.7999999999993</v>
      </c>
      <c r="EG262" t="s">
        <v>76</v>
      </c>
      <c r="EH262" t="s">
        <v>82</v>
      </c>
      <c r="EI262">
        <v>101.4836933</v>
      </c>
      <c r="EL262" t="s">
        <v>497</v>
      </c>
      <c r="EM262" t="s">
        <v>72</v>
      </c>
      <c r="EN262">
        <v>1</v>
      </c>
      <c r="EO262" t="s">
        <v>81</v>
      </c>
      <c r="EP262">
        <v>9.3810000000000004E-3</v>
      </c>
      <c r="EQ262" t="s">
        <v>74</v>
      </c>
      <c r="ER262">
        <v>9.3811999999999998</v>
      </c>
      <c r="ES262" t="s">
        <v>75</v>
      </c>
      <c r="ET262">
        <v>9381.2000000000007</v>
      </c>
      <c r="EU262" t="s">
        <v>76</v>
      </c>
      <c r="EV262" t="s">
        <v>82</v>
      </c>
      <c r="EW262">
        <v>106.5961689</v>
      </c>
      <c r="EZ262" t="s">
        <v>497</v>
      </c>
      <c r="FA262" t="s">
        <v>72</v>
      </c>
      <c r="FB262">
        <v>1</v>
      </c>
      <c r="FC262" t="s">
        <v>81</v>
      </c>
      <c r="FD262">
        <v>9.5720000000000006E-3</v>
      </c>
      <c r="FE262" t="s">
        <v>74</v>
      </c>
      <c r="FF262">
        <v>9.5723000000000003</v>
      </c>
      <c r="FG262" t="s">
        <v>75</v>
      </c>
      <c r="FH262">
        <v>9572.2999999999993</v>
      </c>
      <c r="FI262" t="s">
        <v>76</v>
      </c>
      <c r="FJ262" t="s">
        <v>82</v>
      </c>
      <c r="FK262">
        <v>104.46809930000001</v>
      </c>
    </row>
    <row r="263" spans="127:167" x14ac:dyDescent="0.3">
      <c r="DX263" t="s">
        <v>497</v>
      </c>
      <c r="DY263" t="s">
        <v>83</v>
      </c>
      <c r="DZ263">
        <v>531</v>
      </c>
      <c r="EA263" t="s">
        <v>81</v>
      </c>
      <c r="EB263">
        <v>9.7940000000000006E-3</v>
      </c>
      <c r="EC263" t="s">
        <v>74</v>
      </c>
      <c r="ED263">
        <v>9.7943099999999994</v>
      </c>
      <c r="EE263" t="s">
        <v>75</v>
      </c>
      <c r="EF263">
        <v>9794.3070000000007</v>
      </c>
      <c r="EG263" t="s">
        <v>76</v>
      </c>
      <c r="EH263" t="s">
        <v>82</v>
      </c>
      <c r="EI263">
        <v>102.10012740000001</v>
      </c>
      <c r="EL263" t="s">
        <v>497</v>
      </c>
      <c r="EM263" t="s">
        <v>83</v>
      </c>
      <c r="EN263">
        <v>547</v>
      </c>
      <c r="EO263" t="s">
        <v>81</v>
      </c>
      <c r="EP263">
        <v>4.4320000000000002E-3</v>
      </c>
      <c r="EQ263" t="s">
        <v>74</v>
      </c>
      <c r="ER263">
        <v>4.4316300000000002</v>
      </c>
      <c r="ES263" t="s">
        <v>75</v>
      </c>
      <c r="ET263">
        <v>4431.6260000000002</v>
      </c>
      <c r="EU263" t="s">
        <v>76</v>
      </c>
      <c r="EV263" t="s">
        <v>82</v>
      </c>
      <c r="EW263">
        <v>225.65083079999999</v>
      </c>
      <c r="EZ263" t="s">
        <v>497</v>
      </c>
      <c r="FA263" t="s">
        <v>83</v>
      </c>
      <c r="FB263">
        <v>529</v>
      </c>
      <c r="FC263" t="s">
        <v>81</v>
      </c>
      <c r="FD263">
        <v>9.8200000000000006E-3</v>
      </c>
      <c r="FE263" t="s">
        <v>74</v>
      </c>
      <c r="FF263">
        <v>9.8196399999999997</v>
      </c>
      <c r="FG263" t="s">
        <v>75</v>
      </c>
      <c r="FH263">
        <v>9819.643</v>
      </c>
      <c r="FI263" t="s">
        <v>76</v>
      </c>
      <c r="FJ263" t="s">
        <v>82</v>
      </c>
      <c r="FK263">
        <v>101.83669810000001</v>
      </c>
    </row>
    <row r="264" spans="127:167" x14ac:dyDescent="0.3">
      <c r="DX264" t="s">
        <v>497</v>
      </c>
      <c r="DY264" t="s">
        <v>84</v>
      </c>
      <c r="DZ264">
        <v>532</v>
      </c>
      <c r="EA264" t="s">
        <v>81</v>
      </c>
      <c r="EB264">
        <v>9.7940000000000006E-3</v>
      </c>
      <c r="EC264" t="s">
        <v>74</v>
      </c>
      <c r="ED264">
        <v>9.7944200000000006</v>
      </c>
      <c r="EE264" t="s">
        <v>75</v>
      </c>
      <c r="EF264">
        <v>9794.42</v>
      </c>
      <c r="EG264" t="s">
        <v>76</v>
      </c>
      <c r="EH264" t="s">
        <v>82</v>
      </c>
      <c r="EI264">
        <v>102.09895160000001</v>
      </c>
      <c r="EL264" t="s">
        <v>497</v>
      </c>
      <c r="EM264" t="s">
        <v>84</v>
      </c>
      <c r="EN264">
        <v>548</v>
      </c>
      <c r="EO264" t="s">
        <v>81</v>
      </c>
      <c r="EP264">
        <v>4.4409999999999996E-3</v>
      </c>
      <c r="EQ264" t="s">
        <v>74</v>
      </c>
      <c r="ER264">
        <v>4.4406600000000003</v>
      </c>
      <c r="ES264" t="s">
        <v>75</v>
      </c>
      <c r="ET264">
        <v>4440.6580000000004</v>
      </c>
      <c r="EU264" t="s">
        <v>76</v>
      </c>
      <c r="EV264" t="s">
        <v>82</v>
      </c>
      <c r="EW264">
        <v>225.1918378</v>
      </c>
      <c r="EZ264" t="s">
        <v>497</v>
      </c>
      <c r="FA264" t="s">
        <v>84</v>
      </c>
      <c r="FB264">
        <v>530</v>
      </c>
      <c r="FC264" t="s">
        <v>81</v>
      </c>
      <c r="FD264">
        <v>9.8189999999999996E-3</v>
      </c>
      <c r="FE264" t="s">
        <v>74</v>
      </c>
      <c r="FF264">
        <v>9.8191799999999994</v>
      </c>
      <c r="FG264" t="s">
        <v>75</v>
      </c>
      <c r="FH264">
        <v>9819.1769999999997</v>
      </c>
      <c r="FI264" t="s">
        <v>76</v>
      </c>
      <c r="FJ264" t="s">
        <v>82</v>
      </c>
      <c r="FK264">
        <v>101.8415341</v>
      </c>
    </row>
    <row r="265" spans="127:167" x14ac:dyDescent="0.3">
      <c r="DX265" t="s">
        <v>498</v>
      </c>
      <c r="DY265" t="s">
        <v>72</v>
      </c>
      <c r="DZ265">
        <v>2</v>
      </c>
      <c r="EA265" t="s">
        <v>86</v>
      </c>
      <c r="EB265">
        <v>1.2406E-2</v>
      </c>
      <c r="EC265" t="s">
        <v>74</v>
      </c>
      <c r="ED265">
        <v>12.40625</v>
      </c>
      <c r="EE265" t="s">
        <v>75</v>
      </c>
      <c r="EF265">
        <v>12406.25</v>
      </c>
      <c r="EG265" t="s">
        <v>76</v>
      </c>
      <c r="EH265" t="s">
        <v>82</v>
      </c>
      <c r="EI265">
        <v>80.604530999999994</v>
      </c>
      <c r="EL265" t="s">
        <v>498</v>
      </c>
      <c r="EM265" t="s">
        <v>72</v>
      </c>
      <c r="EN265">
        <v>2</v>
      </c>
      <c r="EO265" t="s">
        <v>86</v>
      </c>
      <c r="EP265">
        <v>1.2229E-2</v>
      </c>
      <c r="EQ265" t="s">
        <v>74</v>
      </c>
      <c r="ER265">
        <v>12.2285</v>
      </c>
      <c r="ES265" t="s">
        <v>75</v>
      </c>
      <c r="ET265">
        <v>12228.5</v>
      </c>
      <c r="EU265" t="s">
        <v>76</v>
      </c>
      <c r="EV265" t="s">
        <v>82</v>
      </c>
      <c r="EW265">
        <v>81.776177899999993</v>
      </c>
      <c r="EZ265" t="s">
        <v>498</v>
      </c>
      <c r="FA265" t="s">
        <v>72</v>
      </c>
      <c r="FB265">
        <v>2</v>
      </c>
      <c r="FC265" t="s">
        <v>86</v>
      </c>
      <c r="FD265">
        <v>1.2931E-2</v>
      </c>
      <c r="FE265" t="s">
        <v>74</v>
      </c>
      <c r="FF265">
        <v>12.93145</v>
      </c>
      <c r="FG265" t="s">
        <v>75</v>
      </c>
      <c r="FH265">
        <v>12931.45</v>
      </c>
      <c r="FI265" t="s">
        <v>76</v>
      </c>
      <c r="FJ265" t="s">
        <v>82</v>
      </c>
      <c r="FK265">
        <v>77.330846800000003</v>
      </c>
    </row>
    <row r="266" spans="127:167" x14ac:dyDescent="0.3">
      <c r="DX266" t="s">
        <v>498</v>
      </c>
      <c r="DY266" t="s">
        <v>83</v>
      </c>
      <c r="DZ266">
        <v>999</v>
      </c>
      <c r="EA266" t="s">
        <v>86</v>
      </c>
      <c r="EB266">
        <v>5.2339999999999999E-3</v>
      </c>
      <c r="EC266" t="s">
        <v>74</v>
      </c>
      <c r="ED266">
        <v>5.2343900000000003</v>
      </c>
      <c r="EE266" t="s">
        <v>75</v>
      </c>
      <c r="EF266">
        <v>5234.3890000000001</v>
      </c>
      <c r="EG266" t="s">
        <v>76</v>
      </c>
      <c r="EH266" t="s">
        <v>82</v>
      </c>
      <c r="EI266">
        <v>191.0442486</v>
      </c>
      <c r="EL266" t="s">
        <v>498</v>
      </c>
      <c r="EM266" t="s">
        <v>83</v>
      </c>
      <c r="EN266">
        <v>999</v>
      </c>
      <c r="EO266" t="s">
        <v>86</v>
      </c>
      <c r="EP266">
        <v>2.444E-3</v>
      </c>
      <c r="EQ266" t="s">
        <v>74</v>
      </c>
      <c r="ER266">
        <v>2.444</v>
      </c>
      <c r="ES266" t="s">
        <v>75</v>
      </c>
      <c r="ET266">
        <v>2444.0030000000002</v>
      </c>
      <c r="EU266" t="s">
        <v>76</v>
      </c>
      <c r="EV266" t="s">
        <v>82</v>
      </c>
      <c r="EW266">
        <v>409.16478719999998</v>
      </c>
      <c r="EZ266" t="s">
        <v>498</v>
      </c>
      <c r="FA266" t="s">
        <v>83</v>
      </c>
      <c r="FB266">
        <v>999</v>
      </c>
      <c r="FC266" t="s">
        <v>86</v>
      </c>
      <c r="FD266">
        <v>5.2490000000000002E-3</v>
      </c>
      <c r="FE266" t="s">
        <v>74</v>
      </c>
      <c r="FF266">
        <v>5.2490600000000001</v>
      </c>
      <c r="FG266" t="s">
        <v>75</v>
      </c>
      <c r="FH266">
        <v>5249.06</v>
      </c>
      <c r="FI266" t="s">
        <v>76</v>
      </c>
      <c r="FJ266" t="s">
        <v>82</v>
      </c>
      <c r="FK266">
        <v>190.51031130000001</v>
      </c>
    </row>
    <row r="267" spans="127:167" x14ac:dyDescent="0.3">
      <c r="DX267" t="s">
        <v>498</v>
      </c>
      <c r="DY267" t="s">
        <v>85</v>
      </c>
      <c r="DZ267">
        <v>1001</v>
      </c>
      <c r="EA267" t="s">
        <v>86</v>
      </c>
      <c r="EB267">
        <v>5.2399999999999999E-3</v>
      </c>
      <c r="EC267" t="s">
        <v>74</v>
      </c>
      <c r="ED267">
        <v>5.2397600000000004</v>
      </c>
      <c r="EE267" t="s">
        <v>75</v>
      </c>
      <c r="EF267">
        <v>5239.7629999999999</v>
      </c>
      <c r="EG267" t="s">
        <v>76</v>
      </c>
      <c r="EH267" t="s">
        <v>82</v>
      </c>
      <c r="EI267">
        <v>190.84830980000001</v>
      </c>
      <c r="EL267" t="s">
        <v>498</v>
      </c>
      <c r="EM267" t="s">
        <v>85</v>
      </c>
      <c r="EN267">
        <v>1001</v>
      </c>
      <c r="EO267" t="s">
        <v>86</v>
      </c>
      <c r="EP267">
        <v>2.4510000000000001E-3</v>
      </c>
      <c r="EQ267" t="s">
        <v>74</v>
      </c>
      <c r="ER267">
        <v>2.45146</v>
      </c>
      <c r="ES267" t="s">
        <v>75</v>
      </c>
      <c r="ET267">
        <v>2451.462</v>
      </c>
      <c r="EU267" t="s">
        <v>76</v>
      </c>
      <c r="EV267" t="s">
        <v>82</v>
      </c>
      <c r="EW267">
        <v>407.9199266</v>
      </c>
      <c r="EZ267" t="s">
        <v>498</v>
      </c>
      <c r="FA267" t="s">
        <v>85</v>
      </c>
      <c r="FB267">
        <v>1001</v>
      </c>
      <c r="FC267" t="s">
        <v>86</v>
      </c>
      <c r="FD267">
        <v>5.254E-3</v>
      </c>
      <c r="FE267" t="s">
        <v>74</v>
      </c>
      <c r="FF267">
        <v>5.2541500000000001</v>
      </c>
      <c r="FG267" t="s">
        <v>75</v>
      </c>
      <c r="FH267">
        <v>5254.15</v>
      </c>
      <c r="FI267" t="s">
        <v>76</v>
      </c>
      <c r="FJ267" t="s">
        <v>82</v>
      </c>
      <c r="FK267">
        <v>190.3257586</v>
      </c>
    </row>
    <row r="269" spans="127:167" x14ac:dyDescent="0.3">
      <c r="DW269">
        <v>16</v>
      </c>
      <c r="DX269" t="s">
        <v>551</v>
      </c>
      <c r="EK269">
        <v>16</v>
      </c>
      <c r="EL269" t="s">
        <v>551</v>
      </c>
      <c r="EY269">
        <v>16</v>
      </c>
      <c r="EZ269" t="s">
        <v>551</v>
      </c>
    </row>
    <row r="270" spans="127:167" x14ac:dyDescent="0.3">
      <c r="DX270" t="s">
        <v>496</v>
      </c>
      <c r="DY270" t="s">
        <v>72</v>
      </c>
      <c r="DZ270">
        <v>1</v>
      </c>
      <c r="EA270" t="s">
        <v>81</v>
      </c>
      <c r="EB270">
        <v>0.47756300000000002</v>
      </c>
      <c r="EC270" t="s">
        <v>74</v>
      </c>
      <c r="ED270">
        <v>477.56299000000001</v>
      </c>
      <c r="EE270" t="s">
        <v>75</v>
      </c>
      <c r="EF270">
        <v>477562.99400000001</v>
      </c>
      <c r="EG270" t="s">
        <v>76</v>
      </c>
      <c r="EH270" t="s">
        <v>82</v>
      </c>
      <c r="EI270">
        <v>2.0939646000000001</v>
      </c>
      <c r="EL270" t="s">
        <v>496</v>
      </c>
      <c r="EM270" t="s">
        <v>72</v>
      </c>
      <c r="EN270">
        <v>1</v>
      </c>
      <c r="EO270" t="s">
        <v>81</v>
      </c>
      <c r="EP270">
        <v>0.48736099999999999</v>
      </c>
      <c r="EQ270" t="s">
        <v>74</v>
      </c>
      <c r="ER270">
        <v>487.36101000000002</v>
      </c>
      <c r="ES270" t="s">
        <v>75</v>
      </c>
      <c r="ET270">
        <v>487361.01400000002</v>
      </c>
      <c r="EU270" t="s">
        <v>76</v>
      </c>
      <c r="EV270" t="s">
        <v>82</v>
      </c>
      <c r="EW270">
        <v>2.0518670000000001</v>
      </c>
      <c r="EZ270" t="s">
        <v>496</v>
      </c>
      <c r="FA270" t="s">
        <v>72</v>
      </c>
      <c r="FB270">
        <v>1</v>
      </c>
      <c r="FC270" t="s">
        <v>81</v>
      </c>
      <c r="FD270">
        <v>0.48743199999999998</v>
      </c>
      <c r="FE270" t="s">
        <v>74</v>
      </c>
      <c r="FF270">
        <v>487.4323</v>
      </c>
      <c r="FG270" t="s">
        <v>75</v>
      </c>
      <c r="FH270">
        <v>487432.30099999998</v>
      </c>
      <c r="FI270" t="s">
        <v>76</v>
      </c>
      <c r="FJ270" t="s">
        <v>82</v>
      </c>
      <c r="FK270">
        <v>2.0515669999999999</v>
      </c>
    </row>
    <row r="271" spans="127:167" x14ac:dyDescent="0.3">
      <c r="DX271" t="s">
        <v>496</v>
      </c>
      <c r="DY271" t="s">
        <v>83</v>
      </c>
      <c r="DZ271">
        <v>520</v>
      </c>
      <c r="EA271" t="s">
        <v>81</v>
      </c>
      <c r="EB271">
        <v>1.9289999999999999E-3</v>
      </c>
      <c r="EC271" t="s">
        <v>74</v>
      </c>
      <c r="ED271">
        <v>1.9287300000000001</v>
      </c>
      <c r="EE271" t="s">
        <v>75</v>
      </c>
      <c r="EF271">
        <v>1928.7260000000001</v>
      </c>
      <c r="EG271" t="s">
        <v>76</v>
      </c>
      <c r="EH271" t="s">
        <v>82</v>
      </c>
      <c r="EI271">
        <v>518.47700689999999</v>
      </c>
      <c r="EL271" t="s">
        <v>496</v>
      </c>
      <c r="EM271" t="s">
        <v>83</v>
      </c>
      <c r="EN271">
        <v>591</v>
      </c>
      <c r="EO271" t="s">
        <v>81</v>
      </c>
      <c r="EP271">
        <v>1.4217E-2</v>
      </c>
      <c r="EQ271" t="s">
        <v>74</v>
      </c>
      <c r="ER271">
        <v>14.21688</v>
      </c>
      <c r="ES271" t="s">
        <v>75</v>
      </c>
      <c r="ET271">
        <v>14216.878000000001</v>
      </c>
      <c r="EU271" t="s">
        <v>76</v>
      </c>
      <c r="EV271" t="s">
        <v>82</v>
      </c>
      <c r="EW271">
        <v>70.338930500000004</v>
      </c>
      <c r="EZ271" t="s">
        <v>496</v>
      </c>
      <c r="FA271" t="s">
        <v>83</v>
      </c>
      <c r="FB271">
        <v>618</v>
      </c>
      <c r="FC271" t="s">
        <v>81</v>
      </c>
      <c r="FD271">
        <v>1.7004999999999999E-2</v>
      </c>
      <c r="FE271" t="s">
        <v>74</v>
      </c>
      <c r="FF271">
        <v>17.00517</v>
      </c>
      <c r="FG271" t="s">
        <v>75</v>
      </c>
      <c r="FH271">
        <v>17005.166000000001</v>
      </c>
      <c r="FI271" t="s">
        <v>76</v>
      </c>
      <c r="FJ271" t="s">
        <v>82</v>
      </c>
      <c r="FK271">
        <v>58.805660099999997</v>
      </c>
    </row>
    <row r="272" spans="127:167" x14ac:dyDescent="0.3">
      <c r="DX272" t="s">
        <v>496</v>
      </c>
      <c r="DY272" t="s">
        <v>84</v>
      </c>
      <c r="DZ272">
        <v>521</v>
      </c>
      <c r="EA272" t="s">
        <v>81</v>
      </c>
      <c r="EB272">
        <v>2.8419999999999999E-3</v>
      </c>
      <c r="EC272" t="s">
        <v>74</v>
      </c>
      <c r="ED272">
        <v>2.84165</v>
      </c>
      <c r="EE272" t="s">
        <v>75</v>
      </c>
      <c r="EF272">
        <v>2841.652</v>
      </c>
      <c r="EG272" t="s">
        <v>76</v>
      </c>
      <c r="EH272" t="s">
        <v>82</v>
      </c>
      <c r="EI272">
        <v>351.90800150000001</v>
      </c>
      <c r="EL272" t="s">
        <v>496</v>
      </c>
      <c r="EM272" t="s">
        <v>84</v>
      </c>
      <c r="EN272">
        <v>592</v>
      </c>
      <c r="EO272" t="s">
        <v>81</v>
      </c>
      <c r="EP272">
        <v>1.5016E-2</v>
      </c>
      <c r="EQ272" t="s">
        <v>74</v>
      </c>
      <c r="ER272">
        <v>15.0161</v>
      </c>
      <c r="ES272" t="s">
        <v>75</v>
      </c>
      <c r="ET272">
        <v>15016.098</v>
      </c>
      <c r="EU272" t="s">
        <v>76</v>
      </c>
      <c r="EV272" t="s">
        <v>82</v>
      </c>
      <c r="EW272">
        <v>66.595195500000003</v>
      </c>
      <c r="EZ272" t="s">
        <v>496</v>
      </c>
      <c r="FA272" t="s">
        <v>84</v>
      </c>
      <c r="FB272">
        <v>619</v>
      </c>
      <c r="FC272" t="s">
        <v>81</v>
      </c>
      <c r="FD272">
        <v>1.7765E-2</v>
      </c>
      <c r="FE272" t="s">
        <v>74</v>
      </c>
      <c r="FF272">
        <v>17.765149999999998</v>
      </c>
      <c r="FG272" t="s">
        <v>75</v>
      </c>
      <c r="FH272">
        <v>17765.145</v>
      </c>
      <c r="FI272" t="s">
        <v>76</v>
      </c>
      <c r="FJ272" t="s">
        <v>82</v>
      </c>
      <c r="FK272">
        <v>56.289998300000001</v>
      </c>
    </row>
    <row r="273" spans="128:167" x14ac:dyDescent="0.3">
      <c r="DX273" t="s">
        <v>497</v>
      </c>
      <c r="DY273" t="s">
        <v>72</v>
      </c>
      <c r="DZ273">
        <v>1</v>
      </c>
      <c r="EA273" t="s">
        <v>81</v>
      </c>
      <c r="EB273">
        <v>0.18043699999999999</v>
      </c>
      <c r="EC273" t="s">
        <v>74</v>
      </c>
      <c r="ED273">
        <v>180.43689000000001</v>
      </c>
      <c r="EE273" t="s">
        <v>75</v>
      </c>
      <c r="EF273">
        <v>180436.894</v>
      </c>
      <c r="EG273" t="s">
        <v>76</v>
      </c>
      <c r="EH273" t="s">
        <v>82</v>
      </c>
      <c r="EI273">
        <v>5.5421037999999996</v>
      </c>
      <c r="EL273" t="s">
        <v>497</v>
      </c>
      <c r="EM273" t="s">
        <v>72</v>
      </c>
      <c r="EN273">
        <v>1</v>
      </c>
      <c r="EO273" t="s">
        <v>81</v>
      </c>
      <c r="EP273">
        <v>0.17671300000000001</v>
      </c>
      <c r="EQ273" t="s">
        <v>74</v>
      </c>
      <c r="ER273">
        <v>176.71350000000001</v>
      </c>
      <c r="ES273" t="s">
        <v>75</v>
      </c>
      <c r="ET273">
        <v>176713.49600000001</v>
      </c>
      <c r="EU273" t="s">
        <v>76</v>
      </c>
      <c r="EV273" t="s">
        <v>82</v>
      </c>
      <c r="EW273">
        <v>5.6588773000000003</v>
      </c>
      <c r="EZ273" t="s">
        <v>497</v>
      </c>
      <c r="FA273" t="s">
        <v>72</v>
      </c>
      <c r="FB273">
        <v>1</v>
      </c>
      <c r="FC273" t="s">
        <v>81</v>
      </c>
      <c r="FD273">
        <v>0.17940200000000001</v>
      </c>
      <c r="FE273" t="s">
        <v>74</v>
      </c>
      <c r="FF273">
        <v>179.40209999999999</v>
      </c>
      <c r="FG273" t="s">
        <v>75</v>
      </c>
      <c r="FH273">
        <v>179402.098</v>
      </c>
      <c r="FI273" t="s">
        <v>76</v>
      </c>
      <c r="FJ273" t="s">
        <v>82</v>
      </c>
      <c r="FK273">
        <v>5.5740708000000003</v>
      </c>
    </row>
    <row r="274" spans="128:167" x14ac:dyDescent="0.3">
      <c r="DX274" t="s">
        <v>497</v>
      </c>
      <c r="DY274" t="s">
        <v>83</v>
      </c>
      <c r="DZ274">
        <v>479</v>
      </c>
      <c r="EA274" t="s">
        <v>81</v>
      </c>
      <c r="EB274">
        <v>2.6779999999999998E-3</v>
      </c>
      <c r="EC274" t="s">
        <v>74</v>
      </c>
      <c r="ED274">
        <v>2.6781299999999999</v>
      </c>
      <c r="EE274" t="s">
        <v>75</v>
      </c>
      <c r="EF274">
        <v>2678.1309999999999</v>
      </c>
      <c r="EG274" t="s">
        <v>76</v>
      </c>
      <c r="EH274" t="s">
        <v>82</v>
      </c>
      <c r="EI274">
        <v>373.39479710000001</v>
      </c>
      <c r="EL274" t="s">
        <v>497</v>
      </c>
      <c r="EM274" t="s">
        <v>83</v>
      </c>
      <c r="EN274">
        <v>408</v>
      </c>
      <c r="EO274" t="s">
        <v>81</v>
      </c>
      <c r="EP274">
        <v>2.1257000000000002E-2</v>
      </c>
      <c r="EQ274" t="s">
        <v>74</v>
      </c>
      <c r="ER274">
        <v>21.25723</v>
      </c>
      <c r="ES274" t="s">
        <v>75</v>
      </c>
      <c r="ET274">
        <v>21257.227999999999</v>
      </c>
      <c r="EU274" t="s">
        <v>76</v>
      </c>
      <c r="EV274" t="s">
        <v>82</v>
      </c>
      <c r="EW274">
        <v>47.042823300000002</v>
      </c>
      <c r="EZ274" t="s">
        <v>497</v>
      </c>
      <c r="FA274" t="s">
        <v>83</v>
      </c>
      <c r="FB274">
        <v>381</v>
      </c>
      <c r="FC274" t="s">
        <v>81</v>
      </c>
      <c r="FD274">
        <v>2.8316999999999998E-2</v>
      </c>
      <c r="FE274" t="s">
        <v>74</v>
      </c>
      <c r="FF274">
        <v>28.316949999999999</v>
      </c>
      <c r="FG274" t="s">
        <v>75</v>
      </c>
      <c r="FH274">
        <v>28316.953000000001</v>
      </c>
      <c r="FI274" t="s">
        <v>76</v>
      </c>
      <c r="FJ274" t="s">
        <v>82</v>
      </c>
      <c r="FK274">
        <v>35.314533599999997</v>
      </c>
    </row>
    <row r="275" spans="128:167" x14ac:dyDescent="0.3">
      <c r="DX275" t="s">
        <v>497</v>
      </c>
      <c r="DY275" t="s">
        <v>84</v>
      </c>
      <c r="DZ275">
        <v>480</v>
      </c>
      <c r="EA275" t="s">
        <v>81</v>
      </c>
      <c r="EB275">
        <v>3.0479999999999999E-3</v>
      </c>
      <c r="EC275" t="s">
        <v>74</v>
      </c>
      <c r="ED275">
        <v>3.0484599999999999</v>
      </c>
      <c r="EE275" t="s">
        <v>75</v>
      </c>
      <c r="EF275">
        <v>3048.462</v>
      </c>
      <c r="EG275" t="s">
        <v>76</v>
      </c>
      <c r="EH275" t="s">
        <v>82</v>
      </c>
      <c r="EI275">
        <v>328.03427599999998</v>
      </c>
      <c r="EL275" t="s">
        <v>497</v>
      </c>
      <c r="EM275" t="s">
        <v>84</v>
      </c>
      <c r="EN275">
        <v>409</v>
      </c>
      <c r="EO275" t="s">
        <v>81</v>
      </c>
      <c r="EP275">
        <v>2.1637E-2</v>
      </c>
      <c r="EQ275" t="s">
        <v>74</v>
      </c>
      <c r="ER275">
        <v>21.637319999999999</v>
      </c>
      <c r="ES275" t="s">
        <v>75</v>
      </c>
      <c r="ET275">
        <v>21637.316999999999</v>
      </c>
      <c r="EU275" t="s">
        <v>76</v>
      </c>
      <c r="EV275" t="s">
        <v>82</v>
      </c>
      <c r="EW275">
        <v>46.216450299999998</v>
      </c>
      <c r="EZ275" t="s">
        <v>497</v>
      </c>
      <c r="FA275" t="s">
        <v>84</v>
      </c>
      <c r="FB275">
        <v>382</v>
      </c>
      <c r="FC275" t="s">
        <v>81</v>
      </c>
      <c r="FD275">
        <v>2.8712000000000001E-2</v>
      </c>
      <c r="FE275" t="s">
        <v>74</v>
      </c>
      <c r="FF275">
        <v>28.71246</v>
      </c>
      <c r="FG275" t="s">
        <v>75</v>
      </c>
      <c r="FH275">
        <v>28712.465</v>
      </c>
      <c r="FI275" t="s">
        <v>76</v>
      </c>
      <c r="FJ275" t="s">
        <v>82</v>
      </c>
      <c r="FK275">
        <v>34.828079199999998</v>
      </c>
    </row>
    <row r="276" spans="128:167" x14ac:dyDescent="0.3">
      <c r="DX276" t="s">
        <v>498</v>
      </c>
      <c r="DY276" t="s">
        <v>72</v>
      </c>
      <c r="DZ276">
        <v>2</v>
      </c>
      <c r="EA276" t="s">
        <v>86</v>
      </c>
      <c r="EB276">
        <v>0.238812</v>
      </c>
      <c r="EC276" t="s">
        <v>74</v>
      </c>
      <c r="ED276">
        <v>238.81204</v>
      </c>
      <c r="EE276" t="s">
        <v>75</v>
      </c>
      <c r="EF276">
        <v>238812.04399999999</v>
      </c>
      <c r="EG276" t="s">
        <v>76</v>
      </c>
      <c r="EH276" t="s">
        <v>82</v>
      </c>
      <c r="EI276">
        <v>4.1873934999999998</v>
      </c>
      <c r="EL276" t="s">
        <v>498</v>
      </c>
      <c r="EM276" t="s">
        <v>72</v>
      </c>
      <c r="EN276">
        <v>2</v>
      </c>
      <c r="EO276" t="s">
        <v>86</v>
      </c>
      <c r="EP276">
        <v>0.243702</v>
      </c>
      <c r="EQ276" t="s">
        <v>74</v>
      </c>
      <c r="ER276">
        <v>243.70195000000001</v>
      </c>
      <c r="ES276" t="s">
        <v>75</v>
      </c>
      <c r="ET276">
        <v>243701.95</v>
      </c>
      <c r="EU276" t="s">
        <v>76</v>
      </c>
      <c r="EV276" t="s">
        <v>82</v>
      </c>
      <c r="EW276">
        <v>4.1033730000000004</v>
      </c>
      <c r="EZ276" t="s">
        <v>498</v>
      </c>
      <c r="FA276" t="s">
        <v>72</v>
      </c>
      <c r="FB276">
        <v>2</v>
      </c>
      <c r="FC276" t="s">
        <v>86</v>
      </c>
      <c r="FD276">
        <v>0.24373900000000001</v>
      </c>
      <c r="FE276" t="s">
        <v>74</v>
      </c>
      <c r="FF276">
        <v>243.73865000000001</v>
      </c>
      <c r="FG276" t="s">
        <v>75</v>
      </c>
      <c r="FH276">
        <v>243738.65100000001</v>
      </c>
      <c r="FI276" t="s">
        <v>76</v>
      </c>
      <c r="FJ276" t="s">
        <v>82</v>
      </c>
      <c r="FK276">
        <v>4.1027551000000004</v>
      </c>
    </row>
    <row r="277" spans="128:167" x14ac:dyDescent="0.3">
      <c r="DX277" t="s">
        <v>498</v>
      </c>
      <c r="DY277" t="s">
        <v>83</v>
      </c>
      <c r="DZ277">
        <v>999</v>
      </c>
      <c r="EA277" t="s">
        <v>86</v>
      </c>
      <c r="EB277">
        <v>1.307E-3</v>
      </c>
      <c r="EC277" t="s">
        <v>74</v>
      </c>
      <c r="ED277">
        <v>1.3065199999999999</v>
      </c>
      <c r="EE277" t="s">
        <v>75</v>
      </c>
      <c r="EF277">
        <v>1306.5250000000001</v>
      </c>
      <c r="EG277" t="s">
        <v>76</v>
      </c>
      <c r="EH277" t="s">
        <v>82</v>
      </c>
      <c r="EI277">
        <v>765.3893243</v>
      </c>
      <c r="EL277" t="s">
        <v>498</v>
      </c>
      <c r="EM277" t="s">
        <v>83</v>
      </c>
      <c r="EN277">
        <v>999</v>
      </c>
      <c r="EO277" t="s">
        <v>86</v>
      </c>
      <c r="EP277">
        <v>8.7080000000000005E-3</v>
      </c>
      <c r="EQ277" t="s">
        <v>74</v>
      </c>
      <c r="ER277">
        <v>8.7080000000000002</v>
      </c>
      <c r="ES277" t="s">
        <v>75</v>
      </c>
      <c r="ET277">
        <v>8707.9959999999992</v>
      </c>
      <c r="EU277" t="s">
        <v>76</v>
      </c>
      <c r="EV277" t="s">
        <v>82</v>
      </c>
      <c r="EW277">
        <v>114.8369795</v>
      </c>
      <c r="EZ277" t="s">
        <v>498</v>
      </c>
      <c r="FA277" t="s">
        <v>83</v>
      </c>
      <c r="FB277">
        <v>999</v>
      </c>
      <c r="FC277" t="s">
        <v>86</v>
      </c>
      <c r="FD277">
        <v>1.0815E-2</v>
      </c>
      <c r="FE277" t="s">
        <v>74</v>
      </c>
      <c r="FF277">
        <v>10.8155</v>
      </c>
      <c r="FG277" t="s">
        <v>75</v>
      </c>
      <c r="FH277">
        <v>10815.495999999999</v>
      </c>
      <c r="FI277" t="s">
        <v>76</v>
      </c>
      <c r="FJ277" t="s">
        <v>82</v>
      </c>
      <c r="FK277">
        <v>92.459926999999993</v>
      </c>
    </row>
    <row r="278" spans="128:167" x14ac:dyDescent="0.3">
      <c r="DX278" t="s">
        <v>498</v>
      </c>
      <c r="DY278" t="s">
        <v>85</v>
      </c>
      <c r="DZ278">
        <v>1001</v>
      </c>
      <c r="EA278" t="s">
        <v>86</v>
      </c>
      <c r="EB278">
        <v>1.487E-3</v>
      </c>
      <c r="EC278" t="s">
        <v>74</v>
      </c>
      <c r="ED278">
        <v>1.4866900000000001</v>
      </c>
      <c r="EE278" t="s">
        <v>75</v>
      </c>
      <c r="EF278">
        <v>1486.692</v>
      </c>
      <c r="EG278" t="s">
        <v>76</v>
      </c>
      <c r="EH278" t="s">
        <v>82</v>
      </c>
      <c r="EI278">
        <v>672.63447629999996</v>
      </c>
      <c r="EL278" t="s">
        <v>498</v>
      </c>
      <c r="EM278" t="s">
        <v>85</v>
      </c>
      <c r="EN278">
        <v>1001</v>
      </c>
      <c r="EO278" t="s">
        <v>86</v>
      </c>
      <c r="EP278">
        <v>8.8859999999999998E-3</v>
      </c>
      <c r="EQ278" t="s">
        <v>74</v>
      </c>
      <c r="ER278">
        <v>8.8862400000000008</v>
      </c>
      <c r="ES278" t="s">
        <v>75</v>
      </c>
      <c r="ET278">
        <v>8886.2440000000006</v>
      </c>
      <c r="EU278" t="s">
        <v>76</v>
      </c>
      <c r="EV278" t="s">
        <v>82</v>
      </c>
      <c r="EW278">
        <v>112.5334854</v>
      </c>
      <c r="EZ278" t="s">
        <v>498</v>
      </c>
      <c r="FA278" t="s">
        <v>85</v>
      </c>
      <c r="FB278">
        <v>1001</v>
      </c>
      <c r="FC278" t="s">
        <v>86</v>
      </c>
      <c r="FD278">
        <v>1.0992999999999999E-2</v>
      </c>
      <c r="FE278" t="s">
        <v>74</v>
      </c>
      <c r="FF278">
        <v>10.99253</v>
      </c>
      <c r="FG278" t="s">
        <v>75</v>
      </c>
      <c r="FH278">
        <v>10992.531000000001</v>
      </c>
      <c r="FI278" t="s">
        <v>76</v>
      </c>
      <c r="FJ278" t="s">
        <v>82</v>
      </c>
      <c r="FK278">
        <v>90.970857699999996</v>
      </c>
    </row>
    <row r="280" spans="128:167" x14ac:dyDescent="0.3">
      <c r="DX280" t="s">
        <v>552</v>
      </c>
      <c r="EL280" t="s">
        <v>552</v>
      </c>
      <c r="EZ280" t="s">
        <v>552</v>
      </c>
    </row>
    <row r="281" spans="128:167" x14ac:dyDescent="0.3">
      <c r="DX281" t="s">
        <v>496</v>
      </c>
      <c r="DY281" t="s">
        <v>72</v>
      </c>
      <c r="DZ281">
        <v>1</v>
      </c>
      <c r="EA281" t="s">
        <v>81</v>
      </c>
      <c r="EB281">
        <v>3.7155000000000001E-2</v>
      </c>
      <c r="EC281" t="s">
        <v>74</v>
      </c>
      <c r="ED281">
        <v>37.155200000000001</v>
      </c>
      <c r="EE281" t="s">
        <v>75</v>
      </c>
      <c r="EF281">
        <v>37155.199999999997</v>
      </c>
      <c r="EG281" t="s">
        <v>76</v>
      </c>
      <c r="EH281" t="s">
        <v>82</v>
      </c>
      <c r="EI281">
        <v>26.9141333</v>
      </c>
      <c r="EL281" t="s">
        <v>496</v>
      </c>
      <c r="EM281" t="s">
        <v>72</v>
      </c>
      <c r="EN281">
        <v>1</v>
      </c>
      <c r="EO281" t="s">
        <v>81</v>
      </c>
      <c r="EP281">
        <v>3.5744999999999999E-2</v>
      </c>
      <c r="EQ281" t="s">
        <v>74</v>
      </c>
      <c r="ER281">
        <v>35.7453</v>
      </c>
      <c r="ES281" t="s">
        <v>75</v>
      </c>
      <c r="ET281">
        <v>35745.300000000003</v>
      </c>
      <c r="EU281" t="s">
        <v>76</v>
      </c>
      <c r="EV281" t="s">
        <v>82</v>
      </c>
      <c r="EW281">
        <v>27.975705600000001</v>
      </c>
      <c r="EZ281" t="s">
        <v>496</v>
      </c>
      <c r="FA281" t="s">
        <v>72</v>
      </c>
      <c r="FB281">
        <v>1</v>
      </c>
      <c r="FC281" t="s">
        <v>81</v>
      </c>
      <c r="FD281">
        <v>3.9417000000000001E-2</v>
      </c>
      <c r="FE281" t="s">
        <v>74</v>
      </c>
      <c r="FF281">
        <v>39.416800000000002</v>
      </c>
      <c r="FG281" t="s">
        <v>75</v>
      </c>
      <c r="FH281">
        <v>39416.800999999999</v>
      </c>
      <c r="FI281" t="s">
        <v>76</v>
      </c>
      <c r="FJ281" t="s">
        <v>82</v>
      </c>
      <c r="FK281">
        <v>25.3698923</v>
      </c>
    </row>
    <row r="282" spans="128:167" x14ac:dyDescent="0.3">
      <c r="DX282" t="s">
        <v>496</v>
      </c>
      <c r="DY282" t="s">
        <v>83</v>
      </c>
      <c r="DZ282">
        <v>624</v>
      </c>
      <c r="EA282" t="s">
        <v>81</v>
      </c>
      <c r="EB282">
        <v>2.6150000000000001E-3</v>
      </c>
      <c r="EC282" t="s">
        <v>74</v>
      </c>
      <c r="ED282">
        <v>2.6147499999999999</v>
      </c>
      <c r="EE282" t="s">
        <v>75</v>
      </c>
      <c r="EF282">
        <v>2614.7449999999999</v>
      </c>
      <c r="EG282" t="s">
        <v>76</v>
      </c>
      <c r="EH282" t="s">
        <v>82</v>
      </c>
      <c r="EI282">
        <v>382.44642140000002</v>
      </c>
      <c r="EL282" t="s">
        <v>496</v>
      </c>
      <c r="EM282" t="s">
        <v>83</v>
      </c>
      <c r="EN282">
        <v>760</v>
      </c>
      <c r="EO282" t="s">
        <v>81</v>
      </c>
      <c r="EP282">
        <v>2.5953E-2</v>
      </c>
      <c r="EQ282" t="s">
        <v>74</v>
      </c>
      <c r="ER282">
        <v>25.952500000000001</v>
      </c>
      <c r="ES282" t="s">
        <v>75</v>
      </c>
      <c r="ET282">
        <v>25952.502</v>
      </c>
      <c r="EU282" t="s">
        <v>76</v>
      </c>
      <c r="EV282" t="s">
        <v>82</v>
      </c>
      <c r="EW282">
        <v>38.531929900000002</v>
      </c>
      <c r="EZ282" t="s">
        <v>496</v>
      </c>
      <c r="FA282" t="s">
        <v>83</v>
      </c>
      <c r="FB282">
        <v>753</v>
      </c>
      <c r="FC282" t="s">
        <v>81</v>
      </c>
      <c r="FD282">
        <v>2.5971000000000001E-2</v>
      </c>
      <c r="FE282" t="s">
        <v>74</v>
      </c>
      <c r="FF282">
        <v>25.97139</v>
      </c>
      <c r="FG282" t="s">
        <v>75</v>
      </c>
      <c r="FH282">
        <v>25971.385999999999</v>
      </c>
      <c r="FI282" t="s">
        <v>76</v>
      </c>
      <c r="FJ282" t="s">
        <v>82</v>
      </c>
      <c r="FK282">
        <v>38.503913400000002</v>
      </c>
    </row>
    <row r="283" spans="128:167" x14ac:dyDescent="0.3">
      <c r="DX283" t="s">
        <v>496</v>
      </c>
      <c r="DY283" t="s">
        <v>84</v>
      </c>
      <c r="DZ283">
        <v>625</v>
      </c>
      <c r="EA283" t="s">
        <v>81</v>
      </c>
      <c r="EB283">
        <v>2.6700000000000001E-3</v>
      </c>
      <c r="EC283" t="s">
        <v>74</v>
      </c>
      <c r="ED283">
        <v>2.67001</v>
      </c>
      <c r="EE283" t="s">
        <v>75</v>
      </c>
      <c r="EF283">
        <v>2670.01</v>
      </c>
      <c r="EG283" t="s">
        <v>76</v>
      </c>
      <c r="EH283" t="s">
        <v>82</v>
      </c>
      <c r="EI283">
        <v>374.53040650000003</v>
      </c>
      <c r="EL283" t="s">
        <v>496</v>
      </c>
      <c r="EM283" t="s">
        <v>84</v>
      </c>
      <c r="EN283">
        <v>761</v>
      </c>
      <c r="EO283" t="s">
        <v>81</v>
      </c>
      <c r="EP283">
        <v>2.5964999999999998E-2</v>
      </c>
      <c r="EQ283" t="s">
        <v>74</v>
      </c>
      <c r="ER283">
        <v>25.96537</v>
      </c>
      <c r="ES283" t="s">
        <v>75</v>
      </c>
      <c r="ET283">
        <v>25965.368999999999</v>
      </c>
      <c r="EU283" t="s">
        <v>76</v>
      </c>
      <c r="EV283" t="s">
        <v>82</v>
      </c>
      <c r="EW283">
        <v>38.512836800000002</v>
      </c>
      <c r="EZ283" t="s">
        <v>496</v>
      </c>
      <c r="FA283" t="s">
        <v>84</v>
      </c>
      <c r="FB283">
        <v>754</v>
      </c>
      <c r="FC283" t="s">
        <v>81</v>
      </c>
      <c r="FD283">
        <v>2.5989000000000002E-2</v>
      </c>
      <c r="FE283" t="s">
        <v>74</v>
      </c>
      <c r="FF283">
        <v>25.98922</v>
      </c>
      <c r="FG283" t="s">
        <v>75</v>
      </c>
      <c r="FH283">
        <v>25989.216</v>
      </c>
      <c r="FI283" t="s">
        <v>76</v>
      </c>
      <c r="FJ283" t="s">
        <v>82</v>
      </c>
      <c r="FK283">
        <v>38.477497399999997</v>
      </c>
    </row>
    <row r="284" spans="128:167" x14ac:dyDescent="0.3">
      <c r="DX284" t="s">
        <v>497</v>
      </c>
      <c r="DY284" t="s">
        <v>72</v>
      </c>
      <c r="DZ284">
        <v>1</v>
      </c>
      <c r="EA284" t="s">
        <v>81</v>
      </c>
      <c r="EB284">
        <v>7.0610000000000006E-2</v>
      </c>
      <c r="EC284" t="s">
        <v>74</v>
      </c>
      <c r="ED284">
        <v>70.610200000000006</v>
      </c>
      <c r="EE284" t="s">
        <v>75</v>
      </c>
      <c r="EF284">
        <v>70610.202999999994</v>
      </c>
      <c r="EG284" t="s">
        <v>76</v>
      </c>
      <c r="EH284" t="s">
        <v>82</v>
      </c>
      <c r="EI284">
        <v>14.162259300000001</v>
      </c>
      <c r="EL284" t="s">
        <v>497</v>
      </c>
      <c r="EM284" t="s">
        <v>72</v>
      </c>
      <c r="EN284">
        <v>1</v>
      </c>
      <c r="EO284" t="s">
        <v>81</v>
      </c>
      <c r="EP284">
        <v>0.11565599999999999</v>
      </c>
      <c r="EQ284" t="s">
        <v>74</v>
      </c>
      <c r="ER284">
        <v>115.6563</v>
      </c>
      <c r="ES284" t="s">
        <v>75</v>
      </c>
      <c r="ET284">
        <v>115656.30100000001</v>
      </c>
      <c r="EU284" t="s">
        <v>76</v>
      </c>
      <c r="EV284" t="s">
        <v>82</v>
      </c>
      <c r="EW284">
        <v>8.6463079999999994</v>
      </c>
      <c r="EZ284" t="s">
        <v>497</v>
      </c>
      <c r="FA284" t="s">
        <v>72</v>
      </c>
      <c r="FB284">
        <v>1</v>
      </c>
      <c r="FC284" t="s">
        <v>81</v>
      </c>
      <c r="FD284">
        <v>9.9306000000000005E-2</v>
      </c>
      <c r="FE284" t="s">
        <v>74</v>
      </c>
      <c r="FF284">
        <v>99.305499999999995</v>
      </c>
      <c r="FG284" t="s">
        <v>75</v>
      </c>
      <c r="FH284">
        <v>99305.502999999997</v>
      </c>
      <c r="FI284" t="s">
        <v>76</v>
      </c>
      <c r="FJ284" t="s">
        <v>82</v>
      </c>
      <c r="FK284">
        <v>10.0699354</v>
      </c>
    </row>
    <row r="285" spans="128:167" x14ac:dyDescent="0.3">
      <c r="DX285" t="s">
        <v>497</v>
      </c>
      <c r="DY285" t="s">
        <v>83</v>
      </c>
      <c r="DZ285">
        <v>375</v>
      </c>
      <c r="EA285" t="s">
        <v>81</v>
      </c>
      <c r="EB285">
        <v>4.1219999999999998E-3</v>
      </c>
      <c r="EC285" t="s">
        <v>74</v>
      </c>
      <c r="ED285">
        <v>4.12195</v>
      </c>
      <c r="EE285" t="s">
        <v>75</v>
      </c>
      <c r="EF285">
        <v>4121.9549999999999</v>
      </c>
      <c r="EG285" t="s">
        <v>76</v>
      </c>
      <c r="EH285" t="s">
        <v>82</v>
      </c>
      <c r="EI285">
        <v>242.60335130000001</v>
      </c>
      <c r="EL285" t="s">
        <v>497</v>
      </c>
      <c r="EM285" t="s">
        <v>83</v>
      </c>
      <c r="EN285">
        <v>239</v>
      </c>
      <c r="EO285" t="s">
        <v>81</v>
      </c>
      <c r="EP285">
        <v>8.0072000000000004E-2</v>
      </c>
      <c r="EQ285" t="s">
        <v>74</v>
      </c>
      <c r="ER285">
        <v>80.071529999999996</v>
      </c>
      <c r="ES285" t="s">
        <v>75</v>
      </c>
      <c r="ET285">
        <v>80071.532999999996</v>
      </c>
      <c r="EU285" t="s">
        <v>76</v>
      </c>
      <c r="EV285" t="s">
        <v>82</v>
      </c>
      <c r="EW285">
        <v>12.4888329</v>
      </c>
      <c r="EZ285" t="s">
        <v>497</v>
      </c>
      <c r="FA285" t="s">
        <v>83</v>
      </c>
      <c r="FB285">
        <v>246</v>
      </c>
      <c r="FC285" t="s">
        <v>81</v>
      </c>
      <c r="FD285">
        <v>7.8232999999999997E-2</v>
      </c>
      <c r="FE285" t="s">
        <v>74</v>
      </c>
      <c r="FF285">
        <v>78.232579999999999</v>
      </c>
      <c r="FG285" t="s">
        <v>75</v>
      </c>
      <c r="FH285">
        <v>78232.578999999998</v>
      </c>
      <c r="FI285" t="s">
        <v>76</v>
      </c>
      <c r="FJ285" t="s">
        <v>82</v>
      </c>
      <c r="FK285">
        <v>12.782398499999999</v>
      </c>
    </row>
    <row r="286" spans="128:167" x14ac:dyDescent="0.3">
      <c r="DX286" t="s">
        <v>497</v>
      </c>
      <c r="DY286" t="s">
        <v>84</v>
      </c>
      <c r="DZ286">
        <v>376</v>
      </c>
      <c r="EA286" t="s">
        <v>81</v>
      </c>
      <c r="EB286">
        <v>4.2989999999999999E-3</v>
      </c>
      <c r="EC286" t="s">
        <v>74</v>
      </c>
      <c r="ED286">
        <v>4.2987900000000003</v>
      </c>
      <c r="EE286" t="s">
        <v>75</v>
      </c>
      <c r="EF286">
        <v>4298.7860000000001</v>
      </c>
      <c r="EG286" t="s">
        <v>76</v>
      </c>
      <c r="EH286" t="s">
        <v>82</v>
      </c>
      <c r="EI286">
        <v>232.62383779999999</v>
      </c>
      <c r="EL286" t="s">
        <v>497</v>
      </c>
      <c r="EM286" t="s">
        <v>84</v>
      </c>
      <c r="EN286">
        <v>240</v>
      </c>
      <c r="EO286" t="s">
        <v>81</v>
      </c>
      <c r="EP286">
        <v>8.022E-2</v>
      </c>
      <c r="EQ286" t="s">
        <v>74</v>
      </c>
      <c r="ER286">
        <v>80.219790000000003</v>
      </c>
      <c r="ES286" t="s">
        <v>75</v>
      </c>
      <c r="ET286">
        <v>80219.793000000005</v>
      </c>
      <c r="EU286" t="s">
        <v>76</v>
      </c>
      <c r="EV286" t="s">
        <v>82</v>
      </c>
      <c r="EW286">
        <v>12.4657514</v>
      </c>
      <c r="EZ286" t="s">
        <v>497</v>
      </c>
      <c r="FA286" t="s">
        <v>84</v>
      </c>
      <c r="FB286">
        <v>247</v>
      </c>
      <c r="FC286" t="s">
        <v>81</v>
      </c>
      <c r="FD286">
        <v>7.8317999999999999E-2</v>
      </c>
      <c r="FE286" t="s">
        <v>74</v>
      </c>
      <c r="FF286">
        <v>78.317890000000006</v>
      </c>
      <c r="FG286" t="s">
        <v>75</v>
      </c>
      <c r="FH286">
        <v>78317.888999999996</v>
      </c>
      <c r="FI286" t="s">
        <v>76</v>
      </c>
      <c r="FJ286" t="s">
        <v>82</v>
      </c>
      <c r="FK286">
        <v>12.7684748</v>
      </c>
    </row>
    <row r="287" spans="128:167" x14ac:dyDescent="0.3">
      <c r="DX287" t="s">
        <v>498</v>
      </c>
      <c r="DY287" t="s">
        <v>72</v>
      </c>
      <c r="DZ287">
        <v>2</v>
      </c>
      <c r="EA287" t="s">
        <v>86</v>
      </c>
      <c r="EB287">
        <v>3.5309E-2</v>
      </c>
      <c r="EC287" t="s">
        <v>74</v>
      </c>
      <c r="ED287">
        <v>35.308900000000001</v>
      </c>
      <c r="EE287" t="s">
        <v>75</v>
      </c>
      <c r="EF287">
        <v>35308.900999999998</v>
      </c>
      <c r="EG287" t="s">
        <v>76</v>
      </c>
      <c r="EH287" t="s">
        <v>82</v>
      </c>
      <c r="EI287">
        <v>28.321470399999999</v>
      </c>
      <c r="EL287" t="s">
        <v>498</v>
      </c>
      <c r="EM287" t="s">
        <v>72</v>
      </c>
      <c r="EN287">
        <v>2</v>
      </c>
      <c r="EO287" t="s">
        <v>86</v>
      </c>
      <c r="EP287">
        <v>5.7832000000000001E-2</v>
      </c>
      <c r="EQ287" t="s">
        <v>74</v>
      </c>
      <c r="ER287">
        <v>57.832099999999997</v>
      </c>
      <c r="ES287" t="s">
        <v>75</v>
      </c>
      <c r="ET287">
        <v>57832.099000000002</v>
      </c>
      <c r="EU287" t="s">
        <v>76</v>
      </c>
      <c r="EV287" t="s">
        <v>82</v>
      </c>
      <c r="EW287">
        <v>17.291435199999999</v>
      </c>
      <c r="EZ287" t="s">
        <v>498</v>
      </c>
      <c r="FA287" t="s">
        <v>72</v>
      </c>
      <c r="FB287">
        <v>2</v>
      </c>
      <c r="FC287" t="s">
        <v>86</v>
      </c>
      <c r="FD287">
        <v>4.9657E-2</v>
      </c>
      <c r="FE287" t="s">
        <v>74</v>
      </c>
      <c r="FF287">
        <v>49.656750000000002</v>
      </c>
      <c r="FG287" t="s">
        <v>75</v>
      </c>
      <c r="FH287">
        <v>49656.749000000003</v>
      </c>
      <c r="FI287" t="s">
        <v>76</v>
      </c>
      <c r="FJ287" t="s">
        <v>82</v>
      </c>
      <c r="FK287">
        <v>20.138249600000002</v>
      </c>
    </row>
    <row r="288" spans="128:167" x14ac:dyDescent="0.3">
      <c r="DX288" t="s">
        <v>498</v>
      </c>
      <c r="DY288" t="s">
        <v>83</v>
      </c>
      <c r="DZ288">
        <v>999</v>
      </c>
      <c r="EA288" t="s">
        <v>86</v>
      </c>
      <c r="EB288">
        <v>1.6379999999999999E-3</v>
      </c>
      <c r="EC288" t="s">
        <v>74</v>
      </c>
      <c r="ED288">
        <v>1.63754</v>
      </c>
      <c r="EE288" t="s">
        <v>75</v>
      </c>
      <c r="EF288">
        <v>1637.5419999999999</v>
      </c>
      <c r="EG288" t="s">
        <v>76</v>
      </c>
      <c r="EH288" t="s">
        <v>82</v>
      </c>
      <c r="EI288">
        <v>610.67128079999998</v>
      </c>
      <c r="EL288" t="s">
        <v>498</v>
      </c>
      <c r="EM288" t="s">
        <v>83</v>
      </c>
      <c r="EN288">
        <v>999</v>
      </c>
      <c r="EO288" t="s">
        <v>86</v>
      </c>
      <c r="EP288">
        <v>1.9779999999999999E-2</v>
      </c>
      <c r="EQ288" t="s">
        <v>74</v>
      </c>
      <c r="ER288">
        <v>19.77966</v>
      </c>
      <c r="ES288" t="s">
        <v>75</v>
      </c>
      <c r="ET288">
        <v>19779.664000000001</v>
      </c>
      <c r="EU288" t="s">
        <v>76</v>
      </c>
      <c r="EV288" t="s">
        <v>82</v>
      </c>
      <c r="EW288">
        <v>50.5569773</v>
      </c>
      <c r="EZ288" t="s">
        <v>498</v>
      </c>
      <c r="FA288" t="s">
        <v>83</v>
      </c>
      <c r="FB288">
        <v>999</v>
      </c>
      <c r="FC288" t="s">
        <v>86</v>
      </c>
      <c r="FD288">
        <v>1.9581999999999999E-2</v>
      </c>
      <c r="FE288" t="s">
        <v>74</v>
      </c>
      <c r="FF288">
        <v>19.582039999999999</v>
      </c>
      <c r="FG288" t="s">
        <v>75</v>
      </c>
      <c r="FH288">
        <v>19582.044000000002</v>
      </c>
      <c r="FI288" t="s">
        <v>76</v>
      </c>
      <c r="FJ288" t="s">
        <v>82</v>
      </c>
      <c r="FK288">
        <v>51.067192200000001</v>
      </c>
    </row>
    <row r="289" spans="127:167" x14ac:dyDescent="0.3">
      <c r="DX289" t="s">
        <v>498</v>
      </c>
      <c r="DY289" t="s">
        <v>85</v>
      </c>
      <c r="DZ289">
        <v>1001</v>
      </c>
      <c r="EA289" t="s">
        <v>86</v>
      </c>
      <c r="EB289">
        <v>1.678E-3</v>
      </c>
      <c r="EC289" t="s">
        <v>74</v>
      </c>
      <c r="ED289">
        <v>1.6776800000000001</v>
      </c>
      <c r="EE289" t="s">
        <v>75</v>
      </c>
      <c r="EF289">
        <v>1677.6769999999999</v>
      </c>
      <c r="EG289" t="s">
        <v>76</v>
      </c>
      <c r="EH289" t="s">
        <v>82</v>
      </c>
      <c r="EI289">
        <v>596.06242350000002</v>
      </c>
      <c r="EL289" t="s">
        <v>498</v>
      </c>
      <c r="EM289" t="s">
        <v>85</v>
      </c>
      <c r="EN289">
        <v>1001</v>
      </c>
      <c r="EO289" t="s">
        <v>86</v>
      </c>
      <c r="EP289">
        <v>1.9779000000000001E-2</v>
      </c>
      <c r="EQ289" t="s">
        <v>74</v>
      </c>
      <c r="ER289">
        <v>19.779409999999999</v>
      </c>
      <c r="ES289" t="s">
        <v>75</v>
      </c>
      <c r="ET289">
        <v>19779.404999999999</v>
      </c>
      <c r="EU289" t="s">
        <v>76</v>
      </c>
      <c r="EV289" t="s">
        <v>82</v>
      </c>
      <c r="EW289">
        <v>50.557637100000001</v>
      </c>
      <c r="EZ289" t="s">
        <v>498</v>
      </c>
      <c r="FA289" t="s">
        <v>85</v>
      </c>
      <c r="FB289">
        <v>1001</v>
      </c>
      <c r="FC289" t="s">
        <v>86</v>
      </c>
      <c r="FD289">
        <v>1.959E-2</v>
      </c>
      <c r="FE289" t="s">
        <v>74</v>
      </c>
      <c r="FF289">
        <v>19.590019999999999</v>
      </c>
      <c r="FG289" t="s">
        <v>75</v>
      </c>
      <c r="FH289">
        <v>19590.021000000001</v>
      </c>
      <c r="FI289" t="s">
        <v>76</v>
      </c>
      <c r="FJ289" t="s">
        <v>82</v>
      </c>
      <c r="FK289">
        <v>51.046396299999998</v>
      </c>
    </row>
    <row r="291" spans="127:167" x14ac:dyDescent="0.3">
      <c r="DW291">
        <v>17</v>
      </c>
      <c r="DX291" t="s">
        <v>556</v>
      </c>
      <c r="EK291">
        <v>17</v>
      </c>
      <c r="EL291" t="s">
        <v>556</v>
      </c>
      <c r="EY291">
        <v>17</v>
      </c>
      <c r="EZ291" t="s">
        <v>556</v>
      </c>
    </row>
    <row r="292" spans="127:167" x14ac:dyDescent="0.3">
      <c r="DX292" t="s">
        <v>496</v>
      </c>
      <c r="DY292" t="s">
        <v>72</v>
      </c>
      <c r="DZ292">
        <v>1</v>
      </c>
      <c r="EA292" t="s">
        <v>81</v>
      </c>
      <c r="EB292">
        <v>0.46433799999999997</v>
      </c>
      <c r="EC292" t="s">
        <v>74</v>
      </c>
      <c r="ED292">
        <v>464.33771000000002</v>
      </c>
      <c r="EE292" t="s">
        <v>75</v>
      </c>
      <c r="EF292">
        <v>464337.70699999999</v>
      </c>
      <c r="EG292" t="s">
        <v>76</v>
      </c>
      <c r="EH292" t="s">
        <v>82</v>
      </c>
      <c r="EI292">
        <v>2.1536050000000002</v>
      </c>
      <c r="EL292" t="s">
        <v>496</v>
      </c>
      <c r="EM292" t="s">
        <v>72</v>
      </c>
      <c r="EN292">
        <v>1</v>
      </c>
      <c r="EO292" t="s">
        <v>81</v>
      </c>
      <c r="EP292">
        <v>0.446048</v>
      </c>
      <c r="EQ292" t="s">
        <v>74</v>
      </c>
      <c r="ER292">
        <v>446.04849999999999</v>
      </c>
      <c r="ES292" t="s">
        <v>75</v>
      </c>
      <c r="ET292">
        <v>446048.49800000002</v>
      </c>
      <c r="EU292" t="s">
        <v>76</v>
      </c>
      <c r="EV292" t="s">
        <v>82</v>
      </c>
      <c r="EW292">
        <v>2.2419087000000002</v>
      </c>
      <c r="EZ292" t="s">
        <v>496</v>
      </c>
      <c r="FA292" t="s">
        <v>72</v>
      </c>
      <c r="FB292">
        <v>1</v>
      </c>
      <c r="FC292" t="s">
        <v>81</v>
      </c>
      <c r="FD292">
        <v>0.45406600000000003</v>
      </c>
      <c r="FE292" t="s">
        <v>74</v>
      </c>
      <c r="FF292">
        <v>454.06630999999999</v>
      </c>
      <c r="FG292" t="s">
        <v>75</v>
      </c>
      <c r="FH292">
        <v>454066.30599999998</v>
      </c>
      <c r="FI292" t="s">
        <v>76</v>
      </c>
      <c r="FJ292" t="s">
        <v>82</v>
      </c>
      <c r="FK292">
        <v>2.2023215</v>
      </c>
    </row>
    <row r="293" spans="127:167" x14ac:dyDescent="0.3">
      <c r="DX293" t="s">
        <v>496</v>
      </c>
      <c r="DY293" t="s">
        <v>83</v>
      </c>
      <c r="DZ293">
        <v>389</v>
      </c>
      <c r="EA293" t="s">
        <v>81</v>
      </c>
      <c r="EB293">
        <v>2.0630000000000002E-3</v>
      </c>
      <c r="EC293" t="s">
        <v>74</v>
      </c>
      <c r="ED293">
        <v>2.0627800000000001</v>
      </c>
      <c r="EE293" t="s">
        <v>75</v>
      </c>
      <c r="EF293">
        <v>2062.7800000000002</v>
      </c>
      <c r="EG293" t="s">
        <v>76</v>
      </c>
      <c r="EH293" t="s">
        <v>82</v>
      </c>
      <c r="EI293">
        <v>484.78265340000002</v>
      </c>
      <c r="EL293" t="s">
        <v>496</v>
      </c>
      <c r="EM293" t="s">
        <v>83</v>
      </c>
      <c r="EN293">
        <v>591</v>
      </c>
      <c r="EO293" t="s">
        <v>81</v>
      </c>
      <c r="EP293">
        <v>1.7461000000000001E-2</v>
      </c>
      <c r="EQ293" t="s">
        <v>74</v>
      </c>
      <c r="ER293">
        <v>17.461220000000001</v>
      </c>
      <c r="ES293" t="s">
        <v>75</v>
      </c>
      <c r="ET293">
        <v>17461.215</v>
      </c>
      <c r="EU293" t="s">
        <v>76</v>
      </c>
      <c r="EV293" t="s">
        <v>82</v>
      </c>
      <c r="EW293">
        <v>57.269782800000002</v>
      </c>
      <c r="EZ293" t="s">
        <v>496</v>
      </c>
      <c r="FA293" t="s">
        <v>83</v>
      </c>
      <c r="FB293">
        <v>644</v>
      </c>
      <c r="FC293" t="s">
        <v>81</v>
      </c>
      <c r="FD293">
        <v>1.6785000000000001E-2</v>
      </c>
      <c r="FE293" t="s">
        <v>74</v>
      </c>
      <c r="FF293">
        <v>16.784780000000001</v>
      </c>
      <c r="FG293" t="s">
        <v>75</v>
      </c>
      <c r="FH293">
        <v>16784.780999999999</v>
      </c>
      <c r="FI293" t="s">
        <v>76</v>
      </c>
      <c r="FJ293" t="s">
        <v>82</v>
      </c>
      <c r="FK293">
        <v>59.577782300000003</v>
      </c>
    </row>
    <row r="294" spans="127:167" x14ac:dyDescent="0.3">
      <c r="DX294" t="s">
        <v>496</v>
      </c>
      <c r="DY294" t="s">
        <v>84</v>
      </c>
      <c r="DZ294">
        <v>390</v>
      </c>
      <c r="EA294" t="s">
        <v>81</v>
      </c>
      <c r="EB294">
        <v>3.248E-3</v>
      </c>
      <c r="EC294" t="s">
        <v>74</v>
      </c>
      <c r="ED294">
        <v>3.2481</v>
      </c>
      <c r="EE294" t="s">
        <v>75</v>
      </c>
      <c r="EF294">
        <v>3248.1</v>
      </c>
      <c r="EG294" t="s">
        <v>76</v>
      </c>
      <c r="EH294" t="s">
        <v>82</v>
      </c>
      <c r="EI294">
        <v>307.87231430000003</v>
      </c>
      <c r="EL294" t="s">
        <v>496</v>
      </c>
      <c r="EM294" t="s">
        <v>84</v>
      </c>
      <c r="EN294">
        <v>592</v>
      </c>
      <c r="EO294" t="s">
        <v>81</v>
      </c>
      <c r="EP294">
        <v>1.8185E-2</v>
      </c>
      <c r="EQ294" t="s">
        <v>74</v>
      </c>
      <c r="ER294">
        <v>18.185179999999999</v>
      </c>
      <c r="ES294" t="s">
        <v>75</v>
      </c>
      <c r="ET294">
        <v>18185.181</v>
      </c>
      <c r="EU294" t="s">
        <v>76</v>
      </c>
      <c r="EV294" t="s">
        <v>82</v>
      </c>
      <c r="EW294">
        <v>54.989830599999998</v>
      </c>
      <c r="EZ294" t="s">
        <v>496</v>
      </c>
      <c r="FA294" t="s">
        <v>84</v>
      </c>
      <c r="FB294">
        <v>645</v>
      </c>
      <c r="FC294" t="s">
        <v>81</v>
      </c>
      <c r="FD294">
        <v>1.7462999999999999E-2</v>
      </c>
      <c r="FE294" t="s">
        <v>74</v>
      </c>
      <c r="FF294">
        <v>17.46274</v>
      </c>
      <c r="FG294" t="s">
        <v>75</v>
      </c>
      <c r="FH294">
        <v>17462.736000000001</v>
      </c>
      <c r="FI294" t="s">
        <v>76</v>
      </c>
      <c r="FJ294" t="s">
        <v>82</v>
      </c>
      <c r="FK294">
        <v>57.264794100000003</v>
      </c>
    </row>
    <row r="295" spans="127:167" x14ac:dyDescent="0.3">
      <c r="DX295" t="s">
        <v>497</v>
      </c>
      <c r="DY295" t="s">
        <v>72</v>
      </c>
      <c r="DZ295">
        <v>1</v>
      </c>
      <c r="EA295" t="s">
        <v>81</v>
      </c>
      <c r="EB295">
        <v>0.16875100000000001</v>
      </c>
      <c r="EC295" t="s">
        <v>74</v>
      </c>
      <c r="ED295">
        <v>168.75139999999999</v>
      </c>
      <c r="EE295" t="s">
        <v>75</v>
      </c>
      <c r="EF295">
        <v>168751.40400000001</v>
      </c>
      <c r="EG295" t="s">
        <v>76</v>
      </c>
      <c r="EH295" t="s">
        <v>82</v>
      </c>
      <c r="EI295">
        <v>5.9258765999999996</v>
      </c>
      <c r="EL295" t="s">
        <v>497</v>
      </c>
      <c r="EM295" t="s">
        <v>72</v>
      </c>
      <c r="EN295">
        <v>1</v>
      </c>
      <c r="EO295" t="s">
        <v>81</v>
      </c>
      <c r="EP295">
        <v>0.167907</v>
      </c>
      <c r="EQ295" t="s">
        <v>74</v>
      </c>
      <c r="ER295">
        <v>167.90719000000001</v>
      </c>
      <c r="ES295" t="s">
        <v>75</v>
      </c>
      <c r="ET295">
        <v>167907.193</v>
      </c>
      <c r="EU295" t="s">
        <v>76</v>
      </c>
      <c r="EV295" t="s">
        <v>82</v>
      </c>
      <c r="EW295">
        <v>5.9556709999999997</v>
      </c>
      <c r="EZ295" t="s">
        <v>497</v>
      </c>
      <c r="FA295" t="s">
        <v>72</v>
      </c>
      <c r="FB295">
        <v>1</v>
      </c>
      <c r="FC295" t="s">
        <v>81</v>
      </c>
      <c r="FD295">
        <v>0.16565299999999999</v>
      </c>
      <c r="FE295" t="s">
        <v>74</v>
      </c>
      <c r="FF295">
        <v>165.65260000000001</v>
      </c>
      <c r="FG295" t="s">
        <v>75</v>
      </c>
      <c r="FH295">
        <v>165652.603</v>
      </c>
      <c r="FI295" t="s">
        <v>76</v>
      </c>
      <c r="FJ295" t="s">
        <v>82</v>
      </c>
      <c r="FK295">
        <v>6.0367297999999998</v>
      </c>
    </row>
    <row r="296" spans="127:167" x14ac:dyDescent="0.3">
      <c r="DX296" t="s">
        <v>497</v>
      </c>
      <c r="DY296" t="s">
        <v>83</v>
      </c>
      <c r="DZ296">
        <v>610</v>
      </c>
      <c r="EA296" t="s">
        <v>81</v>
      </c>
      <c r="EB296">
        <v>1.755E-3</v>
      </c>
      <c r="EC296" t="s">
        <v>74</v>
      </c>
      <c r="ED296">
        <v>1.7551399999999999</v>
      </c>
      <c r="EE296" t="s">
        <v>75</v>
      </c>
      <c r="EF296">
        <v>1755.144</v>
      </c>
      <c r="EG296" t="s">
        <v>76</v>
      </c>
      <c r="EH296" t="s">
        <v>82</v>
      </c>
      <c r="EI296">
        <v>569.75395709999998</v>
      </c>
      <c r="EL296" t="s">
        <v>497</v>
      </c>
      <c r="EM296" t="s">
        <v>83</v>
      </c>
      <c r="EN296">
        <v>408</v>
      </c>
      <c r="EO296" t="s">
        <v>81</v>
      </c>
      <c r="EP296">
        <v>2.5940999999999999E-2</v>
      </c>
      <c r="EQ296" t="s">
        <v>74</v>
      </c>
      <c r="ER296">
        <v>25.941050000000001</v>
      </c>
      <c r="ES296" t="s">
        <v>75</v>
      </c>
      <c r="ET296">
        <v>25941.052</v>
      </c>
      <c r="EU296" t="s">
        <v>76</v>
      </c>
      <c r="EV296" t="s">
        <v>82</v>
      </c>
      <c r="EW296">
        <v>38.548938300000003</v>
      </c>
      <c r="EZ296" t="s">
        <v>497</v>
      </c>
      <c r="FA296" t="s">
        <v>83</v>
      </c>
      <c r="FB296">
        <v>355</v>
      </c>
      <c r="FC296" t="s">
        <v>81</v>
      </c>
      <c r="FD296">
        <v>3.1248999999999999E-2</v>
      </c>
      <c r="FE296" t="s">
        <v>74</v>
      </c>
      <c r="FF296">
        <v>31.24907</v>
      </c>
      <c r="FG296" t="s">
        <v>75</v>
      </c>
      <c r="FH296">
        <v>31249.073</v>
      </c>
      <c r="FI296" t="s">
        <v>76</v>
      </c>
      <c r="FJ296" t="s">
        <v>82</v>
      </c>
      <c r="FK296">
        <v>32.0009491</v>
      </c>
    </row>
    <row r="297" spans="127:167" x14ac:dyDescent="0.3">
      <c r="DX297" t="s">
        <v>497</v>
      </c>
      <c r="DY297" t="s">
        <v>84</v>
      </c>
      <c r="DZ297">
        <v>611</v>
      </c>
      <c r="EA297" t="s">
        <v>81</v>
      </c>
      <c r="EB297">
        <v>2.0279999999999999E-3</v>
      </c>
      <c r="EC297" t="s">
        <v>74</v>
      </c>
      <c r="ED297">
        <v>2.0284599999999999</v>
      </c>
      <c r="EE297" t="s">
        <v>75</v>
      </c>
      <c r="EF297">
        <v>2028.4590000000001</v>
      </c>
      <c r="EG297" t="s">
        <v>76</v>
      </c>
      <c r="EH297" t="s">
        <v>82</v>
      </c>
      <c r="EI297">
        <v>492.98506220000002</v>
      </c>
      <c r="EL297" t="s">
        <v>497</v>
      </c>
      <c r="EM297" t="s">
        <v>84</v>
      </c>
      <c r="EN297">
        <v>409</v>
      </c>
      <c r="EO297" t="s">
        <v>81</v>
      </c>
      <c r="EP297">
        <v>2.6287999999999999E-2</v>
      </c>
      <c r="EQ297" t="s">
        <v>74</v>
      </c>
      <c r="ER297">
        <v>26.288160000000001</v>
      </c>
      <c r="ES297" t="s">
        <v>75</v>
      </c>
      <c r="ET297">
        <v>26288.163</v>
      </c>
      <c r="EU297" t="s">
        <v>76</v>
      </c>
      <c r="EV297" t="s">
        <v>82</v>
      </c>
      <c r="EW297">
        <v>38.0399344</v>
      </c>
      <c r="EZ297" t="s">
        <v>497</v>
      </c>
      <c r="FA297" t="s">
        <v>84</v>
      </c>
      <c r="FB297">
        <v>356</v>
      </c>
      <c r="FC297" t="s">
        <v>81</v>
      </c>
      <c r="FD297">
        <v>3.1627000000000002E-2</v>
      </c>
      <c r="FE297" t="s">
        <v>74</v>
      </c>
      <c r="FF297">
        <v>31.626609999999999</v>
      </c>
      <c r="FG297" t="s">
        <v>75</v>
      </c>
      <c r="FH297">
        <v>31626.61</v>
      </c>
      <c r="FI297" t="s">
        <v>76</v>
      </c>
      <c r="FJ297" t="s">
        <v>82</v>
      </c>
      <c r="FK297">
        <v>31.618943399999999</v>
      </c>
    </row>
    <row r="298" spans="127:167" x14ac:dyDescent="0.3">
      <c r="DX298" t="s">
        <v>498</v>
      </c>
      <c r="DY298" t="s">
        <v>72</v>
      </c>
      <c r="DZ298">
        <v>2</v>
      </c>
      <c r="EA298" t="s">
        <v>86</v>
      </c>
      <c r="EB298">
        <v>0.23219699999999999</v>
      </c>
      <c r="EC298" t="s">
        <v>74</v>
      </c>
      <c r="ED298">
        <v>232.19685000000001</v>
      </c>
      <c r="EE298" t="s">
        <v>75</v>
      </c>
      <c r="EF298">
        <v>232196.853</v>
      </c>
      <c r="EG298" t="s">
        <v>76</v>
      </c>
      <c r="EH298" t="s">
        <v>82</v>
      </c>
      <c r="EI298">
        <v>4.3066905999999996</v>
      </c>
      <c r="EL298" t="s">
        <v>498</v>
      </c>
      <c r="EM298" t="s">
        <v>72</v>
      </c>
      <c r="EN298">
        <v>2</v>
      </c>
      <c r="EO298" t="s">
        <v>86</v>
      </c>
      <c r="EP298">
        <v>0.223051</v>
      </c>
      <c r="EQ298" t="s">
        <v>74</v>
      </c>
      <c r="ER298">
        <v>223.0514</v>
      </c>
      <c r="ES298" t="s">
        <v>75</v>
      </c>
      <c r="ET298">
        <v>223051.399</v>
      </c>
      <c r="EU298" t="s">
        <v>76</v>
      </c>
      <c r="EV298" t="s">
        <v>82</v>
      </c>
      <c r="EW298">
        <v>4.4832716000000001</v>
      </c>
      <c r="EZ298" t="s">
        <v>498</v>
      </c>
      <c r="FA298" t="s">
        <v>72</v>
      </c>
      <c r="FB298">
        <v>2</v>
      </c>
      <c r="FC298" t="s">
        <v>86</v>
      </c>
      <c r="FD298">
        <v>0.22706200000000001</v>
      </c>
      <c r="FE298" t="s">
        <v>74</v>
      </c>
      <c r="FF298">
        <v>227.06155000000001</v>
      </c>
      <c r="FG298" t="s">
        <v>75</v>
      </c>
      <c r="FH298">
        <v>227061.55499999999</v>
      </c>
      <c r="FI298" t="s">
        <v>76</v>
      </c>
      <c r="FJ298" t="s">
        <v>82</v>
      </c>
      <c r="FK298">
        <v>4.4040920999999997</v>
      </c>
    </row>
    <row r="299" spans="127:167" x14ac:dyDescent="0.3">
      <c r="DX299" t="s">
        <v>498</v>
      </c>
      <c r="DY299" t="s">
        <v>83</v>
      </c>
      <c r="DZ299">
        <v>999</v>
      </c>
      <c r="EA299" t="s">
        <v>86</v>
      </c>
      <c r="EB299">
        <v>1.1019999999999999E-3</v>
      </c>
      <c r="EC299" t="s">
        <v>74</v>
      </c>
      <c r="ED299">
        <v>1.1019000000000001</v>
      </c>
      <c r="EE299" t="s">
        <v>75</v>
      </c>
      <c r="EF299">
        <v>1101.904</v>
      </c>
      <c r="EG299" t="s">
        <v>76</v>
      </c>
      <c r="EH299" t="s">
        <v>82</v>
      </c>
      <c r="EI299">
        <v>907.51970770000003</v>
      </c>
      <c r="EL299" t="s">
        <v>498</v>
      </c>
      <c r="EM299" t="s">
        <v>83</v>
      </c>
      <c r="EN299">
        <v>999</v>
      </c>
      <c r="EO299" t="s">
        <v>86</v>
      </c>
      <c r="EP299">
        <v>1.0598E-2</v>
      </c>
      <c r="EQ299" t="s">
        <v>74</v>
      </c>
      <c r="ER299">
        <v>10.59829</v>
      </c>
      <c r="ES299" t="s">
        <v>75</v>
      </c>
      <c r="ET299">
        <v>10598.288</v>
      </c>
      <c r="EU299" t="s">
        <v>76</v>
      </c>
      <c r="EV299" t="s">
        <v>82</v>
      </c>
      <c r="EW299">
        <v>94.354864599999999</v>
      </c>
      <c r="EZ299" t="s">
        <v>498</v>
      </c>
      <c r="FA299" t="s">
        <v>83</v>
      </c>
      <c r="FB299">
        <v>999</v>
      </c>
      <c r="FC299" t="s">
        <v>86</v>
      </c>
      <c r="FD299">
        <v>1.1107000000000001E-2</v>
      </c>
      <c r="FE299" t="s">
        <v>74</v>
      </c>
      <c r="FF299">
        <v>11.106820000000001</v>
      </c>
      <c r="FG299" t="s">
        <v>75</v>
      </c>
      <c r="FH299">
        <v>11106.817999999999</v>
      </c>
      <c r="FI299" t="s">
        <v>76</v>
      </c>
      <c r="FJ299" t="s">
        <v>82</v>
      </c>
      <c r="FK299">
        <v>90.034791100000007</v>
      </c>
    </row>
    <row r="300" spans="127:167" x14ac:dyDescent="0.3">
      <c r="DX300" t="s">
        <v>498</v>
      </c>
      <c r="DY300" t="s">
        <v>85</v>
      </c>
      <c r="DZ300">
        <v>1001</v>
      </c>
      <c r="EA300" t="s">
        <v>86</v>
      </c>
      <c r="EB300">
        <v>1.2700000000000001E-3</v>
      </c>
      <c r="EC300" t="s">
        <v>74</v>
      </c>
      <c r="ED300">
        <v>1.26986</v>
      </c>
      <c r="EE300" t="s">
        <v>75</v>
      </c>
      <c r="EF300">
        <v>1269.856</v>
      </c>
      <c r="EG300" t="s">
        <v>76</v>
      </c>
      <c r="EH300" t="s">
        <v>82</v>
      </c>
      <c r="EI300">
        <v>787.49097770000003</v>
      </c>
      <c r="EL300" t="s">
        <v>498</v>
      </c>
      <c r="EM300" t="s">
        <v>85</v>
      </c>
      <c r="EN300">
        <v>1001</v>
      </c>
      <c r="EO300" t="s">
        <v>86</v>
      </c>
      <c r="EP300">
        <v>1.0762000000000001E-2</v>
      </c>
      <c r="EQ300" t="s">
        <v>74</v>
      </c>
      <c r="ER300">
        <v>10.76243</v>
      </c>
      <c r="ES300" t="s">
        <v>75</v>
      </c>
      <c r="ET300">
        <v>10762.433000000001</v>
      </c>
      <c r="EU300" t="s">
        <v>76</v>
      </c>
      <c r="EV300" t="s">
        <v>82</v>
      </c>
      <c r="EW300">
        <v>92.915794700000006</v>
      </c>
      <c r="EZ300" t="s">
        <v>498</v>
      </c>
      <c r="FA300" t="s">
        <v>85</v>
      </c>
      <c r="FB300">
        <v>1001</v>
      </c>
      <c r="FC300" t="s">
        <v>86</v>
      </c>
      <c r="FD300">
        <v>1.1269E-2</v>
      </c>
      <c r="FE300" t="s">
        <v>74</v>
      </c>
      <c r="FF300">
        <v>11.26911</v>
      </c>
      <c r="FG300" t="s">
        <v>75</v>
      </c>
      <c r="FH300">
        <v>11269.115</v>
      </c>
      <c r="FI300" t="s">
        <v>76</v>
      </c>
      <c r="FJ300" t="s">
        <v>82</v>
      </c>
      <c r="FK300">
        <v>88.738113400000003</v>
      </c>
    </row>
    <row r="302" spans="127:167" x14ac:dyDescent="0.3">
      <c r="DX302" t="s">
        <v>557</v>
      </c>
      <c r="EL302" t="s">
        <v>557</v>
      </c>
      <c r="EZ302" t="s">
        <v>557</v>
      </c>
    </row>
    <row r="303" spans="127:167" x14ac:dyDescent="0.3">
      <c r="DX303" t="s">
        <v>496</v>
      </c>
      <c r="DY303" t="s">
        <v>72</v>
      </c>
      <c r="DZ303">
        <v>1</v>
      </c>
      <c r="EA303" t="s">
        <v>81</v>
      </c>
      <c r="EB303">
        <v>3.8809000000000003E-2</v>
      </c>
      <c r="EC303" t="s">
        <v>74</v>
      </c>
      <c r="ED303">
        <v>38.808599999999998</v>
      </c>
      <c r="EE303" t="s">
        <v>75</v>
      </c>
      <c r="EF303">
        <v>38808.599000000002</v>
      </c>
      <c r="EG303" t="s">
        <v>76</v>
      </c>
      <c r="EH303" t="s">
        <v>82</v>
      </c>
      <c r="EI303">
        <v>25.767485099999998</v>
      </c>
      <c r="EL303" t="s">
        <v>496</v>
      </c>
      <c r="EM303" t="s">
        <v>72</v>
      </c>
      <c r="EN303">
        <v>1</v>
      </c>
      <c r="EO303" t="s">
        <v>81</v>
      </c>
      <c r="EP303">
        <v>3.5011E-2</v>
      </c>
      <c r="EQ303" t="s">
        <v>74</v>
      </c>
      <c r="ER303">
        <v>35.011299999999999</v>
      </c>
      <c r="ES303" t="s">
        <v>75</v>
      </c>
      <c r="ET303">
        <v>35011.298999999999</v>
      </c>
      <c r="EU303" t="s">
        <v>76</v>
      </c>
      <c r="EV303" t="s">
        <v>82</v>
      </c>
      <c r="EW303">
        <v>28.562207900000001</v>
      </c>
      <c r="EZ303" t="s">
        <v>496</v>
      </c>
      <c r="FA303" t="s">
        <v>72</v>
      </c>
      <c r="FB303">
        <v>1</v>
      </c>
      <c r="FC303" t="s">
        <v>81</v>
      </c>
      <c r="FD303">
        <v>3.7255000000000003E-2</v>
      </c>
      <c r="FE303" t="s">
        <v>74</v>
      </c>
      <c r="FF303">
        <v>37.254800000000003</v>
      </c>
      <c r="FG303" t="s">
        <v>75</v>
      </c>
      <c r="FH303">
        <v>37254.798999999999</v>
      </c>
      <c r="FI303" t="s">
        <v>76</v>
      </c>
      <c r="FJ303" t="s">
        <v>82</v>
      </c>
      <c r="FK303">
        <v>26.842179300000002</v>
      </c>
    </row>
    <row r="304" spans="127:167" x14ac:dyDescent="0.3">
      <c r="DX304" t="s">
        <v>496</v>
      </c>
      <c r="DY304" t="s">
        <v>83</v>
      </c>
      <c r="DZ304">
        <v>599</v>
      </c>
      <c r="EA304" t="s">
        <v>81</v>
      </c>
      <c r="EB304">
        <v>2.4910000000000002E-3</v>
      </c>
      <c r="EC304" t="s">
        <v>74</v>
      </c>
      <c r="ED304">
        <v>2.4906600000000001</v>
      </c>
      <c r="EE304" t="s">
        <v>75</v>
      </c>
      <c r="EF304">
        <v>2490.6640000000002</v>
      </c>
      <c r="EG304" t="s">
        <v>76</v>
      </c>
      <c r="EH304" t="s">
        <v>82</v>
      </c>
      <c r="EI304">
        <v>401.49939669999998</v>
      </c>
      <c r="EL304" t="s">
        <v>496</v>
      </c>
      <c r="EM304" t="s">
        <v>83</v>
      </c>
      <c r="EN304">
        <v>756</v>
      </c>
      <c r="EO304" t="s">
        <v>81</v>
      </c>
      <c r="EP304">
        <v>2.5439E-2</v>
      </c>
      <c r="EQ304" t="s">
        <v>74</v>
      </c>
      <c r="ER304">
        <v>25.438849999999999</v>
      </c>
      <c r="ES304" t="s">
        <v>75</v>
      </c>
      <c r="ET304">
        <v>25438.850999999999</v>
      </c>
      <c r="EU304" t="s">
        <v>76</v>
      </c>
      <c r="EV304" t="s">
        <v>82</v>
      </c>
      <c r="EW304">
        <v>39.309951300000002</v>
      </c>
      <c r="EZ304" t="s">
        <v>496</v>
      </c>
      <c r="FA304" t="s">
        <v>83</v>
      </c>
      <c r="FB304">
        <v>753</v>
      </c>
      <c r="FC304" t="s">
        <v>81</v>
      </c>
      <c r="FD304">
        <v>2.7054999999999999E-2</v>
      </c>
      <c r="FE304" t="s">
        <v>74</v>
      </c>
      <c r="FF304">
        <v>27.054919999999999</v>
      </c>
      <c r="FG304" t="s">
        <v>75</v>
      </c>
      <c r="FH304">
        <v>27054.924999999999</v>
      </c>
      <c r="FI304" t="s">
        <v>76</v>
      </c>
      <c r="FJ304" t="s">
        <v>82</v>
      </c>
      <c r="FK304">
        <v>36.961847400000003</v>
      </c>
    </row>
    <row r="305" spans="127:167" x14ac:dyDescent="0.3">
      <c r="DX305" t="s">
        <v>496</v>
      </c>
      <c r="DY305" t="s">
        <v>84</v>
      </c>
      <c r="DZ305">
        <v>600</v>
      </c>
      <c r="EA305" t="s">
        <v>81</v>
      </c>
      <c r="EB305">
        <v>2.5509999999999999E-3</v>
      </c>
      <c r="EC305" t="s">
        <v>74</v>
      </c>
      <c r="ED305">
        <v>2.5511900000000001</v>
      </c>
      <c r="EE305" t="s">
        <v>75</v>
      </c>
      <c r="EF305">
        <v>2551.194</v>
      </c>
      <c r="EG305" t="s">
        <v>76</v>
      </c>
      <c r="EH305" t="s">
        <v>82</v>
      </c>
      <c r="EI305">
        <v>391.97338309999998</v>
      </c>
      <c r="EL305" t="s">
        <v>496</v>
      </c>
      <c r="EM305" t="s">
        <v>84</v>
      </c>
      <c r="EN305">
        <v>757</v>
      </c>
      <c r="EO305" t="s">
        <v>81</v>
      </c>
      <c r="EP305">
        <v>2.5451000000000001E-2</v>
      </c>
      <c r="EQ305" t="s">
        <v>74</v>
      </c>
      <c r="ER305">
        <v>25.451499999999999</v>
      </c>
      <c r="ES305" t="s">
        <v>75</v>
      </c>
      <c r="ET305">
        <v>25451.495999999999</v>
      </c>
      <c r="EU305" t="s">
        <v>76</v>
      </c>
      <c r="EV305" t="s">
        <v>82</v>
      </c>
      <c r="EW305">
        <v>39.290420699999999</v>
      </c>
      <c r="EZ305" t="s">
        <v>496</v>
      </c>
      <c r="FA305" t="s">
        <v>84</v>
      </c>
      <c r="FB305">
        <v>754</v>
      </c>
      <c r="FC305" t="s">
        <v>81</v>
      </c>
      <c r="FD305">
        <v>2.7067999999999998E-2</v>
      </c>
      <c r="FE305" t="s">
        <v>74</v>
      </c>
      <c r="FF305">
        <v>27.068449999999999</v>
      </c>
      <c r="FG305" t="s">
        <v>75</v>
      </c>
      <c r="FH305">
        <v>27068.454000000002</v>
      </c>
      <c r="FI305" t="s">
        <v>76</v>
      </c>
      <c r="FJ305" t="s">
        <v>82</v>
      </c>
      <c r="FK305">
        <v>36.943372799999999</v>
      </c>
    </row>
    <row r="306" spans="127:167" x14ac:dyDescent="0.3">
      <c r="DX306" t="s">
        <v>497</v>
      </c>
      <c r="DY306" t="s">
        <v>72</v>
      </c>
      <c r="DZ306">
        <v>1</v>
      </c>
      <c r="EA306" t="s">
        <v>81</v>
      </c>
      <c r="EB306">
        <v>7.3951000000000003E-2</v>
      </c>
      <c r="EC306" t="s">
        <v>74</v>
      </c>
      <c r="ED306">
        <v>73.951099999999997</v>
      </c>
      <c r="EE306" t="s">
        <v>75</v>
      </c>
      <c r="EF306">
        <v>73951.103000000003</v>
      </c>
      <c r="EG306" t="s">
        <v>76</v>
      </c>
      <c r="EH306" t="s">
        <v>82</v>
      </c>
      <c r="EI306">
        <v>13.522448799999999</v>
      </c>
      <c r="EL306" t="s">
        <v>497</v>
      </c>
      <c r="EM306" t="s">
        <v>72</v>
      </c>
      <c r="EN306">
        <v>1</v>
      </c>
      <c r="EO306" t="s">
        <v>81</v>
      </c>
      <c r="EP306">
        <v>0.116399</v>
      </c>
      <c r="EQ306" t="s">
        <v>74</v>
      </c>
      <c r="ER306">
        <v>116.3994</v>
      </c>
      <c r="ES306" t="s">
        <v>75</v>
      </c>
      <c r="ET306">
        <v>116399.4</v>
      </c>
      <c r="EU306" t="s">
        <v>76</v>
      </c>
      <c r="EV306" t="s">
        <v>82</v>
      </c>
      <c r="EW306">
        <v>8.5911095999999993</v>
      </c>
      <c r="EZ306" t="s">
        <v>497</v>
      </c>
      <c r="FA306" t="s">
        <v>72</v>
      </c>
      <c r="FB306">
        <v>1</v>
      </c>
      <c r="FC306" t="s">
        <v>81</v>
      </c>
      <c r="FD306">
        <v>0.11558499999999999</v>
      </c>
      <c r="FE306" t="s">
        <v>74</v>
      </c>
      <c r="FF306">
        <v>115.5855</v>
      </c>
      <c r="FG306" t="s">
        <v>75</v>
      </c>
      <c r="FH306">
        <v>115585.499</v>
      </c>
      <c r="FI306" t="s">
        <v>76</v>
      </c>
      <c r="FJ306" t="s">
        <v>82</v>
      </c>
      <c r="FK306">
        <v>8.6516043000000007</v>
      </c>
    </row>
    <row r="307" spans="127:167" x14ac:dyDescent="0.3">
      <c r="DX307" t="s">
        <v>497</v>
      </c>
      <c r="DY307" t="s">
        <v>83</v>
      </c>
      <c r="DZ307">
        <v>400</v>
      </c>
      <c r="EA307" t="s">
        <v>81</v>
      </c>
      <c r="EB307">
        <v>3.5019999999999999E-3</v>
      </c>
      <c r="EC307" t="s">
        <v>74</v>
      </c>
      <c r="ED307">
        <v>3.5024099999999998</v>
      </c>
      <c r="EE307" t="s">
        <v>75</v>
      </c>
      <c r="EF307">
        <v>3502.4090000000001</v>
      </c>
      <c r="EG307" t="s">
        <v>76</v>
      </c>
      <c r="EH307" t="s">
        <v>82</v>
      </c>
      <c r="EI307">
        <v>285.51773059999999</v>
      </c>
      <c r="EL307" t="s">
        <v>497</v>
      </c>
      <c r="EM307" t="s">
        <v>83</v>
      </c>
      <c r="EN307">
        <v>243</v>
      </c>
      <c r="EO307" t="s">
        <v>81</v>
      </c>
      <c r="EP307">
        <v>7.4921000000000001E-2</v>
      </c>
      <c r="EQ307" t="s">
        <v>74</v>
      </c>
      <c r="ER307">
        <v>74.920509999999993</v>
      </c>
      <c r="ES307" t="s">
        <v>75</v>
      </c>
      <c r="ET307">
        <v>74920.513000000006</v>
      </c>
      <c r="EU307" t="s">
        <v>76</v>
      </c>
      <c r="EV307" t="s">
        <v>82</v>
      </c>
      <c r="EW307">
        <v>13.3474793</v>
      </c>
      <c r="EZ307" t="s">
        <v>497</v>
      </c>
      <c r="FA307" t="s">
        <v>83</v>
      </c>
      <c r="FB307">
        <v>246</v>
      </c>
      <c r="FC307" t="s">
        <v>81</v>
      </c>
      <c r="FD307">
        <v>8.1784999999999997E-2</v>
      </c>
      <c r="FE307" t="s">
        <v>74</v>
      </c>
      <c r="FF307">
        <v>81.784570000000002</v>
      </c>
      <c r="FG307" t="s">
        <v>75</v>
      </c>
      <c r="FH307">
        <v>81784.573999999993</v>
      </c>
      <c r="FI307" t="s">
        <v>76</v>
      </c>
      <c r="FJ307" t="s">
        <v>82</v>
      </c>
      <c r="FK307">
        <v>12.2272447</v>
      </c>
    </row>
    <row r="308" spans="127:167" x14ac:dyDescent="0.3">
      <c r="DX308" t="s">
        <v>497</v>
      </c>
      <c r="DY308" t="s">
        <v>84</v>
      </c>
      <c r="DZ308">
        <v>401</v>
      </c>
      <c r="EA308" t="s">
        <v>81</v>
      </c>
      <c r="EB308">
        <v>3.6779999999999998E-3</v>
      </c>
      <c r="EC308" t="s">
        <v>74</v>
      </c>
      <c r="ED308">
        <v>3.6780900000000001</v>
      </c>
      <c r="EE308" t="s">
        <v>75</v>
      </c>
      <c r="EF308">
        <v>3678.0920000000001</v>
      </c>
      <c r="EG308" t="s">
        <v>76</v>
      </c>
      <c r="EH308" t="s">
        <v>82</v>
      </c>
      <c r="EI308">
        <v>271.8800913</v>
      </c>
      <c r="EL308" t="s">
        <v>497</v>
      </c>
      <c r="EM308" t="s">
        <v>84</v>
      </c>
      <c r="EN308">
        <v>244</v>
      </c>
      <c r="EO308" t="s">
        <v>81</v>
      </c>
      <c r="EP308">
        <v>7.5091000000000005E-2</v>
      </c>
      <c r="EQ308" t="s">
        <v>74</v>
      </c>
      <c r="ER308">
        <v>75.090509999999995</v>
      </c>
      <c r="ES308" t="s">
        <v>75</v>
      </c>
      <c r="ET308">
        <v>75090.509999999995</v>
      </c>
      <c r="EU308" t="s">
        <v>76</v>
      </c>
      <c r="EV308" t="s">
        <v>82</v>
      </c>
      <c r="EW308">
        <v>13.317262100000001</v>
      </c>
      <c r="EZ308" t="s">
        <v>497</v>
      </c>
      <c r="FA308" t="s">
        <v>84</v>
      </c>
      <c r="FB308">
        <v>247</v>
      </c>
      <c r="FC308" t="s">
        <v>81</v>
      </c>
      <c r="FD308">
        <v>8.1920999999999994E-2</v>
      </c>
      <c r="FE308" t="s">
        <v>74</v>
      </c>
      <c r="FF308">
        <v>81.921419999999998</v>
      </c>
      <c r="FG308" t="s">
        <v>75</v>
      </c>
      <c r="FH308">
        <v>81921.418999999994</v>
      </c>
      <c r="FI308" t="s">
        <v>76</v>
      </c>
      <c r="FJ308" t="s">
        <v>82</v>
      </c>
      <c r="FK308">
        <v>12.2068198</v>
      </c>
    </row>
    <row r="309" spans="127:167" x14ac:dyDescent="0.3">
      <c r="DX309" t="s">
        <v>498</v>
      </c>
      <c r="DY309" t="s">
        <v>72</v>
      </c>
      <c r="DZ309">
        <v>2</v>
      </c>
      <c r="EA309" t="s">
        <v>86</v>
      </c>
      <c r="EB309">
        <v>3.6978999999999998E-2</v>
      </c>
      <c r="EC309" t="s">
        <v>74</v>
      </c>
      <c r="ED309">
        <v>36.978850000000001</v>
      </c>
      <c r="EE309" t="s">
        <v>75</v>
      </c>
      <c r="EF309">
        <v>36978.847999999998</v>
      </c>
      <c r="EG309" t="s">
        <v>76</v>
      </c>
      <c r="EH309" t="s">
        <v>82</v>
      </c>
      <c r="EI309">
        <v>27.042486400000001</v>
      </c>
      <c r="EL309" t="s">
        <v>498</v>
      </c>
      <c r="EM309" t="s">
        <v>72</v>
      </c>
      <c r="EN309">
        <v>2</v>
      </c>
      <c r="EO309" t="s">
        <v>86</v>
      </c>
      <c r="EP309">
        <v>5.8202999999999998E-2</v>
      </c>
      <c r="EQ309" t="s">
        <v>74</v>
      </c>
      <c r="ER309">
        <v>58.20335</v>
      </c>
      <c r="ES309" t="s">
        <v>75</v>
      </c>
      <c r="ET309">
        <v>58203.351000000002</v>
      </c>
      <c r="EU309" t="s">
        <v>76</v>
      </c>
      <c r="EV309" t="s">
        <v>82</v>
      </c>
      <c r="EW309">
        <v>17.181141400000001</v>
      </c>
      <c r="EZ309" t="s">
        <v>498</v>
      </c>
      <c r="FA309" t="s">
        <v>72</v>
      </c>
      <c r="FB309">
        <v>2</v>
      </c>
      <c r="FC309" t="s">
        <v>86</v>
      </c>
      <c r="FD309">
        <v>5.7796E-2</v>
      </c>
      <c r="FE309" t="s">
        <v>74</v>
      </c>
      <c r="FF309">
        <v>57.795699999999997</v>
      </c>
      <c r="FG309" t="s">
        <v>75</v>
      </c>
      <c r="FH309">
        <v>57795.7</v>
      </c>
      <c r="FI309" t="s">
        <v>76</v>
      </c>
      <c r="FJ309" t="s">
        <v>82</v>
      </c>
      <c r="FK309">
        <v>17.302325400000001</v>
      </c>
    </row>
    <row r="310" spans="127:167" x14ac:dyDescent="0.3">
      <c r="DX310" t="s">
        <v>498</v>
      </c>
      <c r="DY310" t="s">
        <v>83</v>
      </c>
      <c r="DZ310">
        <v>999</v>
      </c>
      <c r="EA310" t="s">
        <v>86</v>
      </c>
      <c r="EB310">
        <v>1.4959999999999999E-3</v>
      </c>
      <c r="EC310" t="s">
        <v>74</v>
      </c>
      <c r="ED310">
        <v>1.4958100000000001</v>
      </c>
      <c r="EE310" t="s">
        <v>75</v>
      </c>
      <c r="EF310">
        <v>1495.81</v>
      </c>
      <c r="EG310" t="s">
        <v>76</v>
      </c>
      <c r="EH310" t="s">
        <v>82</v>
      </c>
      <c r="EI310">
        <v>668.53431690000002</v>
      </c>
      <c r="EL310" t="s">
        <v>498</v>
      </c>
      <c r="EM310" t="s">
        <v>83</v>
      </c>
      <c r="EN310">
        <v>999</v>
      </c>
      <c r="EO310" t="s">
        <v>86</v>
      </c>
      <c r="EP310">
        <v>1.9264E-2</v>
      </c>
      <c r="EQ310" t="s">
        <v>74</v>
      </c>
      <c r="ER310">
        <v>19.26436</v>
      </c>
      <c r="ES310" t="s">
        <v>75</v>
      </c>
      <c r="ET310">
        <v>19264.359</v>
      </c>
      <c r="EU310" t="s">
        <v>76</v>
      </c>
      <c r="EV310" t="s">
        <v>82</v>
      </c>
      <c r="EW310">
        <v>51.909332599999999</v>
      </c>
      <c r="EZ310" t="s">
        <v>498</v>
      </c>
      <c r="FA310" t="s">
        <v>83</v>
      </c>
      <c r="FB310">
        <v>999</v>
      </c>
      <c r="FC310" t="s">
        <v>86</v>
      </c>
      <c r="FD310">
        <v>2.0427000000000001E-2</v>
      </c>
      <c r="FE310" t="s">
        <v>74</v>
      </c>
      <c r="FF310">
        <v>20.42699</v>
      </c>
      <c r="FG310" t="s">
        <v>75</v>
      </c>
      <c r="FH310">
        <v>20426.986000000001</v>
      </c>
      <c r="FI310" t="s">
        <v>76</v>
      </c>
      <c r="FJ310" t="s">
        <v>82</v>
      </c>
      <c r="FK310">
        <v>48.954848300000002</v>
      </c>
    </row>
    <row r="311" spans="127:167" x14ac:dyDescent="0.3">
      <c r="DX311" t="s">
        <v>498</v>
      </c>
      <c r="DY311" t="s">
        <v>85</v>
      </c>
      <c r="DZ311">
        <v>1001</v>
      </c>
      <c r="EA311" t="s">
        <v>86</v>
      </c>
      <c r="EB311">
        <v>1.537E-3</v>
      </c>
      <c r="EC311" t="s">
        <v>74</v>
      </c>
      <c r="ED311">
        <v>1.5371300000000001</v>
      </c>
      <c r="EE311" t="s">
        <v>75</v>
      </c>
      <c r="EF311">
        <v>1537.1279999999999</v>
      </c>
      <c r="EG311" t="s">
        <v>76</v>
      </c>
      <c r="EH311" t="s">
        <v>82</v>
      </c>
      <c r="EI311">
        <v>650.5637375</v>
      </c>
      <c r="EL311" t="s">
        <v>498</v>
      </c>
      <c r="EM311" t="s">
        <v>85</v>
      </c>
      <c r="EN311">
        <v>1001</v>
      </c>
      <c r="EO311" t="s">
        <v>86</v>
      </c>
      <c r="EP311">
        <v>1.9262000000000001E-2</v>
      </c>
      <c r="EQ311" t="s">
        <v>74</v>
      </c>
      <c r="ER311">
        <v>19.2624</v>
      </c>
      <c r="ES311" t="s">
        <v>75</v>
      </c>
      <c r="ET311">
        <v>19262.396000000001</v>
      </c>
      <c r="EU311" t="s">
        <v>76</v>
      </c>
      <c r="EV311" t="s">
        <v>82</v>
      </c>
      <c r="EW311">
        <v>51.914622199999997</v>
      </c>
      <c r="EZ311" t="s">
        <v>498</v>
      </c>
      <c r="FA311" t="s">
        <v>85</v>
      </c>
      <c r="FB311">
        <v>1001</v>
      </c>
      <c r="FC311" t="s">
        <v>86</v>
      </c>
      <c r="FD311">
        <v>2.0427000000000001E-2</v>
      </c>
      <c r="FE311" t="s">
        <v>74</v>
      </c>
      <c r="FF311">
        <v>20.4267</v>
      </c>
      <c r="FG311" t="s">
        <v>75</v>
      </c>
      <c r="FH311">
        <v>20426.7</v>
      </c>
      <c r="FI311" t="s">
        <v>76</v>
      </c>
      <c r="FJ311" t="s">
        <v>82</v>
      </c>
      <c r="FK311">
        <v>48.955534399999998</v>
      </c>
    </row>
    <row r="313" spans="127:167" x14ac:dyDescent="0.3">
      <c r="DW313">
        <v>18</v>
      </c>
      <c r="DX313" t="s">
        <v>561</v>
      </c>
      <c r="EK313">
        <v>18</v>
      </c>
      <c r="EL313" t="s">
        <v>561</v>
      </c>
      <c r="EY313">
        <v>18</v>
      </c>
      <c r="EZ313" t="s">
        <v>561</v>
      </c>
    </row>
    <row r="314" spans="127:167" x14ac:dyDescent="0.3">
      <c r="DX314" t="s">
        <v>496</v>
      </c>
      <c r="DY314" t="s">
        <v>72</v>
      </c>
      <c r="DZ314">
        <v>1</v>
      </c>
      <c r="EA314" t="s">
        <v>81</v>
      </c>
      <c r="EB314">
        <v>0.40753200000000001</v>
      </c>
      <c r="EC314" t="s">
        <v>74</v>
      </c>
      <c r="ED314">
        <v>407.53201000000001</v>
      </c>
      <c r="EE314" t="s">
        <v>75</v>
      </c>
      <c r="EF314">
        <v>407532.00699999998</v>
      </c>
      <c r="EG314" t="s">
        <v>76</v>
      </c>
      <c r="EH314" t="s">
        <v>82</v>
      </c>
      <c r="EI314">
        <v>2.4537949999999999</v>
      </c>
      <c r="EL314" t="s">
        <v>496</v>
      </c>
      <c r="EM314" t="s">
        <v>72</v>
      </c>
      <c r="EN314">
        <v>1</v>
      </c>
      <c r="EO314" t="s">
        <v>81</v>
      </c>
      <c r="EP314">
        <v>0.39629300000000001</v>
      </c>
      <c r="EQ314" t="s">
        <v>74</v>
      </c>
      <c r="ER314">
        <v>396.29318999999998</v>
      </c>
      <c r="ES314" t="s">
        <v>75</v>
      </c>
      <c r="ET314">
        <v>396293.19300000003</v>
      </c>
      <c r="EU314" t="s">
        <v>76</v>
      </c>
      <c r="EV314" t="s">
        <v>82</v>
      </c>
      <c r="EW314">
        <v>2.5233842000000002</v>
      </c>
      <c r="EZ314" t="s">
        <v>496</v>
      </c>
      <c r="FA314" t="s">
        <v>72</v>
      </c>
      <c r="FB314">
        <v>1</v>
      </c>
      <c r="FC314" t="s">
        <v>81</v>
      </c>
      <c r="FD314">
        <v>0.39504</v>
      </c>
      <c r="FE314" t="s">
        <v>74</v>
      </c>
      <c r="FF314">
        <v>395.03958999999998</v>
      </c>
      <c r="FG314" t="s">
        <v>75</v>
      </c>
      <c r="FH314">
        <v>395039.58799999999</v>
      </c>
      <c r="FI314" t="s">
        <v>76</v>
      </c>
      <c r="FJ314" t="s">
        <v>82</v>
      </c>
      <c r="FK314">
        <v>2.5313919</v>
      </c>
    </row>
    <row r="315" spans="127:167" x14ac:dyDescent="0.3">
      <c r="DX315" t="s">
        <v>496</v>
      </c>
      <c r="DY315" t="s">
        <v>83</v>
      </c>
      <c r="DZ315">
        <v>409</v>
      </c>
      <c r="EA315" t="s">
        <v>81</v>
      </c>
      <c r="EB315">
        <v>2.0720000000000001E-3</v>
      </c>
      <c r="EC315" t="s">
        <v>74</v>
      </c>
      <c r="ED315">
        <v>2.0723500000000001</v>
      </c>
      <c r="EE315" t="s">
        <v>75</v>
      </c>
      <c r="EF315">
        <v>2072.3519999999999</v>
      </c>
      <c r="EG315" t="s">
        <v>76</v>
      </c>
      <c r="EH315" t="s">
        <v>82</v>
      </c>
      <c r="EI315">
        <v>482.5435579</v>
      </c>
      <c r="EL315" t="s">
        <v>496</v>
      </c>
      <c r="EM315" t="s">
        <v>83</v>
      </c>
      <c r="EN315">
        <v>941</v>
      </c>
      <c r="EO315" t="s">
        <v>81</v>
      </c>
      <c r="EP315">
        <v>8.61E-4</v>
      </c>
      <c r="EQ315" t="s">
        <v>74</v>
      </c>
      <c r="ER315">
        <v>0.86075999999999997</v>
      </c>
      <c r="ES315" t="s">
        <v>75</v>
      </c>
      <c r="ET315">
        <v>860.76</v>
      </c>
      <c r="EU315" t="s">
        <v>76</v>
      </c>
      <c r="EV315" t="s">
        <v>82</v>
      </c>
      <c r="EW315">
        <v>1161.7635278</v>
      </c>
      <c r="EZ315" t="s">
        <v>496</v>
      </c>
      <c r="FA315" t="s">
        <v>83</v>
      </c>
      <c r="FB315">
        <v>900</v>
      </c>
      <c r="FC315" t="s">
        <v>81</v>
      </c>
      <c r="FD315">
        <v>1.6119999999999999E-3</v>
      </c>
      <c r="FE315" t="s">
        <v>74</v>
      </c>
      <c r="FF315">
        <v>1.6122000000000001</v>
      </c>
      <c r="FG315" t="s">
        <v>75</v>
      </c>
      <c r="FH315">
        <v>1612.1949999999999</v>
      </c>
      <c r="FI315" t="s">
        <v>76</v>
      </c>
      <c r="FJ315" t="s">
        <v>82</v>
      </c>
      <c r="FK315">
        <v>620.27219279999997</v>
      </c>
    </row>
    <row r="316" spans="127:167" x14ac:dyDescent="0.3">
      <c r="DX316" t="s">
        <v>496</v>
      </c>
      <c r="DY316" t="s">
        <v>84</v>
      </c>
      <c r="DZ316">
        <v>410</v>
      </c>
      <c r="EA316" t="s">
        <v>81</v>
      </c>
      <c r="EB316">
        <v>3.0609999999999999E-3</v>
      </c>
      <c r="EC316" t="s">
        <v>74</v>
      </c>
      <c r="ED316">
        <v>3.06128</v>
      </c>
      <c r="EE316" t="s">
        <v>75</v>
      </c>
      <c r="EF316">
        <v>3061.277</v>
      </c>
      <c r="EG316" t="s">
        <v>76</v>
      </c>
      <c r="EH316" t="s">
        <v>82</v>
      </c>
      <c r="EI316">
        <v>326.66111360000002</v>
      </c>
      <c r="EL316" t="s">
        <v>496</v>
      </c>
      <c r="EM316" t="s">
        <v>84</v>
      </c>
      <c r="EN316">
        <v>942</v>
      </c>
      <c r="EO316" t="s">
        <v>81</v>
      </c>
      <c r="EP316">
        <v>1.281E-3</v>
      </c>
      <c r="EQ316" t="s">
        <v>74</v>
      </c>
      <c r="ER316">
        <v>1.28054</v>
      </c>
      <c r="ES316" t="s">
        <v>75</v>
      </c>
      <c r="ET316">
        <v>1280.54</v>
      </c>
      <c r="EU316" t="s">
        <v>76</v>
      </c>
      <c r="EV316" t="s">
        <v>82</v>
      </c>
      <c r="EW316">
        <v>780.92047960000002</v>
      </c>
      <c r="EZ316" t="s">
        <v>496</v>
      </c>
      <c r="FA316" t="s">
        <v>84</v>
      </c>
      <c r="FB316">
        <v>901</v>
      </c>
      <c r="FC316" t="s">
        <v>81</v>
      </c>
      <c r="FD316">
        <v>2.049E-3</v>
      </c>
      <c r="FE316" t="s">
        <v>74</v>
      </c>
      <c r="FF316">
        <v>2.0488499999999998</v>
      </c>
      <c r="FG316" t="s">
        <v>75</v>
      </c>
      <c r="FH316">
        <v>2048.8510000000001</v>
      </c>
      <c r="FI316" t="s">
        <v>76</v>
      </c>
      <c r="FJ316" t="s">
        <v>82</v>
      </c>
      <c r="FK316">
        <v>488.07834889999998</v>
      </c>
    </row>
    <row r="317" spans="127:167" x14ac:dyDescent="0.3">
      <c r="DX317" t="s">
        <v>497</v>
      </c>
      <c r="DY317" t="s">
        <v>72</v>
      </c>
      <c r="DZ317">
        <v>1</v>
      </c>
      <c r="EA317" t="s">
        <v>81</v>
      </c>
      <c r="EB317">
        <v>0.16669900000000001</v>
      </c>
      <c r="EC317" t="s">
        <v>74</v>
      </c>
      <c r="ED317">
        <v>166.69869</v>
      </c>
      <c r="EE317" t="s">
        <v>75</v>
      </c>
      <c r="EF317">
        <v>166698.69399999999</v>
      </c>
      <c r="EG317" t="s">
        <v>76</v>
      </c>
      <c r="EH317" t="s">
        <v>82</v>
      </c>
      <c r="EI317">
        <v>5.9988472000000002</v>
      </c>
      <c r="EL317" t="s">
        <v>497</v>
      </c>
      <c r="EM317" t="s">
        <v>72</v>
      </c>
      <c r="EN317">
        <v>1</v>
      </c>
      <c r="EO317" t="s">
        <v>81</v>
      </c>
      <c r="EP317">
        <v>0.16514499999999999</v>
      </c>
      <c r="EQ317" t="s">
        <v>74</v>
      </c>
      <c r="ER317">
        <v>165.14519999999999</v>
      </c>
      <c r="ES317" t="s">
        <v>75</v>
      </c>
      <c r="ET317">
        <v>165145.20300000001</v>
      </c>
      <c r="EU317" t="s">
        <v>76</v>
      </c>
      <c r="EV317" t="s">
        <v>82</v>
      </c>
      <c r="EW317">
        <v>6.0552773000000002</v>
      </c>
      <c r="EZ317" t="s">
        <v>497</v>
      </c>
      <c r="FA317" t="s">
        <v>72</v>
      </c>
      <c r="FB317">
        <v>1</v>
      </c>
      <c r="FC317" t="s">
        <v>81</v>
      </c>
      <c r="FD317">
        <v>0.167684</v>
      </c>
      <c r="FE317" t="s">
        <v>74</v>
      </c>
      <c r="FF317">
        <v>167.68441000000001</v>
      </c>
      <c r="FG317" t="s">
        <v>75</v>
      </c>
      <c r="FH317">
        <v>167684.40599999999</v>
      </c>
      <c r="FI317" t="s">
        <v>76</v>
      </c>
      <c r="FJ317" t="s">
        <v>82</v>
      </c>
      <c r="FK317">
        <v>5.9635838000000003</v>
      </c>
    </row>
    <row r="318" spans="127:167" x14ac:dyDescent="0.3">
      <c r="DX318" t="s">
        <v>497</v>
      </c>
      <c r="DY318" t="s">
        <v>83</v>
      </c>
      <c r="DZ318">
        <v>590</v>
      </c>
      <c r="EA318" t="s">
        <v>81</v>
      </c>
      <c r="EB318">
        <v>1.7960000000000001E-3</v>
      </c>
      <c r="EC318" t="s">
        <v>74</v>
      </c>
      <c r="ED318">
        <v>1.7958799999999999</v>
      </c>
      <c r="EE318" t="s">
        <v>75</v>
      </c>
      <c r="EF318">
        <v>1795.8779999999999</v>
      </c>
      <c r="EG318" t="s">
        <v>76</v>
      </c>
      <c r="EH318" t="s">
        <v>82</v>
      </c>
      <c r="EI318">
        <v>556.83080870000003</v>
      </c>
      <c r="EL318" t="s">
        <v>497</v>
      </c>
      <c r="EM318" t="s">
        <v>83</v>
      </c>
      <c r="EN318">
        <v>58</v>
      </c>
      <c r="EO318" t="s">
        <v>81</v>
      </c>
      <c r="EP318">
        <v>1.8284999999999999E-2</v>
      </c>
      <c r="EQ318" t="s">
        <v>74</v>
      </c>
      <c r="ER318">
        <v>18.28528</v>
      </c>
      <c r="ES318" t="s">
        <v>75</v>
      </c>
      <c r="ET318">
        <v>18285.278999999999</v>
      </c>
      <c r="EU318" t="s">
        <v>76</v>
      </c>
      <c r="EV318" t="s">
        <v>82</v>
      </c>
      <c r="EW318">
        <v>54.688803</v>
      </c>
      <c r="EZ318" t="s">
        <v>497</v>
      </c>
      <c r="FA318" t="s">
        <v>83</v>
      </c>
      <c r="FB318">
        <v>99</v>
      </c>
      <c r="FC318" t="s">
        <v>81</v>
      </c>
      <c r="FD318">
        <v>1.7090000000000001E-2</v>
      </c>
      <c r="FE318" t="s">
        <v>74</v>
      </c>
      <c r="FF318">
        <v>17.09047</v>
      </c>
      <c r="FG318" t="s">
        <v>75</v>
      </c>
      <c r="FH318">
        <v>17090.465</v>
      </c>
      <c r="FI318" t="s">
        <v>76</v>
      </c>
      <c r="FJ318" t="s">
        <v>82</v>
      </c>
      <c r="FK318">
        <v>58.512158399999997</v>
      </c>
    </row>
    <row r="319" spans="127:167" x14ac:dyDescent="0.3">
      <c r="DX319" t="s">
        <v>497</v>
      </c>
      <c r="DY319" t="s">
        <v>84</v>
      </c>
      <c r="DZ319">
        <v>591</v>
      </c>
      <c r="EA319" t="s">
        <v>81</v>
      </c>
      <c r="EB319">
        <v>2.075E-3</v>
      </c>
      <c r="EC319" t="s">
        <v>74</v>
      </c>
      <c r="ED319">
        <v>2.0749</v>
      </c>
      <c r="EE319" t="s">
        <v>75</v>
      </c>
      <c r="EF319">
        <v>2074.902</v>
      </c>
      <c r="EG319" t="s">
        <v>76</v>
      </c>
      <c r="EH319" t="s">
        <v>82</v>
      </c>
      <c r="EI319">
        <v>481.95046600000001</v>
      </c>
      <c r="EL319" t="s">
        <v>497</v>
      </c>
      <c r="EM319" t="s">
        <v>84</v>
      </c>
      <c r="EN319">
        <v>59</v>
      </c>
      <c r="EO319" t="s">
        <v>81</v>
      </c>
      <c r="EP319">
        <v>2.0774000000000001E-2</v>
      </c>
      <c r="EQ319" t="s">
        <v>74</v>
      </c>
      <c r="ER319">
        <v>20.774429999999999</v>
      </c>
      <c r="ES319" t="s">
        <v>75</v>
      </c>
      <c r="ET319">
        <v>20774.429</v>
      </c>
      <c r="EU319" t="s">
        <v>76</v>
      </c>
      <c r="EV319" t="s">
        <v>82</v>
      </c>
      <c r="EW319">
        <v>48.1361001</v>
      </c>
      <c r="EZ319" t="s">
        <v>497</v>
      </c>
      <c r="FA319" t="s">
        <v>84</v>
      </c>
      <c r="FB319">
        <v>100</v>
      </c>
      <c r="FC319" t="s">
        <v>81</v>
      </c>
      <c r="FD319">
        <v>1.8596000000000001E-2</v>
      </c>
      <c r="FE319" t="s">
        <v>74</v>
      </c>
      <c r="FF319">
        <v>18.596399999999999</v>
      </c>
      <c r="FG319" t="s">
        <v>75</v>
      </c>
      <c r="FH319">
        <v>18596.403999999999</v>
      </c>
      <c r="FI319" t="s">
        <v>76</v>
      </c>
      <c r="FJ319" t="s">
        <v>82</v>
      </c>
      <c r="FK319">
        <v>53.773838300000001</v>
      </c>
    </row>
    <row r="320" spans="127:167" x14ac:dyDescent="0.3">
      <c r="DX320" t="s">
        <v>498</v>
      </c>
      <c r="DY320" t="s">
        <v>72</v>
      </c>
      <c r="DZ320">
        <v>2</v>
      </c>
      <c r="EA320" t="s">
        <v>86</v>
      </c>
      <c r="EB320">
        <v>0.203788</v>
      </c>
      <c r="EC320" t="s">
        <v>74</v>
      </c>
      <c r="ED320">
        <v>203.78800000000001</v>
      </c>
      <c r="EE320" t="s">
        <v>75</v>
      </c>
      <c r="EF320">
        <v>203787.997</v>
      </c>
      <c r="EG320" t="s">
        <v>76</v>
      </c>
      <c r="EH320" t="s">
        <v>82</v>
      </c>
      <c r="EI320">
        <v>4.9070603000000004</v>
      </c>
      <c r="EL320" t="s">
        <v>498</v>
      </c>
      <c r="EM320" t="s">
        <v>72</v>
      </c>
      <c r="EN320">
        <v>2</v>
      </c>
      <c r="EO320" t="s">
        <v>86</v>
      </c>
      <c r="EP320">
        <v>0.19817499999999999</v>
      </c>
      <c r="EQ320" t="s">
        <v>74</v>
      </c>
      <c r="ER320">
        <v>198.17495</v>
      </c>
      <c r="ES320" t="s">
        <v>75</v>
      </c>
      <c r="ET320">
        <v>198174.95300000001</v>
      </c>
      <c r="EU320" t="s">
        <v>76</v>
      </c>
      <c r="EV320" t="s">
        <v>82</v>
      </c>
      <c r="EW320">
        <v>5.0460463000000004</v>
      </c>
      <c r="EZ320" t="s">
        <v>498</v>
      </c>
      <c r="FA320" t="s">
        <v>72</v>
      </c>
      <c r="FB320">
        <v>2</v>
      </c>
      <c r="FC320" t="s">
        <v>86</v>
      </c>
      <c r="FD320">
        <v>0.197542</v>
      </c>
      <c r="FE320" t="s">
        <v>74</v>
      </c>
      <c r="FF320">
        <v>197.54225</v>
      </c>
      <c r="FG320" t="s">
        <v>75</v>
      </c>
      <c r="FH320">
        <v>197542.25</v>
      </c>
      <c r="FI320" t="s">
        <v>76</v>
      </c>
      <c r="FJ320" t="s">
        <v>82</v>
      </c>
      <c r="FK320">
        <v>5.0622081999999997</v>
      </c>
    </row>
    <row r="321" spans="128:167" x14ac:dyDescent="0.3">
      <c r="DX321" t="s">
        <v>498</v>
      </c>
      <c r="DY321" t="s">
        <v>83</v>
      </c>
      <c r="DZ321">
        <v>999</v>
      </c>
      <c r="EA321" t="s">
        <v>86</v>
      </c>
      <c r="EB321">
        <v>1.0920000000000001E-3</v>
      </c>
      <c r="EC321" t="s">
        <v>74</v>
      </c>
      <c r="ED321">
        <v>1.09165</v>
      </c>
      <c r="EE321" t="s">
        <v>75</v>
      </c>
      <c r="EF321">
        <v>1091.6479999999999</v>
      </c>
      <c r="EG321" t="s">
        <v>76</v>
      </c>
      <c r="EH321" t="s">
        <v>82</v>
      </c>
      <c r="EI321">
        <v>916.04607180000005</v>
      </c>
      <c r="EL321" t="s">
        <v>498</v>
      </c>
      <c r="EM321" t="s">
        <v>83</v>
      </c>
      <c r="EN321">
        <v>999</v>
      </c>
      <c r="EO321" t="s">
        <v>86</v>
      </c>
      <c r="EP321">
        <v>1.047E-3</v>
      </c>
      <c r="EQ321" t="s">
        <v>74</v>
      </c>
      <c r="ER321">
        <v>1.04722</v>
      </c>
      <c r="ES321" t="s">
        <v>75</v>
      </c>
      <c r="ET321">
        <v>1047.2190000000001</v>
      </c>
      <c r="EU321" t="s">
        <v>76</v>
      </c>
      <c r="EV321" t="s">
        <v>82</v>
      </c>
      <c r="EW321">
        <v>954.91042330000005</v>
      </c>
      <c r="EZ321" t="s">
        <v>498</v>
      </c>
      <c r="FA321" t="s">
        <v>83</v>
      </c>
      <c r="FB321">
        <v>999</v>
      </c>
      <c r="FC321" t="s">
        <v>86</v>
      </c>
      <c r="FD321">
        <v>1.683E-3</v>
      </c>
      <c r="FE321" t="s">
        <v>74</v>
      </c>
      <c r="FF321">
        <v>1.6828399999999999</v>
      </c>
      <c r="FG321" t="s">
        <v>75</v>
      </c>
      <c r="FH321">
        <v>1682.8440000000001</v>
      </c>
      <c r="FI321" t="s">
        <v>76</v>
      </c>
      <c r="FJ321" t="s">
        <v>82</v>
      </c>
      <c r="FK321">
        <v>594.23222610000005</v>
      </c>
    </row>
    <row r="322" spans="128:167" x14ac:dyDescent="0.3">
      <c r="DX322" t="s">
        <v>498</v>
      </c>
      <c r="DY322" t="s">
        <v>85</v>
      </c>
      <c r="DZ322">
        <v>1001</v>
      </c>
      <c r="EA322" t="s">
        <v>86</v>
      </c>
      <c r="EB322">
        <v>1.2570000000000001E-3</v>
      </c>
      <c r="EC322" t="s">
        <v>74</v>
      </c>
      <c r="ED322">
        <v>1.25742</v>
      </c>
      <c r="EE322" t="s">
        <v>75</v>
      </c>
      <c r="EF322">
        <v>1257.424</v>
      </c>
      <c r="EG322" t="s">
        <v>76</v>
      </c>
      <c r="EH322" t="s">
        <v>82</v>
      </c>
      <c r="EI322">
        <v>795.27684799999997</v>
      </c>
      <c r="EL322" t="s">
        <v>498</v>
      </c>
      <c r="EM322" t="s">
        <v>85</v>
      </c>
      <c r="EN322">
        <v>1001</v>
      </c>
      <c r="EO322" t="s">
        <v>86</v>
      </c>
      <c r="EP322">
        <v>1.2279999999999999E-3</v>
      </c>
      <c r="EQ322" t="s">
        <v>74</v>
      </c>
      <c r="ER322">
        <v>1.2278899999999999</v>
      </c>
      <c r="ES322" t="s">
        <v>75</v>
      </c>
      <c r="ET322">
        <v>1227.886</v>
      </c>
      <c r="EU322" t="s">
        <v>76</v>
      </c>
      <c r="EV322" t="s">
        <v>82</v>
      </c>
      <c r="EW322">
        <v>814.40813470000001</v>
      </c>
      <c r="EZ322" t="s">
        <v>498</v>
      </c>
      <c r="FA322" t="s">
        <v>85</v>
      </c>
      <c r="FB322">
        <v>1001</v>
      </c>
      <c r="FC322" t="s">
        <v>86</v>
      </c>
      <c r="FD322">
        <v>1.8649999999999999E-3</v>
      </c>
      <c r="FE322" t="s">
        <v>74</v>
      </c>
      <c r="FF322">
        <v>1.86527</v>
      </c>
      <c r="FG322" t="s">
        <v>75</v>
      </c>
      <c r="FH322">
        <v>1865.2660000000001</v>
      </c>
      <c r="FI322" t="s">
        <v>76</v>
      </c>
      <c r="FJ322" t="s">
        <v>82</v>
      </c>
      <c r="FK322">
        <v>536.11643709999998</v>
      </c>
    </row>
    <row r="324" spans="128:167" x14ac:dyDescent="0.3">
      <c r="DX324" t="s">
        <v>562</v>
      </c>
      <c r="EL324" t="s">
        <v>562</v>
      </c>
      <c r="EZ324" t="s">
        <v>562</v>
      </c>
    </row>
    <row r="325" spans="128:167" x14ac:dyDescent="0.3">
      <c r="DX325" t="s">
        <v>496</v>
      </c>
      <c r="DY325" t="s">
        <v>72</v>
      </c>
      <c r="DZ325">
        <v>1</v>
      </c>
      <c r="EA325" t="s">
        <v>81</v>
      </c>
      <c r="EB325">
        <v>1.2512000000000001E-2</v>
      </c>
      <c r="EC325" t="s">
        <v>74</v>
      </c>
      <c r="ED325">
        <v>12.512</v>
      </c>
      <c r="EE325" t="s">
        <v>75</v>
      </c>
      <c r="EF325">
        <v>12512</v>
      </c>
      <c r="EG325" t="s">
        <v>76</v>
      </c>
      <c r="EH325" t="s">
        <v>82</v>
      </c>
      <c r="EI325">
        <v>79.923271900000003</v>
      </c>
      <c r="EL325" t="s">
        <v>496</v>
      </c>
      <c r="EM325" t="s">
        <v>72</v>
      </c>
      <c r="EN325">
        <v>1</v>
      </c>
      <c r="EO325" t="s">
        <v>81</v>
      </c>
      <c r="EP325">
        <v>1.2647E-2</v>
      </c>
      <c r="EQ325" t="s">
        <v>74</v>
      </c>
      <c r="ER325">
        <v>12.6472</v>
      </c>
      <c r="ES325" t="s">
        <v>75</v>
      </c>
      <c r="ET325">
        <v>12647.2</v>
      </c>
      <c r="EU325" t="s">
        <v>76</v>
      </c>
      <c r="EV325" t="s">
        <v>82</v>
      </c>
      <c r="EW325">
        <v>79.068882500000001</v>
      </c>
      <c r="EZ325" t="s">
        <v>496</v>
      </c>
      <c r="FA325" t="s">
        <v>72</v>
      </c>
      <c r="FB325">
        <v>1</v>
      </c>
      <c r="FC325" t="s">
        <v>81</v>
      </c>
      <c r="FD325">
        <v>1.2629E-2</v>
      </c>
      <c r="FE325" t="s">
        <v>74</v>
      </c>
      <c r="FF325">
        <v>12.629</v>
      </c>
      <c r="FG325" t="s">
        <v>75</v>
      </c>
      <c r="FH325">
        <v>12629</v>
      </c>
      <c r="FI325" t="s">
        <v>76</v>
      </c>
      <c r="FJ325" t="s">
        <v>82</v>
      </c>
      <c r="FK325">
        <v>79.182836100000003</v>
      </c>
    </row>
    <row r="326" spans="128:167" x14ac:dyDescent="0.3">
      <c r="DX326" t="s">
        <v>496</v>
      </c>
      <c r="DY326" t="s">
        <v>83</v>
      </c>
      <c r="DZ326">
        <v>586</v>
      </c>
      <c r="EA326" t="s">
        <v>81</v>
      </c>
      <c r="EB326">
        <v>2.5630000000000002E-3</v>
      </c>
      <c r="EC326" t="s">
        <v>74</v>
      </c>
      <c r="ED326">
        <v>2.5633300000000001</v>
      </c>
      <c r="EE326" t="s">
        <v>75</v>
      </c>
      <c r="EF326">
        <v>2563.3319999999999</v>
      </c>
      <c r="EG326" t="s">
        <v>76</v>
      </c>
      <c r="EH326" t="s">
        <v>82</v>
      </c>
      <c r="EI326">
        <v>390.11718760000002</v>
      </c>
      <c r="EL326" t="s">
        <v>496</v>
      </c>
      <c r="EM326" t="s">
        <v>83</v>
      </c>
      <c r="EN326">
        <v>932</v>
      </c>
      <c r="EO326" t="s">
        <v>81</v>
      </c>
      <c r="EP326">
        <v>2.323E-3</v>
      </c>
      <c r="EQ326" t="s">
        <v>74</v>
      </c>
      <c r="ER326">
        <v>2.3229899999999999</v>
      </c>
      <c r="ES326" t="s">
        <v>75</v>
      </c>
      <c r="ET326">
        <v>2322.9879999999998</v>
      </c>
      <c r="EU326" t="s">
        <v>76</v>
      </c>
      <c r="EV326" t="s">
        <v>82</v>
      </c>
      <c r="EW326">
        <v>430.48001840000001</v>
      </c>
      <c r="EZ326" t="s">
        <v>496</v>
      </c>
      <c r="FA326" t="s">
        <v>83</v>
      </c>
      <c r="FB326">
        <v>887</v>
      </c>
      <c r="FC326" t="s">
        <v>81</v>
      </c>
      <c r="FD326">
        <v>3.3830000000000002E-3</v>
      </c>
      <c r="FE326" t="s">
        <v>74</v>
      </c>
      <c r="FF326">
        <v>3.3826700000000001</v>
      </c>
      <c r="FG326" t="s">
        <v>75</v>
      </c>
      <c r="FH326">
        <v>3382.6669999999999</v>
      </c>
      <c r="FI326" t="s">
        <v>76</v>
      </c>
      <c r="FJ326" t="s">
        <v>82</v>
      </c>
      <c r="FK326">
        <v>295.62468260000003</v>
      </c>
    </row>
    <row r="327" spans="128:167" x14ac:dyDescent="0.3">
      <c r="DX327" t="s">
        <v>496</v>
      </c>
      <c r="DY327" t="s">
        <v>84</v>
      </c>
      <c r="DZ327">
        <v>587</v>
      </c>
      <c r="EA327" t="s">
        <v>81</v>
      </c>
      <c r="EB327">
        <v>2.5799999999999998E-3</v>
      </c>
      <c r="EC327" t="s">
        <v>74</v>
      </c>
      <c r="ED327">
        <v>2.5802800000000001</v>
      </c>
      <c r="EE327" t="s">
        <v>75</v>
      </c>
      <c r="EF327">
        <v>2580.2800000000002</v>
      </c>
      <c r="EG327" t="s">
        <v>76</v>
      </c>
      <c r="EH327" t="s">
        <v>82</v>
      </c>
      <c r="EI327">
        <v>387.55480920000002</v>
      </c>
      <c r="EL327" t="s">
        <v>496</v>
      </c>
      <c r="EM327" t="s">
        <v>84</v>
      </c>
      <c r="EN327">
        <v>933</v>
      </c>
      <c r="EO327" t="s">
        <v>81</v>
      </c>
      <c r="EP327">
        <v>2.3340000000000001E-3</v>
      </c>
      <c r="EQ327" t="s">
        <v>74</v>
      </c>
      <c r="ER327">
        <v>2.33405</v>
      </c>
      <c r="ES327" t="s">
        <v>75</v>
      </c>
      <c r="ET327">
        <v>2334.0529999999999</v>
      </c>
      <c r="EU327" t="s">
        <v>76</v>
      </c>
      <c r="EV327" t="s">
        <v>82</v>
      </c>
      <c r="EW327">
        <v>428.43919510000001</v>
      </c>
      <c r="EZ327" t="s">
        <v>496</v>
      </c>
      <c r="FA327" t="s">
        <v>84</v>
      </c>
      <c r="FB327">
        <v>888</v>
      </c>
      <c r="FC327" t="s">
        <v>81</v>
      </c>
      <c r="FD327">
        <v>3.3930000000000002E-3</v>
      </c>
      <c r="FE327" t="s">
        <v>74</v>
      </c>
      <c r="FF327">
        <v>3.3930799999999999</v>
      </c>
      <c r="FG327" t="s">
        <v>75</v>
      </c>
      <c r="FH327">
        <v>3393.08</v>
      </c>
      <c r="FI327" t="s">
        <v>76</v>
      </c>
      <c r="FJ327" t="s">
        <v>82</v>
      </c>
      <c r="FK327">
        <v>294.71745600000003</v>
      </c>
    </row>
    <row r="328" spans="128:167" x14ac:dyDescent="0.3">
      <c r="DX328" t="s">
        <v>497</v>
      </c>
      <c r="DY328" t="s">
        <v>72</v>
      </c>
      <c r="DZ328">
        <v>1</v>
      </c>
      <c r="EA328" t="s">
        <v>81</v>
      </c>
      <c r="EB328">
        <v>4.8765999999999997E-2</v>
      </c>
      <c r="EC328" t="s">
        <v>74</v>
      </c>
      <c r="ED328">
        <v>48.765599999999999</v>
      </c>
      <c r="EE328" t="s">
        <v>75</v>
      </c>
      <c r="EF328">
        <v>48765.599999999999</v>
      </c>
      <c r="EG328" t="s">
        <v>76</v>
      </c>
      <c r="EH328" t="s">
        <v>82</v>
      </c>
      <c r="EI328">
        <v>20.506258599999999</v>
      </c>
      <c r="EL328" t="s">
        <v>497</v>
      </c>
      <c r="EM328" t="s">
        <v>72</v>
      </c>
      <c r="EN328">
        <v>1</v>
      </c>
      <c r="EO328" t="s">
        <v>81</v>
      </c>
      <c r="EP328">
        <v>4.9058999999999998E-2</v>
      </c>
      <c r="EQ328" t="s">
        <v>74</v>
      </c>
      <c r="ER328">
        <v>49.058500000000002</v>
      </c>
      <c r="ES328" t="s">
        <v>75</v>
      </c>
      <c r="ET328">
        <v>49058.500999999997</v>
      </c>
      <c r="EU328" t="s">
        <v>76</v>
      </c>
      <c r="EV328" t="s">
        <v>82</v>
      </c>
      <c r="EW328">
        <v>20.383827199999999</v>
      </c>
      <c r="EZ328" t="s">
        <v>497</v>
      </c>
      <c r="FA328" t="s">
        <v>72</v>
      </c>
      <c r="FB328">
        <v>1</v>
      </c>
      <c r="FC328" t="s">
        <v>81</v>
      </c>
      <c r="FD328">
        <v>4.9279000000000003E-2</v>
      </c>
      <c r="FE328" t="s">
        <v>74</v>
      </c>
      <c r="FF328">
        <v>49.279400000000003</v>
      </c>
      <c r="FG328" t="s">
        <v>75</v>
      </c>
      <c r="FH328">
        <v>49279.398999999998</v>
      </c>
      <c r="FI328" t="s">
        <v>76</v>
      </c>
      <c r="FJ328" t="s">
        <v>82</v>
      </c>
      <c r="FK328">
        <v>20.292455199999999</v>
      </c>
    </row>
    <row r="329" spans="128:167" x14ac:dyDescent="0.3">
      <c r="DX329" t="s">
        <v>497</v>
      </c>
      <c r="DY329" t="s">
        <v>83</v>
      </c>
      <c r="DZ329">
        <v>413</v>
      </c>
      <c r="EA329" t="s">
        <v>81</v>
      </c>
      <c r="EB329">
        <v>3.4299999999999999E-3</v>
      </c>
      <c r="EC329" t="s">
        <v>74</v>
      </c>
      <c r="ED329">
        <v>3.4304999999999999</v>
      </c>
      <c r="EE329" t="s">
        <v>75</v>
      </c>
      <c r="EF329">
        <v>3430.4989999999998</v>
      </c>
      <c r="EG329" t="s">
        <v>76</v>
      </c>
      <c r="EH329" t="s">
        <v>82</v>
      </c>
      <c r="EI329">
        <v>291.50280570000001</v>
      </c>
      <c r="EL329" t="s">
        <v>497</v>
      </c>
      <c r="EM329" t="s">
        <v>83</v>
      </c>
      <c r="EN329">
        <v>67</v>
      </c>
      <c r="EO329" t="s">
        <v>81</v>
      </c>
      <c r="EP329">
        <v>3.2044000000000003E-2</v>
      </c>
      <c r="EQ329" t="s">
        <v>74</v>
      </c>
      <c r="ER329">
        <v>32.04372</v>
      </c>
      <c r="ES329" t="s">
        <v>75</v>
      </c>
      <c r="ET329">
        <v>32043.723999999998</v>
      </c>
      <c r="EU329" t="s">
        <v>76</v>
      </c>
      <c r="EV329" t="s">
        <v>82</v>
      </c>
      <c r="EW329">
        <v>31.207359100000001</v>
      </c>
      <c r="EZ329" t="s">
        <v>497</v>
      </c>
      <c r="FA329" t="s">
        <v>83</v>
      </c>
      <c r="FB329">
        <v>112</v>
      </c>
      <c r="FC329" t="s">
        <v>81</v>
      </c>
      <c r="FD329">
        <v>2.6724999999999999E-2</v>
      </c>
      <c r="FE329" t="s">
        <v>74</v>
      </c>
      <c r="FF329">
        <v>26.725280000000001</v>
      </c>
      <c r="FG329" t="s">
        <v>75</v>
      </c>
      <c r="FH329">
        <v>26725.281999999999</v>
      </c>
      <c r="FI329" t="s">
        <v>76</v>
      </c>
      <c r="FJ329" t="s">
        <v>82</v>
      </c>
      <c r="FK329">
        <v>37.417753599999998</v>
      </c>
    </row>
    <row r="330" spans="128:167" x14ac:dyDescent="0.3">
      <c r="DX330" t="s">
        <v>497</v>
      </c>
      <c r="DY330" t="s">
        <v>84</v>
      </c>
      <c r="DZ330">
        <v>414</v>
      </c>
      <c r="EA330" t="s">
        <v>81</v>
      </c>
      <c r="EB330">
        <v>3.5400000000000002E-3</v>
      </c>
      <c r="EC330" t="s">
        <v>74</v>
      </c>
      <c r="ED330">
        <v>3.54</v>
      </c>
      <c r="EE330" t="s">
        <v>75</v>
      </c>
      <c r="EF330">
        <v>3540.0039999999999</v>
      </c>
      <c r="EG330" t="s">
        <v>76</v>
      </c>
      <c r="EH330" t="s">
        <v>82</v>
      </c>
      <c r="EI330">
        <v>282.48556180000003</v>
      </c>
      <c r="EL330" t="s">
        <v>497</v>
      </c>
      <c r="EM330" t="s">
        <v>84</v>
      </c>
      <c r="EN330">
        <v>68</v>
      </c>
      <c r="EO330" t="s">
        <v>81</v>
      </c>
      <c r="EP330">
        <v>3.2294000000000003E-2</v>
      </c>
      <c r="EQ330" t="s">
        <v>74</v>
      </c>
      <c r="ER330">
        <v>32.293939999999999</v>
      </c>
      <c r="ES330" t="s">
        <v>75</v>
      </c>
      <c r="ET330">
        <v>32293.944</v>
      </c>
      <c r="EU330" t="s">
        <v>76</v>
      </c>
      <c r="EV330" t="s">
        <v>82</v>
      </c>
      <c r="EW330">
        <v>30.965558300000001</v>
      </c>
      <c r="EZ330" t="s">
        <v>497</v>
      </c>
      <c r="FA330" t="s">
        <v>84</v>
      </c>
      <c r="FB330">
        <v>113</v>
      </c>
      <c r="FC330" t="s">
        <v>81</v>
      </c>
      <c r="FD330">
        <v>2.6925000000000001E-2</v>
      </c>
      <c r="FE330" t="s">
        <v>74</v>
      </c>
      <c r="FF330">
        <v>26.924869999999999</v>
      </c>
      <c r="FG330" t="s">
        <v>75</v>
      </c>
      <c r="FH330">
        <v>26924.874</v>
      </c>
      <c r="FI330" t="s">
        <v>76</v>
      </c>
      <c r="FJ330" t="s">
        <v>82</v>
      </c>
      <c r="FK330">
        <v>37.140378200000001</v>
      </c>
    </row>
    <row r="331" spans="128:167" x14ac:dyDescent="0.3">
      <c r="DX331" t="s">
        <v>498</v>
      </c>
      <c r="DY331" t="s">
        <v>72</v>
      </c>
      <c r="DZ331">
        <v>2</v>
      </c>
      <c r="EA331" t="s">
        <v>86</v>
      </c>
      <c r="EB331">
        <v>2.4386000000000001E-2</v>
      </c>
      <c r="EC331" t="s">
        <v>74</v>
      </c>
      <c r="ED331">
        <v>24.386399999999998</v>
      </c>
      <c r="EE331" t="s">
        <v>75</v>
      </c>
      <c r="EF331">
        <v>24386.400000000001</v>
      </c>
      <c r="EG331" t="s">
        <v>76</v>
      </c>
      <c r="EH331" t="s">
        <v>82</v>
      </c>
      <c r="EI331">
        <v>41.006461999999999</v>
      </c>
      <c r="EL331" t="s">
        <v>498</v>
      </c>
      <c r="EM331" t="s">
        <v>72</v>
      </c>
      <c r="EN331">
        <v>2</v>
      </c>
      <c r="EO331" t="s">
        <v>86</v>
      </c>
      <c r="EP331">
        <v>2.4532999999999999E-2</v>
      </c>
      <c r="EQ331" t="s">
        <v>74</v>
      </c>
      <c r="ER331">
        <v>24.53295</v>
      </c>
      <c r="ES331" t="s">
        <v>75</v>
      </c>
      <c r="ET331">
        <v>24532.95</v>
      </c>
      <c r="EU331" t="s">
        <v>76</v>
      </c>
      <c r="EV331" t="s">
        <v>82</v>
      </c>
      <c r="EW331">
        <v>40.761507199999997</v>
      </c>
      <c r="EZ331" t="s">
        <v>498</v>
      </c>
      <c r="FA331" t="s">
        <v>72</v>
      </c>
      <c r="FB331">
        <v>2</v>
      </c>
      <c r="FC331" t="s">
        <v>86</v>
      </c>
      <c r="FD331">
        <v>2.4643000000000002E-2</v>
      </c>
      <c r="FE331" t="s">
        <v>74</v>
      </c>
      <c r="FF331">
        <v>24.6434</v>
      </c>
      <c r="FG331" t="s">
        <v>75</v>
      </c>
      <c r="FH331">
        <v>24643.401000000002</v>
      </c>
      <c r="FI331" t="s">
        <v>76</v>
      </c>
      <c r="FJ331" t="s">
        <v>82</v>
      </c>
      <c r="FK331">
        <v>40.5788151</v>
      </c>
    </row>
    <row r="332" spans="128:167" x14ac:dyDescent="0.3">
      <c r="DX332" t="s">
        <v>498</v>
      </c>
      <c r="DY332" t="s">
        <v>83</v>
      </c>
      <c r="DZ332">
        <v>999</v>
      </c>
      <c r="EA332" t="s">
        <v>86</v>
      </c>
      <c r="EB332">
        <v>1.5089999999999999E-3</v>
      </c>
      <c r="EC332" t="s">
        <v>74</v>
      </c>
      <c r="ED332">
        <v>1.50939</v>
      </c>
      <c r="EE332" t="s">
        <v>75</v>
      </c>
      <c r="EF332">
        <v>1509.395</v>
      </c>
      <c r="EG332" t="s">
        <v>76</v>
      </c>
      <c r="EH332" t="s">
        <v>82</v>
      </c>
      <c r="EI332">
        <v>662.51716669999996</v>
      </c>
      <c r="EL332" t="s">
        <v>498</v>
      </c>
      <c r="EM332" t="s">
        <v>83</v>
      </c>
      <c r="EN332">
        <v>999</v>
      </c>
      <c r="EO332" t="s">
        <v>86</v>
      </c>
      <c r="EP332">
        <v>2.1909999999999998E-3</v>
      </c>
      <c r="EQ332" t="s">
        <v>74</v>
      </c>
      <c r="ER332">
        <v>2.1905100000000002</v>
      </c>
      <c r="ES332" t="s">
        <v>75</v>
      </c>
      <c r="ET332">
        <v>2190.5070000000001</v>
      </c>
      <c r="EU332" t="s">
        <v>76</v>
      </c>
      <c r="EV332" t="s">
        <v>82</v>
      </c>
      <c r="EW332">
        <v>456.51534900000001</v>
      </c>
      <c r="EZ332" t="s">
        <v>498</v>
      </c>
      <c r="FA332" t="s">
        <v>83</v>
      </c>
      <c r="FB332">
        <v>999</v>
      </c>
      <c r="FC332" t="s">
        <v>86</v>
      </c>
      <c r="FD332">
        <v>3.045E-3</v>
      </c>
      <c r="FE332" t="s">
        <v>74</v>
      </c>
      <c r="FF332">
        <v>3.0447700000000002</v>
      </c>
      <c r="FG332" t="s">
        <v>75</v>
      </c>
      <c r="FH332">
        <v>3044.7689999999998</v>
      </c>
      <c r="FI332" t="s">
        <v>76</v>
      </c>
      <c r="FJ332" t="s">
        <v>82</v>
      </c>
      <c r="FK332">
        <v>328.43209180000002</v>
      </c>
    </row>
    <row r="333" spans="128:167" x14ac:dyDescent="0.3">
      <c r="DX333" t="s">
        <v>498</v>
      </c>
      <c r="DY333" t="s">
        <v>85</v>
      </c>
      <c r="DZ333">
        <v>1001</v>
      </c>
      <c r="EA333" t="s">
        <v>86</v>
      </c>
      <c r="EB333">
        <v>1.521E-3</v>
      </c>
      <c r="EC333" t="s">
        <v>74</v>
      </c>
      <c r="ED333">
        <v>1.5208299999999999</v>
      </c>
      <c r="EE333" t="s">
        <v>75</v>
      </c>
      <c r="EF333">
        <v>1520.827</v>
      </c>
      <c r="EG333" t="s">
        <v>76</v>
      </c>
      <c r="EH333" t="s">
        <v>82</v>
      </c>
      <c r="EI333">
        <v>657.53683860000001</v>
      </c>
      <c r="EL333" t="s">
        <v>498</v>
      </c>
      <c r="EM333" t="s">
        <v>85</v>
      </c>
      <c r="EN333">
        <v>1001</v>
      </c>
      <c r="EO333" t="s">
        <v>86</v>
      </c>
      <c r="EP333">
        <v>2.2000000000000001E-3</v>
      </c>
      <c r="EQ333" t="s">
        <v>74</v>
      </c>
      <c r="ER333">
        <v>2.19991</v>
      </c>
      <c r="ES333" t="s">
        <v>75</v>
      </c>
      <c r="ET333">
        <v>2199.91</v>
      </c>
      <c r="EU333" t="s">
        <v>76</v>
      </c>
      <c r="EV333" t="s">
        <v>82</v>
      </c>
      <c r="EW333">
        <v>454.5640702</v>
      </c>
      <c r="EZ333" t="s">
        <v>498</v>
      </c>
      <c r="FA333" t="s">
        <v>85</v>
      </c>
      <c r="FB333">
        <v>1001</v>
      </c>
      <c r="FC333" t="s">
        <v>86</v>
      </c>
      <c r="FD333">
        <v>3.0530000000000002E-3</v>
      </c>
      <c r="FE333" t="s">
        <v>74</v>
      </c>
      <c r="FF333">
        <v>3.05335</v>
      </c>
      <c r="FG333" t="s">
        <v>75</v>
      </c>
      <c r="FH333">
        <v>3053.3539999999998</v>
      </c>
      <c r="FI333" t="s">
        <v>76</v>
      </c>
      <c r="FJ333" t="s">
        <v>82</v>
      </c>
      <c r="FK333">
        <v>327.50866430000002</v>
      </c>
    </row>
    <row r="337" spans="138:167" x14ac:dyDescent="0.3">
      <c r="EH337" t="s">
        <v>595</v>
      </c>
      <c r="EI337">
        <f>MIN(EI$1:EI334)</f>
        <v>1.8889084</v>
      </c>
      <c r="EV337" t="s">
        <v>595</v>
      </c>
      <c r="EW337">
        <f>MIN(EW$1:EW334)</f>
        <v>1.9720420000000001</v>
      </c>
      <c r="FJ337" t="s">
        <v>595</v>
      </c>
      <c r="FK337">
        <f>MIN(FK$1:FK334)</f>
        <v>1.950493</v>
      </c>
    </row>
    <row r="338" spans="138:167" x14ac:dyDescent="0.3">
      <c r="EH338" t="s">
        <v>596</v>
      </c>
      <c r="EI338">
        <f>MAX(EI$1:EI336)</f>
        <v>916.04607180000005</v>
      </c>
      <c r="EV338" t="s">
        <v>596</v>
      </c>
      <c r="EW338">
        <f>MAX(EW$1:EW336)</f>
        <v>1161.7635278</v>
      </c>
      <c r="FJ338" t="s">
        <v>596</v>
      </c>
      <c r="FK338">
        <f>MAX(FK$1:FK336)</f>
        <v>620.64843299999995</v>
      </c>
    </row>
    <row r="339" spans="138:167" x14ac:dyDescent="0.3">
      <c r="EH339" t="s">
        <v>597</v>
      </c>
      <c r="EI339">
        <f>EI338/EI337</f>
        <v>484.96055806623554</v>
      </c>
      <c r="EV339" t="s">
        <v>597</v>
      </c>
      <c r="EW339">
        <f>EW338/EW337</f>
        <v>589.11703087459591</v>
      </c>
      <c r="FJ339" t="s">
        <v>597</v>
      </c>
      <c r="FK339">
        <f>FK338/FK337</f>
        <v>318.20080000287106</v>
      </c>
    </row>
  </sheetData>
  <mergeCells count="12">
    <mergeCell ref="CH2:CT2"/>
    <mergeCell ref="CV2:DH2"/>
    <mergeCell ref="DJ2:DV2"/>
    <mergeCell ref="DX2:EJ2"/>
    <mergeCell ref="EL2:EX2"/>
    <mergeCell ref="EZ2:FL2"/>
    <mergeCell ref="B2:N2"/>
    <mergeCell ref="P2:AB2"/>
    <mergeCell ref="AD2:AP2"/>
    <mergeCell ref="AR2:BD2"/>
    <mergeCell ref="BF2:BR2"/>
    <mergeCell ref="BT2:CF2"/>
  </mergeCells>
  <conditionalFormatting sqref="L1:L18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8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8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8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8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8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8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8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8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33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W1:EW3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K1:FK3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i9-9900k-Results2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Douglas P. Bogia</cp:lastModifiedBy>
  <dcterms:created xsi:type="dcterms:W3CDTF">2023-12-02T23:22:14Z</dcterms:created>
  <dcterms:modified xsi:type="dcterms:W3CDTF">2023-12-02T23:22:14Z</dcterms:modified>
</cp:coreProperties>
</file>