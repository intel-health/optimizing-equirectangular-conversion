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pbogia\source\repos\optimizing-equirectangular-conversion\EquiRectangular\"/>
    </mc:Choice>
  </mc:AlternateContent>
  <xr:revisionPtr revIDLastSave="0" documentId="13_ncr:40009_{548E65DD-9115-4C01-AFDC-BF6EE0FDD32F}" xr6:coauthVersionLast="47" xr6:coauthVersionMax="47" xr10:uidLastSave="{00000000-0000-0000-0000-000000000000}"/>
  <bookViews>
    <workbookView xWindow="19090" yWindow="-11100" windowWidth="38620" windowHeight="21820" activeTab="1"/>
  </bookViews>
  <sheets>
    <sheet name="results2-12900" sheetId="1" r:id="rId1"/>
    <sheet name="Summary" sheetId="4" r:id="rId2"/>
  </sheets>
  <calcPr calcId="0"/>
</workbook>
</file>

<file path=xl/calcChain.xml><?xml version="1.0" encoding="utf-8"?>
<calcChain xmlns="http://schemas.openxmlformats.org/spreadsheetml/2006/main">
  <c r="FK52" i="4" l="1"/>
  <c r="FK51" i="4"/>
  <c r="EW52" i="4"/>
  <c r="EW51" i="4"/>
  <c r="EI51" i="4"/>
  <c r="FK29" i="4"/>
  <c r="EW29" i="4"/>
  <c r="EI49" i="4"/>
  <c r="DT18" i="4"/>
  <c r="DF18" i="4"/>
  <c r="CR18" i="4"/>
  <c r="CD18" i="4"/>
  <c r="BP18" i="4"/>
  <c r="BB18" i="4"/>
  <c r="AN18" i="4"/>
  <c r="Z18" i="4"/>
  <c r="L18" i="4"/>
  <c r="FK26" i="4"/>
  <c r="FK27" i="4" s="1"/>
  <c r="FK25" i="4"/>
  <c r="EW26" i="4"/>
  <c r="EW27" i="4" s="1"/>
  <c r="EW25" i="4"/>
  <c r="EI48" i="4"/>
  <c r="EI47" i="4"/>
  <c r="DT17" i="4"/>
  <c r="DT16" i="4"/>
  <c r="DF17" i="4"/>
  <c r="DF16" i="4"/>
  <c r="CR17" i="4"/>
  <c r="CR16" i="4"/>
  <c r="CD17" i="4"/>
  <c r="CD16" i="4"/>
  <c r="BP17" i="4"/>
  <c r="BP16" i="4"/>
  <c r="BB17" i="4"/>
  <c r="BB16" i="4"/>
  <c r="AN17" i="4"/>
  <c r="AN16" i="4"/>
  <c r="Z17" i="4"/>
  <c r="Z16" i="4"/>
  <c r="L17" i="4"/>
  <c r="L16" i="4"/>
</calcChain>
</file>

<file path=xl/sharedStrings.xml><?xml version="1.0" encoding="utf-8"?>
<sst xmlns="http://schemas.openxmlformats.org/spreadsheetml/2006/main" count="5064" uniqueCount="120">
  <si>
    <t>i9-12900</t>
  </si>
  <si>
    <t>==================================================================</t>
  </si>
  <si>
    <t>Runs of OneDevice on CPU changing the Yaw by 10 degrees</t>
  </si>
  <si>
    <t>------------------------------------------------------------------</t>
  </si>
  <si>
    <t>C:\Users\dpbogia\source\repos\optimizing-equirectangular-conversion\EquiRectangular&gt;src\DPC++-OneDevice\x64\Release\OneDevice --startAlgorithm=18 --endAlgorithm=18 --iterations=1001 --yaw=10 --pitch=20 --roll=30 --deltaYaw=10  --typePreference=CPU</t>
  </si>
  <si>
    <t>Loading Image0</t>
  </si>
  <si>
    <t>Loading Image1</t>
  </si>
  <si>
    <t>Images loaded.</t>
  </si>
  <si>
    <t>DpcppBaseAlgorithm::StartVariant start</t>
  </si>
  <si>
    <t>Device search set to type = CPU platform =  device name =  driver_version =</t>
  </si>
  <si>
    <t>Platform:                     Intel(R) OpenCL</t>
  </si>
  <si>
    <t xml:space="preserve">  Device information:</t>
  </si>
  <si>
    <t xml:space="preserve">    vendor:                   Intel(R) Corporation</t>
  </si>
  <si>
    <t xml:space="preserve">    name:                     12th Gen Intel(R) Core(TM) i9-12900</t>
  </si>
  <si>
    <t xml:space="preserve">    type:                     CPU</t>
  </si>
  <si>
    <t xml:space="preserve">    version:                  OpenCL 3.0 (Build 0)</t>
  </si>
  <si>
    <t xml:space="preserve">    driver_version:           2023.16.10.0.17_160000</t>
  </si>
  <si>
    <t xml:space="preserve">    max_compute_units:        24</t>
  </si>
  <si>
    <t xml:space="preserve">    address_bits:             64</t>
  </si>
  <si>
    <t xml:space="preserve">    error_correction_support: 0</t>
  </si>
  <si>
    <t>DpcppBaseAlgorithm::StartVariant end</t>
  </si>
  <si>
    <t>DpcppRemappingV14::StartVariant STORAGE_TYPE_USM</t>
  </si>
  <si>
    <t>Algorithm description: DpcppRemappingV14: V7 except uses fp32 instead of fp64 using USM on Intel(R) OpenCL 12th Gen Intel(R) Core(TM) i9-12900 2023.16.10.0.17_160000</t>
  </si>
  <si>
    <t xml:space="preserve">         warmup</t>
  </si>
  <si>
    <t xml:space="preserve">   Class initialization</t>
  </si>
  <si>
    <t>s</t>
  </si>
  <si>
    <t>ms</t>
  </si>
  <si>
    <t>us</t>
  </si>
  <si>
    <t xml:space="preserve"> Variant initialization</t>
  </si>
  <si>
    <t xml:space="preserve">     Frame Calculations</t>
  </si>
  <si>
    <t xml:space="preserve">                  Remap</t>
  </si>
  <si>
    <t xml:space="preserve">       Image extraction</t>
  </si>
  <si>
    <t xml:space="preserve">               frame(s)</t>
  </si>
  <si>
    <t xml:space="preserve"> FPS</t>
  </si>
  <si>
    <t>times averaging</t>
  </si>
  <si>
    <t xml:space="preserve">  lap averaging</t>
  </si>
  <si>
    <t>total averaging</t>
  </si>
  <si>
    <t xml:space="preserve">                  Total</t>
  </si>
  <si>
    <t>DpcppRemappingV14::StartVariant STORAGE_TYPE_DEVICE</t>
  </si>
  <si>
    <t>Algorithm description: DpcppRemappingV14: V6 except uses fp32 instead of fp64 using device memory on Intel(R) OpenCL 12th Gen Intel(R) Core(TM) i9-12900 2023.16.10.0.17_160000</t>
  </si>
  <si>
    <t>All done!  Summary of all runs:</t>
  </si>
  <si>
    <t>DpcppRemappingV14: V7 except uses fp32 instead of fp64 using USM on Intel(R) OpenCL 12th Gen Intel(R) Core(TM) i9-12900 2023.16.10.0.17_160000</t>
  </si>
  <si>
    <t>DpcppRemappingV14: V6 except uses fp32 instead of fp64 using device memory on Intel(R) OpenCL 12th Gen Intel(R) Core(TM) i9-12900 2023.16.10.0.17_160000</t>
  </si>
  <si>
    <t>Runs of OneDevice on CPU changing the Image</t>
  </si>
  <si>
    <t>C:\Users\dpbogia\source\repos\optimizing-equirectangular-conversion\EquiRectangular&gt;src\DPC++-OneDevice\x64\Release\OneDevice.exe --startAlgorithm=18 --endAlgorithm=18 --iterations=1001 --yaw=10 --pitch=20 --roll=30 --deltaImage  --typePreference=CPU</t>
  </si>
  <si>
    <t>Runs of OneDevice on CPU changing the Yaw and Image</t>
  </si>
  <si>
    <t>C:\Users\dpbogia\source\repos\optimizing-equirectangular-conversion\EquiRectangular&gt;src\DPC++-OneDevice\x64\Release\OneDevice --startAlgorithm=18 --endAlgorithm=18 --iterations=1001 --yaw=10 --pitch=20 --roll=30 --deltaYaw=10 --deltaImage  --typePreference=CPU</t>
  </si>
  <si>
    <t>Runs of OneDevice on OpenCL GPU changing the Yaw by 10 degrees</t>
  </si>
  <si>
    <t>C:\Users\dpbogia\source\repos\optimizing-equirectangular-conversion\EquiRectangular&gt;src\DPC++-OneDevice\x64\Release\OneDevice --startAlgorithm=18 --endAlgorithm=18 --iterations=1001 --yaw=10 --pitch=20 --roll=30 --deltaYaw=10  --typePreference=GPU --platform=OpenCL</t>
  </si>
  <si>
    <t>Device search set to type = GPU platform = OpenCL device name =  driver_version =</t>
  </si>
  <si>
    <t>Platform:                     Intel(R) OpenCL Graphics</t>
  </si>
  <si>
    <t xml:space="preserve">    name:                     Intel(R) UHD Graphics 770</t>
  </si>
  <si>
    <t xml:space="preserve">    type:                     GPU</t>
  </si>
  <si>
    <t xml:space="preserve">    version:                  OpenCL 3.0 NEO</t>
  </si>
  <si>
    <t xml:space="preserve">    driver_version:           31.0.101.4952</t>
  </si>
  <si>
    <t xml:space="preserve">    max_compute_units:        32</t>
  </si>
  <si>
    <t>Algorithm description: DpcppRemappingV14: V7 except uses fp32 instead of fp64 using USM on Intel(R) OpenCL Graphics Intel(R) UHD Graphics 770 31.0.101.4952</t>
  </si>
  <si>
    <t>Algorithm description: DpcppRemappingV14: V6 except uses fp32 instead of fp64 using device memory on Intel(R) OpenCL Graphics Intel(R) UHD Graphics 770 31.0.101.4952</t>
  </si>
  <si>
    <t>DpcppRemappingV14: V7 except uses fp32 instead of fp64 using USM on Intel(R) OpenCL Graphics Intel(R) UHD Graphics 770 31.0.101.4952</t>
  </si>
  <si>
    <t>DpcppRemappingV14: V6 except uses fp32 instead of fp64 using device memory on Intel(R) OpenCL Graphics Intel(R) UHD Graphics 770 31.0.101.4952</t>
  </si>
  <si>
    <t>Runs of OneDevice on OpenCL GPU changing the Image</t>
  </si>
  <si>
    <t>C:\Users\dpbogia\source\repos\optimizing-equirectangular-conversion\EquiRectangular&gt;src\DPC++-OneDevice\x64\Release\OneDevice.exe --startAlgorithm=18 --endAlgorithm=18 --iterations=1001 --yaw=10 --pitch=20 --roll=30 --deltaImage  --typePreference=GPU --platform=OpenCL</t>
  </si>
  <si>
    <t>Runs of OneDevice on OpenCL GPU changing the Yaw and Image</t>
  </si>
  <si>
    <t>C:\Users\dpbogia\source\repos\optimizing-equirectangular-conversion\EquiRectangular&gt;src\DPC++-OneDevice\x64\Release\OneDevice --startAlgorithm=18 --endAlgorithm=18 --iterations=1001 --yaw=10 --pitch=20 --roll=30 --deltaYaw=10 --deltaImage  --typePreference=GPU --platform=OpenCL</t>
  </si>
  <si>
    <t>Runs of OneDevice on Level-Zero GPU changing the Yaw by 10 degrees</t>
  </si>
  <si>
    <t>C:\Users\dpbogia\source\repos\optimizing-equirectangular-conversion\EquiRectangular&gt;src\DPC++-OneDevice\x64\Release\OneDevice --startAlgorithm=18 --endAlgorithm=18 --iterations=1001 --yaw=10 --pitch=20 --roll=30 --deltaYaw=10  --typePreference=GPU --platform=Level-Zero</t>
  </si>
  <si>
    <t>Device search set to type = GPU platform = Level-Zero device name =  driver_version =</t>
  </si>
  <si>
    <t>Platform:                     Intel(R) Level-Zero</t>
  </si>
  <si>
    <t xml:space="preserve">    version:                  1.3</t>
  </si>
  <si>
    <t xml:space="preserve">    driver_version:           1.3.27359</t>
  </si>
  <si>
    <t>Algorithm description: DpcppRemappingV14: V7 except uses fp32 instead of fp64 using USM on Intel(R) Level-Zero Intel(R) UHD Graphics 770 1.3.27359</t>
  </si>
  <si>
    <t>Algorithm description: DpcppRemappingV14: V6 except uses fp32 instead of fp64 using device memory on Intel(R) Level-Zero Intel(R) UHD Graphics 770 1.3.27359</t>
  </si>
  <si>
    <t>DpcppRemappingV14: V7 except uses fp32 instead of fp64 using USM on Intel(R) Level-Zero Intel(R) UHD Graphics 770 1.3.27359</t>
  </si>
  <si>
    <t>DpcppRemappingV14: V6 except uses fp32 instead of fp64 using device memory on Intel(R) Level-Zero Intel(R) UHD Graphics 770 1.3.27359</t>
  </si>
  <si>
    <t>Runs of OneDevice on Level-Zero GPU changing the Image</t>
  </si>
  <si>
    <t>C:\Users\dpbogia\source\repos\optimizing-equirectangular-conversion\EquiRectangular&gt;src\DPC++-OneDevice\x64\Release\OneDevice.exe --startAlgorithm=18 --endAlgorithm=18 --iterations=1001 --yaw=10 --pitch=20 --roll=30 --deltaImage  --typePreference=GPU --platform=Level-Zero</t>
  </si>
  <si>
    <t>Runs of OneDevice on Level-Zero GPU changing the Yaw and Image</t>
  </si>
  <si>
    <t>C:\Users\dpbogia\source\repos\optimizing-equirectangular-conversion\EquiRectangular&gt;src\DPC++-OneDevice\x64\Release\OneDevice --startAlgorithm=18 --endAlgorithm=18 --iterations=1001 --yaw=10 --pitch=20 --roll=30 --deltaYaw=10 --deltaImage  --typePreference=GPU --platform=Level-Zero</t>
  </si>
  <si>
    <t>Runs of TwoDevices changing the Yaw by 10 degrees</t>
  </si>
  <si>
    <t>C:\Users\dpbogia\source\repos\optimizing-equirectangular-conversion\EquiRectangular&gt;src\DPC++-TwoDevices\x64\Release\TwoDevices.exe --startAlgorithm=17 --endAlgorithm=17 --iterations=1001 --yaw=10 --pitch=20 --roll=30 --deltaYaw=10 --deltaImage</t>
  </si>
  <si>
    <t>DpcppRemappingV13::StartVariant STORAGE_TYPE_USM</t>
  </si>
  <si>
    <t>Algorithm description: DpcppRemappingV13: V6 except uses fp32 instead of fp64 on USM Intel(R) OpenCL 12th Gen Intel(R) Core(TM) i9-12900 2023.16.10.0.17_160000 DpcppRemappingV13: V6 except uses fp32 instead of fp64 on USM Intel(R) Level-Zero Intel(R) UHD Graphics 770 1.3.27359</t>
  </si>
  <si>
    <t>CPU</t>
  </si>
  <si>
    <t>GPU</t>
  </si>
  <si>
    <t>All</t>
  </si>
  <si>
    <t>DpcppRemappingV13::StartVariant STORAGE_TYPE_DEVICE</t>
  </si>
  <si>
    <t>Algorithm description: DpcppRemappingV13: V6 except uses fp32 instead of fp64 on device memory Intel(R) OpenCL 12th Gen Intel(R) Core(TM) i9-12900 2023.16.10.0.17_160000 DpcppRemappingV13: V6 except uses fp32 instead of fp64 on device memory Intel(R) Level-Zero Intel(R) UHD Graphics 770 1.3.27359</t>
  </si>
  <si>
    <t>DpcppRemappingV13: V6 except uses fp32 instead of fp64 on USM Intel(R) OpenCL 12th Gen Intel(R) Core(TM) i9-12900 2023.16.10.0.17_160000 DpcppRemappingV13: V6 except uses fp32 instead of fp64 on USM Intel(R) Level-Zero Intel(R) UHD Graphics 770 1.3.27359</t>
  </si>
  <si>
    <t>DpcppRemappingV13: V6 except uses fp32 instead of fp64 on device memory Intel(R) OpenCL 12th Gen Intel(R) Core(TM) i9-12900 2023.16.10.0.17_160000 DpcppRemappingV13: V6 except uses fp32 instead of fp64 on device memory Intel(R) Level-Zero Intel(R) UHD Graphics 770 1.3.27359</t>
  </si>
  <si>
    <t>-------------------</t>
  </si>
  <si>
    <t>C:\Users\dpbogia\source\repos\optimizing-equirectangular-conversion\EquiRectangular&gt;src\DPC++-TwoDevices\x64\Release\TwoDevices.exe --startAlgorithm=18 --endAlgorithm=18 --iterations=1001 --yaw=10 --pitch=20 --roll=30 --deltaYaw=10</t>
  </si>
  <si>
    <t>Algorithm description: DpcppRemappingV14: V7 except uses fp32 instead of fp64 using USM on Intel(R) OpenCL 12th Gen Intel(R) Core(TM) i9-12900 2023.16.10.0.17_160000 DpcppRemappingV14: V7 except uses fp32 instead of fp64 using USM on Intel(R) OpenCL Graphics Intel(R) UHD Graphics 770 31.0.101.4952</t>
  </si>
  <si>
    <t>Algorithm description: DpcppRemappingV14: V6 except uses fp32 instead of fp64 using device memory on Intel(R) OpenCL 12th Gen Intel(R) Core(TM) i9-12900 2023.16.10.0.17_160000 DpcppRemappingV14: V6 except uses fp32 instead of fp64 using device memory on Intel(R) OpenCL Graphics Intel(R) UHD Graphics 770 31.0.101.4952</t>
  </si>
  <si>
    <t>DpcppRemappingV14: V7 except uses fp32 instead of fp64 using USM on Intel(R) OpenCL 12th Gen Intel(R) Core(TM) i9-12900 2023.16.10.0.17_160000 DpcppRemappingV14: V7 except uses fp32 instead of fp64 using USM on Intel(R) OpenCL Graphics Intel(R) UHD Graphics 770 31.0.101.4952</t>
  </si>
  <si>
    <t>DpcppRemappingV14: V6 except uses fp32 instead of fp64 using device memory on Intel(R) OpenCL 12th Gen Intel(R) Core(TM) i9-12900 2023.16.10.0.17_160000 DpcppRemappingV14: V6 except uses fp32 instead of fp64 using device memory on Intel(R) OpenCL Graphics Intel(R) UHD Graphics 770 31.0.101.4952</t>
  </si>
  <si>
    <t>Runs of TwoDevices changing the Image</t>
  </si>
  <si>
    <t>C:\Users\dpbogia\source\repos\optimizing-equirectangular-conversion\EquiRectangular&gt;src\DPC++-TwoDevices\x64\Release\TwoDevices.exe --startAlgorithm=18 --endAlgorithm=18 --iterations=1001 --yaw=10 --pitch=20 --roll=30 --deltaImage</t>
  </si>
  <si>
    <t>Algorithm description: DpcppRemappingV14: V7 except uses fp32 instead of fp64 using USM on Intel(R) OpenCL 12th Gen Intel(R) Core(TM) i9-12900 2023.16.10.0.17_160000 DpcppRemappingV14: V7 except uses fp32 instead of fp64 using USM on Intel(R) Level-Zero Intel(R) UHD Graphics 770 1.3.27359</t>
  </si>
  <si>
    <t>Algorithm description: DpcppRemappingV14: V6 except uses fp32 instead of fp64 using device memory on Intel(R) OpenCL 12th Gen Intel(R) Core(TM) i9-12900 2023.16.10.0.17_160000 DpcppRemappingV14: V6 except uses fp32 instead of fp64 using device memory on Intel(R) Level-Zero Intel(R) UHD Graphics 770 1.3.27359</t>
  </si>
  <si>
    <t>DpcppRemappingV14: V7 except uses fp32 instead of fp64 using USM on Intel(R) OpenCL 12th Gen Intel(R) Core(TM) i9-12900 2023.16.10.0.17_160000 DpcppRemappingV14: V7 except uses fp32 instead of fp64 using USM on Intel(R) Level-Zero Intel(R) UHD Graphics 770 1.3.27359</t>
  </si>
  <si>
    <t>DpcppRemappingV14: V6 except uses fp32 instead of fp64 using device memory on Intel(R) OpenCL 12th Gen Intel(R) Core(TM) i9-12900 2023.16.10.0.17_160000 DpcppRemappingV14: V6 except uses fp32 instead of fp64 using device memory on Intel(R) Level-Zero Intel(R) UHD Graphics 770 1.3.27359</t>
  </si>
  <si>
    <t>Runs of TwoDevices changing the Yaw and Image</t>
  </si>
  <si>
    <t>C:\Users\dpbogia\source\repos\optimizing-equirectangular-conversion\EquiRectangular&gt;src\DPC++-TwoDevices\x64\Release\TwoDevices.exe --startAlgorithm=18 --endAlgorithm=18 --iterations=1001 --yaw=10 --pitch=20 --roll=30 --deltaYaw=10 --deltaImage</t>
  </si>
  <si>
    <t>Finished!</t>
  </si>
  <si>
    <t>src\DPC++-OneDevice\x64\Release\OneDevice --startAlgorithm=18 --endAlgorithm=18 --iterations=1001 --yaw=10 --pitch=20 --roll=30 --deltaYaw=10  --typePreference=CPU</t>
  </si>
  <si>
    <t>Min</t>
  </si>
  <si>
    <t>Max</t>
  </si>
  <si>
    <t>Improvement</t>
  </si>
  <si>
    <t>src\DPC++-OneDevice\x64\Release\OneDevice.exe --startAlgorithm=18 --endAlgorithm=18 --iterations=1001 --yaw=10 --pitch=20 --roll=30 --deltaImage  --typePreference=CPU</t>
  </si>
  <si>
    <t>src\DPC++-OneDevice\x64\Release\OneDevice --startAlgorithm=18 --endAlgorithm=18 --iterations=1001 --yaw=10 --pitch=20 --roll=30 --deltaYaw=10 --deltaImage  --typePreference=CPU</t>
  </si>
  <si>
    <t>src\DPC++-OneDevice\x64\Release\OneDevice --startAlgorithm=18 --endAlgorithm=18 --iterations=1001 --yaw=10 --pitch=20 --roll=30 --deltaYaw=10  --typePreference=GPU --platform=OpenCL</t>
  </si>
  <si>
    <t>src\DPC++-OneDevice\x64\Release\OneDevice.exe --startAlgorithm=18 --endAlgorithm=18 --iterations=1001 --yaw=10 --pitch=20 --roll=30 --deltaImage  --typePreference=GPU --platform=OpenCL</t>
  </si>
  <si>
    <t>src\DPC++-OneDevice\x64\Release\OneDevice --startAlgorithm=18 --endAlgorithm=18 --iterations=1001 --yaw=10 --pitch=20 --roll=30 --deltaYaw=10 --deltaImage  --typePreference=GPU --platform=OpenCL</t>
  </si>
  <si>
    <t>src\DPC++-OneDevice\x64\Release\OneDevice --startAlgorithm=18 --endAlgorithm=18 --iterations=1001 --yaw=10 --pitch=20 --roll=30 --deltaYaw=10  --typePreference=GPU --platform=Level-Zero</t>
  </si>
  <si>
    <t>src\DPC++-OneDevice\x64\Release\OneDevice.exe --startAlgorithm=18 --endAlgorithm=18 --iterations=1001 --yaw=10 --pitch=20 --roll=30 --deltaImage  --typePreference=GPU --platform=Level-Zero</t>
  </si>
  <si>
    <t>src\DPC++-OneDevice\x64\Release\OneDevice --startAlgorithm=18 --endAlgorithm=18 --iterations=1001 --yaw=10 --pitch=20 --roll=30 --deltaYaw=10 --deltaImage  --typePreference=GPU --platform=Level-Zero</t>
  </si>
  <si>
    <t>Improvement vs i9</t>
  </si>
  <si>
    <t>Improvement vs  OneDevice</t>
  </si>
  <si>
    <t>Improvement vs  OneDevice CPU</t>
  </si>
  <si>
    <t>Improvement vs  OneDevice GPU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</si>
</sst>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17"/>
  <sheetViews>
    <sheetView workbookViewId="0">
      <selection activeCell="A1117" sqref="A1117"/>
    </sheetView>
  </sheetViews>
  <sheetFormatPr defaultRowHeight="14.4" x14ac:dyDescent="0.3"/>
  <sheetData>
    <row r="1" spans="1:1" x14ac:dyDescent="0.3">
      <c r="A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7" spans="1:1" x14ac:dyDescent="0.3">
      <c r="A7" t="s">
        <v>4</v>
      </c>
    </row>
    <row r="9" spans="1:1" x14ac:dyDescent="0.3">
      <c r="A9" t="s">
        <v>5</v>
      </c>
    </row>
    <row r="10" spans="1:1" x14ac:dyDescent="0.3">
      <c r="A10" t="s">
        <v>6</v>
      </c>
    </row>
    <row r="11" spans="1:1" x14ac:dyDescent="0.3">
      <c r="A11" t="s">
        <v>7</v>
      </c>
    </row>
    <row r="12" spans="1:1" x14ac:dyDescent="0.3">
      <c r="A12" t="s">
        <v>8</v>
      </c>
    </row>
    <row r="13" spans="1:1" x14ac:dyDescent="0.3">
      <c r="A13" t="s">
        <v>9</v>
      </c>
    </row>
    <row r="14" spans="1:1" x14ac:dyDescent="0.3">
      <c r="A14" t="s">
        <v>10</v>
      </c>
    </row>
    <row r="15" spans="1:1" x14ac:dyDescent="0.3">
      <c r="A15" t="s">
        <v>11</v>
      </c>
    </row>
    <row r="16" spans="1:1" x14ac:dyDescent="0.3">
      <c r="A16" t="s">
        <v>12</v>
      </c>
    </row>
    <row r="17" spans="1:11" x14ac:dyDescent="0.3">
      <c r="A17" t="s">
        <v>13</v>
      </c>
    </row>
    <row r="18" spans="1:11" x14ac:dyDescent="0.3">
      <c r="A18" t="s">
        <v>14</v>
      </c>
    </row>
    <row r="19" spans="1:11" x14ac:dyDescent="0.3">
      <c r="A19" t="s">
        <v>15</v>
      </c>
    </row>
    <row r="20" spans="1:11" x14ac:dyDescent="0.3">
      <c r="A20" t="s">
        <v>16</v>
      </c>
    </row>
    <row r="21" spans="1:11" x14ac:dyDescent="0.3">
      <c r="A21" t="s">
        <v>17</v>
      </c>
    </row>
    <row r="22" spans="1:11" x14ac:dyDescent="0.3">
      <c r="A22" t="s">
        <v>18</v>
      </c>
    </row>
    <row r="23" spans="1:11" x14ac:dyDescent="0.3">
      <c r="A23" t="s">
        <v>19</v>
      </c>
    </row>
    <row r="24" spans="1:11" x14ac:dyDescent="0.3">
      <c r="A24" t="s">
        <v>20</v>
      </c>
    </row>
    <row r="25" spans="1:11" x14ac:dyDescent="0.3">
      <c r="A25" t="s">
        <v>21</v>
      </c>
    </row>
    <row r="26" spans="1:11" x14ac:dyDescent="0.3">
      <c r="A26" t="s">
        <v>22</v>
      </c>
    </row>
    <row r="27" spans="1:11" x14ac:dyDescent="0.3">
      <c r="A27" t="s">
        <v>23</v>
      </c>
      <c r="B27">
        <v>1</v>
      </c>
      <c r="C27" t="s">
        <v>24</v>
      </c>
      <c r="D27">
        <v>5.4999999999999999E-6</v>
      </c>
      <c r="E27" t="s">
        <v>25</v>
      </c>
      <c r="F27">
        <v>5.4999999999999997E-3</v>
      </c>
      <c r="G27" t="s">
        <v>26</v>
      </c>
      <c r="H27">
        <v>5.5</v>
      </c>
      <c r="I27" t="s">
        <v>27</v>
      </c>
    </row>
    <row r="28" spans="1:11" x14ac:dyDescent="0.3">
      <c r="A28" t="s">
        <v>23</v>
      </c>
      <c r="B28">
        <v>1</v>
      </c>
      <c r="C28" t="s">
        <v>28</v>
      </c>
      <c r="D28">
        <v>0.21966459999999999</v>
      </c>
      <c r="E28" t="s">
        <v>25</v>
      </c>
      <c r="F28">
        <v>219.66460000000001</v>
      </c>
      <c r="G28" t="s">
        <v>26</v>
      </c>
      <c r="H28">
        <v>219664.603</v>
      </c>
      <c r="I28" t="s">
        <v>27</v>
      </c>
    </row>
    <row r="29" spans="1:11" x14ac:dyDescent="0.3">
      <c r="A29" t="s">
        <v>23</v>
      </c>
      <c r="B29">
        <v>1</v>
      </c>
      <c r="C29" t="s">
        <v>29</v>
      </c>
      <c r="D29">
        <v>0.36954111000000001</v>
      </c>
      <c r="E29" t="s">
        <v>25</v>
      </c>
      <c r="F29">
        <v>369.54111</v>
      </c>
      <c r="G29" t="s">
        <v>26</v>
      </c>
      <c r="H29">
        <v>369541.109</v>
      </c>
      <c r="I29" t="s">
        <v>27</v>
      </c>
    </row>
    <row r="30" spans="1:11" x14ac:dyDescent="0.3">
      <c r="A30" t="s">
        <v>23</v>
      </c>
      <c r="B30">
        <v>1</v>
      </c>
      <c r="C30" t="s">
        <v>30</v>
      </c>
      <c r="D30">
        <v>3.3633000000000001E-3</v>
      </c>
      <c r="E30" t="s">
        <v>25</v>
      </c>
      <c r="F30">
        <v>3.3633000000000002</v>
      </c>
      <c r="G30" t="s">
        <v>26</v>
      </c>
      <c r="H30">
        <v>3363.3</v>
      </c>
      <c r="I30" t="s">
        <v>27</v>
      </c>
    </row>
    <row r="31" spans="1:11" x14ac:dyDescent="0.3">
      <c r="A31" t="s">
        <v>23</v>
      </c>
      <c r="B31">
        <v>1</v>
      </c>
      <c r="C31" t="s">
        <v>31</v>
      </c>
      <c r="D31">
        <v>3.3655999999999998E-3</v>
      </c>
      <c r="E31" t="s">
        <v>25</v>
      </c>
      <c r="F31">
        <v>3.3656000000000001</v>
      </c>
      <c r="G31" t="s">
        <v>26</v>
      </c>
      <c r="H31">
        <v>3365.6</v>
      </c>
      <c r="I31" t="s">
        <v>27</v>
      </c>
    </row>
    <row r="32" spans="1:11" x14ac:dyDescent="0.3">
      <c r="A32" t="s">
        <v>23</v>
      </c>
      <c r="B32">
        <v>1</v>
      </c>
      <c r="C32" t="s">
        <v>32</v>
      </c>
      <c r="D32">
        <v>0.3729094</v>
      </c>
      <c r="E32" t="s">
        <v>25</v>
      </c>
      <c r="F32">
        <v>372.90940000000001</v>
      </c>
      <c r="G32" t="s">
        <v>26</v>
      </c>
      <c r="H32">
        <v>372909.397</v>
      </c>
      <c r="I32" t="s">
        <v>27</v>
      </c>
      <c r="J32" t="s">
        <v>33</v>
      </c>
      <c r="K32">
        <v>2.6816165000000001</v>
      </c>
    </row>
    <row r="33" spans="1:11" x14ac:dyDescent="0.3">
      <c r="A33" t="s">
        <v>34</v>
      </c>
      <c r="B33">
        <v>1000</v>
      </c>
      <c r="C33" t="s">
        <v>29</v>
      </c>
      <c r="D33">
        <v>4.1564999999999999E-4</v>
      </c>
      <c r="E33" t="s">
        <v>25</v>
      </c>
      <c r="F33">
        <v>0.41565000000000002</v>
      </c>
      <c r="G33" t="s">
        <v>26</v>
      </c>
      <c r="H33">
        <v>415.65199999999999</v>
      </c>
      <c r="I33" t="s">
        <v>27</v>
      </c>
    </row>
    <row r="34" spans="1:11" x14ac:dyDescent="0.3">
      <c r="A34" t="s">
        <v>34</v>
      </c>
      <c r="B34">
        <v>1000</v>
      </c>
      <c r="C34" t="s">
        <v>30</v>
      </c>
      <c r="D34">
        <v>3.68E-4</v>
      </c>
      <c r="E34" t="s">
        <v>25</v>
      </c>
      <c r="F34">
        <v>0.36799999999999999</v>
      </c>
      <c r="G34" t="s">
        <v>26</v>
      </c>
      <c r="H34">
        <v>368.00099999999998</v>
      </c>
      <c r="I34" t="s">
        <v>27</v>
      </c>
    </row>
    <row r="35" spans="1:11" x14ac:dyDescent="0.3">
      <c r="A35" t="s">
        <v>34</v>
      </c>
      <c r="B35">
        <v>1000</v>
      </c>
      <c r="C35" t="s">
        <v>31</v>
      </c>
      <c r="D35">
        <v>3.6820000000000001E-4</v>
      </c>
      <c r="E35" t="s">
        <v>25</v>
      </c>
      <c r="F35">
        <v>0.36820000000000003</v>
      </c>
      <c r="G35" t="s">
        <v>26</v>
      </c>
      <c r="H35">
        <v>368.19600000000003</v>
      </c>
      <c r="I35" t="s">
        <v>27</v>
      </c>
    </row>
    <row r="36" spans="1:11" x14ac:dyDescent="0.3">
      <c r="A36" t="s">
        <v>34</v>
      </c>
      <c r="B36">
        <v>1000</v>
      </c>
      <c r="C36" t="s">
        <v>32</v>
      </c>
      <c r="D36">
        <v>7.8430999999999998E-4</v>
      </c>
      <c r="E36" t="s">
        <v>25</v>
      </c>
      <c r="F36">
        <v>0.78430999999999995</v>
      </c>
      <c r="G36" t="s">
        <v>26</v>
      </c>
      <c r="H36">
        <v>784.31500000000005</v>
      </c>
      <c r="I36" t="s">
        <v>27</v>
      </c>
      <c r="J36" t="s">
        <v>33</v>
      </c>
      <c r="K36">
        <v>1274.9979443</v>
      </c>
    </row>
    <row r="37" spans="1:11" x14ac:dyDescent="0.3">
      <c r="A37" t="s">
        <v>35</v>
      </c>
      <c r="B37">
        <v>1001</v>
      </c>
      <c r="C37" t="s">
        <v>29</v>
      </c>
      <c r="D37">
        <v>7.8441000000000003E-4</v>
      </c>
      <c r="E37" t="s">
        <v>25</v>
      </c>
      <c r="F37">
        <v>0.78441000000000005</v>
      </c>
      <c r="G37" t="s">
        <v>26</v>
      </c>
      <c r="H37">
        <v>784.40800000000002</v>
      </c>
      <c r="I37" t="s">
        <v>27</v>
      </c>
    </row>
    <row r="38" spans="1:11" x14ac:dyDescent="0.3">
      <c r="A38" t="s">
        <v>35</v>
      </c>
      <c r="B38">
        <v>1001</v>
      </c>
      <c r="C38" t="s">
        <v>30</v>
      </c>
      <c r="D38">
        <v>3.7099000000000002E-4</v>
      </c>
      <c r="E38" t="s">
        <v>25</v>
      </c>
      <c r="F38">
        <v>0.37098999999999999</v>
      </c>
      <c r="G38" t="s">
        <v>26</v>
      </c>
      <c r="H38">
        <v>370.99299999999999</v>
      </c>
      <c r="I38" t="s">
        <v>27</v>
      </c>
    </row>
    <row r="39" spans="1:11" x14ac:dyDescent="0.3">
      <c r="A39" t="s">
        <v>35</v>
      </c>
      <c r="B39">
        <v>1001</v>
      </c>
      <c r="C39" t="s">
        <v>31</v>
      </c>
      <c r="D39">
        <v>3.7118999999999997E-4</v>
      </c>
      <c r="E39" t="s">
        <v>25</v>
      </c>
      <c r="F39">
        <v>0.37119000000000002</v>
      </c>
      <c r="G39" t="s">
        <v>26</v>
      </c>
      <c r="H39">
        <v>371.19099999999997</v>
      </c>
      <c r="I39" t="s">
        <v>27</v>
      </c>
    </row>
    <row r="40" spans="1:11" x14ac:dyDescent="0.3">
      <c r="A40" t="s">
        <v>35</v>
      </c>
      <c r="B40">
        <v>1001</v>
      </c>
      <c r="C40" t="s">
        <v>32</v>
      </c>
      <c r="D40">
        <v>1.1560699999999999E-3</v>
      </c>
      <c r="E40" t="s">
        <v>25</v>
      </c>
      <c r="F40">
        <v>1.1560699999999999</v>
      </c>
      <c r="G40" t="s">
        <v>26</v>
      </c>
      <c r="H40">
        <v>1156.07</v>
      </c>
      <c r="I40" t="s">
        <v>27</v>
      </c>
      <c r="J40" t="s">
        <v>33</v>
      </c>
      <c r="K40">
        <v>864.99924520000002</v>
      </c>
    </row>
    <row r="41" spans="1:11" x14ac:dyDescent="0.3">
      <c r="A41" t="s">
        <v>36</v>
      </c>
      <c r="B41">
        <v>1001</v>
      </c>
      <c r="C41" t="s">
        <v>37</v>
      </c>
      <c r="D41">
        <v>1.1561900000000001E-3</v>
      </c>
      <c r="E41" t="s">
        <v>25</v>
      </c>
      <c r="F41">
        <v>1.1561900000000001</v>
      </c>
      <c r="G41" t="s">
        <v>26</v>
      </c>
      <c r="H41">
        <v>1156.193</v>
      </c>
      <c r="I41" t="s">
        <v>27</v>
      </c>
      <c r="J41" t="s">
        <v>33</v>
      </c>
      <c r="K41">
        <v>864.90774290000002</v>
      </c>
    </row>
    <row r="42" spans="1:11" x14ac:dyDescent="0.3">
      <c r="A42" t="s">
        <v>38</v>
      </c>
    </row>
    <row r="43" spans="1:11" x14ac:dyDescent="0.3">
      <c r="A43" t="s">
        <v>39</v>
      </c>
    </row>
    <row r="44" spans="1:11" x14ac:dyDescent="0.3">
      <c r="A44" t="s">
        <v>23</v>
      </c>
      <c r="B44">
        <v>1</v>
      </c>
      <c r="C44" t="s">
        <v>24</v>
      </c>
      <c r="D44">
        <v>5.4999999999999999E-6</v>
      </c>
      <c r="E44" t="s">
        <v>25</v>
      </c>
      <c r="F44">
        <v>5.4999999999999997E-3</v>
      </c>
      <c r="G44" t="s">
        <v>26</v>
      </c>
      <c r="H44">
        <v>5.5</v>
      </c>
      <c r="I44" t="s">
        <v>27</v>
      </c>
    </row>
    <row r="45" spans="1:11" x14ac:dyDescent="0.3">
      <c r="A45" t="s">
        <v>23</v>
      </c>
      <c r="B45">
        <v>1</v>
      </c>
      <c r="C45" t="s">
        <v>28</v>
      </c>
      <c r="D45">
        <v>6.69E-5</v>
      </c>
      <c r="E45" t="s">
        <v>25</v>
      </c>
      <c r="F45">
        <v>6.6900000000000001E-2</v>
      </c>
      <c r="G45" t="s">
        <v>26</v>
      </c>
      <c r="H45">
        <v>66.900000000000006</v>
      </c>
      <c r="I45" t="s">
        <v>27</v>
      </c>
    </row>
    <row r="46" spans="1:11" x14ac:dyDescent="0.3">
      <c r="A46" t="s">
        <v>23</v>
      </c>
      <c r="B46">
        <v>1</v>
      </c>
      <c r="C46" t="s">
        <v>29</v>
      </c>
      <c r="D46">
        <v>3.5070000000000001E-3</v>
      </c>
      <c r="E46" t="s">
        <v>25</v>
      </c>
      <c r="F46">
        <v>3.5070000000000001</v>
      </c>
      <c r="G46" t="s">
        <v>26</v>
      </c>
      <c r="H46">
        <v>3507</v>
      </c>
      <c r="I46" t="s">
        <v>27</v>
      </c>
    </row>
    <row r="47" spans="1:11" x14ac:dyDescent="0.3">
      <c r="A47" t="s">
        <v>23</v>
      </c>
      <c r="B47">
        <v>1</v>
      </c>
      <c r="C47" t="s">
        <v>30</v>
      </c>
      <c r="D47">
        <v>3.8463E-3</v>
      </c>
      <c r="E47" t="s">
        <v>25</v>
      </c>
      <c r="F47">
        <v>3.8462999999999998</v>
      </c>
      <c r="G47" t="s">
        <v>26</v>
      </c>
      <c r="H47">
        <v>3846.3</v>
      </c>
      <c r="I47" t="s">
        <v>27</v>
      </c>
    </row>
    <row r="48" spans="1:11" x14ac:dyDescent="0.3">
      <c r="A48" t="s">
        <v>23</v>
      </c>
      <c r="B48">
        <v>1</v>
      </c>
      <c r="C48" t="s">
        <v>31</v>
      </c>
      <c r="D48">
        <v>3.8471E-3</v>
      </c>
      <c r="E48" t="s">
        <v>25</v>
      </c>
      <c r="F48">
        <v>3.8471000000000002</v>
      </c>
      <c r="G48" t="s">
        <v>26</v>
      </c>
      <c r="H48">
        <v>3847.1</v>
      </c>
      <c r="I48" t="s">
        <v>27</v>
      </c>
    </row>
    <row r="49" spans="1:11" x14ac:dyDescent="0.3">
      <c r="A49" t="s">
        <v>23</v>
      </c>
      <c r="B49">
        <v>1</v>
      </c>
      <c r="C49" t="s">
        <v>32</v>
      </c>
      <c r="D49">
        <v>7.3553999999999998E-3</v>
      </c>
      <c r="E49" t="s">
        <v>25</v>
      </c>
      <c r="F49">
        <v>7.3554000000000004</v>
      </c>
      <c r="G49" t="s">
        <v>26</v>
      </c>
      <c r="H49">
        <v>7355.4</v>
      </c>
      <c r="I49" t="s">
        <v>27</v>
      </c>
      <c r="J49" t="s">
        <v>33</v>
      </c>
      <c r="K49">
        <v>135.9545387</v>
      </c>
    </row>
    <row r="50" spans="1:11" x14ac:dyDescent="0.3">
      <c r="A50" t="s">
        <v>34</v>
      </c>
      <c r="B50">
        <v>1000</v>
      </c>
      <c r="C50" t="s">
        <v>29</v>
      </c>
      <c r="D50">
        <v>4.4128E-4</v>
      </c>
      <c r="E50" t="s">
        <v>25</v>
      </c>
      <c r="F50">
        <v>0.44128000000000001</v>
      </c>
      <c r="G50" t="s">
        <v>26</v>
      </c>
      <c r="H50">
        <v>441.27600000000001</v>
      </c>
      <c r="I50" t="s">
        <v>27</v>
      </c>
    </row>
    <row r="51" spans="1:11" x14ac:dyDescent="0.3">
      <c r="A51" t="s">
        <v>34</v>
      </c>
      <c r="B51">
        <v>1000</v>
      </c>
      <c r="C51" t="s">
        <v>30</v>
      </c>
      <c r="D51">
        <v>8.4639999999999997E-4</v>
      </c>
      <c r="E51" t="s">
        <v>25</v>
      </c>
      <c r="F51">
        <v>0.84640000000000004</v>
      </c>
      <c r="G51" t="s">
        <v>26</v>
      </c>
      <c r="H51">
        <v>846.40200000000004</v>
      </c>
      <c r="I51" t="s">
        <v>27</v>
      </c>
    </row>
    <row r="52" spans="1:11" x14ac:dyDescent="0.3">
      <c r="A52" t="s">
        <v>34</v>
      </c>
      <c r="B52">
        <v>1000</v>
      </c>
      <c r="C52" t="s">
        <v>31</v>
      </c>
      <c r="D52">
        <v>1.00202E-3</v>
      </c>
      <c r="E52" t="s">
        <v>25</v>
      </c>
      <c r="F52">
        <v>1.0020199999999999</v>
      </c>
      <c r="G52" t="s">
        <v>26</v>
      </c>
      <c r="H52">
        <v>1002.021</v>
      </c>
      <c r="I52" t="s">
        <v>27</v>
      </c>
    </row>
    <row r="53" spans="1:11" x14ac:dyDescent="0.3">
      <c r="A53" t="s">
        <v>34</v>
      </c>
      <c r="B53">
        <v>1000</v>
      </c>
      <c r="C53" t="s">
        <v>32</v>
      </c>
      <c r="D53">
        <v>1.44411E-3</v>
      </c>
      <c r="E53" t="s">
        <v>25</v>
      </c>
      <c r="F53">
        <v>1.44411</v>
      </c>
      <c r="G53" t="s">
        <v>26</v>
      </c>
      <c r="H53">
        <v>1444.106</v>
      </c>
      <c r="I53" t="s">
        <v>27</v>
      </c>
      <c r="J53" t="s">
        <v>33</v>
      </c>
      <c r="K53">
        <v>692.46989440000004</v>
      </c>
    </row>
    <row r="54" spans="1:11" x14ac:dyDescent="0.3">
      <c r="A54" t="s">
        <v>35</v>
      </c>
      <c r="B54">
        <v>1001</v>
      </c>
      <c r="C54" t="s">
        <v>29</v>
      </c>
      <c r="D54">
        <v>4.4433999999999999E-4</v>
      </c>
      <c r="E54" t="s">
        <v>25</v>
      </c>
      <c r="F54">
        <v>0.44434000000000001</v>
      </c>
      <c r="G54" t="s">
        <v>26</v>
      </c>
      <c r="H54">
        <v>444.33800000000002</v>
      </c>
      <c r="I54" t="s">
        <v>27</v>
      </c>
    </row>
    <row r="55" spans="1:11" x14ac:dyDescent="0.3">
      <c r="A55" t="s">
        <v>35</v>
      </c>
      <c r="B55">
        <v>1001</v>
      </c>
      <c r="C55" t="s">
        <v>30</v>
      </c>
      <c r="D55">
        <v>8.4940000000000005E-4</v>
      </c>
      <c r="E55" t="s">
        <v>25</v>
      </c>
      <c r="F55">
        <v>0.84940000000000004</v>
      </c>
      <c r="G55" t="s">
        <v>26</v>
      </c>
      <c r="H55">
        <v>849.399</v>
      </c>
      <c r="I55" t="s">
        <v>27</v>
      </c>
    </row>
    <row r="56" spans="1:11" x14ac:dyDescent="0.3">
      <c r="A56" t="s">
        <v>35</v>
      </c>
      <c r="B56">
        <v>1001</v>
      </c>
      <c r="C56" t="s">
        <v>31</v>
      </c>
      <c r="D56">
        <v>1.00486E-3</v>
      </c>
      <c r="E56" t="s">
        <v>25</v>
      </c>
      <c r="F56">
        <v>1.0048600000000001</v>
      </c>
      <c r="G56" t="s">
        <v>26</v>
      </c>
      <c r="H56">
        <v>1004.8630000000001</v>
      </c>
      <c r="I56" t="s">
        <v>27</v>
      </c>
    </row>
    <row r="57" spans="1:11" x14ac:dyDescent="0.3">
      <c r="A57" t="s">
        <v>35</v>
      </c>
      <c r="B57">
        <v>1001</v>
      </c>
      <c r="C57" t="s">
        <v>32</v>
      </c>
      <c r="D57">
        <v>1.4500100000000001E-3</v>
      </c>
      <c r="E57" t="s">
        <v>25</v>
      </c>
      <c r="F57">
        <v>1.45001</v>
      </c>
      <c r="G57" t="s">
        <v>26</v>
      </c>
      <c r="H57">
        <v>1450.0119999999999</v>
      </c>
      <c r="I57" t="s">
        <v>27</v>
      </c>
      <c r="J57" t="s">
        <v>33</v>
      </c>
      <c r="K57">
        <v>689.64968280000005</v>
      </c>
    </row>
    <row r="58" spans="1:11" x14ac:dyDescent="0.3">
      <c r="A58" t="s">
        <v>36</v>
      </c>
      <c r="B58">
        <v>1001</v>
      </c>
      <c r="C58" t="s">
        <v>37</v>
      </c>
      <c r="D58">
        <v>1.4501799999999999E-3</v>
      </c>
      <c r="E58" t="s">
        <v>25</v>
      </c>
      <c r="F58">
        <v>1.45018</v>
      </c>
      <c r="G58" t="s">
        <v>26</v>
      </c>
      <c r="H58">
        <v>1450.182</v>
      </c>
      <c r="I58" t="s">
        <v>27</v>
      </c>
      <c r="J58" t="s">
        <v>33</v>
      </c>
      <c r="K58">
        <v>689.56869529999994</v>
      </c>
    </row>
    <row r="59" spans="1:11" x14ac:dyDescent="0.3">
      <c r="A59" t="s">
        <v>8</v>
      </c>
    </row>
    <row r="60" spans="1:11" x14ac:dyDescent="0.3">
      <c r="A60" t="s">
        <v>20</v>
      </c>
    </row>
    <row r="61" spans="1:11" x14ac:dyDescent="0.3">
      <c r="A61" t="s">
        <v>40</v>
      </c>
    </row>
    <row r="62" spans="1:11" x14ac:dyDescent="0.3">
      <c r="A62" t="s">
        <v>41</v>
      </c>
    </row>
    <row r="63" spans="1:11" x14ac:dyDescent="0.3">
      <c r="A63" t="s">
        <v>23</v>
      </c>
      <c r="B63">
        <v>1</v>
      </c>
      <c r="C63" t="s">
        <v>32</v>
      </c>
      <c r="D63">
        <v>0.3729094</v>
      </c>
      <c r="E63" t="s">
        <v>25</v>
      </c>
      <c r="F63">
        <v>372.90940000000001</v>
      </c>
      <c r="G63" t="s">
        <v>26</v>
      </c>
      <c r="H63">
        <v>372909.397</v>
      </c>
      <c r="I63" t="s">
        <v>27</v>
      </c>
      <c r="J63" t="s">
        <v>33</v>
      </c>
      <c r="K63">
        <v>2.6816165000000001</v>
      </c>
    </row>
    <row r="64" spans="1:11" x14ac:dyDescent="0.3">
      <c r="A64" t="s">
        <v>34</v>
      </c>
      <c r="B64">
        <v>1000</v>
      </c>
      <c r="C64" t="s">
        <v>32</v>
      </c>
      <c r="D64">
        <v>7.8430999999999998E-4</v>
      </c>
      <c r="E64" t="s">
        <v>25</v>
      </c>
      <c r="F64">
        <v>0.78430999999999995</v>
      </c>
      <c r="G64" t="s">
        <v>26</v>
      </c>
      <c r="H64">
        <v>784.31500000000005</v>
      </c>
      <c r="I64" t="s">
        <v>27</v>
      </c>
      <c r="J64" t="s">
        <v>33</v>
      </c>
      <c r="K64">
        <v>1274.9979443</v>
      </c>
    </row>
    <row r="65" spans="1:11" x14ac:dyDescent="0.3">
      <c r="A65" t="s">
        <v>36</v>
      </c>
      <c r="B65">
        <v>1001</v>
      </c>
      <c r="C65" t="s">
        <v>37</v>
      </c>
      <c r="D65">
        <v>1.1561900000000001E-3</v>
      </c>
      <c r="E65" t="s">
        <v>25</v>
      </c>
      <c r="F65">
        <v>1.1561900000000001</v>
      </c>
      <c r="G65" t="s">
        <v>26</v>
      </c>
      <c r="H65">
        <v>1156.193</v>
      </c>
      <c r="I65" t="s">
        <v>27</v>
      </c>
      <c r="J65" t="s">
        <v>33</v>
      </c>
      <c r="K65">
        <v>864.90774290000002</v>
      </c>
    </row>
    <row r="67" spans="1:11" x14ac:dyDescent="0.3">
      <c r="A67" t="s">
        <v>42</v>
      </c>
    </row>
    <row r="68" spans="1:11" x14ac:dyDescent="0.3">
      <c r="A68" t="s">
        <v>23</v>
      </c>
      <c r="B68">
        <v>1</v>
      </c>
      <c r="C68" t="s">
        <v>32</v>
      </c>
      <c r="D68">
        <v>7.3553999999999998E-3</v>
      </c>
      <c r="E68" t="s">
        <v>25</v>
      </c>
      <c r="F68">
        <v>7.3554000000000004</v>
      </c>
      <c r="G68" t="s">
        <v>26</v>
      </c>
      <c r="H68">
        <v>7355.4</v>
      </c>
      <c r="I68" t="s">
        <v>27</v>
      </c>
      <c r="J68" t="s">
        <v>33</v>
      </c>
      <c r="K68">
        <v>135.9545387</v>
      </c>
    </row>
    <row r="69" spans="1:11" x14ac:dyDescent="0.3">
      <c r="A69" t="s">
        <v>34</v>
      </c>
      <c r="B69">
        <v>1000</v>
      </c>
      <c r="C69" t="s">
        <v>32</v>
      </c>
      <c r="D69">
        <v>1.44411E-3</v>
      </c>
      <c r="E69" t="s">
        <v>25</v>
      </c>
      <c r="F69">
        <v>1.44411</v>
      </c>
      <c r="G69" t="s">
        <v>26</v>
      </c>
      <c r="H69">
        <v>1444.106</v>
      </c>
      <c r="I69" t="s">
        <v>27</v>
      </c>
      <c r="J69" t="s">
        <v>33</v>
      </c>
      <c r="K69">
        <v>692.46989440000004</v>
      </c>
    </row>
    <row r="70" spans="1:11" x14ac:dyDescent="0.3">
      <c r="A70" t="s">
        <v>36</v>
      </c>
      <c r="B70">
        <v>1001</v>
      </c>
      <c r="C70" t="s">
        <v>37</v>
      </c>
      <c r="D70">
        <v>1.4501799999999999E-3</v>
      </c>
      <c r="E70" t="s">
        <v>25</v>
      </c>
      <c r="F70">
        <v>1.45018</v>
      </c>
      <c r="G70" t="s">
        <v>26</v>
      </c>
      <c r="H70">
        <v>1450.182</v>
      </c>
      <c r="I70" t="s">
        <v>27</v>
      </c>
      <c r="J70" t="s">
        <v>33</v>
      </c>
      <c r="K70">
        <v>689.56869529999994</v>
      </c>
    </row>
    <row r="72" spans="1:11" x14ac:dyDescent="0.3">
      <c r="A72" t="s">
        <v>1</v>
      </c>
    </row>
    <row r="73" spans="1:11" x14ac:dyDescent="0.3">
      <c r="A73" t="s">
        <v>43</v>
      </c>
    </row>
    <row r="75" spans="1:11" x14ac:dyDescent="0.3">
      <c r="A75" t="s">
        <v>44</v>
      </c>
    </row>
    <row r="77" spans="1:11" x14ac:dyDescent="0.3">
      <c r="A77" t="s">
        <v>5</v>
      </c>
    </row>
    <row r="78" spans="1:11" x14ac:dyDescent="0.3">
      <c r="A78" t="s">
        <v>6</v>
      </c>
    </row>
    <row r="79" spans="1:11" x14ac:dyDescent="0.3">
      <c r="A79" t="s">
        <v>7</v>
      </c>
    </row>
    <row r="80" spans="1:11" x14ac:dyDescent="0.3">
      <c r="A80" t="s">
        <v>8</v>
      </c>
    </row>
    <row r="81" spans="1:9" x14ac:dyDescent="0.3">
      <c r="A81" t="s">
        <v>9</v>
      </c>
    </row>
    <row r="82" spans="1:9" x14ac:dyDescent="0.3">
      <c r="A82" t="s">
        <v>10</v>
      </c>
    </row>
    <row r="83" spans="1:9" x14ac:dyDescent="0.3">
      <c r="A83" t="s">
        <v>11</v>
      </c>
    </row>
    <row r="84" spans="1:9" x14ac:dyDescent="0.3">
      <c r="A84" t="s">
        <v>12</v>
      </c>
    </row>
    <row r="85" spans="1:9" x14ac:dyDescent="0.3">
      <c r="A85" t="s">
        <v>13</v>
      </c>
    </row>
    <row r="86" spans="1:9" x14ac:dyDescent="0.3">
      <c r="A86" t="s">
        <v>14</v>
      </c>
    </row>
    <row r="87" spans="1:9" x14ac:dyDescent="0.3">
      <c r="A87" t="s">
        <v>15</v>
      </c>
    </row>
    <row r="88" spans="1:9" x14ac:dyDescent="0.3">
      <c r="A88" t="s">
        <v>16</v>
      </c>
    </row>
    <row r="89" spans="1:9" x14ac:dyDescent="0.3">
      <c r="A89" t="s">
        <v>17</v>
      </c>
    </row>
    <row r="90" spans="1:9" x14ac:dyDescent="0.3">
      <c r="A90" t="s">
        <v>18</v>
      </c>
    </row>
    <row r="91" spans="1:9" x14ac:dyDescent="0.3">
      <c r="A91" t="s">
        <v>19</v>
      </c>
    </row>
    <row r="92" spans="1:9" x14ac:dyDescent="0.3">
      <c r="A92" t="s">
        <v>20</v>
      </c>
    </row>
    <row r="93" spans="1:9" x14ac:dyDescent="0.3">
      <c r="A93" t="s">
        <v>21</v>
      </c>
    </row>
    <row r="94" spans="1:9" x14ac:dyDescent="0.3">
      <c r="A94" t="s">
        <v>22</v>
      </c>
    </row>
    <row r="95" spans="1:9" x14ac:dyDescent="0.3">
      <c r="A95" t="s">
        <v>23</v>
      </c>
      <c r="B95">
        <v>1</v>
      </c>
      <c r="C95" t="s">
        <v>24</v>
      </c>
      <c r="D95">
        <v>7.0999999999999998E-6</v>
      </c>
      <c r="E95" t="s">
        <v>25</v>
      </c>
      <c r="F95">
        <v>7.1000000000000004E-3</v>
      </c>
      <c r="G95" t="s">
        <v>26</v>
      </c>
      <c r="H95">
        <v>7.1</v>
      </c>
      <c r="I95" t="s">
        <v>27</v>
      </c>
    </row>
    <row r="96" spans="1:9" x14ac:dyDescent="0.3">
      <c r="A96" t="s">
        <v>23</v>
      </c>
      <c r="B96">
        <v>1</v>
      </c>
      <c r="C96" t="s">
        <v>28</v>
      </c>
      <c r="D96">
        <v>0.15444329000000001</v>
      </c>
      <c r="E96" t="s">
        <v>25</v>
      </c>
      <c r="F96">
        <v>154.44328999999999</v>
      </c>
      <c r="G96" t="s">
        <v>26</v>
      </c>
      <c r="H96">
        <v>154443.29399999999</v>
      </c>
      <c r="I96" t="s">
        <v>27</v>
      </c>
    </row>
    <row r="97" spans="1:11" x14ac:dyDescent="0.3">
      <c r="A97" t="s">
        <v>23</v>
      </c>
      <c r="B97">
        <v>1</v>
      </c>
      <c r="C97" t="s">
        <v>29</v>
      </c>
      <c r="D97">
        <v>0.30771409999999999</v>
      </c>
      <c r="E97" t="s">
        <v>25</v>
      </c>
      <c r="F97">
        <v>307.71409999999997</v>
      </c>
      <c r="G97" t="s">
        <v>26</v>
      </c>
      <c r="H97">
        <v>307714.10499999998</v>
      </c>
      <c r="I97" t="s">
        <v>27</v>
      </c>
    </row>
    <row r="98" spans="1:11" x14ac:dyDescent="0.3">
      <c r="A98" t="s">
        <v>23</v>
      </c>
      <c r="B98">
        <v>1</v>
      </c>
      <c r="C98" t="s">
        <v>30</v>
      </c>
      <c r="D98">
        <v>3.5312E-3</v>
      </c>
      <c r="E98" t="s">
        <v>25</v>
      </c>
      <c r="F98">
        <v>3.5312000000000001</v>
      </c>
      <c r="G98" t="s">
        <v>26</v>
      </c>
      <c r="H98">
        <v>3531.2</v>
      </c>
      <c r="I98" t="s">
        <v>27</v>
      </c>
    </row>
    <row r="99" spans="1:11" x14ac:dyDescent="0.3">
      <c r="A99" t="s">
        <v>23</v>
      </c>
      <c r="B99">
        <v>1</v>
      </c>
      <c r="C99" t="s">
        <v>31</v>
      </c>
      <c r="D99">
        <v>3.5336999999999999E-3</v>
      </c>
      <c r="E99" t="s">
        <v>25</v>
      </c>
      <c r="F99">
        <v>3.5337000000000001</v>
      </c>
      <c r="G99" t="s">
        <v>26</v>
      </c>
      <c r="H99">
        <v>3533.7</v>
      </c>
      <c r="I99" t="s">
        <v>27</v>
      </c>
    </row>
    <row r="100" spans="1:11" x14ac:dyDescent="0.3">
      <c r="A100" t="s">
        <v>23</v>
      </c>
      <c r="B100">
        <v>1</v>
      </c>
      <c r="C100" t="s">
        <v>32</v>
      </c>
      <c r="D100">
        <v>0.31125029999999998</v>
      </c>
      <c r="E100" t="s">
        <v>25</v>
      </c>
      <c r="F100">
        <v>311.25029999999998</v>
      </c>
      <c r="G100" t="s">
        <v>26</v>
      </c>
      <c r="H100">
        <v>311250.299</v>
      </c>
      <c r="I100" t="s">
        <v>27</v>
      </c>
      <c r="J100" t="s">
        <v>33</v>
      </c>
      <c r="K100">
        <v>3.2128483000000001</v>
      </c>
    </row>
    <row r="101" spans="1:11" x14ac:dyDescent="0.3">
      <c r="A101" t="s">
        <v>34</v>
      </c>
      <c r="B101">
        <v>1000</v>
      </c>
      <c r="C101" t="s">
        <v>29</v>
      </c>
      <c r="D101">
        <v>1.8E-7</v>
      </c>
      <c r="E101" t="s">
        <v>25</v>
      </c>
      <c r="F101">
        <v>1.8000000000000001E-4</v>
      </c>
      <c r="G101" t="s">
        <v>26</v>
      </c>
      <c r="H101">
        <v>0.184</v>
      </c>
      <c r="I101" t="s">
        <v>27</v>
      </c>
    </row>
    <row r="102" spans="1:11" x14ac:dyDescent="0.3">
      <c r="A102" t="s">
        <v>34</v>
      </c>
      <c r="B102">
        <v>1000</v>
      </c>
      <c r="C102" t="s">
        <v>30</v>
      </c>
      <c r="D102">
        <v>4.5821000000000002E-4</v>
      </c>
      <c r="E102" t="s">
        <v>25</v>
      </c>
      <c r="F102">
        <v>0.45821000000000001</v>
      </c>
      <c r="G102" t="s">
        <v>26</v>
      </c>
      <c r="H102">
        <v>458.21499999999997</v>
      </c>
      <c r="I102" t="s">
        <v>27</v>
      </c>
    </row>
    <row r="103" spans="1:11" x14ac:dyDescent="0.3">
      <c r="A103" t="s">
        <v>34</v>
      </c>
      <c r="B103">
        <v>1000</v>
      </c>
      <c r="C103" t="s">
        <v>31</v>
      </c>
      <c r="D103">
        <v>4.5852000000000002E-4</v>
      </c>
      <c r="E103" t="s">
        <v>25</v>
      </c>
      <c r="F103">
        <v>0.45851999999999998</v>
      </c>
      <c r="G103" t="s">
        <v>26</v>
      </c>
      <c r="H103">
        <v>458.52199999999999</v>
      </c>
      <c r="I103" t="s">
        <v>27</v>
      </c>
    </row>
    <row r="104" spans="1:11" x14ac:dyDescent="0.3">
      <c r="A104" t="s">
        <v>34</v>
      </c>
      <c r="B104">
        <v>1000</v>
      </c>
      <c r="C104" t="s">
        <v>32</v>
      </c>
      <c r="D104">
        <v>4.5949000000000001E-4</v>
      </c>
      <c r="E104" t="s">
        <v>25</v>
      </c>
      <c r="F104">
        <v>0.45949000000000001</v>
      </c>
      <c r="G104" t="s">
        <v>26</v>
      </c>
      <c r="H104">
        <v>459.49099999999999</v>
      </c>
      <c r="I104" t="s">
        <v>27</v>
      </c>
      <c r="J104" t="s">
        <v>33</v>
      </c>
      <c r="K104">
        <v>2176.3201334999999</v>
      </c>
    </row>
    <row r="105" spans="1:11" x14ac:dyDescent="0.3">
      <c r="A105" t="s">
        <v>35</v>
      </c>
      <c r="B105">
        <v>1001</v>
      </c>
      <c r="C105" t="s">
        <v>29</v>
      </c>
      <c r="D105">
        <v>3.0759E-4</v>
      </c>
      <c r="E105" t="s">
        <v>25</v>
      </c>
      <c r="F105">
        <v>0.30758999999999997</v>
      </c>
      <c r="G105" t="s">
        <v>26</v>
      </c>
      <c r="H105">
        <v>307.58800000000002</v>
      </c>
      <c r="I105" t="s">
        <v>27</v>
      </c>
    </row>
    <row r="106" spans="1:11" x14ac:dyDescent="0.3">
      <c r="A106" t="s">
        <v>35</v>
      </c>
      <c r="B106">
        <v>1001</v>
      </c>
      <c r="C106" t="s">
        <v>30</v>
      </c>
      <c r="D106">
        <v>4.6128E-4</v>
      </c>
      <c r="E106" t="s">
        <v>25</v>
      </c>
      <c r="F106">
        <v>0.46128000000000002</v>
      </c>
      <c r="G106" t="s">
        <v>26</v>
      </c>
      <c r="H106">
        <v>461.28399999999999</v>
      </c>
      <c r="I106" t="s">
        <v>27</v>
      </c>
    </row>
    <row r="107" spans="1:11" x14ac:dyDescent="0.3">
      <c r="A107" t="s">
        <v>35</v>
      </c>
      <c r="B107">
        <v>1001</v>
      </c>
      <c r="C107" t="s">
        <v>31</v>
      </c>
      <c r="D107">
        <v>4.6159E-4</v>
      </c>
      <c r="E107" t="s">
        <v>25</v>
      </c>
      <c r="F107">
        <v>0.46159</v>
      </c>
      <c r="G107" t="s">
        <v>26</v>
      </c>
      <c r="H107">
        <v>461.59399999999999</v>
      </c>
      <c r="I107" t="s">
        <v>27</v>
      </c>
    </row>
    <row r="108" spans="1:11" x14ac:dyDescent="0.3">
      <c r="A108" t="s">
        <v>35</v>
      </c>
      <c r="B108">
        <v>1001</v>
      </c>
      <c r="C108" t="s">
        <v>32</v>
      </c>
      <c r="D108">
        <v>7.6997000000000003E-4</v>
      </c>
      <c r="E108" t="s">
        <v>25</v>
      </c>
      <c r="F108">
        <v>0.76997000000000004</v>
      </c>
      <c r="G108" t="s">
        <v>26</v>
      </c>
      <c r="H108">
        <v>769.971</v>
      </c>
      <c r="I108" t="s">
        <v>27</v>
      </c>
      <c r="J108" t="s">
        <v>33</v>
      </c>
      <c r="K108">
        <v>1298.7493841</v>
      </c>
    </row>
    <row r="109" spans="1:11" x14ac:dyDescent="0.3">
      <c r="A109" t="s">
        <v>36</v>
      </c>
      <c r="B109">
        <v>1001</v>
      </c>
      <c r="C109" t="s">
        <v>37</v>
      </c>
      <c r="D109">
        <v>7.7015999999999999E-4</v>
      </c>
      <c r="E109" t="s">
        <v>25</v>
      </c>
      <c r="F109">
        <v>0.77015999999999996</v>
      </c>
      <c r="G109" t="s">
        <v>26</v>
      </c>
      <c r="H109">
        <v>770.16099999999994</v>
      </c>
      <c r="I109" t="s">
        <v>27</v>
      </c>
      <c r="J109" t="s">
        <v>33</v>
      </c>
      <c r="K109">
        <v>1298.4292677000001</v>
      </c>
    </row>
    <row r="110" spans="1:11" x14ac:dyDescent="0.3">
      <c r="A110" t="s">
        <v>38</v>
      </c>
    </row>
    <row r="111" spans="1:11" x14ac:dyDescent="0.3">
      <c r="A111" t="s">
        <v>39</v>
      </c>
    </row>
    <row r="112" spans="1:11" x14ac:dyDescent="0.3">
      <c r="A112" t="s">
        <v>23</v>
      </c>
      <c r="B112">
        <v>1</v>
      </c>
      <c r="C112" t="s">
        <v>24</v>
      </c>
      <c r="D112">
        <v>7.0999999999999998E-6</v>
      </c>
      <c r="E112" t="s">
        <v>25</v>
      </c>
      <c r="F112">
        <v>7.1000000000000004E-3</v>
      </c>
      <c r="G112" t="s">
        <v>26</v>
      </c>
      <c r="H112">
        <v>7.1</v>
      </c>
      <c r="I112" t="s">
        <v>27</v>
      </c>
    </row>
    <row r="113" spans="1:11" x14ac:dyDescent="0.3">
      <c r="A113" t="s">
        <v>23</v>
      </c>
      <c r="B113">
        <v>1</v>
      </c>
      <c r="C113" t="s">
        <v>28</v>
      </c>
      <c r="D113">
        <v>7.4800000000000002E-5</v>
      </c>
      <c r="E113" t="s">
        <v>25</v>
      </c>
      <c r="F113">
        <v>7.4800000000000005E-2</v>
      </c>
      <c r="G113" t="s">
        <v>26</v>
      </c>
      <c r="H113">
        <v>74.8</v>
      </c>
      <c r="I113" t="s">
        <v>27</v>
      </c>
    </row>
    <row r="114" spans="1:11" x14ac:dyDescent="0.3">
      <c r="A114" t="s">
        <v>23</v>
      </c>
      <c r="B114">
        <v>1</v>
      </c>
      <c r="C114" t="s">
        <v>29</v>
      </c>
      <c r="D114">
        <v>3.4624E-3</v>
      </c>
      <c r="E114" t="s">
        <v>25</v>
      </c>
      <c r="F114">
        <v>3.4624000000000001</v>
      </c>
      <c r="G114" t="s">
        <v>26</v>
      </c>
      <c r="H114">
        <v>3462.4</v>
      </c>
      <c r="I114" t="s">
        <v>27</v>
      </c>
    </row>
    <row r="115" spans="1:11" x14ac:dyDescent="0.3">
      <c r="A115" t="s">
        <v>23</v>
      </c>
      <c r="B115">
        <v>1</v>
      </c>
      <c r="C115" t="s">
        <v>30</v>
      </c>
      <c r="D115">
        <v>3.7637E-3</v>
      </c>
      <c r="E115" t="s">
        <v>25</v>
      </c>
      <c r="F115">
        <v>3.7637</v>
      </c>
      <c r="G115" t="s">
        <v>26</v>
      </c>
      <c r="H115">
        <v>3763.7</v>
      </c>
      <c r="I115" t="s">
        <v>27</v>
      </c>
    </row>
    <row r="116" spans="1:11" x14ac:dyDescent="0.3">
      <c r="A116" t="s">
        <v>23</v>
      </c>
      <c r="B116">
        <v>1</v>
      </c>
      <c r="C116" t="s">
        <v>31</v>
      </c>
      <c r="D116">
        <v>3.7653999999999999E-3</v>
      </c>
      <c r="E116" t="s">
        <v>25</v>
      </c>
      <c r="F116">
        <v>3.7654000000000001</v>
      </c>
      <c r="G116" t="s">
        <v>26</v>
      </c>
      <c r="H116">
        <v>3765.4</v>
      </c>
      <c r="I116" t="s">
        <v>27</v>
      </c>
    </row>
    <row r="117" spans="1:11" x14ac:dyDescent="0.3">
      <c r="A117" t="s">
        <v>23</v>
      </c>
      <c r="B117">
        <v>1</v>
      </c>
      <c r="C117" t="s">
        <v>32</v>
      </c>
      <c r="D117">
        <v>7.2297000000000004E-3</v>
      </c>
      <c r="E117" t="s">
        <v>25</v>
      </c>
      <c r="F117">
        <v>7.2297000000000002</v>
      </c>
      <c r="G117" t="s">
        <v>26</v>
      </c>
      <c r="H117">
        <v>7229.7</v>
      </c>
      <c r="I117" t="s">
        <v>27</v>
      </c>
      <c r="J117" t="s">
        <v>33</v>
      </c>
      <c r="K117">
        <v>138.31832159999999</v>
      </c>
    </row>
    <row r="118" spans="1:11" x14ac:dyDescent="0.3">
      <c r="A118" t="s">
        <v>34</v>
      </c>
      <c r="B118">
        <v>1000</v>
      </c>
      <c r="C118" t="s">
        <v>29</v>
      </c>
      <c r="D118">
        <v>3.7E-7</v>
      </c>
      <c r="E118" t="s">
        <v>25</v>
      </c>
      <c r="F118">
        <v>3.6999999999999999E-4</v>
      </c>
      <c r="G118" t="s">
        <v>26</v>
      </c>
      <c r="H118">
        <v>0.36599999999999999</v>
      </c>
      <c r="I118" t="s">
        <v>27</v>
      </c>
    </row>
    <row r="119" spans="1:11" x14ac:dyDescent="0.3">
      <c r="A119" t="s">
        <v>34</v>
      </c>
      <c r="B119">
        <v>1000</v>
      </c>
      <c r="C119" t="s">
        <v>30</v>
      </c>
      <c r="D119">
        <v>9.6584999999999998E-4</v>
      </c>
      <c r="E119" t="s">
        <v>25</v>
      </c>
      <c r="F119">
        <v>0.96584999999999999</v>
      </c>
      <c r="G119" t="s">
        <v>26</v>
      </c>
      <c r="H119">
        <v>965.851</v>
      </c>
      <c r="I119" t="s">
        <v>27</v>
      </c>
    </row>
    <row r="120" spans="1:11" x14ac:dyDescent="0.3">
      <c r="A120" t="s">
        <v>34</v>
      </c>
      <c r="B120">
        <v>1000</v>
      </c>
      <c r="C120" t="s">
        <v>31</v>
      </c>
      <c r="D120">
        <v>1.1312900000000001E-3</v>
      </c>
      <c r="E120" t="s">
        <v>25</v>
      </c>
      <c r="F120">
        <v>1.1312899999999999</v>
      </c>
      <c r="G120" t="s">
        <v>26</v>
      </c>
      <c r="H120">
        <v>1131.2929999999999</v>
      </c>
      <c r="I120" t="s">
        <v>27</v>
      </c>
    </row>
    <row r="121" spans="1:11" x14ac:dyDescent="0.3">
      <c r="A121" t="s">
        <v>34</v>
      </c>
      <c r="B121">
        <v>1000</v>
      </c>
      <c r="C121" t="s">
        <v>32</v>
      </c>
      <c r="D121">
        <v>1.13273E-3</v>
      </c>
      <c r="E121" t="s">
        <v>25</v>
      </c>
      <c r="F121">
        <v>1.13273</v>
      </c>
      <c r="G121" t="s">
        <v>26</v>
      </c>
      <c r="H121">
        <v>1132.729</v>
      </c>
      <c r="I121" t="s">
        <v>27</v>
      </c>
      <c r="J121" t="s">
        <v>33</v>
      </c>
      <c r="K121">
        <v>882.8237451</v>
      </c>
    </row>
    <row r="122" spans="1:11" x14ac:dyDescent="0.3">
      <c r="A122" t="s">
        <v>35</v>
      </c>
      <c r="B122">
        <v>1001</v>
      </c>
      <c r="C122" t="s">
        <v>29</v>
      </c>
      <c r="D122">
        <v>3.8199999999999998E-6</v>
      </c>
      <c r="E122" t="s">
        <v>25</v>
      </c>
      <c r="F122">
        <v>3.82E-3</v>
      </c>
      <c r="G122" t="s">
        <v>26</v>
      </c>
      <c r="H122">
        <v>3.8239999999999998</v>
      </c>
      <c r="I122" t="s">
        <v>27</v>
      </c>
    </row>
    <row r="123" spans="1:11" x14ac:dyDescent="0.3">
      <c r="A123" t="s">
        <v>35</v>
      </c>
      <c r="B123">
        <v>1001</v>
      </c>
      <c r="C123" t="s">
        <v>30</v>
      </c>
      <c r="D123">
        <v>9.6865000000000004E-4</v>
      </c>
      <c r="E123" t="s">
        <v>25</v>
      </c>
      <c r="F123">
        <v>0.96865000000000001</v>
      </c>
      <c r="G123" t="s">
        <v>26</v>
      </c>
      <c r="H123">
        <v>968.64599999999996</v>
      </c>
      <c r="I123" t="s">
        <v>27</v>
      </c>
    </row>
    <row r="124" spans="1:11" x14ac:dyDescent="0.3">
      <c r="A124" t="s">
        <v>35</v>
      </c>
      <c r="B124">
        <v>1001</v>
      </c>
      <c r="C124" t="s">
        <v>31</v>
      </c>
      <c r="D124">
        <v>1.1339200000000001E-3</v>
      </c>
      <c r="E124" t="s">
        <v>25</v>
      </c>
      <c r="F124">
        <v>1.13392</v>
      </c>
      <c r="G124" t="s">
        <v>26</v>
      </c>
      <c r="H124">
        <v>1133.924</v>
      </c>
      <c r="I124" t="s">
        <v>27</v>
      </c>
    </row>
    <row r="125" spans="1:11" x14ac:dyDescent="0.3">
      <c r="A125" t="s">
        <v>35</v>
      </c>
      <c r="B125">
        <v>1001</v>
      </c>
      <c r="C125" t="s">
        <v>32</v>
      </c>
      <c r="D125">
        <v>1.13882E-3</v>
      </c>
      <c r="E125" t="s">
        <v>25</v>
      </c>
      <c r="F125">
        <v>1.1388199999999999</v>
      </c>
      <c r="G125" t="s">
        <v>26</v>
      </c>
      <c r="H125">
        <v>1138.82</v>
      </c>
      <c r="I125" t="s">
        <v>27</v>
      </c>
      <c r="J125" t="s">
        <v>33</v>
      </c>
      <c r="K125">
        <v>878.10195710000005</v>
      </c>
    </row>
    <row r="126" spans="1:11" x14ac:dyDescent="0.3">
      <c r="A126" t="s">
        <v>36</v>
      </c>
      <c r="B126">
        <v>1001</v>
      </c>
      <c r="C126" t="s">
        <v>37</v>
      </c>
      <c r="D126">
        <v>1.1390599999999999E-3</v>
      </c>
      <c r="E126" t="s">
        <v>25</v>
      </c>
      <c r="F126">
        <v>1.13906</v>
      </c>
      <c r="G126" t="s">
        <v>26</v>
      </c>
      <c r="H126">
        <v>1139.0550000000001</v>
      </c>
      <c r="I126" t="s">
        <v>27</v>
      </c>
      <c r="J126" t="s">
        <v>33</v>
      </c>
      <c r="K126">
        <v>877.92072989999997</v>
      </c>
    </row>
    <row r="127" spans="1:11" x14ac:dyDescent="0.3">
      <c r="A127" t="s">
        <v>8</v>
      </c>
    </row>
    <row r="128" spans="1:11" x14ac:dyDescent="0.3">
      <c r="A128" t="s">
        <v>20</v>
      </c>
    </row>
    <row r="129" spans="1:11" x14ac:dyDescent="0.3">
      <c r="A129" t="s">
        <v>40</v>
      </c>
    </row>
    <row r="130" spans="1:11" x14ac:dyDescent="0.3">
      <c r="A130" t="s">
        <v>41</v>
      </c>
    </row>
    <row r="131" spans="1:11" x14ac:dyDescent="0.3">
      <c r="A131" t="s">
        <v>23</v>
      </c>
      <c r="B131">
        <v>1</v>
      </c>
      <c r="C131" t="s">
        <v>32</v>
      </c>
      <c r="D131">
        <v>0.31125029999999998</v>
      </c>
      <c r="E131" t="s">
        <v>25</v>
      </c>
      <c r="F131">
        <v>311.25029999999998</v>
      </c>
      <c r="G131" t="s">
        <v>26</v>
      </c>
      <c r="H131">
        <v>311250.299</v>
      </c>
      <c r="I131" t="s">
        <v>27</v>
      </c>
      <c r="J131" t="s">
        <v>33</v>
      </c>
      <c r="K131">
        <v>3.2128483000000001</v>
      </c>
    </row>
    <row r="132" spans="1:11" x14ac:dyDescent="0.3">
      <c r="A132" t="s">
        <v>34</v>
      </c>
      <c r="B132">
        <v>1000</v>
      </c>
      <c r="C132" t="s">
        <v>32</v>
      </c>
      <c r="D132">
        <v>4.5949000000000001E-4</v>
      </c>
      <c r="E132" t="s">
        <v>25</v>
      </c>
      <c r="F132">
        <v>0.45949000000000001</v>
      </c>
      <c r="G132" t="s">
        <v>26</v>
      </c>
      <c r="H132">
        <v>459.49099999999999</v>
      </c>
      <c r="I132" t="s">
        <v>27</v>
      </c>
      <c r="J132" t="s">
        <v>33</v>
      </c>
      <c r="K132">
        <v>2176.3201334999999</v>
      </c>
    </row>
    <row r="133" spans="1:11" x14ac:dyDescent="0.3">
      <c r="A133" t="s">
        <v>36</v>
      </c>
      <c r="B133">
        <v>1001</v>
      </c>
      <c r="C133" t="s">
        <v>37</v>
      </c>
      <c r="D133">
        <v>7.7015999999999999E-4</v>
      </c>
      <c r="E133" t="s">
        <v>25</v>
      </c>
      <c r="F133">
        <v>0.77015999999999996</v>
      </c>
      <c r="G133" t="s">
        <v>26</v>
      </c>
      <c r="H133">
        <v>770.16099999999994</v>
      </c>
      <c r="I133" t="s">
        <v>27</v>
      </c>
      <c r="J133" t="s">
        <v>33</v>
      </c>
      <c r="K133">
        <v>1298.4292677000001</v>
      </c>
    </row>
    <row r="135" spans="1:11" x14ac:dyDescent="0.3">
      <c r="A135" t="s">
        <v>42</v>
      </c>
    </row>
    <row r="136" spans="1:11" x14ac:dyDescent="0.3">
      <c r="A136" t="s">
        <v>23</v>
      </c>
      <c r="B136">
        <v>1</v>
      </c>
      <c r="C136" t="s">
        <v>32</v>
      </c>
      <c r="D136">
        <v>7.2297000000000004E-3</v>
      </c>
      <c r="E136" t="s">
        <v>25</v>
      </c>
      <c r="F136">
        <v>7.2297000000000002</v>
      </c>
      <c r="G136" t="s">
        <v>26</v>
      </c>
      <c r="H136">
        <v>7229.7</v>
      </c>
      <c r="I136" t="s">
        <v>27</v>
      </c>
      <c r="J136" t="s">
        <v>33</v>
      </c>
      <c r="K136">
        <v>138.31832159999999</v>
      </c>
    </row>
    <row r="137" spans="1:11" x14ac:dyDescent="0.3">
      <c r="A137" t="s">
        <v>34</v>
      </c>
      <c r="B137">
        <v>1000</v>
      </c>
      <c r="C137" t="s">
        <v>32</v>
      </c>
      <c r="D137">
        <v>1.13273E-3</v>
      </c>
      <c r="E137" t="s">
        <v>25</v>
      </c>
      <c r="F137">
        <v>1.13273</v>
      </c>
      <c r="G137" t="s">
        <v>26</v>
      </c>
      <c r="H137">
        <v>1132.729</v>
      </c>
      <c r="I137" t="s">
        <v>27</v>
      </c>
      <c r="J137" t="s">
        <v>33</v>
      </c>
      <c r="K137">
        <v>882.8237451</v>
      </c>
    </row>
    <row r="138" spans="1:11" x14ac:dyDescent="0.3">
      <c r="A138" t="s">
        <v>36</v>
      </c>
      <c r="B138">
        <v>1001</v>
      </c>
      <c r="C138" t="s">
        <v>37</v>
      </c>
      <c r="D138">
        <v>1.1390599999999999E-3</v>
      </c>
      <c r="E138" t="s">
        <v>25</v>
      </c>
      <c r="F138">
        <v>1.13906</v>
      </c>
      <c r="G138" t="s">
        <v>26</v>
      </c>
      <c r="H138">
        <v>1139.0550000000001</v>
      </c>
      <c r="I138" t="s">
        <v>27</v>
      </c>
      <c r="J138" t="s">
        <v>33</v>
      </c>
      <c r="K138">
        <v>877.92072989999997</v>
      </c>
    </row>
    <row r="140" spans="1:11" x14ac:dyDescent="0.3">
      <c r="A140" t="s">
        <v>1</v>
      </c>
    </row>
    <row r="141" spans="1:11" x14ac:dyDescent="0.3">
      <c r="A141" t="s">
        <v>45</v>
      </c>
    </row>
    <row r="143" spans="1:11" x14ac:dyDescent="0.3">
      <c r="A143" t="s">
        <v>46</v>
      </c>
    </row>
    <row r="145" spans="1:1" x14ac:dyDescent="0.3">
      <c r="A145" t="s">
        <v>5</v>
      </c>
    </row>
    <row r="146" spans="1:1" x14ac:dyDescent="0.3">
      <c r="A146" t="s">
        <v>6</v>
      </c>
    </row>
    <row r="147" spans="1:1" x14ac:dyDescent="0.3">
      <c r="A147" t="s">
        <v>7</v>
      </c>
    </row>
    <row r="148" spans="1:1" x14ac:dyDescent="0.3">
      <c r="A148" t="s">
        <v>8</v>
      </c>
    </row>
    <row r="149" spans="1:1" x14ac:dyDescent="0.3">
      <c r="A149" t="s">
        <v>9</v>
      </c>
    </row>
    <row r="150" spans="1:1" x14ac:dyDescent="0.3">
      <c r="A150" t="s">
        <v>10</v>
      </c>
    </row>
    <row r="151" spans="1:1" x14ac:dyDescent="0.3">
      <c r="A151" t="s">
        <v>11</v>
      </c>
    </row>
    <row r="152" spans="1:1" x14ac:dyDescent="0.3">
      <c r="A152" t="s">
        <v>12</v>
      </c>
    </row>
    <row r="153" spans="1:1" x14ac:dyDescent="0.3">
      <c r="A153" t="s">
        <v>13</v>
      </c>
    </row>
    <row r="154" spans="1:1" x14ac:dyDescent="0.3">
      <c r="A154" t="s">
        <v>14</v>
      </c>
    </row>
    <row r="155" spans="1:1" x14ac:dyDescent="0.3">
      <c r="A155" t="s">
        <v>15</v>
      </c>
    </row>
    <row r="156" spans="1:1" x14ac:dyDescent="0.3">
      <c r="A156" t="s">
        <v>16</v>
      </c>
    </row>
    <row r="157" spans="1:1" x14ac:dyDescent="0.3">
      <c r="A157" t="s">
        <v>17</v>
      </c>
    </row>
    <row r="158" spans="1:1" x14ac:dyDescent="0.3">
      <c r="A158" t="s">
        <v>18</v>
      </c>
    </row>
    <row r="159" spans="1:1" x14ac:dyDescent="0.3">
      <c r="A159" t="s">
        <v>19</v>
      </c>
    </row>
    <row r="160" spans="1:1" x14ac:dyDescent="0.3">
      <c r="A160" t="s">
        <v>20</v>
      </c>
    </row>
    <row r="161" spans="1:11" x14ac:dyDescent="0.3">
      <c r="A161" t="s">
        <v>21</v>
      </c>
    </row>
    <row r="162" spans="1:11" x14ac:dyDescent="0.3">
      <c r="A162" t="s">
        <v>22</v>
      </c>
    </row>
    <row r="163" spans="1:11" x14ac:dyDescent="0.3">
      <c r="A163" t="s">
        <v>23</v>
      </c>
      <c r="B163">
        <v>1</v>
      </c>
      <c r="C163" t="s">
        <v>24</v>
      </c>
      <c r="D163">
        <v>5.4E-6</v>
      </c>
      <c r="E163" t="s">
        <v>25</v>
      </c>
      <c r="F163">
        <v>5.4000000000000003E-3</v>
      </c>
      <c r="G163" t="s">
        <v>26</v>
      </c>
      <c r="H163">
        <v>5.4</v>
      </c>
      <c r="I163" t="s">
        <v>27</v>
      </c>
    </row>
    <row r="164" spans="1:11" x14ac:dyDescent="0.3">
      <c r="A164" t="s">
        <v>23</v>
      </c>
      <c r="B164">
        <v>1</v>
      </c>
      <c r="C164" t="s">
        <v>28</v>
      </c>
      <c r="D164">
        <v>0.16233189000000001</v>
      </c>
      <c r="E164" t="s">
        <v>25</v>
      </c>
      <c r="F164">
        <v>162.33188999999999</v>
      </c>
      <c r="G164" t="s">
        <v>26</v>
      </c>
      <c r="H164">
        <v>162331.894</v>
      </c>
      <c r="I164" t="s">
        <v>27</v>
      </c>
    </row>
    <row r="165" spans="1:11" x14ac:dyDescent="0.3">
      <c r="A165" t="s">
        <v>23</v>
      </c>
      <c r="B165">
        <v>1</v>
      </c>
      <c r="C165" t="s">
        <v>29</v>
      </c>
      <c r="D165">
        <v>0.311726</v>
      </c>
      <c r="E165" t="s">
        <v>25</v>
      </c>
      <c r="F165">
        <v>311.726</v>
      </c>
      <c r="G165" t="s">
        <v>26</v>
      </c>
      <c r="H165">
        <v>311726.00400000002</v>
      </c>
      <c r="I165" t="s">
        <v>27</v>
      </c>
    </row>
    <row r="166" spans="1:11" x14ac:dyDescent="0.3">
      <c r="A166" t="s">
        <v>23</v>
      </c>
      <c r="B166">
        <v>1</v>
      </c>
      <c r="C166" t="s">
        <v>30</v>
      </c>
      <c r="D166">
        <v>5.2689E-3</v>
      </c>
      <c r="E166" t="s">
        <v>25</v>
      </c>
      <c r="F166">
        <v>5.2689000000000004</v>
      </c>
      <c r="G166" t="s">
        <v>26</v>
      </c>
      <c r="H166">
        <v>5268.9</v>
      </c>
      <c r="I166" t="s">
        <v>27</v>
      </c>
    </row>
    <row r="167" spans="1:11" x14ac:dyDescent="0.3">
      <c r="A167" t="s">
        <v>23</v>
      </c>
      <c r="B167">
        <v>1</v>
      </c>
      <c r="C167" t="s">
        <v>31</v>
      </c>
      <c r="D167">
        <v>5.2721000000000001E-3</v>
      </c>
      <c r="E167" t="s">
        <v>25</v>
      </c>
      <c r="F167">
        <v>5.2721</v>
      </c>
      <c r="G167" t="s">
        <v>26</v>
      </c>
      <c r="H167">
        <v>5272.1</v>
      </c>
      <c r="I167" t="s">
        <v>27</v>
      </c>
    </row>
    <row r="168" spans="1:11" x14ac:dyDescent="0.3">
      <c r="A168" t="s">
        <v>23</v>
      </c>
      <c r="B168">
        <v>1</v>
      </c>
      <c r="C168" t="s">
        <v>32</v>
      </c>
      <c r="D168">
        <v>0.31700098999999998</v>
      </c>
      <c r="E168" t="s">
        <v>25</v>
      </c>
      <c r="F168">
        <v>317.00099</v>
      </c>
      <c r="G168" t="s">
        <v>26</v>
      </c>
      <c r="H168">
        <v>317000.98499999999</v>
      </c>
      <c r="I168" t="s">
        <v>27</v>
      </c>
      <c r="J168" t="s">
        <v>33</v>
      </c>
      <c r="K168">
        <v>3.1545643000000001</v>
      </c>
    </row>
    <row r="169" spans="1:11" x14ac:dyDescent="0.3">
      <c r="A169" t="s">
        <v>34</v>
      </c>
      <c r="B169">
        <v>1000</v>
      </c>
      <c r="C169" t="s">
        <v>29</v>
      </c>
      <c r="D169">
        <v>4.4739999999999998E-4</v>
      </c>
      <c r="E169" t="s">
        <v>25</v>
      </c>
      <c r="F169">
        <v>0.44740000000000002</v>
      </c>
      <c r="G169" t="s">
        <v>26</v>
      </c>
      <c r="H169">
        <v>447.39600000000002</v>
      </c>
      <c r="I169" t="s">
        <v>27</v>
      </c>
    </row>
    <row r="170" spans="1:11" x14ac:dyDescent="0.3">
      <c r="A170" t="s">
        <v>34</v>
      </c>
      <c r="B170">
        <v>1000</v>
      </c>
      <c r="C170" t="s">
        <v>30</v>
      </c>
      <c r="D170">
        <v>4.6346000000000001E-4</v>
      </c>
      <c r="E170" t="s">
        <v>25</v>
      </c>
      <c r="F170">
        <v>0.46345999999999998</v>
      </c>
      <c r="G170" t="s">
        <v>26</v>
      </c>
      <c r="H170">
        <v>463.45600000000002</v>
      </c>
      <c r="I170" t="s">
        <v>27</v>
      </c>
    </row>
    <row r="171" spans="1:11" x14ac:dyDescent="0.3">
      <c r="A171" t="s">
        <v>34</v>
      </c>
      <c r="B171">
        <v>1000</v>
      </c>
      <c r="C171" t="s">
        <v>31</v>
      </c>
      <c r="D171">
        <v>4.6373999999999997E-4</v>
      </c>
      <c r="E171" t="s">
        <v>25</v>
      </c>
      <c r="F171">
        <v>0.46373999999999999</v>
      </c>
      <c r="G171" t="s">
        <v>26</v>
      </c>
      <c r="H171">
        <v>463.74400000000003</v>
      </c>
      <c r="I171" t="s">
        <v>27</v>
      </c>
    </row>
    <row r="172" spans="1:11" x14ac:dyDescent="0.3">
      <c r="A172" t="s">
        <v>34</v>
      </c>
      <c r="B172">
        <v>1000</v>
      </c>
      <c r="C172" t="s">
        <v>32</v>
      </c>
      <c r="D172">
        <v>9.1179E-4</v>
      </c>
      <c r="E172" t="s">
        <v>25</v>
      </c>
      <c r="F172">
        <v>0.91178999999999999</v>
      </c>
      <c r="G172" t="s">
        <v>26</v>
      </c>
      <c r="H172">
        <v>911.79100000000005</v>
      </c>
      <c r="I172" t="s">
        <v>27</v>
      </c>
      <c r="J172" t="s">
        <v>33</v>
      </c>
      <c r="K172">
        <v>1096.7423894999999</v>
      </c>
    </row>
    <row r="173" spans="1:11" x14ac:dyDescent="0.3">
      <c r="A173" t="s">
        <v>35</v>
      </c>
      <c r="B173">
        <v>1001</v>
      </c>
      <c r="C173" t="s">
        <v>29</v>
      </c>
      <c r="D173">
        <v>7.5836000000000002E-4</v>
      </c>
      <c r="E173" t="s">
        <v>25</v>
      </c>
      <c r="F173">
        <v>0.75836000000000003</v>
      </c>
      <c r="G173" t="s">
        <v>26</v>
      </c>
      <c r="H173">
        <v>758.36400000000003</v>
      </c>
      <c r="I173" t="s">
        <v>27</v>
      </c>
    </row>
    <row r="174" spans="1:11" x14ac:dyDescent="0.3">
      <c r="A174" t="s">
        <v>35</v>
      </c>
      <c r="B174">
        <v>1001</v>
      </c>
      <c r="C174" t="s">
        <v>30</v>
      </c>
      <c r="D174">
        <v>4.6826000000000002E-4</v>
      </c>
      <c r="E174" t="s">
        <v>25</v>
      </c>
      <c r="F174">
        <v>0.46826000000000001</v>
      </c>
      <c r="G174" t="s">
        <v>26</v>
      </c>
      <c r="H174">
        <v>468.25700000000001</v>
      </c>
      <c r="I174" t="s">
        <v>27</v>
      </c>
    </row>
    <row r="175" spans="1:11" x14ac:dyDescent="0.3">
      <c r="A175" t="s">
        <v>35</v>
      </c>
      <c r="B175">
        <v>1001</v>
      </c>
      <c r="C175" t="s">
        <v>31</v>
      </c>
      <c r="D175">
        <v>4.6854999999999998E-4</v>
      </c>
      <c r="E175" t="s">
        <v>25</v>
      </c>
      <c r="F175">
        <v>0.46855000000000002</v>
      </c>
      <c r="G175" t="s">
        <v>26</v>
      </c>
      <c r="H175">
        <v>468.54700000000003</v>
      </c>
      <c r="I175" t="s">
        <v>27</v>
      </c>
    </row>
    <row r="176" spans="1:11" x14ac:dyDescent="0.3">
      <c r="A176" t="s">
        <v>35</v>
      </c>
      <c r="B176">
        <v>1001</v>
      </c>
      <c r="C176" t="s">
        <v>32</v>
      </c>
      <c r="D176">
        <v>1.2275599999999999E-3</v>
      </c>
      <c r="E176" t="s">
        <v>25</v>
      </c>
      <c r="F176">
        <v>1.22756</v>
      </c>
      <c r="G176" t="s">
        <v>26</v>
      </c>
      <c r="H176">
        <v>1227.5650000000001</v>
      </c>
      <c r="I176" t="s">
        <v>27</v>
      </c>
      <c r="J176" t="s">
        <v>33</v>
      </c>
      <c r="K176">
        <v>814.62090460000002</v>
      </c>
    </row>
    <row r="177" spans="1:11" x14ac:dyDescent="0.3">
      <c r="A177" t="s">
        <v>36</v>
      </c>
      <c r="B177">
        <v>1001</v>
      </c>
      <c r="C177" t="s">
        <v>37</v>
      </c>
      <c r="D177">
        <v>1.22776E-3</v>
      </c>
      <c r="E177" t="s">
        <v>25</v>
      </c>
      <c r="F177">
        <v>1.22776</v>
      </c>
      <c r="G177" t="s">
        <v>26</v>
      </c>
      <c r="H177">
        <v>1227.7639999999999</v>
      </c>
      <c r="I177" t="s">
        <v>27</v>
      </c>
      <c r="J177" t="s">
        <v>33</v>
      </c>
      <c r="K177">
        <v>814.48871029999998</v>
      </c>
    </row>
    <row r="178" spans="1:11" x14ac:dyDescent="0.3">
      <c r="A178" t="s">
        <v>38</v>
      </c>
    </row>
    <row r="179" spans="1:11" x14ac:dyDescent="0.3">
      <c r="A179" t="s">
        <v>39</v>
      </c>
    </row>
    <row r="180" spans="1:11" x14ac:dyDescent="0.3">
      <c r="A180" t="s">
        <v>23</v>
      </c>
      <c r="B180">
        <v>1</v>
      </c>
      <c r="C180" t="s">
        <v>24</v>
      </c>
      <c r="D180">
        <v>5.4E-6</v>
      </c>
      <c r="E180" t="s">
        <v>25</v>
      </c>
      <c r="F180">
        <v>5.4000000000000003E-3</v>
      </c>
      <c r="G180" t="s">
        <v>26</v>
      </c>
      <c r="H180">
        <v>5.4</v>
      </c>
      <c r="I180" t="s">
        <v>27</v>
      </c>
    </row>
    <row r="181" spans="1:11" x14ac:dyDescent="0.3">
      <c r="A181" t="s">
        <v>23</v>
      </c>
      <c r="B181">
        <v>1</v>
      </c>
      <c r="C181" t="s">
        <v>28</v>
      </c>
      <c r="D181">
        <v>6.6199999999999996E-5</v>
      </c>
      <c r="E181" t="s">
        <v>25</v>
      </c>
      <c r="F181">
        <v>6.6199999999999995E-2</v>
      </c>
      <c r="G181" t="s">
        <v>26</v>
      </c>
      <c r="H181">
        <v>66.2</v>
      </c>
      <c r="I181" t="s">
        <v>27</v>
      </c>
    </row>
    <row r="182" spans="1:11" x14ac:dyDescent="0.3">
      <c r="A182" t="s">
        <v>23</v>
      </c>
      <c r="B182">
        <v>1</v>
      </c>
      <c r="C182" t="s">
        <v>29</v>
      </c>
      <c r="D182">
        <v>3.3888999999999998E-3</v>
      </c>
      <c r="E182" t="s">
        <v>25</v>
      </c>
      <c r="F182">
        <v>3.3889</v>
      </c>
      <c r="G182" t="s">
        <v>26</v>
      </c>
      <c r="H182">
        <v>3388.9</v>
      </c>
      <c r="I182" t="s">
        <v>27</v>
      </c>
    </row>
    <row r="183" spans="1:11" x14ac:dyDescent="0.3">
      <c r="A183" t="s">
        <v>23</v>
      </c>
      <c r="B183">
        <v>1</v>
      </c>
      <c r="C183" t="s">
        <v>30</v>
      </c>
      <c r="D183">
        <v>3.7177E-3</v>
      </c>
      <c r="E183" t="s">
        <v>25</v>
      </c>
      <c r="F183">
        <v>3.7176999999999998</v>
      </c>
      <c r="G183" t="s">
        <v>26</v>
      </c>
      <c r="H183">
        <v>3717.7</v>
      </c>
      <c r="I183" t="s">
        <v>27</v>
      </c>
    </row>
    <row r="184" spans="1:11" x14ac:dyDescent="0.3">
      <c r="A184" t="s">
        <v>23</v>
      </c>
      <c r="B184">
        <v>1</v>
      </c>
      <c r="C184" t="s">
        <v>31</v>
      </c>
      <c r="D184">
        <v>3.7188E-3</v>
      </c>
      <c r="E184" t="s">
        <v>25</v>
      </c>
      <c r="F184">
        <v>3.7187999999999999</v>
      </c>
      <c r="G184" t="s">
        <v>26</v>
      </c>
      <c r="H184">
        <v>3718.8</v>
      </c>
      <c r="I184" t="s">
        <v>27</v>
      </c>
    </row>
    <row r="185" spans="1:11" x14ac:dyDescent="0.3">
      <c r="A185" t="s">
        <v>23</v>
      </c>
      <c r="B185">
        <v>1</v>
      </c>
      <c r="C185" t="s">
        <v>32</v>
      </c>
      <c r="D185">
        <v>7.1092000000000004E-3</v>
      </c>
      <c r="E185" t="s">
        <v>25</v>
      </c>
      <c r="F185">
        <v>7.1092000000000004</v>
      </c>
      <c r="G185" t="s">
        <v>26</v>
      </c>
      <c r="H185">
        <v>7109.2</v>
      </c>
      <c r="I185" t="s">
        <v>27</v>
      </c>
      <c r="J185" t="s">
        <v>33</v>
      </c>
      <c r="K185">
        <v>140.66280080000001</v>
      </c>
    </row>
    <row r="186" spans="1:11" x14ac:dyDescent="0.3">
      <c r="A186" t="s">
        <v>34</v>
      </c>
      <c r="B186">
        <v>1000</v>
      </c>
      <c r="C186" t="s">
        <v>29</v>
      </c>
      <c r="D186">
        <v>4.2579E-4</v>
      </c>
      <c r="E186" t="s">
        <v>25</v>
      </c>
      <c r="F186">
        <v>0.42579</v>
      </c>
      <c r="G186" t="s">
        <v>26</v>
      </c>
      <c r="H186">
        <v>425.78800000000001</v>
      </c>
      <c r="I186" t="s">
        <v>27</v>
      </c>
    </row>
    <row r="187" spans="1:11" x14ac:dyDescent="0.3">
      <c r="A187" t="s">
        <v>34</v>
      </c>
      <c r="B187">
        <v>1000</v>
      </c>
      <c r="C187" t="s">
        <v>30</v>
      </c>
      <c r="D187">
        <v>8.2596999999999998E-4</v>
      </c>
      <c r="E187" t="s">
        <v>25</v>
      </c>
      <c r="F187">
        <v>0.82596999999999998</v>
      </c>
      <c r="G187" t="s">
        <v>26</v>
      </c>
      <c r="H187">
        <v>825.96699999999998</v>
      </c>
      <c r="I187" t="s">
        <v>27</v>
      </c>
    </row>
    <row r="188" spans="1:11" x14ac:dyDescent="0.3">
      <c r="A188" t="s">
        <v>34</v>
      </c>
      <c r="B188">
        <v>1000</v>
      </c>
      <c r="C188" t="s">
        <v>31</v>
      </c>
      <c r="D188">
        <v>9.817300000000001E-4</v>
      </c>
      <c r="E188" t="s">
        <v>25</v>
      </c>
      <c r="F188">
        <v>0.98172999999999999</v>
      </c>
      <c r="G188" t="s">
        <v>26</v>
      </c>
      <c r="H188">
        <v>981.73099999999999</v>
      </c>
      <c r="I188" t="s">
        <v>27</v>
      </c>
    </row>
    <row r="189" spans="1:11" x14ac:dyDescent="0.3">
      <c r="A189" t="s">
        <v>34</v>
      </c>
      <c r="B189">
        <v>1000</v>
      </c>
      <c r="C189" t="s">
        <v>32</v>
      </c>
      <c r="D189">
        <v>1.40832E-3</v>
      </c>
      <c r="E189" t="s">
        <v>25</v>
      </c>
      <c r="F189">
        <v>1.40832</v>
      </c>
      <c r="G189" t="s">
        <v>26</v>
      </c>
      <c r="H189">
        <v>1408.3150000000001</v>
      </c>
      <c r="I189" t="s">
        <v>27</v>
      </c>
      <c r="J189" t="s">
        <v>33</v>
      </c>
      <c r="K189">
        <v>710.06826339999998</v>
      </c>
    </row>
    <row r="190" spans="1:11" x14ac:dyDescent="0.3">
      <c r="A190" t="s">
        <v>35</v>
      </c>
      <c r="B190">
        <v>1001</v>
      </c>
      <c r="C190" t="s">
        <v>29</v>
      </c>
      <c r="D190">
        <v>4.2874999999999999E-4</v>
      </c>
      <c r="E190" t="s">
        <v>25</v>
      </c>
      <c r="F190">
        <v>0.42875000000000002</v>
      </c>
      <c r="G190" t="s">
        <v>26</v>
      </c>
      <c r="H190">
        <v>428.74799999999999</v>
      </c>
      <c r="I190" t="s">
        <v>27</v>
      </c>
    </row>
    <row r="191" spans="1:11" x14ac:dyDescent="0.3">
      <c r="A191" t="s">
        <v>35</v>
      </c>
      <c r="B191">
        <v>1001</v>
      </c>
      <c r="C191" t="s">
        <v>30</v>
      </c>
      <c r="D191">
        <v>8.2885999999999995E-4</v>
      </c>
      <c r="E191" t="s">
        <v>25</v>
      </c>
      <c r="F191">
        <v>0.82886000000000004</v>
      </c>
      <c r="G191" t="s">
        <v>26</v>
      </c>
      <c r="H191">
        <v>828.85599999999999</v>
      </c>
      <c r="I191" t="s">
        <v>27</v>
      </c>
    </row>
    <row r="192" spans="1:11" x14ac:dyDescent="0.3">
      <c r="A192" t="s">
        <v>35</v>
      </c>
      <c r="B192">
        <v>1001</v>
      </c>
      <c r="C192" t="s">
        <v>31</v>
      </c>
      <c r="D192">
        <v>9.8447000000000009E-4</v>
      </c>
      <c r="E192" t="s">
        <v>25</v>
      </c>
      <c r="F192">
        <v>0.98446999999999996</v>
      </c>
      <c r="G192" t="s">
        <v>26</v>
      </c>
      <c r="H192">
        <v>984.46500000000003</v>
      </c>
      <c r="I192" t="s">
        <v>27</v>
      </c>
    </row>
    <row r="193" spans="1:11" x14ac:dyDescent="0.3">
      <c r="A193" t="s">
        <v>35</v>
      </c>
      <c r="B193">
        <v>1001</v>
      </c>
      <c r="C193" t="s">
        <v>32</v>
      </c>
      <c r="D193">
        <v>1.41401E-3</v>
      </c>
      <c r="E193" t="s">
        <v>25</v>
      </c>
      <c r="F193">
        <v>1.41401</v>
      </c>
      <c r="G193" t="s">
        <v>26</v>
      </c>
      <c r="H193">
        <v>1414.011</v>
      </c>
      <c r="I193" t="s">
        <v>27</v>
      </c>
      <c r="J193" t="s">
        <v>33</v>
      </c>
      <c r="K193">
        <v>707.20828959999994</v>
      </c>
    </row>
    <row r="194" spans="1:11" x14ac:dyDescent="0.3">
      <c r="A194" t="s">
        <v>36</v>
      </c>
      <c r="B194">
        <v>1001</v>
      </c>
      <c r="C194" t="s">
        <v>37</v>
      </c>
      <c r="D194">
        <v>1.41417E-3</v>
      </c>
      <c r="E194" t="s">
        <v>25</v>
      </c>
      <c r="F194">
        <v>1.4141699999999999</v>
      </c>
      <c r="G194" t="s">
        <v>26</v>
      </c>
      <c r="H194">
        <v>1414.174</v>
      </c>
      <c r="I194" t="s">
        <v>27</v>
      </c>
      <c r="J194" t="s">
        <v>33</v>
      </c>
      <c r="K194">
        <v>707.1266392</v>
      </c>
    </row>
    <row r="195" spans="1:11" x14ac:dyDescent="0.3">
      <c r="A195" t="s">
        <v>8</v>
      </c>
    </row>
    <row r="196" spans="1:11" x14ac:dyDescent="0.3">
      <c r="A196" t="s">
        <v>20</v>
      </c>
    </row>
    <row r="197" spans="1:11" x14ac:dyDescent="0.3">
      <c r="A197" t="s">
        <v>40</v>
      </c>
    </row>
    <row r="198" spans="1:11" x14ac:dyDescent="0.3">
      <c r="A198" t="s">
        <v>41</v>
      </c>
    </row>
    <row r="199" spans="1:11" x14ac:dyDescent="0.3">
      <c r="A199" t="s">
        <v>23</v>
      </c>
      <c r="B199">
        <v>1</v>
      </c>
      <c r="C199" t="s">
        <v>32</v>
      </c>
      <c r="D199">
        <v>0.31700098999999998</v>
      </c>
      <c r="E199" t="s">
        <v>25</v>
      </c>
      <c r="F199">
        <v>317.00099</v>
      </c>
      <c r="G199" t="s">
        <v>26</v>
      </c>
      <c r="H199">
        <v>317000.98499999999</v>
      </c>
      <c r="I199" t="s">
        <v>27</v>
      </c>
      <c r="J199" t="s">
        <v>33</v>
      </c>
      <c r="K199">
        <v>3.1545643000000001</v>
      </c>
    </row>
    <row r="200" spans="1:11" x14ac:dyDescent="0.3">
      <c r="A200" t="s">
        <v>34</v>
      </c>
      <c r="B200">
        <v>1000</v>
      </c>
      <c r="C200" t="s">
        <v>32</v>
      </c>
      <c r="D200">
        <v>9.1179E-4</v>
      </c>
      <c r="E200" t="s">
        <v>25</v>
      </c>
      <c r="F200">
        <v>0.91178999999999999</v>
      </c>
      <c r="G200" t="s">
        <v>26</v>
      </c>
      <c r="H200">
        <v>911.79100000000005</v>
      </c>
      <c r="I200" t="s">
        <v>27</v>
      </c>
      <c r="J200" t="s">
        <v>33</v>
      </c>
      <c r="K200">
        <v>1096.7423894999999</v>
      </c>
    </row>
    <row r="201" spans="1:11" x14ac:dyDescent="0.3">
      <c r="A201" t="s">
        <v>36</v>
      </c>
      <c r="B201">
        <v>1001</v>
      </c>
      <c r="C201" t="s">
        <v>37</v>
      </c>
      <c r="D201">
        <v>1.22776E-3</v>
      </c>
      <c r="E201" t="s">
        <v>25</v>
      </c>
      <c r="F201">
        <v>1.22776</v>
      </c>
      <c r="G201" t="s">
        <v>26</v>
      </c>
      <c r="H201">
        <v>1227.7639999999999</v>
      </c>
      <c r="I201" t="s">
        <v>27</v>
      </c>
      <c r="J201" t="s">
        <v>33</v>
      </c>
      <c r="K201">
        <v>814.48871029999998</v>
      </c>
    </row>
    <row r="203" spans="1:11" x14ac:dyDescent="0.3">
      <c r="A203" t="s">
        <v>42</v>
      </c>
    </row>
    <row r="204" spans="1:11" x14ac:dyDescent="0.3">
      <c r="A204" t="s">
        <v>23</v>
      </c>
      <c r="B204">
        <v>1</v>
      </c>
      <c r="C204" t="s">
        <v>32</v>
      </c>
      <c r="D204">
        <v>7.1092000000000004E-3</v>
      </c>
      <c r="E204" t="s">
        <v>25</v>
      </c>
      <c r="F204">
        <v>7.1092000000000004</v>
      </c>
      <c r="G204" t="s">
        <v>26</v>
      </c>
      <c r="H204">
        <v>7109.2</v>
      </c>
      <c r="I204" t="s">
        <v>27</v>
      </c>
      <c r="J204" t="s">
        <v>33</v>
      </c>
      <c r="K204">
        <v>140.66280080000001</v>
      </c>
    </row>
    <row r="205" spans="1:11" x14ac:dyDescent="0.3">
      <c r="A205" t="s">
        <v>34</v>
      </c>
      <c r="B205">
        <v>1000</v>
      </c>
      <c r="C205" t="s">
        <v>32</v>
      </c>
      <c r="D205">
        <v>1.40832E-3</v>
      </c>
      <c r="E205" t="s">
        <v>25</v>
      </c>
      <c r="F205">
        <v>1.40832</v>
      </c>
      <c r="G205" t="s">
        <v>26</v>
      </c>
      <c r="H205">
        <v>1408.3150000000001</v>
      </c>
      <c r="I205" t="s">
        <v>27</v>
      </c>
      <c r="J205" t="s">
        <v>33</v>
      </c>
      <c r="K205">
        <v>710.06826339999998</v>
      </c>
    </row>
    <row r="206" spans="1:11" x14ac:dyDescent="0.3">
      <c r="A206" t="s">
        <v>36</v>
      </c>
      <c r="B206">
        <v>1001</v>
      </c>
      <c r="C206" t="s">
        <v>37</v>
      </c>
      <c r="D206">
        <v>1.41417E-3</v>
      </c>
      <c r="E206" t="s">
        <v>25</v>
      </c>
      <c r="F206">
        <v>1.4141699999999999</v>
      </c>
      <c r="G206" t="s">
        <v>26</v>
      </c>
      <c r="H206">
        <v>1414.174</v>
      </c>
      <c r="I206" t="s">
        <v>27</v>
      </c>
      <c r="J206" t="s">
        <v>33</v>
      </c>
      <c r="K206">
        <v>707.1266392</v>
      </c>
    </row>
    <row r="208" spans="1:11" x14ac:dyDescent="0.3">
      <c r="A208" t="s">
        <v>1</v>
      </c>
    </row>
    <row r="209" spans="1:1" x14ac:dyDescent="0.3">
      <c r="A209" t="s">
        <v>47</v>
      </c>
    </row>
    <row r="210" spans="1:1" x14ac:dyDescent="0.3">
      <c r="A210" t="s">
        <v>3</v>
      </c>
    </row>
    <row r="212" spans="1:1" x14ac:dyDescent="0.3">
      <c r="A212" t="s">
        <v>48</v>
      </c>
    </row>
    <row r="214" spans="1:1" x14ac:dyDescent="0.3">
      <c r="A214" t="s">
        <v>5</v>
      </c>
    </row>
    <row r="215" spans="1:1" x14ac:dyDescent="0.3">
      <c r="A215" t="s">
        <v>6</v>
      </c>
    </row>
    <row r="216" spans="1:1" x14ac:dyDescent="0.3">
      <c r="A216" t="s">
        <v>7</v>
      </c>
    </row>
    <row r="217" spans="1:1" x14ac:dyDescent="0.3">
      <c r="A217" t="s">
        <v>8</v>
      </c>
    </row>
    <row r="218" spans="1:1" x14ac:dyDescent="0.3">
      <c r="A218" t="s">
        <v>49</v>
      </c>
    </row>
    <row r="219" spans="1:1" x14ac:dyDescent="0.3">
      <c r="A219" t="s">
        <v>50</v>
      </c>
    </row>
    <row r="220" spans="1:1" x14ac:dyDescent="0.3">
      <c r="A220" t="s">
        <v>11</v>
      </c>
    </row>
    <row r="221" spans="1:1" x14ac:dyDescent="0.3">
      <c r="A221" t="s">
        <v>12</v>
      </c>
    </row>
    <row r="222" spans="1:1" x14ac:dyDescent="0.3">
      <c r="A222" t="s">
        <v>51</v>
      </c>
    </row>
    <row r="223" spans="1:1" x14ac:dyDescent="0.3">
      <c r="A223" t="s">
        <v>52</v>
      </c>
    </row>
    <row r="224" spans="1:1" x14ac:dyDescent="0.3">
      <c r="A224" t="s">
        <v>53</v>
      </c>
    </row>
    <row r="225" spans="1:11" x14ac:dyDescent="0.3">
      <c r="A225" t="s">
        <v>54</v>
      </c>
    </row>
    <row r="226" spans="1:11" x14ac:dyDescent="0.3">
      <c r="A226" t="s">
        <v>55</v>
      </c>
    </row>
    <row r="227" spans="1:11" x14ac:dyDescent="0.3">
      <c r="A227" t="s">
        <v>18</v>
      </c>
    </row>
    <row r="228" spans="1:11" x14ac:dyDescent="0.3">
      <c r="A228" t="s">
        <v>19</v>
      </c>
    </row>
    <row r="229" spans="1:11" x14ac:dyDescent="0.3">
      <c r="A229" t="s">
        <v>20</v>
      </c>
    </row>
    <row r="230" spans="1:11" x14ac:dyDescent="0.3">
      <c r="A230" t="s">
        <v>21</v>
      </c>
    </row>
    <row r="231" spans="1:11" x14ac:dyDescent="0.3">
      <c r="A231" t="s">
        <v>56</v>
      </c>
    </row>
    <row r="232" spans="1:11" x14ac:dyDescent="0.3">
      <c r="A232" t="s">
        <v>23</v>
      </c>
      <c r="B232">
        <v>1</v>
      </c>
      <c r="C232" t="s">
        <v>24</v>
      </c>
      <c r="D232">
        <v>5.8000000000000004E-6</v>
      </c>
      <c r="E232" t="s">
        <v>25</v>
      </c>
      <c r="F232">
        <v>5.7999999999999996E-3</v>
      </c>
      <c r="G232" t="s">
        <v>26</v>
      </c>
      <c r="H232">
        <v>5.8</v>
      </c>
      <c r="I232" t="s">
        <v>27</v>
      </c>
    </row>
    <row r="233" spans="1:11" x14ac:dyDescent="0.3">
      <c r="A233" t="s">
        <v>23</v>
      </c>
      <c r="B233">
        <v>1</v>
      </c>
      <c r="C233" t="s">
        <v>28</v>
      </c>
      <c r="D233">
        <v>0.11692180000000001</v>
      </c>
      <c r="E233" t="s">
        <v>25</v>
      </c>
      <c r="F233">
        <v>116.9218</v>
      </c>
      <c r="G233" t="s">
        <v>26</v>
      </c>
      <c r="H233">
        <v>116921.79700000001</v>
      </c>
      <c r="I233" t="s">
        <v>27</v>
      </c>
    </row>
    <row r="234" spans="1:11" x14ac:dyDescent="0.3">
      <c r="A234" t="s">
        <v>23</v>
      </c>
      <c r="B234">
        <v>1</v>
      </c>
      <c r="C234" t="s">
        <v>29</v>
      </c>
      <c r="D234">
        <v>0.14824609</v>
      </c>
      <c r="E234" t="s">
        <v>25</v>
      </c>
      <c r="F234">
        <v>148.24609000000001</v>
      </c>
      <c r="G234" t="s">
        <v>26</v>
      </c>
      <c r="H234">
        <v>148246.095</v>
      </c>
      <c r="I234" t="s">
        <v>27</v>
      </c>
    </row>
    <row r="235" spans="1:11" x14ac:dyDescent="0.3">
      <c r="A235" t="s">
        <v>23</v>
      </c>
      <c r="B235">
        <v>1</v>
      </c>
      <c r="C235" t="s">
        <v>30</v>
      </c>
      <c r="D235">
        <v>1.5533699999999999E-2</v>
      </c>
      <c r="E235" t="s">
        <v>25</v>
      </c>
      <c r="F235">
        <v>15.5337</v>
      </c>
      <c r="G235" t="s">
        <v>26</v>
      </c>
      <c r="H235">
        <v>15533.7</v>
      </c>
      <c r="I235" t="s">
        <v>27</v>
      </c>
    </row>
    <row r="236" spans="1:11" x14ac:dyDescent="0.3">
      <c r="A236" t="s">
        <v>23</v>
      </c>
      <c r="B236">
        <v>1</v>
      </c>
      <c r="C236" t="s">
        <v>31</v>
      </c>
      <c r="D236">
        <v>1.5537E-2</v>
      </c>
      <c r="E236" t="s">
        <v>25</v>
      </c>
      <c r="F236">
        <v>15.537000000000001</v>
      </c>
      <c r="G236" t="s">
        <v>26</v>
      </c>
      <c r="H236">
        <v>15537</v>
      </c>
      <c r="I236" t="s">
        <v>27</v>
      </c>
    </row>
    <row r="237" spans="1:11" x14ac:dyDescent="0.3">
      <c r="A237" t="s">
        <v>23</v>
      </c>
      <c r="B237">
        <v>1</v>
      </c>
      <c r="C237" t="s">
        <v>32</v>
      </c>
      <c r="D237">
        <v>0.16378669000000001</v>
      </c>
      <c r="E237" t="s">
        <v>25</v>
      </c>
      <c r="F237">
        <v>163.78668999999999</v>
      </c>
      <c r="G237" t="s">
        <v>26</v>
      </c>
      <c r="H237">
        <v>163786.69399999999</v>
      </c>
      <c r="I237" t="s">
        <v>27</v>
      </c>
      <c r="J237" t="s">
        <v>33</v>
      </c>
      <c r="K237">
        <v>6.1055020999999998</v>
      </c>
    </row>
    <row r="238" spans="1:11" x14ac:dyDescent="0.3">
      <c r="A238" t="s">
        <v>34</v>
      </c>
      <c r="B238">
        <v>1000</v>
      </c>
      <c r="C238" t="s">
        <v>29</v>
      </c>
      <c r="D238">
        <v>2.4258999999999999E-4</v>
      </c>
      <c r="E238" t="s">
        <v>25</v>
      </c>
      <c r="F238">
        <v>0.24259</v>
      </c>
      <c r="G238" t="s">
        <v>26</v>
      </c>
      <c r="H238">
        <v>242.59299999999999</v>
      </c>
      <c r="I238" t="s">
        <v>27</v>
      </c>
    </row>
    <row r="239" spans="1:11" x14ac:dyDescent="0.3">
      <c r="A239" t="s">
        <v>34</v>
      </c>
      <c r="B239">
        <v>1000</v>
      </c>
      <c r="C239" t="s">
        <v>30</v>
      </c>
      <c r="D239">
        <v>7.2431999999999998E-4</v>
      </c>
      <c r="E239" t="s">
        <v>25</v>
      </c>
      <c r="F239">
        <v>0.72431999999999996</v>
      </c>
      <c r="G239" t="s">
        <v>26</v>
      </c>
      <c r="H239">
        <v>724.322</v>
      </c>
      <c r="I239" t="s">
        <v>27</v>
      </c>
    </row>
    <row r="240" spans="1:11" x14ac:dyDescent="0.3">
      <c r="A240" t="s">
        <v>34</v>
      </c>
      <c r="B240">
        <v>1000</v>
      </c>
      <c r="C240" t="s">
        <v>31</v>
      </c>
      <c r="D240">
        <v>7.2446000000000001E-4</v>
      </c>
      <c r="E240" t="s">
        <v>25</v>
      </c>
      <c r="F240">
        <v>0.72445999999999999</v>
      </c>
      <c r="G240" t="s">
        <v>26</v>
      </c>
      <c r="H240">
        <v>724.46</v>
      </c>
      <c r="I240" t="s">
        <v>27</v>
      </c>
    </row>
    <row r="241" spans="1:11" x14ac:dyDescent="0.3">
      <c r="A241" t="s">
        <v>34</v>
      </c>
      <c r="B241">
        <v>1000</v>
      </c>
      <c r="C241" t="s">
        <v>32</v>
      </c>
      <c r="D241">
        <v>9.6741000000000004E-4</v>
      </c>
      <c r="E241" t="s">
        <v>25</v>
      </c>
      <c r="F241">
        <v>0.96740999999999999</v>
      </c>
      <c r="G241" t="s">
        <v>26</v>
      </c>
      <c r="H241">
        <v>967.40700000000004</v>
      </c>
      <c r="I241" t="s">
        <v>27</v>
      </c>
      <c r="J241" t="s">
        <v>33</v>
      </c>
      <c r="K241">
        <v>1033.6906607000001</v>
      </c>
    </row>
    <row r="242" spans="1:11" x14ac:dyDescent="0.3">
      <c r="A242" t="s">
        <v>35</v>
      </c>
      <c r="B242">
        <v>1001</v>
      </c>
      <c r="C242" t="s">
        <v>29</v>
      </c>
      <c r="D242">
        <v>3.9044999999999998E-4</v>
      </c>
      <c r="E242" t="s">
        <v>25</v>
      </c>
      <c r="F242">
        <v>0.39045000000000002</v>
      </c>
      <c r="G242" t="s">
        <v>26</v>
      </c>
      <c r="H242">
        <v>390.44900000000001</v>
      </c>
      <c r="I242" t="s">
        <v>27</v>
      </c>
    </row>
    <row r="243" spans="1:11" x14ac:dyDescent="0.3">
      <c r="A243" t="s">
        <v>35</v>
      </c>
      <c r="B243">
        <v>1001</v>
      </c>
      <c r="C243" t="s">
        <v>30</v>
      </c>
      <c r="D243">
        <v>7.3912000000000001E-4</v>
      </c>
      <c r="E243" t="s">
        <v>25</v>
      </c>
      <c r="F243">
        <v>0.73912</v>
      </c>
      <c r="G243" t="s">
        <v>26</v>
      </c>
      <c r="H243">
        <v>739.11699999999996</v>
      </c>
      <c r="I243" t="s">
        <v>27</v>
      </c>
    </row>
    <row r="244" spans="1:11" x14ac:dyDescent="0.3">
      <c r="A244" t="s">
        <v>35</v>
      </c>
      <c r="B244">
        <v>1001</v>
      </c>
      <c r="C244" t="s">
        <v>31</v>
      </c>
      <c r="D244">
        <v>7.3926000000000005E-4</v>
      </c>
      <c r="E244" t="s">
        <v>25</v>
      </c>
      <c r="F244">
        <v>0.73926000000000003</v>
      </c>
      <c r="G244" t="s">
        <v>26</v>
      </c>
      <c r="H244">
        <v>739.25800000000004</v>
      </c>
      <c r="I244" t="s">
        <v>27</v>
      </c>
    </row>
    <row r="245" spans="1:11" x14ac:dyDescent="0.3">
      <c r="A245" t="s">
        <v>35</v>
      </c>
      <c r="B245">
        <v>1001</v>
      </c>
      <c r="C245" t="s">
        <v>32</v>
      </c>
      <c r="D245">
        <v>1.13006E-3</v>
      </c>
      <c r="E245" t="s">
        <v>25</v>
      </c>
      <c r="F245">
        <v>1.1300600000000001</v>
      </c>
      <c r="G245" t="s">
        <v>26</v>
      </c>
      <c r="H245">
        <v>1130.0650000000001</v>
      </c>
      <c r="I245" t="s">
        <v>27</v>
      </c>
      <c r="J245" t="s">
        <v>33</v>
      </c>
      <c r="K245">
        <v>884.90522099999998</v>
      </c>
    </row>
    <row r="246" spans="1:11" x14ac:dyDescent="0.3">
      <c r="A246" t="s">
        <v>36</v>
      </c>
      <c r="B246">
        <v>1001</v>
      </c>
      <c r="C246" t="s">
        <v>37</v>
      </c>
      <c r="D246">
        <v>1.1302199999999999E-3</v>
      </c>
      <c r="E246" t="s">
        <v>25</v>
      </c>
      <c r="F246">
        <v>1.13022</v>
      </c>
      <c r="G246" t="s">
        <v>26</v>
      </c>
      <c r="H246">
        <v>1130.2170000000001</v>
      </c>
      <c r="I246" t="s">
        <v>27</v>
      </c>
      <c r="J246" t="s">
        <v>33</v>
      </c>
      <c r="K246">
        <v>884.78549850000002</v>
      </c>
    </row>
    <row r="247" spans="1:11" x14ac:dyDescent="0.3">
      <c r="A247" t="s">
        <v>38</v>
      </c>
    </row>
    <row r="248" spans="1:11" x14ac:dyDescent="0.3">
      <c r="A248" t="s">
        <v>57</v>
      </c>
    </row>
    <row r="249" spans="1:11" x14ac:dyDescent="0.3">
      <c r="A249" t="s">
        <v>23</v>
      </c>
      <c r="B249">
        <v>1</v>
      </c>
      <c r="C249" t="s">
        <v>24</v>
      </c>
      <c r="D249">
        <v>5.8000000000000004E-6</v>
      </c>
      <c r="E249" t="s">
        <v>25</v>
      </c>
      <c r="F249">
        <v>5.7999999999999996E-3</v>
      </c>
      <c r="G249" t="s">
        <v>26</v>
      </c>
      <c r="H249">
        <v>5.8</v>
      </c>
      <c r="I249" t="s">
        <v>27</v>
      </c>
    </row>
    <row r="250" spans="1:11" x14ac:dyDescent="0.3">
      <c r="A250" t="s">
        <v>23</v>
      </c>
      <c r="B250">
        <v>1</v>
      </c>
      <c r="C250" t="s">
        <v>28</v>
      </c>
      <c r="D250">
        <v>9.389E-4</v>
      </c>
      <c r="E250" t="s">
        <v>25</v>
      </c>
      <c r="F250">
        <v>0.93889999999999996</v>
      </c>
      <c r="G250" t="s">
        <v>26</v>
      </c>
      <c r="H250">
        <v>938.9</v>
      </c>
      <c r="I250" t="s">
        <v>27</v>
      </c>
    </row>
    <row r="251" spans="1:11" x14ac:dyDescent="0.3">
      <c r="A251" t="s">
        <v>23</v>
      </c>
      <c r="B251">
        <v>1</v>
      </c>
      <c r="C251" t="s">
        <v>29</v>
      </c>
      <c r="D251">
        <v>1.21485E-2</v>
      </c>
      <c r="E251" t="s">
        <v>25</v>
      </c>
      <c r="F251">
        <v>12.1485</v>
      </c>
      <c r="G251" t="s">
        <v>26</v>
      </c>
      <c r="H251">
        <v>12148.5</v>
      </c>
      <c r="I251" t="s">
        <v>27</v>
      </c>
    </row>
    <row r="252" spans="1:11" x14ac:dyDescent="0.3">
      <c r="A252" t="s">
        <v>23</v>
      </c>
      <c r="B252">
        <v>1</v>
      </c>
      <c r="C252" t="s">
        <v>30</v>
      </c>
      <c r="D252">
        <v>1.96378E-2</v>
      </c>
      <c r="E252" t="s">
        <v>25</v>
      </c>
      <c r="F252">
        <v>19.637799999999999</v>
      </c>
      <c r="G252" t="s">
        <v>26</v>
      </c>
      <c r="H252">
        <v>19637.800999999999</v>
      </c>
      <c r="I252" t="s">
        <v>27</v>
      </c>
    </row>
    <row r="253" spans="1:11" x14ac:dyDescent="0.3">
      <c r="A253" t="s">
        <v>23</v>
      </c>
      <c r="B253">
        <v>1</v>
      </c>
      <c r="C253" t="s">
        <v>31</v>
      </c>
      <c r="D253">
        <v>1.9638699999999999E-2</v>
      </c>
      <c r="E253" t="s">
        <v>25</v>
      </c>
      <c r="F253">
        <v>19.6387</v>
      </c>
      <c r="G253" t="s">
        <v>26</v>
      </c>
      <c r="H253">
        <v>19638.7</v>
      </c>
      <c r="I253" t="s">
        <v>27</v>
      </c>
    </row>
    <row r="254" spans="1:11" x14ac:dyDescent="0.3">
      <c r="A254" t="s">
        <v>23</v>
      </c>
      <c r="B254">
        <v>1</v>
      </c>
      <c r="C254" t="s">
        <v>32</v>
      </c>
      <c r="D254">
        <v>3.1791100000000003E-2</v>
      </c>
      <c r="E254" t="s">
        <v>25</v>
      </c>
      <c r="F254">
        <v>31.7911</v>
      </c>
      <c r="G254" t="s">
        <v>26</v>
      </c>
      <c r="H254">
        <v>31791.098000000002</v>
      </c>
      <c r="I254" t="s">
        <v>27</v>
      </c>
      <c r="J254" t="s">
        <v>33</v>
      </c>
      <c r="K254">
        <v>31.455345999999999</v>
      </c>
    </row>
    <row r="255" spans="1:11" x14ac:dyDescent="0.3">
      <c r="A255" t="s">
        <v>34</v>
      </c>
      <c r="B255">
        <v>1000</v>
      </c>
      <c r="C255" t="s">
        <v>29</v>
      </c>
      <c r="D255">
        <v>2.4522999999999998E-4</v>
      </c>
      <c r="E255" t="s">
        <v>25</v>
      </c>
      <c r="F255">
        <v>0.24523</v>
      </c>
      <c r="G255" t="s">
        <v>26</v>
      </c>
      <c r="H255">
        <v>245.23400000000001</v>
      </c>
      <c r="I255" t="s">
        <v>27</v>
      </c>
    </row>
    <row r="256" spans="1:11" x14ac:dyDescent="0.3">
      <c r="A256" t="s">
        <v>34</v>
      </c>
      <c r="B256">
        <v>1000</v>
      </c>
      <c r="C256" t="s">
        <v>30</v>
      </c>
      <c r="D256">
        <v>1.1261699999999999E-3</v>
      </c>
      <c r="E256" t="s">
        <v>25</v>
      </c>
      <c r="F256">
        <v>1.1261699999999999</v>
      </c>
      <c r="G256" t="s">
        <v>26</v>
      </c>
      <c r="H256">
        <v>1126.1659999999999</v>
      </c>
      <c r="I256" t="s">
        <v>27</v>
      </c>
    </row>
    <row r="257" spans="1:11" x14ac:dyDescent="0.3">
      <c r="A257" t="s">
        <v>34</v>
      </c>
      <c r="B257">
        <v>1000</v>
      </c>
      <c r="C257" t="s">
        <v>31</v>
      </c>
      <c r="D257">
        <v>1.17633E-3</v>
      </c>
      <c r="E257" t="s">
        <v>25</v>
      </c>
      <c r="F257">
        <v>1.1763300000000001</v>
      </c>
      <c r="G257" t="s">
        <v>26</v>
      </c>
      <c r="H257">
        <v>1176.3320000000001</v>
      </c>
      <c r="I257" t="s">
        <v>27</v>
      </c>
    </row>
    <row r="258" spans="1:11" x14ac:dyDescent="0.3">
      <c r="A258" t="s">
        <v>34</v>
      </c>
      <c r="B258">
        <v>1000</v>
      </c>
      <c r="C258" t="s">
        <v>32</v>
      </c>
      <c r="D258">
        <v>1.4221800000000001E-3</v>
      </c>
      <c r="E258" t="s">
        <v>25</v>
      </c>
      <c r="F258">
        <v>1.42218</v>
      </c>
      <c r="G258" t="s">
        <v>26</v>
      </c>
      <c r="H258">
        <v>1422.1790000000001</v>
      </c>
      <c r="I258" t="s">
        <v>27</v>
      </c>
      <c r="J258" t="s">
        <v>33</v>
      </c>
      <c r="K258">
        <v>703.14643609999996</v>
      </c>
    </row>
    <row r="259" spans="1:11" x14ac:dyDescent="0.3">
      <c r="A259" t="s">
        <v>35</v>
      </c>
      <c r="B259">
        <v>1001</v>
      </c>
      <c r="C259" t="s">
        <v>29</v>
      </c>
      <c r="D259">
        <v>2.5713E-4</v>
      </c>
      <c r="E259" t="s">
        <v>25</v>
      </c>
      <c r="F259">
        <v>0.25713000000000003</v>
      </c>
      <c r="G259" t="s">
        <v>26</v>
      </c>
      <c r="H259">
        <v>257.125</v>
      </c>
      <c r="I259" t="s">
        <v>27</v>
      </c>
    </row>
    <row r="260" spans="1:11" x14ac:dyDescent="0.3">
      <c r="A260" t="s">
        <v>35</v>
      </c>
      <c r="B260">
        <v>1001</v>
      </c>
      <c r="C260" t="s">
        <v>30</v>
      </c>
      <c r="D260">
        <v>1.14466E-3</v>
      </c>
      <c r="E260" t="s">
        <v>25</v>
      </c>
      <c r="F260">
        <v>1.14466</v>
      </c>
      <c r="G260" t="s">
        <v>26</v>
      </c>
      <c r="H260">
        <v>1144.6590000000001</v>
      </c>
      <c r="I260" t="s">
        <v>27</v>
      </c>
    </row>
    <row r="261" spans="1:11" x14ac:dyDescent="0.3">
      <c r="A261" t="s">
        <v>35</v>
      </c>
      <c r="B261">
        <v>1001</v>
      </c>
      <c r="C261" t="s">
        <v>31</v>
      </c>
      <c r="D261">
        <v>1.1947800000000001E-3</v>
      </c>
      <c r="E261" t="s">
        <v>25</v>
      </c>
      <c r="F261">
        <v>1.19478</v>
      </c>
      <c r="G261" t="s">
        <v>26</v>
      </c>
      <c r="H261">
        <v>1194.7760000000001</v>
      </c>
      <c r="I261" t="s">
        <v>27</v>
      </c>
    </row>
    <row r="262" spans="1:11" x14ac:dyDescent="0.3">
      <c r="A262" t="s">
        <v>35</v>
      </c>
      <c r="B262">
        <v>1001</v>
      </c>
      <c r="C262" t="s">
        <v>32</v>
      </c>
      <c r="D262">
        <v>1.4525199999999999E-3</v>
      </c>
      <c r="E262" t="s">
        <v>25</v>
      </c>
      <c r="F262">
        <v>1.45252</v>
      </c>
      <c r="G262" t="s">
        <v>26</v>
      </c>
      <c r="H262">
        <v>1452.518</v>
      </c>
      <c r="I262" t="s">
        <v>27</v>
      </c>
      <c r="J262" t="s">
        <v>33</v>
      </c>
      <c r="K262">
        <v>688.45983660000002</v>
      </c>
    </row>
    <row r="263" spans="1:11" x14ac:dyDescent="0.3">
      <c r="A263" t="s">
        <v>36</v>
      </c>
      <c r="B263">
        <v>1001</v>
      </c>
      <c r="C263" t="s">
        <v>37</v>
      </c>
      <c r="D263">
        <v>1.4526599999999999E-3</v>
      </c>
      <c r="E263" t="s">
        <v>25</v>
      </c>
      <c r="F263">
        <v>1.4526600000000001</v>
      </c>
      <c r="G263" t="s">
        <v>26</v>
      </c>
      <c r="H263">
        <v>1452.6569999999999</v>
      </c>
      <c r="I263" t="s">
        <v>27</v>
      </c>
      <c r="J263" t="s">
        <v>33</v>
      </c>
      <c r="K263">
        <v>688.39363179999998</v>
      </c>
    </row>
    <row r="264" spans="1:11" x14ac:dyDescent="0.3">
      <c r="A264" t="s">
        <v>8</v>
      </c>
    </row>
    <row r="265" spans="1:11" x14ac:dyDescent="0.3">
      <c r="A265" t="s">
        <v>20</v>
      </c>
    </row>
    <row r="266" spans="1:11" x14ac:dyDescent="0.3">
      <c r="A266" t="s">
        <v>40</v>
      </c>
    </row>
    <row r="267" spans="1:11" x14ac:dyDescent="0.3">
      <c r="A267" t="s">
        <v>58</v>
      </c>
    </row>
    <row r="268" spans="1:11" x14ac:dyDescent="0.3">
      <c r="A268" t="s">
        <v>23</v>
      </c>
      <c r="B268">
        <v>1</v>
      </c>
      <c r="C268" t="s">
        <v>32</v>
      </c>
      <c r="D268">
        <v>0.16378669000000001</v>
      </c>
      <c r="E268" t="s">
        <v>25</v>
      </c>
      <c r="F268">
        <v>163.78668999999999</v>
      </c>
      <c r="G268" t="s">
        <v>26</v>
      </c>
      <c r="H268">
        <v>163786.69399999999</v>
      </c>
      <c r="I268" t="s">
        <v>27</v>
      </c>
      <c r="J268" t="s">
        <v>33</v>
      </c>
      <c r="K268">
        <v>6.1055020999999998</v>
      </c>
    </row>
    <row r="269" spans="1:11" x14ac:dyDescent="0.3">
      <c r="A269" t="s">
        <v>34</v>
      </c>
      <c r="B269">
        <v>1000</v>
      </c>
      <c r="C269" t="s">
        <v>32</v>
      </c>
      <c r="D269">
        <v>9.6741000000000004E-4</v>
      </c>
      <c r="E269" t="s">
        <v>25</v>
      </c>
      <c r="F269">
        <v>0.96740999999999999</v>
      </c>
      <c r="G269" t="s">
        <v>26</v>
      </c>
      <c r="H269">
        <v>967.40700000000004</v>
      </c>
      <c r="I269" t="s">
        <v>27</v>
      </c>
      <c r="J269" t="s">
        <v>33</v>
      </c>
      <c r="K269">
        <v>1033.6906607000001</v>
      </c>
    </row>
    <row r="270" spans="1:11" x14ac:dyDescent="0.3">
      <c r="A270" t="s">
        <v>36</v>
      </c>
      <c r="B270">
        <v>1001</v>
      </c>
      <c r="C270" t="s">
        <v>37</v>
      </c>
      <c r="D270">
        <v>1.1302199999999999E-3</v>
      </c>
      <c r="E270" t="s">
        <v>25</v>
      </c>
      <c r="F270">
        <v>1.13022</v>
      </c>
      <c r="G270" t="s">
        <v>26</v>
      </c>
      <c r="H270">
        <v>1130.2170000000001</v>
      </c>
      <c r="I270" t="s">
        <v>27</v>
      </c>
      <c r="J270" t="s">
        <v>33</v>
      </c>
      <c r="K270">
        <v>884.78549850000002</v>
      </c>
    </row>
    <row r="272" spans="1:11" x14ac:dyDescent="0.3">
      <c r="A272" t="s">
        <v>59</v>
      </c>
    </row>
    <row r="273" spans="1:11" x14ac:dyDescent="0.3">
      <c r="A273" t="s">
        <v>23</v>
      </c>
      <c r="B273">
        <v>1</v>
      </c>
      <c r="C273" t="s">
        <v>32</v>
      </c>
      <c r="D273">
        <v>3.1791100000000003E-2</v>
      </c>
      <c r="E273" t="s">
        <v>25</v>
      </c>
      <c r="F273">
        <v>31.7911</v>
      </c>
      <c r="G273" t="s">
        <v>26</v>
      </c>
      <c r="H273">
        <v>31791.098000000002</v>
      </c>
      <c r="I273" t="s">
        <v>27</v>
      </c>
      <c r="J273" t="s">
        <v>33</v>
      </c>
      <c r="K273">
        <v>31.455345999999999</v>
      </c>
    </row>
    <row r="274" spans="1:11" x14ac:dyDescent="0.3">
      <c r="A274" t="s">
        <v>34</v>
      </c>
      <c r="B274">
        <v>1000</v>
      </c>
      <c r="C274" t="s">
        <v>32</v>
      </c>
      <c r="D274">
        <v>1.4221800000000001E-3</v>
      </c>
      <c r="E274" t="s">
        <v>25</v>
      </c>
      <c r="F274">
        <v>1.42218</v>
      </c>
      <c r="G274" t="s">
        <v>26</v>
      </c>
      <c r="H274">
        <v>1422.1790000000001</v>
      </c>
      <c r="I274" t="s">
        <v>27</v>
      </c>
      <c r="J274" t="s">
        <v>33</v>
      </c>
      <c r="K274">
        <v>703.14643609999996</v>
      </c>
    </row>
    <row r="275" spans="1:11" x14ac:dyDescent="0.3">
      <c r="A275" t="s">
        <v>36</v>
      </c>
      <c r="B275">
        <v>1001</v>
      </c>
      <c r="C275" t="s">
        <v>37</v>
      </c>
      <c r="D275">
        <v>1.4526599999999999E-3</v>
      </c>
      <c r="E275" t="s">
        <v>25</v>
      </c>
      <c r="F275">
        <v>1.4526600000000001</v>
      </c>
      <c r="G275" t="s">
        <v>26</v>
      </c>
      <c r="H275">
        <v>1452.6569999999999</v>
      </c>
      <c r="I275" t="s">
        <v>27</v>
      </c>
      <c r="J275" t="s">
        <v>33</v>
      </c>
      <c r="K275">
        <v>688.39363179999998</v>
      </c>
    </row>
    <row r="277" spans="1:11" x14ac:dyDescent="0.3">
      <c r="A277" t="s">
        <v>1</v>
      </c>
    </row>
    <row r="278" spans="1:11" x14ac:dyDescent="0.3">
      <c r="A278" t="s">
        <v>60</v>
      </c>
    </row>
    <row r="280" spans="1:11" x14ac:dyDescent="0.3">
      <c r="A280" t="s">
        <v>61</v>
      </c>
    </row>
    <row r="282" spans="1:11" x14ac:dyDescent="0.3">
      <c r="A282" t="s">
        <v>5</v>
      </c>
    </row>
    <row r="283" spans="1:11" x14ac:dyDescent="0.3">
      <c r="A283" t="s">
        <v>6</v>
      </c>
    </row>
    <row r="284" spans="1:11" x14ac:dyDescent="0.3">
      <c r="A284" t="s">
        <v>7</v>
      </c>
    </row>
    <row r="285" spans="1:11" x14ac:dyDescent="0.3">
      <c r="A285" t="s">
        <v>8</v>
      </c>
    </row>
    <row r="286" spans="1:11" x14ac:dyDescent="0.3">
      <c r="A286" t="s">
        <v>49</v>
      </c>
    </row>
    <row r="287" spans="1:11" x14ac:dyDescent="0.3">
      <c r="A287" t="s">
        <v>50</v>
      </c>
    </row>
    <row r="288" spans="1:11" x14ac:dyDescent="0.3">
      <c r="A288" t="s">
        <v>11</v>
      </c>
    </row>
    <row r="289" spans="1:9" x14ac:dyDescent="0.3">
      <c r="A289" t="s">
        <v>12</v>
      </c>
    </row>
    <row r="290" spans="1:9" x14ac:dyDescent="0.3">
      <c r="A290" t="s">
        <v>51</v>
      </c>
    </row>
    <row r="291" spans="1:9" x14ac:dyDescent="0.3">
      <c r="A291" t="s">
        <v>52</v>
      </c>
    </row>
    <row r="292" spans="1:9" x14ac:dyDescent="0.3">
      <c r="A292" t="s">
        <v>53</v>
      </c>
    </row>
    <row r="293" spans="1:9" x14ac:dyDescent="0.3">
      <c r="A293" t="s">
        <v>54</v>
      </c>
    </row>
    <row r="294" spans="1:9" x14ac:dyDescent="0.3">
      <c r="A294" t="s">
        <v>55</v>
      </c>
    </row>
    <row r="295" spans="1:9" x14ac:dyDescent="0.3">
      <c r="A295" t="s">
        <v>18</v>
      </c>
    </row>
    <row r="296" spans="1:9" x14ac:dyDescent="0.3">
      <c r="A296" t="s">
        <v>19</v>
      </c>
    </row>
    <row r="297" spans="1:9" x14ac:dyDescent="0.3">
      <c r="A297" t="s">
        <v>20</v>
      </c>
    </row>
    <row r="298" spans="1:9" x14ac:dyDescent="0.3">
      <c r="A298" t="s">
        <v>21</v>
      </c>
    </row>
    <row r="299" spans="1:9" x14ac:dyDescent="0.3">
      <c r="A299" t="s">
        <v>56</v>
      </c>
    </row>
    <row r="300" spans="1:9" x14ac:dyDescent="0.3">
      <c r="A300" t="s">
        <v>23</v>
      </c>
      <c r="B300">
        <v>1</v>
      </c>
      <c r="C300" t="s">
        <v>24</v>
      </c>
      <c r="D300">
        <v>6.9E-6</v>
      </c>
      <c r="E300" t="s">
        <v>25</v>
      </c>
      <c r="F300">
        <v>6.8999999999999999E-3</v>
      </c>
      <c r="G300" t="s">
        <v>26</v>
      </c>
      <c r="H300">
        <v>6.9</v>
      </c>
      <c r="I300" t="s">
        <v>27</v>
      </c>
    </row>
    <row r="301" spans="1:9" x14ac:dyDescent="0.3">
      <c r="A301" t="s">
        <v>23</v>
      </c>
      <c r="B301">
        <v>1</v>
      </c>
      <c r="C301" t="s">
        <v>28</v>
      </c>
      <c r="D301">
        <v>0.10907020000000001</v>
      </c>
      <c r="E301" t="s">
        <v>25</v>
      </c>
      <c r="F301">
        <v>109.0702</v>
      </c>
      <c r="G301" t="s">
        <v>26</v>
      </c>
      <c r="H301">
        <v>109070.197</v>
      </c>
      <c r="I301" t="s">
        <v>27</v>
      </c>
    </row>
    <row r="302" spans="1:9" x14ac:dyDescent="0.3">
      <c r="A302" t="s">
        <v>23</v>
      </c>
      <c r="B302">
        <v>1</v>
      </c>
      <c r="C302" t="s">
        <v>29</v>
      </c>
      <c r="D302">
        <v>0.14933071000000001</v>
      </c>
      <c r="E302" t="s">
        <v>25</v>
      </c>
      <c r="F302">
        <v>149.33071000000001</v>
      </c>
      <c r="G302" t="s">
        <v>26</v>
      </c>
      <c r="H302">
        <v>149330.70499999999</v>
      </c>
      <c r="I302" t="s">
        <v>27</v>
      </c>
    </row>
    <row r="303" spans="1:9" x14ac:dyDescent="0.3">
      <c r="A303" t="s">
        <v>23</v>
      </c>
      <c r="B303">
        <v>1</v>
      </c>
      <c r="C303" t="s">
        <v>30</v>
      </c>
      <c r="D303">
        <v>1.32975E-2</v>
      </c>
      <c r="E303" t="s">
        <v>25</v>
      </c>
      <c r="F303">
        <v>13.297499999999999</v>
      </c>
      <c r="G303" t="s">
        <v>26</v>
      </c>
      <c r="H303">
        <v>13297.5</v>
      </c>
      <c r="I303" t="s">
        <v>27</v>
      </c>
    </row>
    <row r="304" spans="1:9" x14ac:dyDescent="0.3">
      <c r="A304" t="s">
        <v>23</v>
      </c>
      <c r="B304">
        <v>1</v>
      </c>
      <c r="C304" t="s">
        <v>31</v>
      </c>
      <c r="D304">
        <v>1.3300599999999999E-2</v>
      </c>
      <c r="E304" t="s">
        <v>25</v>
      </c>
      <c r="F304">
        <v>13.300599999999999</v>
      </c>
      <c r="G304" t="s">
        <v>26</v>
      </c>
      <c r="H304">
        <v>13300.6</v>
      </c>
      <c r="I304" t="s">
        <v>27</v>
      </c>
    </row>
    <row r="305" spans="1:11" x14ac:dyDescent="0.3">
      <c r="A305" t="s">
        <v>23</v>
      </c>
      <c r="B305">
        <v>1</v>
      </c>
      <c r="C305" t="s">
        <v>32</v>
      </c>
      <c r="D305">
        <v>0.1626341</v>
      </c>
      <c r="E305" t="s">
        <v>25</v>
      </c>
      <c r="F305">
        <v>162.63409999999999</v>
      </c>
      <c r="G305" t="s">
        <v>26</v>
      </c>
      <c r="H305">
        <v>162634.10399999999</v>
      </c>
      <c r="I305" t="s">
        <v>27</v>
      </c>
      <c r="J305" t="s">
        <v>33</v>
      </c>
      <c r="K305">
        <v>6.1487717999999996</v>
      </c>
    </row>
    <row r="306" spans="1:11" x14ac:dyDescent="0.3">
      <c r="A306" t="s">
        <v>34</v>
      </c>
      <c r="B306">
        <v>1000</v>
      </c>
      <c r="C306" t="s">
        <v>29</v>
      </c>
      <c r="D306">
        <v>6.6000000000000003E-7</v>
      </c>
      <c r="E306" t="s">
        <v>25</v>
      </c>
      <c r="F306">
        <v>6.6E-4</v>
      </c>
      <c r="G306" t="s">
        <v>26</v>
      </c>
      <c r="H306">
        <v>0.65900000000000003</v>
      </c>
      <c r="I306" t="s">
        <v>27</v>
      </c>
    </row>
    <row r="307" spans="1:11" x14ac:dyDescent="0.3">
      <c r="A307" t="s">
        <v>34</v>
      </c>
      <c r="B307">
        <v>1000</v>
      </c>
      <c r="C307" t="s">
        <v>30</v>
      </c>
      <c r="D307">
        <v>1.298325E-2</v>
      </c>
      <c r="E307" t="s">
        <v>25</v>
      </c>
      <c r="F307">
        <v>12.98325</v>
      </c>
      <c r="G307" t="s">
        <v>26</v>
      </c>
      <c r="H307">
        <v>12983.246999999999</v>
      </c>
      <c r="I307" t="s">
        <v>27</v>
      </c>
    </row>
    <row r="308" spans="1:11" x14ac:dyDescent="0.3">
      <c r="A308" t="s">
        <v>34</v>
      </c>
      <c r="B308">
        <v>1000</v>
      </c>
      <c r="C308" t="s">
        <v>31</v>
      </c>
      <c r="D308">
        <v>1.2983959999999999E-2</v>
      </c>
      <c r="E308" t="s">
        <v>25</v>
      </c>
      <c r="F308">
        <v>12.98396</v>
      </c>
      <c r="G308" t="s">
        <v>26</v>
      </c>
      <c r="H308">
        <v>12983.960999999999</v>
      </c>
      <c r="I308" t="s">
        <v>27</v>
      </c>
    </row>
    <row r="309" spans="1:11" x14ac:dyDescent="0.3">
      <c r="A309" t="s">
        <v>34</v>
      </c>
      <c r="B309">
        <v>1000</v>
      </c>
      <c r="C309" t="s">
        <v>32</v>
      </c>
      <c r="D309">
        <v>1.298622E-2</v>
      </c>
      <c r="E309" t="s">
        <v>25</v>
      </c>
      <c r="F309">
        <v>12.986219999999999</v>
      </c>
      <c r="G309" t="s">
        <v>26</v>
      </c>
      <c r="H309">
        <v>12986.22</v>
      </c>
      <c r="I309" t="s">
        <v>27</v>
      </c>
      <c r="J309" t="s">
        <v>33</v>
      </c>
      <c r="K309">
        <v>77.004699799999997</v>
      </c>
    </row>
    <row r="310" spans="1:11" x14ac:dyDescent="0.3">
      <c r="A310" t="s">
        <v>35</v>
      </c>
      <c r="B310">
        <v>1001</v>
      </c>
      <c r="C310" t="s">
        <v>29</v>
      </c>
      <c r="D310">
        <v>1.4983999999999999E-4</v>
      </c>
      <c r="E310" t="s">
        <v>25</v>
      </c>
      <c r="F310">
        <v>0.14984</v>
      </c>
      <c r="G310" t="s">
        <v>26</v>
      </c>
      <c r="H310">
        <v>149.83799999999999</v>
      </c>
      <c r="I310" t="s">
        <v>27</v>
      </c>
    </row>
    <row r="311" spans="1:11" x14ac:dyDescent="0.3">
      <c r="A311" t="s">
        <v>35</v>
      </c>
      <c r="B311">
        <v>1001</v>
      </c>
      <c r="C311" t="s">
        <v>30</v>
      </c>
      <c r="D311">
        <v>1.298356E-2</v>
      </c>
      <c r="E311" t="s">
        <v>25</v>
      </c>
      <c r="F311">
        <v>12.983560000000001</v>
      </c>
      <c r="G311" t="s">
        <v>26</v>
      </c>
      <c r="H311">
        <v>12983.558999999999</v>
      </c>
      <c r="I311" t="s">
        <v>27</v>
      </c>
    </row>
    <row r="312" spans="1:11" x14ac:dyDescent="0.3">
      <c r="A312" t="s">
        <v>35</v>
      </c>
      <c r="B312">
        <v>1001</v>
      </c>
      <c r="C312" t="s">
        <v>31</v>
      </c>
      <c r="D312">
        <v>1.2984280000000001E-2</v>
      </c>
      <c r="E312" t="s">
        <v>25</v>
      </c>
      <c r="F312">
        <v>12.98428</v>
      </c>
      <c r="G312" t="s">
        <v>26</v>
      </c>
      <c r="H312">
        <v>12984.278</v>
      </c>
      <c r="I312" t="s">
        <v>27</v>
      </c>
    </row>
    <row r="313" spans="1:11" x14ac:dyDescent="0.3">
      <c r="A313" t="s">
        <v>35</v>
      </c>
      <c r="B313">
        <v>1001</v>
      </c>
      <c r="C313" t="s">
        <v>32</v>
      </c>
      <c r="D313">
        <v>1.313572E-2</v>
      </c>
      <c r="E313" t="s">
        <v>25</v>
      </c>
      <c r="F313">
        <v>13.135719999999999</v>
      </c>
      <c r="G313" t="s">
        <v>26</v>
      </c>
      <c r="H313">
        <v>13135.72</v>
      </c>
      <c r="I313" t="s">
        <v>27</v>
      </c>
      <c r="J313" t="s">
        <v>33</v>
      </c>
      <c r="K313">
        <v>76.1282949</v>
      </c>
    </row>
    <row r="314" spans="1:11" x14ac:dyDescent="0.3">
      <c r="A314" t="s">
        <v>36</v>
      </c>
      <c r="B314">
        <v>1001</v>
      </c>
      <c r="C314" t="s">
        <v>37</v>
      </c>
      <c r="D314">
        <v>1.313633E-2</v>
      </c>
      <c r="E314" t="s">
        <v>25</v>
      </c>
      <c r="F314">
        <v>13.136329999999999</v>
      </c>
      <c r="G314" t="s">
        <v>26</v>
      </c>
      <c r="H314">
        <v>13136.325000000001</v>
      </c>
      <c r="I314" t="s">
        <v>27</v>
      </c>
      <c r="J314" t="s">
        <v>33</v>
      </c>
      <c r="K314">
        <v>76.124788899999999</v>
      </c>
    </row>
    <row r="315" spans="1:11" x14ac:dyDescent="0.3">
      <c r="A315" t="s">
        <v>38</v>
      </c>
    </row>
    <row r="316" spans="1:11" x14ac:dyDescent="0.3">
      <c r="A316" t="s">
        <v>57</v>
      </c>
    </row>
    <row r="317" spans="1:11" x14ac:dyDescent="0.3">
      <c r="A317" t="s">
        <v>23</v>
      </c>
      <c r="B317">
        <v>1</v>
      </c>
      <c r="C317" t="s">
        <v>24</v>
      </c>
      <c r="D317">
        <v>6.9E-6</v>
      </c>
      <c r="E317" t="s">
        <v>25</v>
      </c>
      <c r="F317">
        <v>6.8999999999999999E-3</v>
      </c>
      <c r="G317" t="s">
        <v>26</v>
      </c>
      <c r="H317">
        <v>6.9</v>
      </c>
      <c r="I317" t="s">
        <v>27</v>
      </c>
    </row>
    <row r="318" spans="1:11" x14ac:dyDescent="0.3">
      <c r="A318" t="s">
        <v>23</v>
      </c>
      <c r="B318">
        <v>1</v>
      </c>
      <c r="C318" t="s">
        <v>28</v>
      </c>
      <c r="D318">
        <v>7.7899999999999996E-4</v>
      </c>
      <c r="E318" t="s">
        <v>25</v>
      </c>
      <c r="F318">
        <v>0.77900000000000003</v>
      </c>
      <c r="G318" t="s">
        <v>26</v>
      </c>
      <c r="H318">
        <v>779</v>
      </c>
      <c r="I318" t="s">
        <v>27</v>
      </c>
    </row>
    <row r="319" spans="1:11" x14ac:dyDescent="0.3">
      <c r="A319" t="s">
        <v>23</v>
      </c>
      <c r="B319">
        <v>1</v>
      </c>
      <c r="C319" t="s">
        <v>29</v>
      </c>
      <c r="D319">
        <v>9.0203000000000002E-3</v>
      </c>
      <c r="E319" t="s">
        <v>25</v>
      </c>
      <c r="F319">
        <v>9.0203000000000007</v>
      </c>
      <c r="G319" t="s">
        <v>26</v>
      </c>
      <c r="H319">
        <v>9020.2999999999993</v>
      </c>
      <c r="I319" t="s">
        <v>27</v>
      </c>
    </row>
    <row r="320" spans="1:11" x14ac:dyDescent="0.3">
      <c r="A320" t="s">
        <v>23</v>
      </c>
      <c r="B320">
        <v>1</v>
      </c>
      <c r="C320" t="s">
        <v>30</v>
      </c>
      <c r="D320">
        <v>1.59025E-2</v>
      </c>
      <c r="E320" t="s">
        <v>25</v>
      </c>
      <c r="F320">
        <v>15.9025</v>
      </c>
      <c r="G320" t="s">
        <v>26</v>
      </c>
      <c r="H320">
        <v>15902.501</v>
      </c>
      <c r="I320" t="s">
        <v>27</v>
      </c>
    </row>
    <row r="321" spans="1:11" x14ac:dyDescent="0.3">
      <c r="A321" t="s">
        <v>23</v>
      </c>
      <c r="B321">
        <v>1</v>
      </c>
      <c r="C321" t="s">
        <v>31</v>
      </c>
      <c r="D321">
        <v>1.5903299999999999E-2</v>
      </c>
      <c r="E321" t="s">
        <v>25</v>
      </c>
      <c r="F321">
        <v>15.9033</v>
      </c>
      <c r="G321" t="s">
        <v>26</v>
      </c>
      <c r="H321">
        <v>15903.3</v>
      </c>
      <c r="I321" t="s">
        <v>27</v>
      </c>
    </row>
    <row r="322" spans="1:11" x14ac:dyDescent="0.3">
      <c r="A322" t="s">
        <v>23</v>
      </c>
      <c r="B322">
        <v>1</v>
      </c>
      <c r="C322" t="s">
        <v>32</v>
      </c>
      <c r="D322">
        <v>2.4924600000000002E-2</v>
      </c>
      <c r="E322" t="s">
        <v>25</v>
      </c>
      <c r="F322">
        <v>24.924600000000002</v>
      </c>
      <c r="G322" t="s">
        <v>26</v>
      </c>
      <c r="H322">
        <v>24924.6</v>
      </c>
      <c r="I322" t="s">
        <v>27</v>
      </c>
      <c r="J322" t="s">
        <v>33</v>
      </c>
      <c r="K322">
        <v>40.121004200000002</v>
      </c>
    </row>
    <row r="323" spans="1:11" x14ac:dyDescent="0.3">
      <c r="A323" t="s">
        <v>34</v>
      </c>
      <c r="B323">
        <v>1000</v>
      </c>
      <c r="C323" t="s">
        <v>29</v>
      </c>
      <c r="D323">
        <v>4.7999999999999996E-7</v>
      </c>
      <c r="E323" t="s">
        <v>25</v>
      </c>
      <c r="F323">
        <v>4.8000000000000001E-4</v>
      </c>
      <c r="G323" t="s">
        <v>26</v>
      </c>
      <c r="H323">
        <v>0.48299999999999998</v>
      </c>
      <c r="I323" t="s">
        <v>27</v>
      </c>
    </row>
    <row r="324" spans="1:11" x14ac:dyDescent="0.3">
      <c r="A324" t="s">
        <v>34</v>
      </c>
      <c r="B324">
        <v>1000</v>
      </c>
      <c r="C324" t="s">
        <v>30</v>
      </c>
      <c r="D324">
        <v>1.484389E-2</v>
      </c>
      <c r="E324" t="s">
        <v>25</v>
      </c>
      <c r="F324">
        <v>14.84389</v>
      </c>
      <c r="G324" t="s">
        <v>26</v>
      </c>
      <c r="H324">
        <v>14843.888000000001</v>
      </c>
      <c r="I324" t="s">
        <v>27</v>
      </c>
    </row>
    <row r="325" spans="1:11" x14ac:dyDescent="0.3">
      <c r="A325" t="s">
        <v>34</v>
      </c>
      <c r="B325">
        <v>1000</v>
      </c>
      <c r="C325" t="s">
        <v>31</v>
      </c>
      <c r="D325">
        <v>1.4925539999999999E-2</v>
      </c>
      <c r="E325" t="s">
        <v>25</v>
      </c>
      <c r="F325">
        <v>14.92554</v>
      </c>
      <c r="G325" t="s">
        <v>26</v>
      </c>
      <c r="H325">
        <v>14925.543</v>
      </c>
      <c r="I325" t="s">
        <v>27</v>
      </c>
    </row>
    <row r="326" spans="1:11" x14ac:dyDescent="0.3">
      <c r="A326" t="s">
        <v>34</v>
      </c>
      <c r="B326">
        <v>1000</v>
      </c>
      <c r="C326" t="s">
        <v>32</v>
      </c>
      <c r="D326">
        <v>1.492741E-2</v>
      </c>
      <c r="E326" t="s">
        <v>25</v>
      </c>
      <c r="F326">
        <v>14.92741</v>
      </c>
      <c r="G326" t="s">
        <v>26</v>
      </c>
      <c r="H326">
        <v>14927.411</v>
      </c>
      <c r="I326" t="s">
        <v>27</v>
      </c>
      <c r="J326" t="s">
        <v>33</v>
      </c>
      <c r="K326">
        <v>66.990852899999993</v>
      </c>
    </row>
    <row r="327" spans="1:11" x14ac:dyDescent="0.3">
      <c r="A327" t="s">
        <v>35</v>
      </c>
      <c r="B327">
        <v>1001</v>
      </c>
      <c r="C327" t="s">
        <v>29</v>
      </c>
      <c r="D327">
        <v>9.4900000000000006E-6</v>
      </c>
      <c r="E327" t="s">
        <v>25</v>
      </c>
      <c r="F327">
        <v>9.4900000000000002E-3</v>
      </c>
      <c r="G327" t="s">
        <v>26</v>
      </c>
      <c r="H327">
        <v>9.4939999999999998</v>
      </c>
      <c r="I327" t="s">
        <v>27</v>
      </c>
    </row>
    <row r="328" spans="1:11" x14ac:dyDescent="0.3">
      <c r="A328" t="s">
        <v>35</v>
      </c>
      <c r="B328">
        <v>1001</v>
      </c>
      <c r="C328" t="s">
        <v>30</v>
      </c>
      <c r="D328">
        <v>1.4844939999999999E-2</v>
      </c>
      <c r="E328" t="s">
        <v>25</v>
      </c>
      <c r="F328">
        <v>14.844939999999999</v>
      </c>
      <c r="G328" t="s">
        <v>26</v>
      </c>
      <c r="H328">
        <v>14844.945</v>
      </c>
      <c r="I328" t="s">
        <v>27</v>
      </c>
    </row>
    <row r="329" spans="1:11" x14ac:dyDescent="0.3">
      <c r="A329" t="s">
        <v>35</v>
      </c>
      <c r="B329">
        <v>1001</v>
      </c>
      <c r="C329" t="s">
        <v>31</v>
      </c>
      <c r="D329">
        <v>1.492652E-2</v>
      </c>
      <c r="E329" t="s">
        <v>25</v>
      </c>
      <c r="F329">
        <v>14.92652</v>
      </c>
      <c r="G329" t="s">
        <v>26</v>
      </c>
      <c r="H329">
        <v>14926.52</v>
      </c>
      <c r="I329" t="s">
        <v>27</v>
      </c>
    </row>
    <row r="330" spans="1:11" x14ac:dyDescent="0.3">
      <c r="A330" t="s">
        <v>35</v>
      </c>
      <c r="B330">
        <v>1001</v>
      </c>
      <c r="C330" t="s">
        <v>32</v>
      </c>
      <c r="D330">
        <v>1.49374E-2</v>
      </c>
      <c r="E330" t="s">
        <v>25</v>
      </c>
      <c r="F330">
        <v>14.9374</v>
      </c>
      <c r="G330" t="s">
        <v>26</v>
      </c>
      <c r="H330">
        <v>14937.397000000001</v>
      </c>
      <c r="I330" t="s">
        <v>27</v>
      </c>
      <c r="J330" t="s">
        <v>33</v>
      </c>
      <c r="K330">
        <v>66.946068299999993</v>
      </c>
    </row>
    <row r="331" spans="1:11" x14ac:dyDescent="0.3">
      <c r="A331" t="s">
        <v>36</v>
      </c>
      <c r="B331">
        <v>1001</v>
      </c>
      <c r="C331" t="s">
        <v>37</v>
      </c>
      <c r="D331">
        <v>1.4937799999999999E-2</v>
      </c>
      <c r="E331" t="s">
        <v>25</v>
      </c>
      <c r="F331">
        <v>14.937799999999999</v>
      </c>
      <c r="G331" t="s">
        <v>26</v>
      </c>
      <c r="H331">
        <v>14937.795</v>
      </c>
      <c r="I331" t="s">
        <v>27</v>
      </c>
      <c r="J331" t="s">
        <v>33</v>
      </c>
      <c r="K331">
        <v>66.944283499999997</v>
      </c>
    </row>
    <row r="332" spans="1:11" x14ac:dyDescent="0.3">
      <c r="A332" t="s">
        <v>8</v>
      </c>
    </row>
    <row r="333" spans="1:11" x14ac:dyDescent="0.3">
      <c r="A333" t="s">
        <v>20</v>
      </c>
    </row>
    <row r="334" spans="1:11" x14ac:dyDescent="0.3">
      <c r="A334" t="s">
        <v>40</v>
      </c>
    </row>
    <row r="335" spans="1:11" x14ac:dyDescent="0.3">
      <c r="A335" t="s">
        <v>58</v>
      </c>
    </row>
    <row r="336" spans="1:11" x14ac:dyDescent="0.3">
      <c r="A336" t="s">
        <v>23</v>
      </c>
      <c r="B336">
        <v>1</v>
      </c>
      <c r="C336" t="s">
        <v>32</v>
      </c>
      <c r="D336">
        <v>0.1626341</v>
      </c>
      <c r="E336" t="s">
        <v>25</v>
      </c>
      <c r="F336">
        <v>162.63409999999999</v>
      </c>
      <c r="G336" t="s">
        <v>26</v>
      </c>
      <c r="H336">
        <v>162634.10399999999</v>
      </c>
      <c r="I336" t="s">
        <v>27</v>
      </c>
      <c r="J336" t="s">
        <v>33</v>
      </c>
      <c r="K336">
        <v>6.1487717999999996</v>
      </c>
    </row>
    <row r="337" spans="1:11" x14ac:dyDescent="0.3">
      <c r="A337" t="s">
        <v>34</v>
      </c>
      <c r="B337">
        <v>1000</v>
      </c>
      <c r="C337" t="s">
        <v>32</v>
      </c>
      <c r="D337">
        <v>1.298622E-2</v>
      </c>
      <c r="E337" t="s">
        <v>25</v>
      </c>
      <c r="F337">
        <v>12.986219999999999</v>
      </c>
      <c r="G337" t="s">
        <v>26</v>
      </c>
      <c r="H337">
        <v>12986.22</v>
      </c>
      <c r="I337" t="s">
        <v>27</v>
      </c>
      <c r="J337" t="s">
        <v>33</v>
      </c>
      <c r="K337">
        <v>77.004699799999997</v>
      </c>
    </row>
    <row r="338" spans="1:11" x14ac:dyDescent="0.3">
      <c r="A338" t="s">
        <v>36</v>
      </c>
      <c r="B338">
        <v>1001</v>
      </c>
      <c r="C338" t="s">
        <v>37</v>
      </c>
      <c r="D338">
        <v>1.313633E-2</v>
      </c>
      <c r="E338" t="s">
        <v>25</v>
      </c>
      <c r="F338">
        <v>13.136329999999999</v>
      </c>
      <c r="G338" t="s">
        <v>26</v>
      </c>
      <c r="H338">
        <v>13136.325000000001</v>
      </c>
      <c r="I338" t="s">
        <v>27</v>
      </c>
      <c r="J338" t="s">
        <v>33</v>
      </c>
      <c r="K338">
        <v>76.124788899999999</v>
      </c>
    </row>
    <row r="340" spans="1:11" x14ac:dyDescent="0.3">
      <c r="A340" t="s">
        <v>59</v>
      </c>
    </row>
    <row r="341" spans="1:11" x14ac:dyDescent="0.3">
      <c r="A341" t="s">
        <v>23</v>
      </c>
      <c r="B341">
        <v>1</v>
      </c>
      <c r="C341" t="s">
        <v>32</v>
      </c>
      <c r="D341">
        <v>2.4924600000000002E-2</v>
      </c>
      <c r="E341" t="s">
        <v>25</v>
      </c>
      <c r="F341">
        <v>24.924600000000002</v>
      </c>
      <c r="G341" t="s">
        <v>26</v>
      </c>
      <c r="H341">
        <v>24924.6</v>
      </c>
      <c r="I341" t="s">
        <v>27</v>
      </c>
      <c r="J341" t="s">
        <v>33</v>
      </c>
      <c r="K341">
        <v>40.121004200000002</v>
      </c>
    </row>
    <row r="342" spans="1:11" x14ac:dyDescent="0.3">
      <c r="A342" t="s">
        <v>34</v>
      </c>
      <c r="B342">
        <v>1000</v>
      </c>
      <c r="C342" t="s">
        <v>32</v>
      </c>
      <c r="D342">
        <v>1.492741E-2</v>
      </c>
      <c r="E342" t="s">
        <v>25</v>
      </c>
      <c r="F342">
        <v>14.92741</v>
      </c>
      <c r="G342" t="s">
        <v>26</v>
      </c>
      <c r="H342">
        <v>14927.411</v>
      </c>
      <c r="I342" t="s">
        <v>27</v>
      </c>
      <c r="J342" t="s">
        <v>33</v>
      </c>
      <c r="K342">
        <v>66.990852899999993</v>
      </c>
    </row>
    <row r="343" spans="1:11" x14ac:dyDescent="0.3">
      <c r="A343" t="s">
        <v>36</v>
      </c>
      <c r="B343">
        <v>1001</v>
      </c>
      <c r="C343" t="s">
        <v>37</v>
      </c>
      <c r="D343">
        <v>1.4937799999999999E-2</v>
      </c>
      <c r="E343" t="s">
        <v>25</v>
      </c>
      <c r="F343">
        <v>14.937799999999999</v>
      </c>
      <c r="G343" t="s">
        <v>26</v>
      </c>
      <c r="H343">
        <v>14937.795</v>
      </c>
      <c r="I343" t="s">
        <v>27</v>
      </c>
      <c r="J343" t="s">
        <v>33</v>
      </c>
      <c r="K343">
        <v>66.944283499999997</v>
      </c>
    </row>
    <row r="345" spans="1:11" x14ac:dyDescent="0.3">
      <c r="A345" t="s">
        <v>1</v>
      </c>
    </row>
    <row r="346" spans="1:11" x14ac:dyDescent="0.3">
      <c r="A346" t="s">
        <v>62</v>
      </c>
    </row>
    <row r="348" spans="1:11" x14ac:dyDescent="0.3">
      <c r="A348" t="s">
        <v>63</v>
      </c>
    </row>
    <row r="350" spans="1:11" x14ac:dyDescent="0.3">
      <c r="A350" t="s">
        <v>5</v>
      </c>
    </row>
    <row r="351" spans="1:11" x14ac:dyDescent="0.3">
      <c r="A351" t="s">
        <v>6</v>
      </c>
    </row>
    <row r="352" spans="1:11" x14ac:dyDescent="0.3">
      <c r="A352" t="s">
        <v>7</v>
      </c>
    </row>
    <row r="353" spans="1:9" x14ac:dyDescent="0.3">
      <c r="A353" t="s">
        <v>8</v>
      </c>
    </row>
    <row r="354" spans="1:9" x14ac:dyDescent="0.3">
      <c r="A354" t="s">
        <v>49</v>
      </c>
    </row>
    <row r="355" spans="1:9" x14ac:dyDescent="0.3">
      <c r="A355" t="s">
        <v>50</v>
      </c>
    </row>
    <row r="356" spans="1:9" x14ac:dyDescent="0.3">
      <c r="A356" t="s">
        <v>11</v>
      </c>
    </row>
    <row r="357" spans="1:9" x14ac:dyDescent="0.3">
      <c r="A357" t="s">
        <v>12</v>
      </c>
    </row>
    <row r="358" spans="1:9" x14ac:dyDescent="0.3">
      <c r="A358" t="s">
        <v>51</v>
      </c>
    </row>
    <row r="359" spans="1:9" x14ac:dyDescent="0.3">
      <c r="A359" t="s">
        <v>52</v>
      </c>
    </row>
    <row r="360" spans="1:9" x14ac:dyDescent="0.3">
      <c r="A360" t="s">
        <v>53</v>
      </c>
    </row>
    <row r="361" spans="1:9" x14ac:dyDescent="0.3">
      <c r="A361" t="s">
        <v>54</v>
      </c>
    </row>
    <row r="362" spans="1:9" x14ac:dyDescent="0.3">
      <c r="A362" t="s">
        <v>55</v>
      </c>
    </row>
    <row r="363" spans="1:9" x14ac:dyDescent="0.3">
      <c r="A363" t="s">
        <v>18</v>
      </c>
    </row>
    <row r="364" spans="1:9" x14ac:dyDescent="0.3">
      <c r="A364" t="s">
        <v>19</v>
      </c>
    </row>
    <row r="365" spans="1:9" x14ac:dyDescent="0.3">
      <c r="A365" t="s">
        <v>20</v>
      </c>
    </row>
    <row r="366" spans="1:9" x14ac:dyDescent="0.3">
      <c r="A366" t="s">
        <v>21</v>
      </c>
    </row>
    <row r="367" spans="1:9" x14ac:dyDescent="0.3">
      <c r="A367" t="s">
        <v>56</v>
      </c>
    </row>
    <row r="368" spans="1:9" x14ac:dyDescent="0.3">
      <c r="A368" t="s">
        <v>23</v>
      </c>
      <c r="B368">
        <v>1</v>
      </c>
      <c r="C368" t="s">
        <v>24</v>
      </c>
      <c r="D368">
        <v>4.7999999999999998E-6</v>
      </c>
      <c r="E368" t="s">
        <v>25</v>
      </c>
      <c r="F368">
        <v>4.7999999999999996E-3</v>
      </c>
      <c r="G368" t="s">
        <v>26</v>
      </c>
      <c r="H368">
        <v>4.8</v>
      </c>
      <c r="I368" t="s">
        <v>27</v>
      </c>
    </row>
    <row r="369" spans="1:11" x14ac:dyDescent="0.3">
      <c r="A369" t="s">
        <v>23</v>
      </c>
      <c r="B369">
        <v>1</v>
      </c>
      <c r="C369" t="s">
        <v>28</v>
      </c>
      <c r="D369">
        <v>0.1174883</v>
      </c>
      <c r="E369" t="s">
        <v>25</v>
      </c>
      <c r="F369">
        <v>117.4883</v>
      </c>
      <c r="G369" t="s">
        <v>26</v>
      </c>
      <c r="H369">
        <v>117488.302</v>
      </c>
      <c r="I369" t="s">
        <v>27</v>
      </c>
    </row>
    <row r="370" spans="1:11" x14ac:dyDescent="0.3">
      <c r="A370" t="s">
        <v>23</v>
      </c>
      <c r="B370">
        <v>1</v>
      </c>
      <c r="C370" t="s">
        <v>29</v>
      </c>
      <c r="D370">
        <v>0.1487059</v>
      </c>
      <c r="E370" t="s">
        <v>25</v>
      </c>
      <c r="F370">
        <v>148.70590000000001</v>
      </c>
      <c r="G370" t="s">
        <v>26</v>
      </c>
      <c r="H370">
        <v>148705.9</v>
      </c>
      <c r="I370" t="s">
        <v>27</v>
      </c>
    </row>
    <row r="371" spans="1:11" x14ac:dyDescent="0.3">
      <c r="A371" t="s">
        <v>23</v>
      </c>
      <c r="B371">
        <v>1</v>
      </c>
      <c r="C371" t="s">
        <v>30</v>
      </c>
      <c r="D371">
        <v>1.3056399999999999E-2</v>
      </c>
      <c r="E371" t="s">
        <v>25</v>
      </c>
      <c r="F371">
        <v>13.0564</v>
      </c>
      <c r="G371" t="s">
        <v>26</v>
      </c>
      <c r="H371">
        <v>13056.4</v>
      </c>
      <c r="I371" t="s">
        <v>27</v>
      </c>
    </row>
    <row r="372" spans="1:11" x14ac:dyDescent="0.3">
      <c r="A372" t="s">
        <v>23</v>
      </c>
      <c r="B372">
        <v>1</v>
      </c>
      <c r="C372" t="s">
        <v>31</v>
      </c>
      <c r="D372">
        <v>1.3058699999999999E-2</v>
      </c>
      <c r="E372" t="s">
        <v>25</v>
      </c>
      <c r="F372">
        <v>13.0587</v>
      </c>
      <c r="G372" t="s">
        <v>26</v>
      </c>
      <c r="H372">
        <v>13058.7</v>
      </c>
      <c r="I372" t="s">
        <v>27</v>
      </c>
    </row>
    <row r="373" spans="1:11" x14ac:dyDescent="0.3">
      <c r="A373" t="s">
        <v>23</v>
      </c>
      <c r="B373">
        <v>1</v>
      </c>
      <c r="C373" t="s">
        <v>32</v>
      </c>
      <c r="D373">
        <v>0.16176779999999999</v>
      </c>
      <c r="E373" t="s">
        <v>25</v>
      </c>
      <c r="F373">
        <v>161.76779999999999</v>
      </c>
      <c r="G373" t="s">
        <v>26</v>
      </c>
      <c r="H373">
        <v>161767.796</v>
      </c>
      <c r="I373" t="s">
        <v>27</v>
      </c>
      <c r="J373" t="s">
        <v>33</v>
      </c>
      <c r="K373">
        <v>6.1817000999999996</v>
      </c>
    </row>
    <row r="374" spans="1:11" x14ac:dyDescent="0.3">
      <c r="A374" t="s">
        <v>34</v>
      </c>
      <c r="B374">
        <v>1000</v>
      </c>
      <c r="C374" t="s">
        <v>29</v>
      </c>
      <c r="D374">
        <v>2.7947999999999997E-4</v>
      </c>
      <c r="E374" t="s">
        <v>25</v>
      </c>
      <c r="F374">
        <v>0.27948000000000001</v>
      </c>
      <c r="G374" t="s">
        <v>26</v>
      </c>
      <c r="H374">
        <v>279.48</v>
      </c>
      <c r="I374" t="s">
        <v>27</v>
      </c>
    </row>
    <row r="375" spans="1:11" x14ac:dyDescent="0.3">
      <c r="A375" t="s">
        <v>34</v>
      </c>
      <c r="B375">
        <v>1000</v>
      </c>
      <c r="C375" t="s">
        <v>30</v>
      </c>
      <c r="D375">
        <v>1.284598E-2</v>
      </c>
      <c r="E375" t="s">
        <v>25</v>
      </c>
      <c r="F375">
        <v>12.845980000000001</v>
      </c>
      <c r="G375" t="s">
        <v>26</v>
      </c>
      <c r="H375">
        <v>12845.977999999999</v>
      </c>
      <c r="I375" t="s">
        <v>27</v>
      </c>
    </row>
    <row r="376" spans="1:11" x14ac:dyDescent="0.3">
      <c r="A376" t="s">
        <v>34</v>
      </c>
      <c r="B376">
        <v>1000</v>
      </c>
      <c r="C376" t="s">
        <v>31</v>
      </c>
      <c r="D376">
        <v>1.2846460000000001E-2</v>
      </c>
      <c r="E376" t="s">
        <v>25</v>
      </c>
      <c r="F376">
        <v>12.84646</v>
      </c>
      <c r="G376" t="s">
        <v>26</v>
      </c>
      <c r="H376">
        <v>12846.457</v>
      </c>
      <c r="I376" t="s">
        <v>27</v>
      </c>
    </row>
    <row r="377" spans="1:11" x14ac:dyDescent="0.3">
      <c r="A377" t="s">
        <v>34</v>
      </c>
      <c r="B377">
        <v>1000</v>
      </c>
      <c r="C377" t="s">
        <v>32</v>
      </c>
      <c r="D377">
        <v>1.31267E-2</v>
      </c>
      <c r="E377" t="s">
        <v>25</v>
      </c>
      <c r="F377">
        <v>13.1267</v>
      </c>
      <c r="G377" t="s">
        <v>26</v>
      </c>
      <c r="H377">
        <v>13126.701999999999</v>
      </c>
      <c r="I377" t="s">
        <v>27</v>
      </c>
      <c r="J377" t="s">
        <v>33</v>
      </c>
      <c r="K377">
        <v>76.180595600000004</v>
      </c>
    </row>
    <row r="378" spans="1:11" x14ac:dyDescent="0.3">
      <c r="A378" t="s">
        <v>35</v>
      </c>
      <c r="B378">
        <v>1001</v>
      </c>
      <c r="C378" t="s">
        <v>29</v>
      </c>
      <c r="D378">
        <v>4.2776000000000001E-4</v>
      </c>
      <c r="E378" t="s">
        <v>25</v>
      </c>
      <c r="F378">
        <v>0.42775999999999997</v>
      </c>
      <c r="G378" t="s">
        <v>26</v>
      </c>
      <c r="H378">
        <v>427.75799999999998</v>
      </c>
      <c r="I378" t="s">
        <v>27</v>
      </c>
    </row>
    <row r="379" spans="1:11" x14ac:dyDescent="0.3">
      <c r="A379" t="s">
        <v>35</v>
      </c>
      <c r="B379">
        <v>1001</v>
      </c>
      <c r="C379" t="s">
        <v>30</v>
      </c>
      <c r="D379">
        <v>1.284619E-2</v>
      </c>
      <c r="E379" t="s">
        <v>25</v>
      </c>
      <c r="F379">
        <v>12.84619</v>
      </c>
      <c r="G379" t="s">
        <v>26</v>
      </c>
      <c r="H379">
        <v>12846.188</v>
      </c>
      <c r="I379" t="s">
        <v>27</v>
      </c>
    </row>
    <row r="380" spans="1:11" x14ac:dyDescent="0.3">
      <c r="A380" t="s">
        <v>35</v>
      </c>
      <c r="B380">
        <v>1001</v>
      </c>
      <c r="C380" t="s">
        <v>31</v>
      </c>
      <c r="D380">
        <v>1.2846669999999999E-2</v>
      </c>
      <c r="E380" t="s">
        <v>25</v>
      </c>
      <c r="F380">
        <v>12.84667</v>
      </c>
      <c r="G380" t="s">
        <v>26</v>
      </c>
      <c r="H380">
        <v>12846.669</v>
      </c>
      <c r="I380" t="s">
        <v>27</v>
      </c>
    </row>
    <row r="381" spans="1:11" x14ac:dyDescent="0.3">
      <c r="A381" t="s">
        <v>35</v>
      </c>
      <c r="B381">
        <v>1001</v>
      </c>
      <c r="C381" t="s">
        <v>32</v>
      </c>
      <c r="D381">
        <v>1.3275189999999999E-2</v>
      </c>
      <c r="E381" t="s">
        <v>25</v>
      </c>
      <c r="F381">
        <v>13.27519</v>
      </c>
      <c r="G381" t="s">
        <v>26</v>
      </c>
      <c r="H381">
        <v>13275.191999999999</v>
      </c>
      <c r="I381" t="s">
        <v>27</v>
      </c>
      <c r="J381" t="s">
        <v>33</v>
      </c>
      <c r="K381">
        <v>75.328476100000003</v>
      </c>
    </row>
    <row r="382" spans="1:11" x14ac:dyDescent="0.3">
      <c r="A382" t="s">
        <v>36</v>
      </c>
      <c r="B382">
        <v>1001</v>
      </c>
      <c r="C382" t="s">
        <v>37</v>
      </c>
      <c r="D382">
        <v>1.327556E-2</v>
      </c>
      <c r="E382" t="s">
        <v>25</v>
      </c>
      <c r="F382">
        <v>13.27556</v>
      </c>
      <c r="G382" t="s">
        <v>26</v>
      </c>
      <c r="H382">
        <v>13275.558000000001</v>
      </c>
      <c r="I382" t="s">
        <v>27</v>
      </c>
      <c r="J382" t="s">
        <v>33</v>
      </c>
      <c r="K382">
        <v>75.326400300000003</v>
      </c>
    </row>
    <row r="383" spans="1:11" x14ac:dyDescent="0.3">
      <c r="A383" t="s">
        <v>38</v>
      </c>
    </row>
    <row r="384" spans="1:11" x14ac:dyDescent="0.3">
      <c r="A384" t="s">
        <v>57</v>
      </c>
    </row>
    <row r="385" spans="1:11" x14ac:dyDescent="0.3">
      <c r="A385" t="s">
        <v>23</v>
      </c>
      <c r="B385">
        <v>1</v>
      </c>
      <c r="C385" t="s">
        <v>24</v>
      </c>
      <c r="D385">
        <v>4.7999999999999998E-6</v>
      </c>
      <c r="E385" t="s">
        <v>25</v>
      </c>
      <c r="F385">
        <v>4.7999999999999996E-3</v>
      </c>
      <c r="G385" t="s">
        <v>26</v>
      </c>
      <c r="H385">
        <v>4.8</v>
      </c>
      <c r="I385" t="s">
        <v>27</v>
      </c>
    </row>
    <row r="386" spans="1:11" x14ac:dyDescent="0.3">
      <c r="A386" t="s">
        <v>23</v>
      </c>
      <c r="B386">
        <v>1</v>
      </c>
      <c r="C386" t="s">
        <v>28</v>
      </c>
      <c r="D386">
        <v>4.5320000000000001E-4</v>
      </c>
      <c r="E386" t="s">
        <v>25</v>
      </c>
      <c r="F386">
        <v>0.45319999999999999</v>
      </c>
      <c r="G386" t="s">
        <v>26</v>
      </c>
      <c r="H386">
        <v>453.2</v>
      </c>
      <c r="I386" t="s">
        <v>27</v>
      </c>
    </row>
    <row r="387" spans="1:11" x14ac:dyDescent="0.3">
      <c r="A387" t="s">
        <v>23</v>
      </c>
      <c r="B387">
        <v>1</v>
      </c>
      <c r="C387" t="s">
        <v>29</v>
      </c>
      <c r="D387">
        <v>9.2621000000000005E-3</v>
      </c>
      <c r="E387" t="s">
        <v>25</v>
      </c>
      <c r="F387">
        <v>9.2621000000000002</v>
      </c>
      <c r="G387" t="s">
        <v>26</v>
      </c>
      <c r="H387">
        <v>9262.1</v>
      </c>
      <c r="I387" t="s">
        <v>27</v>
      </c>
    </row>
    <row r="388" spans="1:11" x14ac:dyDescent="0.3">
      <c r="A388" t="s">
        <v>23</v>
      </c>
      <c r="B388">
        <v>1</v>
      </c>
      <c r="C388" t="s">
        <v>30</v>
      </c>
      <c r="D388">
        <v>1.6972500000000001E-2</v>
      </c>
      <c r="E388" t="s">
        <v>25</v>
      </c>
      <c r="F388">
        <v>16.9725</v>
      </c>
      <c r="G388" t="s">
        <v>26</v>
      </c>
      <c r="H388">
        <v>16972.501</v>
      </c>
      <c r="I388" t="s">
        <v>27</v>
      </c>
    </row>
    <row r="389" spans="1:11" x14ac:dyDescent="0.3">
      <c r="A389" t="s">
        <v>23</v>
      </c>
      <c r="B389">
        <v>1</v>
      </c>
      <c r="C389" t="s">
        <v>31</v>
      </c>
      <c r="D389">
        <v>1.6973200000000001E-2</v>
      </c>
      <c r="E389" t="s">
        <v>25</v>
      </c>
      <c r="F389">
        <v>16.973199999999999</v>
      </c>
      <c r="G389" t="s">
        <v>26</v>
      </c>
      <c r="H389">
        <v>16973.199000000001</v>
      </c>
      <c r="I389" t="s">
        <v>27</v>
      </c>
    </row>
    <row r="390" spans="1:11" x14ac:dyDescent="0.3">
      <c r="A390" t="s">
        <v>23</v>
      </c>
      <c r="B390">
        <v>1</v>
      </c>
      <c r="C390" t="s">
        <v>32</v>
      </c>
      <c r="D390">
        <v>2.6236200000000001E-2</v>
      </c>
      <c r="E390" t="s">
        <v>25</v>
      </c>
      <c r="F390">
        <v>26.2362</v>
      </c>
      <c r="G390" t="s">
        <v>26</v>
      </c>
      <c r="H390">
        <v>26236.201000000001</v>
      </c>
      <c r="I390" t="s">
        <v>27</v>
      </c>
      <c r="J390" t="s">
        <v>33</v>
      </c>
      <c r="K390">
        <v>38.115274800000002</v>
      </c>
    </row>
    <row r="391" spans="1:11" x14ac:dyDescent="0.3">
      <c r="A391" t="s">
        <v>34</v>
      </c>
      <c r="B391">
        <v>1000</v>
      </c>
      <c r="C391" t="s">
        <v>29</v>
      </c>
      <c r="D391">
        <v>2.8687E-4</v>
      </c>
      <c r="E391" t="s">
        <v>25</v>
      </c>
      <c r="F391">
        <v>0.28687000000000001</v>
      </c>
      <c r="G391" t="s">
        <v>26</v>
      </c>
      <c r="H391">
        <v>286.87299999999999</v>
      </c>
      <c r="I391" t="s">
        <v>27</v>
      </c>
    </row>
    <row r="392" spans="1:11" x14ac:dyDescent="0.3">
      <c r="A392" t="s">
        <v>34</v>
      </c>
      <c r="B392">
        <v>1000</v>
      </c>
      <c r="C392" t="s">
        <v>30</v>
      </c>
      <c r="D392">
        <v>1.48092E-2</v>
      </c>
      <c r="E392" t="s">
        <v>25</v>
      </c>
      <c r="F392">
        <v>14.809200000000001</v>
      </c>
      <c r="G392" t="s">
        <v>26</v>
      </c>
      <c r="H392">
        <v>14809.201999999999</v>
      </c>
      <c r="I392" t="s">
        <v>27</v>
      </c>
    </row>
    <row r="393" spans="1:11" x14ac:dyDescent="0.3">
      <c r="A393" t="s">
        <v>34</v>
      </c>
      <c r="B393">
        <v>1000</v>
      </c>
      <c r="C393" t="s">
        <v>31</v>
      </c>
      <c r="D393">
        <v>1.488533E-2</v>
      </c>
      <c r="E393" t="s">
        <v>25</v>
      </c>
      <c r="F393">
        <v>14.88533</v>
      </c>
      <c r="G393" t="s">
        <v>26</v>
      </c>
      <c r="H393">
        <v>14885.334999999999</v>
      </c>
      <c r="I393" t="s">
        <v>27</v>
      </c>
    </row>
    <row r="394" spans="1:11" x14ac:dyDescent="0.3">
      <c r="A394" t="s">
        <v>34</v>
      </c>
      <c r="B394">
        <v>1000</v>
      </c>
      <c r="C394" t="s">
        <v>32</v>
      </c>
      <c r="D394">
        <v>1.517375E-2</v>
      </c>
      <c r="E394" t="s">
        <v>25</v>
      </c>
      <c r="F394">
        <v>15.17375</v>
      </c>
      <c r="G394" t="s">
        <v>26</v>
      </c>
      <c r="H394">
        <v>15173.746999999999</v>
      </c>
      <c r="I394" t="s">
        <v>27</v>
      </c>
      <c r="J394" t="s">
        <v>33</v>
      </c>
      <c r="K394">
        <v>65.903299700000005</v>
      </c>
    </row>
    <row r="395" spans="1:11" x14ac:dyDescent="0.3">
      <c r="A395" t="s">
        <v>35</v>
      </c>
      <c r="B395">
        <v>1001</v>
      </c>
      <c r="C395" t="s">
        <v>29</v>
      </c>
      <c r="D395">
        <v>2.9584000000000001E-4</v>
      </c>
      <c r="E395" t="s">
        <v>25</v>
      </c>
      <c r="F395">
        <v>0.29583999999999999</v>
      </c>
      <c r="G395" t="s">
        <v>26</v>
      </c>
      <c r="H395">
        <v>295.83999999999997</v>
      </c>
      <c r="I395" t="s">
        <v>27</v>
      </c>
    </row>
    <row r="396" spans="1:11" x14ac:dyDescent="0.3">
      <c r="A396" t="s">
        <v>35</v>
      </c>
      <c r="B396">
        <v>1001</v>
      </c>
      <c r="C396" t="s">
        <v>30</v>
      </c>
      <c r="D396">
        <v>1.4811360000000001E-2</v>
      </c>
      <c r="E396" t="s">
        <v>25</v>
      </c>
      <c r="F396">
        <v>14.811360000000001</v>
      </c>
      <c r="G396" t="s">
        <v>26</v>
      </c>
      <c r="H396">
        <v>14811.362999999999</v>
      </c>
      <c r="I396" t="s">
        <v>27</v>
      </c>
    </row>
    <row r="397" spans="1:11" x14ac:dyDescent="0.3">
      <c r="A397" t="s">
        <v>35</v>
      </c>
      <c r="B397">
        <v>1001</v>
      </c>
      <c r="C397" t="s">
        <v>31</v>
      </c>
      <c r="D397">
        <v>1.488742E-2</v>
      </c>
      <c r="E397" t="s">
        <v>25</v>
      </c>
      <c r="F397">
        <v>14.887420000000001</v>
      </c>
      <c r="G397" t="s">
        <v>26</v>
      </c>
      <c r="H397">
        <v>14887.42</v>
      </c>
      <c r="I397" t="s">
        <v>27</v>
      </c>
    </row>
    <row r="398" spans="1:11" x14ac:dyDescent="0.3">
      <c r="A398" t="s">
        <v>35</v>
      </c>
      <c r="B398">
        <v>1001</v>
      </c>
      <c r="C398" t="s">
        <v>32</v>
      </c>
      <c r="D398">
        <v>1.51848E-2</v>
      </c>
      <c r="E398" t="s">
        <v>25</v>
      </c>
      <c r="F398">
        <v>15.184799999999999</v>
      </c>
      <c r="G398" t="s">
        <v>26</v>
      </c>
      <c r="H398">
        <v>15184.799000000001</v>
      </c>
      <c r="I398" t="s">
        <v>27</v>
      </c>
      <c r="J398" t="s">
        <v>33</v>
      </c>
      <c r="K398">
        <v>65.855334200000001</v>
      </c>
    </row>
    <row r="399" spans="1:11" x14ac:dyDescent="0.3">
      <c r="A399" t="s">
        <v>36</v>
      </c>
      <c r="B399">
        <v>1001</v>
      </c>
      <c r="C399" t="s">
        <v>37</v>
      </c>
      <c r="D399">
        <v>1.518513E-2</v>
      </c>
      <c r="E399" t="s">
        <v>25</v>
      </c>
      <c r="F399">
        <v>15.185129999999999</v>
      </c>
      <c r="G399" t="s">
        <v>26</v>
      </c>
      <c r="H399">
        <v>15185.134</v>
      </c>
      <c r="I399" t="s">
        <v>27</v>
      </c>
      <c r="J399" t="s">
        <v>33</v>
      </c>
      <c r="K399">
        <v>65.853879800000001</v>
      </c>
    </row>
    <row r="400" spans="1:11" x14ac:dyDescent="0.3">
      <c r="A400" t="s">
        <v>8</v>
      </c>
    </row>
    <row r="401" spans="1:11" x14ac:dyDescent="0.3">
      <c r="A401" t="s">
        <v>20</v>
      </c>
    </row>
    <row r="402" spans="1:11" x14ac:dyDescent="0.3">
      <c r="A402" t="s">
        <v>40</v>
      </c>
    </row>
    <row r="403" spans="1:11" x14ac:dyDescent="0.3">
      <c r="A403" t="s">
        <v>58</v>
      </c>
    </row>
    <row r="404" spans="1:11" x14ac:dyDescent="0.3">
      <c r="A404" t="s">
        <v>23</v>
      </c>
      <c r="B404">
        <v>1</v>
      </c>
      <c r="C404" t="s">
        <v>32</v>
      </c>
      <c r="D404">
        <v>0.16176779999999999</v>
      </c>
      <c r="E404" t="s">
        <v>25</v>
      </c>
      <c r="F404">
        <v>161.76779999999999</v>
      </c>
      <c r="G404" t="s">
        <v>26</v>
      </c>
      <c r="H404">
        <v>161767.796</v>
      </c>
      <c r="I404" t="s">
        <v>27</v>
      </c>
      <c r="J404" t="s">
        <v>33</v>
      </c>
      <c r="K404">
        <v>6.1817000999999996</v>
      </c>
    </row>
    <row r="405" spans="1:11" x14ac:dyDescent="0.3">
      <c r="A405" t="s">
        <v>34</v>
      </c>
      <c r="B405">
        <v>1000</v>
      </c>
      <c r="C405" t="s">
        <v>32</v>
      </c>
      <c r="D405">
        <v>1.31267E-2</v>
      </c>
      <c r="E405" t="s">
        <v>25</v>
      </c>
      <c r="F405">
        <v>13.1267</v>
      </c>
      <c r="G405" t="s">
        <v>26</v>
      </c>
      <c r="H405">
        <v>13126.701999999999</v>
      </c>
      <c r="I405" t="s">
        <v>27</v>
      </c>
      <c r="J405" t="s">
        <v>33</v>
      </c>
      <c r="K405">
        <v>76.180595600000004</v>
      </c>
    </row>
    <row r="406" spans="1:11" x14ac:dyDescent="0.3">
      <c r="A406" t="s">
        <v>36</v>
      </c>
      <c r="B406">
        <v>1001</v>
      </c>
      <c r="C406" t="s">
        <v>37</v>
      </c>
      <c r="D406">
        <v>1.327556E-2</v>
      </c>
      <c r="E406" t="s">
        <v>25</v>
      </c>
      <c r="F406">
        <v>13.27556</v>
      </c>
      <c r="G406" t="s">
        <v>26</v>
      </c>
      <c r="H406">
        <v>13275.558000000001</v>
      </c>
      <c r="I406" t="s">
        <v>27</v>
      </c>
      <c r="J406" t="s">
        <v>33</v>
      </c>
      <c r="K406">
        <v>75.326400300000003</v>
      </c>
    </row>
    <row r="408" spans="1:11" x14ac:dyDescent="0.3">
      <c r="A408" t="s">
        <v>59</v>
      </c>
    </row>
    <row r="409" spans="1:11" x14ac:dyDescent="0.3">
      <c r="A409" t="s">
        <v>23</v>
      </c>
      <c r="B409">
        <v>1</v>
      </c>
      <c r="C409" t="s">
        <v>32</v>
      </c>
      <c r="D409">
        <v>2.6236200000000001E-2</v>
      </c>
      <c r="E409" t="s">
        <v>25</v>
      </c>
      <c r="F409">
        <v>26.2362</v>
      </c>
      <c r="G409" t="s">
        <v>26</v>
      </c>
      <c r="H409">
        <v>26236.201000000001</v>
      </c>
      <c r="I409" t="s">
        <v>27</v>
      </c>
      <c r="J409" t="s">
        <v>33</v>
      </c>
      <c r="K409">
        <v>38.115274800000002</v>
      </c>
    </row>
    <row r="410" spans="1:11" x14ac:dyDescent="0.3">
      <c r="A410" t="s">
        <v>34</v>
      </c>
      <c r="B410">
        <v>1000</v>
      </c>
      <c r="C410" t="s">
        <v>32</v>
      </c>
      <c r="D410">
        <v>1.517375E-2</v>
      </c>
      <c r="E410" t="s">
        <v>25</v>
      </c>
      <c r="F410">
        <v>15.17375</v>
      </c>
      <c r="G410" t="s">
        <v>26</v>
      </c>
      <c r="H410">
        <v>15173.746999999999</v>
      </c>
      <c r="I410" t="s">
        <v>27</v>
      </c>
      <c r="J410" t="s">
        <v>33</v>
      </c>
      <c r="K410">
        <v>65.903299700000005</v>
      </c>
    </row>
    <row r="411" spans="1:11" x14ac:dyDescent="0.3">
      <c r="A411" t="s">
        <v>36</v>
      </c>
      <c r="B411">
        <v>1001</v>
      </c>
      <c r="C411" t="s">
        <v>37</v>
      </c>
      <c r="D411">
        <v>1.518513E-2</v>
      </c>
      <c r="E411" t="s">
        <v>25</v>
      </c>
      <c r="F411">
        <v>15.185129999999999</v>
      </c>
      <c r="G411" t="s">
        <v>26</v>
      </c>
      <c r="H411">
        <v>15185.134</v>
      </c>
      <c r="I411" t="s">
        <v>27</v>
      </c>
      <c r="J411" t="s">
        <v>33</v>
      </c>
      <c r="K411">
        <v>65.853879800000001</v>
      </c>
    </row>
    <row r="413" spans="1:11" x14ac:dyDescent="0.3">
      <c r="A413" t="s">
        <v>1</v>
      </c>
    </row>
    <row r="414" spans="1:11" x14ac:dyDescent="0.3">
      <c r="A414" t="s">
        <v>64</v>
      </c>
    </row>
    <row r="415" spans="1:11" x14ac:dyDescent="0.3">
      <c r="A415" t="s">
        <v>3</v>
      </c>
    </row>
    <row r="417" spans="1:1" x14ac:dyDescent="0.3">
      <c r="A417" t="s">
        <v>65</v>
      </c>
    </row>
    <row r="419" spans="1:1" x14ac:dyDescent="0.3">
      <c r="A419" t="s">
        <v>5</v>
      </c>
    </row>
    <row r="420" spans="1:1" x14ac:dyDescent="0.3">
      <c r="A420" t="s">
        <v>6</v>
      </c>
    </row>
    <row r="421" spans="1:1" x14ac:dyDescent="0.3">
      <c r="A421" t="s">
        <v>7</v>
      </c>
    </row>
    <row r="422" spans="1:1" x14ac:dyDescent="0.3">
      <c r="A422" t="s">
        <v>8</v>
      </c>
    </row>
    <row r="423" spans="1:1" x14ac:dyDescent="0.3">
      <c r="A423" t="s">
        <v>66</v>
      </c>
    </row>
    <row r="424" spans="1:1" x14ac:dyDescent="0.3">
      <c r="A424" t="s">
        <v>67</v>
      </c>
    </row>
    <row r="425" spans="1:1" x14ac:dyDescent="0.3">
      <c r="A425" t="s">
        <v>11</v>
      </c>
    </row>
    <row r="426" spans="1:1" x14ac:dyDescent="0.3">
      <c r="A426" t="s">
        <v>12</v>
      </c>
    </row>
    <row r="427" spans="1:1" x14ac:dyDescent="0.3">
      <c r="A427" t="s">
        <v>51</v>
      </c>
    </row>
    <row r="428" spans="1:1" x14ac:dyDescent="0.3">
      <c r="A428" t="s">
        <v>52</v>
      </c>
    </row>
    <row r="429" spans="1:1" x14ac:dyDescent="0.3">
      <c r="A429" t="s">
        <v>68</v>
      </c>
    </row>
    <row r="430" spans="1:1" x14ac:dyDescent="0.3">
      <c r="A430" t="s">
        <v>69</v>
      </c>
    </row>
    <row r="431" spans="1:1" x14ac:dyDescent="0.3">
      <c r="A431" t="s">
        <v>55</v>
      </c>
    </row>
    <row r="432" spans="1:1" x14ac:dyDescent="0.3">
      <c r="A432" t="s">
        <v>18</v>
      </c>
    </row>
    <row r="433" spans="1:11" x14ac:dyDescent="0.3">
      <c r="A433" t="s">
        <v>19</v>
      </c>
    </row>
    <row r="434" spans="1:11" x14ac:dyDescent="0.3">
      <c r="A434" t="s">
        <v>20</v>
      </c>
    </row>
    <row r="435" spans="1:11" x14ac:dyDescent="0.3">
      <c r="A435" t="s">
        <v>21</v>
      </c>
    </row>
    <row r="436" spans="1:11" x14ac:dyDescent="0.3">
      <c r="A436" t="s">
        <v>70</v>
      </c>
    </row>
    <row r="437" spans="1:11" x14ac:dyDescent="0.3">
      <c r="A437" t="s">
        <v>23</v>
      </c>
      <c r="B437">
        <v>1</v>
      </c>
      <c r="C437" t="s">
        <v>24</v>
      </c>
      <c r="D437">
        <v>4.4000000000000002E-6</v>
      </c>
      <c r="E437" t="s">
        <v>25</v>
      </c>
      <c r="F437">
        <v>4.4000000000000003E-3</v>
      </c>
      <c r="G437" t="s">
        <v>26</v>
      </c>
      <c r="H437">
        <v>4.4000000000000004</v>
      </c>
      <c r="I437" t="s">
        <v>27</v>
      </c>
    </row>
    <row r="438" spans="1:11" x14ac:dyDescent="0.3">
      <c r="A438" t="s">
        <v>23</v>
      </c>
      <c r="B438">
        <v>1</v>
      </c>
      <c r="C438" t="s">
        <v>28</v>
      </c>
      <c r="D438">
        <v>0.1076323</v>
      </c>
      <c r="E438" t="s">
        <v>25</v>
      </c>
      <c r="F438">
        <v>107.6323</v>
      </c>
      <c r="G438" t="s">
        <v>26</v>
      </c>
      <c r="H438">
        <v>107632.302</v>
      </c>
      <c r="I438" t="s">
        <v>27</v>
      </c>
    </row>
    <row r="439" spans="1:11" x14ac:dyDescent="0.3">
      <c r="A439" t="s">
        <v>23</v>
      </c>
      <c r="B439">
        <v>1</v>
      </c>
      <c r="C439" t="s">
        <v>29</v>
      </c>
      <c r="D439">
        <v>0.14941441</v>
      </c>
      <c r="E439" t="s">
        <v>25</v>
      </c>
      <c r="F439">
        <v>149.41441</v>
      </c>
      <c r="G439" t="s">
        <v>26</v>
      </c>
      <c r="H439">
        <v>149414.405</v>
      </c>
      <c r="I439" t="s">
        <v>27</v>
      </c>
    </row>
    <row r="440" spans="1:11" x14ac:dyDescent="0.3">
      <c r="A440" t="s">
        <v>23</v>
      </c>
      <c r="B440">
        <v>1</v>
      </c>
      <c r="C440" t="s">
        <v>30</v>
      </c>
      <c r="D440">
        <v>1.31001E-2</v>
      </c>
      <c r="E440" t="s">
        <v>25</v>
      </c>
      <c r="F440">
        <v>13.100099999999999</v>
      </c>
      <c r="G440" t="s">
        <v>26</v>
      </c>
      <c r="H440">
        <v>13100.1</v>
      </c>
      <c r="I440" t="s">
        <v>27</v>
      </c>
    </row>
    <row r="441" spans="1:11" x14ac:dyDescent="0.3">
      <c r="A441" t="s">
        <v>23</v>
      </c>
      <c r="B441">
        <v>1</v>
      </c>
      <c r="C441" t="s">
        <v>31</v>
      </c>
      <c r="D441">
        <v>1.3102300000000001E-2</v>
      </c>
      <c r="E441" t="s">
        <v>25</v>
      </c>
      <c r="F441">
        <v>13.1023</v>
      </c>
      <c r="G441" t="s">
        <v>26</v>
      </c>
      <c r="H441">
        <v>13102.3</v>
      </c>
      <c r="I441" t="s">
        <v>27</v>
      </c>
    </row>
    <row r="442" spans="1:11" x14ac:dyDescent="0.3">
      <c r="A442" t="s">
        <v>23</v>
      </c>
      <c r="B442">
        <v>1</v>
      </c>
      <c r="C442" t="s">
        <v>32</v>
      </c>
      <c r="D442">
        <v>0.16251950000000001</v>
      </c>
      <c r="E442" t="s">
        <v>25</v>
      </c>
      <c r="F442">
        <v>162.51949999999999</v>
      </c>
      <c r="G442" t="s">
        <v>26</v>
      </c>
      <c r="H442">
        <v>162519.5</v>
      </c>
      <c r="I442" t="s">
        <v>27</v>
      </c>
      <c r="J442" t="s">
        <v>33</v>
      </c>
      <c r="K442">
        <v>6.1531077999999999</v>
      </c>
    </row>
    <row r="443" spans="1:11" x14ac:dyDescent="0.3">
      <c r="A443" t="s">
        <v>34</v>
      </c>
      <c r="B443">
        <v>1000</v>
      </c>
      <c r="C443" t="s">
        <v>29</v>
      </c>
      <c r="D443">
        <v>2.4778000000000002E-4</v>
      </c>
      <c r="E443" t="s">
        <v>25</v>
      </c>
      <c r="F443">
        <v>0.24778</v>
      </c>
      <c r="G443" t="s">
        <v>26</v>
      </c>
      <c r="H443">
        <v>247.779</v>
      </c>
      <c r="I443" t="s">
        <v>27</v>
      </c>
    </row>
    <row r="444" spans="1:11" x14ac:dyDescent="0.3">
      <c r="A444" t="s">
        <v>34</v>
      </c>
      <c r="B444">
        <v>1000</v>
      </c>
      <c r="C444" t="s">
        <v>30</v>
      </c>
      <c r="D444">
        <v>7.2577000000000004E-4</v>
      </c>
      <c r="E444" t="s">
        <v>25</v>
      </c>
      <c r="F444">
        <v>0.72577000000000003</v>
      </c>
      <c r="G444" t="s">
        <v>26</v>
      </c>
      <c r="H444">
        <v>725.76900000000001</v>
      </c>
      <c r="I444" t="s">
        <v>27</v>
      </c>
    </row>
    <row r="445" spans="1:11" x14ac:dyDescent="0.3">
      <c r="A445" t="s">
        <v>34</v>
      </c>
      <c r="B445">
        <v>1000</v>
      </c>
      <c r="C445" t="s">
        <v>31</v>
      </c>
      <c r="D445">
        <v>7.2597000000000004E-4</v>
      </c>
      <c r="E445" t="s">
        <v>25</v>
      </c>
      <c r="F445">
        <v>0.72597</v>
      </c>
      <c r="G445" t="s">
        <v>26</v>
      </c>
      <c r="H445">
        <v>725.97199999999998</v>
      </c>
      <c r="I445" t="s">
        <v>27</v>
      </c>
    </row>
    <row r="446" spans="1:11" x14ac:dyDescent="0.3">
      <c r="A446" t="s">
        <v>34</v>
      </c>
      <c r="B446">
        <v>1000</v>
      </c>
      <c r="C446" t="s">
        <v>32</v>
      </c>
      <c r="D446">
        <v>9.7417999999999995E-4</v>
      </c>
      <c r="E446" t="s">
        <v>25</v>
      </c>
      <c r="F446">
        <v>0.97418000000000005</v>
      </c>
      <c r="G446" t="s">
        <v>26</v>
      </c>
      <c r="H446">
        <v>974.18299999999999</v>
      </c>
      <c r="I446" t="s">
        <v>27</v>
      </c>
      <c r="J446" t="s">
        <v>33</v>
      </c>
      <c r="K446">
        <v>1026.5014708000001</v>
      </c>
    </row>
    <row r="447" spans="1:11" x14ac:dyDescent="0.3">
      <c r="A447" t="s">
        <v>35</v>
      </c>
      <c r="B447">
        <v>1001</v>
      </c>
      <c r="C447" t="s">
        <v>29</v>
      </c>
      <c r="D447">
        <v>3.968E-4</v>
      </c>
      <c r="E447" t="s">
        <v>25</v>
      </c>
      <c r="F447">
        <v>0.39679999999999999</v>
      </c>
      <c r="G447" t="s">
        <v>26</v>
      </c>
      <c r="H447">
        <v>396.79599999999999</v>
      </c>
      <c r="I447" t="s">
        <v>27</v>
      </c>
    </row>
    <row r="448" spans="1:11" x14ac:dyDescent="0.3">
      <c r="A448" t="s">
        <v>35</v>
      </c>
      <c r="B448">
        <v>1001</v>
      </c>
      <c r="C448" t="s">
        <v>30</v>
      </c>
      <c r="D448">
        <v>7.3813000000000004E-4</v>
      </c>
      <c r="E448" t="s">
        <v>25</v>
      </c>
      <c r="F448">
        <v>0.73812999999999995</v>
      </c>
      <c r="G448" t="s">
        <v>26</v>
      </c>
      <c r="H448">
        <v>738.13099999999997</v>
      </c>
      <c r="I448" t="s">
        <v>27</v>
      </c>
    </row>
    <row r="449" spans="1:11" x14ac:dyDescent="0.3">
      <c r="A449" t="s">
        <v>35</v>
      </c>
      <c r="B449">
        <v>1001</v>
      </c>
      <c r="C449" t="s">
        <v>31</v>
      </c>
      <c r="D449">
        <v>7.3833999999999998E-4</v>
      </c>
      <c r="E449" t="s">
        <v>25</v>
      </c>
      <c r="F449">
        <v>0.73834</v>
      </c>
      <c r="G449" t="s">
        <v>26</v>
      </c>
      <c r="H449">
        <v>738.33600000000001</v>
      </c>
      <c r="I449" t="s">
        <v>27</v>
      </c>
    </row>
    <row r="450" spans="1:11" x14ac:dyDescent="0.3">
      <c r="A450" t="s">
        <v>35</v>
      </c>
      <c r="B450">
        <v>1001</v>
      </c>
      <c r="C450" t="s">
        <v>32</v>
      </c>
      <c r="D450">
        <v>1.13557E-3</v>
      </c>
      <c r="E450" t="s">
        <v>25</v>
      </c>
      <c r="F450">
        <v>1.13557</v>
      </c>
      <c r="G450" t="s">
        <v>26</v>
      </c>
      <c r="H450">
        <v>1135.567</v>
      </c>
      <c r="I450" t="s">
        <v>27</v>
      </c>
      <c r="J450" t="s">
        <v>33</v>
      </c>
      <c r="K450">
        <v>880.6172785</v>
      </c>
    </row>
    <row r="451" spans="1:11" x14ac:dyDescent="0.3">
      <c r="A451" t="s">
        <v>36</v>
      </c>
      <c r="B451">
        <v>1001</v>
      </c>
      <c r="C451" t="s">
        <v>37</v>
      </c>
      <c r="D451">
        <v>1.1357100000000001E-3</v>
      </c>
      <c r="E451" t="s">
        <v>25</v>
      </c>
      <c r="F451">
        <v>1.13571</v>
      </c>
      <c r="G451" t="s">
        <v>26</v>
      </c>
      <c r="H451">
        <v>1135.7070000000001</v>
      </c>
      <c r="I451" t="s">
        <v>27</v>
      </c>
      <c r="J451" t="s">
        <v>33</v>
      </c>
      <c r="K451">
        <v>880.50905420000004</v>
      </c>
    </row>
    <row r="452" spans="1:11" x14ac:dyDescent="0.3">
      <c r="A452" t="s">
        <v>38</v>
      </c>
    </row>
    <row r="453" spans="1:11" x14ac:dyDescent="0.3">
      <c r="A453" t="s">
        <v>71</v>
      </c>
    </row>
    <row r="454" spans="1:11" x14ac:dyDescent="0.3">
      <c r="A454" t="s">
        <v>23</v>
      </c>
      <c r="B454">
        <v>1</v>
      </c>
      <c r="C454" t="s">
        <v>24</v>
      </c>
      <c r="D454">
        <v>4.4000000000000002E-6</v>
      </c>
      <c r="E454" t="s">
        <v>25</v>
      </c>
      <c r="F454">
        <v>4.4000000000000003E-3</v>
      </c>
      <c r="G454" t="s">
        <v>26</v>
      </c>
      <c r="H454">
        <v>4.4000000000000004</v>
      </c>
      <c r="I454" t="s">
        <v>27</v>
      </c>
    </row>
    <row r="455" spans="1:11" x14ac:dyDescent="0.3">
      <c r="A455" t="s">
        <v>23</v>
      </c>
      <c r="B455">
        <v>1</v>
      </c>
      <c r="C455" t="s">
        <v>28</v>
      </c>
      <c r="D455">
        <v>8.8065000000000001E-3</v>
      </c>
      <c r="E455" t="s">
        <v>25</v>
      </c>
      <c r="F455">
        <v>8.8064999999999998</v>
      </c>
      <c r="G455" t="s">
        <v>26</v>
      </c>
      <c r="H455">
        <v>8806.5</v>
      </c>
      <c r="I455" t="s">
        <v>27</v>
      </c>
    </row>
    <row r="456" spans="1:11" x14ac:dyDescent="0.3">
      <c r="A456" t="s">
        <v>23</v>
      </c>
      <c r="B456">
        <v>1</v>
      </c>
      <c r="C456" t="s">
        <v>29</v>
      </c>
      <c r="D456">
        <v>5.4100000000000003E-4</v>
      </c>
      <c r="E456" t="s">
        <v>25</v>
      </c>
      <c r="F456">
        <v>0.54100000000000004</v>
      </c>
      <c r="G456" t="s">
        <v>26</v>
      </c>
      <c r="H456">
        <v>541</v>
      </c>
      <c r="I456" t="s">
        <v>27</v>
      </c>
    </row>
    <row r="457" spans="1:11" x14ac:dyDescent="0.3">
      <c r="A457" t="s">
        <v>23</v>
      </c>
      <c r="B457">
        <v>1</v>
      </c>
      <c r="C457" t="s">
        <v>30</v>
      </c>
      <c r="D457">
        <v>1.6986000000000001E-2</v>
      </c>
      <c r="E457" t="s">
        <v>25</v>
      </c>
      <c r="F457">
        <v>16.986000000000001</v>
      </c>
      <c r="G457" t="s">
        <v>26</v>
      </c>
      <c r="H457">
        <v>16985.999</v>
      </c>
      <c r="I457" t="s">
        <v>27</v>
      </c>
    </row>
    <row r="458" spans="1:11" x14ac:dyDescent="0.3">
      <c r="A458" t="s">
        <v>23</v>
      </c>
      <c r="B458">
        <v>1</v>
      </c>
      <c r="C458" t="s">
        <v>31</v>
      </c>
      <c r="D458">
        <v>1.69867E-2</v>
      </c>
      <c r="E458" t="s">
        <v>25</v>
      </c>
      <c r="F458">
        <v>16.986699999999999</v>
      </c>
      <c r="G458" t="s">
        <v>26</v>
      </c>
      <c r="H458">
        <v>16986.7</v>
      </c>
      <c r="I458" t="s">
        <v>27</v>
      </c>
    </row>
    <row r="459" spans="1:11" x14ac:dyDescent="0.3">
      <c r="A459" t="s">
        <v>23</v>
      </c>
      <c r="B459">
        <v>1</v>
      </c>
      <c r="C459" t="s">
        <v>32</v>
      </c>
      <c r="D459">
        <v>1.7528700000000001E-2</v>
      </c>
      <c r="E459" t="s">
        <v>25</v>
      </c>
      <c r="F459">
        <v>17.528700000000001</v>
      </c>
      <c r="G459" t="s">
        <v>26</v>
      </c>
      <c r="H459">
        <v>17528.7</v>
      </c>
      <c r="I459" t="s">
        <v>27</v>
      </c>
      <c r="J459" t="s">
        <v>33</v>
      </c>
      <c r="K459">
        <v>57.049297199999998</v>
      </c>
    </row>
    <row r="460" spans="1:11" x14ac:dyDescent="0.3">
      <c r="A460" t="s">
        <v>34</v>
      </c>
      <c r="B460">
        <v>1000</v>
      </c>
      <c r="C460" t="s">
        <v>29</v>
      </c>
      <c r="D460">
        <v>2.4544999999999998E-4</v>
      </c>
      <c r="E460" t="s">
        <v>25</v>
      </c>
      <c r="F460">
        <v>0.24545</v>
      </c>
      <c r="G460" t="s">
        <v>26</v>
      </c>
      <c r="H460">
        <v>245.45</v>
      </c>
      <c r="I460" t="s">
        <v>27</v>
      </c>
    </row>
    <row r="461" spans="1:11" x14ac:dyDescent="0.3">
      <c r="A461" t="s">
        <v>34</v>
      </c>
      <c r="B461">
        <v>1000</v>
      </c>
      <c r="C461" t="s">
        <v>30</v>
      </c>
      <c r="D461">
        <v>1.1912100000000001E-3</v>
      </c>
      <c r="E461" t="s">
        <v>25</v>
      </c>
      <c r="F461">
        <v>1.1912100000000001</v>
      </c>
      <c r="G461" t="s">
        <v>26</v>
      </c>
      <c r="H461">
        <v>1191.2070000000001</v>
      </c>
      <c r="I461" t="s">
        <v>27</v>
      </c>
    </row>
    <row r="462" spans="1:11" x14ac:dyDescent="0.3">
      <c r="A462" t="s">
        <v>34</v>
      </c>
      <c r="B462">
        <v>1000</v>
      </c>
      <c r="C462" t="s">
        <v>31</v>
      </c>
      <c r="D462">
        <v>1.24986E-3</v>
      </c>
      <c r="E462" t="s">
        <v>25</v>
      </c>
      <c r="F462">
        <v>1.24986</v>
      </c>
      <c r="G462" t="s">
        <v>26</v>
      </c>
      <c r="H462">
        <v>1249.855</v>
      </c>
      <c r="I462" t="s">
        <v>27</v>
      </c>
    </row>
    <row r="463" spans="1:11" x14ac:dyDescent="0.3">
      <c r="A463" t="s">
        <v>34</v>
      </c>
      <c r="B463">
        <v>1000</v>
      </c>
      <c r="C463" t="s">
        <v>32</v>
      </c>
      <c r="D463">
        <v>1.4963699999999999E-3</v>
      </c>
      <c r="E463" t="s">
        <v>25</v>
      </c>
      <c r="F463">
        <v>1.49637</v>
      </c>
      <c r="G463" t="s">
        <v>26</v>
      </c>
      <c r="H463">
        <v>1496.373</v>
      </c>
      <c r="I463" t="s">
        <v>27</v>
      </c>
      <c r="J463" t="s">
        <v>33</v>
      </c>
      <c r="K463">
        <v>668.28238859999999</v>
      </c>
    </row>
    <row r="464" spans="1:11" x14ac:dyDescent="0.3">
      <c r="A464" t="s">
        <v>35</v>
      </c>
      <c r="B464">
        <v>1001</v>
      </c>
      <c r="C464" t="s">
        <v>29</v>
      </c>
      <c r="D464">
        <v>2.4574999999999998E-4</v>
      </c>
      <c r="E464" t="s">
        <v>25</v>
      </c>
      <c r="F464">
        <v>0.24575</v>
      </c>
      <c r="G464" t="s">
        <v>26</v>
      </c>
      <c r="H464">
        <v>245.745</v>
      </c>
      <c r="I464" t="s">
        <v>27</v>
      </c>
    </row>
    <row r="465" spans="1:11" x14ac:dyDescent="0.3">
      <c r="A465" t="s">
        <v>35</v>
      </c>
      <c r="B465">
        <v>1001</v>
      </c>
      <c r="C465" t="s">
        <v>30</v>
      </c>
      <c r="D465">
        <v>1.20699E-3</v>
      </c>
      <c r="E465" t="s">
        <v>25</v>
      </c>
      <c r="F465">
        <v>1.20699</v>
      </c>
      <c r="G465" t="s">
        <v>26</v>
      </c>
      <c r="H465">
        <v>1206.9860000000001</v>
      </c>
      <c r="I465" t="s">
        <v>27</v>
      </c>
    </row>
    <row r="466" spans="1:11" x14ac:dyDescent="0.3">
      <c r="A466" t="s">
        <v>35</v>
      </c>
      <c r="B466">
        <v>1001</v>
      </c>
      <c r="C466" t="s">
        <v>31</v>
      </c>
      <c r="D466">
        <v>1.2655800000000001E-3</v>
      </c>
      <c r="E466" t="s">
        <v>25</v>
      </c>
      <c r="F466">
        <v>1.2655799999999999</v>
      </c>
      <c r="G466" t="s">
        <v>26</v>
      </c>
      <c r="H466">
        <v>1265.576</v>
      </c>
      <c r="I466" t="s">
        <v>27</v>
      </c>
    </row>
    <row r="467" spans="1:11" x14ac:dyDescent="0.3">
      <c r="A467" t="s">
        <v>35</v>
      </c>
      <c r="B467">
        <v>1001</v>
      </c>
      <c r="C467" t="s">
        <v>32</v>
      </c>
      <c r="D467">
        <v>1.51239E-3</v>
      </c>
      <c r="E467" t="s">
        <v>25</v>
      </c>
      <c r="F467">
        <v>1.5123899999999999</v>
      </c>
      <c r="G467" t="s">
        <v>26</v>
      </c>
      <c r="H467">
        <v>1512.39</v>
      </c>
      <c r="I467" t="s">
        <v>27</v>
      </c>
      <c r="J467" t="s">
        <v>33</v>
      </c>
      <c r="K467">
        <v>661.20530510000003</v>
      </c>
    </row>
    <row r="468" spans="1:11" x14ac:dyDescent="0.3">
      <c r="A468" t="s">
        <v>36</v>
      </c>
      <c r="B468">
        <v>1001</v>
      </c>
      <c r="C468" t="s">
        <v>37</v>
      </c>
      <c r="D468">
        <v>1.5125099999999999E-3</v>
      </c>
      <c r="E468" t="s">
        <v>25</v>
      </c>
      <c r="F468">
        <v>1.51251</v>
      </c>
      <c r="G468" t="s">
        <v>26</v>
      </c>
      <c r="H468">
        <v>1512.5119999999999</v>
      </c>
      <c r="I468" t="s">
        <v>27</v>
      </c>
      <c r="J468" t="s">
        <v>33</v>
      </c>
      <c r="K468">
        <v>661.15157799999997</v>
      </c>
    </row>
    <row r="469" spans="1:11" x14ac:dyDescent="0.3">
      <c r="A469" t="s">
        <v>8</v>
      </c>
    </row>
    <row r="470" spans="1:11" x14ac:dyDescent="0.3">
      <c r="A470" t="s">
        <v>20</v>
      </c>
    </row>
    <row r="471" spans="1:11" x14ac:dyDescent="0.3">
      <c r="A471" t="s">
        <v>40</v>
      </c>
    </row>
    <row r="472" spans="1:11" x14ac:dyDescent="0.3">
      <c r="A472" t="s">
        <v>72</v>
      </c>
    </row>
    <row r="473" spans="1:11" x14ac:dyDescent="0.3">
      <c r="A473" t="s">
        <v>23</v>
      </c>
      <c r="B473">
        <v>1</v>
      </c>
      <c r="C473" t="s">
        <v>32</v>
      </c>
      <c r="D473">
        <v>0.16251950000000001</v>
      </c>
      <c r="E473" t="s">
        <v>25</v>
      </c>
      <c r="F473">
        <v>162.51949999999999</v>
      </c>
      <c r="G473" t="s">
        <v>26</v>
      </c>
      <c r="H473">
        <v>162519.5</v>
      </c>
      <c r="I473" t="s">
        <v>27</v>
      </c>
      <c r="J473" t="s">
        <v>33</v>
      </c>
      <c r="K473">
        <v>6.1531077999999999</v>
      </c>
    </row>
    <row r="474" spans="1:11" x14ac:dyDescent="0.3">
      <c r="A474" t="s">
        <v>34</v>
      </c>
      <c r="B474">
        <v>1000</v>
      </c>
      <c r="C474" t="s">
        <v>32</v>
      </c>
      <c r="D474">
        <v>9.7417999999999995E-4</v>
      </c>
      <c r="E474" t="s">
        <v>25</v>
      </c>
      <c r="F474">
        <v>0.97418000000000005</v>
      </c>
      <c r="G474" t="s">
        <v>26</v>
      </c>
      <c r="H474">
        <v>974.18299999999999</v>
      </c>
      <c r="I474" t="s">
        <v>27</v>
      </c>
      <c r="J474" t="s">
        <v>33</v>
      </c>
      <c r="K474">
        <v>1026.5014708000001</v>
      </c>
    </row>
    <row r="475" spans="1:11" x14ac:dyDescent="0.3">
      <c r="A475" t="s">
        <v>36</v>
      </c>
      <c r="B475">
        <v>1001</v>
      </c>
      <c r="C475" t="s">
        <v>37</v>
      </c>
      <c r="D475">
        <v>1.1357100000000001E-3</v>
      </c>
      <c r="E475" t="s">
        <v>25</v>
      </c>
      <c r="F475">
        <v>1.13571</v>
      </c>
      <c r="G475" t="s">
        <v>26</v>
      </c>
      <c r="H475">
        <v>1135.7070000000001</v>
      </c>
      <c r="I475" t="s">
        <v>27</v>
      </c>
      <c r="J475" t="s">
        <v>33</v>
      </c>
      <c r="K475">
        <v>880.50905420000004</v>
      </c>
    </row>
    <row r="477" spans="1:11" x14ac:dyDescent="0.3">
      <c r="A477" t="s">
        <v>73</v>
      </c>
    </row>
    <row r="478" spans="1:11" x14ac:dyDescent="0.3">
      <c r="A478" t="s">
        <v>23</v>
      </c>
      <c r="B478">
        <v>1</v>
      </c>
      <c r="C478" t="s">
        <v>32</v>
      </c>
      <c r="D478">
        <v>1.7528700000000001E-2</v>
      </c>
      <c r="E478" t="s">
        <v>25</v>
      </c>
      <c r="F478">
        <v>17.528700000000001</v>
      </c>
      <c r="G478" t="s">
        <v>26</v>
      </c>
      <c r="H478">
        <v>17528.7</v>
      </c>
      <c r="I478" t="s">
        <v>27</v>
      </c>
      <c r="J478" t="s">
        <v>33</v>
      </c>
      <c r="K478">
        <v>57.049297199999998</v>
      </c>
    </row>
    <row r="479" spans="1:11" x14ac:dyDescent="0.3">
      <c r="A479" t="s">
        <v>34</v>
      </c>
      <c r="B479">
        <v>1000</v>
      </c>
      <c r="C479" t="s">
        <v>32</v>
      </c>
      <c r="D479">
        <v>1.4963699999999999E-3</v>
      </c>
      <c r="E479" t="s">
        <v>25</v>
      </c>
      <c r="F479">
        <v>1.49637</v>
      </c>
      <c r="G479" t="s">
        <v>26</v>
      </c>
      <c r="H479">
        <v>1496.373</v>
      </c>
      <c r="I479" t="s">
        <v>27</v>
      </c>
      <c r="J479" t="s">
        <v>33</v>
      </c>
      <c r="K479">
        <v>668.28238859999999</v>
      </c>
    </row>
    <row r="480" spans="1:11" x14ac:dyDescent="0.3">
      <c r="A480" t="s">
        <v>36</v>
      </c>
      <c r="B480">
        <v>1001</v>
      </c>
      <c r="C480" t="s">
        <v>37</v>
      </c>
      <c r="D480">
        <v>1.5125099999999999E-3</v>
      </c>
      <c r="E480" t="s">
        <v>25</v>
      </c>
      <c r="F480">
        <v>1.51251</v>
      </c>
      <c r="G480" t="s">
        <v>26</v>
      </c>
      <c r="H480">
        <v>1512.5119999999999</v>
      </c>
      <c r="I480" t="s">
        <v>27</v>
      </c>
      <c r="J480" t="s">
        <v>33</v>
      </c>
      <c r="K480">
        <v>661.15157799999997</v>
      </c>
    </row>
    <row r="482" spans="1:1" x14ac:dyDescent="0.3">
      <c r="A482" t="s">
        <v>1</v>
      </c>
    </row>
    <row r="483" spans="1:1" x14ac:dyDescent="0.3">
      <c r="A483" t="s">
        <v>74</v>
      </c>
    </row>
    <row r="485" spans="1:1" x14ac:dyDescent="0.3">
      <c r="A485" t="s">
        <v>75</v>
      </c>
    </row>
    <row r="487" spans="1:1" x14ac:dyDescent="0.3">
      <c r="A487" t="s">
        <v>5</v>
      </c>
    </row>
    <row r="488" spans="1:1" x14ac:dyDescent="0.3">
      <c r="A488" t="s">
        <v>6</v>
      </c>
    </row>
    <row r="489" spans="1:1" x14ac:dyDescent="0.3">
      <c r="A489" t="s">
        <v>7</v>
      </c>
    </row>
    <row r="490" spans="1:1" x14ac:dyDescent="0.3">
      <c r="A490" t="s">
        <v>8</v>
      </c>
    </row>
    <row r="491" spans="1:1" x14ac:dyDescent="0.3">
      <c r="A491" t="s">
        <v>66</v>
      </c>
    </row>
    <row r="492" spans="1:1" x14ac:dyDescent="0.3">
      <c r="A492" t="s">
        <v>67</v>
      </c>
    </row>
    <row r="493" spans="1:1" x14ac:dyDescent="0.3">
      <c r="A493" t="s">
        <v>11</v>
      </c>
    </row>
    <row r="494" spans="1:1" x14ac:dyDescent="0.3">
      <c r="A494" t="s">
        <v>12</v>
      </c>
    </row>
    <row r="495" spans="1:1" x14ac:dyDescent="0.3">
      <c r="A495" t="s">
        <v>51</v>
      </c>
    </row>
    <row r="496" spans="1:1" x14ac:dyDescent="0.3">
      <c r="A496" t="s">
        <v>52</v>
      </c>
    </row>
    <row r="497" spans="1:11" x14ac:dyDescent="0.3">
      <c r="A497" t="s">
        <v>68</v>
      </c>
    </row>
    <row r="498" spans="1:11" x14ac:dyDescent="0.3">
      <c r="A498" t="s">
        <v>69</v>
      </c>
    </row>
    <row r="499" spans="1:11" x14ac:dyDescent="0.3">
      <c r="A499" t="s">
        <v>55</v>
      </c>
    </row>
    <row r="500" spans="1:11" x14ac:dyDescent="0.3">
      <c r="A500" t="s">
        <v>18</v>
      </c>
    </row>
    <row r="501" spans="1:11" x14ac:dyDescent="0.3">
      <c r="A501" t="s">
        <v>19</v>
      </c>
    </row>
    <row r="502" spans="1:11" x14ac:dyDescent="0.3">
      <c r="A502" t="s">
        <v>20</v>
      </c>
    </row>
    <row r="503" spans="1:11" x14ac:dyDescent="0.3">
      <c r="A503" t="s">
        <v>21</v>
      </c>
    </row>
    <row r="504" spans="1:11" x14ac:dyDescent="0.3">
      <c r="A504" t="s">
        <v>70</v>
      </c>
    </row>
    <row r="505" spans="1:11" x14ac:dyDescent="0.3">
      <c r="A505" t="s">
        <v>23</v>
      </c>
      <c r="B505">
        <v>1</v>
      </c>
      <c r="C505" t="s">
        <v>24</v>
      </c>
      <c r="D505">
        <v>4.7999999999999998E-6</v>
      </c>
      <c r="E505" t="s">
        <v>25</v>
      </c>
      <c r="F505">
        <v>4.7999999999999996E-3</v>
      </c>
      <c r="G505" t="s">
        <v>26</v>
      </c>
      <c r="H505">
        <v>4.8</v>
      </c>
      <c r="I505" t="s">
        <v>27</v>
      </c>
    </row>
    <row r="506" spans="1:11" x14ac:dyDescent="0.3">
      <c r="A506" t="s">
        <v>23</v>
      </c>
      <c r="B506">
        <v>1</v>
      </c>
      <c r="C506" t="s">
        <v>28</v>
      </c>
      <c r="D506">
        <v>0.1035788</v>
      </c>
      <c r="E506" t="s">
        <v>25</v>
      </c>
      <c r="F506">
        <v>103.5788</v>
      </c>
      <c r="G506" t="s">
        <v>26</v>
      </c>
      <c r="H506">
        <v>103578.798</v>
      </c>
      <c r="I506" t="s">
        <v>27</v>
      </c>
    </row>
    <row r="507" spans="1:11" x14ac:dyDescent="0.3">
      <c r="A507" t="s">
        <v>23</v>
      </c>
      <c r="B507">
        <v>1</v>
      </c>
      <c r="C507" t="s">
        <v>29</v>
      </c>
      <c r="D507">
        <v>0.15800518999999999</v>
      </c>
      <c r="E507" t="s">
        <v>25</v>
      </c>
      <c r="F507">
        <v>158.00519</v>
      </c>
      <c r="G507" t="s">
        <v>26</v>
      </c>
      <c r="H507">
        <v>158005.193</v>
      </c>
      <c r="I507" t="s">
        <v>27</v>
      </c>
    </row>
    <row r="508" spans="1:11" x14ac:dyDescent="0.3">
      <c r="A508" t="s">
        <v>23</v>
      </c>
      <c r="B508">
        <v>1</v>
      </c>
      <c r="C508" t="s">
        <v>30</v>
      </c>
      <c r="D508">
        <v>1.50137E-2</v>
      </c>
      <c r="E508" t="s">
        <v>25</v>
      </c>
      <c r="F508">
        <v>15.0137</v>
      </c>
      <c r="G508" t="s">
        <v>26</v>
      </c>
      <c r="H508">
        <v>15013.7</v>
      </c>
      <c r="I508" t="s">
        <v>27</v>
      </c>
    </row>
    <row r="509" spans="1:11" x14ac:dyDescent="0.3">
      <c r="A509" t="s">
        <v>23</v>
      </c>
      <c r="B509">
        <v>1</v>
      </c>
      <c r="C509" t="s">
        <v>31</v>
      </c>
      <c r="D509">
        <v>1.5015499999999999E-2</v>
      </c>
      <c r="E509" t="s">
        <v>25</v>
      </c>
      <c r="F509">
        <v>15.015499999999999</v>
      </c>
      <c r="G509" t="s">
        <v>26</v>
      </c>
      <c r="H509">
        <v>15015.5</v>
      </c>
      <c r="I509" t="s">
        <v>27</v>
      </c>
    </row>
    <row r="510" spans="1:11" x14ac:dyDescent="0.3">
      <c r="A510" t="s">
        <v>23</v>
      </c>
      <c r="B510">
        <v>1</v>
      </c>
      <c r="C510" t="s">
        <v>32</v>
      </c>
      <c r="D510">
        <v>0.17302350999999999</v>
      </c>
      <c r="E510" t="s">
        <v>25</v>
      </c>
      <c r="F510">
        <v>173.02350999999999</v>
      </c>
      <c r="G510" t="s">
        <v>26</v>
      </c>
      <c r="H510">
        <v>173023.50700000001</v>
      </c>
      <c r="I510" t="s">
        <v>27</v>
      </c>
      <c r="J510" t="s">
        <v>33</v>
      </c>
      <c r="K510">
        <v>5.7795614999999998</v>
      </c>
    </row>
    <row r="511" spans="1:11" x14ac:dyDescent="0.3">
      <c r="A511" t="s">
        <v>34</v>
      </c>
      <c r="B511">
        <v>1000</v>
      </c>
      <c r="C511" t="s">
        <v>29</v>
      </c>
      <c r="D511">
        <v>4.4000000000000002E-7</v>
      </c>
      <c r="E511" t="s">
        <v>25</v>
      </c>
      <c r="F511">
        <v>4.4000000000000002E-4</v>
      </c>
      <c r="G511" t="s">
        <v>26</v>
      </c>
      <c r="H511">
        <v>0.436</v>
      </c>
      <c r="I511" t="s">
        <v>27</v>
      </c>
    </row>
    <row r="512" spans="1:11" x14ac:dyDescent="0.3">
      <c r="A512" t="s">
        <v>34</v>
      </c>
      <c r="B512">
        <v>1000</v>
      </c>
      <c r="C512" t="s">
        <v>30</v>
      </c>
      <c r="D512">
        <v>1.292458E-2</v>
      </c>
      <c r="E512" t="s">
        <v>25</v>
      </c>
      <c r="F512">
        <v>12.924580000000001</v>
      </c>
      <c r="G512" t="s">
        <v>26</v>
      </c>
      <c r="H512">
        <v>12924.579</v>
      </c>
      <c r="I512" t="s">
        <v>27</v>
      </c>
    </row>
    <row r="513" spans="1:11" x14ac:dyDescent="0.3">
      <c r="A513" t="s">
        <v>34</v>
      </c>
      <c r="B513">
        <v>1000</v>
      </c>
      <c r="C513" t="s">
        <v>31</v>
      </c>
      <c r="D513">
        <v>1.292512E-2</v>
      </c>
      <c r="E513" t="s">
        <v>25</v>
      </c>
      <c r="F513">
        <v>12.92512</v>
      </c>
      <c r="G513" t="s">
        <v>26</v>
      </c>
      <c r="H513">
        <v>12925.118</v>
      </c>
      <c r="I513" t="s">
        <v>27</v>
      </c>
    </row>
    <row r="514" spans="1:11" x14ac:dyDescent="0.3">
      <c r="A514" t="s">
        <v>34</v>
      </c>
      <c r="B514">
        <v>1000</v>
      </c>
      <c r="C514" t="s">
        <v>32</v>
      </c>
      <c r="D514">
        <v>1.292637E-2</v>
      </c>
      <c r="E514" t="s">
        <v>25</v>
      </c>
      <c r="F514">
        <v>12.92637</v>
      </c>
      <c r="G514" t="s">
        <v>26</v>
      </c>
      <c r="H514">
        <v>12926.373</v>
      </c>
      <c r="I514" t="s">
        <v>27</v>
      </c>
      <c r="J514" t="s">
        <v>33</v>
      </c>
      <c r="K514">
        <v>77.361218199999996</v>
      </c>
    </row>
    <row r="515" spans="1:11" x14ac:dyDescent="0.3">
      <c r="A515" t="s">
        <v>35</v>
      </c>
      <c r="B515">
        <v>1001</v>
      </c>
      <c r="C515" t="s">
        <v>29</v>
      </c>
      <c r="D515">
        <v>1.5828000000000001E-4</v>
      </c>
      <c r="E515" t="s">
        <v>25</v>
      </c>
      <c r="F515">
        <v>0.15828</v>
      </c>
      <c r="G515" t="s">
        <v>26</v>
      </c>
      <c r="H515">
        <v>158.28100000000001</v>
      </c>
      <c r="I515" t="s">
        <v>27</v>
      </c>
    </row>
    <row r="516" spans="1:11" x14ac:dyDescent="0.3">
      <c r="A516" t="s">
        <v>35</v>
      </c>
      <c r="B516">
        <v>1001</v>
      </c>
      <c r="C516" t="s">
        <v>30</v>
      </c>
      <c r="D516">
        <v>1.2926669999999999E-2</v>
      </c>
      <c r="E516" t="s">
        <v>25</v>
      </c>
      <c r="F516">
        <v>12.92667</v>
      </c>
      <c r="G516" t="s">
        <v>26</v>
      </c>
      <c r="H516">
        <v>12926.665999999999</v>
      </c>
      <c r="I516" t="s">
        <v>27</v>
      </c>
    </row>
    <row r="517" spans="1:11" x14ac:dyDescent="0.3">
      <c r="A517" t="s">
        <v>35</v>
      </c>
      <c r="B517">
        <v>1001</v>
      </c>
      <c r="C517" t="s">
        <v>31</v>
      </c>
      <c r="D517">
        <v>1.292721E-2</v>
      </c>
      <c r="E517" t="s">
        <v>25</v>
      </c>
      <c r="F517">
        <v>12.927210000000001</v>
      </c>
      <c r="G517" t="s">
        <v>26</v>
      </c>
      <c r="H517">
        <v>12927.208000000001</v>
      </c>
      <c r="I517" t="s">
        <v>27</v>
      </c>
    </row>
    <row r="518" spans="1:11" x14ac:dyDescent="0.3">
      <c r="A518" t="s">
        <v>35</v>
      </c>
      <c r="B518">
        <v>1001</v>
      </c>
      <c r="C518" t="s">
        <v>32</v>
      </c>
      <c r="D518">
        <v>1.308631E-2</v>
      </c>
      <c r="E518" t="s">
        <v>25</v>
      </c>
      <c r="F518">
        <v>13.086309999999999</v>
      </c>
      <c r="G518" t="s">
        <v>26</v>
      </c>
      <c r="H518">
        <v>13086.308000000001</v>
      </c>
      <c r="I518" t="s">
        <v>27</v>
      </c>
      <c r="J518" t="s">
        <v>33</v>
      </c>
      <c r="K518">
        <v>76.415744000000004</v>
      </c>
    </row>
    <row r="519" spans="1:11" x14ac:dyDescent="0.3">
      <c r="A519" t="s">
        <v>36</v>
      </c>
      <c r="B519">
        <v>1001</v>
      </c>
      <c r="C519" t="s">
        <v>37</v>
      </c>
      <c r="D519">
        <v>1.308672E-2</v>
      </c>
      <c r="E519" t="s">
        <v>25</v>
      </c>
      <c r="F519">
        <v>13.08672</v>
      </c>
      <c r="G519" t="s">
        <v>26</v>
      </c>
      <c r="H519">
        <v>13086.718999999999</v>
      </c>
      <c r="I519" t="s">
        <v>27</v>
      </c>
      <c r="J519" t="s">
        <v>33</v>
      </c>
      <c r="K519">
        <v>76.413346300000001</v>
      </c>
    </row>
    <row r="520" spans="1:11" x14ac:dyDescent="0.3">
      <c r="A520" t="s">
        <v>38</v>
      </c>
    </row>
    <row r="521" spans="1:11" x14ac:dyDescent="0.3">
      <c r="A521" t="s">
        <v>71</v>
      </c>
    </row>
    <row r="522" spans="1:11" x14ac:dyDescent="0.3">
      <c r="A522" t="s">
        <v>23</v>
      </c>
      <c r="B522">
        <v>1</v>
      </c>
      <c r="C522" t="s">
        <v>24</v>
      </c>
      <c r="D522">
        <v>4.7999999999999998E-6</v>
      </c>
      <c r="E522" t="s">
        <v>25</v>
      </c>
      <c r="F522">
        <v>4.7999999999999996E-3</v>
      </c>
      <c r="G522" t="s">
        <v>26</v>
      </c>
      <c r="H522">
        <v>4.8</v>
      </c>
      <c r="I522" t="s">
        <v>27</v>
      </c>
    </row>
    <row r="523" spans="1:11" x14ac:dyDescent="0.3">
      <c r="A523" t="s">
        <v>23</v>
      </c>
      <c r="B523">
        <v>1</v>
      </c>
      <c r="C523" t="s">
        <v>28</v>
      </c>
      <c r="D523">
        <v>8.4968000000000005E-3</v>
      </c>
      <c r="E523" t="s">
        <v>25</v>
      </c>
      <c r="F523">
        <v>8.4968000000000004</v>
      </c>
      <c r="G523" t="s">
        <v>26</v>
      </c>
      <c r="H523">
        <v>8496.7999999999993</v>
      </c>
      <c r="I523" t="s">
        <v>27</v>
      </c>
    </row>
    <row r="524" spans="1:11" x14ac:dyDescent="0.3">
      <c r="A524" t="s">
        <v>23</v>
      </c>
      <c r="B524">
        <v>1</v>
      </c>
      <c r="C524" t="s">
        <v>29</v>
      </c>
      <c r="D524">
        <v>5.8100000000000003E-4</v>
      </c>
      <c r="E524" t="s">
        <v>25</v>
      </c>
      <c r="F524">
        <v>0.58099999999999996</v>
      </c>
      <c r="G524" t="s">
        <v>26</v>
      </c>
      <c r="H524">
        <v>581</v>
      </c>
      <c r="I524" t="s">
        <v>27</v>
      </c>
    </row>
    <row r="525" spans="1:11" x14ac:dyDescent="0.3">
      <c r="A525" t="s">
        <v>23</v>
      </c>
      <c r="B525">
        <v>1</v>
      </c>
      <c r="C525" t="s">
        <v>30</v>
      </c>
      <c r="D525">
        <v>1.7235799999999999E-2</v>
      </c>
      <c r="E525" t="s">
        <v>25</v>
      </c>
      <c r="F525">
        <v>17.235800000000001</v>
      </c>
      <c r="G525" t="s">
        <v>26</v>
      </c>
      <c r="H525">
        <v>17235.800999999999</v>
      </c>
      <c r="I525" t="s">
        <v>27</v>
      </c>
    </row>
    <row r="526" spans="1:11" x14ac:dyDescent="0.3">
      <c r="A526" t="s">
        <v>23</v>
      </c>
      <c r="B526">
        <v>1</v>
      </c>
      <c r="C526" t="s">
        <v>31</v>
      </c>
      <c r="D526">
        <v>1.7236700000000001E-2</v>
      </c>
      <c r="E526" t="s">
        <v>25</v>
      </c>
      <c r="F526">
        <v>17.236699999999999</v>
      </c>
      <c r="G526" t="s">
        <v>26</v>
      </c>
      <c r="H526">
        <v>17236.7</v>
      </c>
      <c r="I526" t="s">
        <v>27</v>
      </c>
    </row>
    <row r="527" spans="1:11" x14ac:dyDescent="0.3">
      <c r="A527" t="s">
        <v>23</v>
      </c>
      <c r="B527">
        <v>1</v>
      </c>
      <c r="C527" t="s">
        <v>32</v>
      </c>
      <c r="D527">
        <v>1.7818500000000001E-2</v>
      </c>
      <c r="E527" t="s">
        <v>25</v>
      </c>
      <c r="F527">
        <v>17.8185</v>
      </c>
      <c r="G527" t="s">
        <v>26</v>
      </c>
      <c r="H527">
        <v>17818.499</v>
      </c>
      <c r="I527" t="s">
        <v>27</v>
      </c>
      <c r="J527" t="s">
        <v>33</v>
      </c>
      <c r="K527">
        <v>56.121448800000003</v>
      </c>
    </row>
    <row r="528" spans="1:11" x14ac:dyDescent="0.3">
      <c r="A528" t="s">
        <v>34</v>
      </c>
      <c r="B528">
        <v>1000</v>
      </c>
      <c r="C528" t="s">
        <v>29</v>
      </c>
      <c r="D528">
        <v>4.7999999999999996E-7</v>
      </c>
      <c r="E528" t="s">
        <v>25</v>
      </c>
      <c r="F528">
        <v>4.8000000000000001E-4</v>
      </c>
      <c r="G528" t="s">
        <v>26</v>
      </c>
      <c r="H528">
        <v>0.48299999999999998</v>
      </c>
      <c r="I528" t="s">
        <v>27</v>
      </c>
    </row>
    <row r="529" spans="1:11" x14ac:dyDescent="0.3">
      <c r="A529" t="s">
        <v>34</v>
      </c>
      <c r="B529">
        <v>1000</v>
      </c>
      <c r="C529" t="s">
        <v>30</v>
      </c>
      <c r="D529">
        <v>1.6016240000000001E-2</v>
      </c>
      <c r="E529" t="s">
        <v>25</v>
      </c>
      <c r="F529">
        <v>16.01624</v>
      </c>
      <c r="G529" t="s">
        <v>26</v>
      </c>
      <c r="H529">
        <v>16016.236999999999</v>
      </c>
      <c r="I529" t="s">
        <v>27</v>
      </c>
    </row>
    <row r="530" spans="1:11" x14ac:dyDescent="0.3">
      <c r="A530" t="s">
        <v>34</v>
      </c>
      <c r="B530">
        <v>1000</v>
      </c>
      <c r="C530" t="s">
        <v>31</v>
      </c>
      <c r="D530">
        <v>1.6091169999999998E-2</v>
      </c>
      <c r="E530" t="s">
        <v>25</v>
      </c>
      <c r="F530">
        <v>16.091170000000002</v>
      </c>
      <c r="G530" t="s">
        <v>26</v>
      </c>
      <c r="H530">
        <v>16091.169</v>
      </c>
      <c r="I530" t="s">
        <v>27</v>
      </c>
    </row>
    <row r="531" spans="1:11" x14ac:dyDescent="0.3">
      <c r="A531" t="s">
        <v>34</v>
      </c>
      <c r="B531">
        <v>1000</v>
      </c>
      <c r="C531" t="s">
        <v>32</v>
      </c>
      <c r="D531">
        <v>1.6093050000000001E-2</v>
      </c>
      <c r="E531" t="s">
        <v>25</v>
      </c>
      <c r="F531">
        <v>16.093050000000002</v>
      </c>
      <c r="G531" t="s">
        <v>26</v>
      </c>
      <c r="H531">
        <v>16093.048000000001</v>
      </c>
      <c r="I531" t="s">
        <v>27</v>
      </c>
      <c r="J531" t="s">
        <v>33</v>
      </c>
      <c r="K531">
        <v>62.138632399999999</v>
      </c>
    </row>
    <row r="532" spans="1:11" x14ac:dyDescent="0.3">
      <c r="A532" t="s">
        <v>35</v>
      </c>
      <c r="B532">
        <v>1001</v>
      </c>
      <c r="C532" t="s">
        <v>29</v>
      </c>
      <c r="D532">
        <v>1.06E-6</v>
      </c>
      <c r="E532" t="s">
        <v>25</v>
      </c>
      <c r="F532">
        <v>1.06E-3</v>
      </c>
      <c r="G532" t="s">
        <v>26</v>
      </c>
      <c r="H532">
        <v>1.0629999999999999</v>
      </c>
      <c r="I532" t="s">
        <v>27</v>
      </c>
    </row>
    <row r="533" spans="1:11" x14ac:dyDescent="0.3">
      <c r="A533" t="s">
        <v>35</v>
      </c>
      <c r="B533">
        <v>1001</v>
      </c>
      <c r="C533" t="s">
        <v>30</v>
      </c>
      <c r="D533">
        <v>1.6017460000000001E-2</v>
      </c>
      <c r="E533" t="s">
        <v>25</v>
      </c>
      <c r="F533">
        <v>16.01746</v>
      </c>
      <c r="G533" t="s">
        <v>26</v>
      </c>
      <c r="H533">
        <v>16017.457</v>
      </c>
      <c r="I533" t="s">
        <v>27</v>
      </c>
    </row>
    <row r="534" spans="1:11" x14ac:dyDescent="0.3">
      <c r="A534" t="s">
        <v>35</v>
      </c>
      <c r="B534">
        <v>1001</v>
      </c>
      <c r="C534" t="s">
        <v>31</v>
      </c>
      <c r="D534">
        <v>1.6092309999999999E-2</v>
      </c>
      <c r="E534" t="s">
        <v>25</v>
      </c>
      <c r="F534">
        <v>16.092310000000001</v>
      </c>
      <c r="G534" t="s">
        <v>26</v>
      </c>
      <c r="H534">
        <v>16092.312</v>
      </c>
      <c r="I534" t="s">
        <v>27</v>
      </c>
    </row>
    <row r="535" spans="1:11" x14ac:dyDescent="0.3">
      <c r="A535" t="s">
        <v>35</v>
      </c>
      <c r="B535">
        <v>1001</v>
      </c>
      <c r="C535" t="s">
        <v>32</v>
      </c>
      <c r="D535">
        <v>1.6094770000000001E-2</v>
      </c>
      <c r="E535" t="s">
        <v>25</v>
      </c>
      <c r="F535">
        <v>16.09477</v>
      </c>
      <c r="G535" t="s">
        <v>26</v>
      </c>
      <c r="H535">
        <v>16094.773999999999</v>
      </c>
      <c r="I535" t="s">
        <v>27</v>
      </c>
      <c r="J535" t="s">
        <v>33</v>
      </c>
      <c r="K535">
        <v>62.131970299999999</v>
      </c>
    </row>
    <row r="536" spans="1:11" x14ac:dyDescent="0.3">
      <c r="A536" t="s">
        <v>36</v>
      </c>
      <c r="B536">
        <v>1001</v>
      </c>
      <c r="C536" t="s">
        <v>37</v>
      </c>
      <c r="D536">
        <v>1.6095120000000001E-2</v>
      </c>
      <c r="E536" t="s">
        <v>25</v>
      </c>
      <c r="F536">
        <v>16.095120000000001</v>
      </c>
      <c r="G536" t="s">
        <v>26</v>
      </c>
      <c r="H536">
        <v>16095.117</v>
      </c>
      <c r="I536" t="s">
        <v>27</v>
      </c>
      <c r="J536" t="s">
        <v>33</v>
      </c>
      <c r="K536">
        <v>62.130646300000002</v>
      </c>
    </row>
    <row r="537" spans="1:11" x14ac:dyDescent="0.3">
      <c r="A537" t="s">
        <v>8</v>
      </c>
    </row>
    <row r="538" spans="1:11" x14ac:dyDescent="0.3">
      <c r="A538" t="s">
        <v>20</v>
      </c>
    </row>
    <row r="539" spans="1:11" x14ac:dyDescent="0.3">
      <c r="A539" t="s">
        <v>40</v>
      </c>
    </row>
    <row r="540" spans="1:11" x14ac:dyDescent="0.3">
      <c r="A540" t="s">
        <v>72</v>
      </c>
    </row>
    <row r="541" spans="1:11" x14ac:dyDescent="0.3">
      <c r="A541" t="s">
        <v>23</v>
      </c>
      <c r="B541">
        <v>1</v>
      </c>
      <c r="C541" t="s">
        <v>32</v>
      </c>
      <c r="D541">
        <v>0.17302350999999999</v>
      </c>
      <c r="E541" t="s">
        <v>25</v>
      </c>
      <c r="F541">
        <v>173.02350999999999</v>
      </c>
      <c r="G541" t="s">
        <v>26</v>
      </c>
      <c r="H541">
        <v>173023.50700000001</v>
      </c>
      <c r="I541" t="s">
        <v>27</v>
      </c>
      <c r="J541" t="s">
        <v>33</v>
      </c>
      <c r="K541">
        <v>5.7795614999999998</v>
      </c>
    </row>
    <row r="542" spans="1:11" x14ac:dyDescent="0.3">
      <c r="A542" t="s">
        <v>34</v>
      </c>
      <c r="B542">
        <v>1000</v>
      </c>
      <c r="C542" t="s">
        <v>32</v>
      </c>
      <c r="D542">
        <v>1.292637E-2</v>
      </c>
      <c r="E542" t="s">
        <v>25</v>
      </c>
      <c r="F542">
        <v>12.92637</v>
      </c>
      <c r="G542" t="s">
        <v>26</v>
      </c>
      <c r="H542">
        <v>12926.373</v>
      </c>
      <c r="I542" t="s">
        <v>27</v>
      </c>
      <c r="J542" t="s">
        <v>33</v>
      </c>
      <c r="K542">
        <v>77.361218199999996</v>
      </c>
    </row>
    <row r="543" spans="1:11" x14ac:dyDescent="0.3">
      <c r="A543" t="s">
        <v>36</v>
      </c>
      <c r="B543">
        <v>1001</v>
      </c>
      <c r="C543" t="s">
        <v>37</v>
      </c>
      <c r="D543">
        <v>1.308672E-2</v>
      </c>
      <c r="E543" t="s">
        <v>25</v>
      </c>
      <c r="F543">
        <v>13.08672</v>
      </c>
      <c r="G543" t="s">
        <v>26</v>
      </c>
      <c r="H543">
        <v>13086.718999999999</v>
      </c>
      <c r="I543" t="s">
        <v>27</v>
      </c>
      <c r="J543" t="s">
        <v>33</v>
      </c>
      <c r="K543">
        <v>76.413346300000001</v>
      </c>
    </row>
    <row r="545" spans="1:11" x14ac:dyDescent="0.3">
      <c r="A545" t="s">
        <v>73</v>
      </c>
    </row>
    <row r="546" spans="1:11" x14ac:dyDescent="0.3">
      <c r="A546" t="s">
        <v>23</v>
      </c>
      <c r="B546">
        <v>1</v>
      </c>
      <c r="C546" t="s">
        <v>32</v>
      </c>
      <c r="D546">
        <v>1.7818500000000001E-2</v>
      </c>
      <c r="E546" t="s">
        <v>25</v>
      </c>
      <c r="F546">
        <v>17.8185</v>
      </c>
      <c r="G546" t="s">
        <v>26</v>
      </c>
      <c r="H546">
        <v>17818.499</v>
      </c>
      <c r="I546" t="s">
        <v>27</v>
      </c>
      <c r="J546" t="s">
        <v>33</v>
      </c>
      <c r="K546">
        <v>56.121448800000003</v>
      </c>
    </row>
    <row r="547" spans="1:11" x14ac:dyDescent="0.3">
      <c r="A547" t="s">
        <v>34</v>
      </c>
      <c r="B547">
        <v>1000</v>
      </c>
      <c r="C547" t="s">
        <v>32</v>
      </c>
      <c r="D547">
        <v>1.6093050000000001E-2</v>
      </c>
      <c r="E547" t="s">
        <v>25</v>
      </c>
      <c r="F547">
        <v>16.093050000000002</v>
      </c>
      <c r="G547" t="s">
        <v>26</v>
      </c>
      <c r="H547">
        <v>16093.048000000001</v>
      </c>
      <c r="I547" t="s">
        <v>27</v>
      </c>
      <c r="J547" t="s">
        <v>33</v>
      </c>
      <c r="K547">
        <v>62.138632399999999</v>
      </c>
    </row>
    <row r="548" spans="1:11" x14ac:dyDescent="0.3">
      <c r="A548" t="s">
        <v>36</v>
      </c>
      <c r="B548">
        <v>1001</v>
      </c>
      <c r="C548" t="s">
        <v>37</v>
      </c>
      <c r="D548">
        <v>1.6095120000000001E-2</v>
      </c>
      <c r="E548" t="s">
        <v>25</v>
      </c>
      <c r="F548">
        <v>16.095120000000001</v>
      </c>
      <c r="G548" t="s">
        <v>26</v>
      </c>
      <c r="H548">
        <v>16095.117</v>
      </c>
      <c r="I548" t="s">
        <v>27</v>
      </c>
      <c r="J548" t="s">
        <v>33</v>
      </c>
      <c r="K548">
        <v>62.130646300000002</v>
      </c>
    </row>
    <row r="550" spans="1:11" x14ac:dyDescent="0.3">
      <c r="A550" t="s">
        <v>1</v>
      </c>
    </row>
    <row r="551" spans="1:11" x14ac:dyDescent="0.3">
      <c r="A551" t="s">
        <v>76</v>
      </c>
    </row>
    <row r="553" spans="1:11" x14ac:dyDescent="0.3">
      <c r="A553" t="s">
        <v>77</v>
      </c>
    </row>
    <row r="555" spans="1:11" x14ac:dyDescent="0.3">
      <c r="A555" t="s">
        <v>5</v>
      </c>
    </row>
    <row r="556" spans="1:11" x14ac:dyDescent="0.3">
      <c r="A556" t="s">
        <v>6</v>
      </c>
    </row>
    <row r="557" spans="1:11" x14ac:dyDescent="0.3">
      <c r="A557" t="s">
        <v>7</v>
      </c>
    </row>
    <row r="558" spans="1:11" x14ac:dyDescent="0.3">
      <c r="A558" t="s">
        <v>8</v>
      </c>
    </row>
    <row r="559" spans="1:11" x14ac:dyDescent="0.3">
      <c r="A559" t="s">
        <v>66</v>
      </c>
    </row>
    <row r="560" spans="1:11" x14ac:dyDescent="0.3">
      <c r="A560" t="s">
        <v>67</v>
      </c>
    </row>
    <row r="561" spans="1:9" x14ac:dyDescent="0.3">
      <c r="A561" t="s">
        <v>11</v>
      </c>
    </row>
    <row r="562" spans="1:9" x14ac:dyDescent="0.3">
      <c r="A562" t="s">
        <v>12</v>
      </c>
    </row>
    <row r="563" spans="1:9" x14ac:dyDescent="0.3">
      <c r="A563" t="s">
        <v>51</v>
      </c>
    </row>
    <row r="564" spans="1:9" x14ac:dyDescent="0.3">
      <c r="A564" t="s">
        <v>52</v>
      </c>
    </row>
    <row r="565" spans="1:9" x14ac:dyDescent="0.3">
      <c r="A565" t="s">
        <v>68</v>
      </c>
    </row>
    <row r="566" spans="1:9" x14ac:dyDescent="0.3">
      <c r="A566" t="s">
        <v>69</v>
      </c>
    </row>
    <row r="567" spans="1:9" x14ac:dyDescent="0.3">
      <c r="A567" t="s">
        <v>55</v>
      </c>
    </row>
    <row r="568" spans="1:9" x14ac:dyDescent="0.3">
      <c r="A568" t="s">
        <v>18</v>
      </c>
    </row>
    <row r="569" spans="1:9" x14ac:dyDescent="0.3">
      <c r="A569" t="s">
        <v>19</v>
      </c>
    </row>
    <row r="570" spans="1:9" x14ac:dyDescent="0.3">
      <c r="A570" t="s">
        <v>20</v>
      </c>
    </row>
    <row r="571" spans="1:9" x14ac:dyDescent="0.3">
      <c r="A571" t="s">
        <v>21</v>
      </c>
    </row>
    <row r="572" spans="1:9" x14ac:dyDescent="0.3">
      <c r="A572" t="s">
        <v>70</v>
      </c>
    </row>
    <row r="573" spans="1:9" x14ac:dyDescent="0.3">
      <c r="A573" t="s">
        <v>23</v>
      </c>
      <c r="B573">
        <v>1</v>
      </c>
      <c r="C573" t="s">
        <v>24</v>
      </c>
      <c r="D573">
        <v>5.6999999999999996E-6</v>
      </c>
      <c r="E573" t="s">
        <v>25</v>
      </c>
      <c r="F573">
        <v>5.7000000000000002E-3</v>
      </c>
      <c r="G573" t="s">
        <v>26</v>
      </c>
      <c r="H573">
        <v>5.7</v>
      </c>
      <c r="I573" t="s">
        <v>27</v>
      </c>
    </row>
    <row r="574" spans="1:9" x14ac:dyDescent="0.3">
      <c r="A574" t="s">
        <v>23</v>
      </c>
      <c r="B574">
        <v>1</v>
      </c>
      <c r="C574" t="s">
        <v>28</v>
      </c>
      <c r="D574">
        <v>0.111565</v>
      </c>
      <c r="E574" t="s">
        <v>25</v>
      </c>
      <c r="F574">
        <v>111.565</v>
      </c>
      <c r="G574" t="s">
        <v>26</v>
      </c>
      <c r="H574">
        <v>111565.001</v>
      </c>
      <c r="I574" t="s">
        <v>27</v>
      </c>
    </row>
    <row r="575" spans="1:9" x14ac:dyDescent="0.3">
      <c r="A575" t="s">
        <v>23</v>
      </c>
      <c r="B575">
        <v>1</v>
      </c>
      <c r="C575" t="s">
        <v>29</v>
      </c>
      <c r="D575">
        <v>0.15167430000000001</v>
      </c>
      <c r="E575" t="s">
        <v>25</v>
      </c>
      <c r="F575">
        <v>151.67429999999999</v>
      </c>
      <c r="G575" t="s">
        <v>26</v>
      </c>
      <c r="H575">
        <v>151674.29999999999</v>
      </c>
      <c r="I575" t="s">
        <v>27</v>
      </c>
    </row>
    <row r="576" spans="1:9" x14ac:dyDescent="0.3">
      <c r="A576" t="s">
        <v>23</v>
      </c>
      <c r="B576">
        <v>1</v>
      </c>
      <c r="C576" t="s">
        <v>30</v>
      </c>
      <c r="D576">
        <v>1.7075099999999999E-2</v>
      </c>
      <c r="E576" t="s">
        <v>25</v>
      </c>
      <c r="F576">
        <v>17.075099999999999</v>
      </c>
      <c r="G576" t="s">
        <v>26</v>
      </c>
      <c r="H576">
        <v>17075.100999999999</v>
      </c>
      <c r="I576" t="s">
        <v>27</v>
      </c>
    </row>
    <row r="577" spans="1:11" x14ac:dyDescent="0.3">
      <c r="A577" t="s">
        <v>23</v>
      </c>
      <c r="B577">
        <v>1</v>
      </c>
      <c r="C577" t="s">
        <v>31</v>
      </c>
      <c r="D577">
        <v>1.7077800000000001E-2</v>
      </c>
      <c r="E577" t="s">
        <v>25</v>
      </c>
      <c r="F577">
        <v>17.0778</v>
      </c>
      <c r="G577" t="s">
        <v>26</v>
      </c>
      <c r="H577">
        <v>17077.8</v>
      </c>
      <c r="I577" t="s">
        <v>27</v>
      </c>
    </row>
    <row r="578" spans="1:11" x14ac:dyDescent="0.3">
      <c r="A578" t="s">
        <v>23</v>
      </c>
      <c r="B578">
        <v>1</v>
      </c>
      <c r="C578" t="s">
        <v>32</v>
      </c>
      <c r="D578">
        <v>0.16875498999999999</v>
      </c>
      <c r="E578" t="s">
        <v>25</v>
      </c>
      <c r="F578">
        <v>168.75498999999999</v>
      </c>
      <c r="G578" t="s">
        <v>26</v>
      </c>
      <c r="H578">
        <v>168754.995</v>
      </c>
      <c r="I578" t="s">
        <v>27</v>
      </c>
      <c r="J578" t="s">
        <v>33</v>
      </c>
      <c r="K578">
        <v>5.9257505000000004</v>
      </c>
    </row>
    <row r="579" spans="1:11" x14ac:dyDescent="0.3">
      <c r="A579" t="s">
        <v>34</v>
      </c>
      <c r="B579">
        <v>1000</v>
      </c>
      <c r="C579" t="s">
        <v>29</v>
      </c>
      <c r="D579">
        <v>2.7777999999999999E-4</v>
      </c>
      <c r="E579" t="s">
        <v>25</v>
      </c>
      <c r="F579">
        <v>0.27778000000000003</v>
      </c>
      <c r="G579" t="s">
        <v>26</v>
      </c>
      <c r="H579">
        <v>277.77999999999997</v>
      </c>
      <c r="I579" t="s">
        <v>27</v>
      </c>
    </row>
    <row r="580" spans="1:11" x14ac:dyDescent="0.3">
      <c r="A580" t="s">
        <v>34</v>
      </c>
      <c r="B580">
        <v>1000</v>
      </c>
      <c r="C580" t="s">
        <v>30</v>
      </c>
      <c r="D580">
        <v>1.298523E-2</v>
      </c>
      <c r="E580" t="s">
        <v>25</v>
      </c>
      <c r="F580">
        <v>12.98523</v>
      </c>
      <c r="G580" t="s">
        <v>26</v>
      </c>
      <c r="H580">
        <v>12985.23</v>
      </c>
      <c r="I580" t="s">
        <v>27</v>
      </c>
    </row>
    <row r="581" spans="1:11" x14ac:dyDescent="0.3">
      <c r="A581" t="s">
        <v>34</v>
      </c>
      <c r="B581">
        <v>1000</v>
      </c>
      <c r="C581" t="s">
        <v>31</v>
      </c>
      <c r="D581">
        <v>1.2985770000000001E-2</v>
      </c>
      <c r="E581" t="s">
        <v>25</v>
      </c>
      <c r="F581">
        <v>12.98577</v>
      </c>
      <c r="G581" t="s">
        <v>26</v>
      </c>
      <c r="H581">
        <v>12985.766</v>
      </c>
      <c r="I581" t="s">
        <v>27</v>
      </c>
    </row>
    <row r="582" spans="1:11" x14ac:dyDescent="0.3">
      <c r="A582" t="s">
        <v>34</v>
      </c>
      <c r="B582">
        <v>1000</v>
      </c>
      <c r="C582" t="s">
        <v>32</v>
      </c>
      <c r="D582">
        <v>1.326521E-2</v>
      </c>
      <c r="E582" t="s">
        <v>25</v>
      </c>
      <c r="F582">
        <v>13.26521</v>
      </c>
      <c r="G582" t="s">
        <v>26</v>
      </c>
      <c r="H582">
        <v>13265.209000000001</v>
      </c>
      <c r="I582" t="s">
        <v>27</v>
      </c>
      <c r="J582" t="s">
        <v>33</v>
      </c>
      <c r="K582">
        <v>75.3851662</v>
      </c>
    </row>
    <row r="583" spans="1:11" x14ac:dyDescent="0.3">
      <c r="A583" t="s">
        <v>35</v>
      </c>
      <c r="B583">
        <v>1001</v>
      </c>
      <c r="C583" t="s">
        <v>29</v>
      </c>
      <c r="D583">
        <v>4.2903E-4</v>
      </c>
      <c r="E583" t="s">
        <v>25</v>
      </c>
      <c r="F583">
        <v>0.42903000000000002</v>
      </c>
      <c r="G583" t="s">
        <v>26</v>
      </c>
      <c r="H583">
        <v>429.02600000000001</v>
      </c>
      <c r="I583" t="s">
        <v>27</v>
      </c>
    </row>
    <row r="584" spans="1:11" x14ac:dyDescent="0.3">
      <c r="A584" t="s">
        <v>35</v>
      </c>
      <c r="B584">
        <v>1001</v>
      </c>
      <c r="C584" t="s">
        <v>30</v>
      </c>
      <c r="D584">
        <v>1.298932E-2</v>
      </c>
      <c r="E584" t="s">
        <v>25</v>
      </c>
      <c r="F584">
        <v>12.989319999999999</v>
      </c>
      <c r="G584" t="s">
        <v>26</v>
      </c>
      <c r="H584">
        <v>12989.316000000001</v>
      </c>
      <c r="I584" t="s">
        <v>27</v>
      </c>
    </row>
    <row r="585" spans="1:11" x14ac:dyDescent="0.3">
      <c r="A585" t="s">
        <v>35</v>
      </c>
      <c r="B585">
        <v>1001</v>
      </c>
      <c r="C585" t="s">
        <v>31</v>
      </c>
      <c r="D585">
        <v>1.2989850000000001E-2</v>
      </c>
      <c r="E585" t="s">
        <v>25</v>
      </c>
      <c r="F585">
        <v>12.989850000000001</v>
      </c>
      <c r="G585" t="s">
        <v>26</v>
      </c>
      <c r="H585">
        <v>12989.855</v>
      </c>
      <c r="I585" t="s">
        <v>27</v>
      </c>
    </row>
    <row r="586" spans="1:11" x14ac:dyDescent="0.3">
      <c r="A586" t="s">
        <v>35</v>
      </c>
      <c r="B586">
        <v>1001</v>
      </c>
      <c r="C586" t="s">
        <v>32</v>
      </c>
      <c r="D586">
        <v>1.342055E-2</v>
      </c>
      <c r="E586" t="s">
        <v>25</v>
      </c>
      <c r="F586">
        <v>13.42055</v>
      </c>
      <c r="G586" t="s">
        <v>26</v>
      </c>
      <c r="H586">
        <v>13420.547</v>
      </c>
      <c r="I586" t="s">
        <v>27</v>
      </c>
      <c r="J586" t="s">
        <v>33</v>
      </c>
      <c r="K586">
        <v>74.512610899999999</v>
      </c>
    </row>
    <row r="587" spans="1:11" x14ac:dyDescent="0.3">
      <c r="A587" t="s">
        <v>36</v>
      </c>
      <c r="B587">
        <v>1001</v>
      </c>
      <c r="C587" t="s">
        <v>37</v>
      </c>
      <c r="D587">
        <v>1.342082E-2</v>
      </c>
      <c r="E587" t="s">
        <v>25</v>
      </c>
      <c r="F587">
        <v>13.420820000000001</v>
      </c>
      <c r="G587" t="s">
        <v>26</v>
      </c>
      <c r="H587">
        <v>13420.819</v>
      </c>
      <c r="I587" t="s">
        <v>27</v>
      </c>
      <c r="J587" t="s">
        <v>33</v>
      </c>
      <c r="K587">
        <v>74.511103399999996</v>
      </c>
    </row>
    <row r="588" spans="1:11" x14ac:dyDescent="0.3">
      <c r="A588" t="s">
        <v>38</v>
      </c>
    </row>
    <row r="589" spans="1:11" x14ac:dyDescent="0.3">
      <c r="A589" t="s">
        <v>71</v>
      </c>
    </row>
    <row r="590" spans="1:11" x14ac:dyDescent="0.3">
      <c r="A590" t="s">
        <v>23</v>
      </c>
      <c r="B590">
        <v>1</v>
      </c>
      <c r="C590" t="s">
        <v>24</v>
      </c>
      <c r="D590">
        <v>5.6999999999999996E-6</v>
      </c>
      <c r="E590" t="s">
        <v>25</v>
      </c>
      <c r="F590">
        <v>5.7000000000000002E-3</v>
      </c>
      <c r="G590" t="s">
        <v>26</v>
      </c>
      <c r="H590">
        <v>5.7</v>
      </c>
      <c r="I590" t="s">
        <v>27</v>
      </c>
    </row>
    <row r="591" spans="1:11" x14ac:dyDescent="0.3">
      <c r="A591" t="s">
        <v>23</v>
      </c>
      <c r="B591">
        <v>1</v>
      </c>
      <c r="C591" t="s">
        <v>28</v>
      </c>
      <c r="D591">
        <v>8.4925999999999995E-3</v>
      </c>
      <c r="E591" t="s">
        <v>25</v>
      </c>
      <c r="F591">
        <v>8.4925999999999995</v>
      </c>
      <c r="G591" t="s">
        <v>26</v>
      </c>
      <c r="H591">
        <v>8492.6</v>
      </c>
      <c r="I591" t="s">
        <v>27</v>
      </c>
    </row>
    <row r="592" spans="1:11" x14ac:dyDescent="0.3">
      <c r="A592" t="s">
        <v>23</v>
      </c>
      <c r="B592">
        <v>1</v>
      </c>
      <c r="C592" t="s">
        <v>29</v>
      </c>
      <c r="D592">
        <v>5.9329999999999995E-4</v>
      </c>
      <c r="E592" t="s">
        <v>25</v>
      </c>
      <c r="F592">
        <v>0.59330000000000005</v>
      </c>
      <c r="G592" t="s">
        <v>26</v>
      </c>
      <c r="H592">
        <v>593.29999999999995</v>
      </c>
      <c r="I592" t="s">
        <v>27</v>
      </c>
    </row>
    <row r="593" spans="1:11" x14ac:dyDescent="0.3">
      <c r="A593" t="s">
        <v>23</v>
      </c>
      <c r="B593">
        <v>1</v>
      </c>
      <c r="C593" t="s">
        <v>30</v>
      </c>
      <c r="D593">
        <v>1.6354299999999999E-2</v>
      </c>
      <c r="E593" t="s">
        <v>25</v>
      </c>
      <c r="F593">
        <v>16.354299999999999</v>
      </c>
      <c r="G593" t="s">
        <v>26</v>
      </c>
      <c r="H593">
        <v>16354.3</v>
      </c>
      <c r="I593" t="s">
        <v>27</v>
      </c>
    </row>
    <row r="594" spans="1:11" x14ac:dyDescent="0.3">
      <c r="A594" t="s">
        <v>23</v>
      </c>
      <c r="B594">
        <v>1</v>
      </c>
      <c r="C594" t="s">
        <v>31</v>
      </c>
      <c r="D594">
        <v>1.6355000000000001E-2</v>
      </c>
      <c r="E594" t="s">
        <v>25</v>
      </c>
      <c r="F594">
        <v>16.355</v>
      </c>
      <c r="G594" t="s">
        <v>26</v>
      </c>
      <c r="H594">
        <v>16355</v>
      </c>
      <c r="I594" t="s">
        <v>27</v>
      </c>
    </row>
    <row r="595" spans="1:11" x14ac:dyDescent="0.3">
      <c r="A595" t="s">
        <v>23</v>
      </c>
      <c r="B595">
        <v>1</v>
      </c>
      <c r="C595" t="s">
        <v>32</v>
      </c>
      <c r="D595">
        <v>1.69493E-2</v>
      </c>
      <c r="E595" t="s">
        <v>25</v>
      </c>
      <c r="F595">
        <v>16.949300000000001</v>
      </c>
      <c r="G595" t="s">
        <v>26</v>
      </c>
      <c r="H595">
        <v>16949.3</v>
      </c>
      <c r="I595" t="s">
        <v>27</v>
      </c>
      <c r="J595" t="s">
        <v>33</v>
      </c>
      <c r="K595">
        <v>58.999487700000003</v>
      </c>
    </row>
    <row r="596" spans="1:11" x14ac:dyDescent="0.3">
      <c r="A596" t="s">
        <v>34</v>
      </c>
      <c r="B596">
        <v>1000</v>
      </c>
      <c r="C596" t="s">
        <v>29</v>
      </c>
      <c r="D596">
        <v>2.8455E-4</v>
      </c>
      <c r="E596" t="s">
        <v>25</v>
      </c>
      <c r="F596">
        <v>0.28455000000000003</v>
      </c>
      <c r="G596" t="s">
        <v>26</v>
      </c>
      <c r="H596">
        <v>284.54899999999998</v>
      </c>
      <c r="I596" t="s">
        <v>27</v>
      </c>
    </row>
    <row r="597" spans="1:11" x14ac:dyDescent="0.3">
      <c r="A597" t="s">
        <v>34</v>
      </c>
      <c r="B597">
        <v>1000</v>
      </c>
      <c r="C597" t="s">
        <v>30</v>
      </c>
      <c r="D597">
        <v>1.586798E-2</v>
      </c>
      <c r="E597" t="s">
        <v>25</v>
      </c>
      <c r="F597">
        <v>15.867979999999999</v>
      </c>
      <c r="G597" t="s">
        <v>26</v>
      </c>
      <c r="H597">
        <v>15867.977999999999</v>
      </c>
      <c r="I597" t="s">
        <v>27</v>
      </c>
    </row>
    <row r="598" spans="1:11" x14ac:dyDescent="0.3">
      <c r="A598" t="s">
        <v>34</v>
      </c>
      <c r="B598">
        <v>1000</v>
      </c>
      <c r="C598" t="s">
        <v>31</v>
      </c>
      <c r="D598">
        <v>1.594715E-2</v>
      </c>
      <c r="E598" t="s">
        <v>25</v>
      </c>
      <c r="F598">
        <v>15.947150000000001</v>
      </c>
      <c r="G598" t="s">
        <v>26</v>
      </c>
      <c r="H598">
        <v>15947.145</v>
      </c>
      <c r="I598" t="s">
        <v>27</v>
      </c>
    </row>
    <row r="599" spans="1:11" x14ac:dyDescent="0.3">
      <c r="A599" t="s">
        <v>34</v>
      </c>
      <c r="B599">
        <v>1000</v>
      </c>
      <c r="C599" t="s">
        <v>32</v>
      </c>
      <c r="D599">
        <v>1.623289E-2</v>
      </c>
      <c r="E599" t="s">
        <v>25</v>
      </c>
      <c r="F599">
        <v>16.232890000000001</v>
      </c>
      <c r="G599" t="s">
        <v>26</v>
      </c>
      <c r="H599">
        <v>16232.895</v>
      </c>
      <c r="I599" t="s">
        <v>27</v>
      </c>
      <c r="J599" t="s">
        <v>33</v>
      </c>
      <c r="K599">
        <v>61.603306500000002</v>
      </c>
    </row>
    <row r="600" spans="1:11" x14ac:dyDescent="0.3">
      <c r="A600" t="s">
        <v>35</v>
      </c>
      <c r="B600">
        <v>1001</v>
      </c>
      <c r="C600" t="s">
        <v>29</v>
      </c>
      <c r="D600">
        <v>2.8486000000000001E-4</v>
      </c>
      <c r="E600" t="s">
        <v>25</v>
      </c>
      <c r="F600">
        <v>0.28486</v>
      </c>
      <c r="G600" t="s">
        <v>26</v>
      </c>
      <c r="H600">
        <v>284.858</v>
      </c>
      <c r="I600" t="s">
        <v>27</v>
      </c>
    </row>
    <row r="601" spans="1:11" x14ac:dyDescent="0.3">
      <c r="A601" t="s">
        <v>35</v>
      </c>
      <c r="B601">
        <v>1001</v>
      </c>
      <c r="C601" t="s">
        <v>30</v>
      </c>
      <c r="D601">
        <v>1.5868460000000001E-2</v>
      </c>
      <c r="E601" t="s">
        <v>25</v>
      </c>
      <c r="F601">
        <v>15.868460000000001</v>
      </c>
      <c r="G601" t="s">
        <v>26</v>
      </c>
      <c r="H601">
        <v>15868.463</v>
      </c>
      <c r="I601" t="s">
        <v>27</v>
      </c>
    </row>
    <row r="602" spans="1:11" x14ac:dyDescent="0.3">
      <c r="A602" t="s">
        <v>35</v>
      </c>
      <c r="B602">
        <v>1001</v>
      </c>
      <c r="C602" t="s">
        <v>31</v>
      </c>
      <c r="D602">
        <v>1.5947550000000001E-2</v>
      </c>
      <c r="E602" t="s">
        <v>25</v>
      </c>
      <c r="F602">
        <v>15.94755</v>
      </c>
      <c r="G602" t="s">
        <v>26</v>
      </c>
      <c r="H602">
        <v>15947.554</v>
      </c>
      <c r="I602" t="s">
        <v>27</v>
      </c>
    </row>
    <row r="603" spans="1:11" x14ac:dyDescent="0.3">
      <c r="A603" t="s">
        <v>35</v>
      </c>
      <c r="B603">
        <v>1001</v>
      </c>
      <c r="C603" t="s">
        <v>32</v>
      </c>
      <c r="D603">
        <v>1.6233609999999999E-2</v>
      </c>
      <c r="E603" t="s">
        <v>25</v>
      </c>
      <c r="F603">
        <v>16.233609999999999</v>
      </c>
      <c r="G603" t="s">
        <v>26</v>
      </c>
      <c r="H603">
        <v>16233.61</v>
      </c>
      <c r="I603" t="s">
        <v>27</v>
      </c>
      <c r="J603" t="s">
        <v>33</v>
      </c>
      <c r="K603">
        <v>61.600592900000002</v>
      </c>
    </row>
    <row r="604" spans="1:11" x14ac:dyDescent="0.3">
      <c r="A604" t="s">
        <v>36</v>
      </c>
      <c r="B604">
        <v>1001</v>
      </c>
      <c r="C604" t="s">
        <v>37</v>
      </c>
      <c r="D604">
        <v>1.6233899999999999E-2</v>
      </c>
      <c r="E604" t="s">
        <v>25</v>
      </c>
      <c r="F604">
        <v>16.233899999999998</v>
      </c>
      <c r="G604" t="s">
        <v>26</v>
      </c>
      <c r="H604">
        <v>16233.902</v>
      </c>
      <c r="I604" t="s">
        <v>27</v>
      </c>
      <c r="J604" t="s">
        <v>33</v>
      </c>
      <c r="K604">
        <v>61.5994867</v>
      </c>
    </row>
    <row r="605" spans="1:11" x14ac:dyDescent="0.3">
      <c r="A605" t="s">
        <v>8</v>
      </c>
    </row>
    <row r="606" spans="1:11" x14ac:dyDescent="0.3">
      <c r="A606" t="s">
        <v>20</v>
      </c>
    </row>
    <row r="607" spans="1:11" x14ac:dyDescent="0.3">
      <c r="A607" t="s">
        <v>40</v>
      </c>
    </row>
    <row r="608" spans="1:11" x14ac:dyDescent="0.3">
      <c r="A608" t="s">
        <v>72</v>
      </c>
    </row>
    <row r="609" spans="1:11" x14ac:dyDescent="0.3">
      <c r="A609" t="s">
        <v>23</v>
      </c>
      <c r="B609">
        <v>1</v>
      </c>
      <c r="C609" t="s">
        <v>32</v>
      </c>
      <c r="D609">
        <v>0.16875498999999999</v>
      </c>
      <c r="E609" t="s">
        <v>25</v>
      </c>
      <c r="F609">
        <v>168.75498999999999</v>
      </c>
      <c r="G609" t="s">
        <v>26</v>
      </c>
      <c r="H609">
        <v>168754.995</v>
      </c>
      <c r="I609" t="s">
        <v>27</v>
      </c>
      <c r="J609" t="s">
        <v>33</v>
      </c>
      <c r="K609">
        <v>5.9257505000000004</v>
      </c>
    </row>
    <row r="610" spans="1:11" x14ac:dyDescent="0.3">
      <c r="A610" t="s">
        <v>34</v>
      </c>
      <c r="B610">
        <v>1000</v>
      </c>
      <c r="C610" t="s">
        <v>32</v>
      </c>
      <c r="D610">
        <v>1.326521E-2</v>
      </c>
      <c r="E610" t="s">
        <v>25</v>
      </c>
      <c r="F610">
        <v>13.26521</v>
      </c>
      <c r="G610" t="s">
        <v>26</v>
      </c>
      <c r="H610">
        <v>13265.209000000001</v>
      </c>
      <c r="I610" t="s">
        <v>27</v>
      </c>
      <c r="J610" t="s">
        <v>33</v>
      </c>
      <c r="K610">
        <v>75.3851662</v>
      </c>
    </row>
    <row r="611" spans="1:11" x14ac:dyDescent="0.3">
      <c r="A611" t="s">
        <v>36</v>
      </c>
      <c r="B611">
        <v>1001</v>
      </c>
      <c r="C611" t="s">
        <v>37</v>
      </c>
      <c r="D611">
        <v>1.342082E-2</v>
      </c>
      <c r="E611" t="s">
        <v>25</v>
      </c>
      <c r="F611">
        <v>13.420820000000001</v>
      </c>
      <c r="G611" t="s">
        <v>26</v>
      </c>
      <c r="H611">
        <v>13420.819</v>
      </c>
      <c r="I611" t="s">
        <v>27</v>
      </c>
      <c r="J611" t="s">
        <v>33</v>
      </c>
      <c r="K611">
        <v>74.511103399999996</v>
      </c>
    </row>
    <row r="613" spans="1:11" x14ac:dyDescent="0.3">
      <c r="A613" t="s">
        <v>73</v>
      </c>
    </row>
    <row r="614" spans="1:11" x14ac:dyDescent="0.3">
      <c r="A614" t="s">
        <v>23</v>
      </c>
      <c r="B614">
        <v>1</v>
      </c>
      <c r="C614" t="s">
        <v>32</v>
      </c>
      <c r="D614">
        <v>1.69493E-2</v>
      </c>
      <c r="E614" t="s">
        <v>25</v>
      </c>
      <c r="F614">
        <v>16.949300000000001</v>
      </c>
      <c r="G614" t="s">
        <v>26</v>
      </c>
      <c r="H614">
        <v>16949.3</v>
      </c>
      <c r="I614" t="s">
        <v>27</v>
      </c>
      <c r="J614" t="s">
        <v>33</v>
      </c>
      <c r="K614">
        <v>58.999487700000003</v>
      </c>
    </row>
    <row r="615" spans="1:11" x14ac:dyDescent="0.3">
      <c r="A615" t="s">
        <v>34</v>
      </c>
      <c r="B615">
        <v>1000</v>
      </c>
      <c r="C615" t="s">
        <v>32</v>
      </c>
      <c r="D615">
        <v>1.623289E-2</v>
      </c>
      <c r="E615" t="s">
        <v>25</v>
      </c>
      <c r="F615">
        <v>16.232890000000001</v>
      </c>
      <c r="G615" t="s">
        <v>26</v>
      </c>
      <c r="H615">
        <v>16232.895</v>
      </c>
      <c r="I615" t="s">
        <v>27</v>
      </c>
      <c r="J615" t="s">
        <v>33</v>
      </c>
      <c r="K615">
        <v>61.603306500000002</v>
      </c>
    </row>
    <row r="616" spans="1:11" x14ac:dyDescent="0.3">
      <c r="A616" t="s">
        <v>36</v>
      </c>
      <c r="B616">
        <v>1001</v>
      </c>
      <c r="C616" t="s">
        <v>37</v>
      </c>
      <c r="D616">
        <v>1.6233899999999999E-2</v>
      </c>
      <c r="E616" t="s">
        <v>25</v>
      </c>
      <c r="F616">
        <v>16.233899999999998</v>
      </c>
      <c r="G616" t="s">
        <v>26</v>
      </c>
      <c r="H616">
        <v>16233.902</v>
      </c>
      <c r="I616" t="s">
        <v>27</v>
      </c>
      <c r="J616" t="s">
        <v>33</v>
      </c>
      <c r="K616">
        <v>61.5994867</v>
      </c>
    </row>
    <row r="618" spans="1:11" x14ac:dyDescent="0.3">
      <c r="A618" t="s">
        <v>1</v>
      </c>
    </row>
    <row r="619" spans="1:11" x14ac:dyDescent="0.3">
      <c r="A619" t="s">
        <v>78</v>
      </c>
    </row>
    <row r="621" spans="1:11" x14ac:dyDescent="0.3">
      <c r="A621" t="s">
        <v>79</v>
      </c>
    </row>
    <row r="623" spans="1:11" x14ac:dyDescent="0.3">
      <c r="A623" t="s">
        <v>5</v>
      </c>
    </row>
    <row r="624" spans="1:11" x14ac:dyDescent="0.3">
      <c r="A624" t="s">
        <v>6</v>
      </c>
    </row>
    <row r="625" spans="1:1" x14ac:dyDescent="0.3">
      <c r="A625" t="s">
        <v>5</v>
      </c>
    </row>
    <row r="626" spans="1:1" x14ac:dyDescent="0.3">
      <c r="A626" t="s">
        <v>6</v>
      </c>
    </row>
    <row r="627" spans="1:1" x14ac:dyDescent="0.3">
      <c r="A627" t="s">
        <v>7</v>
      </c>
    </row>
    <row r="628" spans="1:1" x14ac:dyDescent="0.3">
      <c r="A628" t="s">
        <v>8</v>
      </c>
    </row>
    <row r="629" spans="1:1" x14ac:dyDescent="0.3">
      <c r="A629" t="s">
        <v>9</v>
      </c>
    </row>
    <row r="630" spans="1:1" x14ac:dyDescent="0.3">
      <c r="A630" t="s">
        <v>10</v>
      </c>
    </row>
    <row r="631" spans="1:1" x14ac:dyDescent="0.3">
      <c r="A631" t="s">
        <v>11</v>
      </c>
    </row>
    <row r="632" spans="1:1" x14ac:dyDescent="0.3">
      <c r="A632" t="s">
        <v>12</v>
      </c>
    </row>
    <row r="633" spans="1:1" x14ac:dyDescent="0.3">
      <c r="A633" t="s">
        <v>13</v>
      </c>
    </row>
    <row r="634" spans="1:1" x14ac:dyDescent="0.3">
      <c r="A634" t="s">
        <v>14</v>
      </c>
    </row>
    <row r="635" spans="1:1" x14ac:dyDescent="0.3">
      <c r="A635" t="s">
        <v>15</v>
      </c>
    </row>
    <row r="636" spans="1:1" x14ac:dyDescent="0.3">
      <c r="A636" t="s">
        <v>16</v>
      </c>
    </row>
    <row r="637" spans="1:1" x14ac:dyDescent="0.3">
      <c r="A637" t="s">
        <v>17</v>
      </c>
    </row>
    <row r="638" spans="1:1" x14ac:dyDescent="0.3">
      <c r="A638" t="s">
        <v>18</v>
      </c>
    </row>
    <row r="639" spans="1:1" x14ac:dyDescent="0.3">
      <c r="A639" t="s">
        <v>19</v>
      </c>
    </row>
    <row r="640" spans="1:1" x14ac:dyDescent="0.3">
      <c r="A640" t="s">
        <v>20</v>
      </c>
    </row>
    <row r="641" spans="1:1" x14ac:dyDescent="0.3">
      <c r="A641" t="s">
        <v>80</v>
      </c>
    </row>
    <row r="642" spans="1:1" x14ac:dyDescent="0.3">
      <c r="A642" t="s">
        <v>8</v>
      </c>
    </row>
    <row r="643" spans="1:1" x14ac:dyDescent="0.3">
      <c r="A643" t="s">
        <v>66</v>
      </c>
    </row>
    <row r="644" spans="1:1" x14ac:dyDescent="0.3">
      <c r="A644" t="s">
        <v>67</v>
      </c>
    </row>
    <row r="645" spans="1:1" x14ac:dyDescent="0.3">
      <c r="A645" t="s">
        <v>11</v>
      </c>
    </row>
    <row r="646" spans="1:1" x14ac:dyDescent="0.3">
      <c r="A646" t="s">
        <v>12</v>
      </c>
    </row>
    <row r="647" spans="1:1" x14ac:dyDescent="0.3">
      <c r="A647" t="s">
        <v>51</v>
      </c>
    </row>
    <row r="648" spans="1:1" x14ac:dyDescent="0.3">
      <c r="A648" t="s">
        <v>52</v>
      </c>
    </row>
    <row r="649" spans="1:1" x14ac:dyDescent="0.3">
      <c r="A649" t="s">
        <v>68</v>
      </c>
    </row>
    <row r="650" spans="1:1" x14ac:dyDescent="0.3">
      <c r="A650" t="s">
        <v>69</v>
      </c>
    </row>
    <row r="651" spans="1:1" x14ac:dyDescent="0.3">
      <c r="A651" t="s">
        <v>55</v>
      </c>
    </row>
    <row r="652" spans="1:1" x14ac:dyDescent="0.3">
      <c r="A652" t="s">
        <v>18</v>
      </c>
    </row>
    <row r="653" spans="1:1" x14ac:dyDescent="0.3">
      <c r="A653" t="s">
        <v>19</v>
      </c>
    </row>
    <row r="654" spans="1:1" x14ac:dyDescent="0.3">
      <c r="A654" t="s">
        <v>20</v>
      </c>
    </row>
    <row r="655" spans="1:1" x14ac:dyDescent="0.3">
      <c r="A655" t="s">
        <v>80</v>
      </c>
    </row>
    <row r="656" spans="1:1" x14ac:dyDescent="0.3">
      <c r="A656" t="s">
        <v>81</v>
      </c>
    </row>
    <row r="657" spans="1:12" x14ac:dyDescent="0.3">
      <c r="A657" t="s">
        <v>82</v>
      </c>
      <c r="B657" t="s">
        <v>23</v>
      </c>
      <c r="C657">
        <v>1</v>
      </c>
      <c r="D657" t="s">
        <v>29</v>
      </c>
      <c r="E657">
        <v>0.33078099999999999</v>
      </c>
      <c r="F657" t="s">
        <v>25</v>
      </c>
      <c r="G657">
        <v>330.78118999999998</v>
      </c>
      <c r="H657" t="s">
        <v>26</v>
      </c>
      <c r="I657">
        <v>330781.19199999998</v>
      </c>
      <c r="J657" t="s">
        <v>27</v>
      </c>
    </row>
    <row r="658" spans="1:12" x14ac:dyDescent="0.3">
      <c r="A658" t="s">
        <v>82</v>
      </c>
      <c r="B658" t="s">
        <v>23</v>
      </c>
      <c r="C658">
        <v>1</v>
      </c>
      <c r="D658" t="s">
        <v>30</v>
      </c>
      <c r="E658">
        <v>3.9627000000000002E-2</v>
      </c>
      <c r="F658" t="s">
        <v>25</v>
      </c>
      <c r="G658">
        <v>39.627400000000002</v>
      </c>
      <c r="H658" t="s">
        <v>26</v>
      </c>
      <c r="I658">
        <v>39627.398999999998</v>
      </c>
      <c r="J658" t="s">
        <v>27</v>
      </c>
    </row>
    <row r="659" spans="1:12" x14ac:dyDescent="0.3">
      <c r="A659" t="s">
        <v>82</v>
      </c>
      <c r="B659" t="s">
        <v>23</v>
      </c>
      <c r="C659">
        <v>1</v>
      </c>
      <c r="D659" t="s">
        <v>31</v>
      </c>
      <c r="E659">
        <v>3.9627999999999997E-2</v>
      </c>
      <c r="F659" t="s">
        <v>25</v>
      </c>
      <c r="G659">
        <v>39.628300000000003</v>
      </c>
      <c r="H659" t="s">
        <v>26</v>
      </c>
      <c r="I659">
        <v>39628.300999999999</v>
      </c>
      <c r="J659" t="s">
        <v>27</v>
      </c>
    </row>
    <row r="660" spans="1:12" x14ac:dyDescent="0.3">
      <c r="A660" t="s">
        <v>82</v>
      </c>
      <c r="B660" t="s">
        <v>23</v>
      </c>
      <c r="C660">
        <v>1</v>
      </c>
      <c r="D660" t="s">
        <v>32</v>
      </c>
      <c r="E660">
        <v>0.37041000000000002</v>
      </c>
      <c r="F660" t="s">
        <v>25</v>
      </c>
      <c r="G660">
        <v>370.41010999999997</v>
      </c>
      <c r="H660" t="s">
        <v>26</v>
      </c>
      <c r="I660">
        <v>370410.11499999999</v>
      </c>
      <c r="J660" t="s">
        <v>27</v>
      </c>
      <c r="K660" t="s">
        <v>33</v>
      </c>
      <c r="L660">
        <v>2.6997103</v>
      </c>
    </row>
    <row r="661" spans="1:12" x14ac:dyDescent="0.3">
      <c r="A661" t="s">
        <v>82</v>
      </c>
      <c r="B661" t="s">
        <v>34</v>
      </c>
      <c r="C661">
        <v>593</v>
      </c>
      <c r="D661" t="s">
        <v>29</v>
      </c>
      <c r="E661">
        <v>4.55E-4</v>
      </c>
      <c r="F661" t="s">
        <v>25</v>
      </c>
      <c r="G661">
        <v>0.45500000000000002</v>
      </c>
      <c r="H661" t="s">
        <v>26</v>
      </c>
      <c r="I661">
        <v>454.99599999999998</v>
      </c>
      <c r="J661" t="s">
        <v>27</v>
      </c>
    </row>
    <row r="662" spans="1:12" x14ac:dyDescent="0.3">
      <c r="A662" t="s">
        <v>82</v>
      </c>
      <c r="B662" t="s">
        <v>34</v>
      </c>
      <c r="C662">
        <v>593</v>
      </c>
      <c r="D662" t="s">
        <v>30</v>
      </c>
      <c r="E662">
        <v>6.8310000000000003E-3</v>
      </c>
      <c r="F662" t="s">
        <v>25</v>
      </c>
      <c r="G662">
        <v>6.8312499999999998</v>
      </c>
      <c r="H662" t="s">
        <v>26</v>
      </c>
      <c r="I662">
        <v>6831.2520000000004</v>
      </c>
      <c r="J662" t="s">
        <v>27</v>
      </c>
    </row>
    <row r="663" spans="1:12" x14ac:dyDescent="0.3">
      <c r="A663" t="s">
        <v>82</v>
      </c>
      <c r="B663" t="s">
        <v>34</v>
      </c>
      <c r="C663">
        <v>593</v>
      </c>
      <c r="D663" t="s">
        <v>31</v>
      </c>
      <c r="E663">
        <v>6.8320000000000004E-3</v>
      </c>
      <c r="F663" t="s">
        <v>25</v>
      </c>
      <c r="G663">
        <v>6.8317500000000004</v>
      </c>
      <c r="H663" t="s">
        <v>26</v>
      </c>
      <c r="I663">
        <v>6831.7479999999996</v>
      </c>
      <c r="J663" t="s">
        <v>27</v>
      </c>
    </row>
    <row r="664" spans="1:12" x14ac:dyDescent="0.3">
      <c r="A664" t="s">
        <v>82</v>
      </c>
      <c r="B664" t="s">
        <v>34</v>
      </c>
      <c r="C664">
        <v>593</v>
      </c>
      <c r="D664" t="s">
        <v>32</v>
      </c>
      <c r="E664">
        <v>7.2870000000000001E-3</v>
      </c>
      <c r="F664" t="s">
        <v>25</v>
      </c>
      <c r="G664">
        <v>7.2869000000000002</v>
      </c>
      <c r="H664" t="s">
        <v>26</v>
      </c>
      <c r="I664">
        <v>7286.9030000000002</v>
      </c>
      <c r="J664" t="s">
        <v>27</v>
      </c>
      <c r="K664" t="s">
        <v>33</v>
      </c>
      <c r="L664">
        <v>137.23250730000001</v>
      </c>
    </row>
    <row r="665" spans="1:12" x14ac:dyDescent="0.3">
      <c r="A665" t="s">
        <v>82</v>
      </c>
      <c r="B665" t="s">
        <v>35</v>
      </c>
      <c r="C665">
        <v>594</v>
      </c>
      <c r="D665" t="s">
        <v>29</v>
      </c>
      <c r="E665">
        <v>1.011E-3</v>
      </c>
      <c r="F665" t="s">
        <v>25</v>
      </c>
      <c r="G665">
        <v>1.0111000000000001</v>
      </c>
      <c r="H665" t="s">
        <v>26</v>
      </c>
      <c r="I665">
        <v>1011.103</v>
      </c>
      <c r="J665" t="s">
        <v>27</v>
      </c>
    </row>
    <row r="666" spans="1:12" x14ac:dyDescent="0.3">
      <c r="A666" t="s">
        <v>82</v>
      </c>
      <c r="B666" t="s">
        <v>35</v>
      </c>
      <c r="C666">
        <v>594</v>
      </c>
      <c r="D666" t="s">
        <v>30</v>
      </c>
      <c r="E666">
        <v>6.8859999999999998E-3</v>
      </c>
      <c r="F666" t="s">
        <v>25</v>
      </c>
      <c r="G666">
        <v>6.8864599999999996</v>
      </c>
      <c r="H666" t="s">
        <v>26</v>
      </c>
      <c r="I666">
        <v>6886.4639999999999</v>
      </c>
      <c r="J666" t="s">
        <v>27</v>
      </c>
    </row>
    <row r="667" spans="1:12" x14ac:dyDescent="0.3">
      <c r="A667" t="s">
        <v>82</v>
      </c>
      <c r="B667" t="s">
        <v>35</v>
      </c>
      <c r="C667">
        <v>594</v>
      </c>
      <c r="D667" t="s">
        <v>31</v>
      </c>
      <c r="E667">
        <v>6.8869999999999999E-3</v>
      </c>
      <c r="F667" t="s">
        <v>25</v>
      </c>
      <c r="G667">
        <v>6.8869600000000002</v>
      </c>
      <c r="H667" t="s">
        <v>26</v>
      </c>
      <c r="I667">
        <v>6886.9620000000004</v>
      </c>
      <c r="J667" t="s">
        <v>27</v>
      </c>
    </row>
    <row r="668" spans="1:12" x14ac:dyDescent="0.3">
      <c r="A668" t="s">
        <v>82</v>
      </c>
      <c r="B668" t="s">
        <v>35</v>
      </c>
      <c r="C668">
        <v>594</v>
      </c>
      <c r="D668" t="s">
        <v>32</v>
      </c>
      <c r="E668">
        <v>7.8980000000000005E-3</v>
      </c>
      <c r="F668" t="s">
        <v>25</v>
      </c>
      <c r="G668">
        <v>7.8982200000000002</v>
      </c>
      <c r="H668" t="s">
        <v>26</v>
      </c>
      <c r="I668">
        <v>7898.2209999999995</v>
      </c>
      <c r="J668" t="s">
        <v>27</v>
      </c>
      <c r="K668" t="s">
        <v>33</v>
      </c>
      <c r="L668">
        <v>126.61079460000001</v>
      </c>
    </row>
    <row r="669" spans="1:12" x14ac:dyDescent="0.3">
      <c r="A669" t="s">
        <v>83</v>
      </c>
      <c r="B669" t="s">
        <v>23</v>
      </c>
      <c r="C669">
        <v>1</v>
      </c>
      <c r="D669" t="s">
        <v>29</v>
      </c>
      <c r="E669">
        <v>0.14877299999999999</v>
      </c>
      <c r="F669" t="s">
        <v>25</v>
      </c>
      <c r="G669">
        <v>148.77330000000001</v>
      </c>
      <c r="H669" t="s">
        <v>26</v>
      </c>
      <c r="I669">
        <v>148773.29800000001</v>
      </c>
      <c r="J669" t="s">
        <v>27</v>
      </c>
    </row>
    <row r="670" spans="1:12" x14ac:dyDescent="0.3">
      <c r="A670" t="s">
        <v>83</v>
      </c>
      <c r="B670" t="s">
        <v>23</v>
      </c>
      <c r="C670">
        <v>1</v>
      </c>
      <c r="D670" t="s">
        <v>30</v>
      </c>
      <c r="E670">
        <v>1.3587E-2</v>
      </c>
      <c r="F670" t="s">
        <v>25</v>
      </c>
      <c r="G670">
        <v>13.5875</v>
      </c>
      <c r="H670" t="s">
        <v>26</v>
      </c>
      <c r="I670">
        <v>13587.5</v>
      </c>
      <c r="J670" t="s">
        <v>27</v>
      </c>
    </row>
    <row r="671" spans="1:12" x14ac:dyDescent="0.3">
      <c r="A671" t="s">
        <v>83</v>
      </c>
      <c r="B671" t="s">
        <v>23</v>
      </c>
      <c r="C671">
        <v>1</v>
      </c>
      <c r="D671" t="s">
        <v>31</v>
      </c>
      <c r="E671">
        <v>1.359E-2</v>
      </c>
      <c r="F671" t="s">
        <v>25</v>
      </c>
      <c r="G671">
        <v>13.590199999999999</v>
      </c>
      <c r="H671" t="s">
        <v>26</v>
      </c>
      <c r="I671">
        <v>13590.2</v>
      </c>
      <c r="J671" t="s">
        <v>27</v>
      </c>
    </row>
    <row r="672" spans="1:12" x14ac:dyDescent="0.3">
      <c r="A672" t="s">
        <v>83</v>
      </c>
      <c r="B672" t="s">
        <v>23</v>
      </c>
      <c r="C672">
        <v>1</v>
      </c>
      <c r="D672" t="s">
        <v>32</v>
      </c>
      <c r="E672">
        <v>0.16236400000000001</v>
      </c>
      <c r="F672" t="s">
        <v>25</v>
      </c>
      <c r="G672">
        <v>162.36410000000001</v>
      </c>
      <c r="H672" t="s">
        <v>26</v>
      </c>
      <c r="I672">
        <v>162364.095</v>
      </c>
      <c r="J672" t="s">
        <v>27</v>
      </c>
      <c r="K672" t="s">
        <v>33</v>
      </c>
      <c r="L672">
        <v>6.1589970999999997</v>
      </c>
    </row>
    <row r="673" spans="1:12" x14ac:dyDescent="0.3">
      <c r="A673" t="s">
        <v>83</v>
      </c>
      <c r="B673" t="s">
        <v>34</v>
      </c>
      <c r="C673">
        <v>406</v>
      </c>
      <c r="D673" t="s">
        <v>29</v>
      </c>
      <c r="E673">
        <v>3.4600000000000001E-4</v>
      </c>
      <c r="F673" t="s">
        <v>25</v>
      </c>
      <c r="G673">
        <v>0.34594999999999998</v>
      </c>
      <c r="H673" t="s">
        <v>26</v>
      </c>
      <c r="I673">
        <v>345.947</v>
      </c>
      <c r="J673" t="s">
        <v>27</v>
      </c>
    </row>
    <row r="674" spans="1:12" x14ac:dyDescent="0.3">
      <c r="A674" t="s">
        <v>83</v>
      </c>
      <c r="B674" t="s">
        <v>34</v>
      </c>
      <c r="C674">
        <v>406</v>
      </c>
      <c r="D674" t="s">
        <v>30</v>
      </c>
      <c r="E674">
        <v>1.0801E-2</v>
      </c>
      <c r="F674" t="s">
        <v>25</v>
      </c>
      <c r="G674">
        <v>10.80053</v>
      </c>
      <c r="H674" t="s">
        <v>26</v>
      </c>
      <c r="I674">
        <v>10800.527</v>
      </c>
      <c r="J674" t="s">
        <v>27</v>
      </c>
    </row>
    <row r="675" spans="1:12" x14ac:dyDescent="0.3">
      <c r="A675" t="s">
        <v>83</v>
      </c>
      <c r="B675" t="s">
        <v>34</v>
      </c>
      <c r="C675">
        <v>406</v>
      </c>
      <c r="D675" t="s">
        <v>31</v>
      </c>
      <c r="E675">
        <v>1.0801E-2</v>
      </c>
      <c r="F675" t="s">
        <v>25</v>
      </c>
      <c r="G675">
        <v>10.801069999999999</v>
      </c>
      <c r="H675" t="s">
        <v>26</v>
      </c>
      <c r="I675">
        <v>10801.071</v>
      </c>
      <c r="J675" t="s">
        <v>27</v>
      </c>
    </row>
    <row r="676" spans="1:12" x14ac:dyDescent="0.3">
      <c r="A676" t="s">
        <v>83</v>
      </c>
      <c r="B676" t="s">
        <v>34</v>
      </c>
      <c r="C676">
        <v>406</v>
      </c>
      <c r="D676" t="s">
        <v>32</v>
      </c>
      <c r="E676">
        <v>1.1147000000000001E-2</v>
      </c>
      <c r="F676" t="s">
        <v>25</v>
      </c>
      <c r="G676">
        <v>11.1472</v>
      </c>
      <c r="H676" t="s">
        <v>26</v>
      </c>
      <c r="I676">
        <v>11147.200999999999</v>
      </c>
      <c r="J676" t="s">
        <v>27</v>
      </c>
      <c r="K676" t="s">
        <v>33</v>
      </c>
      <c r="L676">
        <v>89.708620199999999</v>
      </c>
    </row>
    <row r="677" spans="1:12" x14ac:dyDescent="0.3">
      <c r="A677" t="s">
        <v>83</v>
      </c>
      <c r="B677" t="s">
        <v>35</v>
      </c>
      <c r="C677">
        <v>407</v>
      </c>
      <c r="D677" t="s">
        <v>29</v>
      </c>
      <c r="E677">
        <v>7.1100000000000004E-4</v>
      </c>
      <c r="F677" t="s">
        <v>25</v>
      </c>
      <c r="G677">
        <v>0.71062999999999998</v>
      </c>
      <c r="H677" t="s">
        <v>26</v>
      </c>
      <c r="I677">
        <v>710.63300000000004</v>
      </c>
      <c r="J677" t="s">
        <v>27</v>
      </c>
    </row>
    <row r="678" spans="1:12" x14ac:dyDescent="0.3">
      <c r="A678" t="s">
        <v>83</v>
      </c>
      <c r="B678" t="s">
        <v>35</v>
      </c>
      <c r="C678">
        <v>407</v>
      </c>
      <c r="D678" t="s">
        <v>30</v>
      </c>
      <c r="E678">
        <v>1.0807000000000001E-2</v>
      </c>
      <c r="F678" t="s">
        <v>25</v>
      </c>
      <c r="G678">
        <v>10.807370000000001</v>
      </c>
      <c r="H678" t="s">
        <v>26</v>
      </c>
      <c r="I678">
        <v>10807.375</v>
      </c>
      <c r="J678" t="s">
        <v>27</v>
      </c>
    </row>
    <row r="679" spans="1:12" x14ac:dyDescent="0.3">
      <c r="A679" t="s">
        <v>83</v>
      </c>
      <c r="B679" t="s">
        <v>35</v>
      </c>
      <c r="C679">
        <v>407</v>
      </c>
      <c r="D679" t="s">
        <v>31</v>
      </c>
      <c r="E679">
        <v>1.0808E-2</v>
      </c>
      <c r="F679" t="s">
        <v>25</v>
      </c>
      <c r="G679">
        <v>10.807919999999999</v>
      </c>
      <c r="H679" t="s">
        <v>26</v>
      </c>
      <c r="I679">
        <v>10807.924000000001</v>
      </c>
      <c r="J679" t="s">
        <v>27</v>
      </c>
    </row>
    <row r="680" spans="1:12" x14ac:dyDescent="0.3">
      <c r="A680" t="s">
        <v>83</v>
      </c>
      <c r="B680" t="s">
        <v>35</v>
      </c>
      <c r="C680">
        <v>407</v>
      </c>
      <c r="D680" t="s">
        <v>32</v>
      </c>
      <c r="E680">
        <v>1.1519E-2</v>
      </c>
      <c r="F680" t="s">
        <v>25</v>
      </c>
      <c r="G680">
        <v>11.518739999999999</v>
      </c>
      <c r="H680" t="s">
        <v>26</v>
      </c>
      <c r="I680">
        <v>11518.742</v>
      </c>
      <c r="J680" t="s">
        <v>27</v>
      </c>
      <c r="K680" t="s">
        <v>33</v>
      </c>
      <c r="L680">
        <v>86.815035899999998</v>
      </c>
    </row>
    <row r="681" spans="1:12" x14ac:dyDescent="0.3">
      <c r="A681" t="s">
        <v>84</v>
      </c>
      <c r="B681" t="s">
        <v>23</v>
      </c>
      <c r="C681">
        <v>1</v>
      </c>
      <c r="D681" t="s">
        <v>24</v>
      </c>
      <c r="E681">
        <v>5.8999999999999998E-5</v>
      </c>
      <c r="F681" t="s">
        <v>25</v>
      </c>
      <c r="G681">
        <v>5.9499999999999997E-2</v>
      </c>
      <c r="H681" t="s">
        <v>26</v>
      </c>
      <c r="I681">
        <v>59.5</v>
      </c>
      <c r="J681" t="s">
        <v>27</v>
      </c>
    </row>
    <row r="682" spans="1:12" x14ac:dyDescent="0.3">
      <c r="A682" t="s">
        <v>84</v>
      </c>
      <c r="B682" t="s">
        <v>23</v>
      </c>
      <c r="C682">
        <v>1</v>
      </c>
      <c r="D682" t="s">
        <v>28</v>
      </c>
      <c r="E682">
        <v>0.15671399999999999</v>
      </c>
      <c r="F682" t="s">
        <v>25</v>
      </c>
      <c r="G682">
        <v>156.71360000000001</v>
      </c>
      <c r="H682" t="s">
        <v>26</v>
      </c>
      <c r="I682">
        <v>156713.60500000001</v>
      </c>
      <c r="J682" t="s">
        <v>27</v>
      </c>
    </row>
    <row r="683" spans="1:12" x14ac:dyDescent="0.3">
      <c r="A683" t="s">
        <v>84</v>
      </c>
      <c r="B683" t="s">
        <v>23</v>
      </c>
      <c r="C683">
        <v>2</v>
      </c>
      <c r="D683" t="s">
        <v>37</v>
      </c>
      <c r="E683">
        <v>0.18521099999999999</v>
      </c>
      <c r="F683" t="s">
        <v>25</v>
      </c>
      <c r="G683">
        <v>185.21149</v>
      </c>
      <c r="H683" t="s">
        <v>26</v>
      </c>
      <c r="I683">
        <v>185211.495</v>
      </c>
      <c r="J683" t="s">
        <v>27</v>
      </c>
      <c r="K683" t="s">
        <v>33</v>
      </c>
      <c r="L683">
        <v>5.3992329000000003</v>
      </c>
    </row>
    <row r="684" spans="1:12" x14ac:dyDescent="0.3">
      <c r="A684" t="s">
        <v>84</v>
      </c>
      <c r="B684" t="s">
        <v>34</v>
      </c>
      <c r="C684">
        <v>999</v>
      </c>
      <c r="D684" t="s">
        <v>37</v>
      </c>
      <c r="E684">
        <v>4.529E-3</v>
      </c>
      <c r="F684" t="s">
        <v>25</v>
      </c>
      <c r="G684">
        <v>4.52874</v>
      </c>
      <c r="H684" t="s">
        <v>26</v>
      </c>
      <c r="I684">
        <v>4528.7430000000004</v>
      </c>
      <c r="J684" t="s">
        <v>27</v>
      </c>
      <c r="K684" t="s">
        <v>33</v>
      </c>
      <c r="L684">
        <v>220.811823</v>
      </c>
    </row>
    <row r="685" spans="1:12" x14ac:dyDescent="0.3">
      <c r="A685" t="s">
        <v>84</v>
      </c>
      <c r="B685" t="s">
        <v>36</v>
      </c>
      <c r="C685">
        <v>1001</v>
      </c>
      <c r="D685" t="s">
        <v>37</v>
      </c>
      <c r="E685">
        <v>4.6950000000000004E-3</v>
      </c>
      <c r="F685" t="s">
        <v>25</v>
      </c>
      <c r="G685">
        <v>4.6951700000000001</v>
      </c>
      <c r="H685" t="s">
        <v>26</v>
      </c>
      <c r="I685">
        <v>4695.165</v>
      </c>
      <c r="J685" t="s">
        <v>27</v>
      </c>
      <c r="K685" t="s">
        <v>33</v>
      </c>
      <c r="L685">
        <v>212.98504170000001</v>
      </c>
    </row>
    <row r="686" spans="1:12" x14ac:dyDescent="0.3">
      <c r="A686" t="s">
        <v>85</v>
      </c>
    </row>
    <row r="687" spans="1:12" x14ac:dyDescent="0.3">
      <c r="A687" t="s">
        <v>85</v>
      </c>
    </row>
    <row r="688" spans="1:12" x14ac:dyDescent="0.3">
      <c r="A688" t="s">
        <v>86</v>
      </c>
    </row>
    <row r="689" spans="1:12" x14ac:dyDescent="0.3">
      <c r="A689" t="s">
        <v>82</v>
      </c>
      <c r="B689" t="s">
        <v>23</v>
      </c>
      <c r="C689">
        <v>1</v>
      </c>
      <c r="D689" t="s">
        <v>29</v>
      </c>
      <c r="E689">
        <v>3.5140000000000002E-3</v>
      </c>
      <c r="F689" t="s">
        <v>25</v>
      </c>
      <c r="G689">
        <v>3.5137999999999998</v>
      </c>
      <c r="H689" t="s">
        <v>26</v>
      </c>
      <c r="I689">
        <v>3513.8</v>
      </c>
      <c r="J689" t="s">
        <v>27</v>
      </c>
    </row>
    <row r="690" spans="1:12" x14ac:dyDescent="0.3">
      <c r="A690" t="s">
        <v>82</v>
      </c>
      <c r="B690" t="s">
        <v>23</v>
      </c>
      <c r="C690">
        <v>1</v>
      </c>
      <c r="D690" t="s">
        <v>30</v>
      </c>
      <c r="E690">
        <v>1.9854E-2</v>
      </c>
      <c r="F690" t="s">
        <v>25</v>
      </c>
      <c r="G690">
        <v>19.854399999999998</v>
      </c>
      <c r="H690" t="s">
        <v>26</v>
      </c>
      <c r="I690">
        <v>19854.400000000001</v>
      </c>
      <c r="J690" t="s">
        <v>27</v>
      </c>
    </row>
    <row r="691" spans="1:12" x14ac:dyDescent="0.3">
      <c r="A691" t="s">
        <v>82</v>
      </c>
      <c r="B691" t="s">
        <v>23</v>
      </c>
      <c r="C691">
        <v>1</v>
      </c>
      <c r="D691" t="s">
        <v>31</v>
      </c>
      <c r="E691">
        <v>1.9855999999999999E-2</v>
      </c>
      <c r="F691" t="s">
        <v>25</v>
      </c>
      <c r="G691">
        <v>19.855599999999999</v>
      </c>
      <c r="H691" t="s">
        <v>26</v>
      </c>
      <c r="I691">
        <v>19855.599999999999</v>
      </c>
      <c r="J691" t="s">
        <v>27</v>
      </c>
    </row>
    <row r="692" spans="1:12" x14ac:dyDescent="0.3">
      <c r="A692" t="s">
        <v>82</v>
      </c>
      <c r="B692" t="s">
        <v>23</v>
      </c>
      <c r="C692">
        <v>1</v>
      </c>
      <c r="D692" t="s">
        <v>32</v>
      </c>
      <c r="E692">
        <v>2.3369999999999998E-2</v>
      </c>
      <c r="F692" t="s">
        <v>25</v>
      </c>
      <c r="G692">
        <v>23.369700000000002</v>
      </c>
      <c r="H692" t="s">
        <v>26</v>
      </c>
      <c r="I692">
        <v>23369.7</v>
      </c>
      <c r="J692" t="s">
        <v>27</v>
      </c>
      <c r="K692" t="s">
        <v>33</v>
      </c>
      <c r="L692">
        <v>42.790451400000002</v>
      </c>
    </row>
    <row r="693" spans="1:12" x14ac:dyDescent="0.3">
      <c r="A693" t="s">
        <v>82</v>
      </c>
      <c r="B693" t="s">
        <v>34</v>
      </c>
      <c r="C693">
        <v>786</v>
      </c>
      <c r="D693" t="s">
        <v>29</v>
      </c>
      <c r="E693">
        <v>5.1599999999999997E-4</v>
      </c>
      <c r="F693" t="s">
        <v>25</v>
      </c>
      <c r="G693">
        <v>0.51612000000000002</v>
      </c>
      <c r="H693" t="s">
        <v>26</v>
      </c>
      <c r="I693">
        <v>516.11599999999999</v>
      </c>
      <c r="J693" t="s">
        <v>27</v>
      </c>
    </row>
    <row r="694" spans="1:12" x14ac:dyDescent="0.3">
      <c r="A694" t="s">
        <v>82</v>
      </c>
      <c r="B694" t="s">
        <v>34</v>
      </c>
      <c r="C694">
        <v>786</v>
      </c>
      <c r="D694" t="s">
        <v>30</v>
      </c>
      <c r="E694">
        <v>9.2149999999999992E-3</v>
      </c>
      <c r="F694" t="s">
        <v>25</v>
      </c>
      <c r="G694">
        <v>9.2145100000000006</v>
      </c>
      <c r="H694" t="s">
        <v>26</v>
      </c>
      <c r="I694">
        <v>9214.51</v>
      </c>
      <c r="J694" t="s">
        <v>27</v>
      </c>
    </row>
    <row r="695" spans="1:12" x14ac:dyDescent="0.3">
      <c r="A695" t="s">
        <v>82</v>
      </c>
      <c r="B695" t="s">
        <v>34</v>
      </c>
      <c r="C695">
        <v>786</v>
      </c>
      <c r="D695" t="s">
        <v>31</v>
      </c>
      <c r="E695">
        <v>9.4619999999999999E-3</v>
      </c>
      <c r="F695" t="s">
        <v>25</v>
      </c>
      <c r="G695">
        <v>9.4618000000000002</v>
      </c>
      <c r="H695" t="s">
        <v>26</v>
      </c>
      <c r="I695">
        <v>9461.7999999999993</v>
      </c>
      <c r="J695" t="s">
        <v>27</v>
      </c>
    </row>
    <row r="696" spans="1:12" x14ac:dyDescent="0.3">
      <c r="A696" t="s">
        <v>82</v>
      </c>
      <c r="B696" t="s">
        <v>34</v>
      </c>
      <c r="C696">
        <v>786</v>
      </c>
      <c r="D696" t="s">
        <v>32</v>
      </c>
      <c r="E696">
        <v>9.9780000000000008E-3</v>
      </c>
      <c r="F696" t="s">
        <v>25</v>
      </c>
      <c r="G696">
        <v>9.9782499999999992</v>
      </c>
      <c r="H696" t="s">
        <v>26</v>
      </c>
      <c r="I696">
        <v>9978.2510000000002</v>
      </c>
      <c r="J696" t="s">
        <v>27</v>
      </c>
      <c r="K696" t="s">
        <v>33</v>
      </c>
      <c r="L696">
        <v>100.217961</v>
      </c>
    </row>
    <row r="697" spans="1:12" x14ac:dyDescent="0.3">
      <c r="A697" t="s">
        <v>82</v>
      </c>
      <c r="B697" t="s">
        <v>35</v>
      </c>
      <c r="C697">
        <v>787</v>
      </c>
      <c r="D697" t="s">
        <v>29</v>
      </c>
      <c r="E697">
        <v>5.1999999999999995E-4</v>
      </c>
      <c r="F697" t="s">
        <v>25</v>
      </c>
      <c r="G697">
        <v>0.51993</v>
      </c>
      <c r="H697" t="s">
        <v>26</v>
      </c>
      <c r="I697">
        <v>519.92499999999995</v>
      </c>
      <c r="J697" t="s">
        <v>27</v>
      </c>
    </row>
    <row r="698" spans="1:12" x14ac:dyDescent="0.3">
      <c r="A698" t="s">
        <v>82</v>
      </c>
      <c r="B698" t="s">
        <v>35</v>
      </c>
      <c r="C698">
        <v>787</v>
      </c>
      <c r="D698" t="s">
        <v>30</v>
      </c>
      <c r="E698">
        <v>9.2280000000000001E-3</v>
      </c>
      <c r="F698" t="s">
        <v>25</v>
      </c>
      <c r="G698">
        <v>9.2280300000000004</v>
      </c>
      <c r="H698" t="s">
        <v>26</v>
      </c>
      <c r="I698">
        <v>9228.0310000000009</v>
      </c>
      <c r="J698" t="s">
        <v>27</v>
      </c>
    </row>
    <row r="699" spans="1:12" x14ac:dyDescent="0.3">
      <c r="A699" t="s">
        <v>82</v>
      </c>
      <c r="B699" t="s">
        <v>35</v>
      </c>
      <c r="C699">
        <v>787</v>
      </c>
      <c r="D699" t="s">
        <v>31</v>
      </c>
      <c r="E699">
        <v>9.4750000000000008E-3</v>
      </c>
      <c r="F699" t="s">
        <v>25</v>
      </c>
      <c r="G699">
        <v>9.4750099999999993</v>
      </c>
      <c r="H699" t="s">
        <v>26</v>
      </c>
      <c r="I699">
        <v>9475.0059999999994</v>
      </c>
      <c r="J699" t="s">
        <v>27</v>
      </c>
    </row>
    <row r="700" spans="1:12" x14ac:dyDescent="0.3">
      <c r="A700" t="s">
        <v>82</v>
      </c>
      <c r="B700" t="s">
        <v>35</v>
      </c>
      <c r="C700">
        <v>787</v>
      </c>
      <c r="D700" t="s">
        <v>32</v>
      </c>
      <c r="E700">
        <v>9.9950000000000004E-3</v>
      </c>
      <c r="F700" t="s">
        <v>25</v>
      </c>
      <c r="G700">
        <v>9.9952699999999997</v>
      </c>
      <c r="H700" t="s">
        <v>26</v>
      </c>
      <c r="I700">
        <v>9995.2669999999998</v>
      </c>
      <c r="J700" t="s">
        <v>27</v>
      </c>
      <c r="K700" t="s">
        <v>33</v>
      </c>
      <c r="L700">
        <v>100.0473501</v>
      </c>
    </row>
    <row r="701" spans="1:12" x14ac:dyDescent="0.3">
      <c r="A701" t="s">
        <v>83</v>
      </c>
      <c r="B701" t="s">
        <v>23</v>
      </c>
      <c r="C701">
        <v>1</v>
      </c>
      <c r="D701" t="s">
        <v>29</v>
      </c>
      <c r="E701">
        <v>4.6200000000000001E-4</v>
      </c>
      <c r="F701" t="s">
        <v>25</v>
      </c>
      <c r="G701">
        <v>0.46179999999999999</v>
      </c>
      <c r="H701" t="s">
        <v>26</v>
      </c>
      <c r="I701">
        <v>461.8</v>
      </c>
      <c r="J701" t="s">
        <v>27</v>
      </c>
    </row>
    <row r="702" spans="1:12" x14ac:dyDescent="0.3">
      <c r="A702" t="s">
        <v>83</v>
      </c>
      <c r="B702" t="s">
        <v>23</v>
      </c>
      <c r="C702">
        <v>1</v>
      </c>
      <c r="D702" t="s">
        <v>30</v>
      </c>
      <c r="E702">
        <v>3.6132999999999998E-2</v>
      </c>
      <c r="F702" t="s">
        <v>25</v>
      </c>
      <c r="G702">
        <v>36.133099999999999</v>
      </c>
      <c r="H702" t="s">
        <v>26</v>
      </c>
      <c r="I702">
        <v>36133.099000000002</v>
      </c>
      <c r="J702" t="s">
        <v>27</v>
      </c>
    </row>
    <row r="703" spans="1:12" x14ac:dyDescent="0.3">
      <c r="A703" t="s">
        <v>83</v>
      </c>
      <c r="B703" t="s">
        <v>23</v>
      </c>
      <c r="C703">
        <v>1</v>
      </c>
      <c r="D703" t="s">
        <v>31</v>
      </c>
      <c r="E703">
        <v>3.6133999999999999E-2</v>
      </c>
      <c r="F703" t="s">
        <v>25</v>
      </c>
      <c r="G703">
        <v>36.134</v>
      </c>
      <c r="H703" t="s">
        <v>26</v>
      </c>
      <c r="I703">
        <v>36134.000999999997</v>
      </c>
      <c r="J703" t="s">
        <v>27</v>
      </c>
    </row>
    <row r="704" spans="1:12" x14ac:dyDescent="0.3">
      <c r="A704" t="s">
        <v>83</v>
      </c>
      <c r="B704" t="s">
        <v>23</v>
      </c>
      <c r="C704">
        <v>1</v>
      </c>
      <c r="D704" t="s">
        <v>32</v>
      </c>
      <c r="E704">
        <v>3.6595999999999997E-2</v>
      </c>
      <c r="F704" t="s">
        <v>25</v>
      </c>
      <c r="G704">
        <v>36.595999999999997</v>
      </c>
      <c r="H704" t="s">
        <v>26</v>
      </c>
      <c r="I704">
        <v>36596</v>
      </c>
      <c r="J704" t="s">
        <v>27</v>
      </c>
      <c r="K704" t="s">
        <v>33</v>
      </c>
      <c r="L704">
        <v>27.325390599999999</v>
      </c>
    </row>
    <row r="705" spans="1:12" x14ac:dyDescent="0.3">
      <c r="A705" t="s">
        <v>83</v>
      </c>
      <c r="B705" t="s">
        <v>34</v>
      </c>
      <c r="C705">
        <v>213</v>
      </c>
      <c r="D705" t="s">
        <v>29</v>
      </c>
      <c r="E705">
        <v>1.188E-3</v>
      </c>
      <c r="F705" t="s">
        <v>25</v>
      </c>
      <c r="G705">
        <v>1.1878599999999999</v>
      </c>
      <c r="H705" t="s">
        <v>26</v>
      </c>
      <c r="I705">
        <v>1187.8589999999999</v>
      </c>
      <c r="J705" t="s">
        <v>27</v>
      </c>
    </row>
    <row r="706" spans="1:12" x14ac:dyDescent="0.3">
      <c r="A706" t="s">
        <v>83</v>
      </c>
      <c r="B706" t="s">
        <v>34</v>
      </c>
      <c r="C706">
        <v>213</v>
      </c>
      <c r="D706" t="s">
        <v>30</v>
      </c>
      <c r="E706">
        <v>3.4551999999999999E-2</v>
      </c>
      <c r="F706" t="s">
        <v>25</v>
      </c>
      <c r="G706">
        <v>34.552370000000003</v>
      </c>
      <c r="H706" t="s">
        <v>26</v>
      </c>
      <c r="I706">
        <v>34552.375</v>
      </c>
      <c r="J706" t="s">
        <v>27</v>
      </c>
    </row>
    <row r="707" spans="1:12" x14ac:dyDescent="0.3">
      <c r="A707" t="s">
        <v>83</v>
      </c>
      <c r="B707" t="s">
        <v>34</v>
      </c>
      <c r="C707">
        <v>213</v>
      </c>
      <c r="D707" t="s">
        <v>31</v>
      </c>
      <c r="E707">
        <v>3.4819999999999997E-2</v>
      </c>
      <c r="F707" t="s">
        <v>25</v>
      </c>
      <c r="G707">
        <v>34.819890000000001</v>
      </c>
      <c r="H707" t="s">
        <v>26</v>
      </c>
      <c r="I707">
        <v>34819.89</v>
      </c>
      <c r="J707" t="s">
        <v>27</v>
      </c>
    </row>
    <row r="708" spans="1:12" x14ac:dyDescent="0.3">
      <c r="A708" t="s">
        <v>83</v>
      </c>
      <c r="B708" t="s">
        <v>34</v>
      </c>
      <c r="C708">
        <v>213</v>
      </c>
      <c r="D708" t="s">
        <v>32</v>
      </c>
      <c r="E708">
        <v>3.6007999999999998E-2</v>
      </c>
      <c r="F708" t="s">
        <v>25</v>
      </c>
      <c r="G708">
        <v>36.008139999999997</v>
      </c>
      <c r="H708" t="s">
        <v>26</v>
      </c>
      <c r="I708">
        <v>36008.142999999996</v>
      </c>
      <c r="J708" t="s">
        <v>27</v>
      </c>
      <c r="K708" t="s">
        <v>33</v>
      </c>
      <c r="L708">
        <v>27.771495999999999</v>
      </c>
    </row>
    <row r="709" spans="1:12" x14ac:dyDescent="0.3">
      <c r="A709" t="s">
        <v>83</v>
      </c>
      <c r="B709" t="s">
        <v>35</v>
      </c>
      <c r="C709">
        <v>214</v>
      </c>
      <c r="D709" t="s">
        <v>29</v>
      </c>
      <c r="E709">
        <v>1.1839999999999999E-3</v>
      </c>
      <c r="F709" t="s">
        <v>25</v>
      </c>
      <c r="G709">
        <v>1.1844699999999999</v>
      </c>
      <c r="H709" t="s">
        <v>26</v>
      </c>
      <c r="I709">
        <v>1184.4659999999999</v>
      </c>
      <c r="J709" t="s">
        <v>27</v>
      </c>
    </row>
    <row r="710" spans="1:12" x14ac:dyDescent="0.3">
      <c r="A710" t="s">
        <v>83</v>
      </c>
      <c r="B710" t="s">
        <v>35</v>
      </c>
      <c r="C710">
        <v>214</v>
      </c>
      <c r="D710" t="s">
        <v>30</v>
      </c>
      <c r="E710">
        <v>3.456E-2</v>
      </c>
      <c r="F710" t="s">
        <v>25</v>
      </c>
      <c r="G710">
        <v>34.559759999999997</v>
      </c>
      <c r="H710" t="s">
        <v>26</v>
      </c>
      <c r="I710">
        <v>34559.760000000002</v>
      </c>
      <c r="J710" t="s">
        <v>27</v>
      </c>
    </row>
    <row r="711" spans="1:12" x14ac:dyDescent="0.3">
      <c r="A711" t="s">
        <v>83</v>
      </c>
      <c r="B711" t="s">
        <v>35</v>
      </c>
      <c r="C711">
        <v>214</v>
      </c>
      <c r="D711" t="s">
        <v>31</v>
      </c>
      <c r="E711">
        <v>3.4826000000000003E-2</v>
      </c>
      <c r="F711" t="s">
        <v>25</v>
      </c>
      <c r="G711">
        <v>34.826030000000003</v>
      </c>
      <c r="H711" t="s">
        <v>26</v>
      </c>
      <c r="I711">
        <v>34826.029000000002</v>
      </c>
      <c r="J711" t="s">
        <v>27</v>
      </c>
    </row>
    <row r="712" spans="1:12" x14ac:dyDescent="0.3">
      <c r="A712" t="s">
        <v>83</v>
      </c>
      <c r="B712" t="s">
        <v>35</v>
      </c>
      <c r="C712">
        <v>214</v>
      </c>
      <c r="D712" t="s">
        <v>32</v>
      </c>
      <c r="E712">
        <v>3.6011000000000001E-2</v>
      </c>
      <c r="F712" t="s">
        <v>25</v>
      </c>
      <c r="G712">
        <v>36.010890000000003</v>
      </c>
      <c r="H712" t="s">
        <v>26</v>
      </c>
      <c r="I712">
        <v>36010.891000000003</v>
      </c>
      <c r="J712" t="s">
        <v>27</v>
      </c>
      <c r="K712" t="s">
        <v>33</v>
      </c>
      <c r="L712">
        <v>27.769376399999999</v>
      </c>
    </row>
    <row r="713" spans="1:12" x14ac:dyDescent="0.3">
      <c r="A713" t="s">
        <v>84</v>
      </c>
      <c r="B713" t="s">
        <v>23</v>
      </c>
      <c r="C713">
        <v>1</v>
      </c>
      <c r="D713" t="s">
        <v>24</v>
      </c>
      <c r="E713">
        <v>5.8999999999999998E-5</v>
      </c>
      <c r="F713" t="s">
        <v>25</v>
      </c>
      <c r="G713">
        <v>5.9499999999999997E-2</v>
      </c>
      <c r="H713" t="s">
        <v>26</v>
      </c>
      <c r="I713">
        <v>59.5</v>
      </c>
      <c r="J713" t="s">
        <v>27</v>
      </c>
    </row>
    <row r="714" spans="1:12" x14ac:dyDescent="0.3">
      <c r="A714" t="s">
        <v>84</v>
      </c>
      <c r="B714" t="s">
        <v>23</v>
      </c>
      <c r="C714">
        <v>1</v>
      </c>
      <c r="D714" t="s">
        <v>28</v>
      </c>
      <c r="E714">
        <v>8.8109999999999994E-3</v>
      </c>
      <c r="F714" t="s">
        <v>25</v>
      </c>
      <c r="G714">
        <v>8.8109999999999999</v>
      </c>
      <c r="H714" t="s">
        <v>26</v>
      </c>
      <c r="I714">
        <v>8811</v>
      </c>
      <c r="J714" t="s">
        <v>27</v>
      </c>
    </row>
    <row r="715" spans="1:12" x14ac:dyDescent="0.3">
      <c r="A715" t="s">
        <v>84</v>
      </c>
      <c r="B715" t="s">
        <v>23</v>
      </c>
      <c r="C715">
        <v>2</v>
      </c>
      <c r="D715" t="s">
        <v>37</v>
      </c>
      <c r="E715">
        <v>1.8325999999999999E-2</v>
      </c>
      <c r="F715" t="s">
        <v>25</v>
      </c>
      <c r="G715">
        <v>18.325749999999999</v>
      </c>
      <c r="H715" t="s">
        <v>26</v>
      </c>
      <c r="I715">
        <v>18325.75</v>
      </c>
      <c r="J715" t="s">
        <v>27</v>
      </c>
      <c r="K715" t="s">
        <v>33</v>
      </c>
      <c r="L715">
        <v>54.568026500000002</v>
      </c>
    </row>
    <row r="716" spans="1:12" x14ac:dyDescent="0.3">
      <c r="A716" t="s">
        <v>84</v>
      </c>
      <c r="B716" t="s">
        <v>34</v>
      </c>
      <c r="C716">
        <v>999</v>
      </c>
      <c r="D716" t="s">
        <v>37</v>
      </c>
      <c r="E716">
        <v>7.8709999999999995E-3</v>
      </c>
      <c r="F716" t="s">
        <v>25</v>
      </c>
      <c r="G716">
        <v>7.8705800000000004</v>
      </c>
      <c r="H716" t="s">
        <v>26</v>
      </c>
      <c r="I716">
        <v>7870.5810000000001</v>
      </c>
      <c r="J716" t="s">
        <v>27</v>
      </c>
      <c r="K716" t="s">
        <v>33</v>
      </c>
      <c r="L716">
        <v>127.0554223</v>
      </c>
    </row>
    <row r="717" spans="1:12" x14ac:dyDescent="0.3">
      <c r="A717" t="s">
        <v>84</v>
      </c>
      <c r="B717" t="s">
        <v>36</v>
      </c>
      <c r="C717">
        <v>1001</v>
      </c>
      <c r="D717" t="s">
        <v>37</v>
      </c>
      <c r="E717">
        <v>7.8799999999999999E-3</v>
      </c>
      <c r="F717" t="s">
        <v>25</v>
      </c>
      <c r="G717">
        <v>7.88002</v>
      </c>
      <c r="H717" t="s">
        <v>26</v>
      </c>
      <c r="I717">
        <v>7880.0249999999996</v>
      </c>
      <c r="J717" t="s">
        <v>27</v>
      </c>
      <c r="K717" t="s">
        <v>33</v>
      </c>
      <c r="L717">
        <v>126.9031568</v>
      </c>
    </row>
    <row r="718" spans="1:12" x14ac:dyDescent="0.3">
      <c r="A718" t="s">
        <v>8</v>
      </c>
    </row>
    <row r="719" spans="1:12" x14ac:dyDescent="0.3">
      <c r="A719" t="s">
        <v>20</v>
      </c>
    </row>
    <row r="720" spans="1:12" x14ac:dyDescent="0.3">
      <c r="A720" t="s">
        <v>40</v>
      </c>
    </row>
    <row r="721" spans="1:12" x14ac:dyDescent="0.3">
      <c r="A721" t="s">
        <v>87</v>
      </c>
    </row>
    <row r="722" spans="1:12" x14ac:dyDescent="0.3">
      <c r="A722" t="s">
        <v>82</v>
      </c>
      <c r="B722" t="s">
        <v>23</v>
      </c>
      <c r="C722">
        <v>1</v>
      </c>
      <c r="D722" t="s">
        <v>32</v>
      </c>
      <c r="E722">
        <v>0.37041000000000002</v>
      </c>
      <c r="F722" t="s">
        <v>25</v>
      </c>
      <c r="G722">
        <v>370.41010999999997</v>
      </c>
      <c r="H722" t="s">
        <v>26</v>
      </c>
      <c r="I722">
        <v>370410.11499999999</v>
      </c>
      <c r="J722" t="s">
        <v>27</v>
      </c>
      <c r="K722" t="s">
        <v>33</v>
      </c>
      <c r="L722">
        <v>2.6997103</v>
      </c>
    </row>
    <row r="723" spans="1:12" x14ac:dyDescent="0.3">
      <c r="A723" t="s">
        <v>82</v>
      </c>
      <c r="B723" t="s">
        <v>34</v>
      </c>
      <c r="C723">
        <v>593</v>
      </c>
      <c r="D723" t="s">
        <v>32</v>
      </c>
      <c r="E723">
        <v>7.2870000000000001E-3</v>
      </c>
      <c r="F723" t="s">
        <v>25</v>
      </c>
      <c r="G723">
        <v>7.2869000000000002</v>
      </c>
      <c r="H723" t="s">
        <v>26</v>
      </c>
      <c r="I723">
        <v>7286.9030000000002</v>
      </c>
      <c r="J723" t="s">
        <v>27</v>
      </c>
      <c r="K723" t="s">
        <v>33</v>
      </c>
      <c r="L723">
        <v>137.23250730000001</v>
      </c>
    </row>
    <row r="724" spans="1:12" x14ac:dyDescent="0.3">
      <c r="A724" t="s">
        <v>82</v>
      </c>
      <c r="B724" t="s">
        <v>35</v>
      </c>
      <c r="C724">
        <v>594</v>
      </c>
      <c r="D724" t="s">
        <v>32</v>
      </c>
      <c r="E724">
        <v>7.8980000000000005E-3</v>
      </c>
      <c r="F724" t="s">
        <v>25</v>
      </c>
      <c r="G724">
        <v>7.8982200000000002</v>
      </c>
      <c r="H724" t="s">
        <v>26</v>
      </c>
      <c r="I724">
        <v>7898.2209999999995</v>
      </c>
      <c r="J724" t="s">
        <v>27</v>
      </c>
      <c r="K724" t="s">
        <v>33</v>
      </c>
      <c r="L724">
        <v>126.61079460000001</v>
      </c>
    </row>
    <row r="725" spans="1:12" x14ac:dyDescent="0.3">
      <c r="A725" t="s">
        <v>83</v>
      </c>
      <c r="B725" t="s">
        <v>23</v>
      </c>
      <c r="C725">
        <v>1</v>
      </c>
      <c r="D725" t="s">
        <v>32</v>
      </c>
      <c r="E725">
        <v>0.16236400000000001</v>
      </c>
      <c r="F725" t="s">
        <v>25</v>
      </c>
      <c r="G725">
        <v>162.36410000000001</v>
      </c>
      <c r="H725" t="s">
        <v>26</v>
      </c>
      <c r="I725">
        <v>162364.095</v>
      </c>
      <c r="J725" t="s">
        <v>27</v>
      </c>
      <c r="K725" t="s">
        <v>33</v>
      </c>
      <c r="L725">
        <v>6.1589970999999997</v>
      </c>
    </row>
    <row r="726" spans="1:12" x14ac:dyDescent="0.3">
      <c r="A726" t="s">
        <v>83</v>
      </c>
      <c r="B726" t="s">
        <v>34</v>
      </c>
      <c r="C726">
        <v>406</v>
      </c>
      <c r="D726" t="s">
        <v>32</v>
      </c>
      <c r="E726">
        <v>1.1147000000000001E-2</v>
      </c>
      <c r="F726" t="s">
        <v>25</v>
      </c>
      <c r="G726">
        <v>11.1472</v>
      </c>
      <c r="H726" t="s">
        <v>26</v>
      </c>
      <c r="I726">
        <v>11147.200999999999</v>
      </c>
      <c r="J726" t="s">
        <v>27</v>
      </c>
      <c r="K726" t="s">
        <v>33</v>
      </c>
      <c r="L726">
        <v>89.708620199999999</v>
      </c>
    </row>
    <row r="727" spans="1:12" x14ac:dyDescent="0.3">
      <c r="A727" t="s">
        <v>83</v>
      </c>
      <c r="B727" t="s">
        <v>35</v>
      </c>
      <c r="C727">
        <v>407</v>
      </c>
      <c r="D727" t="s">
        <v>32</v>
      </c>
      <c r="E727">
        <v>1.1519E-2</v>
      </c>
      <c r="F727" t="s">
        <v>25</v>
      </c>
      <c r="G727">
        <v>11.518739999999999</v>
      </c>
      <c r="H727" t="s">
        <v>26</v>
      </c>
      <c r="I727">
        <v>11518.742</v>
      </c>
      <c r="J727" t="s">
        <v>27</v>
      </c>
      <c r="K727" t="s">
        <v>33</v>
      </c>
      <c r="L727">
        <v>86.815035899999998</v>
      </c>
    </row>
    <row r="728" spans="1:12" x14ac:dyDescent="0.3">
      <c r="A728" t="s">
        <v>84</v>
      </c>
      <c r="B728" t="s">
        <v>23</v>
      </c>
      <c r="C728">
        <v>2</v>
      </c>
      <c r="D728" t="s">
        <v>37</v>
      </c>
      <c r="E728">
        <v>0.18521099999999999</v>
      </c>
      <c r="F728" t="s">
        <v>25</v>
      </c>
      <c r="G728">
        <v>185.21149</v>
      </c>
      <c r="H728" t="s">
        <v>26</v>
      </c>
      <c r="I728">
        <v>185211.495</v>
      </c>
      <c r="J728" t="s">
        <v>27</v>
      </c>
      <c r="K728" t="s">
        <v>33</v>
      </c>
      <c r="L728">
        <v>5.3992329000000003</v>
      </c>
    </row>
    <row r="729" spans="1:12" x14ac:dyDescent="0.3">
      <c r="A729" t="s">
        <v>84</v>
      </c>
      <c r="B729" t="s">
        <v>34</v>
      </c>
      <c r="C729">
        <v>999</v>
      </c>
      <c r="D729" t="s">
        <v>37</v>
      </c>
      <c r="E729">
        <v>4.529E-3</v>
      </c>
      <c r="F729" t="s">
        <v>25</v>
      </c>
      <c r="G729">
        <v>4.52874</v>
      </c>
      <c r="H729" t="s">
        <v>26</v>
      </c>
      <c r="I729">
        <v>4528.7430000000004</v>
      </c>
      <c r="J729" t="s">
        <v>27</v>
      </c>
      <c r="K729" t="s">
        <v>33</v>
      </c>
      <c r="L729">
        <v>220.811823</v>
      </c>
    </row>
    <row r="730" spans="1:12" x14ac:dyDescent="0.3">
      <c r="A730" t="s">
        <v>84</v>
      </c>
      <c r="B730" t="s">
        <v>36</v>
      </c>
      <c r="C730">
        <v>1001</v>
      </c>
      <c r="D730" t="s">
        <v>37</v>
      </c>
      <c r="E730">
        <v>4.6950000000000004E-3</v>
      </c>
      <c r="F730" t="s">
        <v>25</v>
      </c>
      <c r="G730">
        <v>4.6951700000000001</v>
      </c>
      <c r="H730" t="s">
        <v>26</v>
      </c>
      <c r="I730">
        <v>4695.165</v>
      </c>
      <c r="J730" t="s">
        <v>27</v>
      </c>
      <c r="K730" t="s">
        <v>33</v>
      </c>
      <c r="L730">
        <v>212.98504170000001</v>
      </c>
    </row>
    <row r="732" spans="1:12" x14ac:dyDescent="0.3">
      <c r="A732" t="s">
        <v>88</v>
      </c>
    </row>
    <row r="733" spans="1:12" x14ac:dyDescent="0.3">
      <c r="A733" t="s">
        <v>82</v>
      </c>
      <c r="B733" t="s">
        <v>23</v>
      </c>
      <c r="C733">
        <v>1</v>
      </c>
      <c r="D733" t="s">
        <v>32</v>
      </c>
      <c r="E733">
        <v>2.3369999999999998E-2</v>
      </c>
      <c r="F733" t="s">
        <v>25</v>
      </c>
      <c r="G733">
        <v>23.369700000000002</v>
      </c>
      <c r="H733" t="s">
        <v>26</v>
      </c>
      <c r="I733">
        <v>23369.7</v>
      </c>
      <c r="J733" t="s">
        <v>27</v>
      </c>
      <c r="K733" t="s">
        <v>33</v>
      </c>
      <c r="L733">
        <v>42.790451400000002</v>
      </c>
    </row>
    <row r="734" spans="1:12" x14ac:dyDescent="0.3">
      <c r="A734" t="s">
        <v>82</v>
      </c>
      <c r="B734" t="s">
        <v>34</v>
      </c>
      <c r="C734">
        <v>786</v>
      </c>
      <c r="D734" t="s">
        <v>32</v>
      </c>
      <c r="E734">
        <v>9.9780000000000008E-3</v>
      </c>
      <c r="F734" t="s">
        <v>25</v>
      </c>
      <c r="G734">
        <v>9.9782499999999992</v>
      </c>
      <c r="H734" t="s">
        <v>26</v>
      </c>
      <c r="I734">
        <v>9978.2510000000002</v>
      </c>
      <c r="J734" t="s">
        <v>27</v>
      </c>
      <c r="K734" t="s">
        <v>33</v>
      </c>
      <c r="L734">
        <v>100.217961</v>
      </c>
    </row>
    <row r="735" spans="1:12" x14ac:dyDescent="0.3">
      <c r="A735" t="s">
        <v>82</v>
      </c>
      <c r="B735" t="s">
        <v>35</v>
      </c>
      <c r="C735">
        <v>787</v>
      </c>
      <c r="D735" t="s">
        <v>32</v>
      </c>
      <c r="E735">
        <v>9.9950000000000004E-3</v>
      </c>
      <c r="F735" t="s">
        <v>25</v>
      </c>
      <c r="G735">
        <v>9.9952699999999997</v>
      </c>
      <c r="H735" t="s">
        <v>26</v>
      </c>
      <c r="I735">
        <v>9995.2669999999998</v>
      </c>
      <c r="J735" t="s">
        <v>27</v>
      </c>
      <c r="K735" t="s">
        <v>33</v>
      </c>
      <c r="L735">
        <v>100.0473501</v>
      </c>
    </row>
    <row r="736" spans="1:12" x14ac:dyDescent="0.3">
      <c r="A736" t="s">
        <v>83</v>
      </c>
      <c r="B736" t="s">
        <v>23</v>
      </c>
      <c r="C736">
        <v>1</v>
      </c>
      <c r="D736" t="s">
        <v>32</v>
      </c>
      <c r="E736">
        <v>3.6595999999999997E-2</v>
      </c>
      <c r="F736" t="s">
        <v>25</v>
      </c>
      <c r="G736">
        <v>36.595999999999997</v>
      </c>
      <c r="H736" t="s">
        <v>26</v>
      </c>
      <c r="I736">
        <v>36596</v>
      </c>
      <c r="J736" t="s">
        <v>27</v>
      </c>
      <c r="K736" t="s">
        <v>33</v>
      </c>
      <c r="L736">
        <v>27.325390599999999</v>
      </c>
    </row>
    <row r="737" spans="1:12" x14ac:dyDescent="0.3">
      <c r="A737" t="s">
        <v>83</v>
      </c>
      <c r="B737" t="s">
        <v>34</v>
      </c>
      <c r="C737">
        <v>213</v>
      </c>
      <c r="D737" t="s">
        <v>32</v>
      </c>
      <c r="E737">
        <v>3.6007999999999998E-2</v>
      </c>
      <c r="F737" t="s">
        <v>25</v>
      </c>
      <c r="G737">
        <v>36.008139999999997</v>
      </c>
      <c r="H737" t="s">
        <v>26</v>
      </c>
      <c r="I737">
        <v>36008.142999999996</v>
      </c>
      <c r="J737" t="s">
        <v>27</v>
      </c>
      <c r="K737" t="s">
        <v>33</v>
      </c>
      <c r="L737">
        <v>27.771495999999999</v>
      </c>
    </row>
    <row r="738" spans="1:12" x14ac:dyDescent="0.3">
      <c r="A738" t="s">
        <v>83</v>
      </c>
      <c r="B738" t="s">
        <v>35</v>
      </c>
      <c r="C738">
        <v>214</v>
      </c>
      <c r="D738" t="s">
        <v>32</v>
      </c>
      <c r="E738">
        <v>3.6011000000000001E-2</v>
      </c>
      <c r="F738" t="s">
        <v>25</v>
      </c>
      <c r="G738">
        <v>36.010890000000003</v>
      </c>
      <c r="H738" t="s">
        <v>26</v>
      </c>
      <c r="I738">
        <v>36010.891000000003</v>
      </c>
      <c r="J738" t="s">
        <v>27</v>
      </c>
      <c r="K738" t="s">
        <v>33</v>
      </c>
      <c r="L738">
        <v>27.769376399999999</v>
      </c>
    </row>
    <row r="739" spans="1:12" x14ac:dyDescent="0.3">
      <c r="A739" t="s">
        <v>84</v>
      </c>
      <c r="B739" t="s">
        <v>23</v>
      </c>
      <c r="C739">
        <v>2</v>
      </c>
      <c r="D739" t="s">
        <v>37</v>
      </c>
      <c r="E739">
        <v>1.8325999999999999E-2</v>
      </c>
      <c r="F739" t="s">
        <v>25</v>
      </c>
      <c r="G739">
        <v>18.325749999999999</v>
      </c>
      <c r="H739" t="s">
        <v>26</v>
      </c>
      <c r="I739">
        <v>18325.75</v>
      </c>
      <c r="J739" t="s">
        <v>27</v>
      </c>
      <c r="K739" t="s">
        <v>33</v>
      </c>
      <c r="L739">
        <v>54.568026500000002</v>
      </c>
    </row>
    <row r="740" spans="1:12" x14ac:dyDescent="0.3">
      <c r="A740" t="s">
        <v>84</v>
      </c>
      <c r="B740" t="s">
        <v>34</v>
      </c>
      <c r="C740">
        <v>999</v>
      </c>
      <c r="D740" t="s">
        <v>37</v>
      </c>
      <c r="E740">
        <v>7.8709999999999995E-3</v>
      </c>
      <c r="F740" t="s">
        <v>25</v>
      </c>
      <c r="G740">
        <v>7.8705800000000004</v>
      </c>
      <c r="H740" t="s">
        <v>26</v>
      </c>
      <c r="I740">
        <v>7870.5810000000001</v>
      </c>
      <c r="J740" t="s">
        <v>27</v>
      </c>
      <c r="K740" t="s">
        <v>33</v>
      </c>
      <c r="L740">
        <v>127.0554223</v>
      </c>
    </row>
    <row r="741" spans="1:12" x14ac:dyDescent="0.3">
      <c r="A741" t="s">
        <v>84</v>
      </c>
      <c r="B741" t="s">
        <v>36</v>
      </c>
      <c r="C741">
        <v>1001</v>
      </c>
      <c r="D741" t="s">
        <v>37</v>
      </c>
      <c r="E741">
        <v>7.8799999999999999E-3</v>
      </c>
      <c r="F741" t="s">
        <v>25</v>
      </c>
      <c r="G741">
        <v>7.88002</v>
      </c>
      <c r="H741" t="s">
        <v>26</v>
      </c>
      <c r="I741">
        <v>7880.0249999999996</v>
      </c>
      <c r="J741" t="s">
        <v>27</v>
      </c>
      <c r="K741" t="s">
        <v>33</v>
      </c>
      <c r="L741">
        <v>126.9031568</v>
      </c>
    </row>
    <row r="743" spans="1:12" x14ac:dyDescent="0.3">
      <c r="A743" t="s">
        <v>89</v>
      </c>
    </row>
    <row r="745" spans="1:12" x14ac:dyDescent="0.3">
      <c r="A745" t="s">
        <v>90</v>
      </c>
    </row>
    <row r="747" spans="1:12" x14ac:dyDescent="0.3">
      <c r="A747" t="s">
        <v>6</v>
      </c>
    </row>
    <row r="748" spans="1:12" x14ac:dyDescent="0.3">
      <c r="A748" t="s">
        <v>5</v>
      </c>
    </row>
    <row r="749" spans="1:12" x14ac:dyDescent="0.3">
      <c r="A749" t="s">
        <v>6</v>
      </c>
    </row>
    <row r="750" spans="1:12" x14ac:dyDescent="0.3">
      <c r="A750" t="s">
        <v>7</v>
      </c>
    </row>
    <row r="751" spans="1:12" x14ac:dyDescent="0.3">
      <c r="A751" t="s">
        <v>8</v>
      </c>
    </row>
    <row r="752" spans="1:12" x14ac:dyDescent="0.3">
      <c r="A752" t="s">
        <v>9</v>
      </c>
    </row>
    <row r="753" spans="1:1" x14ac:dyDescent="0.3">
      <c r="A753" t="s">
        <v>10</v>
      </c>
    </row>
    <row r="754" spans="1:1" x14ac:dyDescent="0.3">
      <c r="A754" t="s">
        <v>11</v>
      </c>
    </row>
    <row r="755" spans="1:1" x14ac:dyDescent="0.3">
      <c r="A755" t="s">
        <v>12</v>
      </c>
    </row>
    <row r="756" spans="1:1" x14ac:dyDescent="0.3">
      <c r="A756" t="s">
        <v>13</v>
      </c>
    </row>
    <row r="757" spans="1:1" x14ac:dyDescent="0.3">
      <c r="A757" t="s">
        <v>14</v>
      </c>
    </row>
    <row r="758" spans="1:1" x14ac:dyDescent="0.3">
      <c r="A758" t="s">
        <v>15</v>
      </c>
    </row>
    <row r="759" spans="1:1" x14ac:dyDescent="0.3">
      <c r="A759" t="s">
        <v>16</v>
      </c>
    </row>
    <row r="760" spans="1:1" x14ac:dyDescent="0.3">
      <c r="A760" t="s">
        <v>17</v>
      </c>
    </row>
    <row r="761" spans="1:1" x14ac:dyDescent="0.3">
      <c r="A761" t="s">
        <v>18</v>
      </c>
    </row>
    <row r="762" spans="1:1" x14ac:dyDescent="0.3">
      <c r="A762" t="s">
        <v>19</v>
      </c>
    </row>
    <row r="763" spans="1:1" x14ac:dyDescent="0.3">
      <c r="A763" t="s">
        <v>20</v>
      </c>
    </row>
    <row r="764" spans="1:1" x14ac:dyDescent="0.3">
      <c r="A764" t="s">
        <v>21</v>
      </c>
    </row>
    <row r="765" spans="1:1" x14ac:dyDescent="0.3">
      <c r="A765" t="s">
        <v>8</v>
      </c>
    </row>
    <row r="766" spans="1:1" x14ac:dyDescent="0.3">
      <c r="A766" t="s">
        <v>49</v>
      </c>
    </row>
    <row r="767" spans="1:1" x14ac:dyDescent="0.3">
      <c r="A767" t="s">
        <v>50</v>
      </c>
    </row>
    <row r="768" spans="1:1" x14ac:dyDescent="0.3">
      <c r="A768" t="s">
        <v>11</v>
      </c>
    </row>
    <row r="769" spans="1:12" x14ac:dyDescent="0.3">
      <c r="A769" t="s">
        <v>12</v>
      </c>
    </row>
    <row r="770" spans="1:12" x14ac:dyDescent="0.3">
      <c r="A770" t="s">
        <v>51</v>
      </c>
    </row>
    <row r="771" spans="1:12" x14ac:dyDescent="0.3">
      <c r="A771" t="s">
        <v>52</v>
      </c>
    </row>
    <row r="772" spans="1:12" x14ac:dyDescent="0.3">
      <c r="A772" t="s">
        <v>53</v>
      </c>
    </row>
    <row r="773" spans="1:12" x14ac:dyDescent="0.3">
      <c r="A773" t="s">
        <v>54</v>
      </c>
    </row>
    <row r="774" spans="1:12" x14ac:dyDescent="0.3">
      <c r="A774" t="s">
        <v>55</v>
      </c>
    </row>
    <row r="775" spans="1:12" x14ac:dyDescent="0.3">
      <c r="A775" t="s">
        <v>18</v>
      </c>
    </row>
    <row r="776" spans="1:12" x14ac:dyDescent="0.3">
      <c r="A776" t="s">
        <v>19</v>
      </c>
    </row>
    <row r="777" spans="1:12" x14ac:dyDescent="0.3">
      <c r="A777" t="s">
        <v>20</v>
      </c>
    </row>
    <row r="778" spans="1:12" x14ac:dyDescent="0.3">
      <c r="A778" t="s">
        <v>21</v>
      </c>
    </row>
    <row r="779" spans="1:12" x14ac:dyDescent="0.3">
      <c r="A779" t="s">
        <v>91</v>
      </c>
    </row>
    <row r="780" spans="1:12" x14ac:dyDescent="0.3">
      <c r="A780" t="s">
        <v>82</v>
      </c>
      <c r="B780" t="s">
        <v>23</v>
      </c>
      <c r="C780">
        <v>1</v>
      </c>
      <c r="D780" t="s">
        <v>29</v>
      </c>
      <c r="E780">
        <v>0.34066400000000002</v>
      </c>
      <c r="F780" t="s">
        <v>25</v>
      </c>
      <c r="G780">
        <v>340.66430000000003</v>
      </c>
      <c r="H780" t="s">
        <v>26</v>
      </c>
      <c r="I780">
        <v>340664.29700000002</v>
      </c>
      <c r="J780" t="s">
        <v>27</v>
      </c>
    </row>
    <row r="781" spans="1:12" x14ac:dyDescent="0.3">
      <c r="A781" t="s">
        <v>82</v>
      </c>
      <c r="B781" t="s">
        <v>23</v>
      </c>
      <c r="C781">
        <v>1</v>
      </c>
      <c r="D781" t="s">
        <v>30</v>
      </c>
      <c r="E781">
        <v>4.28E-3</v>
      </c>
      <c r="F781" t="s">
        <v>25</v>
      </c>
      <c r="G781">
        <v>4.2798999999999996</v>
      </c>
      <c r="H781" t="s">
        <v>26</v>
      </c>
      <c r="I781">
        <v>4279.8999999999996</v>
      </c>
      <c r="J781" t="s">
        <v>27</v>
      </c>
    </row>
    <row r="782" spans="1:12" x14ac:dyDescent="0.3">
      <c r="A782" t="s">
        <v>82</v>
      </c>
      <c r="B782" t="s">
        <v>23</v>
      </c>
      <c r="C782">
        <v>1</v>
      </c>
      <c r="D782" t="s">
        <v>31</v>
      </c>
      <c r="E782">
        <v>4.2810000000000001E-3</v>
      </c>
      <c r="F782" t="s">
        <v>25</v>
      </c>
      <c r="G782">
        <v>4.2807000000000004</v>
      </c>
      <c r="H782" t="s">
        <v>26</v>
      </c>
      <c r="I782">
        <v>4280.7</v>
      </c>
      <c r="J782" t="s">
        <v>27</v>
      </c>
    </row>
    <row r="783" spans="1:12" x14ac:dyDescent="0.3">
      <c r="A783" t="s">
        <v>82</v>
      </c>
      <c r="B783" t="s">
        <v>23</v>
      </c>
      <c r="C783">
        <v>1</v>
      </c>
      <c r="D783" t="s">
        <v>32</v>
      </c>
      <c r="E783">
        <v>0.344945</v>
      </c>
      <c r="F783" t="s">
        <v>25</v>
      </c>
      <c r="G783">
        <v>344.94549000000001</v>
      </c>
      <c r="H783" t="s">
        <v>26</v>
      </c>
      <c r="I783">
        <v>344945.49</v>
      </c>
      <c r="J783" t="s">
        <v>27</v>
      </c>
      <c r="K783" t="s">
        <v>33</v>
      </c>
      <c r="L783">
        <v>2.8990087999999998</v>
      </c>
    </row>
    <row r="784" spans="1:12" x14ac:dyDescent="0.3">
      <c r="A784" t="s">
        <v>82</v>
      </c>
      <c r="B784" t="s">
        <v>34</v>
      </c>
      <c r="C784">
        <v>510</v>
      </c>
      <c r="D784" t="s">
        <v>29</v>
      </c>
      <c r="E784">
        <v>4.1800000000000002E-4</v>
      </c>
      <c r="F784" t="s">
        <v>25</v>
      </c>
      <c r="G784">
        <v>0.41821000000000003</v>
      </c>
      <c r="H784" t="s">
        <v>26</v>
      </c>
      <c r="I784">
        <v>418.20600000000002</v>
      </c>
      <c r="J784" t="s">
        <v>27</v>
      </c>
    </row>
    <row r="785" spans="1:12" x14ac:dyDescent="0.3">
      <c r="A785" t="s">
        <v>82</v>
      </c>
      <c r="B785" t="s">
        <v>34</v>
      </c>
      <c r="C785">
        <v>510</v>
      </c>
      <c r="D785" t="s">
        <v>30</v>
      </c>
      <c r="E785">
        <v>3.9199999999999999E-4</v>
      </c>
      <c r="F785" t="s">
        <v>25</v>
      </c>
      <c r="G785">
        <v>0.39205000000000001</v>
      </c>
      <c r="H785" t="s">
        <v>26</v>
      </c>
      <c r="I785">
        <v>392.04599999999999</v>
      </c>
      <c r="J785" t="s">
        <v>27</v>
      </c>
    </row>
    <row r="786" spans="1:12" x14ac:dyDescent="0.3">
      <c r="A786" t="s">
        <v>82</v>
      </c>
      <c r="B786" t="s">
        <v>34</v>
      </c>
      <c r="C786">
        <v>510</v>
      </c>
      <c r="D786" t="s">
        <v>31</v>
      </c>
      <c r="E786">
        <v>3.9199999999999999E-4</v>
      </c>
      <c r="F786" t="s">
        <v>25</v>
      </c>
      <c r="G786">
        <v>0.39245000000000002</v>
      </c>
      <c r="H786" t="s">
        <v>26</v>
      </c>
      <c r="I786">
        <v>392.44900000000001</v>
      </c>
      <c r="J786" t="s">
        <v>27</v>
      </c>
    </row>
    <row r="787" spans="1:12" x14ac:dyDescent="0.3">
      <c r="A787" t="s">
        <v>82</v>
      </c>
      <c r="B787" t="s">
        <v>34</v>
      </c>
      <c r="C787">
        <v>510</v>
      </c>
      <c r="D787" t="s">
        <v>32</v>
      </c>
      <c r="E787">
        <v>8.1099999999999998E-4</v>
      </c>
      <c r="F787" t="s">
        <v>25</v>
      </c>
      <c r="G787">
        <v>0.81077999999999995</v>
      </c>
      <c r="H787" t="s">
        <v>26</v>
      </c>
      <c r="I787">
        <v>810.779</v>
      </c>
      <c r="J787" t="s">
        <v>27</v>
      </c>
      <c r="K787" t="s">
        <v>33</v>
      </c>
      <c r="L787">
        <v>1233.3815185000001</v>
      </c>
    </row>
    <row r="788" spans="1:12" x14ac:dyDescent="0.3">
      <c r="A788" t="s">
        <v>82</v>
      </c>
      <c r="B788" t="s">
        <v>35</v>
      </c>
      <c r="C788">
        <v>511</v>
      </c>
      <c r="D788" t="s">
        <v>29</v>
      </c>
      <c r="E788">
        <v>1.0839999999999999E-3</v>
      </c>
      <c r="F788" t="s">
        <v>25</v>
      </c>
      <c r="G788">
        <v>1.08405</v>
      </c>
      <c r="H788" t="s">
        <v>26</v>
      </c>
      <c r="I788">
        <v>1084.05</v>
      </c>
      <c r="J788" t="s">
        <v>27</v>
      </c>
    </row>
    <row r="789" spans="1:12" x14ac:dyDescent="0.3">
      <c r="A789" t="s">
        <v>82</v>
      </c>
      <c r="B789" t="s">
        <v>35</v>
      </c>
      <c r="C789">
        <v>511</v>
      </c>
      <c r="D789" t="s">
        <v>30</v>
      </c>
      <c r="E789">
        <v>4.0000000000000002E-4</v>
      </c>
      <c r="F789" t="s">
        <v>25</v>
      </c>
      <c r="G789">
        <v>0.39965000000000001</v>
      </c>
      <c r="H789" t="s">
        <v>26</v>
      </c>
      <c r="I789">
        <v>399.654</v>
      </c>
      <c r="J789" t="s">
        <v>27</v>
      </c>
    </row>
    <row r="790" spans="1:12" x14ac:dyDescent="0.3">
      <c r="A790" t="s">
        <v>82</v>
      </c>
      <c r="B790" t="s">
        <v>35</v>
      </c>
      <c r="C790">
        <v>511</v>
      </c>
      <c r="D790" t="s">
        <v>31</v>
      </c>
      <c r="E790">
        <v>4.0000000000000002E-4</v>
      </c>
      <c r="F790" t="s">
        <v>25</v>
      </c>
      <c r="G790">
        <v>0.40006000000000003</v>
      </c>
      <c r="H790" t="s">
        <v>26</v>
      </c>
      <c r="I790">
        <v>400.05799999999999</v>
      </c>
      <c r="J790" t="s">
        <v>27</v>
      </c>
    </row>
    <row r="791" spans="1:12" x14ac:dyDescent="0.3">
      <c r="A791" t="s">
        <v>82</v>
      </c>
      <c r="B791" t="s">
        <v>35</v>
      </c>
      <c r="C791">
        <v>511</v>
      </c>
      <c r="D791" t="s">
        <v>32</v>
      </c>
      <c r="E791">
        <v>1.4840000000000001E-3</v>
      </c>
      <c r="F791" t="s">
        <v>25</v>
      </c>
      <c r="G791">
        <v>1.4842299999999999</v>
      </c>
      <c r="H791" t="s">
        <v>26</v>
      </c>
      <c r="I791">
        <v>1484.2329999999999</v>
      </c>
      <c r="J791" t="s">
        <v>27</v>
      </c>
      <c r="K791" t="s">
        <v>33</v>
      </c>
      <c r="L791">
        <v>673.74882720000005</v>
      </c>
    </row>
    <row r="792" spans="1:12" x14ac:dyDescent="0.3">
      <c r="A792" t="s">
        <v>83</v>
      </c>
      <c r="B792" t="s">
        <v>23</v>
      </c>
      <c r="C792">
        <v>1</v>
      </c>
      <c r="D792" t="s">
        <v>29</v>
      </c>
      <c r="E792">
        <v>0.15534300000000001</v>
      </c>
      <c r="F792" t="s">
        <v>25</v>
      </c>
      <c r="G792">
        <v>155.34280000000001</v>
      </c>
      <c r="H792" t="s">
        <v>26</v>
      </c>
      <c r="I792">
        <v>155342.802</v>
      </c>
      <c r="J792" t="s">
        <v>27</v>
      </c>
    </row>
    <row r="793" spans="1:12" x14ac:dyDescent="0.3">
      <c r="A793" t="s">
        <v>83</v>
      </c>
      <c r="B793" t="s">
        <v>23</v>
      </c>
      <c r="C793">
        <v>1</v>
      </c>
      <c r="D793" t="s">
        <v>30</v>
      </c>
      <c r="E793">
        <v>1.9393000000000001E-2</v>
      </c>
      <c r="F793" t="s">
        <v>25</v>
      </c>
      <c r="G793">
        <v>19.3935</v>
      </c>
      <c r="H793" t="s">
        <v>26</v>
      </c>
      <c r="I793">
        <v>19393.5</v>
      </c>
      <c r="J793" t="s">
        <v>27</v>
      </c>
    </row>
    <row r="794" spans="1:12" x14ac:dyDescent="0.3">
      <c r="A794" t="s">
        <v>83</v>
      </c>
      <c r="B794" t="s">
        <v>23</v>
      </c>
      <c r="C794">
        <v>1</v>
      </c>
      <c r="D794" t="s">
        <v>31</v>
      </c>
      <c r="E794">
        <v>1.9396E-2</v>
      </c>
      <c r="F794" t="s">
        <v>25</v>
      </c>
      <c r="G794">
        <v>19.3962</v>
      </c>
      <c r="H794" t="s">
        <v>26</v>
      </c>
      <c r="I794">
        <v>19396.201000000001</v>
      </c>
      <c r="J794" t="s">
        <v>27</v>
      </c>
    </row>
    <row r="795" spans="1:12" x14ac:dyDescent="0.3">
      <c r="A795" t="s">
        <v>83</v>
      </c>
      <c r="B795" t="s">
        <v>23</v>
      </c>
      <c r="C795">
        <v>1</v>
      </c>
      <c r="D795" t="s">
        <v>32</v>
      </c>
      <c r="E795">
        <v>0.17473900000000001</v>
      </c>
      <c r="F795" t="s">
        <v>25</v>
      </c>
      <c r="G795">
        <v>174.73948999999999</v>
      </c>
      <c r="H795" t="s">
        <v>26</v>
      </c>
      <c r="I795">
        <v>174739.495</v>
      </c>
      <c r="J795" t="s">
        <v>27</v>
      </c>
      <c r="K795" t="s">
        <v>33</v>
      </c>
      <c r="L795">
        <v>5.7228047000000002</v>
      </c>
    </row>
    <row r="796" spans="1:12" x14ac:dyDescent="0.3">
      <c r="A796" t="s">
        <v>83</v>
      </c>
      <c r="B796" t="s">
        <v>34</v>
      </c>
      <c r="C796">
        <v>489</v>
      </c>
      <c r="D796" t="s">
        <v>29</v>
      </c>
      <c r="E796">
        <v>3.9399999999999998E-4</v>
      </c>
      <c r="F796" t="s">
        <v>25</v>
      </c>
      <c r="G796">
        <v>0.39400000000000002</v>
      </c>
      <c r="H796" t="s">
        <v>26</v>
      </c>
      <c r="I796">
        <v>393.995</v>
      </c>
      <c r="J796" t="s">
        <v>27</v>
      </c>
    </row>
    <row r="797" spans="1:12" x14ac:dyDescent="0.3">
      <c r="A797" t="s">
        <v>83</v>
      </c>
      <c r="B797" t="s">
        <v>34</v>
      </c>
      <c r="C797">
        <v>489</v>
      </c>
      <c r="D797" t="s">
        <v>30</v>
      </c>
      <c r="E797">
        <v>7.94E-4</v>
      </c>
      <c r="F797" t="s">
        <v>25</v>
      </c>
      <c r="G797">
        <v>0.79446000000000006</v>
      </c>
      <c r="H797" t="s">
        <v>26</v>
      </c>
      <c r="I797">
        <v>794.45600000000002</v>
      </c>
      <c r="J797" t="s">
        <v>27</v>
      </c>
    </row>
    <row r="798" spans="1:12" x14ac:dyDescent="0.3">
      <c r="A798" t="s">
        <v>83</v>
      </c>
      <c r="B798" t="s">
        <v>34</v>
      </c>
      <c r="C798">
        <v>489</v>
      </c>
      <c r="D798" t="s">
        <v>31</v>
      </c>
      <c r="E798">
        <v>7.9500000000000003E-4</v>
      </c>
      <c r="F798" t="s">
        <v>25</v>
      </c>
      <c r="G798">
        <v>0.79495000000000005</v>
      </c>
      <c r="H798" t="s">
        <v>26</v>
      </c>
      <c r="I798">
        <v>794.94899999999996</v>
      </c>
      <c r="J798" t="s">
        <v>27</v>
      </c>
    </row>
    <row r="799" spans="1:12" x14ac:dyDescent="0.3">
      <c r="A799" t="s">
        <v>83</v>
      </c>
      <c r="B799" t="s">
        <v>34</v>
      </c>
      <c r="C799">
        <v>489</v>
      </c>
      <c r="D799" t="s">
        <v>32</v>
      </c>
      <c r="E799">
        <v>1.189E-3</v>
      </c>
      <c r="F799" t="s">
        <v>25</v>
      </c>
      <c r="G799">
        <v>1.18912</v>
      </c>
      <c r="H799" t="s">
        <v>26</v>
      </c>
      <c r="I799">
        <v>1189.1199999999999</v>
      </c>
      <c r="J799" t="s">
        <v>27</v>
      </c>
      <c r="K799" t="s">
        <v>33</v>
      </c>
      <c r="L799">
        <v>840.95820819999994</v>
      </c>
    </row>
    <row r="800" spans="1:12" x14ac:dyDescent="0.3">
      <c r="A800" t="s">
        <v>83</v>
      </c>
      <c r="B800" t="s">
        <v>35</v>
      </c>
      <c r="C800">
        <v>490</v>
      </c>
      <c r="D800" t="s">
        <v>29</v>
      </c>
      <c r="E800">
        <v>7.1000000000000002E-4</v>
      </c>
      <c r="F800" t="s">
        <v>25</v>
      </c>
      <c r="G800">
        <v>0.71021999999999996</v>
      </c>
      <c r="H800" t="s">
        <v>26</v>
      </c>
      <c r="I800">
        <v>710.21799999999996</v>
      </c>
      <c r="J800" t="s">
        <v>27</v>
      </c>
    </row>
    <row r="801" spans="1:12" x14ac:dyDescent="0.3">
      <c r="A801" t="s">
        <v>83</v>
      </c>
      <c r="B801" t="s">
        <v>35</v>
      </c>
      <c r="C801">
        <v>490</v>
      </c>
      <c r="D801" t="s">
        <v>30</v>
      </c>
      <c r="E801">
        <v>8.3199999999999995E-4</v>
      </c>
      <c r="F801" t="s">
        <v>25</v>
      </c>
      <c r="G801">
        <v>0.83240999999999998</v>
      </c>
      <c r="H801" t="s">
        <v>26</v>
      </c>
      <c r="I801">
        <v>832.41300000000001</v>
      </c>
      <c r="J801" t="s">
        <v>27</v>
      </c>
    </row>
    <row r="802" spans="1:12" x14ac:dyDescent="0.3">
      <c r="A802" t="s">
        <v>83</v>
      </c>
      <c r="B802" t="s">
        <v>35</v>
      </c>
      <c r="C802">
        <v>490</v>
      </c>
      <c r="D802" t="s">
        <v>31</v>
      </c>
      <c r="E802">
        <v>8.3299999999999997E-4</v>
      </c>
      <c r="F802" t="s">
        <v>25</v>
      </c>
      <c r="G802">
        <v>0.83291000000000004</v>
      </c>
      <c r="H802" t="s">
        <v>26</v>
      </c>
      <c r="I802">
        <v>832.91</v>
      </c>
      <c r="J802" t="s">
        <v>27</v>
      </c>
    </row>
    <row r="803" spans="1:12" x14ac:dyDescent="0.3">
      <c r="A803" t="s">
        <v>83</v>
      </c>
      <c r="B803" t="s">
        <v>35</v>
      </c>
      <c r="C803">
        <v>490</v>
      </c>
      <c r="D803" t="s">
        <v>32</v>
      </c>
      <c r="E803">
        <v>1.5430000000000001E-3</v>
      </c>
      <c r="F803" t="s">
        <v>25</v>
      </c>
      <c r="G803">
        <v>1.5432999999999999</v>
      </c>
      <c r="H803" t="s">
        <v>26</v>
      </c>
      <c r="I803">
        <v>1543.3040000000001</v>
      </c>
      <c r="J803" t="s">
        <v>27</v>
      </c>
      <c r="K803" t="s">
        <v>33</v>
      </c>
      <c r="L803">
        <v>647.96057329999996</v>
      </c>
    </row>
    <row r="804" spans="1:12" x14ac:dyDescent="0.3">
      <c r="A804" t="s">
        <v>84</v>
      </c>
      <c r="B804" t="s">
        <v>23</v>
      </c>
      <c r="C804">
        <v>1</v>
      </c>
      <c r="D804" t="s">
        <v>24</v>
      </c>
      <c r="E804">
        <v>3.8000000000000002E-5</v>
      </c>
      <c r="F804" t="s">
        <v>25</v>
      </c>
      <c r="G804">
        <v>3.78E-2</v>
      </c>
      <c r="H804" t="s">
        <v>26</v>
      </c>
      <c r="I804">
        <v>37.799999999999997</v>
      </c>
      <c r="J804" t="s">
        <v>27</v>
      </c>
    </row>
    <row r="805" spans="1:12" x14ac:dyDescent="0.3">
      <c r="A805" t="s">
        <v>84</v>
      </c>
      <c r="B805" t="s">
        <v>23</v>
      </c>
      <c r="C805">
        <v>1</v>
      </c>
      <c r="D805" t="s">
        <v>28</v>
      </c>
      <c r="E805">
        <v>0.174733</v>
      </c>
      <c r="F805" t="s">
        <v>25</v>
      </c>
      <c r="G805">
        <v>174.73269999999999</v>
      </c>
      <c r="H805" t="s">
        <v>26</v>
      </c>
      <c r="I805">
        <v>174732.7</v>
      </c>
      <c r="J805" t="s">
        <v>27</v>
      </c>
    </row>
    <row r="806" spans="1:12" x14ac:dyDescent="0.3">
      <c r="A806" t="s">
        <v>84</v>
      </c>
      <c r="B806" t="s">
        <v>23</v>
      </c>
      <c r="C806">
        <v>2</v>
      </c>
      <c r="D806" t="s">
        <v>37</v>
      </c>
      <c r="E806">
        <v>0.17247699999999999</v>
      </c>
      <c r="F806" t="s">
        <v>25</v>
      </c>
      <c r="G806">
        <v>172.47649999999999</v>
      </c>
      <c r="H806" t="s">
        <v>26</v>
      </c>
      <c r="I806">
        <v>172476.5</v>
      </c>
      <c r="J806" t="s">
        <v>27</v>
      </c>
      <c r="K806" t="s">
        <v>33</v>
      </c>
      <c r="L806">
        <v>5.7978912999999999</v>
      </c>
    </row>
    <row r="807" spans="1:12" x14ac:dyDescent="0.3">
      <c r="A807" t="s">
        <v>84</v>
      </c>
      <c r="B807" t="s">
        <v>34</v>
      </c>
      <c r="C807">
        <v>999</v>
      </c>
      <c r="D807" t="s">
        <v>37</v>
      </c>
      <c r="E807">
        <v>5.8699999999999996E-4</v>
      </c>
      <c r="F807" t="s">
        <v>25</v>
      </c>
      <c r="G807">
        <v>0.58670999999999995</v>
      </c>
      <c r="H807" t="s">
        <v>26</v>
      </c>
      <c r="I807">
        <v>586.70600000000002</v>
      </c>
      <c r="J807" t="s">
        <v>27</v>
      </c>
      <c r="K807" t="s">
        <v>33</v>
      </c>
      <c r="L807">
        <v>1704.4311797</v>
      </c>
    </row>
    <row r="808" spans="1:12" x14ac:dyDescent="0.3">
      <c r="A808" t="s">
        <v>84</v>
      </c>
      <c r="B808" t="s">
        <v>36</v>
      </c>
      <c r="C808">
        <v>1001</v>
      </c>
      <c r="D808" t="s">
        <v>37</v>
      </c>
      <c r="E808">
        <v>7.6199999999999998E-4</v>
      </c>
      <c r="F808" t="s">
        <v>25</v>
      </c>
      <c r="G808">
        <v>0.76234999999999997</v>
      </c>
      <c r="H808" t="s">
        <v>26</v>
      </c>
      <c r="I808">
        <v>762.35299999999995</v>
      </c>
      <c r="J808" t="s">
        <v>27</v>
      </c>
      <c r="K808" t="s">
        <v>33</v>
      </c>
      <c r="L808">
        <v>1311.7278953</v>
      </c>
    </row>
    <row r="809" spans="1:12" x14ac:dyDescent="0.3">
      <c r="A809" t="s">
        <v>38</v>
      </c>
    </row>
    <row r="810" spans="1:12" x14ac:dyDescent="0.3">
      <c r="A810" t="s">
        <v>38</v>
      </c>
    </row>
    <row r="811" spans="1:12" x14ac:dyDescent="0.3">
      <c r="A811" t="s">
        <v>92</v>
      </c>
    </row>
    <row r="812" spans="1:12" x14ac:dyDescent="0.3">
      <c r="A812" t="s">
        <v>82</v>
      </c>
      <c r="B812" t="s">
        <v>23</v>
      </c>
      <c r="C812">
        <v>1</v>
      </c>
      <c r="D812" t="s">
        <v>29</v>
      </c>
      <c r="E812">
        <v>3.9050000000000001E-3</v>
      </c>
      <c r="F812" t="s">
        <v>25</v>
      </c>
      <c r="G812">
        <v>3.9051</v>
      </c>
      <c r="H812" t="s">
        <v>26</v>
      </c>
      <c r="I812">
        <v>3905.1</v>
      </c>
      <c r="J812" t="s">
        <v>27</v>
      </c>
    </row>
    <row r="813" spans="1:12" x14ac:dyDescent="0.3">
      <c r="A813" t="s">
        <v>82</v>
      </c>
      <c r="B813" t="s">
        <v>23</v>
      </c>
      <c r="C813">
        <v>1</v>
      </c>
      <c r="D813" t="s">
        <v>30</v>
      </c>
      <c r="E813">
        <v>4.0470000000000002E-3</v>
      </c>
      <c r="F813" t="s">
        <v>25</v>
      </c>
      <c r="G813">
        <v>4.0468000000000002</v>
      </c>
      <c r="H813" t="s">
        <v>26</v>
      </c>
      <c r="I813">
        <v>4046.8</v>
      </c>
      <c r="J813" t="s">
        <v>27</v>
      </c>
    </row>
    <row r="814" spans="1:12" x14ac:dyDescent="0.3">
      <c r="A814" t="s">
        <v>82</v>
      </c>
      <c r="B814" t="s">
        <v>23</v>
      </c>
      <c r="C814">
        <v>1</v>
      </c>
      <c r="D814" t="s">
        <v>31</v>
      </c>
      <c r="E814">
        <v>4.0480000000000004E-3</v>
      </c>
      <c r="F814" t="s">
        <v>25</v>
      </c>
      <c r="G814">
        <v>4.0477999999999996</v>
      </c>
      <c r="H814" t="s">
        <v>26</v>
      </c>
      <c r="I814">
        <v>4047.8</v>
      </c>
      <c r="J814" t="s">
        <v>27</v>
      </c>
    </row>
    <row r="815" spans="1:12" x14ac:dyDescent="0.3">
      <c r="A815" t="s">
        <v>82</v>
      </c>
      <c r="B815" t="s">
        <v>23</v>
      </c>
      <c r="C815">
        <v>1</v>
      </c>
      <c r="D815" t="s">
        <v>32</v>
      </c>
      <c r="E815">
        <v>7.9539999999999993E-3</v>
      </c>
      <c r="F815" t="s">
        <v>25</v>
      </c>
      <c r="G815">
        <v>7.9535999999999998</v>
      </c>
      <c r="H815" t="s">
        <v>26</v>
      </c>
      <c r="I815">
        <v>7953.6</v>
      </c>
      <c r="J815" t="s">
        <v>27</v>
      </c>
      <c r="K815" t="s">
        <v>33</v>
      </c>
      <c r="L815">
        <v>125.7292291</v>
      </c>
    </row>
    <row r="816" spans="1:12" x14ac:dyDescent="0.3">
      <c r="A816" t="s">
        <v>82</v>
      </c>
      <c r="B816" t="s">
        <v>34</v>
      </c>
      <c r="C816">
        <v>601</v>
      </c>
      <c r="D816" t="s">
        <v>29</v>
      </c>
      <c r="E816">
        <v>4.4099999999999999E-4</v>
      </c>
      <c r="F816" t="s">
        <v>25</v>
      </c>
      <c r="G816">
        <v>0.44056000000000001</v>
      </c>
      <c r="H816" t="s">
        <v>26</v>
      </c>
      <c r="I816">
        <v>440.56200000000001</v>
      </c>
      <c r="J816" t="s">
        <v>27</v>
      </c>
    </row>
    <row r="817" spans="1:12" x14ac:dyDescent="0.3">
      <c r="A817" t="s">
        <v>82</v>
      </c>
      <c r="B817" t="s">
        <v>34</v>
      </c>
      <c r="C817">
        <v>601</v>
      </c>
      <c r="D817" t="s">
        <v>30</v>
      </c>
      <c r="E817">
        <v>1.039E-3</v>
      </c>
      <c r="F817" t="s">
        <v>25</v>
      </c>
      <c r="G817">
        <v>1.0387500000000001</v>
      </c>
      <c r="H817" t="s">
        <v>26</v>
      </c>
      <c r="I817">
        <v>1038.75</v>
      </c>
      <c r="J817" t="s">
        <v>27</v>
      </c>
    </row>
    <row r="818" spans="1:12" x14ac:dyDescent="0.3">
      <c r="A818" t="s">
        <v>82</v>
      </c>
      <c r="B818" t="s">
        <v>34</v>
      </c>
      <c r="C818">
        <v>601</v>
      </c>
      <c r="D818" t="s">
        <v>31</v>
      </c>
      <c r="E818">
        <v>1.2179999999999999E-3</v>
      </c>
      <c r="F818" t="s">
        <v>25</v>
      </c>
      <c r="G818">
        <v>1.21838</v>
      </c>
      <c r="H818" t="s">
        <v>26</v>
      </c>
      <c r="I818">
        <v>1218.377</v>
      </c>
      <c r="J818" t="s">
        <v>27</v>
      </c>
    </row>
    <row r="819" spans="1:12" x14ac:dyDescent="0.3">
      <c r="A819" t="s">
        <v>82</v>
      </c>
      <c r="B819" t="s">
        <v>34</v>
      </c>
      <c r="C819">
        <v>601</v>
      </c>
      <c r="D819" t="s">
        <v>32</v>
      </c>
      <c r="E819">
        <v>1.6590000000000001E-3</v>
      </c>
      <c r="F819" t="s">
        <v>25</v>
      </c>
      <c r="G819">
        <v>1.6591</v>
      </c>
      <c r="H819" t="s">
        <v>26</v>
      </c>
      <c r="I819">
        <v>1659.105</v>
      </c>
      <c r="J819" t="s">
        <v>27</v>
      </c>
      <c r="K819" t="s">
        <v>33</v>
      </c>
      <c r="L819">
        <v>602.73464060000003</v>
      </c>
    </row>
    <row r="820" spans="1:12" x14ac:dyDescent="0.3">
      <c r="A820" t="s">
        <v>82</v>
      </c>
      <c r="B820" t="s">
        <v>35</v>
      </c>
      <c r="C820">
        <v>602</v>
      </c>
      <c r="D820" t="s">
        <v>29</v>
      </c>
      <c r="E820">
        <v>4.46E-4</v>
      </c>
      <c r="F820" t="s">
        <v>25</v>
      </c>
      <c r="G820">
        <v>0.44631999999999999</v>
      </c>
      <c r="H820" t="s">
        <v>26</v>
      </c>
      <c r="I820">
        <v>446.31700000000001</v>
      </c>
      <c r="J820" t="s">
        <v>27</v>
      </c>
    </row>
    <row r="821" spans="1:12" x14ac:dyDescent="0.3">
      <c r="A821" t="s">
        <v>82</v>
      </c>
      <c r="B821" t="s">
        <v>35</v>
      </c>
      <c r="C821">
        <v>602</v>
      </c>
      <c r="D821" t="s">
        <v>30</v>
      </c>
      <c r="E821">
        <v>1.044E-3</v>
      </c>
      <c r="F821" t="s">
        <v>25</v>
      </c>
      <c r="G821">
        <v>1.04375</v>
      </c>
      <c r="H821" t="s">
        <v>26</v>
      </c>
      <c r="I821">
        <v>1043.7470000000001</v>
      </c>
      <c r="J821" t="s">
        <v>27</v>
      </c>
    </row>
    <row r="822" spans="1:12" x14ac:dyDescent="0.3">
      <c r="A822" t="s">
        <v>82</v>
      </c>
      <c r="B822" t="s">
        <v>35</v>
      </c>
      <c r="C822">
        <v>602</v>
      </c>
      <c r="D822" t="s">
        <v>31</v>
      </c>
      <c r="E822">
        <v>1.2229999999999999E-3</v>
      </c>
      <c r="F822" t="s">
        <v>25</v>
      </c>
      <c r="G822">
        <v>1.2230799999999999</v>
      </c>
      <c r="H822" t="s">
        <v>26</v>
      </c>
      <c r="I822">
        <v>1223.077</v>
      </c>
      <c r="J822" t="s">
        <v>27</v>
      </c>
    </row>
    <row r="823" spans="1:12" x14ac:dyDescent="0.3">
      <c r="A823" t="s">
        <v>82</v>
      </c>
      <c r="B823" t="s">
        <v>35</v>
      </c>
      <c r="C823">
        <v>602</v>
      </c>
      <c r="D823" t="s">
        <v>32</v>
      </c>
      <c r="E823">
        <v>1.67E-3</v>
      </c>
      <c r="F823" t="s">
        <v>25</v>
      </c>
      <c r="G823">
        <v>1.6695599999999999</v>
      </c>
      <c r="H823" t="s">
        <v>26</v>
      </c>
      <c r="I823">
        <v>1669.5609999999999</v>
      </c>
      <c r="J823" t="s">
        <v>27</v>
      </c>
      <c r="K823" t="s">
        <v>33</v>
      </c>
      <c r="L823">
        <v>598.9599346</v>
      </c>
    </row>
    <row r="824" spans="1:12" x14ac:dyDescent="0.3">
      <c r="A824" t="s">
        <v>83</v>
      </c>
      <c r="B824" t="s">
        <v>23</v>
      </c>
      <c r="C824">
        <v>1</v>
      </c>
      <c r="D824" t="s">
        <v>29</v>
      </c>
      <c r="E824">
        <v>9.2020000000000001E-3</v>
      </c>
      <c r="F824" t="s">
        <v>25</v>
      </c>
      <c r="G824">
        <v>9.2024000000000008</v>
      </c>
      <c r="H824" t="s">
        <v>26</v>
      </c>
      <c r="I824">
        <v>9202.4</v>
      </c>
      <c r="J824" t="s">
        <v>27</v>
      </c>
    </row>
    <row r="825" spans="1:12" x14ac:dyDescent="0.3">
      <c r="A825" t="s">
        <v>83</v>
      </c>
      <c r="B825" t="s">
        <v>23</v>
      </c>
      <c r="C825">
        <v>1</v>
      </c>
      <c r="D825" t="s">
        <v>30</v>
      </c>
      <c r="E825">
        <v>2.1607000000000001E-2</v>
      </c>
      <c r="F825" t="s">
        <v>25</v>
      </c>
      <c r="G825">
        <v>21.606999999999999</v>
      </c>
      <c r="H825" t="s">
        <v>26</v>
      </c>
      <c r="I825">
        <v>21607</v>
      </c>
      <c r="J825" t="s">
        <v>27</v>
      </c>
    </row>
    <row r="826" spans="1:12" x14ac:dyDescent="0.3">
      <c r="A826" t="s">
        <v>83</v>
      </c>
      <c r="B826" t="s">
        <v>23</v>
      </c>
      <c r="C826">
        <v>1</v>
      </c>
      <c r="D826" t="s">
        <v>31</v>
      </c>
      <c r="E826">
        <v>2.1607000000000001E-2</v>
      </c>
      <c r="F826" t="s">
        <v>25</v>
      </c>
      <c r="G826">
        <v>21.607500000000002</v>
      </c>
      <c r="H826" t="s">
        <v>26</v>
      </c>
      <c r="I826">
        <v>21607.5</v>
      </c>
      <c r="J826" t="s">
        <v>27</v>
      </c>
    </row>
    <row r="827" spans="1:12" x14ac:dyDescent="0.3">
      <c r="A827" t="s">
        <v>83</v>
      </c>
      <c r="B827" t="s">
        <v>23</v>
      </c>
      <c r="C827">
        <v>1</v>
      </c>
      <c r="D827" t="s">
        <v>32</v>
      </c>
      <c r="E827">
        <v>3.0810000000000001E-2</v>
      </c>
      <c r="F827" t="s">
        <v>25</v>
      </c>
      <c r="G827">
        <v>30.810300000000002</v>
      </c>
      <c r="H827" t="s">
        <v>26</v>
      </c>
      <c r="I827">
        <v>30810.3</v>
      </c>
      <c r="J827" t="s">
        <v>27</v>
      </c>
      <c r="K827" t="s">
        <v>33</v>
      </c>
      <c r="L827">
        <v>32.456678199999999</v>
      </c>
    </row>
    <row r="828" spans="1:12" x14ac:dyDescent="0.3">
      <c r="A828" t="s">
        <v>83</v>
      </c>
      <c r="B828" t="s">
        <v>34</v>
      </c>
      <c r="C828">
        <v>398</v>
      </c>
      <c r="D828" t="s">
        <v>29</v>
      </c>
      <c r="E828">
        <v>4.6500000000000003E-4</v>
      </c>
      <c r="F828" t="s">
        <v>25</v>
      </c>
      <c r="G828">
        <v>0.4647</v>
      </c>
      <c r="H828" t="s">
        <v>26</v>
      </c>
      <c r="I828">
        <v>464.69600000000003</v>
      </c>
      <c r="J828" t="s">
        <v>27</v>
      </c>
    </row>
    <row r="829" spans="1:12" x14ac:dyDescent="0.3">
      <c r="A829" t="s">
        <v>83</v>
      </c>
      <c r="B829" t="s">
        <v>34</v>
      </c>
      <c r="C829">
        <v>398</v>
      </c>
      <c r="D829" t="s">
        <v>30</v>
      </c>
      <c r="E829">
        <v>1.8190000000000001E-3</v>
      </c>
      <c r="F829" t="s">
        <v>25</v>
      </c>
      <c r="G829">
        <v>1.8189299999999999</v>
      </c>
      <c r="H829" t="s">
        <v>26</v>
      </c>
      <c r="I829">
        <v>1818.9280000000001</v>
      </c>
      <c r="J829" t="s">
        <v>27</v>
      </c>
    </row>
    <row r="830" spans="1:12" x14ac:dyDescent="0.3">
      <c r="A830" t="s">
        <v>83</v>
      </c>
      <c r="B830" t="s">
        <v>34</v>
      </c>
      <c r="C830">
        <v>398</v>
      </c>
      <c r="D830" t="s">
        <v>31</v>
      </c>
      <c r="E830">
        <v>1.9729999999999999E-3</v>
      </c>
      <c r="F830" t="s">
        <v>25</v>
      </c>
      <c r="G830">
        <v>1.97295</v>
      </c>
      <c r="H830" t="s">
        <v>26</v>
      </c>
      <c r="I830">
        <v>1972.9490000000001</v>
      </c>
      <c r="J830" t="s">
        <v>27</v>
      </c>
    </row>
    <row r="831" spans="1:12" x14ac:dyDescent="0.3">
      <c r="A831" t="s">
        <v>83</v>
      </c>
      <c r="B831" t="s">
        <v>34</v>
      </c>
      <c r="C831">
        <v>398</v>
      </c>
      <c r="D831" t="s">
        <v>32</v>
      </c>
      <c r="E831">
        <v>2.4380000000000001E-3</v>
      </c>
      <c r="F831" t="s">
        <v>25</v>
      </c>
      <c r="G831">
        <v>2.4378700000000002</v>
      </c>
      <c r="H831" t="s">
        <v>26</v>
      </c>
      <c r="I831">
        <v>2437.8719999999998</v>
      </c>
      <c r="J831" t="s">
        <v>27</v>
      </c>
      <c r="K831" t="s">
        <v>33</v>
      </c>
      <c r="L831">
        <v>410.19377409999998</v>
      </c>
    </row>
    <row r="832" spans="1:12" x14ac:dyDescent="0.3">
      <c r="A832" t="s">
        <v>83</v>
      </c>
      <c r="B832" t="s">
        <v>35</v>
      </c>
      <c r="C832">
        <v>399</v>
      </c>
      <c r="D832" t="s">
        <v>29</v>
      </c>
      <c r="E832">
        <v>4.8700000000000002E-4</v>
      </c>
      <c r="F832" t="s">
        <v>25</v>
      </c>
      <c r="G832">
        <v>0.48659999999999998</v>
      </c>
      <c r="H832" t="s">
        <v>26</v>
      </c>
      <c r="I832">
        <v>486.59500000000003</v>
      </c>
      <c r="J832" t="s">
        <v>27</v>
      </c>
    </row>
    <row r="833" spans="1:12" x14ac:dyDescent="0.3">
      <c r="A833" t="s">
        <v>83</v>
      </c>
      <c r="B833" t="s">
        <v>35</v>
      </c>
      <c r="C833">
        <v>399</v>
      </c>
      <c r="D833" t="s">
        <v>30</v>
      </c>
      <c r="E833">
        <v>1.869E-3</v>
      </c>
      <c r="F833" t="s">
        <v>25</v>
      </c>
      <c r="G833">
        <v>1.86852</v>
      </c>
      <c r="H833" t="s">
        <v>26</v>
      </c>
      <c r="I833">
        <v>1868.5219999999999</v>
      </c>
      <c r="J833" t="s">
        <v>27</v>
      </c>
    </row>
    <row r="834" spans="1:12" x14ac:dyDescent="0.3">
      <c r="A834" t="s">
        <v>83</v>
      </c>
      <c r="B834" t="s">
        <v>35</v>
      </c>
      <c r="C834">
        <v>399</v>
      </c>
      <c r="D834" t="s">
        <v>31</v>
      </c>
      <c r="E834">
        <v>2.0219999999999999E-3</v>
      </c>
      <c r="F834" t="s">
        <v>25</v>
      </c>
      <c r="G834">
        <v>2.02216</v>
      </c>
      <c r="H834" t="s">
        <v>26</v>
      </c>
      <c r="I834">
        <v>2022.1579999999999</v>
      </c>
      <c r="J834" t="s">
        <v>27</v>
      </c>
    </row>
    <row r="835" spans="1:12" x14ac:dyDescent="0.3">
      <c r="A835" t="s">
        <v>83</v>
      </c>
      <c r="B835" t="s">
        <v>35</v>
      </c>
      <c r="C835">
        <v>399</v>
      </c>
      <c r="D835" t="s">
        <v>32</v>
      </c>
      <c r="E835">
        <v>2.5089999999999999E-3</v>
      </c>
      <c r="F835" t="s">
        <v>25</v>
      </c>
      <c r="G835">
        <v>2.5089800000000002</v>
      </c>
      <c r="H835" t="s">
        <v>26</v>
      </c>
      <c r="I835">
        <v>2508.9810000000002</v>
      </c>
      <c r="J835" t="s">
        <v>27</v>
      </c>
      <c r="K835" t="s">
        <v>33</v>
      </c>
      <c r="L835">
        <v>398.56815410000002</v>
      </c>
    </row>
    <row r="836" spans="1:12" x14ac:dyDescent="0.3">
      <c r="A836" t="s">
        <v>84</v>
      </c>
      <c r="B836" t="s">
        <v>23</v>
      </c>
      <c r="C836">
        <v>1</v>
      </c>
      <c r="D836" t="s">
        <v>24</v>
      </c>
      <c r="E836">
        <v>3.8000000000000002E-5</v>
      </c>
      <c r="F836" t="s">
        <v>25</v>
      </c>
      <c r="G836">
        <v>3.78E-2</v>
      </c>
      <c r="H836" t="s">
        <v>26</v>
      </c>
      <c r="I836">
        <v>37.799999999999997</v>
      </c>
      <c r="J836" t="s">
        <v>27</v>
      </c>
    </row>
    <row r="837" spans="1:12" x14ac:dyDescent="0.3">
      <c r="A837" t="s">
        <v>84</v>
      </c>
      <c r="B837" t="s">
        <v>23</v>
      </c>
      <c r="C837">
        <v>1</v>
      </c>
      <c r="D837" t="s">
        <v>28</v>
      </c>
      <c r="E837">
        <v>6.7400000000000001E-4</v>
      </c>
      <c r="F837" t="s">
        <v>25</v>
      </c>
      <c r="G837">
        <v>0.67400000000000004</v>
      </c>
      <c r="H837" t="s">
        <v>26</v>
      </c>
      <c r="I837">
        <v>674</v>
      </c>
      <c r="J837" t="s">
        <v>27</v>
      </c>
    </row>
    <row r="838" spans="1:12" x14ac:dyDescent="0.3">
      <c r="A838" t="s">
        <v>84</v>
      </c>
      <c r="B838" t="s">
        <v>23</v>
      </c>
      <c r="C838">
        <v>2</v>
      </c>
      <c r="D838" t="s">
        <v>37</v>
      </c>
      <c r="E838">
        <v>1.5410999999999999E-2</v>
      </c>
      <c r="F838" t="s">
        <v>25</v>
      </c>
      <c r="G838">
        <v>15.4114</v>
      </c>
      <c r="H838" t="s">
        <v>26</v>
      </c>
      <c r="I838">
        <v>15411.4</v>
      </c>
      <c r="J838" t="s">
        <v>27</v>
      </c>
      <c r="K838" t="s">
        <v>33</v>
      </c>
      <c r="L838">
        <v>64.887030699999997</v>
      </c>
    </row>
    <row r="839" spans="1:12" x14ac:dyDescent="0.3">
      <c r="A839" t="s">
        <v>84</v>
      </c>
      <c r="B839" t="s">
        <v>34</v>
      </c>
      <c r="C839">
        <v>999</v>
      </c>
      <c r="D839" t="s">
        <v>37</v>
      </c>
      <c r="E839">
        <v>1.008E-3</v>
      </c>
      <c r="F839" t="s">
        <v>25</v>
      </c>
      <c r="G839">
        <v>1.0082599999999999</v>
      </c>
      <c r="H839" t="s">
        <v>26</v>
      </c>
      <c r="I839">
        <v>1008.264</v>
      </c>
      <c r="J839" t="s">
        <v>27</v>
      </c>
      <c r="K839" t="s">
        <v>33</v>
      </c>
      <c r="L839">
        <v>991.80344339999999</v>
      </c>
    </row>
    <row r="840" spans="1:12" x14ac:dyDescent="0.3">
      <c r="A840" t="s">
        <v>84</v>
      </c>
      <c r="B840" t="s">
        <v>36</v>
      </c>
      <c r="C840">
        <v>1001</v>
      </c>
      <c r="D840" t="s">
        <v>37</v>
      </c>
      <c r="E840">
        <v>1.016E-3</v>
      </c>
      <c r="F840" t="s">
        <v>25</v>
      </c>
      <c r="G840">
        <v>1.0159199999999999</v>
      </c>
      <c r="H840" t="s">
        <v>26</v>
      </c>
      <c r="I840">
        <v>1015.919</v>
      </c>
      <c r="J840" t="s">
        <v>27</v>
      </c>
      <c r="K840" t="s">
        <v>33</v>
      </c>
      <c r="L840">
        <v>984.33025869999994</v>
      </c>
    </row>
    <row r="841" spans="1:12" x14ac:dyDescent="0.3">
      <c r="A841" t="s">
        <v>8</v>
      </c>
    </row>
    <row r="842" spans="1:12" x14ac:dyDescent="0.3">
      <c r="A842" t="s">
        <v>20</v>
      </c>
    </row>
    <row r="843" spans="1:12" x14ac:dyDescent="0.3">
      <c r="A843" t="s">
        <v>40</v>
      </c>
    </row>
    <row r="844" spans="1:12" x14ac:dyDescent="0.3">
      <c r="A844" t="s">
        <v>93</v>
      </c>
    </row>
    <row r="845" spans="1:12" x14ac:dyDescent="0.3">
      <c r="A845" t="s">
        <v>82</v>
      </c>
      <c r="B845" t="s">
        <v>23</v>
      </c>
      <c r="C845">
        <v>1</v>
      </c>
      <c r="D845" t="s">
        <v>32</v>
      </c>
      <c r="E845">
        <v>0.344945</v>
      </c>
      <c r="F845" t="s">
        <v>25</v>
      </c>
      <c r="G845">
        <v>344.94549000000001</v>
      </c>
      <c r="H845" t="s">
        <v>26</v>
      </c>
      <c r="I845">
        <v>344945.49</v>
      </c>
      <c r="J845" t="s">
        <v>27</v>
      </c>
      <c r="K845" t="s">
        <v>33</v>
      </c>
      <c r="L845">
        <v>2.8990087999999998</v>
      </c>
    </row>
    <row r="846" spans="1:12" x14ac:dyDescent="0.3">
      <c r="A846" t="s">
        <v>82</v>
      </c>
      <c r="B846" t="s">
        <v>34</v>
      </c>
      <c r="C846">
        <v>510</v>
      </c>
      <c r="D846" t="s">
        <v>32</v>
      </c>
      <c r="E846">
        <v>8.1099999999999998E-4</v>
      </c>
      <c r="F846" t="s">
        <v>25</v>
      </c>
      <c r="G846">
        <v>0.81077999999999995</v>
      </c>
      <c r="H846" t="s">
        <v>26</v>
      </c>
      <c r="I846">
        <v>810.779</v>
      </c>
      <c r="J846" t="s">
        <v>27</v>
      </c>
      <c r="K846" t="s">
        <v>33</v>
      </c>
      <c r="L846">
        <v>1233.3815185000001</v>
      </c>
    </row>
    <row r="847" spans="1:12" x14ac:dyDescent="0.3">
      <c r="A847" t="s">
        <v>82</v>
      </c>
      <c r="B847" t="s">
        <v>35</v>
      </c>
      <c r="C847">
        <v>511</v>
      </c>
      <c r="D847" t="s">
        <v>32</v>
      </c>
      <c r="E847">
        <v>1.4840000000000001E-3</v>
      </c>
      <c r="F847" t="s">
        <v>25</v>
      </c>
      <c r="G847">
        <v>1.4842299999999999</v>
      </c>
      <c r="H847" t="s">
        <v>26</v>
      </c>
      <c r="I847">
        <v>1484.2329999999999</v>
      </c>
      <c r="J847" t="s">
        <v>27</v>
      </c>
      <c r="K847" t="s">
        <v>33</v>
      </c>
      <c r="L847">
        <v>673.74882720000005</v>
      </c>
    </row>
    <row r="848" spans="1:12" x14ac:dyDescent="0.3">
      <c r="A848" t="s">
        <v>83</v>
      </c>
      <c r="B848" t="s">
        <v>23</v>
      </c>
      <c r="C848">
        <v>1</v>
      </c>
      <c r="D848" t="s">
        <v>32</v>
      </c>
      <c r="E848">
        <v>0.17473900000000001</v>
      </c>
      <c r="F848" t="s">
        <v>25</v>
      </c>
      <c r="G848">
        <v>174.73948999999999</v>
      </c>
      <c r="H848" t="s">
        <v>26</v>
      </c>
      <c r="I848">
        <v>174739.495</v>
      </c>
      <c r="J848" t="s">
        <v>27</v>
      </c>
      <c r="K848" t="s">
        <v>33</v>
      </c>
      <c r="L848">
        <v>5.7228047000000002</v>
      </c>
    </row>
    <row r="849" spans="1:12" x14ac:dyDescent="0.3">
      <c r="A849" t="s">
        <v>83</v>
      </c>
      <c r="B849" t="s">
        <v>34</v>
      </c>
      <c r="C849">
        <v>489</v>
      </c>
      <c r="D849" t="s">
        <v>32</v>
      </c>
      <c r="E849">
        <v>1.189E-3</v>
      </c>
      <c r="F849" t="s">
        <v>25</v>
      </c>
      <c r="G849">
        <v>1.18912</v>
      </c>
      <c r="H849" t="s">
        <v>26</v>
      </c>
      <c r="I849">
        <v>1189.1199999999999</v>
      </c>
      <c r="J849" t="s">
        <v>27</v>
      </c>
      <c r="K849" t="s">
        <v>33</v>
      </c>
      <c r="L849">
        <v>840.95820819999994</v>
      </c>
    </row>
    <row r="850" spans="1:12" x14ac:dyDescent="0.3">
      <c r="A850" t="s">
        <v>83</v>
      </c>
      <c r="B850" t="s">
        <v>35</v>
      </c>
      <c r="C850">
        <v>490</v>
      </c>
      <c r="D850" t="s">
        <v>32</v>
      </c>
      <c r="E850">
        <v>1.5430000000000001E-3</v>
      </c>
      <c r="F850" t="s">
        <v>25</v>
      </c>
      <c r="G850">
        <v>1.5432999999999999</v>
      </c>
      <c r="H850" t="s">
        <v>26</v>
      </c>
      <c r="I850">
        <v>1543.3040000000001</v>
      </c>
      <c r="J850" t="s">
        <v>27</v>
      </c>
      <c r="K850" t="s">
        <v>33</v>
      </c>
      <c r="L850">
        <v>647.96057329999996</v>
      </c>
    </row>
    <row r="851" spans="1:12" x14ac:dyDescent="0.3">
      <c r="A851" t="s">
        <v>84</v>
      </c>
      <c r="B851" t="s">
        <v>23</v>
      </c>
      <c r="C851">
        <v>2</v>
      </c>
      <c r="D851" t="s">
        <v>37</v>
      </c>
      <c r="E851">
        <v>0.17247699999999999</v>
      </c>
      <c r="F851" t="s">
        <v>25</v>
      </c>
      <c r="G851">
        <v>172.47649999999999</v>
      </c>
      <c r="H851" t="s">
        <v>26</v>
      </c>
      <c r="I851">
        <v>172476.5</v>
      </c>
      <c r="J851" t="s">
        <v>27</v>
      </c>
      <c r="K851" t="s">
        <v>33</v>
      </c>
      <c r="L851">
        <v>5.7978912999999999</v>
      </c>
    </row>
    <row r="852" spans="1:12" x14ac:dyDescent="0.3">
      <c r="A852" t="s">
        <v>84</v>
      </c>
      <c r="B852" t="s">
        <v>34</v>
      </c>
      <c r="C852">
        <v>999</v>
      </c>
      <c r="D852" t="s">
        <v>37</v>
      </c>
      <c r="E852">
        <v>5.8699999999999996E-4</v>
      </c>
      <c r="F852" t="s">
        <v>25</v>
      </c>
      <c r="G852">
        <v>0.58670999999999995</v>
      </c>
      <c r="H852" t="s">
        <v>26</v>
      </c>
      <c r="I852">
        <v>586.70600000000002</v>
      </c>
      <c r="J852" t="s">
        <v>27</v>
      </c>
      <c r="K852" t="s">
        <v>33</v>
      </c>
      <c r="L852">
        <v>1704.4311797</v>
      </c>
    </row>
    <row r="853" spans="1:12" x14ac:dyDescent="0.3">
      <c r="A853" t="s">
        <v>84</v>
      </c>
      <c r="B853" t="s">
        <v>36</v>
      </c>
      <c r="C853">
        <v>1001</v>
      </c>
      <c r="D853" t="s">
        <v>37</v>
      </c>
      <c r="E853">
        <v>7.6199999999999998E-4</v>
      </c>
      <c r="F853" t="s">
        <v>25</v>
      </c>
      <c r="G853">
        <v>0.76234999999999997</v>
      </c>
      <c r="H853" t="s">
        <v>26</v>
      </c>
      <c r="I853">
        <v>762.35299999999995</v>
      </c>
      <c r="J853" t="s">
        <v>27</v>
      </c>
      <c r="K853" t="s">
        <v>33</v>
      </c>
      <c r="L853">
        <v>1311.7278953</v>
      </c>
    </row>
    <row r="855" spans="1:12" x14ac:dyDescent="0.3">
      <c r="A855" t="s">
        <v>94</v>
      </c>
    </row>
    <row r="856" spans="1:12" x14ac:dyDescent="0.3">
      <c r="A856" t="s">
        <v>82</v>
      </c>
      <c r="B856" t="s">
        <v>23</v>
      </c>
      <c r="C856">
        <v>1</v>
      </c>
      <c r="D856" t="s">
        <v>32</v>
      </c>
      <c r="E856">
        <v>7.9539999999999993E-3</v>
      </c>
      <c r="F856" t="s">
        <v>25</v>
      </c>
      <c r="G856">
        <v>7.9535999999999998</v>
      </c>
      <c r="H856" t="s">
        <v>26</v>
      </c>
      <c r="I856">
        <v>7953.6</v>
      </c>
      <c r="J856" t="s">
        <v>27</v>
      </c>
      <c r="K856" t="s">
        <v>33</v>
      </c>
      <c r="L856">
        <v>125.7292291</v>
      </c>
    </row>
    <row r="857" spans="1:12" x14ac:dyDescent="0.3">
      <c r="A857" t="s">
        <v>82</v>
      </c>
      <c r="B857" t="s">
        <v>34</v>
      </c>
      <c r="C857">
        <v>601</v>
      </c>
      <c r="D857" t="s">
        <v>32</v>
      </c>
      <c r="E857">
        <v>1.6590000000000001E-3</v>
      </c>
      <c r="F857" t="s">
        <v>25</v>
      </c>
      <c r="G857">
        <v>1.6591</v>
      </c>
      <c r="H857" t="s">
        <v>26</v>
      </c>
      <c r="I857">
        <v>1659.105</v>
      </c>
      <c r="J857" t="s">
        <v>27</v>
      </c>
      <c r="K857" t="s">
        <v>33</v>
      </c>
      <c r="L857">
        <v>602.73464060000003</v>
      </c>
    </row>
    <row r="858" spans="1:12" x14ac:dyDescent="0.3">
      <c r="A858" t="s">
        <v>82</v>
      </c>
      <c r="B858" t="s">
        <v>35</v>
      </c>
      <c r="C858">
        <v>602</v>
      </c>
      <c r="D858" t="s">
        <v>32</v>
      </c>
      <c r="E858">
        <v>1.67E-3</v>
      </c>
      <c r="F858" t="s">
        <v>25</v>
      </c>
      <c r="G858">
        <v>1.6695599999999999</v>
      </c>
      <c r="H858" t="s">
        <v>26</v>
      </c>
      <c r="I858">
        <v>1669.5609999999999</v>
      </c>
      <c r="J858" t="s">
        <v>27</v>
      </c>
      <c r="K858" t="s">
        <v>33</v>
      </c>
      <c r="L858">
        <v>598.9599346</v>
      </c>
    </row>
    <row r="859" spans="1:12" x14ac:dyDescent="0.3">
      <c r="A859" t="s">
        <v>83</v>
      </c>
      <c r="B859" t="s">
        <v>23</v>
      </c>
      <c r="C859">
        <v>1</v>
      </c>
      <c r="D859" t="s">
        <v>32</v>
      </c>
      <c r="E859">
        <v>3.0810000000000001E-2</v>
      </c>
      <c r="F859" t="s">
        <v>25</v>
      </c>
      <c r="G859">
        <v>30.810300000000002</v>
      </c>
      <c r="H859" t="s">
        <v>26</v>
      </c>
      <c r="I859">
        <v>30810.3</v>
      </c>
      <c r="J859" t="s">
        <v>27</v>
      </c>
      <c r="K859" t="s">
        <v>33</v>
      </c>
      <c r="L859">
        <v>32.456678199999999</v>
      </c>
    </row>
    <row r="860" spans="1:12" x14ac:dyDescent="0.3">
      <c r="A860" t="s">
        <v>83</v>
      </c>
      <c r="B860" t="s">
        <v>34</v>
      </c>
      <c r="C860">
        <v>398</v>
      </c>
      <c r="D860" t="s">
        <v>32</v>
      </c>
      <c r="E860">
        <v>2.4380000000000001E-3</v>
      </c>
      <c r="F860" t="s">
        <v>25</v>
      </c>
      <c r="G860">
        <v>2.4378700000000002</v>
      </c>
      <c r="H860" t="s">
        <v>26</v>
      </c>
      <c r="I860">
        <v>2437.8719999999998</v>
      </c>
      <c r="J860" t="s">
        <v>27</v>
      </c>
      <c r="K860" t="s">
        <v>33</v>
      </c>
      <c r="L860">
        <v>410.19377409999998</v>
      </c>
    </row>
    <row r="861" spans="1:12" x14ac:dyDescent="0.3">
      <c r="A861" t="s">
        <v>83</v>
      </c>
      <c r="B861" t="s">
        <v>35</v>
      </c>
      <c r="C861">
        <v>399</v>
      </c>
      <c r="D861" t="s">
        <v>32</v>
      </c>
      <c r="E861">
        <v>2.5089999999999999E-3</v>
      </c>
      <c r="F861" t="s">
        <v>25</v>
      </c>
      <c r="G861">
        <v>2.5089800000000002</v>
      </c>
      <c r="H861" t="s">
        <v>26</v>
      </c>
      <c r="I861">
        <v>2508.9810000000002</v>
      </c>
      <c r="J861" t="s">
        <v>27</v>
      </c>
      <c r="K861" t="s">
        <v>33</v>
      </c>
      <c r="L861">
        <v>398.56815410000002</v>
      </c>
    </row>
    <row r="862" spans="1:12" x14ac:dyDescent="0.3">
      <c r="A862" t="s">
        <v>84</v>
      </c>
      <c r="B862" t="s">
        <v>23</v>
      </c>
      <c r="C862">
        <v>2</v>
      </c>
      <c r="D862" t="s">
        <v>37</v>
      </c>
      <c r="E862">
        <v>1.5410999999999999E-2</v>
      </c>
      <c r="F862" t="s">
        <v>25</v>
      </c>
      <c r="G862">
        <v>15.4114</v>
      </c>
      <c r="H862" t="s">
        <v>26</v>
      </c>
      <c r="I862">
        <v>15411.4</v>
      </c>
      <c r="J862" t="s">
        <v>27</v>
      </c>
      <c r="K862" t="s">
        <v>33</v>
      </c>
      <c r="L862">
        <v>64.887030699999997</v>
      </c>
    </row>
    <row r="863" spans="1:12" x14ac:dyDescent="0.3">
      <c r="A863" t="s">
        <v>84</v>
      </c>
      <c r="B863" t="s">
        <v>34</v>
      </c>
      <c r="C863">
        <v>999</v>
      </c>
      <c r="D863" t="s">
        <v>37</v>
      </c>
      <c r="E863">
        <v>1.008E-3</v>
      </c>
      <c r="F863" t="s">
        <v>25</v>
      </c>
      <c r="G863">
        <v>1.0082599999999999</v>
      </c>
      <c r="H863" t="s">
        <v>26</v>
      </c>
      <c r="I863">
        <v>1008.264</v>
      </c>
      <c r="J863" t="s">
        <v>27</v>
      </c>
      <c r="K863" t="s">
        <v>33</v>
      </c>
      <c r="L863">
        <v>991.80344339999999</v>
      </c>
    </row>
    <row r="864" spans="1:12" x14ac:dyDescent="0.3">
      <c r="A864" t="s">
        <v>84</v>
      </c>
      <c r="B864" t="s">
        <v>36</v>
      </c>
      <c r="C864">
        <v>1001</v>
      </c>
      <c r="D864" t="s">
        <v>37</v>
      </c>
      <c r="E864">
        <v>1.016E-3</v>
      </c>
      <c r="F864" t="s">
        <v>25</v>
      </c>
      <c r="G864">
        <v>1.0159199999999999</v>
      </c>
      <c r="H864" t="s">
        <v>26</v>
      </c>
      <c r="I864">
        <v>1015.919</v>
      </c>
      <c r="J864" t="s">
        <v>27</v>
      </c>
      <c r="K864" t="s">
        <v>33</v>
      </c>
      <c r="L864">
        <v>984.33025869999994</v>
      </c>
    </row>
    <row r="866" spans="1:1" x14ac:dyDescent="0.3">
      <c r="A866" t="s">
        <v>1</v>
      </c>
    </row>
    <row r="867" spans="1:1" x14ac:dyDescent="0.3">
      <c r="A867" t="s">
        <v>95</v>
      </c>
    </row>
    <row r="869" spans="1:1" x14ac:dyDescent="0.3">
      <c r="A869" t="s">
        <v>96</v>
      </c>
    </row>
    <row r="871" spans="1:1" x14ac:dyDescent="0.3">
      <c r="A871" t="s">
        <v>6</v>
      </c>
    </row>
    <row r="872" spans="1:1" x14ac:dyDescent="0.3">
      <c r="A872" t="s">
        <v>5</v>
      </c>
    </row>
    <row r="873" spans="1:1" x14ac:dyDescent="0.3">
      <c r="A873" t="s">
        <v>6</v>
      </c>
    </row>
    <row r="874" spans="1:1" x14ac:dyDescent="0.3">
      <c r="A874" t="s">
        <v>7</v>
      </c>
    </row>
    <row r="875" spans="1:1" x14ac:dyDescent="0.3">
      <c r="A875" t="s">
        <v>8</v>
      </c>
    </row>
    <row r="876" spans="1:1" x14ac:dyDescent="0.3">
      <c r="A876" t="s">
        <v>9</v>
      </c>
    </row>
    <row r="877" spans="1:1" x14ac:dyDescent="0.3">
      <c r="A877" t="s">
        <v>10</v>
      </c>
    </row>
    <row r="878" spans="1:1" x14ac:dyDescent="0.3">
      <c r="A878" t="s">
        <v>11</v>
      </c>
    </row>
    <row r="879" spans="1:1" x14ac:dyDescent="0.3">
      <c r="A879" t="s">
        <v>12</v>
      </c>
    </row>
    <row r="880" spans="1:1" x14ac:dyDescent="0.3">
      <c r="A880" t="s">
        <v>13</v>
      </c>
    </row>
    <row r="881" spans="1:1" x14ac:dyDescent="0.3">
      <c r="A881" t="s">
        <v>14</v>
      </c>
    </row>
    <row r="882" spans="1:1" x14ac:dyDescent="0.3">
      <c r="A882" t="s">
        <v>15</v>
      </c>
    </row>
    <row r="883" spans="1:1" x14ac:dyDescent="0.3">
      <c r="A883" t="s">
        <v>16</v>
      </c>
    </row>
    <row r="884" spans="1:1" x14ac:dyDescent="0.3">
      <c r="A884" t="s">
        <v>17</v>
      </c>
    </row>
    <row r="885" spans="1:1" x14ac:dyDescent="0.3">
      <c r="A885" t="s">
        <v>18</v>
      </c>
    </row>
    <row r="886" spans="1:1" x14ac:dyDescent="0.3">
      <c r="A886" t="s">
        <v>19</v>
      </c>
    </row>
    <row r="887" spans="1:1" x14ac:dyDescent="0.3">
      <c r="A887" t="s">
        <v>20</v>
      </c>
    </row>
    <row r="888" spans="1:1" x14ac:dyDescent="0.3">
      <c r="A888" t="s">
        <v>21</v>
      </c>
    </row>
    <row r="889" spans="1:1" x14ac:dyDescent="0.3">
      <c r="A889" t="s">
        <v>8</v>
      </c>
    </row>
    <row r="890" spans="1:1" x14ac:dyDescent="0.3">
      <c r="A890" t="s">
        <v>66</v>
      </c>
    </row>
    <row r="891" spans="1:1" x14ac:dyDescent="0.3">
      <c r="A891" t="s">
        <v>67</v>
      </c>
    </row>
    <row r="892" spans="1:1" x14ac:dyDescent="0.3">
      <c r="A892" t="s">
        <v>11</v>
      </c>
    </row>
    <row r="893" spans="1:1" x14ac:dyDescent="0.3">
      <c r="A893" t="s">
        <v>12</v>
      </c>
    </row>
    <row r="894" spans="1:1" x14ac:dyDescent="0.3">
      <c r="A894" t="s">
        <v>51</v>
      </c>
    </row>
    <row r="895" spans="1:1" x14ac:dyDescent="0.3">
      <c r="A895" t="s">
        <v>52</v>
      </c>
    </row>
    <row r="896" spans="1:1" x14ac:dyDescent="0.3">
      <c r="A896" t="s">
        <v>68</v>
      </c>
    </row>
    <row r="897" spans="1:12" x14ac:dyDescent="0.3">
      <c r="A897" t="s">
        <v>69</v>
      </c>
    </row>
    <row r="898" spans="1:12" x14ac:dyDescent="0.3">
      <c r="A898" t="s">
        <v>55</v>
      </c>
    </row>
    <row r="899" spans="1:12" x14ac:dyDescent="0.3">
      <c r="A899" t="s">
        <v>18</v>
      </c>
    </row>
    <row r="900" spans="1:12" x14ac:dyDescent="0.3">
      <c r="A900" t="s">
        <v>19</v>
      </c>
    </row>
    <row r="901" spans="1:12" x14ac:dyDescent="0.3">
      <c r="A901" t="s">
        <v>20</v>
      </c>
    </row>
    <row r="902" spans="1:12" x14ac:dyDescent="0.3">
      <c r="A902" t="s">
        <v>21</v>
      </c>
    </row>
    <row r="903" spans="1:12" x14ac:dyDescent="0.3">
      <c r="A903" t="s">
        <v>97</v>
      </c>
    </row>
    <row r="904" spans="1:12" x14ac:dyDescent="0.3">
      <c r="A904" t="s">
        <v>82</v>
      </c>
      <c r="B904" t="s">
        <v>23</v>
      </c>
      <c r="C904">
        <v>1</v>
      </c>
      <c r="D904" t="s">
        <v>29</v>
      </c>
      <c r="E904">
        <v>0.32808599999999999</v>
      </c>
      <c r="F904" t="s">
        <v>25</v>
      </c>
      <c r="G904">
        <v>328.08620000000002</v>
      </c>
      <c r="H904" t="s">
        <v>26</v>
      </c>
      <c r="I904">
        <v>328086.19699999999</v>
      </c>
      <c r="J904" t="s">
        <v>27</v>
      </c>
    </row>
    <row r="905" spans="1:12" x14ac:dyDescent="0.3">
      <c r="A905" t="s">
        <v>82</v>
      </c>
      <c r="B905" t="s">
        <v>23</v>
      </c>
      <c r="C905">
        <v>1</v>
      </c>
      <c r="D905" t="s">
        <v>30</v>
      </c>
      <c r="E905">
        <v>3.725E-3</v>
      </c>
      <c r="F905" t="s">
        <v>25</v>
      </c>
      <c r="G905">
        <v>3.7254</v>
      </c>
      <c r="H905" t="s">
        <v>26</v>
      </c>
      <c r="I905">
        <v>3725.4</v>
      </c>
      <c r="J905" t="s">
        <v>27</v>
      </c>
    </row>
    <row r="906" spans="1:12" x14ac:dyDescent="0.3">
      <c r="A906" t="s">
        <v>82</v>
      </c>
      <c r="B906" t="s">
        <v>23</v>
      </c>
      <c r="C906">
        <v>1</v>
      </c>
      <c r="D906" t="s">
        <v>31</v>
      </c>
      <c r="E906">
        <v>3.7269999999999998E-3</v>
      </c>
      <c r="F906" t="s">
        <v>25</v>
      </c>
      <c r="G906">
        <v>3.7265999999999999</v>
      </c>
      <c r="H906" t="s">
        <v>26</v>
      </c>
      <c r="I906">
        <v>3726.6</v>
      </c>
      <c r="J906" t="s">
        <v>27</v>
      </c>
    </row>
    <row r="907" spans="1:12" x14ac:dyDescent="0.3">
      <c r="A907" t="s">
        <v>82</v>
      </c>
      <c r="B907" t="s">
        <v>23</v>
      </c>
      <c r="C907">
        <v>1</v>
      </c>
      <c r="D907" t="s">
        <v>32</v>
      </c>
      <c r="E907">
        <v>0.33181300000000002</v>
      </c>
      <c r="F907" t="s">
        <v>25</v>
      </c>
      <c r="G907">
        <v>331.81331</v>
      </c>
      <c r="H907" t="s">
        <v>26</v>
      </c>
      <c r="I907">
        <v>331813.30599999998</v>
      </c>
      <c r="J907" t="s">
        <v>27</v>
      </c>
      <c r="K907" t="s">
        <v>33</v>
      </c>
      <c r="L907">
        <v>3.0137429</v>
      </c>
    </row>
    <row r="908" spans="1:12" x14ac:dyDescent="0.3">
      <c r="A908" t="s">
        <v>82</v>
      </c>
      <c r="B908" t="s">
        <v>34</v>
      </c>
      <c r="C908">
        <v>950</v>
      </c>
      <c r="D908" t="s">
        <v>29</v>
      </c>
      <c r="E908">
        <v>0</v>
      </c>
      <c r="F908" t="s">
        <v>25</v>
      </c>
      <c r="G908">
        <v>1.3999999999999999E-4</v>
      </c>
      <c r="H908" t="s">
        <v>26</v>
      </c>
      <c r="I908">
        <v>0.13700000000000001</v>
      </c>
      <c r="J908" t="s">
        <v>27</v>
      </c>
    </row>
    <row r="909" spans="1:12" x14ac:dyDescent="0.3">
      <c r="A909" t="s">
        <v>82</v>
      </c>
      <c r="B909" t="s">
        <v>34</v>
      </c>
      <c r="C909">
        <v>950</v>
      </c>
      <c r="D909" t="s">
        <v>30</v>
      </c>
      <c r="E909">
        <v>3.68E-4</v>
      </c>
      <c r="F909" t="s">
        <v>25</v>
      </c>
      <c r="G909">
        <v>0.36798999999999998</v>
      </c>
      <c r="H909" t="s">
        <v>26</v>
      </c>
      <c r="I909">
        <v>367.98700000000002</v>
      </c>
      <c r="J909" t="s">
        <v>27</v>
      </c>
    </row>
    <row r="910" spans="1:12" x14ac:dyDescent="0.3">
      <c r="A910" t="s">
        <v>82</v>
      </c>
      <c r="B910" t="s">
        <v>34</v>
      </c>
      <c r="C910">
        <v>950</v>
      </c>
      <c r="D910" t="s">
        <v>31</v>
      </c>
      <c r="E910">
        <v>3.68E-4</v>
      </c>
      <c r="F910" t="s">
        <v>25</v>
      </c>
      <c r="G910">
        <v>0.36831000000000003</v>
      </c>
      <c r="H910" t="s">
        <v>26</v>
      </c>
      <c r="I910">
        <v>368.31099999999998</v>
      </c>
      <c r="J910" t="s">
        <v>27</v>
      </c>
    </row>
    <row r="911" spans="1:12" x14ac:dyDescent="0.3">
      <c r="A911" t="s">
        <v>82</v>
      </c>
      <c r="B911" t="s">
        <v>34</v>
      </c>
      <c r="C911">
        <v>950</v>
      </c>
      <c r="D911" t="s">
        <v>32</v>
      </c>
      <c r="E911">
        <v>3.6900000000000002E-4</v>
      </c>
      <c r="F911" t="s">
        <v>25</v>
      </c>
      <c r="G911">
        <v>0.36854999999999999</v>
      </c>
      <c r="H911" t="s">
        <v>26</v>
      </c>
      <c r="I911">
        <v>368.54599999999999</v>
      </c>
      <c r="J911" t="s">
        <v>27</v>
      </c>
      <c r="K911" t="s">
        <v>33</v>
      </c>
      <c r="L911">
        <v>2713.3627498999999</v>
      </c>
    </row>
    <row r="912" spans="1:12" x14ac:dyDescent="0.3">
      <c r="A912" t="s">
        <v>82</v>
      </c>
      <c r="B912" t="s">
        <v>35</v>
      </c>
      <c r="C912">
        <v>951</v>
      </c>
      <c r="D912" t="s">
        <v>29</v>
      </c>
      <c r="E912">
        <v>3.4499999999999998E-4</v>
      </c>
      <c r="F912" t="s">
        <v>25</v>
      </c>
      <c r="G912">
        <v>0.34511999999999998</v>
      </c>
      <c r="H912" t="s">
        <v>26</v>
      </c>
      <c r="I912">
        <v>345.12299999999999</v>
      </c>
      <c r="J912" t="s">
        <v>27</v>
      </c>
    </row>
    <row r="913" spans="1:12" x14ac:dyDescent="0.3">
      <c r="A913" t="s">
        <v>82</v>
      </c>
      <c r="B913" t="s">
        <v>35</v>
      </c>
      <c r="C913">
        <v>951</v>
      </c>
      <c r="D913" t="s">
        <v>30</v>
      </c>
      <c r="E913">
        <v>3.7199999999999999E-4</v>
      </c>
      <c r="F913" t="s">
        <v>25</v>
      </c>
      <c r="G913">
        <v>0.37152000000000002</v>
      </c>
      <c r="H913" t="s">
        <v>26</v>
      </c>
      <c r="I913">
        <v>371.517</v>
      </c>
      <c r="J913" t="s">
        <v>27</v>
      </c>
    </row>
    <row r="914" spans="1:12" x14ac:dyDescent="0.3">
      <c r="A914" t="s">
        <v>82</v>
      </c>
      <c r="B914" t="s">
        <v>35</v>
      </c>
      <c r="C914">
        <v>951</v>
      </c>
      <c r="D914" t="s">
        <v>31</v>
      </c>
      <c r="E914">
        <v>3.7199999999999999E-4</v>
      </c>
      <c r="F914" t="s">
        <v>25</v>
      </c>
      <c r="G914">
        <v>0.37184</v>
      </c>
      <c r="H914" t="s">
        <v>26</v>
      </c>
      <c r="I914">
        <v>371.84199999999998</v>
      </c>
      <c r="J914" t="s">
        <v>27</v>
      </c>
    </row>
    <row r="915" spans="1:12" x14ac:dyDescent="0.3">
      <c r="A915" t="s">
        <v>82</v>
      </c>
      <c r="B915" t="s">
        <v>35</v>
      </c>
      <c r="C915">
        <v>951</v>
      </c>
      <c r="D915" t="s">
        <v>32</v>
      </c>
      <c r="E915">
        <v>7.1699999999999997E-4</v>
      </c>
      <c r="F915" t="s">
        <v>25</v>
      </c>
      <c r="G915">
        <v>0.71706999999999999</v>
      </c>
      <c r="H915" t="s">
        <v>26</v>
      </c>
      <c r="I915">
        <v>717.06899999999996</v>
      </c>
      <c r="J915" t="s">
        <v>27</v>
      </c>
      <c r="K915" t="s">
        <v>33</v>
      </c>
      <c r="L915">
        <v>1394.5662812999999</v>
      </c>
    </row>
    <row r="916" spans="1:12" x14ac:dyDescent="0.3">
      <c r="A916" t="s">
        <v>83</v>
      </c>
      <c r="B916" t="s">
        <v>23</v>
      </c>
      <c r="C916">
        <v>1</v>
      </c>
      <c r="D916" t="s">
        <v>29</v>
      </c>
      <c r="E916">
        <v>0.15260699999999999</v>
      </c>
      <c r="F916" t="s">
        <v>25</v>
      </c>
      <c r="G916">
        <v>152.60731000000001</v>
      </c>
      <c r="H916" t="s">
        <v>26</v>
      </c>
      <c r="I916">
        <v>152607.307</v>
      </c>
      <c r="J916" t="s">
        <v>27</v>
      </c>
    </row>
    <row r="917" spans="1:12" x14ac:dyDescent="0.3">
      <c r="A917" t="s">
        <v>83</v>
      </c>
      <c r="B917" t="s">
        <v>23</v>
      </c>
      <c r="C917">
        <v>1</v>
      </c>
      <c r="D917" t="s">
        <v>30</v>
      </c>
      <c r="E917">
        <v>1.6285000000000001E-2</v>
      </c>
      <c r="F917" t="s">
        <v>25</v>
      </c>
      <c r="G917">
        <v>16.284600000000001</v>
      </c>
      <c r="H917" t="s">
        <v>26</v>
      </c>
      <c r="I917">
        <v>16284.6</v>
      </c>
      <c r="J917" t="s">
        <v>27</v>
      </c>
    </row>
    <row r="918" spans="1:12" x14ac:dyDescent="0.3">
      <c r="A918" t="s">
        <v>83</v>
      </c>
      <c r="B918" t="s">
        <v>23</v>
      </c>
      <c r="C918">
        <v>1</v>
      </c>
      <c r="D918" t="s">
        <v>31</v>
      </c>
      <c r="E918">
        <v>1.6286999999999999E-2</v>
      </c>
      <c r="F918" t="s">
        <v>25</v>
      </c>
      <c r="G918">
        <v>16.287199999999999</v>
      </c>
      <c r="H918" t="s">
        <v>26</v>
      </c>
      <c r="I918">
        <v>16287.2</v>
      </c>
      <c r="J918" t="s">
        <v>27</v>
      </c>
    </row>
    <row r="919" spans="1:12" x14ac:dyDescent="0.3">
      <c r="A919" t="s">
        <v>83</v>
      </c>
      <c r="B919" t="s">
        <v>23</v>
      </c>
      <c r="C919">
        <v>1</v>
      </c>
      <c r="D919" t="s">
        <v>32</v>
      </c>
      <c r="E919">
        <v>0.16889499999999999</v>
      </c>
      <c r="F919" t="s">
        <v>25</v>
      </c>
      <c r="G919">
        <v>168.89519999999999</v>
      </c>
      <c r="H919" t="s">
        <v>26</v>
      </c>
      <c r="I919">
        <v>168895.2</v>
      </c>
      <c r="J919" t="s">
        <v>27</v>
      </c>
      <c r="K919" t="s">
        <v>33</v>
      </c>
      <c r="L919">
        <v>5.9208314</v>
      </c>
    </row>
    <row r="920" spans="1:12" x14ac:dyDescent="0.3">
      <c r="A920" t="s">
        <v>83</v>
      </c>
      <c r="B920" t="s">
        <v>34</v>
      </c>
      <c r="C920">
        <v>49</v>
      </c>
      <c r="D920" t="s">
        <v>29</v>
      </c>
      <c r="E920">
        <v>0</v>
      </c>
      <c r="F920" t="s">
        <v>25</v>
      </c>
      <c r="G920">
        <v>2.7E-4</v>
      </c>
      <c r="H920" t="s">
        <v>26</v>
      </c>
      <c r="I920">
        <v>0.27300000000000002</v>
      </c>
      <c r="J920" t="s">
        <v>27</v>
      </c>
    </row>
    <row r="921" spans="1:12" x14ac:dyDescent="0.3">
      <c r="A921" t="s">
        <v>83</v>
      </c>
      <c r="B921" t="s">
        <v>34</v>
      </c>
      <c r="C921">
        <v>49</v>
      </c>
      <c r="D921" t="s">
        <v>30</v>
      </c>
      <c r="E921">
        <v>1.0606000000000001E-2</v>
      </c>
      <c r="F921" t="s">
        <v>25</v>
      </c>
      <c r="G921">
        <v>10.60582</v>
      </c>
      <c r="H921" t="s">
        <v>26</v>
      </c>
      <c r="I921">
        <v>10605.816000000001</v>
      </c>
      <c r="J921" t="s">
        <v>27</v>
      </c>
    </row>
    <row r="922" spans="1:12" x14ac:dyDescent="0.3">
      <c r="A922" t="s">
        <v>83</v>
      </c>
      <c r="B922" t="s">
        <v>34</v>
      </c>
      <c r="C922">
        <v>49</v>
      </c>
      <c r="D922" t="s">
        <v>31</v>
      </c>
      <c r="E922">
        <v>1.0606000000000001E-2</v>
      </c>
      <c r="F922" t="s">
        <v>25</v>
      </c>
      <c r="G922">
        <v>10.606350000000001</v>
      </c>
      <c r="H922" t="s">
        <v>26</v>
      </c>
      <c r="I922">
        <v>10606.352999999999</v>
      </c>
      <c r="J922" t="s">
        <v>27</v>
      </c>
    </row>
    <row r="923" spans="1:12" x14ac:dyDescent="0.3">
      <c r="A923" t="s">
        <v>83</v>
      </c>
      <c r="B923" t="s">
        <v>34</v>
      </c>
      <c r="C923">
        <v>49</v>
      </c>
      <c r="D923" t="s">
        <v>32</v>
      </c>
      <c r="E923">
        <v>1.0607E-2</v>
      </c>
      <c r="F923" t="s">
        <v>25</v>
      </c>
      <c r="G923">
        <v>10.606769999999999</v>
      </c>
      <c r="H923" t="s">
        <v>26</v>
      </c>
      <c r="I923">
        <v>10606.773999999999</v>
      </c>
      <c r="J923" t="s">
        <v>27</v>
      </c>
      <c r="K923" t="s">
        <v>33</v>
      </c>
      <c r="L923">
        <v>94.279370499999999</v>
      </c>
    </row>
    <row r="924" spans="1:12" x14ac:dyDescent="0.3">
      <c r="A924" t="s">
        <v>83</v>
      </c>
      <c r="B924" t="s">
        <v>35</v>
      </c>
      <c r="C924">
        <v>50</v>
      </c>
      <c r="D924" t="s">
        <v>29</v>
      </c>
      <c r="E924">
        <v>3.052E-3</v>
      </c>
      <c r="F924" t="s">
        <v>25</v>
      </c>
      <c r="G924">
        <v>3.0524100000000001</v>
      </c>
      <c r="H924" t="s">
        <v>26</v>
      </c>
      <c r="I924">
        <v>3052.4119999999998</v>
      </c>
      <c r="J924" t="s">
        <v>27</v>
      </c>
    </row>
    <row r="925" spans="1:12" x14ac:dyDescent="0.3">
      <c r="A925" t="s">
        <v>83</v>
      </c>
      <c r="B925" t="s">
        <v>35</v>
      </c>
      <c r="C925">
        <v>50</v>
      </c>
      <c r="D925" t="s">
        <v>30</v>
      </c>
      <c r="E925">
        <v>1.0718999999999999E-2</v>
      </c>
      <c r="F925" t="s">
        <v>25</v>
      </c>
      <c r="G925">
        <v>10.719390000000001</v>
      </c>
      <c r="H925" t="s">
        <v>26</v>
      </c>
      <c r="I925">
        <v>10719.391</v>
      </c>
      <c r="J925" t="s">
        <v>27</v>
      </c>
    </row>
    <row r="926" spans="1:12" x14ac:dyDescent="0.3">
      <c r="A926" t="s">
        <v>83</v>
      </c>
      <c r="B926" t="s">
        <v>35</v>
      </c>
      <c r="C926">
        <v>50</v>
      </c>
      <c r="D926" t="s">
        <v>31</v>
      </c>
      <c r="E926">
        <v>1.072E-2</v>
      </c>
      <c r="F926" t="s">
        <v>25</v>
      </c>
      <c r="G926">
        <v>10.71997</v>
      </c>
      <c r="H926" t="s">
        <v>26</v>
      </c>
      <c r="I926">
        <v>10719.972</v>
      </c>
      <c r="J926" t="s">
        <v>27</v>
      </c>
    </row>
    <row r="927" spans="1:12" x14ac:dyDescent="0.3">
      <c r="A927" t="s">
        <v>83</v>
      </c>
      <c r="B927" t="s">
        <v>35</v>
      </c>
      <c r="C927">
        <v>50</v>
      </c>
      <c r="D927" t="s">
        <v>32</v>
      </c>
      <c r="E927">
        <v>1.3773000000000001E-2</v>
      </c>
      <c r="F927" t="s">
        <v>25</v>
      </c>
      <c r="G927">
        <v>13.772539999999999</v>
      </c>
      <c r="H927" t="s">
        <v>26</v>
      </c>
      <c r="I927">
        <v>13772.541999999999</v>
      </c>
      <c r="J927" t="s">
        <v>27</v>
      </c>
      <c r="K927" t="s">
        <v>33</v>
      </c>
      <c r="L927">
        <v>72.608234899999999</v>
      </c>
    </row>
    <row r="928" spans="1:12" x14ac:dyDescent="0.3">
      <c r="A928" t="s">
        <v>84</v>
      </c>
      <c r="B928" t="s">
        <v>23</v>
      </c>
      <c r="C928">
        <v>1</v>
      </c>
      <c r="D928" t="s">
        <v>24</v>
      </c>
      <c r="E928">
        <v>5.7000000000000003E-5</v>
      </c>
      <c r="F928" t="s">
        <v>25</v>
      </c>
      <c r="G928">
        <v>5.74E-2</v>
      </c>
      <c r="H928" t="s">
        <v>26</v>
      </c>
      <c r="I928">
        <v>57.4</v>
      </c>
      <c r="J928" t="s">
        <v>27</v>
      </c>
    </row>
    <row r="929" spans="1:12" x14ac:dyDescent="0.3">
      <c r="A929" t="s">
        <v>84</v>
      </c>
      <c r="B929" t="s">
        <v>23</v>
      </c>
      <c r="C929">
        <v>1</v>
      </c>
      <c r="D929" t="s">
        <v>28</v>
      </c>
      <c r="E929">
        <v>0.17194799999999999</v>
      </c>
      <c r="F929" t="s">
        <v>25</v>
      </c>
      <c r="G929">
        <v>171.9477</v>
      </c>
      <c r="H929" t="s">
        <v>26</v>
      </c>
      <c r="I929">
        <v>171947.70300000001</v>
      </c>
      <c r="J929" t="s">
        <v>27</v>
      </c>
    </row>
    <row r="930" spans="1:12" x14ac:dyDescent="0.3">
      <c r="A930" t="s">
        <v>84</v>
      </c>
      <c r="B930" t="s">
        <v>23</v>
      </c>
      <c r="C930">
        <v>2</v>
      </c>
      <c r="D930" t="s">
        <v>37</v>
      </c>
      <c r="E930">
        <v>0.165913</v>
      </c>
      <c r="F930" t="s">
        <v>25</v>
      </c>
      <c r="G930">
        <v>165.9127</v>
      </c>
      <c r="H930" t="s">
        <v>26</v>
      </c>
      <c r="I930">
        <v>165912.70300000001</v>
      </c>
      <c r="J930" t="s">
        <v>27</v>
      </c>
      <c r="K930" t="s">
        <v>33</v>
      </c>
      <c r="L930">
        <v>6.027266</v>
      </c>
    </row>
    <row r="931" spans="1:12" x14ac:dyDescent="0.3">
      <c r="A931" t="s">
        <v>84</v>
      </c>
      <c r="B931" t="s">
        <v>34</v>
      </c>
      <c r="C931">
        <v>999</v>
      </c>
      <c r="D931" t="s">
        <v>37</v>
      </c>
      <c r="E931">
        <v>5.0699999999999996E-4</v>
      </c>
      <c r="F931" t="s">
        <v>25</v>
      </c>
      <c r="G931">
        <v>0.50743000000000005</v>
      </c>
      <c r="H931" t="s">
        <v>26</v>
      </c>
      <c r="I931">
        <v>507.43400000000003</v>
      </c>
      <c r="J931" t="s">
        <v>27</v>
      </c>
      <c r="K931" t="s">
        <v>33</v>
      </c>
      <c r="L931">
        <v>1970.7006790999999</v>
      </c>
    </row>
    <row r="932" spans="1:12" x14ac:dyDescent="0.3">
      <c r="A932" t="s">
        <v>84</v>
      </c>
      <c r="B932" t="s">
        <v>36</v>
      </c>
      <c r="C932">
        <v>1001</v>
      </c>
      <c r="D932" t="s">
        <v>37</v>
      </c>
      <c r="E932">
        <v>6.8900000000000005E-4</v>
      </c>
      <c r="F932" t="s">
        <v>25</v>
      </c>
      <c r="G932">
        <v>0.68867</v>
      </c>
      <c r="H932" t="s">
        <v>26</v>
      </c>
      <c r="I932">
        <v>688.67</v>
      </c>
      <c r="J932" t="s">
        <v>27</v>
      </c>
      <c r="K932" t="s">
        <v>33</v>
      </c>
      <c r="L932">
        <v>1452.0748289999999</v>
      </c>
    </row>
    <row r="933" spans="1:12" x14ac:dyDescent="0.3">
      <c r="A933" t="s">
        <v>38</v>
      </c>
    </row>
    <row r="934" spans="1:12" x14ac:dyDescent="0.3">
      <c r="A934" t="s">
        <v>38</v>
      </c>
    </row>
    <row r="935" spans="1:12" x14ac:dyDescent="0.3">
      <c r="A935" t="s">
        <v>98</v>
      </c>
    </row>
    <row r="936" spans="1:12" x14ac:dyDescent="0.3">
      <c r="A936" t="s">
        <v>82</v>
      </c>
      <c r="B936" t="s">
        <v>23</v>
      </c>
      <c r="C936">
        <v>1</v>
      </c>
      <c r="D936" t="s">
        <v>29</v>
      </c>
      <c r="E936">
        <v>3.5729999999999998E-3</v>
      </c>
      <c r="F936" t="s">
        <v>25</v>
      </c>
      <c r="G936">
        <v>3.5731000000000002</v>
      </c>
      <c r="H936" t="s">
        <v>26</v>
      </c>
      <c r="I936">
        <v>3573.1</v>
      </c>
      <c r="J936" t="s">
        <v>27</v>
      </c>
    </row>
    <row r="937" spans="1:12" x14ac:dyDescent="0.3">
      <c r="A937" t="s">
        <v>82</v>
      </c>
      <c r="B937" t="s">
        <v>23</v>
      </c>
      <c r="C937">
        <v>1</v>
      </c>
      <c r="D937" t="s">
        <v>30</v>
      </c>
      <c r="E937">
        <v>4.4400000000000004E-3</v>
      </c>
      <c r="F937" t="s">
        <v>25</v>
      </c>
      <c r="G937">
        <v>4.4398</v>
      </c>
      <c r="H937" t="s">
        <v>26</v>
      </c>
      <c r="I937">
        <v>4439.8</v>
      </c>
      <c r="J937" t="s">
        <v>27</v>
      </c>
    </row>
    <row r="938" spans="1:12" x14ac:dyDescent="0.3">
      <c r="A938" t="s">
        <v>82</v>
      </c>
      <c r="B938" t="s">
        <v>23</v>
      </c>
      <c r="C938">
        <v>1</v>
      </c>
      <c r="D938" t="s">
        <v>31</v>
      </c>
      <c r="E938">
        <v>4.444E-3</v>
      </c>
      <c r="F938" t="s">
        <v>25</v>
      </c>
      <c r="G938">
        <v>4.4436999999999998</v>
      </c>
      <c r="H938" t="s">
        <v>26</v>
      </c>
      <c r="I938">
        <v>4443.7</v>
      </c>
      <c r="J938" t="s">
        <v>27</v>
      </c>
    </row>
    <row r="939" spans="1:12" x14ac:dyDescent="0.3">
      <c r="A939" t="s">
        <v>82</v>
      </c>
      <c r="B939" t="s">
        <v>23</v>
      </c>
      <c r="C939">
        <v>1</v>
      </c>
      <c r="D939" t="s">
        <v>32</v>
      </c>
      <c r="E939">
        <v>8.0169999999999998E-3</v>
      </c>
      <c r="F939" t="s">
        <v>25</v>
      </c>
      <c r="G939">
        <v>8.0170999999999992</v>
      </c>
      <c r="H939" t="s">
        <v>26</v>
      </c>
      <c r="I939">
        <v>8017.1</v>
      </c>
      <c r="J939" t="s">
        <v>27</v>
      </c>
      <c r="K939" t="s">
        <v>33</v>
      </c>
      <c r="L939">
        <v>124.7333763</v>
      </c>
    </row>
    <row r="940" spans="1:12" x14ac:dyDescent="0.3">
      <c r="A940" t="s">
        <v>82</v>
      </c>
      <c r="B940" t="s">
        <v>34</v>
      </c>
      <c r="C940">
        <v>892</v>
      </c>
      <c r="D940" t="s">
        <v>29</v>
      </c>
      <c r="E940">
        <v>9.9999999999999995E-7</v>
      </c>
      <c r="F940" t="s">
        <v>25</v>
      </c>
      <c r="G940">
        <v>5.4000000000000001E-4</v>
      </c>
      <c r="H940" t="s">
        <v>26</v>
      </c>
      <c r="I940">
        <v>0.54200000000000004</v>
      </c>
      <c r="J940" t="s">
        <v>27</v>
      </c>
    </row>
    <row r="941" spans="1:12" x14ac:dyDescent="0.3">
      <c r="A941" t="s">
        <v>82</v>
      </c>
      <c r="B941" t="s">
        <v>34</v>
      </c>
      <c r="C941">
        <v>892</v>
      </c>
      <c r="D941" t="s">
        <v>30</v>
      </c>
      <c r="E941">
        <v>1.2800000000000001E-3</v>
      </c>
      <c r="F941" t="s">
        <v>25</v>
      </c>
      <c r="G941">
        <v>1.2797400000000001</v>
      </c>
      <c r="H941" t="s">
        <v>26</v>
      </c>
      <c r="I941">
        <v>1279.7439999999999</v>
      </c>
      <c r="J941" t="s">
        <v>27</v>
      </c>
    </row>
    <row r="942" spans="1:12" x14ac:dyDescent="0.3">
      <c r="A942" t="s">
        <v>82</v>
      </c>
      <c r="B942" t="s">
        <v>34</v>
      </c>
      <c r="C942">
        <v>892</v>
      </c>
      <c r="D942" t="s">
        <v>31</v>
      </c>
      <c r="E942">
        <v>1.5169999999999999E-3</v>
      </c>
      <c r="F942" t="s">
        <v>25</v>
      </c>
      <c r="G942">
        <v>1.5170999999999999</v>
      </c>
      <c r="H942" t="s">
        <v>26</v>
      </c>
      <c r="I942">
        <v>1517.1</v>
      </c>
      <c r="J942" t="s">
        <v>27</v>
      </c>
    </row>
    <row r="943" spans="1:12" x14ac:dyDescent="0.3">
      <c r="A943" t="s">
        <v>82</v>
      </c>
      <c r="B943" t="s">
        <v>34</v>
      </c>
      <c r="C943">
        <v>892</v>
      </c>
      <c r="D943" t="s">
        <v>32</v>
      </c>
      <c r="E943">
        <v>1.518E-3</v>
      </c>
      <c r="F943" t="s">
        <v>25</v>
      </c>
      <c r="G943">
        <v>1.5178700000000001</v>
      </c>
      <c r="H943" t="s">
        <v>26</v>
      </c>
      <c r="I943">
        <v>1517.8720000000001</v>
      </c>
      <c r="J943" t="s">
        <v>27</v>
      </c>
      <c r="K943" t="s">
        <v>33</v>
      </c>
      <c r="L943">
        <v>658.81703530000004</v>
      </c>
    </row>
    <row r="944" spans="1:12" x14ac:dyDescent="0.3">
      <c r="A944" t="s">
        <v>82</v>
      </c>
      <c r="B944" t="s">
        <v>35</v>
      </c>
      <c r="C944">
        <v>893</v>
      </c>
      <c r="D944" t="s">
        <v>29</v>
      </c>
      <c r="E944">
        <v>5.0000000000000004E-6</v>
      </c>
      <c r="F944" t="s">
        <v>25</v>
      </c>
      <c r="G944">
        <v>4.5399999999999998E-3</v>
      </c>
      <c r="H944" t="s">
        <v>26</v>
      </c>
      <c r="I944">
        <v>4.5430000000000001</v>
      </c>
      <c r="J944" t="s">
        <v>27</v>
      </c>
    </row>
    <row r="945" spans="1:12" x14ac:dyDescent="0.3">
      <c r="A945" t="s">
        <v>82</v>
      </c>
      <c r="B945" t="s">
        <v>35</v>
      </c>
      <c r="C945">
        <v>893</v>
      </c>
      <c r="D945" t="s">
        <v>30</v>
      </c>
      <c r="E945">
        <v>1.2830000000000001E-3</v>
      </c>
      <c r="F945" t="s">
        <v>25</v>
      </c>
      <c r="G945">
        <v>1.28328</v>
      </c>
      <c r="H945" t="s">
        <v>26</v>
      </c>
      <c r="I945">
        <v>1283.2819999999999</v>
      </c>
      <c r="J945" t="s">
        <v>27</v>
      </c>
    </row>
    <row r="946" spans="1:12" x14ac:dyDescent="0.3">
      <c r="A946" t="s">
        <v>82</v>
      </c>
      <c r="B946" t="s">
        <v>35</v>
      </c>
      <c r="C946">
        <v>893</v>
      </c>
      <c r="D946" t="s">
        <v>31</v>
      </c>
      <c r="E946">
        <v>1.5200000000000001E-3</v>
      </c>
      <c r="F946" t="s">
        <v>25</v>
      </c>
      <c r="G946">
        <v>1.5203800000000001</v>
      </c>
      <c r="H946" t="s">
        <v>26</v>
      </c>
      <c r="I946">
        <v>1520.3779999999999</v>
      </c>
      <c r="J946" t="s">
        <v>27</v>
      </c>
    </row>
    <row r="947" spans="1:12" x14ac:dyDescent="0.3">
      <c r="A947" t="s">
        <v>82</v>
      </c>
      <c r="B947" t="s">
        <v>35</v>
      </c>
      <c r="C947">
        <v>893</v>
      </c>
      <c r="D947" t="s">
        <v>32</v>
      </c>
      <c r="E947">
        <v>1.5250000000000001E-3</v>
      </c>
      <c r="F947" t="s">
        <v>25</v>
      </c>
      <c r="G947">
        <v>1.52515</v>
      </c>
      <c r="H947" t="s">
        <v>26</v>
      </c>
      <c r="I947">
        <v>1525.15</v>
      </c>
      <c r="J947" t="s">
        <v>27</v>
      </c>
      <c r="K947" t="s">
        <v>33</v>
      </c>
      <c r="L947">
        <v>655.67319780000003</v>
      </c>
    </row>
    <row r="948" spans="1:12" x14ac:dyDescent="0.3">
      <c r="A948" t="s">
        <v>83</v>
      </c>
      <c r="B948" t="s">
        <v>23</v>
      </c>
      <c r="C948">
        <v>1</v>
      </c>
      <c r="D948" t="s">
        <v>29</v>
      </c>
      <c r="E948">
        <v>6.1300000000000005E-4</v>
      </c>
      <c r="F948" t="s">
        <v>25</v>
      </c>
      <c r="G948">
        <v>0.61280000000000001</v>
      </c>
      <c r="H948" t="s">
        <v>26</v>
      </c>
      <c r="I948">
        <v>612.79999999999995</v>
      </c>
      <c r="J948" t="s">
        <v>27</v>
      </c>
    </row>
    <row r="949" spans="1:12" x14ac:dyDescent="0.3">
      <c r="A949" t="s">
        <v>83</v>
      </c>
      <c r="B949" t="s">
        <v>23</v>
      </c>
      <c r="C949">
        <v>1</v>
      </c>
      <c r="D949" t="s">
        <v>30</v>
      </c>
      <c r="E949">
        <v>1.9966000000000001E-2</v>
      </c>
      <c r="F949" t="s">
        <v>25</v>
      </c>
      <c r="G949">
        <v>19.965699999999998</v>
      </c>
      <c r="H949" t="s">
        <v>26</v>
      </c>
      <c r="I949">
        <v>19965.701000000001</v>
      </c>
      <c r="J949" t="s">
        <v>27</v>
      </c>
    </row>
    <row r="950" spans="1:12" x14ac:dyDescent="0.3">
      <c r="A950" t="s">
        <v>83</v>
      </c>
      <c r="B950" t="s">
        <v>23</v>
      </c>
      <c r="C950">
        <v>1</v>
      </c>
      <c r="D950" t="s">
        <v>31</v>
      </c>
      <c r="E950">
        <v>1.9966999999999999E-2</v>
      </c>
      <c r="F950" t="s">
        <v>25</v>
      </c>
      <c r="G950">
        <v>19.966799999999999</v>
      </c>
      <c r="H950" t="s">
        <v>26</v>
      </c>
      <c r="I950">
        <v>19966.8</v>
      </c>
      <c r="J950" t="s">
        <v>27</v>
      </c>
    </row>
    <row r="951" spans="1:12" x14ac:dyDescent="0.3">
      <c r="A951" t="s">
        <v>83</v>
      </c>
      <c r="B951" t="s">
        <v>23</v>
      </c>
      <c r="C951">
        <v>1</v>
      </c>
      <c r="D951" t="s">
        <v>32</v>
      </c>
      <c r="E951">
        <v>2.0580000000000001E-2</v>
      </c>
      <c r="F951" t="s">
        <v>25</v>
      </c>
      <c r="G951">
        <v>20.579899999999999</v>
      </c>
      <c r="H951" t="s">
        <v>26</v>
      </c>
      <c r="I951">
        <v>20579.901000000002</v>
      </c>
      <c r="J951" t="s">
        <v>27</v>
      </c>
      <c r="K951" t="s">
        <v>33</v>
      </c>
      <c r="L951">
        <v>48.5910996</v>
      </c>
    </row>
    <row r="952" spans="1:12" x14ac:dyDescent="0.3">
      <c r="A952" t="s">
        <v>83</v>
      </c>
      <c r="B952" t="s">
        <v>34</v>
      </c>
      <c r="C952">
        <v>107</v>
      </c>
      <c r="D952" t="s">
        <v>29</v>
      </c>
      <c r="E952">
        <v>0</v>
      </c>
      <c r="F952" t="s">
        <v>25</v>
      </c>
      <c r="G952">
        <v>2.3000000000000001E-4</v>
      </c>
      <c r="H952" t="s">
        <v>26</v>
      </c>
      <c r="I952">
        <v>0.23300000000000001</v>
      </c>
      <c r="J952" t="s">
        <v>27</v>
      </c>
    </row>
    <row r="953" spans="1:12" x14ac:dyDescent="0.3">
      <c r="A953" t="s">
        <v>83</v>
      </c>
      <c r="B953" t="s">
        <v>34</v>
      </c>
      <c r="C953">
        <v>107</v>
      </c>
      <c r="D953" t="s">
        <v>30</v>
      </c>
      <c r="E953">
        <v>1.2602E-2</v>
      </c>
      <c r="F953" t="s">
        <v>25</v>
      </c>
      <c r="G953">
        <v>12.60183</v>
      </c>
      <c r="H953" t="s">
        <v>26</v>
      </c>
      <c r="I953">
        <v>12601.83</v>
      </c>
      <c r="J953" t="s">
        <v>27</v>
      </c>
    </row>
    <row r="954" spans="1:12" x14ac:dyDescent="0.3">
      <c r="A954" t="s">
        <v>83</v>
      </c>
      <c r="B954" t="s">
        <v>34</v>
      </c>
      <c r="C954">
        <v>107</v>
      </c>
      <c r="D954" t="s">
        <v>31</v>
      </c>
      <c r="E954">
        <v>1.2800000000000001E-2</v>
      </c>
      <c r="F954" t="s">
        <v>25</v>
      </c>
      <c r="G954">
        <v>12.80002</v>
      </c>
      <c r="H954" t="s">
        <v>26</v>
      </c>
      <c r="I954">
        <v>12800.016</v>
      </c>
      <c r="J954" t="s">
        <v>27</v>
      </c>
    </row>
    <row r="955" spans="1:12" x14ac:dyDescent="0.3">
      <c r="A955" t="s">
        <v>83</v>
      </c>
      <c r="B955" t="s">
        <v>34</v>
      </c>
      <c r="C955">
        <v>107</v>
      </c>
      <c r="D955" t="s">
        <v>32</v>
      </c>
      <c r="E955">
        <v>1.2800000000000001E-2</v>
      </c>
      <c r="F955" t="s">
        <v>25</v>
      </c>
      <c r="G955">
        <v>12.800420000000001</v>
      </c>
      <c r="H955" t="s">
        <v>26</v>
      </c>
      <c r="I955">
        <v>12800.418</v>
      </c>
      <c r="J955" t="s">
        <v>27</v>
      </c>
      <c r="K955" t="s">
        <v>33</v>
      </c>
      <c r="L955">
        <v>78.122446800000006</v>
      </c>
    </row>
    <row r="956" spans="1:12" x14ac:dyDescent="0.3">
      <c r="A956" t="s">
        <v>83</v>
      </c>
      <c r="B956" t="s">
        <v>35</v>
      </c>
      <c r="C956">
        <v>108</v>
      </c>
      <c r="D956" t="s">
        <v>29</v>
      </c>
      <c r="E956">
        <v>6.0000000000000002E-6</v>
      </c>
      <c r="F956" t="s">
        <v>25</v>
      </c>
      <c r="G956">
        <v>5.8999999999999999E-3</v>
      </c>
      <c r="H956" t="s">
        <v>26</v>
      </c>
      <c r="I956">
        <v>5.9050000000000002</v>
      </c>
      <c r="J956" t="s">
        <v>27</v>
      </c>
    </row>
    <row r="957" spans="1:12" x14ac:dyDescent="0.3">
      <c r="A957" t="s">
        <v>83</v>
      </c>
      <c r="B957" t="s">
        <v>35</v>
      </c>
      <c r="C957">
        <v>108</v>
      </c>
      <c r="D957" t="s">
        <v>30</v>
      </c>
      <c r="E957">
        <v>1.2670000000000001E-2</v>
      </c>
      <c r="F957" t="s">
        <v>25</v>
      </c>
      <c r="G957">
        <v>12.67001</v>
      </c>
      <c r="H957" t="s">
        <v>26</v>
      </c>
      <c r="I957">
        <v>12670.013999999999</v>
      </c>
      <c r="J957" t="s">
        <v>27</v>
      </c>
    </row>
    <row r="958" spans="1:12" x14ac:dyDescent="0.3">
      <c r="A958" t="s">
        <v>83</v>
      </c>
      <c r="B958" t="s">
        <v>35</v>
      </c>
      <c r="C958">
        <v>108</v>
      </c>
      <c r="D958" t="s">
        <v>31</v>
      </c>
      <c r="E958">
        <v>1.2866000000000001E-2</v>
      </c>
      <c r="F958" t="s">
        <v>25</v>
      </c>
      <c r="G958">
        <v>12.866379999999999</v>
      </c>
      <c r="H958" t="s">
        <v>26</v>
      </c>
      <c r="I958">
        <v>12866.376</v>
      </c>
      <c r="J958" t="s">
        <v>27</v>
      </c>
    </row>
    <row r="959" spans="1:12" x14ac:dyDescent="0.3">
      <c r="A959" t="s">
        <v>83</v>
      </c>
      <c r="B959" t="s">
        <v>35</v>
      </c>
      <c r="C959">
        <v>108</v>
      </c>
      <c r="D959" t="s">
        <v>32</v>
      </c>
      <c r="E959">
        <v>1.2872E-2</v>
      </c>
      <c r="F959" t="s">
        <v>25</v>
      </c>
      <c r="G959">
        <v>12.872450000000001</v>
      </c>
      <c r="H959" t="s">
        <v>26</v>
      </c>
      <c r="I959">
        <v>12872.450999999999</v>
      </c>
      <c r="J959" t="s">
        <v>27</v>
      </c>
      <c r="K959" t="s">
        <v>33</v>
      </c>
      <c r="L959">
        <v>77.685283799999993</v>
      </c>
    </row>
    <row r="960" spans="1:12" x14ac:dyDescent="0.3">
      <c r="A960" t="s">
        <v>84</v>
      </c>
      <c r="B960" t="s">
        <v>23</v>
      </c>
      <c r="C960">
        <v>1</v>
      </c>
      <c r="D960" t="s">
        <v>24</v>
      </c>
      <c r="E960">
        <v>5.7000000000000003E-5</v>
      </c>
      <c r="F960" t="s">
        <v>25</v>
      </c>
      <c r="G960">
        <v>5.74E-2</v>
      </c>
      <c r="H960" t="s">
        <v>26</v>
      </c>
      <c r="I960">
        <v>57.4</v>
      </c>
      <c r="J960" t="s">
        <v>27</v>
      </c>
    </row>
    <row r="961" spans="1:12" x14ac:dyDescent="0.3">
      <c r="A961" t="s">
        <v>84</v>
      </c>
      <c r="B961" t="s">
        <v>23</v>
      </c>
      <c r="C961">
        <v>1</v>
      </c>
      <c r="D961" t="s">
        <v>28</v>
      </c>
      <c r="E961">
        <v>8.9639999999999997E-3</v>
      </c>
      <c r="F961" t="s">
        <v>25</v>
      </c>
      <c r="G961">
        <v>8.9640000000000004</v>
      </c>
      <c r="H961" t="s">
        <v>26</v>
      </c>
      <c r="I961">
        <v>8964</v>
      </c>
      <c r="J961" t="s">
        <v>27</v>
      </c>
    </row>
    <row r="962" spans="1:12" x14ac:dyDescent="0.3">
      <c r="A962" t="s">
        <v>84</v>
      </c>
      <c r="B962" t="s">
        <v>23</v>
      </c>
      <c r="C962">
        <v>2</v>
      </c>
      <c r="D962" t="s">
        <v>37</v>
      </c>
      <c r="E962">
        <v>1.0296E-2</v>
      </c>
      <c r="F962" t="s">
        <v>25</v>
      </c>
      <c r="G962">
        <v>10.295500000000001</v>
      </c>
      <c r="H962" t="s">
        <v>26</v>
      </c>
      <c r="I962">
        <v>10295.5</v>
      </c>
      <c r="J962" t="s">
        <v>27</v>
      </c>
      <c r="K962" t="s">
        <v>33</v>
      </c>
      <c r="L962">
        <v>97.129813499999997</v>
      </c>
    </row>
    <row r="963" spans="1:12" x14ac:dyDescent="0.3">
      <c r="A963" t="s">
        <v>84</v>
      </c>
      <c r="B963" t="s">
        <v>34</v>
      </c>
      <c r="C963">
        <v>999</v>
      </c>
      <c r="D963" t="s">
        <v>37</v>
      </c>
      <c r="E963">
        <v>1.387E-3</v>
      </c>
      <c r="F963" t="s">
        <v>25</v>
      </c>
      <c r="G963">
        <v>1.38714</v>
      </c>
      <c r="H963" t="s">
        <v>26</v>
      </c>
      <c r="I963">
        <v>1387.1389999999999</v>
      </c>
      <c r="J963" t="s">
        <v>27</v>
      </c>
      <c r="K963" t="s">
        <v>33</v>
      </c>
      <c r="L963">
        <v>720.90823390000003</v>
      </c>
    </row>
    <row r="964" spans="1:12" x14ac:dyDescent="0.3">
      <c r="A964" t="s">
        <v>84</v>
      </c>
      <c r="B964" t="s">
        <v>36</v>
      </c>
      <c r="C964">
        <v>1001</v>
      </c>
      <c r="D964" t="s">
        <v>37</v>
      </c>
      <c r="E964">
        <v>1.3960000000000001E-3</v>
      </c>
      <c r="F964" t="s">
        <v>25</v>
      </c>
      <c r="G964">
        <v>1.3957299999999999</v>
      </c>
      <c r="H964" t="s">
        <v>26</v>
      </c>
      <c r="I964">
        <v>1395.7260000000001</v>
      </c>
      <c r="J964" t="s">
        <v>27</v>
      </c>
      <c r="K964" t="s">
        <v>33</v>
      </c>
      <c r="L964">
        <v>716.47278930000004</v>
      </c>
    </row>
    <row r="965" spans="1:12" x14ac:dyDescent="0.3">
      <c r="A965" t="s">
        <v>8</v>
      </c>
    </row>
    <row r="966" spans="1:12" x14ac:dyDescent="0.3">
      <c r="A966" t="s">
        <v>20</v>
      </c>
    </row>
    <row r="967" spans="1:12" x14ac:dyDescent="0.3">
      <c r="A967" t="s">
        <v>40</v>
      </c>
    </row>
    <row r="968" spans="1:12" x14ac:dyDescent="0.3">
      <c r="A968" t="s">
        <v>99</v>
      </c>
    </row>
    <row r="969" spans="1:12" x14ac:dyDescent="0.3">
      <c r="A969" t="s">
        <v>82</v>
      </c>
      <c r="B969" t="s">
        <v>23</v>
      </c>
      <c r="C969">
        <v>1</v>
      </c>
      <c r="D969" t="s">
        <v>32</v>
      </c>
      <c r="E969">
        <v>0.33181300000000002</v>
      </c>
      <c r="F969" t="s">
        <v>25</v>
      </c>
      <c r="G969">
        <v>331.81331</v>
      </c>
      <c r="H969" t="s">
        <v>26</v>
      </c>
      <c r="I969">
        <v>331813.30599999998</v>
      </c>
      <c r="J969" t="s">
        <v>27</v>
      </c>
      <c r="K969" t="s">
        <v>33</v>
      </c>
      <c r="L969">
        <v>3.0137429</v>
      </c>
    </row>
    <row r="970" spans="1:12" x14ac:dyDescent="0.3">
      <c r="A970" t="s">
        <v>82</v>
      </c>
      <c r="B970" t="s">
        <v>34</v>
      </c>
      <c r="C970">
        <v>950</v>
      </c>
      <c r="D970" t="s">
        <v>32</v>
      </c>
      <c r="E970">
        <v>3.6900000000000002E-4</v>
      </c>
      <c r="F970" t="s">
        <v>25</v>
      </c>
      <c r="G970">
        <v>0.36854999999999999</v>
      </c>
      <c r="H970" t="s">
        <v>26</v>
      </c>
      <c r="I970">
        <v>368.54599999999999</v>
      </c>
      <c r="J970" t="s">
        <v>27</v>
      </c>
      <c r="K970" t="s">
        <v>33</v>
      </c>
      <c r="L970">
        <v>2713.3627498999999</v>
      </c>
    </row>
    <row r="971" spans="1:12" x14ac:dyDescent="0.3">
      <c r="A971" t="s">
        <v>82</v>
      </c>
      <c r="B971" t="s">
        <v>35</v>
      </c>
      <c r="C971">
        <v>951</v>
      </c>
      <c r="D971" t="s">
        <v>32</v>
      </c>
      <c r="E971">
        <v>7.1699999999999997E-4</v>
      </c>
      <c r="F971" t="s">
        <v>25</v>
      </c>
      <c r="G971">
        <v>0.71706999999999999</v>
      </c>
      <c r="H971" t="s">
        <v>26</v>
      </c>
      <c r="I971">
        <v>717.06899999999996</v>
      </c>
      <c r="J971" t="s">
        <v>27</v>
      </c>
      <c r="K971" t="s">
        <v>33</v>
      </c>
      <c r="L971">
        <v>1394.5662812999999</v>
      </c>
    </row>
    <row r="972" spans="1:12" x14ac:dyDescent="0.3">
      <c r="A972" t="s">
        <v>83</v>
      </c>
      <c r="B972" t="s">
        <v>23</v>
      </c>
      <c r="C972">
        <v>1</v>
      </c>
      <c r="D972" t="s">
        <v>32</v>
      </c>
      <c r="E972">
        <v>0.16889499999999999</v>
      </c>
      <c r="F972" t="s">
        <v>25</v>
      </c>
      <c r="G972">
        <v>168.89519999999999</v>
      </c>
      <c r="H972" t="s">
        <v>26</v>
      </c>
      <c r="I972">
        <v>168895.2</v>
      </c>
      <c r="J972" t="s">
        <v>27</v>
      </c>
      <c r="K972" t="s">
        <v>33</v>
      </c>
      <c r="L972">
        <v>5.9208314</v>
      </c>
    </row>
    <row r="973" spans="1:12" x14ac:dyDescent="0.3">
      <c r="A973" t="s">
        <v>83</v>
      </c>
      <c r="B973" t="s">
        <v>34</v>
      </c>
      <c r="C973">
        <v>49</v>
      </c>
      <c r="D973" t="s">
        <v>32</v>
      </c>
      <c r="E973">
        <v>1.0607E-2</v>
      </c>
      <c r="F973" t="s">
        <v>25</v>
      </c>
      <c r="G973">
        <v>10.606769999999999</v>
      </c>
      <c r="H973" t="s">
        <v>26</v>
      </c>
      <c r="I973">
        <v>10606.773999999999</v>
      </c>
      <c r="J973" t="s">
        <v>27</v>
      </c>
      <c r="K973" t="s">
        <v>33</v>
      </c>
      <c r="L973">
        <v>94.279370499999999</v>
      </c>
    </row>
    <row r="974" spans="1:12" x14ac:dyDescent="0.3">
      <c r="A974" t="s">
        <v>83</v>
      </c>
      <c r="B974" t="s">
        <v>35</v>
      </c>
      <c r="C974">
        <v>50</v>
      </c>
      <c r="D974" t="s">
        <v>32</v>
      </c>
      <c r="E974">
        <v>1.3773000000000001E-2</v>
      </c>
      <c r="F974" t="s">
        <v>25</v>
      </c>
      <c r="G974">
        <v>13.772539999999999</v>
      </c>
      <c r="H974" t="s">
        <v>26</v>
      </c>
      <c r="I974">
        <v>13772.541999999999</v>
      </c>
      <c r="J974" t="s">
        <v>27</v>
      </c>
      <c r="K974" t="s">
        <v>33</v>
      </c>
      <c r="L974">
        <v>72.608234899999999</v>
      </c>
    </row>
    <row r="975" spans="1:12" x14ac:dyDescent="0.3">
      <c r="A975" t="s">
        <v>84</v>
      </c>
      <c r="B975" t="s">
        <v>23</v>
      </c>
      <c r="C975">
        <v>2</v>
      </c>
      <c r="D975" t="s">
        <v>37</v>
      </c>
      <c r="E975">
        <v>0.165913</v>
      </c>
      <c r="F975" t="s">
        <v>25</v>
      </c>
      <c r="G975">
        <v>165.9127</v>
      </c>
      <c r="H975" t="s">
        <v>26</v>
      </c>
      <c r="I975">
        <v>165912.70300000001</v>
      </c>
      <c r="J975" t="s">
        <v>27</v>
      </c>
      <c r="K975" t="s">
        <v>33</v>
      </c>
      <c r="L975">
        <v>6.027266</v>
      </c>
    </row>
    <row r="976" spans="1:12" x14ac:dyDescent="0.3">
      <c r="A976" t="s">
        <v>84</v>
      </c>
      <c r="B976" t="s">
        <v>34</v>
      </c>
      <c r="C976">
        <v>999</v>
      </c>
      <c r="D976" t="s">
        <v>37</v>
      </c>
      <c r="E976">
        <v>5.0699999999999996E-4</v>
      </c>
      <c r="F976" t="s">
        <v>25</v>
      </c>
      <c r="G976">
        <v>0.50743000000000005</v>
      </c>
      <c r="H976" t="s">
        <v>26</v>
      </c>
      <c r="I976">
        <v>507.43400000000003</v>
      </c>
      <c r="J976" t="s">
        <v>27</v>
      </c>
      <c r="K976" t="s">
        <v>33</v>
      </c>
      <c r="L976">
        <v>1970.7006790999999</v>
      </c>
    </row>
    <row r="977" spans="1:12" x14ac:dyDescent="0.3">
      <c r="A977" t="s">
        <v>84</v>
      </c>
      <c r="B977" t="s">
        <v>36</v>
      </c>
      <c r="C977">
        <v>1001</v>
      </c>
      <c r="D977" t="s">
        <v>37</v>
      </c>
      <c r="E977">
        <v>6.8900000000000005E-4</v>
      </c>
      <c r="F977" t="s">
        <v>25</v>
      </c>
      <c r="G977">
        <v>0.68867</v>
      </c>
      <c r="H977" t="s">
        <v>26</v>
      </c>
      <c r="I977">
        <v>688.67</v>
      </c>
      <c r="J977" t="s">
        <v>27</v>
      </c>
      <c r="K977" t="s">
        <v>33</v>
      </c>
      <c r="L977">
        <v>1452.0748289999999</v>
      </c>
    </row>
    <row r="979" spans="1:12" x14ac:dyDescent="0.3">
      <c r="A979" t="s">
        <v>100</v>
      </c>
    </row>
    <row r="980" spans="1:12" x14ac:dyDescent="0.3">
      <c r="A980" t="s">
        <v>82</v>
      </c>
      <c r="B980" t="s">
        <v>23</v>
      </c>
      <c r="C980">
        <v>1</v>
      </c>
      <c r="D980" t="s">
        <v>32</v>
      </c>
      <c r="E980">
        <v>8.0169999999999998E-3</v>
      </c>
      <c r="F980" t="s">
        <v>25</v>
      </c>
      <c r="G980">
        <v>8.0170999999999992</v>
      </c>
      <c r="H980" t="s">
        <v>26</v>
      </c>
      <c r="I980">
        <v>8017.1</v>
      </c>
      <c r="J980" t="s">
        <v>27</v>
      </c>
      <c r="K980" t="s">
        <v>33</v>
      </c>
      <c r="L980">
        <v>124.7333763</v>
      </c>
    </row>
    <row r="981" spans="1:12" x14ac:dyDescent="0.3">
      <c r="A981" t="s">
        <v>82</v>
      </c>
      <c r="B981" t="s">
        <v>34</v>
      </c>
      <c r="C981">
        <v>892</v>
      </c>
      <c r="D981" t="s">
        <v>32</v>
      </c>
      <c r="E981">
        <v>1.518E-3</v>
      </c>
      <c r="F981" t="s">
        <v>25</v>
      </c>
      <c r="G981">
        <v>1.5178700000000001</v>
      </c>
      <c r="H981" t="s">
        <v>26</v>
      </c>
      <c r="I981">
        <v>1517.8720000000001</v>
      </c>
      <c r="J981" t="s">
        <v>27</v>
      </c>
      <c r="K981" t="s">
        <v>33</v>
      </c>
      <c r="L981">
        <v>658.81703530000004</v>
      </c>
    </row>
    <row r="982" spans="1:12" x14ac:dyDescent="0.3">
      <c r="A982" t="s">
        <v>82</v>
      </c>
      <c r="B982" t="s">
        <v>35</v>
      </c>
      <c r="C982">
        <v>893</v>
      </c>
      <c r="D982" t="s">
        <v>32</v>
      </c>
      <c r="E982">
        <v>1.5250000000000001E-3</v>
      </c>
      <c r="F982" t="s">
        <v>25</v>
      </c>
      <c r="G982">
        <v>1.52515</v>
      </c>
      <c r="H982" t="s">
        <v>26</v>
      </c>
      <c r="I982">
        <v>1525.15</v>
      </c>
      <c r="J982" t="s">
        <v>27</v>
      </c>
      <c r="K982" t="s">
        <v>33</v>
      </c>
      <c r="L982">
        <v>655.67319780000003</v>
      </c>
    </row>
    <row r="983" spans="1:12" x14ac:dyDescent="0.3">
      <c r="A983" t="s">
        <v>83</v>
      </c>
      <c r="B983" t="s">
        <v>23</v>
      </c>
      <c r="C983">
        <v>1</v>
      </c>
      <c r="D983" t="s">
        <v>32</v>
      </c>
      <c r="E983">
        <v>2.0580000000000001E-2</v>
      </c>
      <c r="F983" t="s">
        <v>25</v>
      </c>
      <c r="G983">
        <v>20.579899999999999</v>
      </c>
      <c r="H983" t="s">
        <v>26</v>
      </c>
      <c r="I983">
        <v>20579.901000000002</v>
      </c>
      <c r="J983" t="s">
        <v>27</v>
      </c>
      <c r="K983" t="s">
        <v>33</v>
      </c>
      <c r="L983">
        <v>48.5910996</v>
      </c>
    </row>
    <row r="984" spans="1:12" x14ac:dyDescent="0.3">
      <c r="A984" t="s">
        <v>83</v>
      </c>
      <c r="B984" t="s">
        <v>34</v>
      </c>
      <c r="C984">
        <v>107</v>
      </c>
      <c r="D984" t="s">
        <v>32</v>
      </c>
      <c r="E984">
        <v>1.2800000000000001E-2</v>
      </c>
      <c r="F984" t="s">
        <v>25</v>
      </c>
      <c r="G984">
        <v>12.800420000000001</v>
      </c>
      <c r="H984" t="s">
        <v>26</v>
      </c>
      <c r="I984">
        <v>12800.418</v>
      </c>
      <c r="J984" t="s">
        <v>27</v>
      </c>
      <c r="K984" t="s">
        <v>33</v>
      </c>
      <c r="L984">
        <v>78.122446800000006</v>
      </c>
    </row>
    <row r="985" spans="1:12" x14ac:dyDescent="0.3">
      <c r="A985" t="s">
        <v>83</v>
      </c>
      <c r="B985" t="s">
        <v>35</v>
      </c>
      <c r="C985">
        <v>108</v>
      </c>
      <c r="D985" t="s">
        <v>32</v>
      </c>
      <c r="E985">
        <v>1.2872E-2</v>
      </c>
      <c r="F985" t="s">
        <v>25</v>
      </c>
      <c r="G985">
        <v>12.872450000000001</v>
      </c>
      <c r="H985" t="s">
        <v>26</v>
      </c>
      <c r="I985">
        <v>12872.450999999999</v>
      </c>
      <c r="J985" t="s">
        <v>27</v>
      </c>
      <c r="K985" t="s">
        <v>33</v>
      </c>
      <c r="L985">
        <v>77.685283799999993</v>
      </c>
    </row>
    <row r="986" spans="1:12" x14ac:dyDescent="0.3">
      <c r="A986" t="s">
        <v>84</v>
      </c>
      <c r="B986" t="s">
        <v>23</v>
      </c>
      <c r="C986">
        <v>2</v>
      </c>
      <c r="D986" t="s">
        <v>37</v>
      </c>
      <c r="E986">
        <v>1.0296E-2</v>
      </c>
      <c r="F986" t="s">
        <v>25</v>
      </c>
      <c r="G986">
        <v>10.295500000000001</v>
      </c>
      <c r="H986" t="s">
        <v>26</v>
      </c>
      <c r="I986">
        <v>10295.5</v>
      </c>
      <c r="J986" t="s">
        <v>27</v>
      </c>
      <c r="K986" t="s">
        <v>33</v>
      </c>
      <c r="L986">
        <v>97.129813499999997</v>
      </c>
    </row>
    <row r="987" spans="1:12" x14ac:dyDescent="0.3">
      <c r="A987" t="s">
        <v>84</v>
      </c>
      <c r="B987" t="s">
        <v>34</v>
      </c>
      <c r="C987">
        <v>999</v>
      </c>
      <c r="D987" t="s">
        <v>37</v>
      </c>
      <c r="E987">
        <v>1.387E-3</v>
      </c>
      <c r="F987" t="s">
        <v>25</v>
      </c>
      <c r="G987">
        <v>1.38714</v>
      </c>
      <c r="H987" t="s">
        <v>26</v>
      </c>
      <c r="I987">
        <v>1387.1389999999999</v>
      </c>
      <c r="J987" t="s">
        <v>27</v>
      </c>
      <c r="K987" t="s">
        <v>33</v>
      </c>
      <c r="L987">
        <v>720.90823390000003</v>
      </c>
    </row>
    <row r="988" spans="1:12" x14ac:dyDescent="0.3">
      <c r="A988" t="s">
        <v>84</v>
      </c>
      <c r="B988" t="s">
        <v>36</v>
      </c>
      <c r="C988">
        <v>1001</v>
      </c>
      <c r="D988" t="s">
        <v>37</v>
      </c>
      <c r="E988">
        <v>1.3960000000000001E-3</v>
      </c>
      <c r="F988" t="s">
        <v>25</v>
      </c>
      <c r="G988">
        <v>1.3957299999999999</v>
      </c>
      <c r="H988" t="s">
        <v>26</v>
      </c>
      <c r="I988">
        <v>1395.7260000000001</v>
      </c>
      <c r="J988" t="s">
        <v>27</v>
      </c>
      <c r="K988" t="s">
        <v>33</v>
      </c>
      <c r="L988">
        <v>716.47278930000004</v>
      </c>
    </row>
    <row r="990" spans="1:12" x14ac:dyDescent="0.3">
      <c r="A990" t="s">
        <v>1</v>
      </c>
    </row>
    <row r="991" spans="1:12" x14ac:dyDescent="0.3">
      <c r="A991" t="s">
        <v>101</v>
      </c>
    </row>
    <row r="993" spans="1:1" x14ac:dyDescent="0.3">
      <c r="A993" t="s">
        <v>102</v>
      </c>
    </row>
    <row r="996" spans="1:1" x14ac:dyDescent="0.3">
      <c r="A996" t="s">
        <v>5</v>
      </c>
    </row>
    <row r="997" spans="1:1" x14ac:dyDescent="0.3">
      <c r="A997" t="s">
        <v>6</v>
      </c>
    </row>
    <row r="998" spans="1:1" x14ac:dyDescent="0.3">
      <c r="A998" t="s">
        <v>5</v>
      </c>
    </row>
    <row r="999" spans="1:1" x14ac:dyDescent="0.3">
      <c r="A999" t="s">
        <v>6</v>
      </c>
    </row>
    <row r="1000" spans="1:1" x14ac:dyDescent="0.3">
      <c r="A1000" t="s">
        <v>7</v>
      </c>
    </row>
    <row r="1001" spans="1:1" x14ac:dyDescent="0.3">
      <c r="A1001" t="s">
        <v>8</v>
      </c>
    </row>
    <row r="1002" spans="1:1" x14ac:dyDescent="0.3">
      <c r="A1002" t="s">
        <v>9</v>
      </c>
    </row>
    <row r="1003" spans="1:1" x14ac:dyDescent="0.3">
      <c r="A1003" t="s">
        <v>10</v>
      </c>
    </row>
    <row r="1004" spans="1:1" x14ac:dyDescent="0.3">
      <c r="A1004" t="s">
        <v>11</v>
      </c>
    </row>
    <row r="1005" spans="1:1" x14ac:dyDescent="0.3">
      <c r="A1005" t="s">
        <v>12</v>
      </c>
    </row>
    <row r="1006" spans="1:1" x14ac:dyDescent="0.3">
      <c r="A1006" t="s">
        <v>13</v>
      </c>
    </row>
    <row r="1007" spans="1:1" x14ac:dyDescent="0.3">
      <c r="A1007" t="s">
        <v>14</v>
      </c>
    </row>
    <row r="1008" spans="1:1" x14ac:dyDescent="0.3">
      <c r="A1008" t="s">
        <v>15</v>
      </c>
    </row>
    <row r="1009" spans="1:1" x14ac:dyDescent="0.3">
      <c r="A1009" t="s">
        <v>16</v>
      </c>
    </row>
    <row r="1010" spans="1:1" x14ac:dyDescent="0.3">
      <c r="A1010" t="s">
        <v>17</v>
      </c>
    </row>
    <row r="1011" spans="1:1" x14ac:dyDescent="0.3">
      <c r="A1011" t="s">
        <v>18</v>
      </c>
    </row>
    <row r="1012" spans="1:1" x14ac:dyDescent="0.3">
      <c r="A1012" t="s">
        <v>19</v>
      </c>
    </row>
    <row r="1013" spans="1:1" x14ac:dyDescent="0.3">
      <c r="A1013" t="s">
        <v>20</v>
      </c>
    </row>
    <row r="1014" spans="1:1" x14ac:dyDescent="0.3">
      <c r="A1014" t="s">
        <v>21</v>
      </c>
    </row>
    <row r="1015" spans="1:1" x14ac:dyDescent="0.3">
      <c r="A1015" t="s">
        <v>8</v>
      </c>
    </row>
    <row r="1016" spans="1:1" x14ac:dyDescent="0.3">
      <c r="A1016" t="s">
        <v>66</v>
      </c>
    </row>
    <row r="1017" spans="1:1" x14ac:dyDescent="0.3">
      <c r="A1017" t="s">
        <v>67</v>
      </c>
    </row>
    <row r="1018" spans="1:1" x14ac:dyDescent="0.3">
      <c r="A1018" t="s">
        <v>11</v>
      </c>
    </row>
    <row r="1019" spans="1:1" x14ac:dyDescent="0.3">
      <c r="A1019" t="s">
        <v>12</v>
      </c>
    </row>
    <row r="1020" spans="1:1" x14ac:dyDescent="0.3">
      <c r="A1020" t="s">
        <v>51</v>
      </c>
    </row>
    <row r="1021" spans="1:1" x14ac:dyDescent="0.3">
      <c r="A1021" t="s">
        <v>52</v>
      </c>
    </row>
    <row r="1022" spans="1:1" x14ac:dyDescent="0.3">
      <c r="A1022" t="s">
        <v>68</v>
      </c>
    </row>
    <row r="1023" spans="1:1" x14ac:dyDescent="0.3">
      <c r="A1023" t="s">
        <v>69</v>
      </c>
    </row>
    <row r="1024" spans="1:1" x14ac:dyDescent="0.3">
      <c r="A1024" t="s">
        <v>55</v>
      </c>
    </row>
    <row r="1025" spans="1:12" x14ac:dyDescent="0.3">
      <c r="A1025" t="s">
        <v>18</v>
      </c>
    </row>
    <row r="1026" spans="1:12" x14ac:dyDescent="0.3">
      <c r="A1026" t="s">
        <v>19</v>
      </c>
    </row>
    <row r="1027" spans="1:12" x14ac:dyDescent="0.3">
      <c r="A1027" t="s">
        <v>20</v>
      </c>
    </row>
    <row r="1028" spans="1:12" x14ac:dyDescent="0.3">
      <c r="A1028" t="s">
        <v>21</v>
      </c>
    </row>
    <row r="1029" spans="1:12" x14ac:dyDescent="0.3">
      <c r="A1029" t="s">
        <v>97</v>
      </c>
    </row>
    <row r="1030" spans="1:12" x14ac:dyDescent="0.3">
      <c r="A1030" t="s">
        <v>82</v>
      </c>
      <c r="B1030" t="s">
        <v>23</v>
      </c>
      <c r="C1030">
        <v>1</v>
      </c>
      <c r="D1030" t="s">
        <v>29</v>
      </c>
      <c r="E1030">
        <v>0.32211800000000002</v>
      </c>
      <c r="F1030" t="s">
        <v>25</v>
      </c>
      <c r="G1030">
        <v>322.11788999999999</v>
      </c>
      <c r="H1030" t="s">
        <v>26</v>
      </c>
      <c r="I1030">
        <v>322117.89500000002</v>
      </c>
      <c r="J1030" t="s">
        <v>27</v>
      </c>
    </row>
    <row r="1031" spans="1:12" x14ac:dyDescent="0.3">
      <c r="A1031" t="s">
        <v>82</v>
      </c>
      <c r="B1031" t="s">
        <v>23</v>
      </c>
      <c r="C1031">
        <v>1</v>
      </c>
      <c r="D1031" t="s">
        <v>30</v>
      </c>
      <c r="E1031">
        <v>6.515E-3</v>
      </c>
      <c r="F1031" t="s">
        <v>25</v>
      </c>
      <c r="G1031">
        <v>6.5151000000000003</v>
      </c>
      <c r="H1031" t="s">
        <v>26</v>
      </c>
      <c r="I1031">
        <v>6515.1</v>
      </c>
      <c r="J1031" t="s">
        <v>27</v>
      </c>
    </row>
    <row r="1032" spans="1:12" x14ac:dyDescent="0.3">
      <c r="A1032" t="s">
        <v>82</v>
      </c>
      <c r="B1032" t="s">
        <v>23</v>
      </c>
      <c r="C1032">
        <v>1</v>
      </c>
      <c r="D1032" t="s">
        <v>31</v>
      </c>
      <c r="E1032">
        <v>6.5160000000000001E-3</v>
      </c>
      <c r="F1032" t="s">
        <v>25</v>
      </c>
      <c r="G1032">
        <v>6.5163000000000002</v>
      </c>
      <c r="H1032" t="s">
        <v>26</v>
      </c>
      <c r="I1032">
        <v>6516.3</v>
      </c>
      <c r="J1032" t="s">
        <v>27</v>
      </c>
    </row>
    <row r="1033" spans="1:12" x14ac:dyDescent="0.3">
      <c r="A1033" t="s">
        <v>82</v>
      </c>
      <c r="B1033" t="s">
        <v>23</v>
      </c>
      <c r="C1033">
        <v>1</v>
      </c>
      <c r="D1033" t="s">
        <v>32</v>
      </c>
      <c r="E1033">
        <v>0.32863500000000001</v>
      </c>
      <c r="F1033" t="s">
        <v>25</v>
      </c>
      <c r="G1033">
        <v>328.63501000000002</v>
      </c>
      <c r="H1033" t="s">
        <v>26</v>
      </c>
      <c r="I1033">
        <v>328635.00699999998</v>
      </c>
      <c r="J1033" t="s">
        <v>27</v>
      </c>
      <c r="K1033" t="s">
        <v>33</v>
      </c>
      <c r="L1033">
        <v>3.0428894999999998</v>
      </c>
    </row>
    <row r="1034" spans="1:12" x14ac:dyDescent="0.3">
      <c r="A1034" t="s">
        <v>82</v>
      </c>
      <c r="B1034" t="s">
        <v>34</v>
      </c>
      <c r="C1034">
        <v>909</v>
      </c>
      <c r="D1034" t="s">
        <v>29</v>
      </c>
      <c r="E1034">
        <v>4.4000000000000002E-4</v>
      </c>
      <c r="F1034" t="s">
        <v>25</v>
      </c>
      <c r="G1034">
        <v>0.44002999999999998</v>
      </c>
      <c r="H1034" t="s">
        <v>26</v>
      </c>
      <c r="I1034">
        <v>440.02800000000002</v>
      </c>
      <c r="J1034" t="s">
        <v>27</v>
      </c>
    </row>
    <row r="1035" spans="1:12" x14ac:dyDescent="0.3">
      <c r="A1035" t="s">
        <v>82</v>
      </c>
      <c r="B1035" t="s">
        <v>34</v>
      </c>
      <c r="C1035">
        <v>909</v>
      </c>
      <c r="D1035" t="s">
        <v>30</v>
      </c>
      <c r="E1035">
        <v>4.66E-4</v>
      </c>
      <c r="F1035" t="s">
        <v>25</v>
      </c>
      <c r="G1035">
        <v>0.46604000000000001</v>
      </c>
      <c r="H1035" t="s">
        <v>26</v>
      </c>
      <c r="I1035">
        <v>466.04199999999997</v>
      </c>
      <c r="J1035" t="s">
        <v>27</v>
      </c>
    </row>
    <row r="1036" spans="1:12" x14ac:dyDescent="0.3">
      <c r="A1036" t="s">
        <v>82</v>
      </c>
      <c r="B1036" t="s">
        <v>34</v>
      </c>
      <c r="C1036">
        <v>909</v>
      </c>
      <c r="D1036" t="s">
        <v>31</v>
      </c>
      <c r="E1036">
        <v>4.66E-4</v>
      </c>
      <c r="F1036" t="s">
        <v>25</v>
      </c>
      <c r="G1036">
        <v>0.46645999999999999</v>
      </c>
      <c r="H1036" t="s">
        <v>26</v>
      </c>
      <c r="I1036">
        <v>466.464</v>
      </c>
      <c r="J1036" t="s">
        <v>27</v>
      </c>
    </row>
    <row r="1037" spans="1:12" x14ac:dyDescent="0.3">
      <c r="A1037" t="s">
        <v>82</v>
      </c>
      <c r="B1037" t="s">
        <v>34</v>
      </c>
      <c r="C1037">
        <v>909</v>
      </c>
      <c r="D1037" t="s">
        <v>32</v>
      </c>
      <c r="E1037">
        <v>9.0700000000000004E-4</v>
      </c>
      <c r="F1037" t="s">
        <v>25</v>
      </c>
      <c r="G1037">
        <v>0.90663000000000005</v>
      </c>
      <c r="H1037" t="s">
        <v>26</v>
      </c>
      <c r="I1037">
        <v>906.63400000000001</v>
      </c>
      <c r="J1037" t="s">
        <v>27</v>
      </c>
      <c r="K1037" t="s">
        <v>33</v>
      </c>
      <c r="L1037">
        <v>1102.9806893</v>
      </c>
    </row>
    <row r="1038" spans="1:12" x14ac:dyDescent="0.3">
      <c r="A1038" t="s">
        <v>82</v>
      </c>
      <c r="B1038" t="s">
        <v>35</v>
      </c>
      <c r="C1038">
        <v>910</v>
      </c>
      <c r="D1038" t="s">
        <v>29</v>
      </c>
      <c r="E1038">
        <v>7.94E-4</v>
      </c>
      <c r="F1038" t="s">
        <v>25</v>
      </c>
      <c r="G1038">
        <v>0.79352</v>
      </c>
      <c r="H1038" t="s">
        <v>26</v>
      </c>
      <c r="I1038">
        <v>793.52099999999996</v>
      </c>
      <c r="J1038" t="s">
        <v>27</v>
      </c>
    </row>
    <row r="1039" spans="1:12" x14ac:dyDescent="0.3">
      <c r="A1039" t="s">
        <v>82</v>
      </c>
      <c r="B1039" t="s">
        <v>35</v>
      </c>
      <c r="C1039">
        <v>910</v>
      </c>
      <c r="D1039" t="s">
        <v>30</v>
      </c>
      <c r="E1039">
        <v>4.73E-4</v>
      </c>
      <c r="F1039" t="s">
        <v>25</v>
      </c>
      <c r="G1039">
        <v>0.47269</v>
      </c>
      <c r="H1039" t="s">
        <v>26</v>
      </c>
      <c r="I1039">
        <v>472.68900000000002</v>
      </c>
      <c r="J1039" t="s">
        <v>27</v>
      </c>
    </row>
    <row r="1040" spans="1:12" x14ac:dyDescent="0.3">
      <c r="A1040" t="s">
        <v>82</v>
      </c>
      <c r="B1040" t="s">
        <v>35</v>
      </c>
      <c r="C1040">
        <v>910</v>
      </c>
      <c r="D1040" t="s">
        <v>31</v>
      </c>
      <c r="E1040">
        <v>4.73E-4</v>
      </c>
      <c r="F1040" t="s">
        <v>25</v>
      </c>
      <c r="G1040">
        <v>0.47310999999999998</v>
      </c>
      <c r="H1040" t="s">
        <v>26</v>
      </c>
      <c r="I1040">
        <v>473.11200000000002</v>
      </c>
      <c r="J1040" t="s">
        <v>27</v>
      </c>
    </row>
    <row r="1041" spans="1:12" x14ac:dyDescent="0.3">
      <c r="A1041" t="s">
        <v>82</v>
      </c>
      <c r="B1041" t="s">
        <v>35</v>
      </c>
      <c r="C1041">
        <v>910</v>
      </c>
      <c r="D1041" t="s">
        <v>32</v>
      </c>
      <c r="E1041">
        <v>1.2669999999999999E-3</v>
      </c>
      <c r="F1041" t="s">
        <v>25</v>
      </c>
      <c r="G1041">
        <v>1.26678</v>
      </c>
      <c r="H1041" t="s">
        <v>26</v>
      </c>
      <c r="I1041">
        <v>1266.7760000000001</v>
      </c>
      <c r="J1041" t="s">
        <v>27</v>
      </c>
      <c r="K1041" t="s">
        <v>33</v>
      </c>
      <c r="L1041">
        <v>789.40582619999998</v>
      </c>
    </row>
    <row r="1042" spans="1:12" x14ac:dyDescent="0.3">
      <c r="A1042" t="s">
        <v>83</v>
      </c>
      <c r="B1042" t="s">
        <v>23</v>
      </c>
      <c r="C1042">
        <v>1</v>
      </c>
      <c r="D1042" t="s">
        <v>29</v>
      </c>
      <c r="E1042">
        <v>0.158743</v>
      </c>
      <c r="F1042" t="s">
        <v>25</v>
      </c>
      <c r="G1042">
        <v>158.74331000000001</v>
      </c>
      <c r="H1042" t="s">
        <v>26</v>
      </c>
      <c r="I1042">
        <v>158743.307</v>
      </c>
      <c r="J1042" t="s">
        <v>27</v>
      </c>
    </row>
    <row r="1043" spans="1:12" x14ac:dyDescent="0.3">
      <c r="A1043" t="s">
        <v>83</v>
      </c>
      <c r="B1043" t="s">
        <v>23</v>
      </c>
      <c r="C1043">
        <v>1</v>
      </c>
      <c r="D1043" t="s">
        <v>30</v>
      </c>
      <c r="E1043">
        <v>1.4701000000000001E-2</v>
      </c>
      <c r="F1043" t="s">
        <v>25</v>
      </c>
      <c r="G1043">
        <v>14.7012</v>
      </c>
      <c r="H1043" t="s">
        <v>26</v>
      </c>
      <c r="I1043">
        <v>14701.2</v>
      </c>
      <c r="J1043" t="s">
        <v>27</v>
      </c>
    </row>
    <row r="1044" spans="1:12" x14ac:dyDescent="0.3">
      <c r="A1044" t="s">
        <v>83</v>
      </c>
      <c r="B1044" t="s">
        <v>23</v>
      </c>
      <c r="C1044">
        <v>1</v>
      </c>
      <c r="D1044" t="s">
        <v>31</v>
      </c>
      <c r="E1044">
        <v>1.4704E-2</v>
      </c>
      <c r="F1044" t="s">
        <v>25</v>
      </c>
      <c r="G1044">
        <v>14.7042</v>
      </c>
      <c r="H1044" t="s">
        <v>26</v>
      </c>
      <c r="I1044">
        <v>14704.2</v>
      </c>
      <c r="J1044" t="s">
        <v>27</v>
      </c>
    </row>
    <row r="1045" spans="1:12" x14ac:dyDescent="0.3">
      <c r="A1045" t="s">
        <v>83</v>
      </c>
      <c r="B1045" t="s">
        <v>23</v>
      </c>
      <c r="C1045">
        <v>1</v>
      </c>
      <c r="D1045" t="s">
        <v>32</v>
      </c>
      <c r="E1045">
        <v>0.17344799999999999</v>
      </c>
      <c r="F1045" t="s">
        <v>25</v>
      </c>
      <c r="G1045">
        <v>173.44810000000001</v>
      </c>
      <c r="H1045" t="s">
        <v>26</v>
      </c>
      <c r="I1045">
        <v>173448.101</v>
      </c>
      <c r="J1045" t="s">
        <v>27</v>
      </c>
      <c r="K1045" t="s">
        <v>33</v>
      </c>
      <c r="L1045">
        <v>5.7654133999999999</v>
      </c>
    </row>
    <row r="1046" spans="1:12" x14ac:dyDescent="0.3">
      <c r="A1046" t="s">
        <v>83</v>
      </c>
      <c r="B1046" t="s">
        <v>34</v>
      </c>
      <c r="C1046">
        <v>90</v>
      </c>
      <c r="D1046" t="s">
        <v>29</v>
      </c>
      <c r="E1046">
        <v>4.0700000000000003E-4</v>
      </c>
      <c r="F1046" t="s">
        <v>25</v>
      </c>
      <c r="G1046">
        <v>0.40690999999999999</v>
      </c>
      <c r="H1046" t="s">
        <v>26</v>
      </c>
      <c r="I1046">
        <v>406.91</v>
      </c>
      <c r="J1046" t="s">
        <v>27</v>
      </c>
    </row>
    <row r="1047" spans="1:12" x14ac:dyDescent="0.3">
      <c r="A1047" t="s">
        <v>83</v>
      </c>
      <c r="B1047" t="s">
        <v>34</v>
      </c>
      <c r="C1047">
        <v>90</v>
      </c>
      <c r="D1047" t="s">
        <v>30</v>
      </c>
      <c r="E1047">
        <v>1.0666999999999999E-2</v>
      </c>
      <c r="F1047" t="s">
        <v>25</v>
      </c>
      <c r="G1047">
        <v>10.66741</v>
      </c>
      <c r="H1047" t="s">
        <v>26</v>
      </c>
      <c r="I1047">
        <v>10667.409</v>
      </c>
      <c r="J1047" t="s">
        <v>27</v>
      </c>
    </row>
    <row r="1048" spans="1:12" x14ac:dyDescent="0.3">
      <c r="A1048" t="s">
        <v>83</v>
      </c>
      <c r="B1048" t="s">
        <v>34</v>
      </c>
      <c r="C1048">
        <v>90</v>
      </c>
      <c r="D1048" t="s">
        <v>31</v>
      </c>
      <c r="E1048">
        <v>1.0668E-2</v>
      </c>
      <c r="F1048" t="s">
        <v>25</v>
      </c>
      <c r="G1048">
        <v>10.66804</v>
      </c>
      <c r="H1048" t="s">
        <v>26</v>
      </c>
      <c r="I1048">
        <v>10668.040999999999</v>
      </c>
      <c r="J1048" t="s">
        <v>27</v>
      </c>
    </row>
    <row r="1049" spans="1:12" x14ac:dyDescent="0.3">
      <c r="A1049" t="s">
        <v>83</v>
      </c>
      <c r="B1049" t="s">
        <v>34</v>
      </c>
      <c r="C1049">
        <v>90</v>
      </c>
      <c r="D1049" t="s">
        <v>32</v>
      </c>
      <c r="E1049">
        <v>1.1075E-2</v>
      </c>
      <c r="F1049" t="s">
        <v>25</v>
      </c>
      <c r="G1049">
        <v>11.07516</v>
      </c>
      <c r="H1049" t="s">
        <v>26</v>
      </c>
      <c r="I1049">
        <v>11075.164000000001</v>
      </c>
      <c r="J1049" t="s">
        <v>27</v>
      </c>
      <c r="K1049" t="s">
        <v>33</v>
      </c>
      <c r="L1049">
        <v>90.292114900000001</v>
      </c>
    </row>
    <row r="1050" spans="1:12" x14ac:dyDescent="0.3">
      <c r="A1050" t="s">
        <v>83</v>
      </c>
      <c r="B1050" t="s">
        <v>35</v>
      </c>
      <c r="C1050">
        <v>91</v>
      </c>
      <c r="D1050" t="s">
        <v>29</v>
      </c>
      <c r="E1050">
        <v>2.147E-3</v>
      </c>
      <c r="F1050" t="s">
        <v>25</v>
      </c>
      <c r="G1050">
        <v>2.1468699999999998</v>
      </c>
      <c r="H1050" t="s">
        <v>26</v>
      </c>
      <c r="I1050">
        <v>2146.8710000000001</v>
      </c>
      <c r="J1050" t="s">
        <v>27</v>
      </c>
    </row>
    <row r="1051" spans="1:12" x14ac:dyDescent="0.3">
      <c r="A1051" t="s">
        <v>83</v>
      </c>
      <c r="B1051" t="s">
        <v>35</v>
      </c>
      <c r="C1051">
        <v>91</v>
      </c>
      <c r="D1051" t="s">
        <v>30</v>
      </c>
      <c r="E1051">
        <v>1.0711999999999999E-2</v>
      </c>
      <c r="F1051" t="s">
        <v>25</v>
      </c>
      <c r="G1051">
        <v>10.711740000000001</v>
      </c>
      <c r="H1051" t="s">
        <v>26</v>
      </c>
      <c r="I1051">
        <v>10711.736000000001</v>
      </c>
      <c r="J1051" t="s">
        <v>27</v>
      </c>
    </row>
    <row r="1052" spans="1:12" x14ac:dyDescent="0.3">
      <c r="A1052" t="s">
        <v>83</v>
      </c>
      <c r="B1052" t="s">
        <v>35</v>
      </c>
      <c r="C1052">
        <v>91</v>
      </c>
      <c r="D1052" t="s">
        <v>31</v>
      </c>
      <c r="E1052">
        <v>1.0711999999999999E-2</v>
      </c>
      <c r="F1052" t="s">
        <v>25</v>
      </c>
      <c r="G1052">
        <v>10.712400000000001</v>
      </c>
      <c r="H1052" t="s">
        <v>26</v>
      </c>
      <c r="I1052">
        <v>10712.396000000001</v>
      </c>
      <c r="J1052" t="s">
        <v>27</v>
      </c>
    </row>
    <row r="1053" spans="1:12" x14ac:dyDescent="0.3">
      <c r="A1053" t="s">
        <v>83</v>
      </c>
      <c r="B1053" t="s">
        <v>35</v>
      </c>
      <c r="C1053">
        <v>91</v>
      </c>
      <c r="D1053" t="s">
        <v>32</v>
      </c>
      <c r="E1053">
        <v>1.2859000000000001E-2</v>
      </c>
      <c r="F1053" t="s">
        <v>25</v>
      </c>
      <c r="G1053">
        <v>12.85948</v>
      </c>
      <c r="H1053" t="s">
        <v>26</v>
      </c>
      <c r="I1053">
        <v>12859.482</v>
      </c>
      <c r="J1053" t="s">
        <v>27</v>
      </c>
      <c r="K1053" t="s">
        <v>33</v>
      </c>
      <c r="L1053">
        <v>77.763629800000004</v>
      </c>
    </row>
    <row r="1054" spans="1:12" x14ac:dyDescent="0.3">
      <c r="A1054" t="s">
        <v>84</v>
      </c>
      <c r="B1054" t="s">
        <v>23</v>
      </c>
      <c r="C1054">
        <v>1</v>
      </c>
      <c r="D1054" t="s">
        <v>24</v>
      </c>
      <c r="E1054">
        <v>5.0699999999999996E-4</v>
      </c>
      <c r="F1054" t="s">
        <v>25</v>
      </c>
      <c r="G1054">
        <v>0.50700000000000001</v>
      </c>
      <c r="H1054" t="s">
        <v>26</v>
      </c>
      <c r="I1054">
        <v>507</v>
      </c>
      <c r="J1054" t="s">
        <v>27</v>
      </c>
    </row>
    <row r="1055" spans="1:12" x14ac:dyDescent="0.3">
      <c r="A1055" t="s">
        <v>84</v>
      </c>
      <c r="B1055" t="s">
        <v>23</v>
      </c>
      <c r="C1055">
        <v>1</v>
      </c>
      <c r="D1055" t="s">
        <v>28</v>
      </c>
      <c r="E1055">
        <v>0.16445399999999999</v>
      </c>
      <c r="F1055" t="s">
        <v>25</v>
      </c>
      <c r="G1055">
        <v>164.4538</v>
      </c>
      <c r="H1055" t="s">
        <v>26</v>
      </c>
      <c r="I1055">
        <v>164453.804</v>
      </c>
      <c r="J1055" t="s">
        <v>27</v>
      </c>
    </row>
    <row r="1056" spans="1:12" x14ac:dyDescent="0.3">
      <c r="A1056" t="s">
        <v>84</v>
      </c>
      <c r="B1056" t="s">
        <v>23</v>
      </c>
      <c r="C1056">
        <v>2</v>
      </c>
      <c r="D1056" t="s">
        <v>37</v>
      </c>
      <c r="E1056">
        <v>0.164325</v>
      </c>
      <c r="F1056" t="s">
        <v>25</v>
      </c>
      <c r="G1056">
        <v>164.32544999999999</v>
      </c>
      <c r="H1056" t="s">
        <v>26</v>
      </c>
      <c r="I1056">
        <v>164325.446</v>
      </c>
      <c r="J1056" t="s">
        <v>27</v>
      </c>
      <c r="K1056" t="s">
        <v>33</v>
      </c>
      <c r="L1056">
        <v>6.0854847999999997</v>
      </c>
    </row>
    <row r="1057" spans="1:12" x14ac:dyDescent="0.3">
      <c r="A1057" t="s">
        <v>84</v>
      </c>
      <c r="B1057" t="s">
        <v>34</v>
      </c>
      <c r="C1057">
        <v>999</v>
      </c>
      <c r="D1057" t="s">
        <v>37</v>
      </c>
      <c r="E1057">
        <v>9.8499999999999998E-4</v>
      </c>
      <c r="F1057" t="s">
        <v>25</v>
      </c>
      <c r="G1057">
        <v>0.98487999999999998</v>
      </c>
      <c r="H1057" t="s">
        <v>26</v>
      </c>
      <c r="I1057">
        <v>984.87900000000002</v>
      </c>
      <c r="J1057" t="s">
        <v>27</v>
      </c>
      <c r="K1057" t="s">
        <v>33</v>
      </c>
      <c r="L1057">
        <v>1015.3528591</v>
      </c>
    </row>
    <row r="1058" spans="1:12" x14ac:dyDescent="0.3">
      <c r="A1058" t="s">
        <v>84</v>
      </c>
      <c r="B1058" t="s">
        <v>36</v>
      </c>
      <c r="C1058">
        <v>1001</v>
      </c>
      <c r="D1058" t="s">
        <v>37</v>
      </c>
      <c r="E1058">
        <v>1.17E-3</v>
      </c>
      <c r="F1058" t="s">
        <v>25</v>
      </c>
      <c r="G1058">
        <v>1.1702699999999999</v>
      </c>
      <c r="H1058" t="s">
        <v>26</v>
      </c>
      <c r="I1058">
        <v>1170.2660000000001</v>
      </c>
      <c r="J1058" t="s">
        <v>27</v>
      </c>
      <c r="K1058" t="s">
        <v>33</v>
      </c>
      <c r="L1058">
        <v>854.50689809999994</v>
      </c>
    </row>
    <row r="1059" spans="1:12" x14ac:dyDescent="0.3">
      <c r="A1059" t="s">
        <v>38</v>
      </c>
    </row>
    <row r="1060" spans="1:12" x14ac:dyDescent="0.3">
      <c r="A1060" t="s">
        <v>38</v>
      </c>
    </row>
    <row r="1061" spans="1:12" x14ac:dyDescent="0.3">
      <c r="A1061" t="s">
        <v>98</v>
      </c>
    </row>
    <row r="1062" spans="1:12" x14ac:dyDescent="0.3">
      <c r="A1062" t="s">
        <v>82</v>
      </c>
      <c r="B1062" t="s">
        <v>23</v>
      </c>
      <c r="C1062">
        <v>1</v>
      </c>
      <c r="D1062" t="s">
        <v>29</v>
      </c>
      <c r="E1062">
        <v>3.6939999999999998E-3</v>
      </c>
      <c r="F1062" t="s">
        <v>25</v>
      </c>
      <c r="G1062">
        <v>3.6938</v>
      </c>
      <c r="H1062" t="s">
        <v>26</v>
      </c>
      <c r="I1062">
        <v>3693.8</v>
      </c>
      <c r="J1062" t="s">
        <v>27</v>
      </c>
    </row>
    <row r="1063" spans="1:12" x14ac:dyDescent="0.3">
      <c r="A1063" t="s">
        <v>82</v>
      </c>
      <c r="B1063" t="s">
        <v>23</v>
      </c>
      <c r="C1063">
        <v>1</v>
      </c>
      <c r="D1063" t="s">
        <v>30</v>
      </c>
      <c r="E1063">
        <v>3.8660000000000001E-3</v>
      </c>
      <c r="F1063" t="s">
        <v>25</v>
      </c>
      <c r="G1063">
        <v>3.8660000000000001</v>
      </c>
      <c r="H1063" t="s">
        <v>26</v>
      </c>
      <c r="I1063">
        <v>3866</v>
      </c>
      <c r="J1063" t="s">
        <v>27</v>
      </c>
    </row>
    <row r="1064" spans="1:12" x14ac:dyDescent="0.3">
      <c r="A1064" t="s">
        <v>82</v>
      </c>
      <c r="B1064" t="s">
        <v>23</v>
      </c>
      <c r="C1064">
        <v>1</v>
      </c>
      <c r="D1064" t="s">
        <v>31</v>
      </c>
      <c r="E1064">
        <v>3.869E-3</v>
      </c>
      <c r="F1064" t="s">
        <v>25</v>
      </c>
      <c r="G1064">
        <v>3.8687999999999998</v>
      </c>
      <c r="H1064" t="s">
        <v>26</v>
      </c>
      <c r="I1064">
        <v>3868.8</v>
      </c>
      <c r="J1064" t="s">
        <v>27</v>
      </c>
    </row>
    <row r="1065" spans="1:12" x14ac:dyDescent="0.3">
      <c r="A1065" t="s">
        <v>82</v>
      </c>
      <c r="B1065" t="s">
        <v>23</v>
      </c>
      <c r="C1065">
        <v>1</v>
      </c>
      <c r="D1065" t="s">
        <v>32</v>
      </c>
      <c r="E1065">
        <v>7.5630000000000003E-3</v>
      </c>
      <c r="F1065" t="s">
        <v>25</v>
      </c>
      <c r="G1065">
        <v>7.5629</v>
      </c>
      <c r="H1065" t="s">
        <v>26</v>
      </c>
      <c r="I1065">
        <v>7562.9</v>
      </c>
      <c r="J1065" t="s">
        <v>27</v>
      </c>
      <c r="K1065" t="s">
        <v>33</v>
      </c>
      <c r="L1065">
        <v>132.22441190000001</v>
      </c>
    </row>
    <row r="1066" spans="1:12" x14ac:dyDescent="0.3">
      <c r="A1066" t="s">
        <v>82</v>
      </c>
      <c r="B1066" t="s">
        <v>34</v>
      </c>
      <c r="C1066">
        <v>870</v>
      </c>
      <c r="D1066" t="s">
        <v>29</v>
      </c>
      <c r="E1066">
        <v>5.1900000000000004E-4</v>
      </c>
      <c r="F1066" t="s">
        <v>25</v>
      </c>
      <c r="G1066">
        <v>0.51888000000000001</v>
      </c>
      <c r="H1066" t="s">
        <v>26</v>
      </c>
      <c r="I1066">
        <v>518.87800000000004</v>
      </c>
      <c r="J1066" t="s">
        <v>27</v>
      </c>
    </row>
    <row r="1067" spans="1:12" x14ac:dyDescent="0.3">
      <c r="A1067" t="s">
        <v>82</v>
      </c>
      <c r="B1067" t="s">
        <v>34</v>
      </c>
      <c r="C1067">
        <v>870</v>
      </c>
      <c r="D1067" t="s">
        <v>30</v>
      </c>
      <c r="E1067">
        <v>1.1839999999999999E-3</v>
      </c>
      <c r="F1067" t="s">
        <v>25</v>
      </c>
      <c r="G1067">
        <v>1.1840900000000001</v>
      </c>
      <c r="H1067" t="s">
        <v>26</v>
      </c>
      <c r="I1067">
        <v>1184.0899999999999</v>
      </c>
      <c r="J1067" t="s">
        <v>27</v>
      </c>
    </row>
    <row r="1068" spans="1:12" x14ac:dyDescent="0.3">
      <c r="A1068" t="s">
        <v>82</v>
      </c>
      <c r="B1068" t="s">
        <v>34</v>
      </c>
      <c r="C1068">
        <v>870</v>
      </c>
      <c r="D1068" t="s">
        <v>31</v>
      </c>
      <c r="E1068">
        <v>1.4369999999999999E-3</v>
      </c>
      <c r="F1068" t="s">
        <v>25</v>
      </c>
      <c r="G1068">
        <v>1.4371400000000001</v>
      </c>
      <c r="H1068" t="s">
        <v>26</v>
      </c>
      <c r="I1068">
        <v>1437.144</v>
      </c>
      <c r="J1068" t="s">
        <v>27</v>
      </c>
    </row>
    <row r="1069" spans="1:12" x14ac:dyDescent="0.3">
      <c r="A1069" t="s">
        <v>82</v>
      </c>
      <c r="B1069" t="s">
        <v>34</v>
      </c>
      <c r="C1069">
        <v>870</v>
      </c>
      <c r="D1069" t="s">
        <v>32</v>
      </c>
      <c r="E1069">
        <v>1.9559999999999998E-3</v>
      </c>
      <c r="F1069" t="s">
        <v>25</v>
      </c>
      <c r="G1069">
        <v>1.9563999999999999</v>
      </c>
      <c r="H1069" t="s">
        <v>26</v>
      </c>
      <c r="I1069">
        <v>1956.402</v>
      </c>
      <c r="J1069" t="s">
        <v>27</v>
      </c>
      <c r="K1069" t="s">
        <v>33</v>
      </c>
      <c r="L1069">
        <v>511.14231560000002</v>
      </c>
    </row>
    <row r="1070" spans="1:12" x14ac:dyDescent="0.3">
      <c r="A1070" t="s">
        <v>82</v>
      </c>
      <c r="B1070" t="s">
        <v>35</v>
      </c>
      <c r="C1070">
        <v>871</v>
      </c>
      <c r="D1070" t="s">
        <v>29</v>
      </c>
      <c r="E1070">
        <v>5.2300000000000003E-4</v>
      </c>
      <c r="F1070" t="s">
        <v>25</v>
      </c>
      <c r="G1070">
        <v>0.52251999999999998</v>
      </c>
      <c r="H1070" t="s">
        <v>26</v>
      </c>
      <c r="I1070">
        <v>522.52300000000002</v>
      </c>
      <c r="J1070" t="s">
        <v>27</v>
      </c>
    </row>
    <row r="1071" spans="1:12" x14ac:dyDescent="0.3">
      <c r="A1071" t="s">
        <v>82</v>
      </c>
      <c r="B1071" t="s">
        <v>35</v>
      </c>
      <c r="C1071">
        <v>871</v>
      </c>
      <c r="D1071" t="s">
        <v>30</v>
      </c>
      <c r="E1071">
        <v>1.1869999999999999E-3</v>
      </c>
      <c r="F1071" t="s">
        <v>25</v>
      </c>
      <c r="G1071">
        <v>1.1871700000000001</v>
      </c>
      <c r="H1071" t="s">
        <v>26</v>
      </c>
      <c r="I1071">
        <v>1187.1690000000001</v>
      </c>
      <c r="J1071" t="s">
        <v>27</v>
      </c>
    </row>
    <row r="1072" spans="1:12" x14ac:dyDescent="0.3">
      <c r="A1072" t="s">
        <v>82</v>
      </c>
      <c r="B1072" t="s">
        <v>35</v>
      </c>
      <c r="C1072">
        <v>871</v>
      </c>
      <c r="D1072" t="s">
        <v>31</v>
      </c>
      <c r="E1072">
        <v>1.4400000000000001E-3</v>
      </c>
      <c r="F1072" t="s">
        <v>25</v>
      </c>
      <c r="G1072">
        <v>1.43994</v>
      </c>
      <c r="H1072" t="s">
        <v>26</v>
      </c>
      <c r="I1072">
        <v>1439.9359999999999</v>
      </c>
      <c r="J1072" t="s">
        <v>27</v>
      </c>
    </row>
    <row r="1073" spans="1:12" x14ac:dyDescent="0.3">
      <c r="A1073" t="s">
        <v>82</v>
      </c>
      <c r="B1073" t="s">
        <v>35</v>
      </c>
      <c r="C1073">
        <v>871</v>
      </c>
      <c r="D1073" t="s">
        <v>32</v>
      </c>
      <c r="E1073">
        <v>1.9629999999999999E-3</v>
      </c>
      <c r="F1073" t="s">
        <v>25</v>
      </c>
      <c r="G1073">
        <v>1.9628399999999999</v>
      </c>
      <c r="H1073" t="s">
        <v>26</v>
      </c>
      <c r="I1073">
        <v>1962.8389999999999</v>
      </c>
      <c r="J1073" t="s">
        <v>27</v>
      </c>
      <c r="K1073" t="s">
        <v>33</v>
      </c>
      <c r="L1073">
        <v>509.46610440000001</v>
      </c>
    </row>
    <row r="1074" spans="1:12" x14ac:dyDescent="0.3">
      <c r="A1074" t="s">
        <v>83</v>
      </c>
      <c r="B1074" t="s">
        <v>23</v>
      </c>
      <c r="C1074">
        <v>1</v>
      </c>
      <c r="D1074" t="s">
        <v>29</v>
      </c>
      <c r="E1074">
        <v>5.8399999999999999E-4</v>
      </c>
      <c r="F1074" t="s">
        <v>25</v>
      </c>
      <c r="G1074">
        <v>0.58360000000000001</v>
      </c>
      <c r="H1074" t="s">
        <v>26</v>
      </c>
      <c r="I1074">
        <v>583.6</v>
      </c>
      <c r="J1074" t="s">
        <v>27</v>
      </c>
    </row>
    <row r="1075" spans="1:12" x14ac:dyDescent="0.3">
      <c r="A1075" t="s">
        <v>83</v>
      </c>
      <c r="B1075" t="s">
        <v>23</v>
      </c>
      <c r="C1075">
        <v>1</v>
      </c>
      <c r="D1075" t="s">
        <v>30</v>
      </c>
      <c r="E1075">
        <v>2.0663000000000001E-2</v>
      </c>
      <c r="F1075" t="s">
        <v>25</v>
      </c>
      <c r="G1075">
        <v>20.663499999999999</v>
      </c>
      <c r="H1075" t="s">
        <v>26</v>
      </c>
      <c r="I1075">
        <v>20663.5</v>
      </c>
      <c r="J1075" t="s">
        <v>27</v>
      </c>
    </row>
    <row r="1076" spans="1:12" x14ac:dyDescent="0.3">
      <c r="A1076" t="s">
        <v>83</v>
      </c>
      <c r="B1076" t="s">
        <v>23</v>
      </c>
      <c r="C1076">
        <v>1</v>
      </c>
      <c r="D1076" t="s">
        <v>31</v>
      </c>
      <c r="E1076">
        <v>2.0664999999999999E-2</v>
      </c>
      <c r="F1076" t="s">
        <v>25</v>
      </c>
      <c r="G1076">
        <v>20.6645</v>
      </c>
      <c r="H1076" t="s">
        <v>26</v>
      </c>
      <c r="I1076">
        <v>20664.5</v>
      </c>
      <c r="J1076" t="s">
        <v>27</v>
      </c>
    </row>
    <row r="1077" spans="1:12" x14ac:dyDescent="0.3">
      <c r="A1077" t="s">
        <v>83</v>
      </c>
      <c r="B1077" t="s">
        <v>23</v>
      </c>
      <c r="C1077">
        <v>1</v>
      </c>
      <c r="D1077" t="s">
        <v>32</v>
      </c>
      <c r="E1077">
        <v>2.1248E-2</v>
      </c>
      <c r="F1077" t="s">
        <v>25</v>
      </c>
      <c r="G1077">
        <v>21.2484</v>
      </c>
      <c r="H1077" t="s">
        <v>26</v>
      </c>
      <c r="I1077">
        <v>21248.400000000001</v>
      </c>
      <c r="J1077" t="s">
        <v>27</v>
      </c>
      <c r="K1077" t="s">
        <v>33</v>
      </c>
      <c r="L1077">
        <v>47.062366599999997</v>
      </c>
    </row>
    <row r="1078" spans="1:12" x14ac:dyDescent="0.3">
      <c r="A1078" t="s">
        <v>83</v>
      </c>
      <c r="B1078" t="s">
        <v>34</v>
      </c>
      <c r="C1078">
        <v>129</v>
      </c>
      <c r="D1078" t="s">
        <v>29</v>
      </c>
      <c r="E1078">
        <v>5.0000000000000001E-4</v>
      </c>
      <c r="F1078" t="s">
        <v>25</v>
      </c>
      <c r="G1078">
        <v>0.50014999999999998</v>
      </c>
      <c r="H1078" t="s">
        <v>26</v>
      </c>
      <c r="I1078">
        <v>500.15100000000001</v>
      </c>
      <c r="J1078" t="s">
        <v>27</v>
      </c>
    </row>
    <row r="1079" spans="1:12" x14ac:dyDescent="0.3">
      <c r="A1079" t="s">
        <v>83</v>
      </c>
      <c r="B1079" t="s">
        <v>34</v>
      </c>
      <c r="C1079">
        <v>129</v>
      </c>
      <c r="D1079" t="s">
        <v>30</v>
      </c>
      <c r="E1079">
        <v>1.2427000000000001E-2</v>
      </c>
      <c r="F1079" t="s">
        <v>25</v>
      </c>
      <c r="G1079">
        <v>12.42653</v>
      </c>
      <c r="H1079" t="s">
        <v>26</v>
      </c>
      <c r="I1079">
        <v>12426.53</v>
      </c>
      <c r="J1079" t="s">
        <v>27</v>
      </c>
    </row>
    <row r="1080" spans="1:12" x14ac:dyDescent="0.3">
      <c r="A1080" t="s">
        <v>83</v>
      </c>
      <c r="B1080" t="s">
        <v>34</v>
      </c>
      <c r="C1080">
        <v>129</v>
      </c>
      <c r="D1080" t="s">
        <v>31</v>
      </c>
      <c r="E1080">
        <v>1.2692999999999999E-2</v>
      </c>
      <c r="F1080" t="s">
        <v>25</v>
      </c>
      <c r="G1080">
        <v>12.6928</v>
      </c>
      <c r="H1080" t="s">
        <v>26</v>
      </c>
      <c r="I1080">
        <v>12692.796</v>
      </c>
      <c r="J1080" t="s">
        <v>27</v>
      </c>
    </row>
    <row r="1081" spans="1:12" x14ac:dyDescent="0.3">
      <c r="A1081" t="s">
        <v>83</v>
      </c>
      <c r="B1081" t="s">
        <v>34</v>
      </c>
      <c r="C1081">
        <v>129</v>
      </c>
      <c r="D1081" t="s">
        <v>32</v>
      </c>
      <c r="E1081">
        <v>1.3193E-2</v>
      </c>
      <c r="F1081" t="s">
        <v>25</v>
      </c>
      <c r="G1081">
        <v>13.19317</v>
      </c>
      <c r="H1081" t="s">
        <v>26</v>
      </c>
      <c r="I1081">
        <v>13193.168</v>
      </c>
      <c r="J1081" t="s">
        <v>27</v>
      </c>
      <c r="K1081" t="s">
        <v>33</v>
      </c>
      <c r="L1081">
        <v>75.796804199999997</v>
      </c>
    </row>
    <row r="1082" spans="1:12" x14ac:dyDescent="0.3">
      <c r="A1082" t="s">
        <v>83</v>
      </c>
      <c r="B1082" t="s">
        <v>35</v>
      </c>
      <c r="C1082">
        <v>130</v>
      </c>
      <c r="D1082" t="s">
        <v>29</v>
      </c>
      <c r="E1082">
        <v>5.0100000000000003E-4</v>
      </c>
      <c r="F1082" t="s">
        <v>25</v>
      </c>
      <c r="G1082">
        <v>0.50078999999999996</v>
      </c>
      <c r="H1082" t="s">
        <v>26</v>
      </c>
      <c r="I1082">
        <v>500.79300000000001</v>
      </c>
      <c r="J1082" t="s">
        <v>27</v>
      </c>
    </row>
    <row r="1083" spans="1:12" x14ac:dyDescent="0.3">
      <c r="A1083" t="s">
        <v>83</v>
      </c>
      <c r="B1083" t="s">
        <v>35</v>
      </c>
      <c r="C1083">
        <v>130</v>
      </c>
      <c r="D1083" t="s">
        <v>30</v>
      </c>
      <c r="E1083">
        <v>1.2489999999999999E-2</v>
      </c>
      <c r="F1083" t="s">
        <v>25</v>
      </c>
      <c r="G1083">
        <v>12.489890000000001</v>
      </c>
      <c r="H1083" t="s">
        <v>26</v>
      </c>
      <c r="I1083">
        <v>12489.891</v>
      </c>
      <c r="J1083" t="s">
        <v>27</v>
      </c>
    </row>
    <row r="1084" spans="1:12" x14ac:dyDescent="0.3">
      <c r="A1084" t="s">
        <v>83</v>
      </c>
      <c r="B1084" t="s">
        <v>35</v>
      </c>
      <c r="C1084">
        <v>130</v>
      </c>
      <c r="D1084" t="s">
        <v>31</v>
      </c>
      <c r="E1084">
        <v>1.2754E-2</v>
      </c>
      <c r="F1084" t="s">
        <v>25</v>
      </c>
      <c r="G1084">
        <v>12.75412</v>
      </c>
      <c r="H1084" t="s">
        <v>26</v>
      </c>
      <c r="I1084">
        <v>12754.117</v>
      </c>
      <c r="J1084" t="s">
        <v>27</v>
      </c>
    </row>
    <row r="1085" spans="1:12" x14ac:dyDescent="0.3">
      <c r="A1085" t="s">
        <v>83</v>
      </c>
      <c r="B1085" t="s">
        <v>35</v>
      </c>
      <c r="C1085">
        <v>130</v>
      </c>
      <c r="D1085" t="s">
        <v>32</v>
      </c>
      <c r="E1085">
        <v>1.3254999999999999E-2</v>
      </c>
      <c r="F1085" t="s">
        <v>25</v>
      </c>
      <c r="G1085">
        <v>13.255129999999999</v>
      </c>
      <c r="H1085" t="s">
        <v>26</v>
      </c>
      <c r="I1085">
        <v>13255.132</v>
      </c>
      <c r="J1085" t="s">
        <v>27</v>
      </c>
      <c r="K1085" t="s">
        <v>33</v>
      </c>
      <c r="L1085">
        <v>75.442476799999994</v>
      </c>
    </row>
    <row r="1086" spans="1:12" x14ac:dyDescent="0.3">
      <c r="A1086" t="s">
        <v>84</v>
      </c>
      <c r="B1086" t="s">
        <v>23</v>
      </c>
      <c r="C1086">
        <v>1</v>
      </c>
      <c r="D1086" t="s">
        <v>24</v>
      </c>
      <c r="E1086">
        <v>5.0699999999999996E-4</v>
      </c>
      <c r="F1086" t="s">
        <v>25</v>
      </c>
      <c r="G1086">
        <v>0.50700000000000001</v>
      </c>
      <c r="H1086" t="s">
        <v>26</v>
      </c>
      <c r="I1086">
        <v>507</v>
      </c>
      <c r="J1086" t="s">
        <v>27</v>
      </c>
    </row>
    <row r="1087" spans="1:12" x14ac:dyDescent="0.3">
      <c r="A1087" t="s">
        <v>84</v>
      </c>
      <c r="B1087" t="s">
        <v>23</v>
      </c>
      <c r="C1087">
        <v>1</v>
      </c>
      <c r="D1087" t="s">
        <v>28</v>
      </c>
      <c r="E1087">
        <v>9.0379999999999992E-3</v>
      </c>
      <c r="F1087" t="s">
        <v>25</v>
      </c>
      <c r="G1087">
        <v>9.0374999999999996</v>
      </c>
      <c r="H1087" t="s">
        <v>26</v>
      </c>
      <c r="I1087">
        <v>9037.5</v>
      </c>
      <c r="J1087" t="s">
        <v>27</v>
      </c>
    </row>
    <row r="1088" spans="1:12" x14ac:dyDescent="0.3">
      <c r="A1088" t="s">
        <v>84</v>
      </c>
      <c r="B1088" t="s">
        <v>23</v>
      </c>
      <c r="C1088">
        <v>2</v>
      </c>
      <c r="D1088" t="s">
        <v>37</v>
      </c>
      <c r="E1088">
        <v>1.0629E-2</v>
      </c>
      <c r="F1088" t="s">
        <v>25</v>
      </c>
      <c r="G1088">
        <v>10.629300000000001</v>
      </c>
      <c r="H1088" t="s">
        <v>26</v>
      </c>
      <c r="I1088">
        <v>10629.3</v>
      </c>
      <c r="J1088" t="s">
        <v>27</v>
      </c>
      <c r="K1088" t="s">
        <v>33</v>
      </c>
      <c r="L1088">
        <v>94.079572299999995</v>
      </c>
    </row>
    <row r="1089" spans="1:12" x14ac:dyDescent="0.3">
      <c r="A1089" t="s">
        <v>84</v>
      </c>
      <c r="B1089" t="s">
        <v>34</v>
      </c>
      <c r="C1089">
        <v>999</v>
      </c>
      <c r="D1089" t="s">
        <v>37</v>
      </c>
      <c r="E1089">
        <v>1.7240000000000001E-3</v>
      </c>
      <c r="F1089" t="s">
        <v>25</v>
      </c>
      <c r="G1089">
        <v>1.7242</v>
      </c>
      <c r="H1089" t="s">
        <v>26</v>
      </c>
      <c r="I1089">
        <v>1724.1980000000001</v>
      </c>
      <c r="J1089" t="s">
        <v>27</v>
      </c>
      <c r="K1089" t="s">
        <v>33</v>
      </c>
      <c r="L1089">
        <v>579.97993459999998</v>
      </c>
    </row>
    <row r="1090" spans="1:12" x14ac:dyDescent="0.3">
      <c r="A1090" t="s">
        <v>84</v>
      </c>
      <c r="B1090" t="s">
        <v>36</v>
      </c>
      <c r="C1090">
        <v>1001</v>
      </c>
      <c r="D1090" t="s">
        <v>37</v>
      </c>
      <c r="E1090">
        <v>1.732E-3</v>
      </c>
      <c r="F1090" t="s">
        <v>25</v>
      </c>
      <c r="G1090">
        <v>1.73177</v>
      </c>
      <c r="H1090" t="s">
        <v>26</v>
      </c>
      <c r="I1090">
        <v>1731.7719999999999</v>
      </c>
      <c r="J1090" t="s">
        <v>27</v>
      </c>
      <c r="K1090" t="s">
        <v>33</v>
      </c>
      <c r="L1090">
        <v>577.44324419999998</v>
      </c>
    </row>
    <row r="1091" spans="1:12" x14ac:dyDescent="0.3">
      <c r="A1091" t="s">
        <v>8</v>
      </c>
    </row>
    <row r="1092" spans="1:12" x14ac:dyDescent="0.3">
      <c r="A1092" t="s">
        <v>20</v>
      </c>
    </row>
    <row r="1093" spans="1:12" x14ac:dyDescent="0.3">
      <c r="A1093" t="s">
        <v>40</v>
      </c>
    </row>
    <row r="1094" spans="1:12" x14ac:dyDescent="0.3">
      <c r="A1094" t="s">
        <v>99</v>
      </c>
    </row>
    <row r="1095" spans="1:12" x14ac:dyDescent="0.3">
      <c r="A1095" t="s">
        <v>82</v>
      </c>
      <c r="B1095" t="s">
        <v>23</v>
      </c>
      <c r="C1095">
        <v>1</v>
      </c>
      <c r="D1095" t="s">
        <v>32</v>
      </c>
      <c r="E1095">
        <v>0.32863500000000001</v>
      </c>
      <c r="F1095" t="s">
        <v>25</v>
      </c>
      <c r="G1095">
        <v>328.63501000000002</v>
      </c>
      <c r="H1095" t="s">
        <v>26</v>
      </c>
      <c r="I1095">
        <v>328635.00699999998</v>
      </c>
      <c r="J1095" t="s">
        <v>27</v>
      </c>
      <c r="K1095" t="s">
        <v>33</v>
      </c>
      <c r="L1095">
        <v>3.0428894999999998</v>
      </c>
    </row>
    <row r="1096" spans="1:12" x14ac:dyDescent="0.3">
      <c r="A1096" t="s">
        <v>82</v>
      </c>
      <c r="B1096" t="s">
        <v>34</v>
      </c>
      <c r="C1096">
        <v>909</v>
      </c>
      <c r="D1096" t="s">
        <v>32</v>
      </c>
      <c r="E1096">
        <v>9.0700000000000004E-4</v>
      </c>
      <c r="F1096" t="s">
        <v>25</v>
      </c>
      <c r="G1096">
        <v>0.90663000000000005</v>
      </c>
      <c r="H1096" t="s">
        <v>26</v>
      </c>
      <c r="I1096">
        <v>906.63400000000001</v>
      </c>
      <c r="J1096" t="s">
        <v>27</v>
      </c>
      <c r="K1096" t="s">
        <v>33</v>
      </c>
      <c r="L1096">
        <v>1102.9806893</v>
      </c>
    </row>
    <row r="1097" spans="1:12" x14ac:dyDescent="0.3">
      <c r="A1097" t="s">
        <v>82</v>
      </c>
      <c r="B1097" t="s">
        <v>35</v>
      </c>
      <c r="C1097">
        <v>910</v>
      </c>
      <c r="D1097" t="s">
        <v>32</v>
      </c>
      <c r="E1097">
        <v>1.2669999999999999E-3</v>
      </c>
      <c r="F1097" t="s">
        <v>25</v>
      </c>
      <c r="G1097">
        <v>1.26678</v>
      </c>
      <c r="H1097" t="s">
        <v>26</v>
      </c>
      <c r="I1097">
        <v>1266.7760000000001</v>
      </c>
      <c r="J1097" t="s">
        <v>27</v>
      </c>
      <c r="K1097" t="s">
        <v>33</v>
      </c>
      <c r="L1097">
        <v>789.40582619999998</v>
      </c>
    </row>
    <row r="1098" spans="1:12" x14ac:dyDescent="0.3">
      <c r="A1098" t="s">
        <v>83</v>
      </c>
      <c r="B1098" t="s">
        <v>23</v>
      </c>
      <c r="C1098">
        <v>1</v>
      </c>
      <c r="D1098" t="s">
        <v>32</v>
      </c>
      <c r="E1098">
        <v>0.17344799999999999</v>
      </c>
      <c r="F1098" t="s">
        <v>25</v>
      </c>
      <c r="G1098">
        <v>173.44810000000001</v>
      </c>
      <c r="H1098" t="s">
        <v>26</v>
      </c>
      <c r="I1098">
        <v>173448.101</v>
      </c>
      <c r="J1098" t="s">
        <v>27</v>
      </c>
      <c r="K1098" t="s">
        <v>33</v>
      </c>
      <c r="L1098">
        <v>5.7654133999999999</v>
      </c>
    </row>
    <row r="1099" spans="1:12" x14ac:dyDescent="0.3">
      <c r="A1099" t="s">
        <v>83</v>
      </c>
      <c r="B1099" t="s">
        <v>34</v>
      </c>
      <c r="C1099">
        <v>90</v>
      </c>
      <c r="D1099" t="s">
        <v>32</v>
      </c>
      <c r="E1099">
        <v>1.1075E-2</v>
      </c>
      <c r="F1099" t="s">
        <v>25</v>
      </c>
      <c r="G1099">
        <v>11.07516</v>
      </c>
      <c r="H1099" t="s">
        <v>26</v>
      </c>
      <c r="I1099">
        <v>11075.164000000001</v>
      </c>
      <c r="J1099" t="s">
        <v>27</v>
      </c>
      <c r="K1099" t="s">
        <v>33</v>
      </c>
      <c r="L1099">
        <v>90.292114900000001</v>
      </c>
    </row>
    <row r="1100" spans="1:12" x14ac:dyDescent="0.3">
      <c r="A1100" t="s">
        <v>83</v>
      </c>
      <c r="B1100" t="s">
        <v>35</v>
      </c>
      <c r="C1100">
        <v>91</v>
      </c>
      <c r="D1100" t="s">
        <v>32</v>
      </c>
      <c r="E1100">
        <v>1.2859000000000001E-2</v>
      </c>
      <c r="F1100" t="s">
        <v>25</v>
      </c>
      <c r="G1100">
        <v>12.85948</v>
      </c>
      <c r="H1100" t="s">
        <v>26</v>
      </c>
      <c r="I1100">
        <v>12859.482</v>
      </c>
      <c r="J1100" t="s">
        <v>27</v>
      </c>
      <c r="K1100" t="s">
        <v>33</v>
      </c>
      <c r="L1100">
        <v>77.763629800000004</v>
      </c>
    </row>
    <row r="1101" spans="1:12" x14ac:dyDescent="0.3">
      <c r="A1101" t="s">
        <v>84</v>
      </c>
      <c r="B1101" t="s">
        <v>23</v>
      </c>
      <c r="C1101">
        <v>2</v>
      </c>
      <c r="D1101" t="s">
        <v>37</v>
      </c>
      <c r="E1101">
        <v>0.164325</v>
      </c>
      <c r="F1101" t="s">
        <v>25</v>
      </c>
      <c r="G1101">
        <v>164.32544999999999</v>
      </c>
      <c r="H1101" t="s">
        <v>26</v>
      </c>
      <c r="I1101">
        <v>164325.446</v>
      </c>
      <c r="J1101" t="s">
        <v>27</v>
      </c>
      <c r="K1101" t="s">
        <v>33</v>
      </c>
      <c r="L1101">
        <v>6.0854847999999997</v>
      </c>
    </row>
    <row r="1102" spans="1:12" x14ac:dyDescent="0.3">
      <c r="A1102" t="s">
        <v>84</v>
      </c>
      <c r="B1102" t="s">
        <v>34</v>
      </c>
      <c r="C1102">
        <v>999</v>
      </c>
      <c r="D1102" t="s">
        <v>37</v>
      </c>
      <c r="E1102">
        <v>9.8499999999999998E-4</v>
      </c>
      <c r="F1102" t="s">
        <v>25</v>
      </c>
      <c r="G1102">
        <v>0.98487999999999998</v>
      </c>
      <c r="H1102" t="s">
        <v>26</v>
      </c>
      <c r="I1102">
        <v>984.87900000000002</v>
      </c>
      <c r="J1102" t="s">
        <v>27</v>
      </c>
      <c r="K1102" t="s">
        <v>33</v>
      </c>
      <c r="L1102">
        <v>1015.3528591</v>
      </c>
    </row>
    <row r="1103" spans="1:12" x14ac:dyDescent="0.3">
      <c r="A1103" t="s">
        <v>84</v>
      </c>
      <c r="B1103" t="s">
        <v>36</v>
      </c>
      <c r="C1103">
        <v>1001</v>
      </c>
      <c r="D1103" t="s">
        <v>37</v>
      </c>
      <c r="E1103">
        <v>1.17E-3</v>
      </c>
      <c r="F1103" t="s">
        <v>25</v>
      </c>
      <c r="G1103">
        <v>1.1702699999999999</v>
      </c>
      <c r="H1103" t="s">
        <v>26</v>
      </c>
      <c r="I1103">
        <v>1170.2660000000001</v>
      </c>
      <c r="J1103" t="s">
        <v>27</v>
      </c>
      <c r="K1103" t="s">
        <v>33</v>
      </c>
      <c r="L1103">
        <v>854.50689809999994</v>
      </c>
    </row>
    <row r="1105" spans="1:12" x14ac:dyDescent="0.3">
      <c r="A1105" t="s">
        <v>100</v>
      </c>
    </row>
    <row r="1106" spans="1:12" x14ac:dyDescent="0.3">
      <c r="A1106" t="s">
        <v>82</v>
      </c>
      <c r="B1106" t="s">
        <v>23</v>
      </c>
      <c r="C1106">
        <v>1</v>
      </c>
      <c r="D1106" t="s">
        <v>32</v>
      </c>
      <c r="E1106">
        <v>7.5630000000000003E-3</v>
      </c>
      <c r="F1106" t="s">
        <v>25</v>
      </c>
      <c r="G1106">
        <v>7.5629</v>
      </c>
      <c r="H1106" t="s">
        <v>26</v>
      </c>
      <c r="I1106">
        <v>7562.9</v>
      </c>
      <c r="J1106" t="s">
        <v>27</v>
      </c>
      <c r="K1106" t="s">
        <v>33</v>
      </c>
      <c r="L1106">
        <v>132.22441190000001</v>
      </c>
    </row>
    <row r="1107" spans="1:12" x14ac:dyDescent="0.3">
      <c r="A1107" t="s">
        <v>82</v>
      </c>
      <c r="B1107" t="s">
        <v>34</v>
      </c>
      <c r="C1107">
        <v>870</v>
      </c>
      <c r="D1107" t="s">
        <v>32</v>
      </c>
      <c r="E1107">
        <v>1.9559999999999998E-3</v>
      </c>
      <c r="F1107" t="s">
        <v>25</v>
      </c>
      <c r="G1107">
        <v>1.9563999999999999</v>
      </c>
      <c r="H1107" t="s">
        <v>26</v>
      </c>
      <c r="I1107">
        <v>1956.402</v>
      </c>
      <c r="J1107" t="s">
        <v>27</v>
      </c>
      <c r="K1107" t="s">
        <v>33</v>
      </c>
      <c r="L1107">
        <v>511.14231560000002</v>
      </c>
    </row>
    <row r="1108" spans="1:12" x14ac:dyDescent="0.3">
      <c r="A1108" t="s">
        <v>82</v>
      </c>
      <c r="B1108" t="s">
        <v>35</v>
      </c>
      <c r="C1108">
        <v>871</v>
      </c>
      <c r="D1108" t="s">
        <v>32</v>
      </c>
      <c r="E1108">
        <v>1.9629999999999999E-3</v>
      </c>
      <c r="F1108" t="s">
        <v>25</v>
      </c>
      <c r="G1108">
        <v>1.9628399999999999</v>
      </c>
      <c r="H1108" t="s">
        <v>26</v>
      </c>
      <c r="I1108">
        <v>1962.8389999999999</v>
      </c>
      <c r="J1108" t="s">
        <v>27</v>
      </c>
      <c r="K1108" t="s">
        <v>33</v>
      </c>
      <c r="L1108">
        <v>509.46610440000001</v>
      </c>
    </row>
    <row r="1109" spans="1:12" x14ac:dyDescent="0.3">
      <c r="A1109" t="s">
        <v>83</v>
      </c>
      <c r="B1109" t="s">
        <v>23</v>
      </c>
      <c r="C1109">
        <v>1</v>
      </c>
      <c r="D1109" t="s">
        <v>32</v>
      </c>
      <c r="E1109">
        <v>2.1248E-2</v>
      </c>
      <c r="F1109" t="s">
        <v>25</v>
      </c>
      <c r="G1109">
        <v>21.2484</v>
      </c>
      <c r="H1109" t="s">
        <v>26</v>
      </c>
      <c r="I1109">
        <v>21248.400000000001</v>
      </c>
      <c r="J1109" t="s">
        <v>27</v>
      </c>
      <c r="K1109" t="s">
        <v>33</v>
      </c>
      <c r="L1109">
        <v>47.062366599999997</v>
      </c>
    </row>
    <row r="1110" spans="1:12" x14ac:dyDescent="0.3">
      <c r="A1110" t="s">
        <v>83</v>
      </c>
      <c r="B1110" t="s">
        <v>34</v>
      </c>
      <c r="C1110">
        <v>129</v>
      </c>
      <c r="D1110" t="s">
        <v>32</v>
      </c>
      <c r="E1110">
        <v>1.3193E-2</v>
      </c>
      <c r="F1110" t="s">
        <v>25</v>
      </c>
      <c r="G1110">
        <v>13.19317</v>
      </c>
      <c r="H1110" t="s">
        <v>26</v>
      </c>
      <c r="I1110">
        <v>13193.168</v>
      </c>
      <c r="J1110" t="s">
        <v>27</v>
      </c>
      <c r="K1110" t="s">
        <v>33</v>
      </c>
      <c r="L1110">
        <v>75.796804199999997</v>
      </c>
    </row>
    <row r="1111" spans="1:12" x14ac:dyDescent="0.3">
      <c r="A1111" t="s">
        <v>83</v>
      </c>
      <c r="B1111" t="s">
        <v>35</v>
      </c>
      <c r="C1111">
        <v>130</v>
      </c>
      <c r="D1111" t="s">
        <v>32</v>
      </c>
      <c r="E1111">
        <v>1.3254999999999999E-2</v>
      </c>
      <c r="F1111" t="s">
        <v>25</v>
      </c>
      <c r="G1111">
        <v>13.255129999999999</v>
      </c>
      <c r="H1111" t="s">
        <v>26</v>
      </c>
      <c r="I1111">
        <v>13255.132</v>
      </c>
      <c r="J1111" t="s">
        <v>27</v>
      </c>
      <c r="K1111" t="s">
        <v>33</v>
      </c>
      <c r="L1111">
        <v>75.442476799999994</v>
      </c>
    </row>
    <row r="1112" spans="1:12" x14ac:dyDescent="0.3">
      <c r="A1112" t="s">
        <v>84</v>
      </c>
      <c r="B1112" t="s">
        <v>23</v>
      </c>
      <c r="C1112">
        <v>2</v>
      </c>
      <c r="D1112" t="s">
        <v>37</v>
      </c>
      <c r="E1112">
        <v>1.0629E-2</v>
      </c>
      <c r="F1112" t="s">
        <v>25</v>
      </c>
      <c r="G1112">
        <v>10.629300000000001</v>
      </c>
      <c r="H1112" t="s">
        <v>26</v>
      </c>
      <c r="I1112">
        <v>10629.3</v>
      </c>
      <c r="J1112" t="s">
        <v>27</v>
      </c>
      <c r="K1112" t="s">
        <v>33</v>
      </c>
      <c r="L1112">
        <v>94.079572299999995</v>
      </c>
    </row>
    <row r="1113" spans="1:12" x14ac:dyDescent="0.3">
      <c r="A1113" t="s">
        <v>84</v>
      </c>
      <c r="B1113" t="s">
        <v>34</v>
      </c>
      <c r="C1113">
        <v>999</v>
      </c>
      <c r="D1113" t="s">
        <v>37</v>
      </c>
      <c r="E1113">
        <v>1.7240000000000001E-3</v>
      </c>
      <c r="F1113" t="s">
        <v>25</v>
      </c>
      <c r="G1113">
        <v>1.7242</v>
      </c>
      <c r="H1113" t="s">
        <v>26</v>
      </c>
      <c r="I1113">
        <v>1724.1980000000001</v>
      </c>
      <c r="J1113" t="s">
        <v>27</v>
      </c>
      <c r="K1113" t="s">
        <v>33</v>
      </c>
      <c r="L1113">
        <v>579.97993459999998</v>
      </c>
    </row>
    <row r="1114" spans="1:12" x14ac:dyDescent="0.3">
      <c r="A1114" t="s">
        <v>84</v>
      </c>
      <c r="B1114" t="s">
        <v>36</v>
      </c>
      <c r="C1114">
        <v>1001</v>
      </c>
      <c r="D1114" t="s">
        <v>37</v>
      </c>
      <c r="E1114">
        <v>1.732E-3</v>
      </c>
      <c r="F1114" t="s">
        <v>25</v>
      </c>
      <c r="G1114">
        <v>1.73177</v>
      </c>
      <c r="H1114" t="s">
        <v>26</v>
      </c>
      <c r="I1114">
        <v>1731.7719999999999</v>
      </c>
      <c r="J1114" t="s">
        <v>27</v>
      </c>
      <c r="K1114" t="s">
        <v>33</v>
      </c>
      <c r="L1114">
        <v>577.44324419999998</v>
      </c>
    </row>
    <row r="1116" spans="1:12" x14ac:dyDescent="0.3">
      <c r="A1116" t="s">
        <v>1</v>
      </c>
    </row>
    <row r="1117" spans="1:12" x14ac:dyDescent="0.3">
      <c r="A1117" t="s">
        <v>103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K52"/>
  <sheetViews>
    <sheetView tabSelected="1" topLeftCell="DF1" workbookViewId="0">
      <selection activeCell="FK53" sqref="FK53"/>
    </sheetView>
  </sheetViews>
  <sheetFormatPr defaultRowHeight="14.4" x14ac:dyDescent="0.3"/>
  <cols>
    <col min="12" max="12" width="10" bestFit="1" customWidth="1"/>
    <col min="139" max="139" width="12" bestFit="1" customWidth="1"/>
    <col min="153" max="153" width="12" bestFit="1" customWidth="1"/>
    <col min="167" max="167" width="12" bestFit="1" customWidth="1"/>
  </cols>
  <sheetData>
    <row r="1" spans="1:167" x14ac:dyDescent="0.3">
      <c r="B1" t="s">
        <v>2</v>
      </c>
      <c r="P1" t="s">
        <v>43</v>
      </c>
      <c r="AD1" t="s">
        <v>45</v>
      </c>
      <c r="AR1" t="s">
        <v>47</v>
      </c>
      <c r="BF1" t="s">
        <v>60</v>
      </c>
      <c r="BT1" t="s">
        <v>62</v>
      </c>
      <c r="CH1" t="s">
        <v>64</v>
      </c>
      <c r="CV1" t="s">
        <v>74</v>
      </c>
      <c r="DJ1" t="s">
        <v>76</v>
      </c>
      <c r="DW1">
        <v>17</v>
      </c>
      <c r="DX1" t="s">
        <v>87</v>
      </c>
      <c r="EK1">
        <v>18</v>
      </c>
      <c r="EL1" t="s">
        <v>99</v>
      </c>
      <c r="EY1">
        <v>18</v>
      </c>
      <c r="EZ1" t="s">
        <v>99</v>
      </c>
    </row>
    <row r="2" spans="1:167" ht="14.4" customHeight="1" x14ac:dyDescent="0.3">
      <c r="B2" s="1" t="s">
        <v>104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P2" s="1" t="s">
        <v>108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D2" s="1" t="s">
        <v>109</v>
      </c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R2" s="1" t="s">
        <v>110</v>
      </c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F2" s="1" t="s">
        <v>111</v>
      </c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T2" s="1" t="s">
        <v>112</v>
      </c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H2" s="1" t="s">
        <v>113</v>
      </c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V2" s="1" t="s">
        <v>114</v>
      </c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J2" s="1" t="s">
        <v>115</v>
      </c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X2" t="s">
        <v>82</v>
      </c>
      <c r="DY2" t="s">
        <v>23</v>
      </c>
      <c r="DZ2">
        <v>1</v>
      </c>
      <c r="EA2" t="s">
        <v>32</v>
      </c>
      <c r="EB2">
        <v>0.37041000000000002</v>
      </c>
      <c r="EC2" t="s">
        <v>25</v>
      </c>
      <c r="ED2">
        <v>370.41010999999997</v>
      </c>
      <c r="EE2" t="s">
        <v>26</v>
      </c>
      <c r="EF2">
        <v>370410.11499999999</v>
      </c>
      <c r="EG2" t="s">
        <v>27</v>
      </c>
      <c r="EH2" t="s">
        <v>33</v>
      </c>
      <c r="EI2">
        <v>2.6997103</v>
      </c>
      <c r="EL2" t="s">
        <v>82</v>
      </c>
      <c r="EM2" t="s">
        <v>23</v>
      </c>
      <c r="EN2">
        <v>1</v>
      </c>
      <c r="EO2" t="s">
        <v>32</v>
      </c>
      <c r="EP2">
        <v>0.33181300000000002</v>
      </c>
      <c r="EQ2" t="s">
        <v>25</v>
      </c>
      <c r="ER2">
        <v>331.81331</v>
      </c>
      <c r="ES2" t="s">
        <v>26</v>
      </c>
      <c r="ET2">
        <v>331813.30599999998</v>
      </c>
      <c r="EU2" t="s">
        <v>27</v>
      </c>
      <c r="EV2" t="s">
        <v>33</v>
      </c>
      <c r="EW2">
        <v>3.0137429</v>
      </c>
      <c r="EZ2" t="s">
        <v>82</v>
      </c>
      <c r="FA2" t="s">
        <v>23</v>
      </c>
      <c r="FB2">
        <v>1</v>
      </c>
      <c r="FC2" t="s">
        <v>32</v>
      </c>
      <c r="FD2">
        <v>0.32863500000000001</v>
      </c>
      <c r="FE2" t="s">
        <v>25</v>
      </c>
      <c r="FF2">
        <v>328.63501000000002</v>
      </c>
      <c r="FG2" t="s">
        <v>26</v>
      </c>
      <c r="FH2">
        <v>328635.00699999998</v>
      </c>
      <c r="FI2" t="s">
        <v>27</v>
      </c>
      <c r="FJ2" t="s">
        <v>33</v>
      </c>
      <c r="FK2">
        <v>3.0428894999999998</v>
      </c>
    </row>
    <row r="3" spans="1:167" x14ac:dyDescent="0.3">
      <c r="DX3" t="s">
        <v>82</v>
      </c>
      <c r="DY3" t="s">
        <v>34</v>
      </c>
      <c r="DZ3">
        <v>593</v>
      </c>
      <c r="EA3" t="s">
        <v>32</v>
      </c>
      <c r="EB3">
        <v>7.2870000000000001E-3</v>
      </c>
      <c r="EC3" t="s">
        <v>25</v>
      </c>
      <c r="ED3">
        <v>7.2869000000000002</v>
      </c>
      <c r="EE3" t="s">
        <v>26</v>
      </c>
      <c r="EF3">
        <v>7286.9030000000002</v>
      </c>
      <c r="EG3" t="s">
        <v>27</v>
      </c>
      <c r="EH3" t="s">
        <v>33</v>
      </c>
      <c r="EI3">
        <v>137.23250730000001</v>
      </c>
      <c r="EL3" t="s">
        <v>82</v>
      </c>
      <c r="EM3" t="s">
        <v>34</v>
      </c>
      <c r="EN3">
        <v>950</v>
      </c>
      <c r="EO3" t="s">
        <v>32</v>
      </c>
      <c r="EP3">
        <v>3.6900000000000002E-4</v>
      </c>
      <c r="EQ3" t="s">
        <v>25</v>
      </c>
      <c r="ER3">
        <v>0.36854999999999999</v>
      </c>
      <c r="ES3" t="s">
        <v>26</v>
      </c>
      <c r="ET3">
        <v>368.54599999999999</v>
      </c>
      <c r="EU3" t="s">
        <v>27</v>
      </c>
      <c r="EV3" t="s">
        <v>33</v>
      </c>
      <c r="EW3">
        <v>2713.3627498999999</v>
      </c>
      <c r="EZ3" t="s">
        <v>82</v>
      </c>
      <c r="FA3" t="s">
        <v>34</v>
      </c>
      <c r="FB3">
        <v>909</v>
      </c>
      <c r="FC3" t="s">
        <v>32</v>
      </c>
      <c r="FD3">
        <v>9.0700000000000004E-4</v>
      </c>
      <c r="FE3" t="s">
        <v>25</v>
      </c>
      <c r="FF3">
        <v>0.90663000000000005</v>
      </c>
      <c r="FG3" t="s">
        <v>26</v>
      </c>
      <c r="FH3">
        <v>906.63400000000001</v>
      </c>
      <c r="FI3" t="s">
        <v>27</v>
      </c>
      <c r="FJ3" t="s">
        <v>33</v>
      </c>
      <c r="FK3">
        <v>1102.9806893</v>
      </c>
    </row>
    <row r="4" spans="1:167" x14ac:dyDescent="0.3">
      <c r="A4">
        <v>18</v>
      </c>
      <c r="B4" t="s">
        <v>41</v>
      </c>
      <c r="O4">
        <v>18</v>
      </c>
      <c r="P4" t="s">
        <v>41</v>
      </c>
      <c r="AC4">
        <v>18</v>
      </c>
      <c r="AD4" t="s">
        <v>41</v>
      </c>
      <c r="AQ4">
        <v>18</v>
      </c>
      <c r="AR4" t="s">
        <v>58</v>
      </c>
      <c r="BE4">
        <v>18</v>
      </c>
      <c r="BF4" t="s">
        <v>58</v>
      </c>
      <c r="BS4">
        <v>18</v>
      </c>
      <c r="BT4" t="s">
        <v>58</v>
      </c>
      <c r="CG4">
        <v>18</v>
      </c>
      <c r="CH4" t="s">
        <v>72</v>
      </c>
      <c r="CU4">
        <v>18</v>
      </c>
      <c r="CV4" t="s">
        <v>72</v>
      </c>
      <c r="DI4">
        <v>18</v>
      </c>
      <c r="DJ4" t="s">
        <v>72</v>
      </c>
      <c r="DX4" t="s">
        <v>82</v>
      </c>
      <c r="DY4" t="s">
        <v>35</v>
      </c>
      <c r="DZ4">
        <v>594</v>
      </c>
      <c r="EA4" t="s">
        <v>32</v>
      </c>
      <c r="EB4">
        <v>7.8980000000000005E-3</v>
      </c>
      <c r="EC4" t="s">
        <v>25</v>
      </c>
      <c r="ED4">
        <v>7.8982200000000002</v>
      </c>
      <c r="EE4" t="s">
        <v>26</v>
      </c>
      <c r="EF4">
        <v>7898.2209999999995</v>
      </c>
      <c r="EG4" t="s">
        <v>27</v>
      </c>
      <c r="EH4" t="s">
        <v>33</v>
      </c>
      <c r="EI4">
        <v>126.61079460000001</v>
      </c>
      <c r="EL4" t="s">
        <v>82</v>
      </c>
      <c r="EM4" t="s">
        <v>35</v>
      </c>
      <c r="EN4">
        <v>951</v>
      </c>
      <c r="EO4" t="s">
        <v>32</v>
      </c>
      <c r="EP4">
        <v>7.1699999999999997E-4</v>
      </c>
      <c r="EQ4" t="s">
        <v>25</v>
      </c>
      <c r="ER4">
        <v>0.71706999999999999</v>
      </c>
      <c r="ES4" t="s">
        <v>26</v>
      </c>
      <c r="ET4">
        <v>717.06899999999996</v>
      </c>
      <c r="EU4" t="s">
        <v>27</v>
      </c>
      <c r="EV4" t="s">
        <v>33</v>
      </c>
      <c r="EW4">
        <v>1394.5662812999999</v>
      </c>
      <c r="EZ4" t="s">
        <v>82</v>
      </c>
      <c r="FA4" t="s">
        <v>35</v>
      </c>
      <c r="FB4">
        <v>910</v>
      </c>
      <c r="FC4" t="s">
        <v>32</v>
      </c>
      <c r="FD4">
        <v>1.2669999999999999E-3</v>
      </c>
      <c r="FE4" t="s">
        <v>25</v>
      </c>
      <c r="FF4">
        <v>1.26678</v>
      </c>
      <c r="FG4" t="s">
        <v>26</v>
      </c>
      <c r="FH4">
        <v>1266.7760000000001</v>
      </c>
      <c r="FI4" t="s">
        <v>27</v>
      </c>
      <c r="FJ4" t="s">
        <v>33</v>
      </c>
      <c r="FK4">
        <v>789.40582619999998</v>
      </c>
    </row>
    <row r="5" spans="1:167" x14ac:dyDescent="0.3">
      <c r="B5" t="s">
        <v>23</v>
      </c>
      <c r="C5">
        <v>1</v>
      </c>
      <c r="D5" t="s">
        <v>32</v>
      </c>
      <c r="E5">
        <v>0.3729094</v>
      </c>
      <c r="F5" t="s">
        <v>25</v>
      </c>
      <c r="G5">
        <v>372.90940000000001</v>
      </c>
      <c r="H5" t="s">
        <v>26</v>
      </c>
      <c r="I5">
        <v>372909.397</v>
      </c>
      <c r="J5" t="s">
        <v>27</v>
      </c>
      <c r="K5" t="s">
        <v>33</v>
      </c>
      <c r="L5">
        <v>2.6816165000000001</v>
      </c>
      <c r="P5" t="s">
        <v>23</v>
      </c>
      <c r="Q5">
        <v>1</v>
      </c>
      <c r="R5" t="s">
        <v>32</v>
      </c>
      <c r="S5">
        <v>0.31125029999999998</v>
      </c>
      <c r="T5" t="s">
        <v>25</v>
      </c>
      <c r="U5">
        <v>311.25029999999998</v>
      </c>
      <c r="V5" t="s">
        <v>26</v>
      </c>
      <c r="W5">
        <v>311250.299</v>
      </c>
      <c r="X5" t="s">
        <v>27</v>
      </c>
      <c r="Y5" t="s">
        <v>33</v>
      </c>
      <c r="Z5">
        <v>3.2128483000000001</v>
      </c>
      <c r="AD5" t="s">
        <v>23</v>
      </c>
      <c r="AE5">
        <v>1</v>
      </c>
      <c r="AF5" t="s">
        <v>32</v>
      </c>
      <c r="AG5">
        <v>0.31700098999999998</v>
      </c>
      <c r="AH5" t="s">
        <v>25</v>
      </c>
      <c r="AI5">
        <v>317.00099</v>
      </c>
      <c r="AJ5" t="s">
        <v>26</v>
      </c>
      <c r="AK5">
        <v>317000.98499999999</v>
      </c>
      <c r="AL5" t="s">
        <v>27</v>
      </c>
      <c r="AM5" t="s">
        <v>33</v>
      </c>
      <c r="AN5">
        <v>3.1545643000000001</v>
      </c>
      <c r="AR5" t="s">
        <v>23</v>
      </c>
      <c r="AS5">
        <v>1</v>
      </c>
      <c r="AT5" t="s">
        <v>32</v>
      </c>
      <c r="AU5">
        <v>0.16378669000000001</v>
      </c>
      <c r="AV5" t="s">
        <v>25</v>
      </c>
      <c r="AW5">
        <v>163.78668999999999</v>
      </c>
      <c r="AX5" t="s">
        <v>26</v>
      </c>
      <c r="AY5">
        <v>163786.69399999999</v>
      </c>
      <c r="AZ5" t="s">
        <v>27</v>
      </c>
      <c r="BA5" t="s">
        <v>33</v>
      </c>
      <c r="BB5">
        <v>6.1055020999999998</v>
      </c>
      <c r="BF5" t="s">
        <v>23</v>
      </c>
      <c r="BG5">
        <v>1</v>
      </c>
      <c r="BH5" t="s">
        <v>32</v>
      </c>
      <c r="BI5">
        <v>0.1626341</v>
      </c>
      <c r="BJ5" t="s">
        <v>25</v>
      </c>
      <c r="BK5">
        <v>162.63409999999999</v>
      </c>
      <c r="BL5" t="s">
        <v>26</v>
      </c>
      <c r="BM5">
        <v>162634.10399999999</v>
      </c>
      <c r="BN5" t="s">
        <v>27</v>
      </c>
      <c r="BO5" t="s">
        <v>33</v>
      </c>
      <c r="BP5">
        <v>6.1487717999999996</v>
      </c>
      <c r="BT5" t="s">
        <v>23</v>
      </c>
      <c r="BU5">
        <v>1</v>
      </c>
      <c r="BV5" t="s">
        <v>32</v>
      </c>
      <c r="BW5">
        <v>0.16176779999999999</v>
      </c>
      <c r="BX5" t="s">
        <v>25</v>
      </c>
      <c r="BY5">
        <v>161.76779999999999</v>
      </c>
      <c r="BZ5" t="s">
        <v>26</v>
      </c>
      <c r="CA5">
        <v>161767.796</v>
      </c>
      <c r="CB5" t="s">
        <v>27</v>
      </c>
      <c r="CC5" t="s">
        <v>33</v>
      </c>
      <c r="CD5">
        <v>6.1817000999999996</v>
      </c>
      <c r="CH5" t="s">
        <v>23</v>
      </c>
      <c r="CI5">
        <v>1</v>
      </c>
      <c r="CJ5" t="s">
        <v>32</v>
      </c>
      <c r="CK5">
        <v>0.16251950000000001</v>
      </c>
      <c r="CL5" t="s">
        <v>25</v>
      </c>
      <c r="CM5">
        <v>162.51949999999999</v>
      </c>
      <c r="CN5" t="s">
        <v>26</v>
      </c>
      <c r="CO5">
        <v>162519.5</v>
      </c>
      <c r="CP5" t="s">
        <v>27</v>
      </c>
      <c r="CQ5" t="s">
        <v>33</v>
      </c>
      <c r="CR5">
        <v>6.1531077999999999</v>
      </c>
      <c r="CV5" t="s">
        <v>23</v>
      </c>
      <c r="CW5">
        <v>1</v>
      </c>
      <c r="CX5" t="s">
        <v>32</v>
      </c>
      <c r="CY5">
        <v>0.17302350999999999</v>
      </c>
      <c r="CZ5" t="s">
        <v>25</v>
      </c>
      <c r="DA5">
        <v>173.02350999999999</v>
      </c>
      <c r="DB5" t="s">
        <v>26</v>
      </c>
      <c r="DC5">
        <v>173023.50700000001</v>
      </c>
      <c r="DD5" t="s">
        <v>27</v>
      </c>
      <c r="DE5" t="s">
        <v>33</v>
      </c>
      <c r="DF5">
        <v>5.7795614999999998</v>
      </c>
      <c r="DJ5" t="s">
        <v>23</v>
      </c>
      <c r="DK5">
        <v>1</v>
      </c>
      <c r="DL5" t="s">
        <v>32</v>
      </c>
      <c r="DM5">
        <v>0.16875498999999999</v>
      </c>
      <c r="DN5" t="s">
        <v>25</v>
      </c>
      <c r="DO5">
        <v>168.75498999999999</v>
      </c>
      <c r="DP5" t="s">
        <v>26</v>
      </c>
      <c r="DQ5">
        <v>168754.995</v>
      </c>
      <c r="DR5" t="s">
        <v>27</v>
      </c>
      <c r="DS5" t="s">
        <v>33</v>
      </c>
      <c r="DT5">
        <v>5.9257505000000004</v>
      </c>
      <c r="DX5" t="s">
        <v>83</v>
      </c>
      <c r="DY5" t="s">
        <v>23</v>
      </c>
      <c r="DZ5">
        <v>1</v>
      </c>
      <c r="EA5" t="s">
        <v>32</v>
      </c>
      <c r="EB5">
        <v>0.16236400000000001</v>
      </c>
      <c r="EC5" t="s">
        <v>25</v>
      </c>
      <c r="ED5">
        <v>162.36410000000001</v>
      </c>
      <c r="EE5" t="s">
        <v>26</v>
      </c>
      <c r="EF5">
        <v>162364.095</v>
      </c>
      <c r="EG5" t="s">
        <v>27</v>
      </c>
      <c r="EH5" t="s">
        <v>33</v>
      </c>
      <c r="EI5">
        <v>6.1589970999999997</v>
      </c>
      <c r="EL5" t="s">
        <v>83</v>
      </c>
      <c r="EM5" t="s">
        <v>23</v>
      </c>
      <c r="EN5">
        <v>1</v>
      </c>
      <c r="EO5" t="s">
        <v>32</v>
      </c>
      <c r="EP5">
        <v>0.16889499999999999</v>
      </c>
      <c r="EQ5" t="s">
        <v>25</v>
      </c>
      <c r="ER5">
        <v>168.89519999999999</v>
      </c>
      <c r="ES5" t="s">
        <v>26</v>
      </c>
      <c r="ET5">
        <v>168895.2</v>
      </c>
      <c r="EU5" t="s">
        <v>27</v>
      </c>
      <c r="EV5" t="s">
        <v>33</v>
      </c>
      <c r="EW5">
        <v>5.9208314</v>
      </c>
      <c r="EZ5" t="s">
        <v>83</v>
      </c>
      <c r="FA5" t="s">
        <v>23</v>
      </c>
      <c r="FB5">
        <v>1</v>
      </c>
      <c r="FC5" t="s">
        <v>32</v>
      </c>
      <c r="FD5">
        <v>0.17344799999999999</v>
      </c>
      <c r="FE5" t="s">
        <v>25</v>
      </c>
      <c r="FF5">
        <v>173.44810000000001</v>
      </c>
      <c r="FG5" t="s">
        <v>26</v>
      </c>
      <c r="FH5">
        <v>173448.101</v>
      </c>
      <c r="FI5" t="s">
        <v>27</v>
      </c>
      <c r="FJ5" t="s">
        <v>33</v>
      </c>
      <c r="FK5">
        <v>5.7654133999999999</v>
      </c>
    </row>
    <row r="6" spans="1:167" x14ac:dyDescent="0.3">
      <c r="B6" t="s">
        <v>34</v>
      </c>
      <c r="C6">
        <v>1000</v>
      </c>
      <c r="D6" t="s">
        <v>32</v>
      </c>
      <c r="E6">
        <v>7.8430999999999998E-4</v>
      </c>
      <c r="F6" t="s">
        <v>25</v>
      </c>
      <c r="G6">
        <v>0.78430999999999995</v>
      </c>
      <c r="H6" t="s">
        <v>26</v>
      </c>
      <c r="I6">
        <v>784.31500000000005</v>
      </c>
      <c r="J6" t="s">
        <v>27</v>
      </c>
      <c r="K6" t="s">
        <v>33</v>
      </c>
      <c r="L6">
        <v>1274.9979443</v>
      </c>
      <c r="P6" t="s">
        <v>34</v>
      </c>
      <c r="Q6">
        <v>1000</v>
      </c>
      <c r="R6" t="s">
        <v>32</v>
      </c>
      <c r="S6">
        <v>4.5949000000000001E-4</v>
      </c>
      <c r="T6" t="s">
        <v>25</v>
      </c>
      <c r="U6">
        <v>0.45949000000000001</v>
      </c>
      <c r="V6" t="s">
        <v>26</v>
      </c>
      <c r="W6">
        <v>459.49099999999999</v>
      </c>
      <c r="X6" t="s">
        <v>27</v>
      </c>
      <c r="Y6" t="s">
        <v>33</v>
      </c>
      <c r="Z6">
        <v>2176.3201334999999</v>
      </c>
      <c r="AD6" t="s">
        <v>34</v>
      </c>
      <c r="AE6">
        <v>1000</v>
      </c>
      <c r="AF6" t="s">
        <v>32</v>
      </c>
      <c r="AG6">
        <v>9.1179E-4</v>
      </c>
      <c r="AH6" t="s">
        <v>25</v>
      </c>
      <c r="AI6">
        <v>0.91178999999999999</v>
      </c>
      <c r="AJ6" t="s">
        <v>26</v>
      </c>
      <c r="AK6">
        <v>911.79100000000005</v>
      </c>
      <c r="AL6" t="s">
        <v>27</v>
      </c>
      <c r="AM6" t="s">
        <v>33</v>
      </c>
      <c r="AN6">
        <v>1096.7423894999999</v>
      </c>
      <c r="AR6" t="s">
        <v>34</v>
      </c>
      <c r="AS6">
        <v>1000</v>
      </c>
      <c r="AT6" t="s">
        <v>32</v>
      </c>
      <c r="AU6">
        <v>9.6741000000000004E-4</v>
      </c>
      <c r="AV6" t="s">
        <v>25</v>
      </c>
      <c r="AW6">
        <v>0.96740999999999999</v>
      </c>
      <c r="AX6" t="s">
        <v>26</v>
      </c>
      <c r="AY6">
        <v>967.40700000000004</v>
      </c>
      <c r="AZ6" t="s">
        <v>27</v>
      </c>
      <c r="BA6" t="s">
        <v>33</v>
      </c>
      <c r="BB6">
        <v>1033.6906607000001</v>
      </c>
      <c r="BF6" t="s">
        <v>34</v>
      </c>
      <c r="BG6">
        <v>1000</v>
      </c>
      <c r="BH6" t="s">
        <v>32</v>
      </c>
      <c r="BI6">
        <v>1.298622E-2</v>
      </c>
      <c r="BJ6" t="s">
        <v>25</v>
      </c>
      <c r="BK6">
        <v>12.986219999999999</v>
      </c>
      <c r="BL6" t="s">
        <v>26</v>
      </c>
      <c r="BM6">
        <v>12986.22</v>
      </c>
      <c r="BN6" t="s">
        <v>27</v>
      </c>
      <c r="BO6" t="s">
        <v>33</v>
      </c>
      <c r="BP6">
        <v>77.004699799999997</v>
      </c>
      <c r="BT6" t="s">
        <v>34</v>
      </c>
      <c r="BU6">
        <v>1000</v>
      </c>
      <c r="BV6" t="s">
        <v>32</v>
      </c>
      <c r="BW6">
        <v>1.31267E-2</v>
      </c>
      <c r="BX6" t="s">
        <v>25</v>
      </c>
      <c r="BY6">
        <v>13.1267</v>
      </c>
      <c r="BZ6" t="s">
        <v>26</v>
      </c>
      <c r="CA6">
        <v>13126.701999999999</v>
      </c>
      <c r="CB6" t="s">
        <v>27</v>
      </c>
      <c r="CC6" t="s">
        <v>33</v>
      </c>
      <c r="CD6">
        <v>76.180595600000004</v>
      </c>
      <c r="CH6" t="s">
        <v>34</v>
      </c>
      <c r="CI6">
        <v>1000</v>
      </c>
      <c r="CJ6" t="s">
        <v>32</v>
      </c>
      <c r="CK6">
        <v>9.7417999999999995E-4</v>
      </c>
      <c r="CL6" t="s">
        <v>25</v>
      </c>
      <c r="CM6">
        <v>0.97418000000000005</v>
      </c>
      <c r="CN6" t="s">
        <v>26</v>
      </c>
      <c r="CO6">
        <v>974.18299999999999</v>
      </c>
      <c r="CP6" t="s">
        <v>27</v>
      </c>
      <c r="CQ6" t="s">
        <v>33</v>
      </c>
      <c r="CR6">
        <v>1026.5014708000001</v>
      </c>
      <c r="CV6" t="s">
        <v>34</v>
      </c>
      <c r="CW6">
        <v>1000</v>
      </c>
      <c r="CX6" t="s">
        <v>32</v>
      </c>
      <c r="CY6">
        <v>1.292637E-2</v>
      </c>
      <c r="CZ6" t="s">
        <v>25</v>
      </c>
      <c r="DA6">
        <v>12.92637</v>
      </c>
      <c r="DB6" t="s">
        <v>26</v>
      </c>
      <c r="DC6">
        <v>12926.373</v>
      </c>
      <c r="DD6" t="s">
        <v>27</v>
      </c>
      <c r="DE6" t="s">
        <v>33</v>
      </c>
      <c r="DF6">
        <v>77.361218199999996</v>
      </c>
      <c r="DJ6" t="s">
        <v>34</v>
      </c>
      <c r="DK6">
        <v>1000</v>
      </c>
      <c r="DL6" t="s">
        <v>32</v>
      </c>
      <c r="DM6">
        <v>1.326521E-2</v>
      </c>
      <c r="DN6" t="s">
        <v>25</v>
      </c>
      <c r="DO6">
        <v>13.26521</v>
      </c>
      <c r="DP6" t="s">
        <v>26</v>
      </c>
      <c r="DQ6">
        <v>13265.209000000001</v>
      </c>
      <c r="DR6" t="s">
        <v>27</v>
      </c>
      <c r="DS6" t="s">
        <v>33</v>
      </c>
      <c r="DT6">
        <v>75.3851662</v>
      </c>
      <c r="DX6" t="s">
        <v>83</v>
      </c>
      <c r="DY6" t="s">
        <v>34</v>
      </c>
      <c r="DZ6">
        <v>406</v>
      </c>
      <c r="EA6" t="s">
        <v>32</v>
      </c>
      <c r="EB6">
        <v>1.1147000000000001E-2</v>
      </c>
      <c r="EC6" t="s">
        <v>25</v>
      </c>
      <c r="ED6">
        <v>11.1472</v>
      </c>
      <c r="EE6" t="s">
        <v>26</v>
      </c>
      <c r="EF6">
        <v>11147.200999999999</v>
      </c>
      <c r="EG6" t="s">
        <v>27</v>
      </c>
      <c r="EH6" t="s">
        <v>33</v>
      </c>
      <c r="EI6">
        <v>89.708620199999999</v>
      </c>
      <c r="EL6" t="s">
        <v>83</v>
      </c>
      <c r="EM6" t="s">
        <v>34</v>
      </c>
      <c r="EN6">
        <v>49</v>
      </c>
      <c r="EO6" t="s">
        <v>32</v>
      </c>
      <c r="EP6">
        <v>1.0607E-2</v>
      </c>
      <c r="EQ6" t="s">
        <v>25</v>
      </c>
      <c r="ER6">
        <v>10.606769999999999</v>
      </c>
      <c r="ES6" t="s">
        <v>26</v>
      </c>
      <c r="ET6">
        <v>10606.773999999999</v>
      </c>
      <c r="EU6" t="s">
        <v>27</v>
      </c>
      <c r="EV6" t="s">
        <v>33</v>
      </c>
      <c r="EW6">
        <v>94.279370499999999</v>
      </c>
      <c r="EZ6" t="s">
        <v>83</v>
      </c>
      <c r="FA6" t="s">
        <v>34</v>
      </c>
      <c r="FB6">
        <v>90</v>
      </c>
      <c r="FC6" t="s">
        <v>32</v>
      </c>
      <c r="FD6">
        <v>1.1075E-2</v>
      </c>
      <c r="FE6" t="s">
        <v>25</v>
      </c>
      <c r="FF6">
        <v>11.07516</v>
      </c>
      <c r="FG6" t="s">
        <v>26</v>
      </c>
      <c r="FH6">
        <v>11075.164000000001</v>
      </c>
      <c r="FI6" t="s">
        <v>27</v>
      </c>
      <c r="FJ6" t="s">
        <v>33</v>
      </c>
      <c r="FK6">
        <v>90.292114900000001</v>
      </c>
    </row>
    <row r="7" spans="1:167" x14ac:dyDescent="0.3">
      <c r="B7" t="s">
        <v>36</v>
      </c>
      <c r="C7">
        <v>1001</v>
      </c>
      <c r="D7" t="s">
        <v>37</v>
      </c>
      <c r="E7">
        <v>1.1561900000000001E-3</v>
      </c>
      <c r="F7" t="s">
        <v>25</v>
      </c>
      <c r="G7">
        <v>1.1561900000000001</v>
      </c>
      <c r="H7" t="s">
        <v>26</v>
      </c>
      <c r="I7">
        <v>1156.193</v>
      </c>
      <c r="J7" t="s">
        <v>27</v>
      </c>
      <c r="K7" t="s">
        <v>33</v>
      </c>
      <c r="L7">
        <v>864.90774290000002</v>
      </c>
      <c r="P7" t="s">
        <v>36</v>
      </c>
      <c r="Q7">
        <v>1001</v>
      </c>
      <c r="R7" t="s">
        <v>37</v>
      </c>
      <c r="S7">
        <v>7.7015999999999999E-4</v>
      </c>
      <c r="T7" t="s">
        <v>25</v>
      </c>
      <c r="U7">
        <v>0.77015999999999996</v>
      </c>
      <c r="V7" t="s">
        <v>26</v>
      </c>
      <c r="W7">
        <v>770.16099999999994</v>
      </c>
      <c r="X7" t="s">
        <v>27</v>
      </c>
      <c r="Y7" t="s">
        <v>33</v>
      </c>
      <c r="Z7">
        <v>1298.4292677000001</v>
      </c>
      <c r="AD7" t="s">
        <v>36</v>
      </c>
      <c r="AE7">
        <v>1001</v>
      </c>
      <c r="AF7" t="s">
        <v>37</v>
      </c>
      <c r="AG7">
        <v>1.22776E-3</v>
      </c>
      <c r="AH7" t="s">
        <v>25</v>
      </c>
      <c r="AI7">
        <v>1.22776</v>
      </c>
      <c r="AJ7" t="s">
        <v>26</v>
      </c>
      <c r="AK7">
        <v>1227.7639999999999</v>
      </c>
      <c r="AL7" t="s">
        <v>27</v>
      </c>
      <c r="AM7" t="s">
        <v>33</v>
      </c>
      <c r="AN7">
        <v>814.48871029999998</v>
      </c>
      <c r="AR7" t="s">
        <v>36</v>
      </c>
      <c r="AS7">
        <v>1001</v>
      </c>
      <c r="AT7" t="s">
        <v>37</v>
      </c>
      <c r="AU7">
        <v>1.1302199999999999E-3</v>
      </c>
      <c r="AV7" t="s">
        <v>25</v>
      </c>
      <c r="AW7">
        <v>1.13022</v>
      </c>
      <c r="AX7" t="s">
        <v>26</v>
      </c>
      <c r="AY7">
        <v>1130.2170000000001</v>
      </c>
      <c r="AZ7" t="s">
        <v>27</v>
      </c>
      <c r="BA7" t="s">
        <v>33</v>
      </c>
      <c r="BB7">
        <v>884.78549850000002</v>
      </c>
      <c r="BF7" t="s">
        <v>36</v>
      </c>
      <c r="BG7">
        <v>1001</v>
      </c>
      <c r="BH7" t="s">
        <v>37</v>
      </c>
      <c r="BI7">
        <v>1.313633E-2</v>
      </c>
      <c r="BJ7" t="s">
        <v>25</v>
      </c>
      <c r="BK7">
        <v>13.136329999999999</v>
      </c>
      <c r="BL7" t="s">
        <v>26</v>
      </c>
      <c r="BM7">
        <v>13136.325000000001</v>
      </c>
      <c r="BN7" t="s">
        <v>27</v>
      </c>
      <c r="BO7" t="s">
        <v>33</v>
      </c>
      <c r="BP7">
        <v>76.124788899999999</v>
      </c>
      <c r="BT7" t="s">
        <v>36</v>
      </c>
      <c r="BU7">
        <v>1001</v>
      </c>
      <c r="BV7" t="s">
        <v>37</v>
      </c>
      <c r="BW7">
        <v>1.327556E-2</v>
      </c>
      <c r="BX7" t="s">
        <v>25</v>
      </c>
      <c r="BY7">
        <v>13.27556</v>
      </c>
      <c r="BZ7" t="s">
        <v>26</v>
      </c>
      <c r="CA7">
        <v>13275.558000000001</v>
      </c>
      <c r="CB7" t="s">
        <v>27</v>
      </c>
      <c r="CC7" t="s">
        <v>33</v>
      </c>
      <c r="CD7">
        <v>75.326400300000003</v>
      </c>
      <c r="CH7" t="s">
        <v>36</v>
      </c>
      <c r="CI7">
        <v>1001</v>
      </c>
      <c r="CJ7" t="s">
        <v>37</v>
      </c>
      <c r="CK7">
        <v>1.1357100000000001E-3</v>
      </c>
      <c r="CL7" t="s">
        <v>25</v>
      </c>
      <c r="CM7">
        <v>1.13571</v>
      </c>
      <c r="CN7" t="s">
        <v>26</v>
      </c>
      <c r="CO7">
        <v>1135.7070000000001</v>
      </c>
      <c r="CP7" t="s">
        <v>27</v>
      </c>
      <c r="CQ7" t="s">
        <v>33</v>
      </c>
      <c r="CR7">
        <v>880.50905420000004</v>
      </c>
      <c r="CV7" t="s">
        <v>36</v>
      </c>
      <c r="CW7">
        <v>1001</v>
      </c>
      <c r="CX7" t="s">
        <v>37</v>
      </c>
      <c r="CY7">
        <v>1.308672E-2</v>
      </c>
      <c r="CZ7" t="s">
        <v>25</v>
      </c>
      <c r="DA7">
        <v>13.08672</v>
      </c>
      <c r="DB7" t="s">
        <v>26</v>
      </c>
      <c r="DC7">
        <v>13086.718999999999</v>
      </c>
      <c r="DD7" t="s">
        <v>27</v>
      </c>
      <c r="DE7" t="s">
        <v>33</v>
      </c>
      <c r="DF7">
        <v>76.413346300000001</v>
      </c>
      <c r="DJ7" t="s">
        <v>36</v>
      </c>
      <c r="DK7">
        <v>1001</v>
      </c>
      <c r="DL7" t="s">
        <v>37</v>
      </c>
      <c r="DM7">
        <v>1.342082E-2</v>
      </c>
      <c r="DN7" t="s">
        <v>25</v>
      </c>
      <c r="DO7">
        <v>13.420820000000001</v>
      </c>
      <c r="DP7" t="s">
        <v>26</v>
      </c>
      <c r="DQ7">
        <v>13420.819</v>
      </c>
      <c r="DR7" t="s">
        <v>27</v>
      </c>
      <c r="DS7" t="s">
        <v>33</v>
      </c>
      <c r="DT7">
        <v>74.511103399999996</v>
      </c>
      <c r="DX7" t="s">
        <v>83</v>
      </c>
      <c r="DY7" t="s">
        <v>35</v>
      </c>
      <c r="DZ7">
        <v>407</v>
      </c>
      <c r="EA7" t="s">
        <v>32</v>
      </c>
      <c r="EB7">
        <v>1.1519E-2</v>
      </c>
      <c r="EC7" t="s">
        <v>25</v>
      </c>
      <c r="ED7">
        <v>11.518739999999999</v>
      </c>
      <c r="EE7" t="s">
        <v>26</v>
      </c>
      <c r="EF7">
        <v>11518.742</v>
      </c>
      <c r="EG7" t="s">
        <v>27</v>
      </c>
      <c r="EH7" t="s">
        <v>33</v>
      </c>
      <c r="EI7">
        <v>86.815035899999998</v>
      </c>
      <c r="EL7" t="s">
        <v>83</v>
      </c>
      <c r="EM7" t="s">
        <v>35</v>
      </c>
      <c r="EN7">
        <v>50</v>
      </c>
      <c r="EO7" t="s">
        <v>32</v>
      </c>
      <c r="EP7">
        <v>1.3773000000000001E-2</v>
      </c>
      <c r="EQ7" t="s">
        <v>25</v>
      </c>
      <c r="ER7">
        <v>13.772539999999999</v>
      </c>
      <c r="ES7" t="s">
        <v>26</v>
      </c>
      <c r="ET7">
        <v>13772.541999999999</v>
      </c>
      <c r="EU7" t="s">
        <v>27</v>
      </c>
      <c r="EV7" t="s">
        <v>33</v>
      </c>
      <c r="EW7">
        <v>72.608234899999999</v>
      </c>
      <c r="EZ7" t="s">
        <v>83</v>
      </c>
      <c r="FA7" t="s">
        <v>35</v>
      </c>
      <c r="FB7">
        <v>91</v>
      </c>
      <c r="FC7" t="s">
        <v>32</v>
      </c>
      <c r="FD7">
        <v>1.2859000000000001E-2</v>
      </c>
      <c r="FE7" t="s">
        <v>25</v>
      </c>
      <c r="FF7">
        <v>12.85948</v>
      </c>
      <c r="FG7" t="s">
        <v>26</v>
      </c>
      <c r="FH7">
        <v>12859.482</v>
      </c>
      <c r="FI7" t="s">
        <v>27</v>
      </c>
      <c r="FJ7" t="s">
        <v>33</v>
      </c>
      <c r="FK7">
        <v>77.763629800000004</v>
      </c>
    </row>
    <row r="8" spans="1:167" x14ac:dyDescent="0.3">
      <c r="DX8" t="s">
        <v>84</v>
      </c>
      <c r="DY8" t="s">
        <v>23</v>
      </c>
      <c r="DZ8">
        <v>2</v>
      </c>
      <c r="EA8" t="s">
        <v>37</v>
      </c>
      <c r="EB8">
        <v>0.18521099999999999</v>
      </c>
      <c r="EC8" t="s">
        <v>25</v>
      </c>
      <c r="ED8">
        <v>185.21149</v>
      </c>
      <c r="EE8" t="s">
        <v>26</v>
      </c>
      <c r="EF8">
        <v>185211.495</v>
      </c>
      <c r="EG8" t="s">
        <v>27</v>
      </c>
      <c r="EH8" t="s">
        <v>33</v>
      </c>
      <c r="EI8">
        <v>5.3992329000000003</v>
      </c>
      <c r="EL8" t="s">
        <v>84</v>
      </c>
      <c r="EM8" t="s">
        <v>23</v>
      </c>
      <c r="EN8">
        <v>2</v>
      </c>
      <c r="EO8" t="s">
        <v>37</v>
      </c>
      <c r="EP8">
        <v>0.165913</v>
      </c>
      <c r="EQ8" t="s">
        <v>25</v>
      </c>
      <c r="ER8">
        <v>165.9127</v>
      </c>
      <c r="ES8" t="s">
        <v>26</v>
      </c>
      <c r="ET8">
        <v>165912.70300000001</v>
      </c>
      <c r="EU8" t="s">
        <v>27</v>
      </c>
      <c r="EV8" t="s">
        <v>33</v>
      </c>
      <c r="EW8">
        <v>6.027266</v>
      </c>
      <c r="EZ8" t="s">
        <v>84</v>
      </c>
      <c r="FA8" t="s">
        <v>23</v>
      </c>
      <c r="FB8">
        <v>2</v>
      </c>
      <c r="FC8" t="s">
        <v>37</v>
      </c>
      <c r="FD8">
        <v>0.164325</v>
      </c>
      <c r="FE8" t="s">
        <v>25</v>
      </c>
      <c r="FF8">
        <v>164.32544999999999</v>
      </c>
      <c r="FG8" t="s">
        <v>26</v>
      </c>
      <c r="FH8">
        <v>164325.446</v>
      </c>
      <c r="FI8" t="s">
        <v>27</v>
      </c>
      <c r="FJ8" t="s">
        <v>33</v>
      </c>
      <c r="FK8">
        <v>6.0854847999999997</v>
      </c>
    </row>
    <row r="9" spans="1:167" x14ac:dyDescent="0.3">
      <c r="B9" t="s">
        <v>42</v>
      </c>
      <c r="P9" t="s">
        <v>42</v>
      </c>
      <c r="AD9" t="s">
        <v>42</v>
      </c>
      <c r="AR9" t="s">
        <v>59</v>
      </c>
      <c r="BF9" t="s">
        <v>59</v>
      </c>
      <c r="BT9" t="s">
        <v>59</v>
      </c>
      <c r="CH9" t="s">
        <v>73</v>
      </c>
      <c r="CV9" t="s">
        <v>73</v>
      </c>
      <c r="DJ9" t="s">
        <v>73</v>
      </c>
      <c r="DX9" t="s">
        <v>84</v>
      </c>
      <c r="DY9" t="s">
        <v>34</v>
      </c>
      <c r="DZ9">
        <v>999</v>
      </c>
      <c r="EA9" t="s">
        <v>37</v>
      </c>
      <c r="EB9">
        <v>4.529E-3</v>
      </c>
      <c r="EC9" t="s">
        <v>25</v>
      </c>
      <c r="ED9">
        <v>4.52874</v>
      </c>
      <c r="EE9" t="s">
        <v>26</v>
      </c>
      <c r="EF9">
        <v>4528.7430000000004</v>
      </c>
      <c r="EG9" t="s">
        <v>27</v>
      </c>
      <c r="EH9" t="s">
        <v>33</v>
      </c>
      <c r="EI9">
        <v>220.811823</v>
      </c>
      <c r="EL9" t="s">
        <v>84</v>
      </c>
      <c r="EM9" t="s">
        <v>34</v>
      </c>
      <c r="EN9">
        <v>999</v>
      </c>
      <c r="EO9" t="s">
        <v>37</v>
      </c>
      <c r="EP9">
        <v>5.0699999999999996E-4</v>
      </c>
      <c r="EQ9" t="s">
        <v>25</v>
      </c>
      <c r="ER9">
        <v>0.50743000000000005</v>
      </c>
      <c r="ES9" t="s">
        <v>26</v>
      </c>
      <c r="ET9">
        <v>507.43400000000003</v>
      </c>
      <c r="EU9" t="s">
        <v>27</v>
      </c>
      <c r="EV9" t="s">
        <v>33</v>
      </c>
      <c r="EW9">
        <v>1970.7006790999999</v>
      </c>
      <c r="EZ9" t="s">
        <v>84</v>
      </c>
      <c r="FA9" t="s">
        <v>34</v>
      </c>
      <c r="FB9">
        <v>999</v>
      </c>
      <c r="FC9" t="s">
        <v>37</v>
      </c>
      <c r="FD9">
        <v>9.8499999999999998E-4</v>
      </c>
      <c r="FE9" t="s">
        <v>25</v>
      </c>
      <c r="FF9">
        <v>0.98487999999999998</v>
      </c>
      <c r="FG9" t="s">
        <v>26</v>
      </c>
      <c r="FH9">
        <v>984.87900000000002</v>
      </c>
      <c r="FI9" t="s">
        <v>27</v>
      </c>
      <c r="FJ9" t="s">
        <v>33</v>
      </c>
      <c r="FK9">
        <v>1015.3528591</v>
      </c>
    </row>
    <row r="10" spans="1:167" x14ac:dyDescent="0.3">
      <c r="B10" t="s">
        <v>23</v>
      </c>
      <c r="C10">
        <v>1</v>
      </c>
      <c r="D10" t="s">
        <v>32</v>
      </c>
      <c r="E10">
        <v>7.3553999999999998E-3</v>
      </c>
      <c r="F10" t="s">
        <v>25</v>
      </c>
      <c r="G10">
        <v>7.3554000000000004</v>
      </c>
      <c r="H10" t="s">
        <v>26</v>
      </c>
      <c r="I10">
        <v>7355.4</v>
      </c>
      <c r="J10" t="s">
        <v>27</v>
      </c>
      <c r="K10" t="s">
        <v>33</v>
      </c>
      <c r="L10">
        <v>135.9545387</v>
      </c>
      <c r="P10" t="s">
        <v>23</v>
      </c>
      <c r="Q10">
        <v>1</v>
      </c>
      <c r="R10" t="s">
        <v>32</v>
      </c>
      <c r="S10">
        <v>7.2297000000000004E-3</v>
      </c>
      <c r="T10" t="s">
        <v>25</v>
      </c>
      <c r="U10">
        <v>7.2297000000000002</v>
      </c>
      <c r="V10" t="s">
        <v>26</v>
      </c>
      <c r="W10">
        <v>7229.7</v>
      </c>
      <c r="X10" t="s">
        <v>27</v>
      </c>
      <c r="Y10" t="s">
        <v>33</v>
      </c>
      <c r="Z10">
        <v>138.31832159999999</v>
      </c>
      <c r="AD10" t="s">
        <v>23</v>
      </c>
      <c r="AE10">
        <v>1</v>
      </c>
      <c r="AF10" t="s">
        <v>32</v>
      </c>
      <c r="AG10">
        <v>7.1092000000000004E-3</v>
      </c>
      <c r="AH10" t="s">
        <v>25</v>
      </c>
      <c r="AI10">
        <v>7.1092000000000004</v>
      </c>
      <c r="AJ10" t="s">
        <v>26</v>
      </c>
      <c r="AK10">
        <v>7109.2</v>
      </c>
      <c r="AL10" t="s">
        <v>27</v>
      </c>
      <c r="AM10" t="s">
        <v>33</v>
      </c>
      <c r="AN10">
        <v>140.66280080000001</v>
      </c>
      <c r="AR10" t="s">
        <v>23</v>
      </c>
      <c r="AS10">
        <v>1</v>
      </c>
      <c r="AT10" t="s">
        <v>32</v>
      </c>
      <c r="AU10">
        <v>3.1791100000000003E-2</v>
      </c>
      <c r="AV10" t="s">
        <v>25</v>
      </c>
      <c r="AW10">
        <v>31.7911</v>
      </c>
      <c r="AX10" t="s">
        <v>26</v>
      </c>
      <c r="AY10">
        <v>31791.098000000002</v>
      </c>
      <c r="AZ10" t="s">
        <v>27</v>
      </c>
      <c r="BA10" t="s">
        <v>33</v>
      </c>
      <c r="BB10">
        <v>31.455345999999999</v>
      </c>
      <c r="BF10" t="s">
        <v>23</v>
      </c>
      <c r="BG10">
        <v>1</v>
      </c>
      <c r="BH10" t="s">
        <v>32</v>
      </c>
      <c r="BI10">
        <v>2.4924600000000002E-2</v>
      </c>
      <c r="BJ10" t="s">
        <v>25</v>
      </c>
      <c r="BK10">
        <v>24.924600000000002</v>
      </c>
      <c r="BL10" t="s">
        <v>26</v>
      </c>
      <c r="BM10">
        <v>24924.6</v>
      </c>
      <c r="BN10" t="s">
        <v>27</v>
      </c>
      <c r="BO10" t="s">
        <v>33</v>
      </c>
      <c r="BP10">
        <v>40.121004200000002</v>
      </c>
      <c r="BT10" t="s">
        <v>23</v>
      </c>
      <c r="BU10">
        <v>1</v>
      </c>
      <c r="BV10" t="s">
        <v>32</v>
      </c>
      <c r="BW10">
        <v>2.6236200000000001E-2</v>
      </c>
      <c r="BX10" t="s">
        <v>25</v>
      </c>
      <c r="BY10">
        <v>26.2362</v>
      </c>
      <c r="BZ10" t="s">
        <v>26</v>
      </c>
      <c r="CA10">
        <v>26236.201000000001</v>
      </c>
      <c r="CB10" t="s">
        <v>27</v>
      </c>
      <c r="CC10" t="s">
        <v>33</v>
      </c>
      <c r="CD10">
        <v>38.115274800000002</v>
      </c>
      <c r="CH10" t="s">
        <v>23</v>
      </c>
      <c r="CI10">
        <v>1</v>
      </c>
      <c r="CJ10" t="s">
        <v>32</v>
      </c>
      <c r="CK10">
        <v>1.7528700000000001E-2</v>
      </c>
      <c r="CL10" t="s">
        <v>25</v>
      </c>
      <c r="CM10">
        <v>17.528700000000001</v>
      </c>
      <c r="CN10" t="s">
        <v>26</v>
      </c>
      <c r="CO10">
        <v>17528.7</v>
      </c>
      <c r="CP10" t="s">
        <v>27</v>
      </c>
      <c r="CQ10" t="s">
        <v>33</v>
      </c>
      <c r="CR10">
        <v>57.049297199999998</v>
      </c>
      <c r="CV10" t="s">
        <v>23</v>
      </c>
      <c r="CW10">
        <v>1</v>
      </c>
      <c r="CX10" t="s">
        <v>32</v>
      </c>
      <c r="CY10">
        <v>1.7818500000000001E-2</v>
      </c>
      <c r="CZ10" t="s">
        <v>25</v>
      </c>
      <c r="DA10">
        <v>17.8185</v>
      </c>
      <c r="DB10" t="s">
        <v>26</v>
      </c>
      <c r="DC10">
        <v>17818.499</v>
      </c>
      <c r="DD10" t="s">
        <v>27</v>
      </c>
      <c r="DE10" t="s">
        <v>33</v>
      </c>
      <c r="DF10">
        <v>56.121448800000003</v>
      </c>
      <c r="DJ10" t="s">
        <v>23</v>
      </c>
      <c r="DK10">
        <v>1</v>
      </c>
      <c r="DL10" t="s">
        <v>32</v>
      </c>
      <c r="DM10">
        <v>1.69493E-2</v>
      </c>
      <c r="DN10" t="s">
        <v>25</v>
      </c>
      <c r="DO10">
        <v>16.949300000000001</v>
      </c>
      <c r="DP10" t="s">
        <v>26</v>
      </c>
      <c r="DQ10">
        <v>16949.3</v>
      </c>
      <c r="DR10" t="s">
        <v>27</v>
      </c>
      <c r="DS10" t="s">
        <v>33</v>
      </c>
      <c r="DT10">
        <v>58.999487700000003</v>
      </c>
      <c r="DX10" t="s">
        <v>84</v>
      </c>
      <c r="DY10" t="s">
        <v>36</v>
      </c>
      <c r="DZ10">
        <v>1001</v>
      </c>
      <c r="EA10" t="s">
        <v>37</v>
      </c>
      <c r="EB10">
        <v>4.6950000000000004E-3</v>
      </c>
      <c r="EC10" t="s">
        <v>25</v>
      </c>
      <c r="ED10">
        <v>4.6951700000000001</v>
      </c>
      <c r="EE10" t="s">
        <v>26</v>
      </c>
      <c r="EF10">
        <v>4695.165</v>
      </c>
      <c r="EG10" t="s">
        <v>27</v>
      </c>
      <c r="EH10" t="s">
        <v>33</v>
      </c>
      <c r="EI10">
        <v>212.98504170000001</v>
      </c>
      <c r="EL10" t="s">
        <v>84</v>
      </c>
      <c r="EM10" t="s">
        <v>36</v>
      </c>
      <c r="EN10">
        <v>1001</v>
      </c>
      <c r="EO10" t="s">
        <v>37</v>
      </c>
      <c r="EP10">
        <v>6.8900000000000005E-4</v>
      </c>
      <c r="EQ10" t="s">
        <v>25</v>
      </c>
      <c r="ER10">
        <v>0.68867</v>
      </c>
      <c r="ES10" t="s">
        <v>26</v>
      </c>
      <c r="ET10">
        <v>688.67</v>
      </c>
      <c r="EU10" t="s">
        <v>27</v>
      </c>
      <c r="EV10" t="s">
        <v>33</v>
      </c>
      <c r="EW10">
        <v>1452.0748289999999</v>
      </c>
      <c r="EZ10" t="s">
        <v>84</v>
      </c>
      <c r="FA10" t="s">
        <v>36</v>
      </c>
      <c r="FB10">
        <v>1001</v>
      </c>
      <c r="FC10" t="s">
        <v>37</v>
      </c>
      <c r="FD10">
        <v>1.17E-3</v>
      </c>
      <c r="FE10" t="s">
        <v>25</v>
      </c>
      <c r="FF10">
        <v>1.1702699999999999</v>
      </c>
      <c r="FG10" t="s">
        <v>26</v>
      </c>
      <c r="FH10">
        <v>1170.2660000000001</v>
      </c>
      <c r="FI10" t="s">
        <v>27</v>
      </c>
      <c r="FJ10" t="s">
        <v>33</v>
      </c>
      <c r="FK10">
        <v>854.50689809999994</v>
      </c>
    </row>
    <row r="11" spans="1:167" x14ac:dyDescent="0.3">
      <c r="B11" t="s">
        <v>34</v>
      </c>
      <c r="C11">
        <v>1000</v>
      </c>
      <c r="D11" t="s">
        <v>32</v>
      </c>
      <c r="E11">
        <v>1.44411E-3</v>
      </c>
      <c r="F11" t="s">
        <v>25</v>
      </c>
      <c r="G11">
        <v>1.44411</v>
      </c>
      <c r="H11" t="s">
        <v>26</v>
      </c>
      <c r="I11">
        <v>1444.106</v>
      </c>
      <c r="J11" t="s">
        <v>27</v>
      </c>
      <c r="K11" t="s">
        <v>33</v>
      </c>
      <c r="L11">
        <v>692.46989440000004</v>
      </c>
      <c r="P11" t="s">
        <v>34</v>
      </c>
      <c r="Q11">
        <v>1000</v>
      </c>
      <c r="R11" t="s">
        <v>32</v>
      </c>
      <c r="S11">
        <v>1.13273E-3</v>
      </c>
      <c r="T11" t="s">
        <v>25</v>
      </c>
      <c r="U11">
        <v>1.13273</v>
      </c>
      <c r="V11" t="s">
        <v>26</v>
      </c>
      <c r="W11">
        <v>1132.729</v>
      </c>
      <c r="X11" t="s">
        <v>27</v>
      </c>
      <c r="Y11" t="s">
        <v>33</v>
      </c>
      <c r="Z11">
        <v>882.8237451</v>
      </c>
      <c r="AD11" t="s">
        <v>34</v>
      </c>
      <c r="AE11">
        <v>1000</v>
      </c>
      <c r="AF11" t="s">
        <v>32</v>
      </c>
      <c r="AG11">
        <v>1.40832E-3</v>
      </c>
      <c r="AH11" t="s">
        <v>25</v>
      </c>
      <c r="AI11">
        <v>1.40832</v>
      </c>
      <c r="AJ11" t="s">
        <v>26</v>
      </c>
      <c r="AK11">
        <v>1408.3150000000001</v>
      </c>
      <c r="AL11" t="s">
        <v>27</v>
      </c>
      <c r="AM11" t="s">
        <v>33</v>
      </c>
      <c r="AN11">
        <v>710.06826339999998</v>
      </c>
      <c r="AR11" t="s">
        <v>34</v>
      </c>
      <c r="AS11">
        <v>1000</v>
      </c>
      <c r="AT11" t="s">
        <v>32</v>
      </c>
      <c r="AU11">
        <v>1.4221800000000001E-3</v>
      </c>
      <c r="AV11" t="s">
        <v>25</v>
      </c>
      <c r="AW11">
        <v>1.42218</v>
      </c>
      <c r="AX11" t="s">
        <v>26</v>
      </c>
      <c r="AY11">
        <v>1422.1790000000001</v>
      </c>
      <c r="AZ11" t="s">
        <v>27</v>
      </c>
      <c r="BA11" t="s">
        <v>33</v>
      </c>
      <c r="BB11">
        <v>703.14643609999996</v>
      </c>
      <c r="BF11" t="s">
        <v>34</v>
      </c>
      <c r="BG11">
        <v>1000</v>
      </c>
      <c r="BH11" t="s">
        <v>32</v>
      </c>
      <c r="BI11">
        <v>1.492741E-2</v>
      </c>
      <c r="BJ11" t="s">
        <v>25</v>
      </c>
      <c r="BK11">
        <v>14.92741</v>
      </c>
      <c r="BL11" t="s">
        <v>26</v>
      </c>
      <c r="BM11">
        <v>14927.411</v>
      </c>
      <c r="BN11" t="s">
        <v>27</v>
      </c>
      <c r="BO11" t="s">
        <v>33</v>
      </c>
      <c r="BP11">
        <v>66.990852899999993</v>
      </c>
      <c r="BT11" t="s">
        <v>34</v>
      </c>
      <c r="BU11">
        <v>1000</v>
      </c>
      <c r="BV11" t="s">
        <v>32</v>
      </c>
      <c r="BW11">
        <v>1.517375E-2</v>
      </c>
      <c r="BX11" t="s">
        <v>25</v>
      </c>
      <c r="BY11">
        <v>15.17375</v>
      </c>
      <c r="BZ11" t="s">
        <v>26</v>
      </c>
      <c r="CA11">
        <v>15173.746999999999</v>
      </c>
      <c r="CB11" t="s">
        <v>27</v>
      </c>
      <c r="CC11" t="s">
        <v>33</v>
      </c>
      <c r="CD11">
        <v>65.903299700000005</v>
      </c>
      <c r="CH11" t="s">
        <v>34</v>
      </c>
      <c r="CI11">
        <v>1000</v>
      </c>
      <c r="CJ11" t="s">
        <v>32</v>
      </c>
      <c r="CK11">
        <v>1.4963699999999999E-3</v>
      </c>
      <c r="CL11" t="s">
        <v>25</v>
      </c>
      <c r="CM11">
        <v>1.49637</v>
      </c>
      <c r="CN11" t="s">
        <v>26</v>
      </c>
      <c r="CO11">
        <v>1496.373</v>
      </c>
      <c r="CP11" t="s">
        <v>27</v>
      </c>
      <c r="CQ11" t="s">
        <v>33</v>
      </c>
      <c r="CR11">
        <v>668.28238859999999</v>
      </c>
      <c r="CV11" t="s">
        <v>34</v>
      </c>
      <c r="CW11">
        <v>1000</v>
      </c>
      <c r="CX11" t="s">
        <v>32</v>
      </c>
      <c r="CY11">
        <v>1.6093050000000001E-2</v>
      </c>
      <c r="CZ11" t="s">
        <v>25</v>
      </c>
      <c r="DA11">
        <v>16.093050000000002</v>
      </c>
      <c r="DB11" t="s">
        <v>26</v>
      </c>
      <c r="DC11">
        <v>16093.048000000001</v>
      </c>
      <c r="DD11" t="s">
        <v>27</v>
      </c>
      <c r="DE11" t="s">
        <v>33</v>
      </c>
      <c r="DF11">
        <v>62.138632399999999</v>
      </c>
      <c r="DJ11" t="s">
        <v>34</v>
      </c>
      <c r="DK11">
        <v>1000</v>
      </c>
      <c r="DL11" t="s">
        <v>32</v>
      </c>
      <c r="DM11">
        <v>1.623289E-2</v>
      </c>
      <c r="DN11" t="s">
        <v>25</v>
      </c>
      <c r="DO11">
        <v>16.232890000000001</v>
      </c>
      <c r="DP11" t="s">
        <v>26</v>
      </c>
      <c r="DQ11">
        <v>16232.895</v>
      </c>
      <c r="DR11" t="s">
        <v>27</v>
      </c>
      <c r="DS11" t="s">
        <v>33</v>
      </c>
      <c r="DT11">
        <v>61.603306500000002</v>
      </c>
    </row>
    <row r="12" spans="1:167" x14ac:dyDescent="0.3">
      <c r="B12" t="s">
        <v>36</v>
      </c>
      <c r="C12">
        <v>1001</v>
      </c>
      <c r="D12" t="s">
        <v>37</v>
      </c>
      <c r="E12">
        <v>1.4501799999999999E-3</v>
      </c>
      <c r="F12" t="s">
        <v>25</v>
      </c>
      <c r="G12">
        <v>1.45018</v>
      </c>
      <c r="H12" t="s">
        <v>26</v>
      </c>
      <c r="I12">
        <v>1450.182</v>
      </c>
      <c r="J12" t="s">
        <v>27</v>
      </c>
      <c r="K12" t="s">
        <v>33</v>
      </c>
      <c r="L12">
        <v>689.56869529999994</v>
      </c>
      <c r="P12" t="s">
        <v>36</v>
      </c>
      <c r="Q12">
        <v>1001</v>
      </c>
      <c r="R12" t="s">
        <v>37</v>
      </c>
      <c r="S12">
        <v>1.1390599999999999E-3</v>
      </c>
      <c r="T12" t="s">
        <v>25</v>
      </c>
      <c r="U12">
        <v>1.13906</v>
      </c>
      <c r="V12" t="s">
        <v>26</v>
      </c>
      <c r="W12">
        <v>1139.0550000000001</v>
      </c>
      <c r="X12" t="s">
        <v>27</v>
      </c>
      <c r="Y12" t="s">
        <v>33</v>
      </c>
      <c r="Z12">
        <v>877.92072989999997</v>
      </c>
      <c r="AD12" t="s">
        <v>36</v>
      </c>
      <c r="AE12">
        <v>1001</v>
      </c>
      <c r="AF12" t="s">
        <v>37</v>
      </c>
      <c r="AG12">
        <v>1.41417E-3</v>
      </c>
      <c r="AH12" t="s">
        <v>25</v>
      </c>
      <c r="AI12">
        <v>1.4141699999999999</v>
      </c>
      <c r="AJ12" t="s">
        <v>26</v>
      </c>
      <c r="AK12">
        <v>1414.174</v>
      </c>
      <c r="AL12" t="s">
        <v>27</v>
      </c>
      <c r="AM12" t="s">
        <v>33</v>
      </c>
      <c r="AN12">
        <v>707.1266392</v>
      </c>
      <c r="AR12" t="s">
        <v>36</v>
      </c>
      <c r="AS12">
        <v>1001</v>
      </c>
      <c r="AT12" t="s">
        <v>37</v>
      </c>
      <c r="AU12">
        <v>1.4526599999999999E-3</v>
      </c>
      <c r="AV12" t="s">
        <v>25</v>
      </c>
      <c r="AW12">
        <v>1.4526600000000001</v>
      </c>
      <c r="AX12" t="s">
        <v>26</v>
      </c>
      <c r="AY12">
        <v>1452.6569999999999</v>
      </c>
      <c r="AZ12" t="s">
        <v>27</v>
      </c>
      <c r="BA12" t="s">
        <v>33</v>
      </c>
      <c r="BB12">
        <v>688.39363179999998</v>
      </c>
      <c r="BF12" t="s">
        <v>36</v>
      </c>
      <c r="BG12">
        <v>1001</v>
      </c>
      <c r="BH12" t="s">
        <v>37</v>
      </c>
      <c r="BI12">
        <v>1.4937799999999999E-2</v>
      </c>
      <c r="BJ12" t="s">
        <v>25</v>
      </c>
      <c r="BK12">
        <v>14.937799999999999</v>
      </c>
      <c r="BL12" t="s">
        <v>26</v>
      </c>
      <c r="BM12">
        <v>14937.795</v>
      </c>
      <c r="BN12" t="s">
        <v>27</v>
      </c>
      <c r="BO12" t="s">
        <v>33</v>
      </c>
      <c r="BP12">
        <v>66.944283499999997</v>
      </c>
      <c r="BT12" t="s">
        <v>36</v>
      </c>
      <c r="BU12">
        <v>1001</v>
      </c>
      <c r="BV12" t="s">
        <v>37</v>
      </c>
      <c r="BW12">
        <v>1.518513E-2</v>
      </c>
      <c r="BX12" t="s">
        <v>25</v>
      </c>
      <c r="BY12">
        <v>15.185129999999999</v>
      </c>
      <c r="BZ12" t="s">
        <v>26</v>
      </c>
      <c r="CA12">
        <v>15185.134</v>
      </c>
      <c r="CB12" t="s">
        <v>27</v>
      </c>
      <c r="CC12" t="s">
        <v>33</v>
      </c>
      <c r="CD12">
        <v>65.853879800000001</v>
      </c>
      <c r="CH12" t="s">
        <v>36</v>
      </c>
      <c r="CI12">
        <v>1001</v>
      </c>
      <c r="CJ12" t="s">
        <v>37</v>
      </c>
      <c r="CK12">
        <v>1.5125099999999999E-3</v>
      </c>
      <c r="CL12" t="s">
        <v>25</v>
      </c>
      <c r="CM12">
        <v>1.51251</v>
      </c>
      <c r="CN12" t="s">
        <v>26</v>
      </c>
      <c r="CO12">
        <v>1512.5119999999999</v>
      </c>
      <c r="CP12" t="s">
        <v>27</v>
      </c>
      <c r="CQ12" t="s">
        <v>33</v>
      </c>
      <c r="CR12">
        <v>661.15157799999997</v>
      </c>
      <c r="CV12" t="s">
        <v>36</v>
      </c>
      <c r="CW12">
        <v>1001</v>
      </c>
      <c r="CX12" t="s">
        <v>37</v>
      </c>
      <c r="CY12">
        <v>1.6095120000000001E-2</v>
      </c>
      <c r="CZ12" t="s">
        <v>25</v>
      </c>
      <c r="DA12">
        <v>16.095120000000001</v>
      </c>
      <c r="DB12" t="s">
        <v>26</v>
      </c>
      <c r="DC12">
        <v>16095.117</v>
      </c>
      <c r="DD12" t="s">
        <v>27</v>
      </c>
      <c r="DE12" t="s">
        <v>33</v>
      </c>
      <c r="DF12">
        <v>62.130646300000002</v>
      </c>
      <c r="DJ12" t="s">
        <v>36</v>
      </c>
      <c r="DK12">
        <v>1001</v>
      </c>
      <c r="DL12" t="s">
        <v>37</v>
      </c>
      <c r="DM12">
        <v>1.6233899999999999E-2</v>
      </c>
      <c r="DN12" t="s">
        <v>25</v>
      </c>
      <c r="DO12">
        <v>16.233899999999998</v>
      </c>
      <c r="DP12" t="s">
        <v>26</v>
      </c>
      <c r="DQ12">
        <v>16233.902</v>
      </c>
      <c r="DR12" t="s">
        <v>27</v>
      </c>
      <c r="DS12" t="s">
        <v>33</v>
      </c>
      <c r="DT12">
        <v>61.5994867</v>
      </c>
      <c r="DX12" t="s">
        <v>88</v>
      </c>
      <c r="EL12" t="s">
        <v>100</v>
      </c>
      <c r="EZ12" t="s">
        <v>100</v>
      </c>
    </row>
    <row r="13" spans="1:167" x14ac:dyDescent="0.3">
      <c r="DX13" t="s">
        <v>82</v>
      </c>
      <c r="DY13" t="s">
        <v>23</v>
      </c>
      <c r="DZ13">
        <v>1</v>
      </c>
      <c r="EA13" t="s">
        <v>32</v>
      </c>
      <c r="EB13">
        <v>2.3369999999999998E-2</v>
      </c>
      <c r="EC13" t="s">
        <v>25</v>
      </c>
      <c r="ED13">
        <v>23.369700000000002</v>
      </c>
      <c r="EE13" t="s">
        <v>26</v>
      </c>
      <c r="EF13">
        <v>23369.7</v>
      </c>
      <c r="EG13" t="s">
        <v>27</v>
      </c>
      <c r="EH13" t="s">
        <v>33</v>
      </c>
      <c r="EI13">
        <v>42.790451400000002</v>
      </c>
      <c r="EL13" t="s">
        <v>82</v>
      </c>
      <c r="EM13" t="s">
        <v>23</v>
      </c>
      <c r="EN13">
        <v>1</v>
      </c>
      <c r="EO13" t="s">
        <v>32</v>
      </c>
      <c r="EP13">
        <v>8.0169999999999998E-3</v>
      </c>
      <c r="EQ13" t="s">
        <v>25</v>
      </c>
      <c r="ER13">
        <v>8.0170999999999992</v>
      </c>
      <c r="ES13" t="s">
        <v>26</v>
      </c>
      <c r="ET13">
        <v>8017.1</v>
      </c>
      <c r="EU13" t="s">
        <v>27</v>
      </c>
      <c r="EV13" t="s">
        <v>33</v>
      </c>
      <c r="EW13">
        <v>124.7333763</v>
      </c>
      <c r="EZ13" t="s">
        <v>82</v>
      </c>
      <c r="FA13" t="s">
        <v>23</v>
      </c>
      <c r="FB13">
        <v>1</v>
      </c>
      <c r="FC13" t="s">
        <v>32</v>
      </c>
      <c r="FD13">
        <v>7.5630000000000003E-3</v>
      </c>
      <c r="FE13" t="s">
        <v>25</v>
      </c>
      <c r="FF13">
        <v>7.5629</v>
      </c>
      <c r="FG13" t="s">
        <v>26</v>
      </c>
      <c r="FH13">
        <v>7562.9</v>
      </c>
      <c r="FI13" t="s">
        <v>27</v>
      </c>
      <c r="FJ13" t="s">
        <v>33</v>
      </c>
      <c r="FK13">
        <v>132.22441190000001</v>
      </c>
    </row>
    <row r="14" spans="1:167" x14ac:dyDescent="0.3">
      <c r="DX14" t="s">
        <v>82</v>
      </c>
      <c r="DY14" t="s">
        <v>34</v>
      </c>
      <c r="DZ14">
        <v>786</v>
      </c>
      <c r="EA14" t="s">
        <v>32</v>
      </c>
      <c r="EB14">
        <v>9.9780000000000008E-3</v>
      </c>
      <c r="EC14" t="s">
        <v>25</v>
      </c>
      <c r="ED14">
        <v>9.9782499999999992</v>
      </c>
      <c r="EE14" t="s">
        <v>26</v>
      </c>
      <c r="EF14">
        <v>9978.2510000000002</v>
      </c>
      <c r="EG14" t="s">
        <v>27</v>
      </c>
      <c r="EH14" t="s">
        <v>33</v>
      </c>
      <c r="EI14">
        <v>100.217961</v>
      </c>
      <c r="EL14" t="s">
        <v>82</v>
      </c>
      <c r="EM14" t="s">
        <v>34</v>
      </c>
      <c r="EN14">
        <v>892</v>
      </c>
      <c r="EO14" t="s">
        <v>32</v>
      </c>
      <c r="EP14">
        <v>1.518E-3</v>
      </c>
      <c r="EQ14" t="s">
        <v>25</v>
      </c>
      <c r="ER14">
        <v>1.5178700000000001</v>
      </c>
      <c r="ES14" t="s">
        <v>26</v>
      </c>
      <c r="ET14">
        <v>1517.8720000000001</v>
      </c>
      <c r="EU14" t="s">
        <v>27</v>
      </c>
      <c r="EV14" t="s">
        <v>33</v>
      </c>
      <c r="EW14">
        <v>658.81703530000004</v>
      </c>
      <c r="EZ14" t="s">
        <v>82</v>
      </c>
      <c r="FA14" t="s">
        <v>34</v>
      </c>
      <c r="FB14">
        <v>870</v>
      </c>
      <c r="FC14" t="s">
        <v>32</v>
      </c>
      <c r="FD14">
        <v>1.9559999999999998E-3</v>
      </c>
      <c r="FE14" t="s">
        <v>25</v>
      </c>
      <c r="FF14">
        <v>1.9563999999999999</v>
      </c>
      <c r="FG14" t="s">
        <v>26</v>
      </c>
      <c r="FH14">
        <v>1956.402</v>
      </c>
      <c r="FI14" t="s">
        <v>27</v>
      </c>
      <c r="FJ14" t="s">
        <v>33</v>
      </c>
      <c r="FK14">
        <v>511.14231560000002</v>
      </c>
    </row>
    <row r="15" spans="1:167" x14ac:dyDescent="0.3">
      <c r="DX15" t="s">
        <v>82</v>
      </c>
      <c r="DY15" t="s">
        <v>35</v>
      </c>
      <c r="DZ15">
        <v>787</v>
      </c>
      <c r="EA15" t="s">
        <v>32</v>
      </c>
      <c r="EB15">
        <v>9.9950000000000004E-3</v>
      </c>
      <c r="EC15" t="s">
        <v>25</v>
      </c>
      <c r="ED15">
        <v>9.9952699999999997</v>
      </c>
      <c r="EE15" t="s">
        <v>26</v>
      </c>
      <c r="EF15">
        <v>9995.2669999999998</v>
      </c>
      <c r="EG15" t="s">
        <v>27</v>
      </c>
      <c r="EH15" t="s">
        <v>33</v>
      </c>
      <c r="EI15">
        <v>100.0473501</v>
      </c>
      <c r="EL15" t="s">
        <v>82</v>
      </c>
      <c r="EM15" t="s">
        <v>35</v>
      </c>
      <c r="EN15">
        <v>893</v>
      </c>
      <c r="EO15" t="s">
        <v>32</v>
      </c>
      <c r="EP15">
        <v>1.5250000000000001E-3</v>
      </c>
      <c r="EQ15" t="s">
        <v>25</v>
      </c>
      <c r="ER15">
        <v>1.52515</v>
      </c>
      <c r="ES15" t="s">
        <v>26</v>
      </c>
      <c r="ET15">
        <v>1525.15</v>
      </c>
      <c r="EU15" t="s">
        <v>27</v>
      </c>
      <c r="EV15" t="s">
        <v>33</v>
      </c>
      <c r="EW15">
        <v>655.67319780000003</v>
      </c>
      <c r="EZ15" t="s">
        <v>82</v>
      </c>
      <c r="FA15" t="s">
        <v>35</v>
      </c>
      <c r="FB15">
        <v>871</v>
      </c>
      <c r="FC15" t="s">
        <v>32</v>
      </c>
      <c r="FD15">
        <v>1.9629999999999999E-3</v>
      </c>
      <c r="FE15" t="s">
        <v>25</v>
      </c>
      <c r="FF15">
        <v>1.9628399999999999</v>
      </c>
      <c r="FG15" t="s">
        <v>26</v>
      </c>
      <c r="FH15">
        <v>1962.8389999999999</v>
      </c>
      <c r="FI15" t="s">
        <v>27</v>
      </c>
      <c r="FJ15" t="s">
        <v>33</v>
      </c>
      <c r="FK15">
        <v>509.46610440000001</v>
      </c>
    </row>
    <row r="16" spans="1:167" x14ac:dyDescent="0.3">
      <c r="K16" t="s">
        <v>105</v>
      </c>
      <c r="L16">
        <f>MIN(L$1:L13)</f>
        <v>2.6816165000000001</v>
      </c>
      <c r="Y16" t="s">
        <v>105</v>
      </c>
      <c r="Z16">
        <f>MIN(Z$1:Z13)</f>
        <v>3.2128483000000001</v>
      </c>
      <c r="AM16" t="s">
        <v>105</v>
      </c>
      <c r="AN16">
        <f>MIN(AN$1:AN13)</f>
        <v>3.1545643000000001</v>
      </c>
      <c r="BA16" t="s">
        <v>105</v>
      </c>
      <c r="BB16">
        <f>MIN(BB$1:BB13)</f>
        <v>6.1055020999999998</v>
      </c>
      <c r="BO16" t="s">
        <v>105</v>
      </c>
      <c r="BP16">
        <f>MIN(BP$1:BP13)</f>
        <v>6.1487717999999996</v>
      </c>
      <c r="CC16" t="s">
        <v>105</v>
      </c>
      <c r="CD16">
        <f>MIN(CD$1:CD13)</f>
        <v>6.1817000999999996</v>
      </c>
      <c r="CQ16" t="s">
        <v>105</v>
      </c>
      <c r="CR16">
        <f>MIN(CR$1:CR13)</f>
        <v>6.1531077999999999</v>
      </c>
      <c r="DE16" t="s">
        <v>105</v>
      </c>
      <c r="DF16">
        <f>MIN(DF$1:DF13)</f>
        <v>5.7795614999999998</v>
      </c>
      <c r="DS16" t="s">
        <v>105</v>
      </c>
      <c r="DT16">
        <f>MIN(DT$1:DT13)</f>
        <v>5.9257505000000004</v>
      </c>
      <c r="DX16" t="s">
        <v>83</v>
      </c>
      <c r="DY16" t="s">
        <v>23</v>
      </c>
      <c r="DZ16">
        <v>1</v>
      </c>
      <c r="EA16" t="s">
        <v>32</v>
      </c>
      <c r="EB16">
        <v>3.6595999999999997E-2</v>
      </c>
      <c r="EC16" t="s">
        <v>25</v>
      </c>
      <c r="ED16">
        <v>36.595999999999997</v>
      </c>
      <c r="EE16" t="s">
        <v>26</v>
      </c>
      <c r="EF16">
        <v>36596</v>
      </c>
      <c r="EG16" t="s">
        <v>27</v>
      </c>
      <c r="EH16" t="s">
        <v>33</v>
      </c>
      <c r="EI16">
        <v>27.325390599999999</v>
      </c>
      <c r="EL16" t="s">
        <v>83</v>
      </c>
      <c r="EM16" t="s">
        <v>23</v>
      </c>
      <c r="EN16">
        <v>1</v>
      </c>
      <c r="EO16" t="s">
        <v>32</v>
      </c>
      <c r="EP16">
        <v>2.0580000000000001E-2</v>
      </c>
      <c r="EQ16" t="s">
        <v>25</v>
      </c>
      <c r="ER16">
        <v>20.579899999999999</v>
      </c>
      <c r="ES16" t="s">
        <v>26</v>
      </c>
      <c r="ET16">
        <v>20579.901000000002</v>
      </c>
      <c r="EU16" t="s">
        <v>27</v>
      </c>
      <c r="EV16" t="s">
        <v>33</v>
      </c>
      <c r="EW16">
        <v>48.5910996</v>
      </c>
      <c r="EZ16" t="s">
        <v>83</v>
      </c>
      <c r="FA16" t="s">
        <v>23</v>
      </c>
      <c r="FB16">
        <v>1</v>
      </c>
      <c r="FC16" t="s">
        <v>32</v>
      </c>
      <c r="FD16">
        <v>2.1248E-2</v>
      </c>
      <c r="FE16" t="s">
        <v>25</v>
      </c>
      <c r="FF16">
        <v>21.2484</v>
      </c>
      <c r="FG16" t="s">
        <v>26</v>
      </c>
      <c r="FH16">
        <v>21248.400000000001</v>
      </c>
      <c r="FI16" t="s">
        <v>27</v>
      </c>
      <c r="FJ16" t="s">
        <v>33</v>
      </c>
      <c r="FK16">
        <v>47.062366599999997</v>
      </c>
    </row>
    <row r="17" spans="10:167" x14ac:dyDescent="0.3">
      <c r="K17" t="s">
        <v>106</v>
      </c>
      <c r="L17">
        <f>MAX(L$1:L15)</f>
        <v>1274.9979443</v>
      </c>
      <c r="Y17" t="s">
        <v>106</v>
      </c>
      <c r="Z17">
        <f>MAX(Z$1:Z15)</f>
        <v>2176.3201334999999</v>
      </c>
      <c r="AM17" t="s">
        <v>106</v>
      </c>
      <c r="AN17">
        <f>MAX(AN$1:AN15)</f>
        <v>1096.7423894999999</v>
      </c>
      <c r="BA17" t="s">
        <v>106</v>
      </c>
      <c r="BB17">
        <f>MAX(BB$1:BB15)</f>
        <v>1033.6906607000001</v>
      </c>
      <c r="BO17" t="s">
        <v>106</v>
      </c>
      <c r="BP17">
        <f>MAX(BP$1:BP15)</f>
        <v>77.004699799999997</v>
      </c>
      <c r="CC17" t="s">
        <v>106</v>
      </c>
      <c r="CD17">
        <f>MAX(CD$1:CD15)</f>
        <v>76.180595600000004</v>
      </c>
      <c r="CQ17" t="s">
        <v>106</v>
      </c>
      <c r="CR17">
        <f>MAX(CR$1:CR15)</f>
        <v>1026.5014708000001</v>
      </c>
      <c r="DE17" t="s">
        <v>106</v>
      </c>
      <c r="DF17">
        <f>MAX(DF$1:DF15)</f>
        <v>77.361218199999996</v>
      </c>
      <c r="DS17" t="s">
        <v>106</v>
      </c>
      <c r="DT17">
        <f>MAX(DT$1:DT15)</f>
        <v>75.3851662</v>
      </c>
      <c r="DX17" t="s">
        <v>83</v>
      </c>
      <c r="DY17" t="s">
        <v>34</v>
      </c>
      <c r="DZ17">
        <v>213</v>
      </c>
      <c r="EA17" t="s">
        <v>32</v>
      </c>
      <c r="EB17">
        <v>3.6007999999999998E-2</v>
      </c>
      <c r="EC17" t="s">
        <v>25</v>
      </c>
      <c r="ED17">
        <v>36.008139999999997</v>
      </c>
      <c r="EE17" t="s">
        <v>26</v>
      </c>
      <c r="EF17">
        <v>36008.142999999996</v>
      </c>
      <c r="EG17" t="s">
        <v>27</v>
      </c>
      <c r="EH17" t="s">
        <v>33</v>
      </c>
      <c r="EI17">
        <v>27.771495999999999</v>
      </c>
      <c r="EL17" t="s">
        <v>83</v>
      </c>
      <c r="EM17" t="s">
        <v>34</v>
      </c>
      <c r="EN17">
        <v>107</v>
      </c>
      <c r="EO17" t="s">
        <v>32</v>
      </c>
      <c r="EP17">
        <v>1.2800000000000001E-2</v>
      </c>
      <c r="EQ17" t="s">
        <v>25</v>
      </c>
      <c r="ER17">
        <v>12.800420000000001</v>
      </c>
      <c r="ES17" t="s">
        <v>26</v>
      </c>
      <c r="ET17">
        <v>12800.418</v>
      </c>
      <c r="EU17" t="s">
        <v>27</v>
      </c>
      <c r="EV17" t="s">
        <v>33</v>
      </c>
      <c r="EW17">
        <v>78.122446800000006</v>
      </c>
      <c r="EZ17" t="s">
        <v>83</v>
      </c>
      <c r="FA17" t="s">
        <v>34</v>
      </c>
      <c r="FB17">
        <v>129</v>
      </c>
      <c r="FC17" t="s">
        <v>32</v>
      </c>
      <c r="FD17">
        <v>1.3193E-2</v>
      </c>
      <c r="FE17" t="s">
        <v>25</v>
      </c>
      <c r="FF17">
        <v>13.19317</v>
      </c>
      <c r="FG17" t="s">
        <v>26</v>
      </c>
      <c r="FH17">
        <v>13193.168</v>
      </c>
      <c r="FI17" t="s">
        <v>27</v>
      </c>
      <c r="FJ17" t="s">
        <v>33</v>
      </c>
      <c r="FK17">
        <v>75.796804199999997</v>
      </c>
    </row>
    <row r="18" spans="10:167" x14ac:dyDescent="0.3">
      <c r="J18">
        <v>963.71753860000001</v>
      </c>
      <c r="K18" t="s">
        <v>116</v>
      </c>
      <c r="L18">
        <f>L17/J18</f>
        <v>1.322999627206328</v>
      </c>
      <c r="X18">
        <v>1589.5003565</v>
      </c>
      <c r="Y18" t="s">
        <v>116</v>
      </c>
      <c r="Z18">
        <f>Z17/X18</f>
        <v>1.3691850552913041</v>
      </c>
      <c r="AL18">
        <v>787.07792040000004</v>
      </c>
      <c r="AM18" t="s">
        <v>116</v>
      </c>
      <c r="AN18">
        <f>AN17/AL18</f>
        <v>1.39343559395317</v>
      </c>
      <c r="AZ18">
        <v>866.52683549999995</v>
      </c>
      <c r="BA18" t="s">
        <v>116</v>
      </c>
      <c r="BB18">
        <f>BB17/AZ18</f>
        <v>1.1929124619707177</v>
      </c>
      <c r="BN18">
        <v>60.214374100000001</v>
      </c>
      <c r="BO18" t="s">
        <v>116</v>
      </c>
      <c r="BP18">
        <f>BP17/BN18</f>
        <v>1.278842484887674</v>
      </c>
      <c r="CB18">
        <v>59.448894000000003</v>
      </c>
      <c r="CC18" t="s">
        <v>116</v>
      </c>
      <c r="CD18">
        <f>CD17/CB18</f>
        <v>1.2814468104318308</v>
      </c>
      <c r="CP18">
        <v>890.3792095</v>
      </c>
      <c r="CQ18" t="s">
        <v>116</v>
      </c>
      <c r="CR18">
        <f>CR17/CP18</f>
        <v>1.1528812216723263</v>
      </c>
      <c r="DD18">
        <v>59.6257333</v>
      </c>
      <c r="DE18" t="s">
        <v>116</v>
      </c>
      <c r="DF18">
        <f>DF17/DD18</f>
        <v>1.2974468223437345</v>
      </c>
      <c r="DR18">
        <v>58.864139700000003</v>
      </c>
      <c r="DS18" t="s">
        <v>116</v>
      </c>
      <c r="DT18">
        <f>DT17/DR18</f>
        <v>1.2806636873349224</v>
      </c>
      <c r="DX18" t="s">
        <v>83</v>
      </c>
      <c r="DY18" t="s">
        <v>35</v>
      </c>
      <c r="DZ18">
        <v>214</v>
      </c>
      <c r="EA18" t="s">
        <v>32</v>
      </c>
      <c r="EB18">
        <v>3.6011000000000001E-2</v>
      </c>
      <c r="EC18" t="s">
        <v>25</v>
      </c>
      <c r="ED18">
        <v>36.010890000000003</v>
      </c>
      <c r="EE18" t="s">
        <v>26</v>
      </c>
      <c r="EF18">
        <v>36010.891000000003</v>
      </c>
      <c r="EG18" t="s">
        <v>27</v>
      </c>
      <c r="EH18" t="s">
        <v>33</v>
      </c>
      <c r="EI18">
        <v>27.769376399999999</v>
      </c>
      <c r="EL18" t="s">
        <v>83</v>
      </c>
      <c r="EM18" t="s">
        <v>35</v>
      </c>
      <c r="EN18">
        <v>108</v>
      </c>
      <c r="EO18" t="s">
        <v>32</v>
      </c>
      <c r="EP18">
        <v>1.2872E-2</v>
      </c>
      <c r="EQ18" t="s">
        <v>25</v>
      </c>
      <c r="ER18">
        <v>12.872450000000001</v>
      </c>
      <c r="ES18" t="s">
        <v>26</v>
      </c>
      <c r="ET18">
        <v>12872.450999999999</v>
      </c>
      <c r="EU18" t="s">
        <v>27</v>
      </c>
      <c r="EV18" t="s">
        <v>33</v>
      </c>
      <c r="EW18">
        <v>77.685283799999993</v>
      </c>
      <c r="EZ18" t="s">
        <v>83</v>
      </c>
      <c r="FA18" t="s">
        <v>35</v>
      </c>
      <c r="FB18">
        <v>130</v>
      </c>
      <c r="FC18" t="s">
        <v>32</v>
      </c>
      <c r="FD18">
        <v>1.3254999999999999E-2</v>
      </c>
      <c r="FE18" t="s">
        <v>25</v>
      </c>
      <c r="FF18">
        <v>13.255129999999999</v>
      </c>
      <c r="FG18" t="s">
        <v>26</v>
      </c>
      <c r="FH18">
        <v>13255.132</v>
      </c>
      <c r="FI18" t="s">
        <v>27</v>
      </c>
      <c r="FJ18" t="s">
        <v>33</v>
      </c>
      <c r="FK18">
        <v>75.442476799999994</v>
      </c>
    </row>
    <row r="19" spans="10:167" x14ac:dyDescent="0.3">
      <c r="DX19" t="s">
        <v>84</v>
      </c>
      <c r="DY19" t="s">
        <v>23</v>
      </c>
      <c r="DZ19">
        <v>2</v>
      </c>
      <c r="EA19" t="s">
        <v>37</v>
      </c>
      <c r="EB19">
        <v>1.8325999999999999E-2</v>
      </c>
      <c r="EC19" t="s">
        <v>25</v>
      </c>
      <c r="ED19">
        <v>18.325749999999999</v>
      </c>
      <c r="EE19" t="s">
        <v>26</v>
      </c>
      <c r="EF19">
        <v>18325.75</v>
      </c>
      <c r="EG19" t="s">
        <v>27</v>
      </c>
      <c r="EH19" t="s">
        <v>33</v>
      </c>
      <c r="EI19">
        <v>54.568026500000002</v>
      </c>
      <c r="EL19" t="s">
        <v>84</v>
      </c>
      <c r="EM19" t="s">
        <v>23</v>
      </c>
      <c r="EN19">
        <v>2</v>
      </c>
      <c r="EO19" t="s">
        <v>37</v>
      </c>
      <c r="EP19">
        <v>1.0296E-2</v>
      </c>
      <c r="EQ19" t="s">
        <v>25</v>
      </c>
      <c r="ER19">
        <v>10.295500000000001</v>
      </c>
      <c r="ES19" t="s">
        <v>26</v>
      </c>
      <c r="ET19">
        <v>10295.5</v>
      </c>
      <c r="EU19" t="s">
        <v>27</v>
      </c>
      <c r="EV19" t="s">
        <v>33</v>
      </c>
      <c r="EW19">
        <v>97.129813499999997</v>
      </c>
      <c r="EZ19" t="s">
        <v>84</v>
      </c>
      <c r="FA19" t="s">
        <v>23</v>
      </c>
      <c r="FB19">
        <v>2</v>
      </c>
      <c r="FC19" t="s">
        <v>37</v>
      </c>
      <c r="FD19">
        <v>1.0629E-2</v>
      </c>
      <c r="FE19" t="s">
        <v>25</v>
      </c>
      <c r="FF19">
        <v>10.629300000000001</v>
      </c>
      <c r="FG19" t="s">
        <v>26</v>
      </c>
      <c r="FH19">
        <v>10629.3</v>
      </c>
      <c r="FI19" t="s">
        <v>27</v>
      </c>
      <c r="FJ19" t="s">
        <v>33</v>
      </c>
      <c r="FK19">
        <v>94.079572299999995</v>
      </c>
    </row>
    <row r="20" spans="10:167" x14ac:dyDescent="0.3">
      <c r="DX20" t="s">
        <v>84</v>
      </c>
      <c r="DY20" t="s">
        <v>34</v>
      </c>
      <c r="DZ20">
        <v>999</v>
      </c>
      <c r="EA20" t="s">
        <v>37</v>
      </c>
      <c r="EB20">
        <v>7.8709999999999995E-3</v>
      </c>
      <c r="EC20" t="s">
        <v>25</v>
      </c>
      <c r="ED20">
        <v>7.8705800000000004</v>
      </c>
      <c r="EE20" t="s">
        <v>26</v>
      </c>
      <c r="EF20">
        <v>7870.5810000000001</v>
      </c>
      <c r="EG20" t="s">
        <v>27</v>
      </c>
      <c r="EH20" t="s">
        <v>33</v>
      </c>
      <c r="EI20">
        <v>127.0554223</v>
      </c>
      <c r="EL20" t="s">
        <v>84</v>
      </c>
      <c r="EM20" t="s">
        <v>34</v>
      </c>
      <c r="EN20">
        <v>999</v>
      </c>
      <c r="EO20" t="s">
        <v>37</v>
      </c>
      <c r="EP20">
        <v>1.387E-3</v>
      </c>
      <c r="EQ20" t="s">
        <v>25</v>
      </c>
      <c r="ER20">
        <v>1.38714</v>
      </c>
      <c r="ES20" t="s">
        <v>26</v>
      </c>
      <c r="ET20">
        <v>1387.1389999999999</v>
      </c>
      <c r="EU20" t="s">
        <v>27</v>
      </c>
      <c r="EV20" t="s">
        <v>33</v>
      </c>
      <c r="EW20">
        <v>720.90823390000003</v>
      </c>
      <c r="EZ20" t="s">
        <v>84</v>
      </c>
      <c r="FA20" t="s">
        <v>34</v>
      </c>
      <c r="FB20">
        <v>999</v>
      </c>
      <c r="FC20" t="s">
        <v>37</v>
      </c>
      <c r="FD20">
        <v>1.7240000000000001E-3</v>
      </c>
      <c r="FE20" t="s">
        <v>25</v>
      </c>
      <c r="FF20">
        <v>1.7242</v>
      </c>
      <c r="FG20" t="s">
        <v>26</v>
      </c>
      <c r="FH20">
        <v>1724.1980000000001</v>
      </c>
      <c r="FI20" t="s">
        <v>27</v>
      </c>
      <c r="FJ20" t="s">
        <v>33</v>
      </c>
      <c r="FK20">
        <v>579.97993459999998</v>
      </c>
    </row>
    <row r="21" spans="10:167" x14ac:dyDescent="0.3">
      <c r="DX21" t="s">
        <v>84</v>
      </c>
      <c r="DY21" t="s">
        <v>36</v>
      </c>
      <c r="DZ21">
        <v>1001</v>
      </c>
      <c r="EA21" t="s">
        <v>37</v>
      </c>
      <c r="EB21">
        <v>7.8799999999999999E-3</v>
      </c>
      <c r="EC21" t="s">
        <v>25</v>
      </c>
      <c r="ED21">
        <v>7.88002</v>
      </c>
      <c r="EE21" t="s">
        <v>26</v>
      </c>
      <c r="EF21">
        <v>7880.0249999999996</v>
      </c>
      <c r="EG21" t="s">
        <v>27</v>
      </c>
      <c r="EH21" t="s">
        <v>33</v>
      </c>
      <c r="EI21">
        <v>126.9031568</v>
      </c>
      <c r="EL21" t="s">
        <v>84</v>
      </c>
      <c r="EM21" t="s">
        <v>36</v>
      </c>
      <c r="EN21">
        <v>1001</v>
      </c>
      <c r="EO21" t="s">
        <v>37</v>
      </c>
      <c r="EP21">
        <v>1.3960000000000001E-3</v>
      </c>
      <c r="EQ21" t="s">
        <v>25</v>
      </c>
      <c r="ER21">
        <v>1.3957299999999999</v>
      </c>
      <c r="ES21" t="s">
        <v>26</v>
      </c>
      <c r="ET21">
        <v>1395.7260000000001</v>
      </c>
      <c r="EU21" t="s">
        <v>27</v>
      </c>
      <c r="EV21" t="s">
        <v>33</v>
      </c>
      <c r="EW21">
        <v>716.47278930000004</v>
      </c>
      <c r="EZ21" t="s">
        <v>84</v>
      </c>
      <c r="FA21" t="s">
        <v>36</v>
      </c>
      <c r="FB21">
        <v>1001</v>
      </c>
      <c r="FC21" t="s">
        <v>37</v>
      </c>
      <c r="FD21">
        <v>1.732E-3</v>
      </c>
      <c r="FE21" t="s">
        <v>25</v>
      </c>
      <c r="FF21">
        <v>1.73177</v>
      </c>
      <c r="FG21" t="s">
        <v>26</v>
      </c>
      <c r="FH21">
        <v>1731.7719999999999</v>
      </c>
      <c r="FI21" t="s">
        <v>27</v>
      </c>
      <c r="FJ21" t="s">
        <v>33</v>
      </c>
      <c r="FK21">
        <v>577.44324419999998</v>
      </c>
    </row>
    <row r="23" spans="10:167" x14ac:dyDescent="0.3">
      <c r="DW23">
        <v>18</v>
      </c>
      <c r="DX23" t="s">
        <v>93</v>
      </c>
    </row>
    <row r="24" spans="10:167" x14ac:dyDescent="0.3">
      <c r="DX24" t="s">
        <v>82</v>
      </c>
      <c r="DY24" t="s">
        <v>23</v>
      </c>
      <c r="DZ24">
        <v>1</v>
      </c>
      <c r="EA24" t="s">
        <v>32</v>
      </c>
      <c r="EB24">
        <v>0.344945</v>
      </c>
      <c r="EC24" t="s">
        <v>25</v>
      </c>
      <c r="ED24">
        <v>344.94549000000001</v>
      </c>
      <c r="EE24" t="s">
        <v>26</v>
      </c>
      <c r="EF24">
        <v>344945.49</v>
      </c>
      <c r="EG24" t="s">
        <v>27</v>
      </c>
      <c r="EH24" t="s">
        <v>33</v>
      </c>
      <c r="EI24">
        <v>2.8990087999999998</v>
      </c>
    </row>
    <row r="25" spans="10:167" x14ac:dyDescent="0.3">
      <c r="DX25" t="s">
        <v>82</v>
      </c>
      <c r="DY25" t="s">
        <v>34</v>
      </c>
      <c r="DZ25">
        <v>510</v>
      </c>
      <c r="EA25" t="s">
        <v>32</v>
      </c>
      <c r="EB25">
        <v>8.1099999999999998E-4</v>
      </c>
      <c r="EC25" t="s">
        <v>25</v>
      </c>
      <c r="ED25">
        <v>0.81077999999999995</v>
      </c>
      <c r="EE25" t="s">
        <v>26</v>
      </c>
      <c r="EF25">
        <v>810.779</v>
      </c>
      <c r="EG25" t="s">
        <v>27</v>
      </c>
      <c r="EH25" t="s">
        <v>33</v>
      </c>
      <c r="EI25">
        <v>1233.3815185000001</v>
      </c>
      <c r="EV25" t="s">
        <v>105</v>
      </c>
      <c r="EW25">
        <f>MIN(EW$1:EW22)</f>
        <v>3.0137429</v>
      </c>
      <c r="FJ25" t="s">
        <v>105</v>
      </c>
      <c r="FK25">
        <f>MIN(FK$1:FK22)</f>
        <v>3.0428894999999998</v>
      </c>
    </row>
    <row r="26" spans="10:167" x14ac:dyDescent="0.3">
      <c r="DX26" t="s">
        <v>82</v>
      </c>
      <c r="DY26" t="s">
        <v>35</v>
      </c>
      <c r="DZ26">
        <v>511</v>
      </c>
      <c r="EA26" t="s">
        <v>32</v>
      </c>
      <c r="EB26">
        <v>1.4840000000000001E-3</v>
      </c>
      <c r="EC26" t="s">
        <v>25</v>
      </c>
      <c r="ED26">
        <v>1.4842299999999999</v>
      </c>
      <c r="EE26" t="s">
        <v>26</v>
      </c>
      <c r="EF26">
        <v>1484.2329999999999</v>
      </c>
      <c r="EG26" t="s">
        <v>27</v>
      </c>
      <c r="EH26" t="s">
        <v>33</v>
      </c>
      <c r="EI26">
        <v>673.74882720000005</v>
      </c>
      <c r="EV26" t="s">
        <v>106</v>
      </c>
      <c r="EW26">
        <f>MAX(EW$1:EW24)</f>
        <v>2713.3627498999999</v>
      </c>
      <c r="FJ26" t="s">
        <v>106</v>
      </c>
      <c r="FK26">
        <f>MAX(FK$1:FK24)</f>
        <v>1102.9806893</v>
      </c>
    </row>
    <row r="27" spans="10:167" x14ac:dyDescent="0.3">
      <c r="DX27" t="s">
        <v>83</v>
      </c>
      <c r="DY27" t="s">
        <v>23</v>
      </c>
      <c r="DZ27">
        <v>1</v>
      </c>
      <c r="EA27" t="s">
        <v>32</v>
      </c>
      <c r="EB27">
        <v>0.17473900000000001</v>
      </c>
      <c r="EC27" t="s">
        <v>25</v>
      </c>
      <c r="ED27">
        <v>174.73948999999999</v>
      </c>
      <c r="EE27" t="s">
        <v>26</v>
      </c>
      <c r="EF27">
        <v>174739.495</v>
      </c>
      <c r="EG27" t="s">
        <v>27</v>
      </c>
      <c r="EH27" t="s">
        <v>33</v>
      </c>
      <c r="EI27">
        <v>5.7228047000000002</v>
      </c>
      <c r="EV27" t="s">
        <v>107</v>
      </c>
      <c r="EW27">
        <f>EW26/EW25</f>
        <v>900.32986884846741</v>
      </c>
      <c r="FJ27" t="s">
        <v>107</v>
      </c>
      <c r="FK27">
        <f>FK26/FK25</f>
        <v>362.47806215112314</v>
      </c>
    </row>
    <row r="28" spans="10:167" x14ac:dyDescent="0.3">
      <c r="DX28" t="s">
        <v>83</v>
      </c>
      <c r="DY28" t="s">
        <v>34</v>
      </c>
      <c r="DZ28">
        <v>489</v>
      </c>
      <c r="EA28" t="s">
        <v>32</v>
      </c>
      <c r="EB28">
        <v>1.189E-3</v>
      </c>
      <c r="EC28" t="s">
        <v>25</v>
      </c>
      <c r="ED28">
        <v>1.18912</v>
      </c>
      <c r="EE28" t="s">
        <v>26</v>
      </c>
      <c r="EF28">
        <v>1189.1199999999999</v>
      </c>
      <c r="EG28" t="s">
        <v>27</v>
      </c>
      <c r="EH28" t="s">
        <v>33</v>
      </c>
      <c r="EI28">
        <v>840.95820819999994</v>
      </c>
    </row>
    <row r="29" spans="10:167" x14ac:dyDescent="0.3">
      <c r="DX29" t="s">
        <v>83</v>
      </c>
      <c r="DY29" t="s">
        <v>35</v>
      </c>
      <c r="DZ29">
        <v>490</v>
      </c>
      <c r="EA29" t="s">
        <v>32</v>
      </c>
      <c r="EB29">
        <v>1.5430000000000001E-3</v>
      </c>
      <c r="EC29" t="s">
        <v>25</v>
      </c>
      <c r="ED29">
        <v>1.5432999999999999</v>
      </c>
      <c r="EE29" t="s">
        <v>26</v>
      </c>
      <c r="EF29">
        <v>1543.3040000000001</v>
      </c>
      <c r="EG29" t="s">
        <v>27</v>
      </c>
      <c r="EH29" t="s">
        <v>33</v>
      </c>
      <c r="EI29">
        <v>647.96057329999996</v>
      </c>
      <c r="EU29">
        <v>954.91042330000005</v>
      </c>
      <c r="EV29" t="s">
        <v>116</v>
      </c>
      <c r="EW29">
        <f>EW9/EU29</f>
        <v>2.0637544957249601</v>
      </c>
      <c r="FI29">
        <v>594.23222610000005</v>
      </c>
      <c r="FJ29" t="s">
        <v>116</v>
      </c>
      <c r="FK29">
        <f>FK9/FI29</f>
        <v>1.7086802339278246</v>
      </c>
    </row>
    <row r="30" spans="10:167" x14ac:dyDescent="0.3">
      <c r="DX30" t="s">
        <v>84</v>
      </c>
      <c r="DY30" t="s">
        <v>23</v>
      </c>
      <c r="DZ30">
        <v>2</v>
      </c>
      <c r="EA30" t="s">
        <v>37</v>
      </c>
      <c r="EB30">
        <v>0.17247699999999999</v>
      </c>
      <c r="EC30" t="s">
        <v>25</v>
      </c>
      <c r="ED30">
        <v>172.47649999999999</v>
      </c>
      <c r="EE30" t="s">
        <v>26</v>
      </c>
      <c r="EF30">
        <v>172476.5</v>
      </c>
      <c r="EG30" t="s">
        <v>27</v>
      </c>
      <c r="EH30" t="s">
        <v>33</v>
      </c>
      <c r="EI30">
        <v>5.7978912999999999</v>
      </c>
    </row>
    <row r="31" spans="10:167" x14ac:dyDescent="0.3">
      <c r="DX31" t="s">
        <v>84</v>
      </c>
      <c r="DY31" t="s">
        <v>34</v>
      </c>
      <c r="DZ31">
        <v>999</v>
      </c>
      <c r="EA31" t="s">
        <v>37</v>
      </c>
      <c r="EB31">
        <v>5.8699999999999996E-4</v>
      </c>
      <c r="EC31" t="s">
        <v>25</v>
      </c>
      <c r="ED31">
        <v>0.58670999999999995</v>
      </c>
      <c r="EE31" t="s">
        <v>26</v>
      </c>
      <c r="EF31">
        <v>586.70600000000002</v>
      </c>
      <c r="EG31" t="s">
        <v>27</v>
      </c>
      <c r="EH31" t="s">
        <v>33</v>
      </c>
      <c r="EI31">
        <v>1704.4311797</v>
      </c>
    </row>
    <row r="32" spans="10:167" x14ac:dyDescent="0.3">
      <c r="DX32" t="s">
        <v>84</v>
      </c>
      <c r="DY32" t="s">
        <v>36</v>
      </c>
      <c r="DZ32">
        <v>1001</v>
      </c>
      <c r="EA32" t="s">
        <v>37</v>
      </c>
      <c r="EB32">
        <v>7.6199999999999998E-4</v>
      </c>
      <c r="EC32" t="s">
        <v>25</v>
      </c>
      <c r="ED32">
        <v>0.76234999999999997</v>
      </c>
      <c r="EE32" t="s">
        <v>26</v>
      </c>
      <c r="EF32">
        <v>762.35299999999995</v>
      </c>
      <c r="EG32" t="s">
        <v>27</v>
      </c>
      <c r="EH32" t="s">
        <v>33</v>
      </c>
      <c r="EI32">
        <v>1311.7278953</v>
      </c>
    </row>
    <row r="34" spans="128:139" x14ac:dyDescent="0.3">
      <c r="DX34" t="s">
        <v>94</v>
      </c>
    </row>
    <row r="35" spans="128:139" x14ac:dyDescent="0.3">
      <c r="DX35" t="s">
        <v>82</v>
      </c>
      <c r="DY35" t="s">
        <v>23</v>
      </c>
      <c r="DZ35">
        <v>1</v>
      </c>
      <c r="EA35" t="s">
        <v>32</v>
      </c>
      <c r="EB35">
        <v>7.9539999999999993E-3</v>
      </c>
      <c r="EC35" t="s">
        <v>25</v>
      </c>
      <c r="ED35">
        <v>7.9535999999999998</v>
      </c>
      <c r="EE35" t="s">
        <v>26</v>
      </c>
      <c r="EF35">
        <v>7953.6</v>
      </c>
      <c r="EG35" t="s">
        <v>27</v>
      </c>
      <c r="EH35" t="s">
        <v>33</v>
      </c>
      <c r="EI35">
        <v>125.7292291</v>
      </c>
    </row>
    <row r="36" spans="128:139" x14ac:dyDescent="0.3">
      <c r="DX36" t="s">
        <v>82</v>
      </c>
      <c r="DY36" t="s">
        <v>34</v>
      </c>
      <c r="DZ36">
        <v>601</v>
      </c>
      <c r="EA36" t="s">
        <v>32</v>
      </c>
      <c r="EB36">
        <v>1.6590000000000001E-3</v>
      </c>
      <c r="EC36" t="s">
        <v>25</v>
      </c>
      <c r="ED36">
        <v>1.6591</v>
      </c>
      <c r="EE36" t="s">
        <v>26</v>
      </c>
      <c r="EF36">
        <v>1659.105</v>
      </c>
      <c r="EG36" t="s">
        <v>27</v>
      </c>
      <c r="EH36" t="s">
        <v>33</v>
      </c>
      <c r="EI36">
        <v>602.73464060000003</v>
      </c>
    </row>
    <row r="37" spans="128:139" x14ac:dyDescent="0.3">
      <c r="DX37" t="s">
        <v>82</v>
      </c>
      <c r="DY37" t="s">
        <v>35</v>
      </c>
      <c r="DZ37">
        <v>602</v>
      </c>
      <c r="EA37" t="s">
        <v>32</v>
      </c>
      <c r="EB37">
        <v>1.67E-3</v>
      </c>
      <c r="EC37" t="s">
        <v>25</v>
      </c>
      <c r="ED37">
        <v>1.6695599999999999</v>
      </c>
      <c r="EE37" t="s">
        <v>26</v>
      </c>
      <c r="EF37">
        <v>1669.5609999999999</v>
      </c>
      <c r="EG37" t="s">
        <v>27</v>
      </c>
      <c r="EH37" t="s">
        <v>33</v>
      </c>
      <c r="EI37">
        <v>598.9599346</v>
      </c>
    </row>
    <row r="38" spans="128:139" x14ac:dyDescent="0.3">
      <c r="DX38" t="s">
        <v>83</v>
      </c>
      <c r="DY38" t="s">
        <v>23</v>
      </c>
      <c r="DZ38">
        <v>1</v>
      </c>
      <c r="EA38" t="s">
        <v>32</v>
      </c>
      <c r="EB38">
        <v>3.0810000000000001E-2</v>
      </c>
      <c r="EC38" t="s">
        <v>25</v>
      </c>
      <c r="ED38">
        <v>30.810300000000002</v>
      </c>
      <c r="EE38" t="s">
        <v>26</v>
      </c>
      <c r="EF38">
        <v>30810.3</v>
      </c>
      <c r="EG38" t="s">
        <v>27</v>
      </c>
      <c r="EH38" t="s">
        <v>33</v>
      </c>
      <c r="EI38">
        <v>32.456678199999999</v>
      </c>
    </row>
    <row r="39" spans="128:139" x14ac:dyDescent="0.3">
      <c r="DX39" t="s">
        <v>83</v>
      </c>
      <c r="DY39" t="s">
        <v>34</v>
      </c>
      <c r="DZ39">
        <v>398</v>
      </c>
      <c r="EA39" t="s">
        <v>32</v>
      </c>
      <c r="EB39">
        <v>2.4380000000000001E-3</v>
      </c>
      <c r="EC39" t="s">
        <v>25</v>
      </c>
      <c r="ED39">
        <v>2.4378700000000002</v>
      </c>
      <c r="EE39" t="s">
        <v>26</v>
      </c>
      <c r="EF39">
        <v>2437.8719999999998</v>
      </c>
      <c r="EG39" t="s">
        <v>27</v>
      </c>
      <c r="EH39" t="s">
        <v>33</v>
      </c>
      <c r="EI39">
        <v>410.19377409999998</v>
      </c>
    </row>
    <row r="40" spans="128:139" x14ac:dyDescent="0.3">
      <c r="DX40" t="s">
        <v>83</v>
      </c>
      <c r="DY40" t="s">
        <v>35</v>
      </c>
      <c r="DZ40">
        <v>399</v>
      </c>
      <c r="EA40" t="s">
        <v>32</v>
      </c>
      <c r="EB40">
        <v>2.5089999999999999E-3</v>
      </c>
      <c r="EC40" t="s">
        <v>25</v>
      </c>
      <c r="ED40">
        <v>2.5089800000000002</v>
      </c>
      <c r="EE40" t="s">
        <v>26</v>
      </c>
      <c r="EF40">
        <v>2508.9810000000002</v>
      </c>
      <c r="EG40" t="s">
        <v>27</v>
      </c>
      <c r="EH40" t="s">
        <v>33</v>
      </c>
      <c r="EI40">
        <v>398.56815410000002</v>
      </c>
    </row>
    <row r="41" spans="128:139" x14ac:dyDescent="0.3">
      <c r="DX41" t="s">
        <v>84</v>
      </c>
      <c r="DY41" t="s">
        <v>23</v>
      </c>
      <c r="DZ41">
        <v>2</v>
      </c>
      <c r="EA41" t="s">
        <v>37</v>
      </c>
      <c r="EB41">
        <v>1.5410999999999999E-2</v>
      </c>
      <c r="EC41" t="s">
        <v>25</v>
      </c>
      <c r="ED41">
        <v>15.4114</v>
      </c>
      <c r="EE41" t="s">
        <v>26</v>
      </c>
      <c r="EF41">
        <v>15411.4</v>
      </c>
      <c r="EG41" t="s">
        <v>27</v>
      </c>
      <c r="EH41" t="s">
        <v>33</v>
      </c>
      <c r="EI41">
        <v>64.887030699999997</v>
      </c>
    </row>
    <row r="42" spans="128:139" x14ac:dyDescent="0.3">
      <c r="DX42" t="s">
        <v>84</v>
      </c>
      <c r="DY42" t="s">
        <v>34</v>
      </c>
      <c r="DZ42">
        <v>999</v>
      </c>
      <c r="EA42" t="s">
        <v>37</v>
      </c>
      <c r="EB42">
        <v>1.008E-3</v>
      </c>
      <c r="EC42" t="s">
        <v>25</v>
      </c>
      <c r="ED42">
        <v>1.0082599999999999</v>
      </c>
      <c r="EE42" t="s">
        <v>26</v>
      </c>
      <c r="EF42">
        <v>1008.264</v>
      </c>
      <c r="EG42" t="s">
        <v>27</v>
      </c>
      <c r="EH42" t="s">
        <v>33</v>
      </c>
      <c r="EI42">
        <v>991.80344339999999</v>
      </c>
    </row>
    <row r="43" spans="128:139" x14ac:dyDescent="0.3">
      <c r="DX43" t="s">
        <v>84</v>
      </c>
      <c r="DY43" t="s">
        <v>36</v>
      </c>
      <c r="DZ43">
        <v>1001</v>
      </c>
      <c r="EA43" t="s">
        <v>37</v>
      </c>
      <c r="EB43">
        <v>1.016E-3</v>
      </c>
      <c r="EC43" t="s">
        <v>25</v>
      </c>
      <c r="ED43">
        <v>1.0159199999999999</v>
      </c>
      <c r="EE43" t="s">
        <v>26</v>
      </c>
      <c r="EF43">
        <v>1015.919</v>
      </c>
      <c r="EG43" t="s">
        <v>27</v>
      </c>
      <c r="EH43" t="s">
        <v>33</v>
      </c>
      <c r="EI43">
        <v>984.33025869999994</v>
      </c>
    </row>
    <row r="47" spans="128:139" x14ac:dyDescent="0.3">
      <c r="EH47" t="s">
        <v>105</v>
      </c>
      <c r="EI47">
        <f>MIN(EI$1:EI44)</f>
        <v>2.6997103</v>
      </c>
    </row>
    <row r="48" spans="128:139" x14ac:dyDescent="0.3">
      <c r="EH48" t="s">
        <v>106</v>
      </c>
      <c r="EI48">
        <f>MAX(EI$1:EI46)</f>
        <v>1704.4311797</v>
      </c>
    </row>
    <row r="49" spans="137:167" x14ac:dyDescent="0.3">
      <c r="EG49">
        <v>916.04607180000005</v>
      </c>
      <c r="EH49" t="s">
        <v>116</v>
      </c>
      <c r="EI49">
        <f>EI48/EG49</f>
        <v>1.86063914487494</v>
      </c>
    </row>
    <row r="51" spans="137:167" x14ac:dyDescent="0.3">
      <c r="EH51" t="s">
        <v>117</v>
      </c>
      <c r="EI51">
        <f>EI31/L6</f>
        <v>1.3368109237507577</v>
      </c>
      <c r="EV51" t="s">
        <v>118</v>
      </c>
      <c r="EW51">
        <f>EW9/Z6</f>
        <v>0.90551966540450146</v>
      </c>
      <c r="FJ51" t="s">
        <v>118</v>
      </c>
      <c r="FK51">
        <f>FK9/AN6</f>
        <v>0.9257897468182068</v>
      </c>
    </row>
    <row r="52" spans="137:167" x14ac:dyDescent="0.3">
      <c r="EV52" t="s">
        <v>119</v>
      </c>
      <c r="EW52">
        <f>EW9/BP6</f>
        <v>25.591953273220863</v>
      </c>
      <c r="FJ52" t="s">
        <v>119</v>
      </c>
      <c r="FK52">
        <f>FK9/CD6</f>
        <v>13.328234717818352</v>
      </c>
    </row>
  </sheetData>
  <mergeCells count="9">
    <mergeCell ref="CH2:CT2"/>
    <mergeCell ref="CV2:DH2"/>
    <mergeCell ref="DJ2:DV2"/>
    <mergeCell ref="B2:N2"/>
    <mergeCell ref="P2:AB2"/>
    <mergeCell ref="AD2:AP2"/>
    <mergeCell ref="AR2:BD2"/>
    <mergeCell ref="BF2:BR2"/>
    <mergeCell ref="BT2:CF2"/>
  </mergeCells>
  <conditionalFormatting sqref="L1:L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:DF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:DT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I1:EI4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W1:EW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K1:FK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results2-12900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Douglas P. Bogia</cp:lastModifiedBy>
  <dcterms:created xsi:type="dcterms:W3CDTF">2023-12-02T23:22:30Z</dcterms:created>
  <dcterms:modified xsi:type="dcterms:W3CDTF">2023-12-03T00:08:50Z</dcterms:modified>
</cp:coreProperties>
</file>